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tables/table4.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tables/table5.xml" ContentType="application/vnd.openxmlformats-officedocument.spreadsheetml.tab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8.xml" ContentType="application/vnd.openxmlformats-officedocument.drawing+xml"/>
  <Override PartName="/xl/tables/table6.xml" ContentType="application/vnd.openxmlformats-officedocument.spreadsheetml.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tables/table7.xml" ContentType="application/vnd.openxmlformats-officedocument.spreadsheetml.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tables/table8.xml" ContentType="application/vnd.openxmlformats-officedocument.spreadsheetml.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1.xml" ContentType="application/vnd.openxmlformats-officedocument.drawing+xml"/>
  <Override PartName="/xl/tables/table9.xml" ContentType="application/vnd.openxmlformats-officedocument.spreadsheetml.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12.xml" ContentType="application/vnd.openxmlformats-officedocument.drawing+xml"/>
  <Override PartName="/xl/tables/table10.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tables/table11.xml" ContentType="application/vnd.openxmlformats-officedocument.spreadsheetml.tab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4.xml" ContentType="application/vnd.openxmlformats-officedocument.drawing+xml"/>
  <Override PartName="/xl/tables/table12.xml" ContentType="application/vnd.openxmlformats-officedocument.spreadsheetml.tab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5.xml" ContentType="application/vnd.openxmlformats-officedocument.drawing+xml"/>
  <Override PartName="/xl/tables/table13.xml" ContentType="application/vnd.openxmlformats-officedocument.spreadsheetml.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xml"/>
  <Override PartName="/xl/tables/table14.xml" ContentType="application/vnd.openxmlformats-officedocument.spreadsheetml.tab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17.xml" ContentType="application/vnd.openxmlformats-officedocument.drawing+xml"/>
  <Override PartName="/xl/tables/table15.xml" ContentType="application/vnd.openxmlformats-officedocument.spreadsheetml.tab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D59EA673-2B83-A748-AB52-4F9E530E2593}" xr6:coauthVersionLast="47" xr6:coauthVersionMax="47" xr10:uidLastSave="{00000000-0000-0000-0000-000000000000}"/>
  <bookViews>
    <workbookView xWindow="-68060" yWindow="-640" windowWidth="55400" windowHeight="28300" tabRatio="804" xr2:uid="{A6828C6A-7CD9-42C6-9C84-D3A2E245D2D3}"/>
  </bookViews>
  <sheets>
    <sheet name="Note" sheetId="1" r:id="rId1"/>
    <sheet name="Database" sheetId="38" r:id="rId2"/>
    <sheet name="Summary" sheetId="52" r:id="rId3"/>
    <sheet name="Global" sheetId="2" r:id="rId4"/>
    <sheet name="US" sheetId="10" r:id="rId5"/>
    <sheet name="EuroArea" sheetId="39" r:id="rId6"/>
    <sheet name="China" sheetId="40" r:id="rId7"/>
    <sheet name="France" sheetId="41" r:id="rId8"/>
    <sheet name="Germany" sheetId="42" r:id="rId9"/>
    <sheet name="UK" sheetId="50" r:id="rId10"/>
    <sheet name="India" sheetId="43" r:id="rId11"/>
    <sheet name="Australia" sheetId="51" r:id="rId12"/>
    <sheet name="Ireland" sheetId="44" r:id="rId13"/>
    <sheet name="Italy" sheetId="45" r:id="rId14"/>
    <sheet name="Japan" sheetId="46" r:id="rId15"/>
    <sheet name="Brazil" sheetId="47" r:id="rId16"/>
    <sheet name="Russia" sheetId="48" r:id="rId17"/>
    <sheet name="Spain" sheetId="49" r:id="rId1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3" i="52" l="1"/>
  <c r="D93" i="52"/>
  <c r="E93" i="52"/>
  <c r="F93" i="52"/>
  <c r="G93" i="52"/>
  <c r="H93" i="52"/>
  <c r="I93" i="52"/>
  <c r="J93" i="52"/>
  <c r="K93" i="52"/>
  <c r="L93" i="52"/>
  <c r="M93" i="52"/>
  <c r="N93" i="52"/>
  <c r="O93" i="52"/>
  <c r="P93" i="52"/>
  <c r="Q93" i="52"/>
  <c r="C140" i="49"/>
  <c r="C140" i="48"/>
  <c r="C140" i="47"/>
  <c r="C140" i="46"/>
  <c r="C140" i="45"/>
  <c r="C140" i="44"/>
  <c r="C140" i="51"/>
  <c r="C140" i="43"/>
  <c r="C18" i="50"/>
  <c r="C19" i="50"/>
  <c r="C20" i="50"/>
  <c r="C21" i="50"/>
  <c r="C22" i="50"/>
  <c r="C23" i="50"/>
  <c r="C24" i="50"/>
  <c r="C25" i="50"/>
  <c r="C26" i="50"/>
  <c r="C27" i="50"/>
  <c r="C28" i="50"/>
  <c r="C29" i="50"/>
  <c r="C30" i="50"/>
  <c r="C31" i="50"/>
  <c r="C32" i="50"/>
  <c r="C33" i="50"/>
  <c r="C34" i="50"/>
  <c r="C35" i="50"/>
  <c r="C36" i="50"/>
  <c r="C37" i="50"/>
  <c r="C38" i="50"/>
  <c r="C39" i="50"/>
  <c r="C40" i="50"/>
  <c r="C41" i="50"/>
  <c r="C42" i="50"/>
  <c r="C43" i="50"/>
  <c r="C44" i="50"/>
  <c r="C45" i="50"/>
  <c r="C46" i="50"/>
  <c r="C47" i="50"/>
  <c r="C48" i="50"/>
  <c r="C49" i="50"/>
  <c r="C50" i="50"/>
  <c r="C51" i="50"/>
  <c r="C52" i="50"/>
  <c r="C53" i="50"/>
  <c r="C54" i="50"/>
  <c r="C55" i="50"/>
  <c r="C56" i="50"/>
  <c r="C57" i="50"/>
  <c r="C58" i="50"/>
  <c r="C59" i="50"/>
  <c r="C60" i="50"/>
  <c r="C61" i="50"/>
  <c r="C62" i="50"/>
  <c r="C63" i="50"/>
  <c r="C64" i="50"/>
  <c r="C65" i="50"/>
  <c r="C66" i="50"/>
  <c r="C67" i="50"/>
  <c r="C68" i="50"/>
  <c r="C69" i="50"/>
  <c r="C70" i="50"/>
  <c r="C71" i="50"/>
  <c r="C72" i="50"/>
  <c r="C73" i="50"/>
  <c r="C74" i="50"/>
  <c r="C75" i="50"/>
  <c r="C76" i="50"/>
  <c r="C77" i="50"/>
  <c r="C78" i="50"/>
  <c r="C79" i="50"/>
  <c r="C80" i="50"/>
  <c r="C81" i="50"/>
  <c r="C82" i="50"/>
  <c r="C83" i="50"/>
  <c r="C84" i="50"/>
  <c r="C85" i="50"/>
  <c r="C86" i="50"/>
  <c r="C87" i="50"/>
  <c r="C88" i="50"/>
  <c r="C89" i="50"/>
  <c r="C90" i="50"/>
  <c r="C91" i="50"/>
  <c r="C92" i="50"/>
  <c r="C93" i="50"/>
  <c r="C94" i="50"/>
  <c r="C95" i="50"/>
  <c r="C96" i="50"/>
  <c r="C97" i="50"/>
  <c r="C98" i="50"/>
  <c r="C99" i="50"/>
  <c r="C100" i="50"/>
  <c r="C101" i="50"/>
  <c r="C102" i="50"/>
  <c r="C103" i="50"/>
  <c r="C104" i="50"/>
  <c r="C105" i="50"/>
  <c r="C106" i="50"/>
  <c r="C107" i="50"/>
  <c r="C108" i="50"/>
  <c r="C109" i="50"/>
  <c r="C110" i="50"/>
  <c r="C111" i="50"/>
  <c r="C112" i="50"/>
  <c r="C113" i="50"/>
  <c r="C114" i="50"/>
  <c r="C115" i="50"/>
  <c r="C116" i="50"/>
  <c r="C117" i="50"/>
  <c r="C118" i="50"/>
  <c r="C119" i="50"/>
  <c r="C120" i="50"/>
  <c r="C121" i="50"/>
  <c r="C122" i="50"/>
  <c r="C123" i="50"/>
  <c r="C124" i="50"/>
  <c r="C125" i="50"/>
  <c r="C126" i="50"/>
  <c r="C127" i="50"/>
  <c r="C128" i="50"/>
  <c r="C129" i="50"/>
  <c r="C130" i="50"/>
  <c r="C131" i="50"/>
  <c r="C132" i="50"/>
  <c r="C133" i="50"/>
  <c r="C134" i="50"/>
  <c r="C135" i="50"/>
  <c r="C136" i="50"/>
  <c r="C137" i="50"/>
  <c r="C138" i="50"/>
  <c r="C139" i="50"/>
  <c r="C140" i="50"/>
  <c r="C8" i="50"/>
  <c r="C9" i="50"/>
  <c r="C10" i="50"/>
  <c r="C11" i="50"/>
  <c r="C12" i="50"/>
  <c r="C13" i="50"/>
  <c r="C14" i="50"/>
  <c r="C15" i="50"/>
  <c r="C16" i="50"/>
  <c r="C17" i="50"/>
  <c r="C7" i="50"/>
  <c r="C179" i="42"/>
  <c r="C166" i="41"/>
  <c r="C140" i="40"/>
  <c r="C179" i="39"/>
  <c r="C104" i="10"/>
  <c r="C140" i="2"/>
  <c r="C92" i="52"/>
  <c r="D92" i="52"/>
  <c r="E92" i="52"/>
  <c r="F92" i="52"/>
  <c r="G92" i="52"/>
  <c r="H92" i="52"/>
  <c r="I92" i="52"/>
  <c r="J92" i="52"/>
  <c r="K92" i="52"/>
  <c r="L92" i="52"/>
  <c r="M92" i="52"/>
  <c r="N92" i="52"/>
  <c r="O92" i="52"/>
  <c r="P92" i="52"/>
  <c r="Q92" i="52"/>
  <c r="C139" i="49"/>
  <c r="C139" i="48"/>
  <c r="C139" i="47"/>
  <c r="C139" i="46"/>
  <c r="C139" i="45"/>
  <c r="C139" i="44"/>
  <c r="C139" i="51"/>
  <c r="C139" i="43"/>
  <c r="C178" i="42"/>
  <c r="C165" i="41"/>
  <c r="C139" i="40"/>
  <c r="C178" i="39"/>
  <c r="C103" i="10"/>
  <c r="C139" i="2"/>
  <c r="C138" i="49"/>
  <c r="C138" i="48"/>
  <c r="C138" i="47"/>
  <c r="C138" i="46"/>
  <c r="C138" i="45"/>
  <c r="C138" i="44"/>
  <c r="C138" i="51"/>
  <c r="C138" i="43"/>
  <c r="C177" i="42"/>
  <c r="C164" i="41"/>
  <c r="C138" i="40"/>
  <c r="C137" i="40"/>
  <c r="C177" i="39"/>
  <c r="C102" i="10"/>
  <c r="C91" i="52"/>
  <c r="D91" i="52"/>
  <c r="E91" i="52"/>
  <c r="F91" i="52"/>
  <c r="G91" i="52"/>
  <c r="H91" i="52"/>
  <c r="I91" i="52"/>
  <c r="J91" i="52"/>
  <c r="K91" i="52"/>
  <c r="L91" i="52"/>
  <c r="M91" i="52"/>
  <c r="N91" i="52"/>
  <c r="O91" i="52"/>
  <c r="P91" i="52"/>
  <c r="Q91" i="52"/>
  <c r="C90" i="52"/>
  <c r="D90" i="52"/>
  <c r="E90" i="52"/>
  <c r="F90" i="52"/>
  <c r="G90" i="52"/>
  <c r="H90" i="52"/>
  <c r="I90" i="52"/>
  <c r="J90" i="52"/>
  <c r="K90" i="52"/>
  <c r="L90" i="52"/>
  <c r="M90" i="52"/>
  <c r="N90" i="52"/>
  <c r="O90" i="52"/>
  <c r="P90" i="52"/>
  <c r="Q90" i="52"/>
  <c r="C137" i="49"/>
  <c r="C137" i="48"/>
  <c r="C137" i="47"/>
  <c r="C137" i="46"/>
  <c r="C137" i="45"/>
  <c r="C137" i="44"/>
  <c r="C137" i="51"/>
  <c r="C137" i="43"/>
  <c r="C176" i="42"/>
  <c r="C163" i="41"/>
  <c r="C176" i="39"/>
  <c r="C101" i="10"/>
  <c r="C138" i="2"/>
  <c r="C137" i="2"/>
  <c r="C89" i="52"/>
  <c r="D89" i="52"/>
  <c r="E89" i="52"/>
  <c r="F89" i="52"/>
  <c r="G89" i="52"/>
  <c r="H89" i="52"/>
  <c r="I89" i="52"/>
  <c r="J89" i="52"/>
  <c r="K89" i="52"/>
  <c r="L89" i="52"/>
  <c r="M89" i="52"/>
  <c r="N89" i="52"/>
  <c r="O89" i="52"/>
  <c r="P89" i="52"/>
  <c r="Q89" i="52"/>
  <c r="C136" i="49"/>
  <c r="C136" i="48"/>
  <c r="C136" i="47"/>
  <c r="C136" i="46"/>
  <c r="C136" i="45"/>
  <c r="C136" i="44"/>
  <c r="C136" i="51"/>
  <c r="C136" i="43"/>
  <c r="C175" i="42"/>
  <c r="C162" i="41"/>
  <c r="C136" i="40"/>
  <c r="C175" i="39"/>
  <c r="C100" i="10"/>
  <c r="C136" i="2"/>
  <c r="C135" i="49"/>
  <c r="C135" i="48"/>
  <c r="C135" i="47"/>
  <c r="C135" i="46"/>
  <c r="C135" i="45"/>
  <c r="C135" i="44"/>
  <c r="C135" i="51"/>
  <c r="C135" i="43"/>
  <c r="C174" i="42"/>
  <c r="C161" i="41"/>
  <c r="C135" i="40"/>
  <c r="C174" i="39"/>
  <c r="C99" i="10"/>
  <c r="C135" i="2"/>
  <c r="C88" i="52"/>
  <c r="D88" i="52"/>
  <c r="E88" i="52"/>
  <c r="F88" i="52"/>
  <c r="G88" i="52"/>
  <c r="H88" i="52"/>
  <c r="I88" i="52"/>
  <c r="J88" i="52"/>
  <c r="K88" i="52"/>
  <c r="L88" i="52"/>
  <c r="M88" i="52"/>
  <c r="N88" i="52"/>
  <c r="O88" i="52"/>
  <c r="P88" i="52"/>
  <c r="Q88" i="52"/>
  <c r="C86" i="52"/>
  <c r="D86" i="52"/>
  <c r="E86" i="52"/>
  <c r="F86" i="52"/>
  <c r="G86" i="52"/>
  <c r="H86" i="52"/>
  <c r="I86" i="52"/>
  <c r="J86" i="52"/>
  <c r="K86" i="52"/>
  <c r="L86" i="52"/>
  <c r="M86" i="52"/>
  <c r="N86" i="52"/>
  <c r="O86" i="52"/>
  <c r="P86" i="52"/>
  <c r="Q86" i="52"/>
  <c r="C87" i="52"/>
  <c r="D87" i="52"/>
  <c r="E87" i="52"/>
  <c r="F87" i="52"/>
  <c r="G87" i="52"/>
  <c r="H87" i="52"/>
  <c r="I87" i="52"/>
  <c r="J87" i="52"/>
  <c r="K87" i="52"/>
  <c r="L87" i="52"/>
  <c r="M87" i="52"/>
  <c r="N87" i="52"/>
  <c r="O87" i="52"/>
  <c r="P87" i="52"/>
  <c r="Q87" i="52"/>
  <c r="C133" i="49"/>
  <c r="C134" i="49"/>
  <c r="C132" i="48"/>
  <c r="C133" i="48"/>
  <c r="C134" i="48"/>
  <c r="C133" i="47"/>
  <c r="C134" i="47"/>
  <c r="C133" i="46"/>
  <c r="C134" i="46"/>
  <c r="C133" i="45"/>
  <c r="C134" i="45"/>
  <c r="C132" i="44"/>
  <c r="C133" i="44"/>
  <c r="C134" i="44"/>
  <c r="C132" i="51"/>
  <c r="C133" i="51"/>
  <c r="C134" i="51"/>
  <c r="C133" i="43"/>
  <c r="C134" i="43"/>
  <c r="C172" i="42"/>
  <c r="C173" i="42"/>
  <c r="C133" i="2"/>
  <c r="C134" i="2"/>
  <c r="C159" i="41"/>
  <c r="C160" i="41"/>
  <c r="C172" i="39"/>
  <c r="C173" i="39"/>
  <c r="C98" i="10"/>
  <c r="C97" i="10"/>
  <c r="C132" i="40"/>
  <c r="C133" i="40"/>
  <c r="C134" i="40"/>
  <c r="C132" i="49"/>
  <c r="C132" i="47"/>
  <c r="C132" i="46"/>
  <c r="C132" i="45"/>
  <c r="C132" i="43"/>
  <c r="C171" i="42"/>
  <c r="C158" i="41"/>
  <c r="C171" i="39"/>
  <c r="C96" i="10"/>
  <c r="C132" i="2"/>
  <c r="C85" i="52"/>
  <c r="D85" i="52"/>
  <c r="E85" i="52"/>
  <c r="F85" i="52"/>
  <c r="G85" i="52"/>
  <c r="H85" i="52"/>
  <c r="I85" i="52"/>
  <c r="J85" i="52"/>
  <c r="K85" i="52"/>
  <c r="L85" i="52"/>
  <c r="M85" i="52"/>
  <c r="N85" i="52"/>
  <c r="O85" i="52"/>
  <c r="P85" i="52"/>
  <c r="Q85" i="52"/>
  <c r="C131" i="49"/>
  <c r="C131" i="48"/>
  <c r="C131" i="47"/>
  <c r="C131" i="46"/>
  <c r="C131" i="45"/>
  <c r="C131" i="44"/>
  <c r="C131" i="51"/>
  <c r="C131" i="43"/>
  <c r="C170" i="42"/>
  <c r="C157" i="41"/>
  <c r="C131" i="40"/>
  <c r="C170" i="39"/>
  <c r="C95" i="10"/>
  <c r="C131" i="2"/>
  <c r="C84" i="52"/>
  <c r="D84" i="52"/>
  <c r="E84" i="52"/>
  <c r="F84" i="52"/>
  <c r="G84" i="52"/>
  <c r="H84" i="52"/>
  <c r="I84" i="52"/>
  <c r="J84" i="52"/>
  <c r="K84" i="52"/>
  <c r="L84" i="52"/>
  <c r="M84" i="52"/>
  <c r="N84" i="52"/>
  <c r="O84" i="52"/>
  <c r="P84" i="52"/>
  <c r="Q84" i="52"/>
  <c r="C130" i="49"/>
  <c r="C130" i="48"/>
  <c r="C130" i="47"/>
  <c r="C130" i="46"/>
  <c r="C130" i="45"/>
  <c r="C130" i="44"/>
  <c r="C130" i="51"/>
  <c r="C129" i="51"/>
  <c r="C130" i="43"/>
  <c r="C169" i="42"/>
  <c r="C156" i="41"/>
  <c r="C130" i="40"/>
  <c r="C169" i="39"/>
  <c r="C94" i="10"/>
  <c r="C83" i="52"/>
  <c r="D83" i="52"/>
  <c r="E83" i="52"/>
  <c r="F83" i="52"/>
  <c r="G83" i="52"/>
  <c r="H83" i="52"/>
  <c r="I83" i="52"/>
  <c r="J83" i="52"/>
  <c r="K83" i="52"/>
  <c r="L83" i="52"/>
  <c r="M83" i="52"/>
  <c r="N83" i="52"/>
  <c r="O83" i="52"/>
  <c r="P83" i="52"/>
  <c r="Q83" i="52"/>
  <c r="C130" i="2"/>
  <c r="P78" i="52"/>
  <c r="P79" i="52"/>
  <c r="P80" i="52"/>
  <c r="P81" i="52"/>
  <c r="P82" i="52"/>
  <c r="C82" i="52"/>
  <c r="D82" i="52"/>
  <c r="E82" i="52"/>
  <c r="F82" i="52"/>
  <c r="G82" i="52"/>
  <c r="H82" i="52"/>
  <c r="I82" i="52"/>
  <c r="J82" i="52"/>
  <c r="K82" i="52"/>
  <c r="L82" i="52"/>
  <c r="M82" i="52"/>
  <c r="N82" i="52"/>
  <c r="O82" i="52"/>
  <c r="Q82" i="52"/>
  <c r="C129" i="49"/>
  <c r="C129" i="48"/>
  <c r="C129" i="47"/>
  <c r="C129" i="46"/>
  <c r="C129" i="45"/>
  <c r="C129" i="44"/>
  <c r="C128" i="51"/>
  <c r="C129" i="43"/>
  <c r="C168" i="42"/>
  <c r="C155" i="41"/>
  <c r="C129" i="40"/>
  <c r="C168" i="39"/>
  <c r="C93" i="10"/>
  <c r="C129" i="2"/>
  <c r="C81" i="52"/>
  <c r="C7" i="52" s="1"/>
  <c r="D81" i="52"/>
  <c r="E81" i="52"/>
  <c r="F81" i="52"/>
  <c r="G81" i="52"/>
  <c r="H81" i="52"/>
  <c r="I81" i="52"/>
  <c r="J81" i="52"/>
  <c r="K81" i="52"/>
  <c r="L81" i="52"/>
  <c r="M81" i="52"/>
  <c r="N81" i="52"/>
  <c r="O81" i="52"/>
  <c r="Q81" i="52"/>
  <c r="C128" i="49"/>
  <c r="C128" i="48"/>
  <c r="C128" i="47"/>
  <c r="C128" i="46"/>
  <c r="C128" i="45"/>
  <c r="C128" i="44"/>
  <c r="C128" i="43"/>
  <c r="C167" i="42"/>
  <c r="C154" i="41"/>
  <c r="C128" i="40"/>
  <c r="C167" i="39"/>
  <c r="C92" i="10"/>
  <c r="C128" i="2"/>
  <c r="C79" i="52" l="1"/>
  <c r="D79" i="52"/>
  <c r="E79" i="52"/>
  <c r="F79" i="52"/>
  <c r="G79" i="52"/>
  <c r="H79" i="52"/>
  <c r="I79" i="52"/>
  <c r="J79" i="52"/>
  <c r="K79" i="52"/>
  <c r="L79" i="52"/>
  <c r="M79" i="52"/>
  <c r="N79" i="52"/>
  <c r="O79" i="52"/>
  <c r="Q79" i="52"/>
  <c r="C80" i="52"/>
  <c r="D80" i="52"/>
  <c r="E80" i="52"/>
  <c r="F80" i="52"/>
  <c r="G80" i="52"/>
  <c r="H80" i="52"/>
  <c r="I80" i="52"/>
  <c r="J80" i="52"/>
  <c r="K80" i="52"/>
  <c r="L80" i="52"/>
  <c r="M80" i="52"/>
  <c r="N80" i="52"/>
  <c r="O80" i="52"/>
  <c r="Q80" i="52"/>
  <c r="C127" i="49"/>
  <c r="C126" i="48"/>
  <c r="C127" i="48"/>
  <c r="C126" i="47"/>
  <c r="C127" i="47"/>
  <c r="C127" i="46"/>
  <c r="C127" i="45"/>
  <c r="C127" i="44"/>
  <c r="C127" i="51"/>
  <c r="C126" i="51"/>
  <c r="C127" i="43"/>
  <c r="C166" i="42"/>
  <c r="C153" i="41"/>
  <c r="C127" i="40"/>
  <c r="C166" i="39"/>
  <c r="C91" i="10"/>
  <c r="C127" i="2"/>
  <c r="C77" i="52" l="1"/>
  <c r="C78" i="52"/>
  <c r="C126" i="2"/>
  <c r="D78" i="52" l="1"/>
  <c r="E78" i="52"/>
  <c r="F78" i="52"/>
  <c r="G78" i="52"/>
  <c r="H78" i="52"/>
  <c r="I78" i="52"/>
  <c r="J78" i="52"/>
  <c r="K78" i="52"/>
  <c r="L78" i="52"/>
  <c r="M78" i="52"/>
  <c r="N78" i="52"/>
  <c r="O78" i="52"/>
  <c r="Q78" i="52"/>
  <c r="C126" i="49"/>
  <c r="C126" i="46"/>
  <c r="C126" i="45"/>
  <c r="C126" i="44"/>
  <c r="C125" i="51"/>
  <c r="C126" i="43"/>
  <c r="C165" i="42"/>
  <c r="C152" i="41"/>
  <c r="C165" i="39"/>
  <c r="C164" i="39"/>
  <c r="C90" i="10"/>
  <c r="C126" i="40"/>
  <c r="C125" i="40"/>
  <c r="C125" i="49" l="1"/>
  <c r="C125" i="48"/>
  <c r="C125" i="47"/>
  <c r="C125" i="46"/>
  <c r="C125" i="45"/>
  <c r="C125" i="44"/>
  <c r="C125" i="43"/>
  <c r="C164" i="42"/>
  <c r="C151" i="41"/>
  <c r="C89" i="10"/>
  <c r="C125" i="2"/>
  <c r="D77" i="52" l="1"/>
  <c r="E77" i="52"/>
  <c r="F77" i="52"/>
  <c r="G77" i="52"/>
  <c r="H77" i="52"/>
  <c r="I77" i="52"/>
  <c r="J77" i="52"/>
  <c r="K77" i="52"/>
  <c r="L77" i="52"/>
  <c r="M77" i="52"/>
  <c r="N77" i="52"/>
  <c r="O77" i="52"/>
  <c r="P77" i="52"/>
  <c r="Q77" i="52"/>
  <c r="C124" i="49"/>
  <c r="C124" i="48"/>
  <c r="C124" i="47"/>
  <c r="C124" i="46"/>
  <c r="C124" i="45"/>
  <c r="C124" i="44"/>
  <c r="C124" i="51"/>
  <c r="C124" i="43"/>
  <c r="C163" i="42"/>
  <c r="C150" i="41"/>
  <c r="C124" i="40"/>
  <c r="C163" i="39"/>
  <c r="C88" i="10"/>
  <c r="C124" i="2"/>
  <c r="C123" i="49" l="1"/>
  <c r="C123" i="48"/>
  <c r="C123" i="47"/>
  <c r="C123" i="46"/>
  <c r="C123" i="45"/>
  <c r="C123" i="44"/>
  <c r="C123" i="51"/>
  <c r="C122" i="51"/>
  <c r="C123" i="43"/>
  <c r="C162" i="42"/>
  <c r="C149" i="41"/>
  <c r="C123" i="40"/>
  <c r="C162" i="39"/>
  <c r="C87" i="10"/>
  <c r="C123" i="2"/>
  <c r="C76" i="52"/>
  <c r="D76" i="52"/>
  <c r="E76" i="52"/>
  <c r="F76" i="52"/>
  <c r="G76" i="52"/>
  <c r="H76" i="52"/>
  <c r="I76" i="52"/>
  <c r="J76" i="52"/>
  <c r="K76" i="52"/>
  <c r="L76" i="52"/>
  <c r="M76" i="52"/>
  <c r="N76" i="52"/>
  <c r="O76" i="52"/>
  <c r="P76" i="52"/>
  <c r="Q76" i="52"/>
  <c r="C120" i="2" l="1"/>
  <c r="C121" i="2"/>
  <c r="C122" i="2"/>
  <c r="C73" i="52"/>
  <c r="D73" i="52"/>
  <c r="E73" i="52"/>
  <c r="F73" i="52"/>
  <c r="G73" i="52"/>
  <c r="H73" i="52"/>
  <c r="I73" i="52"/>
  <c r="J73" i="52"/>
  <c r="K73" i="52"/>
  <c r="L73" i="52"/>
  <c r="M73" i="52"/>
  <c r="N73" i="52"/>
  <c r="O73" i="52"/>
  <c r="P73" i="52"/>
  <c r="Q73" i="52"/>
  <c r="C74" i="52"/>
  <c r="D74" i="52"/>
  <c r="E74" i="52"/>
  <c r="F74" i="52"/>
  <c r="G74" i="52"/>
  <c r="H74" i="52"/>
  <c r="I74" i="52"/>
  <c r="J74" i="52"/>
  <c r="K74" i="52"/>
  <c r="L74" i="52"/>
  <c r="M74" i="52"/>
  <c r="N74" i="52"/>
  <c r="O74" i="52"/>
  <c r="P74" i="52"/>
  <c r="Q74" i="52"/>
  <c r="C75" i="52"/>
  <c r="D75" i="52"/>
  <c r="E75" i="52"/>
  <c r="F75" i="52"/>
  <c r="G75" i="52"/>
  <c r="H75" i="52"/>
  <c r="I75" i="52"/>
  <c r="J75" i="52"/>
  <c r="K75" i="52"/>
  <c r="L75" i="52"/>
  <c r="M75" i="52"/>
  <c r="N75" i="52"/>
  <c r="O75" i="52"/>
  <c r="P75" i="52"/>
  <c r="Q75" i="52"/>
  <c r="C122" i="49"/>
  <c r="C120" i="49"/>
  <c r="C121" i="49"/>
  <c r="C120" i="48"/>
  <c r="C121" i="48"/>
  <c r="C122" i="48"/>
  <c r="C120" i="47"/>
  <c r="C121" i="47"/>
  <c r="C122" i="47"/>
  <c r="C120" i="46"/>
  <c r="C121" i="46"/>
  <c r="C122" i="46"/>
  <c r="C122" i="45"/>
  <c r="C120" i="45"/>
  <c r="C121" i="45"/>
  <c r="C120" i="44"/>
  <c r="C121" i="44"/>
  <c r="C122" i="44"/>
  <c r="C119" i="51"/>
  <c r="C120" i="51"/>
  <c r="C121" i="51"/>
  <c r="C120" i="43"/>
  <c r="C121" i="43"/>
  <c r="C122" i="43"/>
  <c r="C159" i="42"/>
  <c r="C160" i="42"/>
  <c r="C161" i="42"/>
  <c r="C146" i="41"/>
  <c r="C147" i="41"/>
  <c r="C148" i="41"/>
  <c r="C120" i="40"/>
  <c r="C121" i="40"/>
  <c r="C122" i="40"/>
  <c r="C159" i="39"/>
  <c r="C160" i="39"/>
  <c r="C161" i="39"/>
  <c r="C86" i="10"/>
  <c r="C84" i="10"/>
  <c r="C85" i="10"/>
  <c r="C119" i="49" l="1"/>
  <c r="C118" i="49"/>
  <c r="C118" i="48"/>
  <c r="C119" i="48"/>
  <c r="C118" i="47"/>
  <c r="C119" i="47"/>
  <c r="C118" i="46"/>
  <c r="C119" i="46"/>
  <c r="C118" i="45"/>
  <c r="C119" i="45"/>
  <c r="C118" i="44"/>
  <c r="C119" i="44"/>
  <c r="C118" i="51"/>
  <c r="C118" i="43"/>
  <c r="C119" i="43"/>
  <c r="C157" i="42"/>
  <c r="C158" i="42"/>
  <c r="C144" i="41"/>
  <c r="C145" i="41"/>
  <c r="C118" i="40"/>
  <c r="C119" i="40"/>
  <c r="C157" i="39"/>
  <c r="C158" i="39"/>
  <c r="C82" i="10"/>
  <c r="C83" i="10"/>
  <c r="C119" i="2"/>
  <c r="C118" i="2"/>
  <c r="C71" i="52"/>
  <c r="D71" i="52"/>
  <c r="E71" i="52"/>
  <c r="F71" i="52"/>
  <c r="G71" i="52"/>
  <c r="H71" i="52"/>
  <c r="I71" i="52"/>
  <c r="J71" i="52"/>
  <c r="K71" i="52"/>
  <c r="L71" i="52"/>
  <c r="M71" i="52"/>
  <c r="N71" i="52"/>
  <c r="O71" i="52"/>
  <c r="P71" i="52"/>
  <c r="Q71" i="52"/>
  <c r="C72" i="52"/>
  <c r="D72" i="52"/>
  <c r="E72" i="52"/>
  <c r="F72" i="52"/>
  <c r="G72" i="52"/>
  <c r="H72" i="52"/>
  <c r="I72" i="52"/>
  <c r="J72" i="52"/>
  <c r="K72" i="52"/>
  <c r="L72" i="52"/>
  <c r="M72" i="52"/>
  <c r="N72" i="52"/>
  <c r="O72" i="52"/>
  <c r="P72" i="52"/>
  <c r="Q72" i="52"/>
  <c r="C116" i="49" l="1"/>
  <c r="C117" i="49"/>
  <c r="C116" i="48"/>
  <c r="C117" i="48"/>
  <c r="C116" i="47"/>
  <c r="C117" i="47"/>
  <c r="C117" i="46"/>
  <c r="C116" i="45"/>
  <c r="C117" i="45"/>
  <c r="C116" i="44"/>
  <c r="C117" i="44"/>
  <c r="C116" i="51"/>
  <c r="C117" i="51"/>
  <c r="C116" i="43"/>
  <c r="C117" i="43"/>
  <c r="C156" i="42"/>
  <c r="C143" i="41"/>
  <c r="C116" i="40"/>
  <c r="C117" i="40"/>
  <c r="C156" i="39"/>
  <c r="C81" i="10"/>
  <c r="C116" i="2"/>
  <c r="C117" i="2"/>
  <c r="C69" i="52"/>
  <c r="D69" i="52"/>
  <c r="E69" i="52"/>
  <c r="F69" i="52"/>
  <c r="G69" i="52"/>
  <c r="H69" i="52"/>
  <c r="I69" i="52"/>
  <c r="J69" i="52"/>
  <c r="K69" i="52"/>
  <c r="L69" i="52"/>
  <c r="M69" i="52"/>
  <c r="N69" i="52"/>
  <c r="O69" i="52"/>
  <c r="P69" i="52"/>
  <c r="Q69" i="52"/>
  <c r="C70" i="52"/>
  <c r="D70" i="52"/>
  <c r="E70" i="52"/>
  <c r="F70" i="52"/>
  <c r="G70" i="52"/>
  <c r="H70" i="52"/>
  <c r="I70" i="52"/>
  <c r="J70" i="52"/>
  <c r="K70" i="52"/>
  <c r="L70" i="52"/>
  <c r="M70" i="52"/>
  <c r="N70" i="52"/>
  <c r="O70" i="52"/>
  <c r="P70" i="52"/>
  <c r="Q70" i="52"/>
  <c r="C66" i="52" l="1"/>
  <c r="D66" i="52"/>
  <c r="E66" i="52"/>
  <c r="F66" i="52"/>
  <c r="G66" i="52"/>
  <c r="H66" i="52"/>
  <c r="I66" i="52"/>
  <c r="J66" i="52"/>
  <c r="K66" i="52"/>
  <c r="L66" i="52"/>
  <c r="M66" i="52"/>
  <c r="N66" i="52"/>
  <c r="O66" i="52"/>
  <c r="P66" i="52"/>
  <c r="Q66" i="52"/>
  <c r="C67" i="52"/>
  <c r="D67" i="52"/>
  <c r="E67" i="52"/>
  <c r="F67" i="52"/>
  <c r="G67" i="52"/>
  <c r="H67" i="52"/>
  <c r="I67" i="52"/>
  <c r="J67" i="52"/>
  <c r="K67" i="52"/>
  <c r="L67" i="52"/>
  <c r="M67" i="52"/>
  <c r="N67" i="52"/>
  <c r="O67" i="52"/>
  <c r="P67" i="52"/>
  <c r="Q67" i="52"/>
  <c r="C68" i="52"/>
  <c r="D68" i="52"/>
  <c r="E68" i="52"/>
  <c r="F68" i="52"/>
  <c r="G68" i="52"/>
  <c r="H68" i="52"/>
  <c r="I68" i="52"/>
  <c r="J68" i="52"/>
  <c r="K68" i="52"/>
  <c r="L68" i="52"/>
  <c r="M68" i="52"/>
  <c r="N68" i="52"/>
  <c r="O68" i="52"/>
  <c r="P68" i="52"/>
  <c r="Q68" i="52"/>
  <c r="C113" i="49"/>
  <c r="C114" i="49"/>
  <c r="C115" i="49"/>
  <c r="C113" i="48"/>
  <c r="C114" i="48"/>
  <c r="C115" i="48"/>
  <c r="C113" i="47"/>
  <c r="C114" i="47"/>
  <c r="C115" i="47"/>
  <c r="C116" i="46"/>
  <c r="C113" i="46"/>
  <c r="C114" i="46"/>
  <c r="C115" i="46"/>
  <c r="C113" i="45"/>
  <c r="C114" i="45"/>
  <c r="C115" i="45"/>
  <c r="C113" i="44"/>
  <c r="C114" i="44"/>
  <c r="C115" i="44"/>
  <c r="C113" i="51"/>
  <c r="C114" i="51"/>
  <c r="C115" i="51"/>
  <c r="C113" i="43"/>
  <c r="C114" i="43"/>
  <c r="C115" i="43"/>
  <c r="C152" i="42"/>
  <c r="C153" i="42"/>
  <c r="C154" i="42"/>
  <c r="C155" i="42"/>
  <c r="C139" i="41"/>
  <c r="C140" i="41"/>
  <c r="C141" i="41"/>
  <c r="C142" i="41"/>
  <c r="C113" i="40"/>
  <c r="C114" i="40"/>
  <c r="C115" i="40"/>
  <c r="C152" i="39"/>
  <c r="C153" i="39"/>
  <c r="C154" i="39"/>
  <c r="C155" i="39"/>
  <c r="C77" i="10"/>
  <c r="C78" i="10"/>
  <c r="C79" i="10"/>
  <c r="C80" i="10"/>
  <c r="C113" i="2"/>
  <c r="C114" i="2"/>
  <c r="C115" i="2"/>
  <c r="C21" i="52" l="1"/>
  <c r="D21" i="52"/>
  <c r="E21" i="52"/>
  <c r="F21" i="52"/>
  <c r="G21" i="52"/>
  <c r="H21" i="52"/>
  <c r="I21" i="52"/>
  <c r="J21" i="52"/>
  <c r="K21" i="52"/>
  <c r="L21" i="52"/>
  <c r="M21" i="52"/>
  <c r="N21" i="52"/>
  <c r="O21" i="52"/>
  <c r="P21" i="52"/>
  <c r="Q21" i="52"/>
  <c r="C22" i="52"/>
  <c r="D22" i="52"/>
  <c r="E22" i="52"/>
  <c r="F22" i="52"/>
  <c r="G22" i="52"/>
  <c r="H22" i="52"/>
  <c r="I22" i="52"/>
  <c r="J22" i="52"/>
  <c r="K22" i="52"/>
  <c r="L22" i="52"/>
  <c r="M22" i="52"/>
  <c r="N22" i="52"/>
  <c r="O22" i="52"/>
  <c r="P22" i="52"/>
  <c r="Q22" i="52"/>
  <c r="C23" i="52"/>
  <c r="D23" i="52"/>
  <c r="E23" i="52"/>
  <c r="F23" i="52"/>
  <c r="G23" i="52"/>
  <c r="H23" i="52"/>
  <c r="I23" i="52"/>
  <c r="J23" i="52"/>
  <c r="K23" i="52"/>
  <c r="L23" i="52"/>
  <c r="M23" i="52"/>
  <c r="N23" i="52"/>
  <c r="O23" i="52"/>
  <c r="P23" i="52"/>
  <c r="Q23" i="52"/>
  <c r="C24" i="52"/>
  <c r="D24" i="52"/>
  <c r="E24" i="52"/>
  <c r="F24" i="52"/>
  <c r="G24" i="52"/>
  <c r="H24" i="52"/>
  <c r="I24" i="52"/>
  <c r="J24" i="52"/>
  <c r="K24" i="52"/>
  <c r="L24" i="52"/>
  <c r="M24" i="52"/>
  <c r="N24" i="52"/>
  <c r="O24" i="52"/>
  <c r="P24" i="52"/>
  <c r="Q24" i="52"/>
  <c r="C25" i="52"/>
  <c r="D25" i="52"/>
  <c r="E25" i="52"/>
  <c r="F25" i="52"/>
  <c r="G25" i="52"/>
  <c r="H25" i="52"/>
  <c r="I25" i="52"/>
  <c r="J25" i="52"/>
  <c r="K25" i="52"/>
  <c r="L25" i="52"/>
  <c r="M25" i="52"/>
  <c r="N25" i="52"/>
  <c r="O25" i="52"/>
  <c r="P25" i="52"/>
  <c r="Q25" i="52"/>
  <c r="C26" i="52"/>
  <c r="D26" i="52"/>
  <c r="E26" i="52"/>
  <c r="F26" i="52"/>
  <c r="G26" i="52"/>
  <c r="H26" i="52"/>
  <c r="I26" i="52"/>
  <c r="J26" i="52"/>
  <c r="K26" i="52"/>
  <c r="L26" i="52"/>
  <c r="M26" i="52"/>
  <c r="N26" i="52"/>
  <c r="O26" i="52"/>
  <c r="P26" i="52"/>
  <c r="Q26" i="52"/>
  <c r="C27" i="52"/>
  <c r="D27" i="52"/>
  <c r="E27" i="52"/>
  <c r="F27" i="52"/>
  <c r="G27" i="52"/>
  <c r="H27" i="52"/>
  <c r="I27" i="52"/>
  <c r="J27" i="52"/>
  <c r="K27" i="52"/>
  <c r="L27" i="52"/>
  <c r="M27" i="52"/>
  <c r="N27" i="52"/>
  <c r="O27" i="52"/>
  <c r="P27" i="52"/>
  <c r="Q27" i="52"/>
  <c r="C28" i="52"/>
  <c r="D28" i="52"/>
  <c r="E28" i="52"/>
  <c r="F28" i="52"/>
  <c r="G28" i="52"/>
  <c r="H28" i="52"/>
  <c r="I28" i="52"/>
  <c r="J28" i="52"/>
  <c r="K28" i="52"/>
  <c r="L28" i="52"/>
  <c r="M28" i="52"/>
  <c r="N28" i="52"/>
  <c r="O28" i="52"/>
  <c r="P28" i="52"/>
  <c r="Q28" i="52"/>
  <c r="C29" i="52"/>
  <c r="D29" i="52"/>
  <c r="E29" i="52"/>
  <c r="F29" i="52"/>
  <c r="G29" i="52"/>
  <c r="H29" i="52"/>
  <c r="I29" i="52"/>
  <c r="J29" i="52"/>
  <c r="K29" i="52"/>
  <c r="L29" i="52"/>
  <c r="M29" i="52"/>
  <c r="N29" i="52"/>
  <c r="O29" i="52"/>
  <c r="P29" i="52"/>
  <c r="Q29" i="52"/>
  <c r="C30" i="52"/>
  <c r="D30" i="52"/>
  <c r="E30" i="52"/>
  <c r="F30" i="52"/>
  <c r="G30" i="52"/>
  <c r="H30" i="52"/>
  <c r="I30" i="52"/>
  <c r="J30" i="52"/>
  <c r="K30" i="52"/>
  <c r="L30" i="52"/>
  <c r="M30" i="52"/>
  <c r="N30" i="52"/>
  <c r="O30" i="52"/>
  <c r="P30" i="52"/>
  <c r="Q30" i="52"/>
  <c r="C31" i="52"/>
  <c r="D31" i="52"/>
  <c r="E31" i="52"/>
  <c r="F31" i="52"/>
  <c r="G31" i="52"/>
  <c r="H31" i="52"/>
  <c r="I31" i="52"/>
  <c r="J31" i="52"/>
  <c r="K31" i="52"/>
  <c r="L31" i="52"/>
  <c r="M31" i="52"/>
  <c r="N31" i="52"/>
  <c r="O31" i="52"/>
  <c r="P31" i="52"/>
  <c r="Q31" i="52"/>
  <c r="C32" i="52"/>
  <c r="D32" i="52"/>
  <c r="E32" i="52"/>
  <c r="F32" i="52"/>
  <c r="G32" i="52"/>
  <c r="H32" i="52"/>
  <c r="I32" i="52"/>
  <c r="J32" i="52"/>
  <c r="K32" i="52"/>
  <c r="L32" i="52"/>
  <c r="M32" i="52"/>
  <c r="N32" i="52"/>
  <c r="O32" i="52"/>
  <c r="P32" i="52"/>
  <c r="Q32" i="52"/>
  <c r="C33" i="52"/>
  <c r="D33" i="52"/>
  <c r="E33" i="52"/>
  <c r="F33" i="52"/>
  <c r="G33" i="52"/>
  <c r="H33" i="52"/>
  <c r="I33" i="52"/>
  <c r="J33" i="52"/>
  <c r="K33" i="52"/>
  <c r="L33" i="52"/>
  <c r="M33" i="52"/>
  <c r="N33" i="52"/>
  <c r="O33" i="52"/>
  <c r="P33" i="52"/>
  <c r="Q33" i="52"/>
  <c r="C34" i="52"/>
  <c r="D34" i="52"/>
  <c r="E34" i="52"/>
  <c r="F34" i="52"/>
  <c r="G34" i="52"/>
  <c r="H34" i="52"/>
  <c r="I34" i="52"/>
  <c r="J34" i="52"/>
  <c r="K34" i="52"/>
  <c r="L34" i="52"/>
  <c r="M34" i="52"/>
  <c r="N34" i="52"/>
  <c r="O34" i="52"/>
  <c r="P34" i="52"/>
  <c r="Q34" i="52"/>
  <c r="C35" i="52"/>
  <c r="D35" i="52"/>
  <c r="E35" i="52"/>
  <c r="F35" i="52"/>
  <c r="G35" i="52"/>
  <c r="H35" i="52"/>
  <c r="I35" i="52"/>
  <c r="J35" i="52"/>
  <c r="K35" i="52"/>
  <c r="L35" i="52"/>
  <c r="M35" i="52"/>
  <c r="N35" i="52"/>
  <c r="O35" i="52"/>
  <c r="P35" i="52"/>
  <c r="Q35" i="52"/>
  <c r="C36" i="52"/>
  <c r="D36" i="52"/>
  <c r="E36" i="52"/>
  <c r="F36" i="52"/>
  <c r="G36" i="52"/>
  <c r="H36" i="52"/>
  <c r="I36" i="52"/>
  <c r="J36" i="52"/>
  <c r="K36" i="52"/>
  <c r="L36" i="52"/>
  <c r="M36" i="52"/>
  <c r="N36" i="52"/>
  <c r="O36" i="52"/>
  <c r="P36" i="52"/>
  <c r="Q36" i="52"/>
  <c r="C37" i="52"/>
  <c r="D37" i="52"/>
  <c r="E37" i="52"/>
  <c r="F37" i="52"/>
  <c r="G37" i="52"/>
  <c r="H37" i="52"/>
  <c r="I37" i="52"/>
  <c r="J37" i="52"/>
  <c r="K37" i="52"/>
  <c r="L37" i="52"/>
  <c r="M37" i="52"/>
  <c r="N37" i="52"/>
  <c r="O37" i="52"/>
  <c r="P37" i="52"/>
  <c r="Q37" i="52"/>
  <c r="C38" i="52"/>
  <c r="D38" i="52"/>
  <c r="E38" i="52"/>
  <c r="F38" i="52"/>
  <c r="G38" i="52"/>
  <c r="H38" i="52"/>
  <c r="I38" i="52"/>
  <c r="J38" i="52"/>
  <c r="K38" i="52"/>
  <c r="L38" i="52"/>
  <c r="M38" i="52"/>
  <c r="N38" i="52"/>
  <c r="O38" i="52"/>
  <c r="P38" i="52"/>
  <c r="Q38" i="52"/>
  <c r="C39" i="52"/>
  <c r="D39" i="52"/>
  <c r="E39" i="52"/>
  <c r="F39" i="52"/>
  <c r="G39" i="52"/>
  <c r="H39" i="52"/>
  <c r="I39" i="52"/>
  <c r="J39" i="52"/>
  <c r="K39" i="52"/>
  <c r="L39" i="52"/>
  <c r="M39" i="52"/>
  <c r="N39" i="52"/>
  <c r="O39" i="52"/>
  <c r="P39" i="52"/>
  <c r="Q39" i="52"/>
  <c r="C40" i="52"/>
  <c r="D40" i="52"/>
  <c r="E40" i="52"/>
  <c r="F40" i="52"/>
  <c r="G40" i="52"/>
  <c r="H40" i="52"/>
  <c r="I40" i="52"/>
  <c r="J40" i="52"/>
  <c r="K40" i="52"/>
  <c r="L40" i="52"/>
  <c r="M40" i="52"/>
  <c r="N40" i="52"/>
  <c r="O40" i="52"/>
  <c r="P40" i="52"/>
  <c r="Q40" i="52"/>
  <c r="C41" i="52"/>
  <c r="D41" i="52"/>
  <c r="E41" i="52"/>
  <c r="F41" i="52"/>
  <c r="G41" i="52"/>
  <c r="H41" i="52"/>
  <c r="I41" i="52"/>
  <c r="J41" i="52"/>
  <c r="K41" i="52"/>
  <c r="L41" i="52"/>
  <c r="M41" i="52"/>
  <c r="N41" i="52"/>
  <c r="O41" i="52"/>
  <c r="P41" i="52"/>
  <c r="Q41" i="52"/>
  <c r="C42" i="52"/>
  <c r="D42" i="52"/>
  <c r="E42" i="52"/>
  <c r="F42" i="52"/>
  <c r="G42" i="52"/>
  <c r="H42" i="52"/>
  <c r="I42" i="52"/>
  <c r="J42" i="52"/>
  <c r="K42" i="52"/>
  <c r="L42" i="52"/>
  <c r="M42" i="52"/>
  <c r="N42" i="52"/>
  <c r="O42" i="52"/>
  <c r="P42" i="52"/>
  <c r="Q42" i="52"/>
  <c r="C43" i="52"/>
  <c r="D43" i="52"/>
  <c r="E43" i="52"/>
  <c r="F43" i="52"/>
  <c r="G43" i="52"/>
  <c r="H43" i="52"/>
  <c r="I43" i="52"/>
  <c r="J43" i="52"/>
  <c r="K43" i="52"/>
  <c r="L43" i="52"/>
  <c r="M43" i="52"/>
  <c r="N43" i="52"/>
  <c r="O43" i="52"/>
  <c r="P43" i="52"/>
  <c r="Q43" i="52"/>
  <c r="C44" i="52"/>
  <c r="D44" i="52"/>
  <c r="E44" i="52"/>
  <c r="F44" i="52"/>
  <c r="G44" i="52"/>
  <c r="H44" i="52"/>
  <c r="I44" i="52"/>
  <c r="J44" i="52"/>
  <c r="K44" i="52"/>
  <c r="L44" i="52"/>
  <c r="M44" i="52"/>
  <c r="N44" i="52"/>
  <c r="O44" i="52"/>
  <c r="P44" i="52"/>
  <c r="Q44" i="52"/>
  <c r="C45" i="52"/>
  <c r="D45" i="52"/>
  <c r="E45" i="52"/>
  <c r="F45" i="52"/>
  <c r="G45" i="52"/>
  <c r="H45" i="52"/>
  <c r="I45" i="52"/>
  <c r="J45" i="52"/>
  <c r="K45" i="52"/>
  <c r="L45" i="52"/>
  <c r="M45" i="52"/>
  <c r="N45" i="52"/>
  <c r="O45" i="52"/>
  <c r="P45" i="52"/>
  <c r="Q45" i="52"/>
  <c r="C46" i="52"/>
  <c r="D46" i="52"/>
  <c r="E46" i="52"/>
  <c r="F46" i="52"/>
  <c r="G46" i="52"/>
  <c r="H46" i="52"/>
  <c r="I46" i="52"/>
  <c r="J46" i="52"/>
  <c r="K46" i="52"/>
  <c r="L46" i="52"/>
  <c r="M46" i="52"/>
  <c r="N46" i="52"/>
  <c r="O46" i="52"/>
  <c r="P46" i="52"/>
  <c r="Q46" i="52"/>
  <c r="C47" i="52"/>
  <c r="D47" i="52"/>
  <c r="E47" i="52"/>
  <c r="F47" i="52"/>
  <c r="G47" i="52"/>
  <c r="H47" i="52"/>
  <c r="I47" i="52"/>
  <c r="J47" i="52"/>
  <c r="K47" i="52"/>
  <c r="L47" i="52"/>
  <c r="M47" i="52"/>
  <c r="N47" i="52"/>
  <c r="O47" i="52"/>
  <c r="P47" i="52"/>
  <c r="Q47" i="52"/>
  <c r="C48" i="52"/>
  <c r="D48" i="52"/>
  <c r="E48" i="52"/>
  <c r="F48" i="52"/>
  <c r="G48" i="52"/>
  <c r="H48" i="52"/>
  <c r="I48" i="52"/>
  <c r="J48" i="52"/>
  <c r="K48" i="52"/>
  <c r="L48" i="52"/>
  <c r="M48" i="52"/>
  <c r="N48" i="52"/>
  <c r="O48" i="52"/>
  <c r="P48" i="52"/>
  <c r="Q48" i="52"/>
  <c r="C49" i="52"/>
  <c r="D49" i="52"/>
  <c r="E49" i="52"/>
  <c r="F49" i="52"/>
  <c r="G49" i="52"/>
  <c r="H49" i="52"/>
  <c r="I49" i="52"/>
  <c r="J49" i="52"/>
  <c r="K49" i="52"/>
  <c r="L49" i="52"/>
  <c r="M49" i="52"/>
  <c r="N49" i="52"/>
  <c r="O49" i="52"/>
  <c r="P49" i="52"/>
  <c r="Q49" i="52"/>
  <c r="C50" i="52"/>
  <c r="D50" i="52"/>
  <c r="E50" i="52"/>
  <c r="F50" i="52"/>
  <c r="G50" i="52"/>
  <c r="H50" i="52"/>
  <c r="I50" i="52"/>
  <c r="J50" i="52"/>
  <c r="K50" i="52"/>
  <c r="L50" i="52"/>
  <c r="M50" i="52"/>
  <c r="N50" i="52"/>
  <c r="O50" i="52"/>
  <c r="P50" i="52"/>
  <c r="Q50" i="52"/>
  <c r="C51" i="52"/>
  <c r="D51" i="52"/>
  <c r="E51" i="52"/>
  <c r="F51" i="52"/>
  <c r="G51" i="52"/>
  <c r="H51" i="52"/>
  <c r="I51" i="52"/>
  <c r="J51" i="52"/>
  <c r="K51" i="52"/>
  <c r="L51" i="52"/>
  <c r="M51" i="52"/>
  <c r="N51" i="52"/>
  <c r="O51" i="52"/>
  <c r="P51" i="52"/>
  <c r="Q51" i="52"/>
  <c r="C52" i="52"/>
  <c r="D52" i="52"/>
  <c r="E52" i="52"/>
  <c r="F52" i="52"/>
  <c r="G52" i="52"/>
  <c r="H52" i="52"/>
  <c r="I52" i="52"/>
  <c r="J52" i="52"/>
  <c r="K52" i="52"/>
  <c r="L52" i="52"/>
  <c r="M52" i="52"/>
  <c r="N52" i="52"/>
  <c r="O52" i="52"/>
  <c r="P52" i="52"/>
  <c r="Q52" i="52"/>
  <c r="C53" i="52"/>
  <c r="D53" i="52"/>
  <c r="E53" i="52"/>
  <c r="F53" i="52"/>
  <c r="G53" i="52"/>
  <c r="H53" i="52"/>
  <c r="I53" i="52"/>
  <c r="J53" i="52"/>
  <c r="K53" i="52"/>
  <c r="L53" i="52"/>
  <c r="M53" i="52"/>
  <c r="N53" i="52"/>
  <c r="O53" i="52"/>
  <c r="P53" i="52"/>
  <c r="Q53" i="52"/>
  <c r="C54" i="52"/>
  <c r="D54" i="52"/>
  <c r="E54" i="52"/>
  <c r="F54" i="52"/>
  <c r="G54" i="52"/>
  <c r="H54" i="52"/>
  <c r="I54" i="52"/>
  <c r="J54" i="52"/>
  <c r="K54" i="52"/>
  <c r="L54" i="52"/>
  <c r="M54" i="52"/>
  <c r="N54" i="52"/>
  <c r="O54" i="52"/>
  <c r="P54" i="52"/>
  <c r="Q54" i="52"/>
  <c r="C55" i="52"/>
  <c r="D55" i="52"/>
  <c r="E55" i="52"/>
  <c r="F55" i="52"/>
  <c r="G55" i="52"/>
  <c r="H55" i="52"/>
  <c r="I55" i="52"/>
  <c r="J55" i="52"/>
  <c r="K55" i="52"/>
  <c r="L55" i="52"/>
  <c r="M55" i="52"/>
  <c r="N55" i="52"/>
  <c r="O55" i="52"/>
  <c r="P55" i="52"/>
  <c r="Q55" i="52"/>
  <c r="C56" i="52"/>
  <c r="D56" i="52"/>
  <c r="E56" i="52"/>
  <c r="F56" i="52"/>
  <c r="G56" i="52"/>
  <c r="H56" i="52"/>
  <c r="I56" i="52"/>
  <c r="J56" i="52"/>
  <c r="K56" i="52"/>
  <c r="L56" i="52"/>
  <c r="M56" i="52"/>
  <c r="N56" i="52"/>
  <c r="O56" i="52"/>
  <c r="P56" i="52"/>
  <c r="Q56" i="52"/>
  <c r="C57" i="52"/>
  <c r="D57" i="52"/>
  <c r="E57" i="52"/>
  <c r="F57" i="52"/>
  <c r="G57" i="52"/>
  <c r="H57" i="52"/>
  <c r="I57" i="52"/>
  <c r="J57" i="52"/>
  <c r="K57" i="52"/>
  <c r="L57" i="52"/>
  <c r="M57" i="52"/>
  <c r="N57" i="52"/>
  <c r="O57" i="52"/>
  <c r="P57" i="52"/>
  <c r="Q57" i="52"/>
  <c r="C58" i="52"/>
  <c r="D58" i="52"/>
  <c r="E58" i="52"/>
  <c r="F58" i="52"/>
  <c r="G58" i="52"/>
  <c r="H58" i="52"/>
  <c r="I58" i="52"/>
  <c r="J58" i="52"/>
  <c r="K58" i="52"/>
  <c r="L58" i="52"/>
  <c r="M58" i="52"/>
  <c r="N58" i="52"/>
  <c r="O58" i="52"/>
  <c r="P58" i="52"/>
  <c r="Q58" i="52"/>
  <c r="C59" i="52"/>
  <c r="D59" i="52"/>
  <c r="E59" i="52"/>
  <c r="F59" i="52"/>
  <c r="G59" i="52"/>
  <c r="H59" i="52"/>
  <c r="I59" i="52"/>
  <c r="J59" i="52"/>
  <c r="K59" i="52"/>
  <c r="L59" i="52"/>
  <c r="M59" i="52"/>
  <c r="N59" i="52"/>
  <c r="O59" i="52"/>
  <c r="P59" i="52"/>
  <c r="Q59" i="52"/>
  <c r="C60" i="52"/>
  <c r="D60" i="52"/>
  <c r="E60" i="52"/>
  <c r="F60" i="52"/>
  <c r="G60" i="52"/>
  <c r="H60" i="52"/>
  <c r="I60" i="52"/>
  <c r="J60" i="52"/>
  <c r="K60" i="52"/>
  <c r="L60" i="52"/>
  <c r="M60" i="52"/>
  <c r="N60" i="52"/>
  <c r="O60" i="52"/>
  <c r="P60" i="52"/>
  <c r="Q60" i="52"/>
  <c r="C61" i="52"/>
  <c r="D61" i="52"/>
  <c r="E61" i="52"/>
  <c r="F61" i="52"/>
  <c r="G61" i="52"/>
  <c r="H61" i="52"/>
  <c r="I61" i="52"/>
  <c r="J61" i="52"/>
  <c r="K61" i="52"/>
  <c r="L61" i="52"/>
  <c r="M61" i="52"/>
  <c r="N61" i="52"/>
  <c r="O61" i="52"/>
  <c r="P61" i="52"/>
  <c r="Q61" i="52"/>
  <c r="C62" i="52"/>
  <c r="D62" i="52"/>
  <c r="E62" i="52"/>
  <c r="F62" i="52"/>
  <c r="G62" i="52"/>
  <c r="H62" i="52"/>
  <c r="I62" i="52"/>
  <c r="J62" i="52"/>
  <c r="K62" i="52"/>
  <c r="L62" i="52"/>
  <c r="M62" i="52"/>
  <c r="N62" i="52"/>
  <c r="O62" i="52"/>
  <c r="P62" i="52"/>
  <c r="Q62" i="52"/>
  <c r="C63" i="52"/>
  <c r="D63" i="52"/>
  <c r="E63" i="52"/>
  <c r="F63" i="52"/>
  <c r="G63" i="52"/>
  <c r="H63" i="52"/>
  <c r="I63" i="52"/>
  <c r="J63" i="52"/>
  <c r="K63" i="52"/>
  <c r="L63" i="52"/>
  <c r="M63" i="52"/>
  <c r="N63" i="52"/>
  <c r="O63" i="52"/>
  <c r="P63" i="52"/>
  <c r="Q63" i="52"/>
  <c r="C64" i="52"/>
  <c r="D64" i="52"/>
  <c r="E64" i="52"/>
  <c r="F64" i="52"/>
  <c r="G64" i="52"/>
  <c r="H64" i="52"/>
  <c r="I64" i="52"/>
  <c r="J64" i="52"/>
  <c r="K64" i="52"/>
  <c r="L64" i="52"/>
  <c r="M64" i="52"/>
  <c r="N64" i="52"/>
  <c r="O64" i="52"/>
  <c r="P64" i="52"/>
  <c r="Q64" i="52"/>
  <c r="C65" i="52"/>
  <c r="C9" i="52" s="1"/>
  <c r="D65" i="52"/>
  <c r="P16" i="1" s="1"/>
  <c r="E65" i="52"/>
  <c r="E9" i="52" s="1"/>
  <c r="F65" i="52"/>
  <c r="F9" i="52" s="1"/>
  <c r="G65" i="52"/>
  <c r="G9" i="52" s="1"/>
  <c r="H65" i="52"/>
  <c r="H9" i="52" s="1"/>
  <c r="I65" i="52"/>
  <c r="I9" i="52" s="1"/>
  <c r="J65" i="52"/>
  <c r="P22" i="1" s="1"/>
  <c r="K65" i="52"/>
  <c r="P23" i="1" s="1"/>
  <c r="L65" i="52"/>
  <c r="L9" i="52" s="1"/>
  <c r="M65" i="52"/>
  <c r="M9" i="52" s="1"/>
  <c r="N65" i="52"/>
  <c r="N9" i="52" s="1"/>
  <c r="O65" i="52"/>
  <c r="O9" i="52" s="1"/>
  <c r="P65" i="52"/>
  <c r="P9" i="52" s="1"/>
  <c r="Q65" i="52"/>
  <c r="Q9" i="52" s="1"/>
  <c r="C13" i="52"/>
  <c r="D13" i="52"/>
  <c r="E13" i="52"/>
  <c r="F13" i="52"/>
  <c r="G13" i="52"/>
  <c r="H13" i="52"/>
  <c r="I13" i="52"/>
  <c r="J13" i="52"/>
  <c r="K13" i="52"/>
  <c r="L13" i="52"/>
  <c r="M13" i="52"/>
  <c r="N13" i="52"/>
  <c r="O13" i="52"/>
  <c r="P13" i="52"/>
  <c r="Q13" i="52"/>
  <c r="C14" i="52"/>
  <c r="D14" i="52"/>
  <c r="E14" i="52"/>
  <c r="F14" i="52"/>
  <c r="G14" i="52"/>
  <c r="H14" i="52"/>
  <c r="I14" i="52"/>
  <c r="J14" i="52"/>
  <c r="K14" i="52"/>
  <c r="L14" i="52"/>
  <c r="M14" i="52"/>
  <c r="N14" i="52"/>
  <c r="O14" i="52"/>
  <c r="P14" i="52"/>
  <c r="Q14" i="52"/>
  <c r="C15" i="52"/>
  <c r="D15" i="52"/>
  <c r="E15" i="52"/>
  <c r="F15" i="52"/>
  <c r="G15" i="52"/>
  <c r="H15" i="52"/>
  <c r="I15" i="52"/>
  <c r="J15" i="52"/>
  <c r="K15" i="52"/>
  <c r="L15" i="52"/>
  <c r="M15" i="52"/>
  <c r="N15" i="52"/>
  <c r="O15" i="52"/>
  <c r="P15" i="52"/>
  <c r="Q15" i="52"/>
  <c r="C16" i="52"/>
  <c r="D16" i="52"/>
  <c r="E16" i="52"/>
  <c r="F16" i="52"/>
  <c r="G16" i="52"/>
  <c r="H16" i="52"/>
  <c r="I16" i="52"/>
  <c r="J16" i="52"/>
  <c r="K16" i="52"/>
  <c r="L16" i="52"/>
  <c r="M16" i="52"/>
  <c r="N16" i="52"/>
  <c r="O16" i="52"/>
  <c r="P16" i="52"/>
  <c r="Q16" i="52"/>
  <c r="C17" i="52"/>
  <c r="D17" i="52"/>
  <c r="E17" i="52"/>
  <c r="F17" i="52"/>
  <c r="G17" i="52"/>
  <c r="H17" i="52"/>
  <c r="I17" i="52"/>
  <c r="J17" i="52"/>
  <c r="K17" i="52"/>
  <c r="L17" i="52"/>
  <c r="M17" i="52"/>
  <c r="N17" i="52"/>
  <c r="O17" i="52"/>
  <c r="P17" i="52"/>
  <c r="Q17" i="52"/>
  <c r="C18" i="52"/>
  <c r="D18" i="52"/>
  <c r="E18" i="52"/>
  <c r="F18" i="52"/>
  <c r="G18" i="52"/>
  <c r="H18" i="52"/>
  <c r="I18" i="52"/>
  <c r="J18" i="52"/>
  <c r="K18" i="52"/>
  <c r="L18" i="52"/>
  <c r="M18" i="52"/>
  <c r="N18" i="52"/>
  <c r="O18" i="52"/>
  <c r="P18" i="52"/>
  <c r="Q18" i="52"/>
  <c r="C19" i="52"/>
  <c r="D19" i="52"/>
  <c r="E19" i="52"/>
  <c r="F19" i="52"/>
  <c r="G19" i="52"/>
  <c r="H19" i="52"/>
  <c r="I19" i="52"/>
  <c r="J19" i="52"/>
  <c r="K19" i="52"/>
  <c r="L19" i="52"/>
  <c r="M19" i="52"/>
  <c r="N19" i="52"/>
  <c r="O19" i="52"/>
  <c r="P19" i="52"/>
  <c r="Q19" i="52"/>
  <c r="C20" i="52"/>
  <c r="D20" i="52"/>
  <c r="E20" i="52"/>
  <c r="F20" i="52"/>
  <c r="G20" i="52"/>
  <c r="H20" i="52"/>
  <c r="I20" i="52"/>
  <c r="J20" i="52"/>
  <c r="K20" i="52"/>
  <c r="L20" i="52"/>
  <c r="M20" i="52"/>
  <c r="N20" i="52"/>
  <c r="O20" i="52"/>
  <c r="P20" i="52"/>
  <c r="Q20" i="52"/>
  <c r="G12" i="52"/>
  <c r="F12" i="52"/>
  <c r="Q12" i="52"/>
  <c r="P12" i="52"/>
  <c r="O12" i="52"/>
  <c r="N12" i="52"/>
  <c r="M12" i="52"/>
  <c r="L12" i="52"/>
  <c r="K12" i="52"/>
  <c r="J12" i="52"/>
  <c r="I12" i="52"/>
  <c r="H12" i="52"/>
  <c r="E12" i="52"/>
  <c r="D12" i="52"/>
  <c r="C12" i="52"/>
  <c r="K9" i="52"/>
  <c r="D9" i="52"/>
  <c r="V3" i="52"/>
  <c r="V2" i="52"/>
  <c r="P24" i="1" l="1"/>
  <c r="P26" i="1"/>
  <c r="P25" i="1"/>
  <c r="P19" i="1"/>
  <c r="P29" i="1"/>
  <c r="P28" i="1"/>
  <c r="P27" i="1"/>
  <c r="J9" i="52"/>
  <c r="P20" i="1"/>
  <c r="P21" i="1"/>
  <c r="P17" i="1"/>
  <c r="P18" i="1"/>
  <c r="P15" i="1"/>
  <c r="M7" i="52"/>
  <c r="F4" i="52"/>
  <c r="E4" i="52"/>
  <c r="J7" i="52"/>
  <c r="D7" i="52"/>
  <c r="O7" i="52"/>
  <c r="Q7" i="52"/>
  <c r="N7" i="52"/>
  <c r="N5" i="52"/>
  <c r="N6" i="52" s="1"/>
  <c r="P4" i="52"/>
  <c r="Q8" i="52"/>
  <c r="Q10" i="52" s="1"/>
  <c r="O5" i="52"/>
  <c r="O6" i="52" s="1"/>
  <c r="J8" i="52"/>
  <c r="J10" i="52" s="1"/>
  <c r="D5" i="52"/>
  <c r="D6" i="52" s="1"/>
  <c r="K8" i="52"/>
  <c r="K10" i="52" s="1"/>
  <c r="H3" i="52"/>
  <c r="L7" i="52"/>
  <c r="L8" i="52"/>
  <c r="L10" i="52" s="1"/>
  <c r="M8" i="52"/>
  <c r="M10" i="52" s="1"/>
  <c r="K5" i="52"/>
  <c r="K6" i="52" s="1"/>
  <c r="Q5" i="52"/>
  <c r="Q6" i="52" s="1"/>
  <c r="M5" i="52"/>
  <c r="M6" i="52" s="1"/>
  <c r="L3" i="52"/>
  <c r="N4" i="52"/>
  <c r="E5" i="52"/>
  <c r="E6" i="52" s="1"/>
  <c r="D3" i="52"/>
  <c r="O3" i="52"/>
  <c r="C4" i="52"/>
  <c r="G4" i="52"/>
  <c r="F3" i="52"/>
  <c r="P3" i="52"/>
  <c r="I4" i="52"/>
  <c r="H5" i="52"/>
  <c r="H6" i="52" s="1"/>
  <c r="J4" i="52"/>
  <c r="K7" i="52"/>
  <c r="I8" i="52"/>
  <c r="I10" i="52" s="1"/>
  <c r="C3" i="52"/>
  <c r="K4" i="52"/>
  <c r="Q4" i="52"/>
  <c r="I5" i="52"/>
  <c r="I6" i="52" s="1"/>
  <c r="G3" i="52"/>
  <c r="D4" i="52"/>
  <c r="O4" i="52"/>
  <c r="C5" i="52"/>
  <c r="C6" i="52" s="1"/>
  <c r="H8" i="52"/>
  <c r="H10" i="52" s="1"/>
  <c r="J3" i="52"/>
  <c r="I3" i="52"/>
  <c r="H4" i="52"/>
  <c r="K3" i="52"/>
  <c r="F5" i="52"/>
  <c r="F6" i="52" s="1"/>
  <c r="Q3" i="52"/>
  <c r="P5" i="52"/>
  <c r="P6" i="52" s="1"/>
  <c r="G5" i="52"/>
  <c r="G6" i="52" s="1"/>
  <c r="M3" i="52"/>
  <c r="C8" i="52"/>
  <c r="C10" i="52" s="1"/>
  <c r="E7" i="52"/>
  <c r="J5" i="52"/>
  <c r="J6" i="52" s="1"/>
  <c r="F7" i="52"/>
  <c r="P7" i="52"/>
  <c r="D8" i="52"/>
  <c r="D10" i="52" s="1"/>
  <c r="O8" i="52"/>
  <c r="O10" i="52" s="1"/>
  <c r="L4" i="52"/>
  <c r="N8" i="52"/>
  <c r="N10" i="52" s="1"/>
  <c r="E8" i="52"/>
  <c r="E10" i="52" s="1"/>
  <c r="E3" i="52"/>
  <c r="L5" i="52"/>
  <c r="L6" i="52" s="1"/>
  <c r="H7" i="52"/>
  <c r="F8" i="52"/>
  <c r="F10" i="52" s="1"/>
  <c r="P8" i="52"/>
  <c r="P10" i="52" s="1"/>
  <c r="N3" i="52"/>
  <c r="M4" i="52"/>
  <c r="G7" i="52"/>
  <c r="I7" i="52"/>
  <c r="G8" i="52"/>
  <c r="G10" i="52" s="1"/>
  <c r="C112" i="51" l="1"/>
  <c r="C111" i="51"/>
  <c r="C110" i="51"/>
  <c r="C109" i="51"/>
  <c r="C108" i="51"/>
  <c r="C107" i="51"/>
  <c r="C106" i="51"/>
  <c r="C105" i="51"/>
  <c r="C104" i="51"/>
  <c r="C103" i="51"/>
  <c r="C102" i="51"/>
  <c r="C101" i="51"/>
  <c r="C100" i="51"/>
  <c r="C99" i="51"/>
  <c r="C98" i="51"/>
  <c r="C97" i="51"/>
  <c r="C96" i="51"/>
  <c r="C95" i="51"/>
  <c r="C94" i="51"/>
  <c r="C93" i="51"/>
  <c r="C92" i="51"/>
  <c r="C91" i="51"/>
  <c r="C90" i="51"/>
  <c r="C89" i="51"/>
  <c r="C88" i="51"/>
  <c r="C87" i="51"/>
  <c r="C86" i="51"/>
  <c r="C85" i="51"/>
  <c r="C84" i="51"/>
  <c r="C83" i="51"/>
  <c r="C82" i="51"/>
  <c r="C81" i="51"/>
  <c r="C80" i="51"/>
  <c r="C79" i="51"/>
  <c r="C78" i="51"/>
  <c r="C77" i="51"/>
  <c r="C76" i="51"/>
  <c r="C75" i="51"/>
  <c r="C74" i="51"/>
  <c r="C73" i="51"/>
  <c r="C72" i="51"/>
  <c r="C71" i="51"/>
  <c r="C70" i="51"/>
  <c r="C69" i="51"/>
  <c r="C68" i="51"/>
  <c r="C67" i="51"/>
  <c r="C66" i="51"/>
  <c r="C65" i="51"/>
  <c r="C64" i="51"/>
  <c r="C63" i="51"/>
  <c r="C62" i="51"/>
  <c r="C61" i="51"/>
  <c r="C60" i="51"/>
  <c r="C59" i="51"/>
  <c r="C58" i="51"/>
  <c r="C57" i="51"/>
  <c r="C56" i="51"/>
  <c r="C55" i="51"/>
  <c r="C54" i="51"/>
  <c r="C53" i="51"/>
  <c r="C52" i="51"/>
  <c r="C51" i="51"/>
  <c r="C50" i="51"/>
  <c r="C49" i="51"/>
  <c r="C48" i="51"/>
  <c r="C47" i="51"/>
  <c r="C46" i="51"/>
  <c r="C45" i="51"/>
  <c r="C44" i="51"/>
  <c r="C43" i="51"/>
  <c r="C42" i="51"/>
  <c r="C41" i="51"/>
  <c r="C40" i="51"/>
  <c r="C39" i="51"/>
  <c r="C38" i="51"/>
  <c r="C37" i="51"/>
  <c r="C36" i="51"/>
  <c r="C35" i="51"/>
  <c r="C34" i="51"/>
  <c r="C33" i="51"/>
  <c r="C32" i="51"/>
  <c r="C31" i="51"/>
  <c r="C30" i="51"/>
  <c r="C29" i="51"/>
  <c r="C28" i="51"/>
  <c r="C27" i="51"/>
  <c r="C26" i="51"/>
  <c r="C25" i="51"/>
  <c r="C24" i="51"/>
  <c r="C23" i="51"/>
  <c r="C22" i="51"/>
  <c r="C21" i="51"/>
  <c r="C20" i="51"/>
  <c r="C19" i="51"/>
  <c r="C18" i="51"/>
  <c r="C17" i="51"/>
  <c r="C16" i="51"/>
  <c r="C15" i="51"/>
  <c r="C14" i="51"/>
  <c r="C13" i="51"/>
  <c r="C12" i="51"/>
  <c r="C11" i="51"/>
  <c r="C10" i="51"/>
  <c r="C9" i="51"/>
  <c r="C8" i="51"/>
  <c r="C7" i="51"/>
  <c r="J2" i="51"/>
  <c r="J2" i="50"/>
  <c r="C112" i="49"/>
  <c r="C111" i="49"/>
  <c r="C110" i="49"/>
  <c r="C109" i="49"/>
  <c r="C108" i="49"/>
  <c r="C107" i="49"/>
  <c r="C106" i="49"/>
  <c r="C105" i="49"/>
  <c r="C104" i="49"/>
  <c r="C103" i="49"/>
  <c r="C102" i="49"/>
  <c r="C101" i="49"/>
  <c r="C100" i="49"/>
  <c r="C99" i="49"/>
  <c r="C98" i="49"/>
  <c r="C97" i="49"/>
  <c r="C96" i="49"/>
  <c r="C95" i="49"/>
  <c r="C94" i="49"/>
  <c r="C93" i="49"/>
  <c r="C92" i="49"/>
  <c r="C91" i="49"/>
  <c r="C90" i="49"/>
  <c r="C89" i="49"/>
  <c r="C88" i="49"/>
  <c r="C87" i="49"/>
  <c r="C86" i="49"/>
  <c r="C85" i="49"/>
  <c r="C84" i="49"/>
  <c r="C83" i="49"/>
  <c r="C82" i="49"/>
  <c r="C81" i="49"/>
  <c r="C80" i="49"/>
  <c r="C79" i="49"/>
  <c r="C78" i="49"/>
  <c r="C77" i="49"/>
  <c r="C76" i="49"/>
  <c r="C75" i="49"/>
  <c r="C74" i="49"/>
  <c r="C73" i="49"/>
  <c r="C72" i="49"/>
  <c r="C71" i="49"/>
  <c r="C70" i="49"/>
  <c r="C69" i="49"/>
  <c r="C68" i="49"/>
  <c r="C67" i="49"/>
  <c r="C66" i="49"/>
  <c r="C65" i="49"/>
  <c r="C64" i="49"/>
  <c r="C63" i="49"/>
  <c r="C62" i="49"/>
  <c r="C61" i="49"/>
  <c r="C60" i="49"/>
  <c r="C59" i="49"/>
  <c r="C58" i="49"/>
  <c r="C57" i="49"/>
  <c r="C56" i="49"/>
  <c r="C55" i="49"/>
  <c r="C54" i="49"/>
  <c r="C53" i="49"/>
  <c r="C52" i="49"/>
  <c r="C51" i="49"/>
  <c r="C50" i="49"/>
  <c r="C49" i="49"/>
  <c r="C48" i="49"/>
  <c r="C47" i="49"/>
  <c r="C46" i="49"/>
  <c r="C45" i="49"/>
  <c r="C44" i="49"/>
  <c r="C43" i="49"/>
  <c r="C42" i="49"/>
  <c r="C41" i="49"/>
  <c r="C40" i="49"/>
  <c r="C39" i="49"/>
  <c r="C38" i="49"/>
  <c r="C37" i="49"/>
  <c r="C36" i="49"/>
  <c r="C35" i="49"/>
  <c r="C34" i="49"/>
  <c r="C33" i="49"/>
  <c r="C32" i="49"/>
  <c r="C31" i="49"/>
  <c r="C30" i="49"/>
  <c r="C29" i="49"/>
  <c r="C28" i="49"/>
  <c r="C27" i="49"/>
  <c r="C26" i="49"/>
  <c r="C25" i="49"/>
  <c r="C24" i="49"/>
  <c r="C23" i="49"/>
  <c r="C22" i="49"/>
  <c r="C21" i="49"/>
  <c r="C20" i="49"/>
  <c r="C19" i="49"/>
  <c r="C18" i="49"/>
  <c r="C17" i="49"/>
  <c r="C16" i="49"/>
  <c r="C15" i="49"/>
  <c r="C14" i="49"/>
  <c r="C13" i="49"/>
  <c r="C12" i="49"/>
  <c r="C11" i="49"/>
  <c r="C10" i="49"/>
  <c r="C9" i="49"/>
  <c r="C8" i="49"/>
  <c r="C7" i="49"/>
  <c r="J2" i="49"/>
  <c r="C112" i="48"/>
  <c r="C111" i="48"/>
  <c r="C110" i="48"/>
  <c r="C109" i="48"/>
  <c r="C108" i="48"/>
  <c r="C107" i="48"/>
  <c r="C106" i="48"/>
  <c r="C105" i="48"/>
  <c r="C104" i="48"/>
  <c r="C103" i="48"/>
  <c r="C102" i="48"/>
  <c r="C101" i="48"/>
  <c r="C100" i="48"/>
  <c r="C99" i="48"/>
  <c r="C98" i="48"/>
  <c r="C97" i="48"/>
  <c r="C96" i="48"/>
  <c r="C95" i="48"/>
  <c r="C94" i="48"/>
  <c r="C93" i="48"/>
  <c r="C92" i="48"/>
  <c r="C91" i="48"/>
  <c r="C90" i="48"/>
  <c r="C89" i="48"/>
  <c r="C88" i="48"/>
  <c r="C87" i="48"/>
  <c r="C86" i="48"/>
  <c r="C85" i="48"/>
  <c r="C84" i="48"/>
  <c r="C83" i="48"/>
  <c r="C82" i="48"/>
  <c r="C81" i="48"/>
  <c r="C80" i="48"/>
  <c r="C79" i="48"/>
  <c r="C78" i="48"/>
  <c r="C77" i="48"/>
  <c r="C76" i="48"/>
  <c r="C75" i="48"/>
  <c r="C74" i="48"/>
  <c r="C73" i="48"/>
  <c r="C72" i="48"/>
  <c r="C71" i="48"/>
  <c r="C70" i="48"/>
  <c r="C69" i="48"/>
  <c r="C68" i="48"/>
  <c r="C67" i="48"/>
  <c r="C66" i="48"/>
  <c r="C65" i="48"/>
  <c r="C64" i="48"/>
  <c r="C63" i="48"/>
  <c r="C62" i="48"/>
  <c r="C61" i="48"/>
  <c r="C60" i="48"/>
  <c r="C59" i="48"/>
  <c r="C58" i="48"/>
  <c r="C57" i="48"/>
  <c r="C56" i="48"/>
  <c r="C55" i="48"/>
  <c r="C54" i="48"/>
  <c r="C53" i="48"/>
  <c r="C52" i="48"/>
  <c r="C51" i="48"/>
  <c r="C50" i="48"/>
  <c r="C49" i="48"/>
  <c r="C48" i="48"/>
  <c r="C47" i="48"/>
  <c r="C46" i="48"/>
  <c r="C45" i="48"/>
  <c r="C44" i="48"/>
  <c r="C43" i="48"/>
  <c r="C42" i="48"/>
  <c r="C41" i="48"/>
  <c r="C40" i="48"/>
  <c r="C39" i="48"/>
  <c r="C38" i="48"/>
  <c r="C37" i="48"/>
  <c r="C36" i="48"/>
  <c r="C35" i="48"/>
  <c r="C34" i="48"/>
  <c r="C33" i="48"/>
  <c r="C32" i="48"/>
  <c r="C31" i="48"/>
  <c r="C30" i="48"/>
  <c r="C29" i="48"/>
  <c r="C28" i="48"/>
  <c r="C27" i="48"/>
  <c r="C26" i="48"/>
  <c r="C25" i="48"/>
  <c r="C24" i="48"/>
  <c r="C23" i="48"/>
  <c r="C22" i="48"/>
  <c r="C21" i="48"/>
  <c r="C20" i="48"/>
  <c r="C19" i="48"/>
  <c r="C18" i="48"/>
  <c r="C17" i="48"/>
  <c r="C16" i="48"/>
  <c r="C15" i="48"/>
  <c r="C14" i="48"/>
  <c r="C13" i="48"/>
  <c r="C12" i="48"/>
  <c r="C11" i="48"/>
  <c r="C10" i="48"/>
  <c r="C9" i="48"/>
  <c r="C8" i="48"/>
  <c r="C7" i="48"/>
  <c r="J2" i="48"/>
  <c r="C112" i="47"/>
  <c r="C111" i="47"/>
  <c r="C110" i="47"/>
  <c r="C109" i="47"/>
  <c r="C108" i="47"/>
  <c r="C107" i="47"/>
  <c r="C106" i="47"/>
  <c r="C105" i="47"/>
  <c r="C104" i="47"/>
  <c r="C103" i="47"/>
  <c r="C102" i="47"/>
  <c r="C101" i="47"/>
  <c r="C100" i="47"/>
  <c r="C99" i="47"/>
  <c r="C98" i="47"/>
  <c r="C97" i="47"/>
  <c r="C96" i="47"/>
  <c r="C95" i="47"/>
  <c r="C94" i="47"/>
  <c r="C93" i="47"/>
  <c r="C92" i="47"/>
  <c r="C91" i="47"/>
  <c r="C90" i="47"/>
  <c r="C89" i="47"/>
  <c r="C88" i="47"/>
  <c r="C87" i="47"/>
  <c r="C86" i="47"/>
  <c r="C85" i="47"/>
  <c r="C84" i="47"/>
  <c r="C83" i="47"/>
  <c r="C82" i="47"/>
  <c r="C81" i="47"/>
  <c r="C80" i="47"/>
  <c r="C79" i="47"/>
  <c r="C78" i="47"/>
  <c r="C77" i="47"/>
  <c r="C76" i="47"/>
  <c r="C75" i="47"/>
  <c r="C74" i="47"/>
  <c r="C73" i="47"/>
  <c r="C72" i="47"/>
  <c r="C71" i="47"/>
  <c r="C70" i="47"/>
  <c r="C69" i="47"/>
  <c r="C68" i="47"/>
  <c r="C67" i="47"/>
  <c r="C66" i="47"/>
  <c r="C65" i="47"/>
  <c r="C64" i="47"/>
  <c r="C63" i="47"/>
  <c r="C62" i="47"/>
  <c r="C61" i="47"/>
  <c r="C60" i="47"/>
  <c r="C59" i="47"/>
  <c r="C58" i="47"/>
  <c r="C57" i="47"/>
  <c r="C56" i="47"/>
  <c r="C55" i="47"/>
  <c r="C54" i="47"/>
  <c r="C53" i="47"/>
  <c r="C52" i="47"/>
  <c r="C51" i="47"/>
  <c r="C50" i="47"/>
  <c r="C49" i="47"/>
  <c r="C48" i="47"/>
  <c r="C47" i="47"/>
  <c r="C46" i="47"/>
  <c r="C45" i="47"/>
  <c r="C44" i="47"/>
  <c r="C43" i="47"/>
  <c r="C42" i="47"/>
  <c r="C41" i="47"/>
  <c r="C40" i="47"/>
  <c r="C39" i="47"/>
  <c r="C38" i="47"/>
  <c r="C37" i="47"/>
  <c r="C36" i="47"/>
  <c r="C35" i="47"/>
  <c r="C34" i="47"/>
  <c r="C33" i="47"/>
  <c r="C32" i="47"/>
  <c r="C31" i="47"/>
  <c r="C30" i="47"/>
  <c r="C29" i="47"/>
  <c r="C28" i="47"/>
  <c r="C27" i="47"/>
  <c r="C26" i="47"/>
  <c r="C25" i="47"/>
  <c r="C24" i="47"/>
  <c r="C23" i="47"/>
  <c r="C22" i="47"/>
  <c r="C21" i="47"/>
  <c r="C20" i="47"/>
  <c r="C19" i="47"/>
  <c r="C18" i="47"/>
  <c r="C17" i="47"/>
  <c r="C16" i="47"/>
  <c r="C15" i="47"/>
  <c r="C14" i="47"/>
  <c r="C13" i="47"/>
  <c r="C12" i="47"/>
  <c r="C11" i="47"/>
  <c r="C10" i="47"/>
  <c r="C9" i="47"/>
  <c r="C8" i="47"/>
  <c r="C7" i="47"/>
  <c r="J2" i="47"/>
  <c r="C112" i="46"/>
  <c r="C111" i="46"/>
  <c r="C110" i="46"/>
  <c r="C109" i="46"/>
  <c r="C108" i="46"/>
  <c r="C107" i="46"/>
  <c r="C106" i="46"/>
  <c r="C105" i="46"/>
  <c r="C104" i="46"/>
  <c r="C103" i="46"/>
  <c r="C102" i="46"/>
  <c r="C101" i="46"/>
  <c r="C100" i="46"/>
  <c r="C99" i="46"/>
  <c r="C98" i="46"/>
  <c r="C97" i="46"/>
  <c r="C96" i="46"/>
  <c r="C95" i="46"/>
  <c r="C94" i="46"/>
  <c r="C93" i="46"/>
  <c r="C92" i="46"/>
  <c r="C91" i="46"/>
  <c r="C90" i="46"/>
  <c r="C89" i="46"/>
  <c r="C88" i="46"/>
  <c r="C87" i="46"/>
  <c r="C86" i="46"/>
  <c r="C85" i="46"/>
  <c r="C84" i="46"/>
  <c r="C83" i="46"/>
  <c r="C82" i="46"/>
  <c r="C81" i="46"/>
  <c r="C80" i="46"/>
  <c r="C79" i="46"/>
  <c r="C78" i="46"/>
  <c r="C77" i="46"/>
  <c r="C76" i="46"/>
  <c r="C75" i="46"/>
  <c r="C74" i="46"/>
  <c r="C73" i="46"/>
  <c r="C72" i="46"/>
  <c r="C71" i="46"/>
  <c r="C70" i="46"/>
  <c r="C69" i="46"/>
  <c r="C68" i="46"/>
  <c r="C67" i="46"/>
  <c r="C66" i="46"/>
  <c r="C65" i="46"/>
  <c r="C64" i="46"/>
  <c r="C63" i="46"/>
  <c r="C62" i="46"/>
  <c r="C61" i="46"/>
  <c r="C60" i="46"/>
  <c r="C59" i="46"/>
  <c r="C58" i="46"/>
  <c r="C57" i="46"/>
  <c r="C56" i="46"/>
  <c r="C55" i="46"/>
  <c r="C54" i="46"/>
  <c r="C53" i="46"/>
  <c r="C52" i="46"/>
  <c r="C51" i="46"/>
  <c r="C50" i="46"/>
  <c r="C49" i="46"/>
  <c r="C48" i="46"/>
  <c r="C47" i="46"/>
  <c r="C46" i="46"/>
  <c r="C45" i="46"/>
  <c r="C44" i="46"/>
  <c r="C43" i="46"/>
  <c r="C42" i="46"/>
  <c r="C41" i="46"/>
  <c r="C40" i="46"/>
  <c r="C39" i="46"/>
  <c r="C38" i="46"/>
  <c r="C37" i="46"/>
  <c r="C36" i="46"/>
  <c r="C35" i="46"/>
  <c r="C34" i="46"/>
  <c r="C33" i="46"/>
  <c r="C32" i="46"/>
  <c r="C31" i="46"/>
  <c r="C30" i="46"/>
  <c r="C29" i="46"/>
  <c r="C28" i="46"/>
  <c r="C27" i="46"/>
  <c r="C26" i="46"/>
  <c r="C25" i="46"/>
  <c r="C24" i="46"/>
  <c r="C23" i="46"/>
  <c r="C22" i="46"/>
  <c r="C21" i="46"/>
  <c r="C20" i="46"/>
  <c r="C19" i="46"/>
  <c r="C18" i="46"/>
  <c r="C17" i="46"/>
  <c r="C16" i="46"/>
  <c r="C15" i="46"/>
  <c r="C14" i="46"/>
  <c r="C13" i="46"/>
  <c r="C12" i="46"/>
  <c r="C11" i="46"/>
  <c r="C10" i="46"/>
  <c r="C9" i="46"/>
  <c r="C8" i="46"/>
  <c r="C7" i="46"/>
  <c r="J2" i="46"/>
  <c r="C112" i="45"/>
  <c r="C111" i="45"/>
  <c r="C110" i="45"/>
  <c r="C109" i="45"/>
  <c r="C108" i="45"/>
  <c r="C107" i="45"/>
  <c r="C106" i="45"/>
  <c r="C105" i="45"/>
  <c r="C104" i="45"/>
  <c r="C103" i="45"/>
  <c r="C102" i="45"/>
  <c r="C101" i="45"/>
  <c r="C100" i="45"/>
  <c r="C99" i="45"/>
  <c r="C98" i="45"/>
  <c r="C97" i="45"/>
  <c r="C96" i="45"/>
  <c r="C95" i="45"/>
  <c r="C94" i="45"/>
  <c r="C93" i="45"/>
  <c r="C92" i="45"/>
  <c r="C91" i="45"/>
  <c r="C90" i="45"/>
  <c r="C89" i="45"/>
  <c r="C88" i="45"/>
  <c r="C87" i="45"/>
  <c r="C86" i="45"/>
  <c r="C85" i="45"/>
  <c r="C84" i="45"/>
  <c r="C83" i="45"/>
  <c r="C82" i="45"/>
  <c r="C81" i="45"/>
  <c r="C80" i="45"/>
  <c r="C79" i="45"/>
  <c r="C78" i="45"/>
  <c r="C77" i="45"/>
  <c r="C76" i="45"/>
  <c r="C75" i="45"/>
  <c r="C74" i="45"/>
  <c r="C73" i="45"/>
  <c r="C72" i="45"/>
  <c r="C71" i="45"/>
  <c r="C70" i="45"/>
  <c r="C69" i="45"/>
  <c r="C68" i="45"/>
  <c r="C67" i="45"/>
  <c r="C66" i="45"/>
  <c r="C65" i="45"/>
  <c r="C64" i="45"/>
  <c r="C63" i="45"/>
  <c r="C62" i="45"/>
  <c r="C61" i="45"/>
  <c r="C60" i="45"/>
  <c r="C59" i="45"/>
  <c r="C58" i="45"/>
  <c r="C57" i="45"/>
  <c r="C56" i="45"/>
  <c r="C55" i="45"/>
  <c r="C54" i="45"/>
  <c r="C53" i="45"/>
  <c r="C52" i="45"/>
  <c r="C51" i="45"/>
  <c r="C50" i="45"/>
  <c r="C49" i="45"/>
  <c r="C48" i="45"/>
  <c r="C47" i="45"/>
  <c r="C46" i="45"/>
  <c r="C45" i="45"/>
  <c r="C44" i="45"/>
  <c r="C43" i="45"/>
  <c r="C42" i="45"/>
  <c r="C41" i="45"/>
  <c r="C40" i="45"/>
  <c r="C39" i="45"/>
  <c r="C38" i="45"/>
  <c r="C37" i="45"/>
  <c r="C36" i="45"/>
  <c r="C35" i="45"/>
  <c r="C34" i="45"/>
  <c r="C33" i="45"/>
  <c r="C32" i="45"/>
  <c r="C31" i="45"/>
  <c r="C30" i="45"/>
  <c r="C29" i="45"/>
  <c r="C28" i="45"/>
  <c r="C27" i="45"/>
  <c r="C26" i="45"/>
  <c r="C25" i="45"/>
  <c r="C24" i="45"/>
  <c r="C23" i="45"/>
  <c r="C22" i="45"/>
  <c r="C21" i="45"/>
  <c r="C20" i="45"/>
  <c r="C19" i="45"/>
  <c r="C18" i="45"/>
  <c r="C17" i="45"/>
  <c r="C16" i="45"/>
  <c r="C15" i="45"/>
  <c r="C14" i="45"/>
  <c r="C13" i="45"/>
  <c r="C12" i="45"/>
  <c r="C11" i="45"/>
  <c r="C10" i="45"/>
  <c r="C9" i="45"/>
  <c r="C8" i="45"/>
  <c r="C7" i="45"/>
  <c r="J2" i="45"/>
  <c r="C112" i="44"/>
  <c r="C111" i="44"/>
  <c r="C110" i="44"/>
  <c r="C109" i="44"/>
  <c r="C108" i="44"/>
  <c r="C107" i="44"/>
  <c r="C106" i="44"/>
  <c r="C105" i="44"/>
  <c r="C104" i="44"/>
  <c r="C103" i="44"/>
  <c r="C102" i="44"/>
  <c r="C101" i="44"/>
  <c r="C100" i="44"/>
  <c r="C99" i="44"/>
  <c r="C98" i="44"/>
  <c r="C97" i="44"/>
  <c r="C96" i="44"/>
  <c r="C95" i="44"/>
  <c r="C94" i="44"/>
  <c r="C93" i="44"/>
  <c r="C92" i="44"/>
  <c r="C91" i="44"/>
  <c r="C90" i="44"/>
  <c r="C89" i="44"/>
  <c r="C88" i="44"/>
  <c r="C87" i="44"/>
  <c r="C86" i="44"/>
  <c r="C85" i="44"/>
  <c r="C84" i="44"/>
  <c r="C83" i="44"/>
  <c r="C82" i="44"/>
  <c r="C81" i="44"/>
  <c r="C80" i="44"/>
  <c r="C79" i="44"/>
  <c r="C78" i="44"/>
  <c r="C77" i="44"/>
  <c r="C76" i="44"/>
  <c r="C75" i="44"/>
  <c r="C74" i="44"/>
  <c r="C73" i="44"/>
  <c r="C72" i="44"/>
  <c r="C71" i="44"/>
  <c r="C70" i="44"/>
  <c r="C69" i="44"/>
  <c r="C68" i="44"/>
  <c r="C67" i="44"/>
  <c r="C66" i="44"/>
  <c r="C65" i="44"/>
  <c r="C64" i="44"/>
  <c r="C63" i="44"/>
  <c r="C62" i="44"/>
  <c r="C61" i="44"/>
  <c r="C60" i="44"/>
  <c r="C59" i="44"/>
  <c r="C58" i="44"/>
  <c r="C57" i="44"/>
  <c r="C56" i="44"/>
  <c r="C55" i="44"/>
  <c r="C54" i="44"/>
  <c r="C53" i="44"/>
  <c r="C52" i="44"/>
  <c r="C51" i="44"/>
  <c r="C50" i="44"/>
  <c r="C49" i="44"/>
  <c r="C48" i="44"/>
  <c r="C47" i="44"/>
  <c r="C46" i="44"/>
  <c r="C45" i="44"/>
  <c r="C44" i="44"/>
  <c r="C43" i="44"/>
  <c r="C42" i="44"/>
  <c r="C41" i="44"/>
  <c r="C40" i="44"/>
  <c r="C39" i="44"/>
  <c r="C38" i="44"/>
  <c r="C37" i="44"/>
  <c r="C36" i="44"/>
  <c r="C35" i="44"/>
  <c r="C34" i="44"/>
  <c r="C33" i="44"/>
  <c r="C32" i="44"/>
  <c r="C31" i="44"/>
  <c r="C30" i="44"/>
  <c r="C29" i="44"/>
  <c r="C28" i="44"/>
  <c r="C27" i="44"/>
  <c r="C26" i="44"/>
  <c r="C25" i="44"/>
  <c r="C24" i="44"/>
  <c r="C23" i="44"/>
  <c r="C22" i="44"/>
  <c r="C21" i="44"/>
  <c r="C20" i="44"/>
  <c r="C19" i="44"/>
  <c r="C18" i="44"/>
  <c r="C17" i="44"/>
  <c r="C16" i="44"/>
  <c r="C15" i="44"/>
  <c r="C14" i="44"/>
  <c r="C13" i="44"/>
  <c r="C12" i="44"/>
  <c r="C11" i="44"/>
  <c r="C10" i="44"/>
  <c r="C9" i="44"/>
  <c r="C8" i="44"/>
  <c r="C7" i="44"/>
  <c r="J2" i="44"/>
  <c r="C112" i="43"/>
  <c r="C111" i="43"/>
  <c r="C110" i="43"/>
  <c r="C109" i="43"/>
  <c r="C108" i="43"/>
  <c r="C107" i="43"/>
  <c r="C106" i="43"/>
  <c r="C105" i="43"/>
  <c r="C104" i="43"/>
  <c r="C103" i="43"/>
  <c r="C102" i="43"/>
  <c r="C101" i="43"/>
  <c r="C100" i="43"/>
  <c r="C99" i="43"/>
  <c r="C98" i="43"/>
  <c r="C97" i="43"/>
  <c r="C96" i="43"/>
  <c r="C95" i="43"/>
  <c r="C94" i="43"/>
  <c r="C93" i="43"/>
  <c r="C92" i="43"/>
  <c r="C91" i="43"/>
  <c r="C90" i="43"/>
  <c r="C89" i="43"/>
  <c r="C88" i="43"/>
  <c r="C87" i="43"/>
  <c r="C86" i="43"/>
  <c r="C85" i="43"/>
  <c r="C84" i="43"/>
  <c r="C83" i="43"/>
  <c r="C82" i="43"/>
  <c r="C81" i="43"/>
  <c r="C80" i="43"/>
  <c r="C79" i="43"/>
  <c r="C78" i="43"/>
  <c r="C77" i="43"/>
  <c r="C76" i="43"/>
  <c r="C75" i="43"/>
  <c r="C74" i="43"/>
  <c r="C73" i="43"/>
  <c r="C72" i="43"/>
  <c r="C71" i="43"/>
  <c r="C70" i="43"/>
  <c r="C69" i="43"/>
  <c r="C68" i="43"/>
  <c r="C67" i="43"/>
  <c r="C66" i="43"/>
  <c r="C65" i="43"/>
  <c r="C64" i="43"/>
  <c r="C63" i="43"/>
  <c r="C62" i="43"/>
  <c r="C61" i="43"/>
  <c r="C60" i="43"/>
  <c r="C59" i="43"/>
  <c r="C58" i="43"/>
  <c r="C57" i="43"/>
  <c r="C56" i="43"/>
  <c r="C55" i="43"/>
  <c r="C54" i="43"/>
  <c r="C53" i="43"/>
  <c r="C52" i="43"/>
  <c r="C51" i="43"/>
  <c r="C50" i="43"/>
  <c r="C49" i="43"/>
  <c r="C48" i="43"/>
  <c r="C47" i="43"/>
  <c r="C46" i="43"/>
  <c r="C45" i="43"/>
  <c r="C44" i="43"/>
  <c r="C43" i="43"/>
  <c r="C42" i="43"/>
  <c r="C41" i="43"/>
  <c r="C40" i="43"/>
  <c r="C39" i="43"/>
  <c r="C38" i="43"/>
  <c r="C37" i="43"/>
  <c r="C36" i="43"/>
  <c r="C35" i="43"/>
  <c r="C34" i="43"/>
  <c r="C33" i="43"/>
  <c r="C32" i="43"/>
  <c r="C31" i="43"/>
  <c r="C30" i="43"/>
  <c r="C29" i="43"/>
  <c r="C28" i="43"/>
  <c r="C27" i="43"/>
  <c r="C26" i="43"/>
  <c r="C25" i="43"/>
  <c r="C24" i="43"/>
  <c r="C23" i="43"/>
  <c r="C22" i="43"/>
  <c r="C21" i="43"/>
  <c r="C20" i="43"/>
  <c r="C19" i="43"/>
  <c r="C18" i="43"/>
  <c r="C17" i="43"/>
  <c r="C16" i="43"/>
  <c r="C15" i="43"/>
  <c r="C14" i="43"/>
  <c r="C13" i="43"/>
  <c r="C12" i="43"/>
  <c r="C11" i="43"/>
  <c r="C10" i="43"/>
  <c r="C9" i="43"/>
  <c r="C8" i="43"/>
  <c r="C7" i="43"/>
  <c r="J2" i="43"/>
  <c r="C139" i="42"/>
  <c r="C140" i="42"/>
  <c r="C141" i="42"/>
  <c r="C142" i="42"/>
  <c r="C143" i="42"/>
  <c r="C144" i="42"/>
  <c r="C145" i="42"/>
  <c r="C146" i="42"/>
  <c r="C147" i="42"/>
  <c r="C148" i="42"/>
  <c r="C149" i="42"/>
  <c r="C150" i="42"/>
  <c r="C151" i="42"/>
  <c r="C138" i="42"/>
  <c r="C137" i="42"/>
  <c r="C136" i="42"/>
  <c r="C135" i="42"/>
  <c r="C134" i="42"/>
  <c r="C133" i="42"/>
  <c r="C132" i="42"/>
  <c r="C131" i="42"/>
  <c r="C130" i="42"/>
  <c r="C129" i="42"/>
  <c r="C128" i="42"/>
  <c r="C127" i="42"/>
  <c r="C126" i="42"/>
  <c r="C125" i="42"/>
  <c r="C124" i="42"/>
  <c r="C123" i="42"/>
  <c r="C122" i="42"/>
  <c r="C121" i="42"/>
  <c r="C120" i="42"/>
  <c r="C119" i="42"/>
  <c r="C118" i="42"/>
  <c r="C117" i="42"/>
  <c r="C116" i="42"/>
  <c r="C115" i="42"/>
  <c r="C114" i="42"/>
  <c r="C113" i="42"/>
  <c r="C112" i="42"/>
  <c r="C111" i="42"/>
  <c r="C110" i="42"/>
  <c r="C109" i="42"/>
  <c r="C108" i="42"/>
  <c r="C107" i="42"/>
  <c r="C106" i="42"/>
  <c r="C105" i="42"/>
  <c r="C104" i="42"/>
  <c r="C103" i="42"/>
  <c r="C102" i="42"/>
  <c r="C101" i="42"/>
  <c r="C100" i="42"/>
  <c r="C99" i="42"/>
  <c r="C98" i="42"/>
  <c r="C97" i="42"/>
  <c r="C96" i="42"/>
  <c r="C95" i="42"/>
  <c r="C94" i="42"/>
  <c r="C93" i="42"/>
  <c r="C92" i="42"/>
  <c r="C91" i="42"/>
  <c r="C90" i="42"/>
  <c r="C89" i="42"/>
  <c r="C88" i="42"/>
  <c r="C87" i="42"/>
  <c r="C86" i="42"/>
  <c r="C85" i="42"/>
  <c r="C84" i="42"/>
  <c r="C83" i="42"/>
  <c r="C82" i="42"/>
  <c r="C81" i="42"/>
  <c r="C80" i="42"/>
  <c r="C79" i="42"/>
  <c r="C78" i="42"/>
  <c r="C77" i="42"/>
  <c r="C76" i="42"/>
  <c r="C75" i="42"/>
  <c r="C74" i="42"/>
  <c r="C73" i="42"/>
  <c r="C72" i="42"/>
  <c r="C71" i="42"/>
  <c r="C70" i="42"/>
  <c r="C69" i="42"/>
  <c r="C68" i="42"/>
  <c r="C67" i="42"/>
  <c r="C66" i="42"/>
  <c r="C65" i="42"/>
  <c r="C64" i="42"/>
  <c r="C63" i="42"/>
  <c r="C62" i="42"/>
  <c r="C61" i="42"/>
  <c r="C60" i="42"/>
  <c r="C59" i="42"/>
  <c r="C58" i="42"/>
  <c r="C57" i="42"/>
  <c r="C56" i="42"/>
  <c r="C55" i="42"/>
  <c r="C54" i="42"/>
  <c r="C53" i="42"/>
  <c r="C52" i="42"/>
  <c r="C51" i="42"/>
  <c r="C50" i="42"/>
  <c r="C49" i="42"/>
  <c r="C48" i="42"/>
  <c r="C47" i="42"/>
  <c r="C46" i="42"/>
  <c r="C45" i="42"/>
  <c r="C44" i="42"/>
  <c r="C43" i="42"/>
  <c r="C42" i="42"/>
  <c r="C41" i="42"/>
  <c r="C40" i="42"/>
  <c r="C39" i="42"/>
  <c r="C38" i="42"/>
  <c r="C37" i="42"/>
  <c r="C36" i="42"/>
  <c r="C35" i="42"/>
  <c r="C34" i="42"/>
  <c r="C33" i="42"/>
  <c r="C32" i="42"/>
  <c r="C31" i="42"/>
  <c r="C30" i="42"/>
  <c r="C29" i="42"/>
  <c r="C28" i="42"/>
  <c r="C27" i="42"/>
  <c r="C26" i="42"/>
  <c r="C25" i="42"/>
  <c r="C24" i="42"/>
  <c r="C23" i="42"/>
  <c r="C22" i="42"/>
  <c r="C21" i="42"/>
  <c r="C20" i="42"/>
  <c r="C19" i="42"/>
  <c r="C18" i="42"/>
  <c r="C17" i="42"/>
  <c r="C16" i="42"/>
  <c r="C15" i="42"/>
  <c r="C14" i="42"/>
  <c r="C13" i="42"/>
  <c r="C12" i="42"/>
  <c r="C11" i="42"/>
  <c r="C10" i="42"/>
  <c r="C9" i="42"/>
  <c r="C8" i="42"/>
  <c r="C7" i="42"/>
  <c r="J2" i="42"/>
  <c r="C113" i="41"/>
  <c r="C114" i="41"/>
  <c r="C115" i="41"/>
  <c r="C116" i="41"/>
  <c r="C117" i="41"/>
  <c r="C118" i="41"/>
  <c r="C119" i="41"/>
  <c r="C120" i="41"/>
  <c r="C121" i="41"/>
  <c r="C122" i="41"/>
  <c r="C123" i="41"/>
  <c r="C124" i="41"/>
  <c r="C125" i="41"/>
  <c r="C126" i="41"/>
  <c r="C127" i="41"/>
  <c r="C128" i="41"/>
  <c r="C129" i="41"/>
  <c r="C130" i="41"/>
  <c r="C131" i="41"/>
  <c r="C132" i="41"/>
  <c r="C133" i="41"/>
  <c r="C134" i="41"/>
  <c r="C135" i="41"/>
  <c r="C136" i="41"/>
  <c r="C137" i="41"/>
  <c r="C138" i="41"/>
  <c r="C112" i="41"/>
  <c r="C111" i="41"/>
  <c r="C110" i="41"/>
  <c r="C109" i="41"/>
  <c r="C108" i="41"/>
  <c r="C107" i="41"/>
  <c r="C106" i="41"/>
  <c r="C105" i="41"/>
  <c r="C104" i="41"/>
  <c r="C103" i="41"/>
  <c r="C102" i="41"/>
  <c r="C101" i="41"/>
  <c r="C100" i="41"/>
  <c r="C99" i="41"/>
  <c r="C98" i="41"/>
  <c r="C97" i="41"/>
  <c r="C96" i="41"/>
  <c r="C95" i="41"/>
  <c r="C94" i="41"/>
  <c r="C93" i="41"/>
  <c r="C92" i="41"/>
  <c r="C91" i="41"/>
  <c r="C90" i="41"/>
  <c r="C89" i="41"/>
  <c r="C88" i="41"/>
  <c r="C87" i="41"/>
  <c r="C86" i="41"/>
  <c r="C85" i="41"/>
  <c r="C84" i="41"/>
  <c r="C83" i="41"/>
  <c r="C82" i="41"/>
  <c r="C81" i="41"/>
  <c r="C80" i="41"/>
  <c r="C79" i="41"/>
  <c r="C78" i="41"/>
  <c r="C77" i="41"/>
  <c r="C76" i="41"/>
  <c r="C75" i="41"/>
  <c r="C74" i="41"/>
  <c r="C73" i="41"/>
  <c r="C72" i="41"/>
  <c r="C71" i="41"/>
  <c r="C70" i="41"/>
  <c r="C69" i="41"/>
  <c r="C68" i="41"/>
  <c r="C67" i="41"/>
  <c r="C66" i="41"/>
  <c r="C65" i="41"/>
  <c r="C64" i="41"/>
  <c r="C63" i="41"/>
  <c r="C62" i="41"/>
  <c r="C61" i="41"/>
  <c r="C60" i="41"/>
  <c r="C59" i="41"/>
  <c r="C58" i="41"/>
  <c r="C57" i="41"/>
  <c r="C56" i="41"/>
  <c r="C55" i="41"/>
  <c r="C54" i="41"/>
  <c r="C53" i="41"/>
  <c r="C52" i="41"/>
  <c r="C51" i="41"/>
  <c r="C50" i="41"/>
  <c r="C49" i="41"/>
  <c r="C48" i="41"/>
  <c r="C47" i="41"/>
  <c r="C46" i="41"/>
  <c r="C45" i="41"/>
  <c r="C44" i="41"/>
  <c r="C43" i="41"/>
  <c r="C42" i="41"/>
  <c r="C41" i="41"/>
  <c r="C40" i="41"/>
  <c r="C39" i="41"/>
  <c r="C38" i="41"/>
  <c r="C37" i="41"/>
  <c r="C36" i="41"/>
  <c r="C35" i="41"/>
  <c r="C34" i="41"/>
  <c r="C33" i="41"/>
  <c r="C32" i="41"/>
  <c r="C31" i="41"/>
  <c r="C30" i="41"/>
  <c r="C29" i="41"/>
  <c r="C28" i="41"/>
  <c r="C27" i="41"/>
  <c r="C26" i="41"/>
  <c r="C25" i="41"/>
  <c r="C24" i="41"/>
  <c r="C23" i="41"/>
  <c r="C22" i="41"/>
  <c r="C21" i="41"/>
  <c r="C20" i="41"/>
  <c r="C19" i="41"/>
  <c r="C18" i="41"/>
  <c r="C17" i="41"/>
  <c r="C16" i="41"/>
  <c r="C15" i="41"/>
  <c r="C14" i="41"/>
  <c r="C13" i="41"/>
  <c r="C12" i="41"/>
  <c r="C11" i="41"/>
  <c r="C10" i="41"/>
  <c r="C9" i="41"/>
  <c r="C8" i="41"/>
  <c r="C7" i="41"/>
  <c r="J2" i="41"/>
  <c r="C112" i="40"/>
  <c r="C111" i="40"/>
  <c r="C110" i="40"/>
  <c r="C109" i="40"/>
  <c r="C108" i="40"/>
  <c r="C107" i="40"/>
  <c r="C106" i="40"/>
  <c r="C105" i="40"/>
  <c r="C104" i="40"/>
  <c r="C103" i="40"/>
  <c r="C102" i="40"/>
  <c r="C101" i="40"/>
  <c r="C100" i="40"/>
  <c r="C99" i="40"/>
  <c r="C98" i="40"/>
  <c r="C97" i="40"/>
  <c r="C96" i="40"/>
  <c r="C95" i="40"/>
  <c r="C94" i="40"/>
  <c r="C93" i="40"/>
  <c r="C92" i="40"/>
  <c r="C91" i="40"/>
  <c r="C90" i="40"/>
  <c r="C89" i="40"/>
  <c r="C88" i="40"/>
  <c r="C87" i="40"/>
  <c r="C86" i="40"/>
  <c r="C85" i="40"/>
  <c r="C84" i="40"/>
  <c r="C83" i="40"/>
  <c r="C82" i="40"/>
  <c r="C81" i="40"/>
  <c r="C80" i="40"/>
  <c r="C79" i="40"/>
  <c r="C78" i="40"/>
  <c r="C77" i="40"/>
  <c r="C76" i="40"/>
  <c r="C75" i="40"/>
  <c r="C74" i="40"/>
  <c r="C73" i="40"/>
  <c r="C72" i="40"/>
  <c r="C71" i="40"/>
  <c r="C70" i="40"/>
  <c r="C69" i="40"/>
  <c r="C68" i="40"/>
  <c r="C67" i="40"/>
  <c r="C66" i="40"/>
  <c r="C65" i="40"/>
  <c r="C64" i="40"/>
  <c r="C63" i="40"/>
  <c r="C62" i="40"/>
  <c r="C61" i="40"/>
  <c r="C60" i="40"/>
  <c r="C59" i="40"/>
  <c r="C58" i="40"/>
  <c r="C57" i="40"/>
  <c r="C56" i="40"/>
  <c r="C55" i="40"/>
  <c r="C54" i="40"/>
  <c r="C53" i="40"/>
  <c r="C52" i="40"/>
  <c r="C51" i="40"/>
  <c r="C50" i="40"/>
  <c r="C49" i="40"/>
  <c r="C48" i="40"/>
  <c r="C47" i="40"/>
  <c r="C46" i="40"/>
  <c r="C45" i="40"/>
  <c r="C44" i="40"/>
  <c r="C43" i="40"/>
  <c r="C42" i="40"/>
  <c r="C41" i="40"/>
  <c r="C40" i="40"/>
  <c r="C39" i="40"/>
  <c r="C38" i="40"/>
  <c r="C37" i="40"/>
  <c r="C36" i="40"/>
  <c r="C35" i="40"/>
  <c r="C34" i="40"/>
  <c r="C33" i="40"/>
  <c r="C32" i="40"/>
  <c r="C31" i="40"/>
  <c r="C30" i="40"/>
  <c r="C29" i="40"/>
  <c r="C28" i="40"/>
  <c r="C27" i="40"/>
  <c r="C26" i="40"/>
  <c r="C25" i="40"/>
  <c r="C24" i="40"/>
  <c r="C23" i="40"/>
  <c r="C22" i="40"/>
  <c r="C21" i="40"/>
  <c r="C20" i="40"/>
  <c r="C19" i="40"/>
  <c r="C18" i="40"/>
  <c r="C17" i="40"/>
  <c r="C16" i="40"/>
  <c r="C15" i="40"/>
  <c r="C14" i="40"/>
  <c r="C13" i="40"/>
  <c r="C12" i="40"/>
  <c r="C11" i="40"/>
  <c r="C10" i="40"/>
  <c r="C9" i="40"/>
  <c r="C8" i="40"/>
  <c r="C7" i="40"/>
  <c r="J2" i="40"/>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76" i="39"/>
  <c r="C75" i="39"/>
  <c r="C74" i="39"/>
  <c r="C73" i="39"/>
  <c r="C72" i="39"/>
  <c r="C71" i="39"/>
  <c r="C70" i="39"/>
  <c r="C69" i="39"/>
  <c r="C68" i="39"/>
  <c r="C67" i="39"/>
  <c r="C66" i="39"/>
  <c r="C65" i="39"/>
  <c r="C64" i="39"/>
  <c r="C63" i="39"/>
  <c r="C62" i="39"/>
  <c r="C61" i="39"/>
  <c r="C60" i="39"/>
  <c r="C59" i="39"/>
  <c r="C58" i="39"/>
  <c r="C57" i="39"/>
  <c r="C56" i="39"/>
  <c r="C55" i="39"/>
  <c r="C54" i="39"/>
  <c r="C53" i="39"/>
  <c r="C52" i="39"/>
  <c r="C51" i="39"/>
  <c r="C50" i="39"/>
  <c r="C49" i="39"/>
  <c r="C48" i="39"/>
  <c r="C47" i="39"/>
  <c r="C46" i="39"/>
  <c r="C45" i="39"/>
  <c r="C44" i="39"/>
  <c r="C43" i="39"/>
  <c r="C42" i="39"/>
  <c r="C41" i="39"/>
  <c r="C40" i="39"/>
  <c r="C39" i="39"/>
  <c r="C38" i="39"/>
  <c r="C37" i="39"/>
  <c r="C36" i="39"/>
  <c r="C35" i="39"/>
  <c r="C34" i="39"/>
  <c r="C33" i="39"/>
  <c r="C32" i="39"/>
  <c r="C31" i="39"/>
  <c r="C30" i="39"/>
  <c r="C29" i="39"/>
  <c r="C28" i="39"/>
  <c r="C27" i="39"/>
  <c r="C26" i="39"/>
  <c r="C25" i="39"/>
  <c r="C24" i="39"/>
  <c r="C23" i="39"/>
  <c r="C22" i="39"/>
  <c r="C21" i="39"/>
  <c r="C20" i="39"/>
  <c r="C19" i="39"/>
  <c r="C18" i="39"/>
  <c r="C17" i="39"/>
  <c r="C16" i="39"/>
  <c r="C15" i="39"/>
  <c r="C14" i="39"/>
  <c r="C13" i="39"/>
  <c r="C12" i="39"/>
  <c r="C11" i="39"/>
  <c r="C10" i="39"/>
  <c r="C9" i="39"/>
  <c r="C8" i="39"/>
  <c r="C7" i="39"/>
  <c r="J2" i="39"/>
  <c r="C76" i="10" l="1"/>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J2" i="10"/>
  <c r="H2" i="2" l="1"/>
  <c r="C7" i="2" l="1"/>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Q13" i="1"/>
  <c r="Q23" i="1" l="1"/>
  <c r="R23" i="1" s="1"/>
  <c r="Q24" i="1"/>
  <c r="R24" i="1" s="1"/>
  <c r="Q19" i="1"/>
  <c r="R19" i="1" s="1"/>
  <c r="Q25" i="1"/>
  <c r="R25" i="1" s="1"/>
  <c r="Q20" i="1"/>
  <c r="R20" i="1" s="1"/>
  <c r="Q16" i="1"/>
  <c r="R16" i="1" s="1"/>
  <c r="Q22" i="1"/>
  <c r="R22" i="1" s="1"/>
  <c r="Q28" i="1"/>
  <c r="R28" i="1" s="1"/>
  <c r="Q29" i="1"/>
  <c r="R29" i="1" s="1"/>
  <c r="Q15" i="1"/>
  <c r="R15" i="1" s="1"/>
  <c r="Q18" i="1"/>
  <c r="R18" i="1" s="1"/>
  <c r="Q26" i="1"/>
  <c r="R26" i="1" s="1"/>
  <c r="Q21" i="1"/>
  <c r="R21" i="1" s="1"/>
  <c r="Q27" i="1"/>
  <c r="R27" i="1" s="1"/>
  <c r="Q17" i="1"/>
  <c r="R17" i="1" s="1"/>
</calcChain>
</file>

<file path=xl/sharedStrings.xml><?xml version="1.0" encoding="utf-8"?>
<sst xmlns="http://schemas.openxmlformats.org/spreadsheetml/2006/main" count="183" uniqueCount="70">
  <si>
    <t>Definition</t>
  </si>
  <si>
    <t>Process / TO DO LIST</t>
  </si>
  <si>
    <t>Summary</t>
  </si>
  <si>
    <t>* input new month</t>
  </si>
  <si>
    <t>TO DO LIST</t>
  </si>
  <si>
    <t>Comments</t>
  </si>
  <si>
    <t>ISM</t>
  </si>
  <si>
    <t>Change %</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</si>
  <si>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</si>
  <si>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Date</t>
  </si>
  <si>
    <t>PMI</t>
  </si>
  <si>
    <t>mom</t>
  </si>
  <si>
    <t>Global</t>
  </si>
  <si>
    <t>https://www.markiteconomics.com/Survey/Page.mvc/PressReleases</t>
  </si>
  <si>
    <t>U.S.</t>
  </si>
  <si>
    <t>U.K.</t>
  </si>
  <si>
    <t>Euro Area</t>
  </si>
  <si>
    <t>Germany</t>
  </si>
  <si>
    <t>France</t>
  </si>
  <si>
    <t>Italy</t>
  </si>
  <si>
    <t>Spain</t>
  </si>
  <si>
    <t>Ireland</t>
  </si>
  <si>
    <t>China</t>
  </si>
  <si>
    <t>Japan</t>
  </si>
  <si>
    <t>Brazil</t>
  </si>
  <si>
    <t>India</t>
  </si>
  <si>
    <t>Russia</t>
  </si>
  <si>
    <t>Australia</t>
  </si>
  <si>
    <t>US</t>
  </si>
  <si>
    <t xml:space="preserve">China </t>
  </si>
  <si>
    <t>Eurozone</t>
  </si>
  <si>
    <t xml:space="preserve">Japan </t>
  </si>
  <si>
    <t>UK</t>
  </si>
  <si>
    <t xml:space="preserve">Italy </t>
  </si>
  <si>
    <t>Country</t>
  </si>
  <si>
    <t>Last</t>
  </si>
  <si>
    <t>Previous</t>
  </si>
  <si>
    <t>Database</t>
  </si>
  <si>
    <t>Update each month for each country</t>
  </si>
  <si>
    <t>%</t>
  </si>
  <si>
    <t>World GDP</t>
  </si>
  <si>
    <t>Global Services PMI</t>
  </si>
  <si>
    <t xml:space="preserve"> Services PMI</t>
  </si>
  <si>
    <t>*to update</t>
  </si>
  <si>
    <t>Last month</t>
  </si>
  <si>
    <t>*modify max/min/avg</t>
  </si>
  <si>
    <t>Previous month</t>
  </si>
  <si>
    <t>max 12m</t>
  </si>
  <si>
    <t>12 months</t>
  </si>
  <si>
    <t>min 12m</t>
  </si>
  <si>
    <t>12m avg</t>
  </si>
  <si>
    <t>Last vs 12m avg</t>
  </si>
  <si>
    <t>Y/Y</t>
  </si>
  <si>
    <t>M/M</t>
  </si>
  <si>
    <t>Growth / Contraction</t>
  </si>
  <si>
    <t>Slower/Faster</t>
  </si>
  <si>
    <t>JPMorgan Global Services PMI</t>
  </si>
  <si>
    <t>https://tradingeconomics.com/country-list/services-pmi</t>
  </si>
  <si>
    <t>PMI Services World</t>
  </si>
  <si>
    <t>points</t>
  </si>
  <si>
    <t>Reference</t>
  </si>
  <si>
    <t>Unit</t>
  </si>
  <si>
    <t>Switzerland</t>
  </si>
  <si>
    <t>United Kingdom</t>
  </si>
  <si>
    <t>United States</t>
  </si>
  <si>
    <t>Kazakhstan</t>
  </si>
  <si>
    <t>New Zealand</t>
  </si>
  <si>
    <t>Nigeria</t>
  </si>
  <si>
    <t>Sri Lanka</t>
  </si>
  <si>
    <t>Sweden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</si>
</sst>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2">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s>
  <cellStyleXfs count="4">
    <xf numFmtId="0" fontId="0" fillId="0" borderId="0"/>
    <xf numFmtId="9" fontId="1" fillId="0" borderId="0" applyFont="0" applyFill="0" applyBorder="0" applyAlignment="0" applyProtection="0"/>
    <xf numFmtId="0" fontId="4" fillId="0" borderId="0" applyNumberFormat="0" applyFill="0" applyBorder="0" applyAlignment="0" applyProtection="0"/>
    <xf numFmtId="0" fontId="9" fillId="0" borderId="0"/>
  </cellStyleXfs>
  <cellXfs count="97">
    <xf numFmtId="0" fontId="0" fillId="0" borderId="0" xfId="0"/>
    <xf numFmtId="0" fontId="0" fillId="2" borderId="0" xfId="0" applyFill="1"/>
    <xf numFmtId="0" fontId="4" fillId="0" borderId="0" xfId="2"/>
    <xf numFmtId="0" fontId="0" fillId="2" borderId="0" xfId="0" applyFill="1" applyAlignment="1">
      <alignment wrapText="1"/>
    </xf>
    <xf numFmtId="0" fontId="6" fillId="0" borderId="0" xfId="0" applyFont="1"/>
    <xf numFmtId="0" fontId="0" fillId="2" borderId="0" xfId="0" applyFill="1" applyAlignment="1">
      <alignment vertical="center"/>
    </xf>
    <xf numFmtId="0" fontId="7" fillId="2" borderId="0" xfId="0" applyFont="1" applyFill="1"/>
    <xf numFmtId="14" fontId="8" fillId="2" borderId="8" xfId="0" applyNumberFormat="1" applyFont="1" applyFill="1" applyBorder="1" applyAlignment="1">
      <alignment horizontal="center"/>
    </xf>
    <xf numFmtId="14" fontId="3" fillId="2" borderId="8" xfId="0" applyNumberFormat="1" applyFont="1" applyFill="1" applyBorder="1" applyAlignment="1">
      <alignment horizontal="center"/>
    </xf>
    <xf numFmtId="0" fontId="3" fillId="2" borderId="9" xfId="0" applyFont="1" applyFill="1" applyBorder="1" applyAlignment="1">
      <alignment horizontal="center"/>
    </xf>
    <xf numFmtId="0" fontId="0" fillId="2" borderId="0" xfId="0" applyFill="1"/>
    <xf numFmtId="0" fontId="3" fillId="2" borderId="11" xfId="0" applyFont="1" applyFill="1" applyBorder="1" applyAlignment="1">
      <alignment horizontal="center"/>
    </xf>
    <xf numFmtId="0" fontId="3" fillId="2" borderId="12" xfId="0" applyFont="1" applyFill="1" applyBorder="1" applyAlignment="1">
      <alignment horizontal="center"/>
    </xf>
    <xf numFmtId="0" fontId="0" fillId="2" borderId="10" xfId="0" applyFill="1" applyBorder="1" applyAlignment="1">
      <alignment horizontal="center"/>
    </xf>
    <xf numFmtId="14" fontId="0" fillId="2" borderId="7" xfId="0" applyNumberFormat="1" applyFill="1" applyBorder="1" applyAlignment="1">
      <alignment horizontal="center"/>
    </xf>
    <xf numFmtId="14" fontId="0" fillId="2" borderId="15" xfId="0" applyNumberFormat="1" applyFill="1" applyBorder="1" applyAlignment="1">
      <alignment horizontal="center"/>
    </xf>
    <xf numFmtId="0" fontId="0" fillId="2" borderId="16" xfId="0" applyFill="1" applyBorder="1" applyAlignment="1">
      <alignment horizontal="center"/>
    </xf>
    <xf numFmtId="14" fontId="0" fillId="2" borderId="13" xfId="0" applyNumberFormat="1" applyFill="1" applyBorder="1" applyAlignment="1">
      <alignment horizontal="center"/>
    </xf>
    <xf numFmtId="0" fontId="0" fillId="2" borderId="14" xfId="0" applyFill="1" applyBorder="1" applyAlignment="1">
      <alignment horizontal="center"/>
    </xf>
    <xf numFmtId="0" fontId="0" fillId="3" borderId="17" xfId="0" applyFill="1" applyBorder="1" applyAlignment="1">
      <alignment horizontal="center"/>
    </xf>
    <xf numFmtId="0" fontId="0" fillId="3" borderId="18" xfId="0" applyFill="1" applyBorder="1" applyAlignment="1">
      <alignment horizontal="center"/>
    </xf>
    <xf numFmtId="0" fontId="0" fillId="2" borderId="10" xfId="0" applyNumberFormat="1" applyFill="1" applyBorder="1" applyAlignment="1">
      <alignment horizontal="center"/>
    </xf>
    <xf numFmtId="0" fontId="0" fillId="2" borderId="0" xfId="0" applyFill="1" applyAlignment="1">
      <alignment horizontal="center"/>
    </xf>
    <xf numFmtId="164" fontId="0" fillId="2" borderId="10" xfId="1" applyNumberFormat="1" applyFont="1" applyFill="1" applyBorder="1" applyAlignment="1">
      <alignment horizontal="center"/>
    </xf>
    <xf numFmtId="0" fontId="3" fillId="2" borderId="8" xfId="0" applyFont="1" applyFill="1" applyBorder="1"/>
    <xf numFmtId="0" fontId="0" fillId="2" borderId="0" xfId="0" applyFill="1"/>
    <xf numFmtId="0" fontId="0" fillId="0" borderId="0" xfId="0"/>
    <xf numFmtId="0" fontId="0" fillId="2" borderId="0" xfId="0" applyFill="1"/>
    <xf numFmtId="0" fontId="8" fillId="2" borderId="0" xfId="0" applyFont="1" applyFill="1"/>
    <xf numFmtId="17" fontId="11" fillId="2" borderId="19" xfId="0" applyNumberFormat="1" applyFont="1" applyFill="1" applyBorder="1" applyAlignment="1">
      <alignment horizontal="left" vertical="top" wrapText="1"/>
    </xf>
    <xf numFmtId="0" fontId="12" fillId="4" borderId="20" xfId="0" applyFont="1" applyFill="1" applyBorder="1"/>
    <xf numFmtId="0" fontId="13" fillId="4" borderId="21" xfId="0" applyFont="1" applyFill="1" applyBorder="1" applyAlignment="1">
      <alignment horizontal="center" textRotation="90"/>
    </xf>
    <xf numFmtId="14" fontId="0" fillId="2" borderId="0" xfId="0" applyNumberFormat="1" applyFill="1"/>
    <xf numFmtId="0" fontId="12" fillId="0" borderId="23" xfId="0" applyFont="1" applyBorder="1"/>
    <xf numFmtId="164" fontId="14" fillId="5" borderId="10" xfId="0" applyNumberFormat="1" applyFont="1" applyFill="1" applyBorder="1" applyAlignment="1">
      <alignment horizontal="center" vertical="center"/>
    </xf>
    <xf numFmtId="164" fontId="14" fillId="5" borderId="16" xfId="0" applyNumberFormat="1" applyFont="1" applyFill="1" applyBorder="1" applyAlignment="1">
      <alignment horizontal="center" vertical="center"/>
    </xf>
    <xf numFmtId="0" fontId="3" fillId="4" borderId="25" xfId="0" applyFont="1" applyFill="1" applyBorder="1"/>
    <xf numFmtId="164" fontId="14" fillId="5" borderId="20"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164" fontId="14" fillId="5" borderId="23" xfId="0" applyNumberFormat="1" applyFont="1" applyFill="1" applyBorder="1" applyAlignment="1">
      <alignment horizontal="center" vertical="center"/>
    </xf>
    <xf numFmtId="0" fontId="3" fillId="4" borderId="25" xfId="0" applyFont="1" applyFill="1" applyBorder="1" applyAlignment="1">
      <alignment vertical="center" wrapText="1"/>
    </xf>
    <xf numFmtId="0" fontId="3" fillId="5" borderId="23" xfId="0" applyFont="1" applyFill="1" applyBorder="1" applyAlignment="1">
      <alignment horizontal="center" vertical="center" textRotation="90"/>
    </xf>
    <xf numFmtId="0" fontId="3" fillId="5" borderId="10" xfId="0" applyFont="1" applyFill="1" applyBorder="1" applyAlignment="1">
      <alignment horizontal="center" vertical="center" textRotation="90"/>
    </xf>
    <xf numFmtId="0" fontId="3" fillId="4" borderId="26" xfId="0" applyFont="1" applyFill="1" applyBorder="1" applyAlignment="1">
      <alignment vertical="center" wrapText="1"/>
    </xf>
    <xf numFmtId="0" fontId="13" fillId="5" borderId="27" xfId="0" applyFont="1" applyFill="1" applyBorder="1" applyAlignment="1">
      <alignment horizontal="center" vertical="center"/>
    </xf>
    <xf numFmtId="0" fontId="13" fillId="5" borderId="28" xfId="0" applyFont="1" applyFill="1" applyBorder="1" applyAlignment="1">
      <alignment horizontal="center" vertical="center"/>
    </xf>
    <xf numFmtId="17" fontId="15" fillId="5" borderId="10" xfId="0" applyNumberFormat="1" applyFont="1" applyFill="1" applyBorder="1" applyAlignment="1">
      <alignment horizontal="left" vertical="top" wrapText="1"/>
    </xf>
    <xf numFmtId="164" fontId="12" fillId="0" borderId="10" xfId="0" applyNumberFormat="1" applyFont="1" applyBorder="1" applyAlignment="1">
      <alignment horizontal="center" vertical="center"/>
    </xf>
    <xf numFmtId="0" fontId="3" fillId="4" borderId="30" xfId="0" applyFont="1" applyFill="1" applyBorder="1" applyAlignment="1">
      <alignment horizontal="center"/>
    </xf>
    <xf numFmtId="0" fontId="3" fillId="4" borderId="31" xfId="0" applyFont="1" applyFill="1" applyBorder="1" applyAlignment="1">
      <alignment horizontal="center"/>
    </xf>
    <xf numFmtId="0" fontId="3" fillId="2" borderId="11" xfId="0" applyFont="1" applyFill="1" applyBorder="1"/>
    <xf numFmtId="0" fontId="0" fillId="2" borderId="21" xfId="0" applyFill="1" applyBorder="1" applyAlignment="1">
      <alignment horizontal="center"/>
    </xf>
    <xf numFmtId="164" fontId="0" fillId="2" borderId="21" xfId="1" applyNumberFormat="1" applyFont="1" applyFill="1" applyBorder="1" applyAlignment="1">
      <alignment horizontal="center"/>
    </xf>
    <xf numFmtId="0" fontId="0" fillId="2" borderId="22" xfId="0" applyFill="1" applyBorder="1"/>
    <xf numFmtId="165" fontId="10" fillId="2" borderId="24" xfId="0" applyNumberFormat="1" applyFont="1" applyFill="1" applyBorder="1" applyAlignment="1">
      <alignment horizontal="center"/>
    </xf>
    <xf numFmtId="0" fontId="0" fillId="2" borderId="28" xfId="0" applyFill="1" applyBorder="1" applyAlignment="1">
      <alignment horizontal="center"/>
    </xf>
    <xf numFmtId="164" fontId="0" fillId="2" borderId="28" xfId="1" applyNumberFormat="1" applyFont="1" applyFill="1" applyBorder="1" applyAlignment="1">
      <alignment horizontal="center"/>
    </xf>
    <xf numFmtId="165" fontId="10" fillId="2" borderId="29" xfId="0" applyNumberFormat="1" applyFont="1" applyFill="1" applyBorder="1" applyAlignment="1">
      <alignment horizontal="center"/>
    </xf>
    <xf numFmtId="0" fontId="4" fillId="2" borderId="0" xfId="2" applyFill="1"/>
    <xf numFmtId="0" fontId="0" fillId="0" borderId="10" xfId="0" applyFill="1" applyBorder="1" applyAlignment="1">
      <alignment horizontal="center"/>
    </xf>
    <xf numFmtId="0" fontId="16" fillId="0" borderId="10" xfId="0" applyFont="1" applyBorder="1" applyAlignment="1">
      <alignment horizontal="center" vertical="center"/>
    </xf>
    <xf numFmtId="17" fontId="16" fillId="0" borderId="10" xfId="0" applyNumberFormat="1" applyFont="1" applyBorder="1" applyAlignment="1">
      <alignment horizontal="center" vertical="center"/>
    </xf>
    <xf numFmtId="47" fontId="16" fillId="0" borderId="10" xfId="0" applyNumberFormat="1" applyFont="1" applyBorder="1" applyAlignment="1">
      <alignment horizontal="center" vertical="center"/>
    </xf>
    <xf numFmtId="2" fontId="16" fillId="0" borderId="10" xfId="0" applyNumberFormat="1" applyFont="1" applyBorder="1" applyAlignment="1">
      <alignment horizontal="center" vertical="center"/>
    </xf>
    <xf numFmtId="17" fontId="0" fillId="2" borderId="10" xfId="0" applyNumberFormat="1" applyFill="1" applyBorder="1" applyAlignment="1">
      <alignment horizontal="center"/>
    </xf>
    <xf numFmtId="0" fontId="3" fillId="2" borderId="0" xfId="0" applyFont="1" applyFill="1"/>
    <xf numFmtId="0" fontId="3" fillId="4" borderId="23" xfId="0" applyFont="1" applyFill="1" applyBorder="1" applyAlignment="1">
      <alignment horizontal="center"/>
    </xf>
    <xf numFmtId="0" fontId="0" fillId="0" borderId="10" xfId="0" applyFont="1" applyBorder="1" applyAlignment="1">
      <alignment horizontal="center"/>
    </xf>
    <xf numFmtId="0" fontId="3" fillId="2" borderId="0" xfId="0" applyFont="1" applyFill="1"/>
    <xf numFmtId="0" fontId="0" fillId="0" borderId="0" xfId="0"/>
    <xf numFmtId="0" fontId="0" fillId="0" borderId="0" xfId="0" applyAlignment="1">
      <alignment vertical="center"/>
    </xf>
    <xf numFmtId="0" fontId="0" fillId="2" borderId="0" xfId="0" applyFill="1"/>
    <xf numFmtId="0" fontId="0" fillId="2" borderId="0" xfId="0" applyFill="1" applyAlignment="1">
      <alignment wrapText="1"/>
    </xf>
    <xf numFmtId="0" fontId="0" fillId="0" borderId="0" xfId="0" applyAlignment="1"/>
    <xf numFmtId="0" fontId="3" fillId="4" borderId="27" xfId="0" applyFont="1" applyFill="1" applyBorder="1" applyAlignment="1">
      <alignment horizontal="center"/>
    </xf>
    <xf numFmtId="0" fontId="0" fillId="0" borderId="28" xfId="0" applyFont="1" applyBorder="1" applyAlignment="1">
      <alignment horizontal="center"/>
    </xf>
    <xf numFmtId="0" fontId="3" fillId="4" borderId="5" xfId="0" applyFont="1" applyFill="1" applyBorder="1" applyAlignment="1">
      <alignment horizontal="center"/>
    </xf>
    <xf numFmtId="0" fontId="3" fillId="4" borderId="6" xfId="0" applyFont="1" applyFill="1" applyBorder="1" applyAlignment="1">
      <alignment horizontal="center"/>
    </xf>
    <xf numFmtId="0" fontId="3" fillId="4" borderId="7" xfId="0" applyFont="1" applyFill="1" applyBorder="1" applyAlignment="1">
      <alignment horizontal="center"/>
    </xf>
    <xf numFmtId="0" fontId="0" fillId="0" borderId="0" xfId="0" applyAlignment="1">
      <alignment wrapText="1"/>
    </xf>
    <xf numFmtId="0" fontId="4" fillId="2" borderId="0" xfId="2" applyFill="1" applyAlignment="1">
      <alignment wrapText="1"/>
    </xf>
    <xf numFmtId="0" fontId="3" fillId="2" borderId="0" xfId="0" applyFont="1" applyFill="1" applyAlignment="1">
      <alignment horizontal="center" vertical="center"/>
    </xf>
    <xf numFmtId="0" fontId="3" fillId="2" borderId="1" xfId="0" applyFont="1" applyFill="1" applyBorder="1" applyAlignment="1">
      <alignment horizontal="center" vertical="center"/>
    </xf>
    <xf numFmtId="0" fontId="2" fillId="3" borderId="2" xfId="0" applyFont="1" applyFill="1"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5" fillId="2" borderId="0" xfId="0" applyFont="1" applyFill="1" applyAlignment="1">
      <alignment wrapText="1"/>
    </xf>
    <xf numFmtId="0" fontId="3" fillId="2" borderId="0" xfId="0" applyFont="1" applyFill="1" applyAlignment="1">
      <alignment wrapText="1"/>
    </xf>
    <xf numFmtId="0" fontId="0" fillId="4" borderId="6" xfId="0" applyFill="1" applyBorder="1" applyAlignment="1">
      <alignment horizontal="center"/>
    </xf>
    <xf numFmtId="0" fontId="0" fillId="4" borderId="7" xfId="0" applyFill="1" applyBorder="1" applyAlignment="1">
      <alignment horizontal="center"/>
    </xf>
    <xf numFmtId="0" fontId="3" fillId="4" borderId="2" xfId="0" applyFont="1" applyFill="1" applyBorder="1" applyAlignment="1">
      <alignment horizontal="center"/>
    </xf>
    <xf numFmtId="0" fontId="3" fillId="4" borderId="3" xfId="0" applyFont="1" applyFill="1" applyBorder="1" applyAlignment="1">
      <alignment horizontal="center"/>
    </xf>
    <xf numFmtId="0" fontId="3" fillId="4" borderId="4" xfId="0" applyFont="1" applyFill="1" applyBorder="1" applyAlignment="1">
      <alignment horizontal="center"/>
    </xf>
    <xf numFmtId="0" fontId="3" fillId="4" borderId="20" xfId="0" applyFont="1" applyFill="1" applyBorder="1" applyAlignment="1">
      <alignment horizontal="center"/>
    </xf>
    <xf numFmtId="0" fontId="0" fillId="0" borderId="21" xfId="0" applyFont="1" applyBorder="1" applyAlignment="1">
      <alignment horizontal="center"/>
    </xf>
  </cellXfs>
  <cellStyles count="4">
    <cellStyle name="Hyperlink" xfId="2" builtinId="8"/>
    <cellStyle name="Normal" xfId="0" builtinId="0"/>
    <cellStyle name="Normal 3" xfId="3" xr:uid="{FECC0765-5E06-4356-9C39-E12BCDAA3E3F}"/>
    <cellStyle name="Per cent" xfId="1" builtinId="5"/>
  </cellStyles>
  <dxfs count="130">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numFmt numFmtId="0" formatCode="Genera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6" formatCode="dd/mm/yyyy"/>
      <fill>
        <patternFill patternType="solid">
          <fgColor indexed="64"/>
          <bgColor theme="0"/>
        </patternFill>
      </fill>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bottom style="medium">
          <color indexed="64"/>
        </bottom>
      </border>
    </dxf>
    <dxf>
      <fill>
        <patternFill patternType="solid">
          <fgColor indexed="64"/>
          <bgColor rgb="FF00B050"/>
        </patternFill>
      </fill>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Global!$H$2</c:f>
              <c:strCache>
                <c:ptCount val="1"/>
                <c:pt idx="0">
                  <c:v>Global Services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numCache>
            </c:numRef>
          </c:val>
          <c:extLst>
            <c:ext xmlns:c16="http://schemas.microsoft.com/office/drawing/2014/chart" uri="{C3380CC4-5D6E-409C-BE32-E72D297353CC}">
              <c16:uniqueId val="{00000000-AEBB-49FC-85AD-C11DE7871B6E}"/>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AEBB-49FC-85AD-C11DE7871B6E}"/>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16"/>
          <c:y val="1.372801187310885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round/>
            </a:ln>
            <a:effectLst/>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3BC6-4196-8FF6-48451E8E7958}"/>
            </c:ext>
          </c:extLst>
        </c:ser>
        <c:ser>
          <c:idx val="1"/>
          <c:order val="1"/>
          <c:tx>
            <c:strRef>
              <c:f>Summary!$D$2</c:f>
              <c:strCache>
                <c:ptCount val="1"/>
                <c:pt idx="0">
                  <c:v>US</c:v>
                </c:pt>
              </c:strCache>
            </c:strRef>
          </c:tx>
          <c:spPr>
            <a:ln w="28575" cap="rnd">
              <a:solidFill>
                <a:schemeClr val="accent2"/>
              </a:solidFill>
              <a:round/>
            </a:ln>
            <a:effectLst/>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3BC6-4196-8FF6-48451E8E7958}"/>
            </c:ext>
          </c:extLst>
        </c:ser>
        <c:ser>
          <c:idx val="2"/>
          <c:order val="2"/>
          <c:tx>
            <c:strRef>
              <c:f>Summary!$E$2</c:f>
              <c:strCache>
                <c:ptCount val="1"/>
                <c:pt idx="0">
                  <c:v>China </c:v>
                </c:pt>
              </c:strCache>
            </c:strRef>
          </c:tx>
          <c:spPr>
            <a:ln w="28575" cap="rnd">
              <a:solidFill>
                <a:schemeClr val="accent3"/>
              </a:solidFill>
              <a:round/>
            </a:ln>
            <a:effectLst/>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3BC6-4196-8FF6-48451E8E7958}"/>
            </c:ext>
          </c:extLst>
        </c:ser>
        <c:ser>
          <c:idx val="3"/>
          <c:order val="3"/>
          <c:tx>
            <c:strRef>
              <c:f>Summary!$F$2</c:f>
              <c:strCache>
                <c:ptCount val="1"/>
                <c:pt idx="0">
                  <c:v>Eurozone</c:v>
                </c:pt>
              </c:strCache>
            </c:strRef>
          </c:tx>
          <c:spPr>
            <a:ln w="28575" cap="rnd">
              <a:solidFill>
                <a:schemeClr val="accent4"/>
              </a:solidFill>
              <a:round/>
            </a:ln>
            <a:effectLst/>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3BC6-4196-8FF6-48451E8E7958}"/>
            </c:ext>
          </c:extLst>
        </c:ser>
        <c:ser>
          <c:idx val="4"/>
          <c:order val="4"/>
          <c:tx>
            <c:strRef>
              <c:f>Summary!$G$2</c:f>
              <c:strCache>
                <c:ptCount val="1"/>
                <c:pt idx="0">
                  <c:v>Japan </c:v>
                </c:pt>
              </c:strCache>
            </c:strRef>
          </c:tx>
          <c:spPr>
            <a:ln w="28575" cap="rnd">
              <a:solidFill>
                <a:schemeClr val="accent5"/>
              </a:solidFill>
              <a:round/>
            </a:ln>
            <a:effectLst/>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3BC6-4196-8FF6-48451E8E7958}"/>
            </c:ext>
          </c:extLst>
        </c:ser>
        <c:dLbls>
          <c:showLegendKey val="0"/>
          <c:showVal val="0"/>
          <c:showCatName val="0"/>
          <c:showSerName val="0"/>
          <c:showPercent val="0"/>
          <c:showBubbleSize val="0"/>
        </c:dLbls>
        <c:smooth val="0"/>
        <c:axId val="147343951"/>
        <c:axId val="288629663"/>
        <c:extLst>
          <c:ext xmlns:c15="http://schemas.microsoft.com/office/drawing/2012/chart" uri="{02D57815-91ED-43cb-92C2-25804820EDAC}">
            <c15:filteredLineSeries>
              <c15:ser>
                <c:idx val="5"/>
                <c:order val="5"/>
                <c:spPr>
                  <a:ln w="28575" cap="rnd">
                    <a:solidFill>
                      <a:schemeClr val="accent6"/>
                    </a:solidFill>
                    <a:round/>
                  </a:ln>
                  <a:effectLst/>
                </c:spPr>
                <c:marker>
                  <c:symbol val="none"/>
                </c:marker>
                <c:cat>
                  <c:numRef>
                    <c:extLst>
                      <c:ext uri="{02D57815-91ED-43cb-92C2-25804820EDAC}">
                        <c15:formulaRef>
                          <c15:sqref>Summary!$B$46:$B$89</c15:sqref>
                        </c15:formulaRef>
                      </c:ext>
                    </c:extLst>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extLst>
                      <c:ext uri="{02D57815-91ED-43cb-92C2-25804820EDAC}">
                        <c15:formulaRef>
                          <c15:sqref>Summary!$H$46:$H$89</c15:sqref>
                        </c15:formulaRef>
                      </c:ext>
                    </c:extLst>
                    <c:numCache>
                      <c:formatCode>0.0</c:formatCode>
                      <c:ptCount val="44"/>
                      <c:pt idx="0">
                        <c:v>57.3</c:v>
                      </c:pt>
                      <c:pt idx="1">
                        <c:v>55.3</c:v>
                      </c:pt>
                      <c:pt idx="2">
                        <c:v>53.9</c:v>
                      </c:pt>
                      <c:pt idx="3">
                        <c:v>53</c:v>
                      </c:pt>
                      <c:pt idx="4">
                        <c:v>52.1</c:v>
                      </c:pt>
                      <c:pt idx="5">
                        <c:v>54.5</c:v>
                      </c:pt>
                      <c:pt idx="6">
                        <c:v>54.1</c:v>
                      </c:pt>
                      <c:pt idx="7">
                        <c:v>55</c:v>
                      </c:pt>
                      <c:pt idx="8">
                        <c:v>55.9</c:v>
                      </c:pt>
                      <c:pt idx="9">
                        <c:v>54.7</c:v>
                      </c:pt>
                      <c:pt idx="10">
                        <c:v>53.3</c:v>
                      </c:pt>
                      <c:pt idx="11">
                        <c:v>51.8</c:v>
                      </c:pt>
                      <c:pt idx="12">
                        <c:v>53</c:v>
                      </c:pt>
                      <c:pt idx="13">
                        <c:v>55.3</c:v>
                      </c:pt>
                      <c:pt idx="14">
                        <c:v>55.4</c:v>
                      </c:pt>
                      <c:pt idx="15">
                        <c:v>55.7</c:v>
                      </c:pt>
                      <c:pt idx="16">
                        <c:v>55.4</c:v>
                      </c:pt>
                      <c:pt idx="17">
                        <c:v>55.8</c:v>
                      </c:pt>
                      <c:pt idx="18">
                        <c:v>54.5</c:v>
                      </c:pt>
                      <c:pt idx="19">
                        <c:v>54.8</c:v>
                      </c:pt>
                      <c:pt idx="20">
                        <c:v>51.4</c:v>
                      </c:pt>
                      <c:pt idx="21">
                        <c:v>51.6</c:v>
                      </c:pt>
                      <c:pt idx="22">
                        <c:v>51.7</c:v>
                      </c:pt>
                      <c:pt idx="23">
                        <c:v>52.9</c:v>
                      </c:pt>
                      <c:pt idx="24">
                        <c:v>54.2</c:v>
                      </c:pt>
                      <c:pt idx="25">
                        <c:v>52.5</c:v>
                      </c:pt>
                      <c:pt idx="26">
                        <c:v>31.7</c:v>
                      </c:pt>
                      <c:pt idx="27">
                        <c:v>16.2</c:v>
                      </c:pt>
                      <c:pt idx="28">
                        <c:v>32.6</c:v>
                      </c:pt>
                      <c:pt idx="29">
                        <c:v>47.3</c:v>
                      </c:pt>
                      <c:pt idx="30">
                        <c:v>55.6</c:v>
                      </c:pt>
                      <c:pt idx="31">
                        <c:v>52.5</c:v>
                      </c:pt>
                      <c:pt idx="32">
                        <c:v>50.6</c:v>
                      </c:pt>
                      <c:pt idx="33">
                        <c:v>49.5</c:v>
                      </c:pt>
                      <c:pt idx="34">
                        <c:v>46</c:v>
                      </c:pt>
                      <c:pt idx="35">
                        <c:v>47</c:v>
                      </c:pt>
                      <c:pt idx="36">
                        <c:v>46.7</c:v>
                      </c:pt>
                      <c:pt idx="37">
                        <c:v>45.7</c:v>
                      </c:pt>
                      <c:pt idx="38">
                        <c:v>51.5</c:v>
                      </c:pt>
                      <c:pt idx="39">
                        <c:v>49.9</c:v>
                      </c:pt>
                      <c:pt idx="40">
                        <c:v>52.8</c:v>
                      </c:pt>
                      <c:pt idx="41">
                        <c:v>57.5</c:v>
                      </c:pt>
                      <c:pt idx="42">
                        <c:v>61.8</c:v>
                      </c:pt>
                      <c:pt idx="43">
                        <c:v>60.8</c:v>
                      </c:pt>
                    </c:numCache>
                  </c:numRef>
                </c:val>
                <c:smooth val="0"/>
                <c:extLst>
                  <c:ext xmlns:c16="http://schemas.microsoft.com/office/drawing/2014/chart" uri="{C3380CC4-5D6E-409C-BE32-E72D297353CC}">
                    <c16:uniqueId val="{00000005-3BC6-4196-8FF6-48451E8E7958}"/>
                  </c:ext>
                </c:extLst>
              </c15:ser>
            </c15:filteredLineSeries>
            <c15:filteredLineSeries>
              <c15:ser>
                <c:idx val="6"/>
                <c:order val="6"/>
                <c:spPr>
                  <a:ln w="28575" cap="rnd">
                    <a:solidFill>
                      <a:schemeClr val="accent1">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Summary!$B$46:$B$89</c15:sqref>
                        </c15:formulaRef>
                      </c:ext>
                    </c:extLst>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extLst xmlns:c15="http://schemas.microsoft.com/office/drawing/2012/chart">
                      <c:ext xmlns:c15="http://schemas.microsoft.com/office/drawing/2012/chart" uri="{02D57815-91ED-43cb-92C2-25804820EDAC}">
                        <c15:formulaRef>
                          <c15:sqref>Summary!$I$46:$I$89</c15:sqref>
                        </c15:formulaRef>
                      </c:ext>
                    </c:extLst>
                    <c:numCache>
                      <c:formatCode>0.0</c:formatCode>
                      <c:ptCount val="44"/>
                      <c:pt idx="0">
                        <c:v>59.2</c:v>
                      </c:pt>
                      <c:pt idx="1">
                        <c:v>57.4</c:v>
                      </c:pt>
                      <c:pt idx="2">
                        <c:v>56.8</c:v>
                      </c:pt>
                      <c:pt idx="3">
                        <c:v>57.4</c:v>
                      </c:pt>
                      <c:pt idx="4">
                        <c:v>54.3</c:v>
                      </c:pt>
                      <c:pt idx="5">
                        <c:v>55.9</c:v>
                      </c:pt>
                      <c:pt idx="6">
                        <c:v>54.9</c:v>
                      </c:pt>
                      <c:pt idx="7">
                        <c:v>55.4</c:v>
                      </c:pt>
                      <c:pt idx="8">
                        <c:v>54.8</c:v>
                      </c:pt>
                      <c:pt idx="9">
                        <c:v>55.3</c:v>
                      </c:pt>
                      <c:pt idx="10">
                        <c:v>55.1</c:v>
                      </c:pt>
                      <c:pt idx="11">
                        <c:v>49</c:v>
                      </c:pt>
                      <c:pt idx="12">
                        <c:v>47.8</c:v>
                      </c:pt>
                      <c:pt idx="13">
                        <c:v>50.2</c:v>
                      </c:pt>
                      <c:pt idx="14">
                        <c:v>49.1</c:v>
                      </c:pt>
                      <c:pt idx="15">
                        <c:v>50.5</c:v>
                      </c:pt>
                      <c:pt idx="16">
                        <c:v>51.5</c:v>
                      </c:pt>
                      <c:pt idx="17">
                        <c:v>52.9</c:v>
                      </c:pt>
                      <c:pt idx="18">
                        <c:v>52.6</c:v>
                      </c:pt>
                      <c:pt idx="19">
                        <c:v>53.4</c:v>
                      </c:pt>
                      <c:pt idx="20">
                        <c:v>51.1</c:v>
                      </c:pt>
                      <c:pt idx="21">
                        <c:v>52.9</c:v>
                      </c:pt>
                      <c:pt idx="22">
                        <c:v>52.2</c:v>
                      </c:pt>
                      <c:pt idx="23">
                        <c:v>52.4</c:v>
                      </c:pt>
                      <c:pt idx="24">
                        <c:v>51</c:v>
                      </c:pt>
                      <c:pt idx="25">
                        <c:v>52.5</c:v>
                      </c:pt>
                      <c:pt idx="26">
                        <c:v>27.4</c:v>
                      </c:pt>
                      <c:pt idx="27">
                        <c:v>10.199999999999999</c:v>
                      </c:pt>
                      <c:pt idx="28">
                        <c:v>31.1</c:v>
                      </c:pt>
                      <c:pt idx="29">
                        <c:v>50.7</c:v>
                      </c:pt>
                      <c:pt idx="30">
                        <c:v>57.3</c:v>
                      </c:pt>
                      <c:pt idx="31">
                        <c:v>51.5</c:v>
                      </c:pt>
                      <c:pt idx="32">
                        <c:v>47.5</c:v>
                      </c:pt>
                      <c:pt idx="33">
                        <c:v>46.5</c:v>
                      </c:pt>
                      <c:pt idx="34">
                        <c:v>38.799999999999997</c:v>
                      </c:pt>
                      <c:pt idx="35">
                        <c:v>49.1</c:v>
                      </c:pt>
                      <c:pt idx="36">
                        <c:v>47.3</c:v>
                      </c:pt>
                      <c:pt idx="37">
                        <c:v>45.6</c:v>
                      </c:pt>
                      <c:pt idx="38">
                        <c:v>48.2</c:v>
                      </c:pt>
                      <c:pt idx="39">
                        <c:v>50.3</c:v>
                      </c:pt>
                      <c:pt idx="40">
                        <c:v>56.6</c:v>
                      </c:pt>
                      <c:pt idx="41">
                        <c:v>57.8</c:v>
                      </c:pt>
                      <c:pt idx="42">
                        <c:v>56.8</c:v>
                      </c:pt>
                      <c:pt idx="43">
                        <c:v>56.3</c:v>
                      </c:pt>
                    </c:numCache>
                  </c:numRef>
                </c:val>
                <c:smooth val="0"/>
                <c:extLst xmlns:c15="http://schemas.microsoft.com/office/drawing/2012/chart">
                  <c:ext xmlns:c16="http://schemas.microsoft.com/office/drawing/2014/chart" uri="{C3380CC4-5D6E-409C-BE32-E72D297353CC}">
                    <c16:uniqueId val="{00000006-3BC6-4196-8FF6-48451E8E7958}"/>
                  </c:ext>
                </c:extLst>
              </c15:ser>
            </c15:filteredLineSeries>
            <c15:filteredLineSeries>
              <c15:ser>
                <c:idx val="7"/>
                <c:order val="7"/>
                <c:spPr>
                  <a:ln w="28575" cap="rnd">
                    <a:solidFill>
                      <a:schemeClr val="accent2">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Summary!$B$46:$B$89</c15:sqref>
                        </c15:formulaRef>
                      </c:ext>
                    </c:extLst>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extLst xmlns:c15="http://schemas.microsoft.com/office/drawing/2012/chart">
                      <c:ext xmlns:c15="http://schemas.microsoft.com/office/drawing/2012/chart" uri="{02D57815-91ED-43cb-92C2-25804820EDAC}">
                        <c15:formulaRef>
                          <c15:sqref>Summary!$J$46:$J$89</c15:sqref>
                        </c15:formulaRef>
                      </c:ext>
                    </c:extLst>
                    <c:numCache>
                      <c:formatCode>0.0</c:formatCode>
                      <c:ptCount val="44"/>
                      <c:pt idx="0">
                        <c:v>53</c:v>
                      </c:pt>
                      <c:pt idx="1">
                        <c:v>54.5</c:v>
                      </c:pt>
                      <c:pt idx="2">
                        <c:v>51.7</c:v>
                      </c:pt>
                      <c:pt idx="3">
                        <c:v>52.8</c:v>
                      </c:pt>
                      <c:pt idx="4">
                        <c:v>54</c:v>
                      </c:pt>
                      <c:pt idx="5">
                        <c:v>55.1</c:v>
                      </c:pt>
                      <c:pt idx="6">
                        <c:v>53.5</c:v>
                      </c:pt>
                      <c:pt idx="7">
                        <c:v>54.3</c:v>
                      </c:pt>
                      <c:pt idx="8">
                        <c:v>53.9</c:v>
                      </c:pt>
                      <c:pt idx="9">
                        <c:v>52.2</c:v>
                      </c:pt>
                      <c:pt idx="10">
                        <c:v>50.4</c:v>
                      </c:pt>
                      <c:pt idx="11">
                        <c:v>51.2</c:v>
                      </c:pt>
                      <c:pt idx="12">
                        <c:v>50.1</c:v>
                      </c:pt>
                      <c:pt idx="13">
                        <c:v>51.3</c:v>
                      </c:pt>
                      <c:pt idx="14">
                        <c:v>48.9</c:v>
                      </c:pt>
                      <c:pt idx="15">
                        <c:v>50.4</c:v>
                      </c:pt>
                      <c:pt idx="16">
                        <c:v>51</c:v>
                      </c:pt>
                      <c:pt idx="17">
                        <c:v>50.2</c:v>
                      </c:pt>
                      <c:pt idx="18">
                        <c:v>51.4</c:v>
                      </c:pt>
                      <c:pt idx="19">
                        <c:v>50.6</c:v>
                      </c:pt>
                      <c:pt idx="20">
                        <c:v>49.5</c:v>
                      </c:pt>
                      <c:pt idx="21">
                        <c:v>50</c:v>
                      </c:pt>
                      <c:pt idx="22">
                        <c:v>49.3</c:v>
                      </c:pt>
                      <c:pt idx="23">
                        <c:v>50</c:v>
                      </c:pt>
                      <c:pt idx="24">
                        <c:v>53.9</c:v>
                      </c:pt>
                      <c:pt idx="25">
                        <c:v>53.2</c:v>
                      </c:pt>
                      <c:pt idx="26">
                        <c:v>34.5</c:v>
                      </c:pt>
                      <c:pt idx="27">
                        <c:v>13.4</c:v>
                      </c:pt>
                      <c:pt idx="28">
                        <c:v>29</c:v>
                      </c:pt>
                      <c:pt idx="29">
                        <c:v>47.1</c:v>
                      </c:pt>
                      <c:pt idx="30">
                        <c:v>56.5</c:v>
                      </c:pt>
                      <c:pt idx="31">
                        <c:v>58.8</c:v>
                      </c:pt>
                      <c:pt idx="32">
                        <c:v>56.1</c:v>
                      </c:pt>
                      <c:pt idx="33">
                        <c:v>51.4</c:v>
                      </c:pt>
                      <c:pt idx="34">
                        <c:v>47.6</c:v>
                      </c:pt>
                      <c:pt idx="35">
                        <c:v>49.4</c:v>
                      </c:pt>
                      <c:pt idx="36">
                        <c:v>39.5</c:v>
                      </c:pt>
                      <c:pt idx="37">
                        <c:v>49.5</c:v>
                      </c:pt>
                      <c:pt idx="38">
                        <c:v>56.3</c:v>
                      </c:pt>
                      <c:pt idx="39">
                        <c:v>60.1</c:v>
                      </c:pt>
                      <c:pt idx="40">
                        <c:v>62.9</c:v>
                      </c:pt>
                      <c:pt idx="41">
                        <c:v>62.4</c:v>
                      </c:pt>
                      <c:pt idx="42">
                        <c:v>59.6</c:v>
                      </c:pt>
                      <c:pt idx="43">
                        <c:v>55</c:v>
                      </c:pt>
                    </c:numCache>
                  </c:numRef>
                </c:val>
                <c:smooth val="0"/>
                <c:extLst xmlns:c15="http://schemas.microsoft.com/office/drawing/2012/chart">
                  <c:ext xmlns:c16="http://schemas.microsoft.com/office/drawing/2014/chart" uri="{C3380CC4-5D6E-409C-BE32-E72D297353CC}">
                    <c16:uniqueId val="{00000007-3BC6-4196-8FF6-48451E8E7958}"/>
                  </c:ext>
                </c:extLst>
              </c15:ser>
            </c15:filteredLineSeries>
            <c15:filteredLineSeries>
              <c15:ser>
                <c:idx val="8"/>
                <c:order val="8"/>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Summary!$B$46:$B$89</c15:sqref>
                        </c15:formulaRef>
                      </c:ext>
                    </c:extLst>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extLst xmlns:c15="http://schemas.microsoft.com/office/drawing/2012/chart">
                      <c:ext xmlns:c15="http://schemas.microsoft.com/office/drawing/2012/chart" uri="{02D57815-91ED-43cb-92C2-25804820EDAC}">
                        <c15:formulaRef>
                          <c15:sqref>Summary!$K$46:$K$89</c15:sqref>
                        </c15:formulaRef>
                      </c:ext>
                    </c:extLst>
                    <c:numCache>
                      <c:formatCode>0.0</c:formatCode>
                      <c:ptCount val="44"/>
                      <c:pt idx="0">
                        <c:v>57.7</c:v>
                      </c:pt>
                      <c:pt idx="1">
                        <c:v>55</c:v>
                      </c:pt>
                      <c:pt idx="2">
                        <c:v>52.6</c:v>
                      </c:pt>
                      <c:pt idx="3">
                        <c:v>52.6</c:v>
                      </c:pt>
                      <c:pt idx="4">
                        <c:v>53.1</c:v>
                      </c:pt>
                      <c:pt idx="5">
                        <c:v>54.3</c:v>
                      </c:pt>
                      <c:pt idx="6">
                        <c:v>54</c:v>
                      </c:pt>
                      <c:pt idx="7">
                        <c:v>52.6</c:v>
                      </c:pt>
                      <c:pt idx="8">
                        <c:v>53.3</c:v>
                      </c:pt>
                      <c:pt idx="9">
                        <c:v>49.2</c:v>
                      </c:pt>
                      <c:pt idx="10">
                        <c:v>50.3</c:v>
                      </c:pt>
                      <c:pt idx="11">
                        <c:v>50.5</c:v>
                      </c:pt>
                      <c:pt idx="12">
                        <c:v>49.7</c:v>
                      </c:pt>
                      <c:pt idx="13">
                        <c:v>50.4</c:v>
                      </c:pt>
                      <c:pt idx="14">
                        <c:v>53.1</c:v>
                      </c:pt>
                      <c:pt idx="15">
                        <c:v>50.4</c:v>
                      </c:pt>
                      <c:pt idx="16">
                        <c:v>50</c:v>
                      </c:pt>
                      <c:pt idx="17">
                        <c:v>50.5</c:v>
                      </c:pt>
                      <c:pt idx="18">
                        <c:v>51.7</c:v>
                      </c:pt>
                      <c:pt idx="19">
                        <c:v>50.6</c:v>
                      </c:pt>
                      <c:pt idx="20">
                        <c:v>51.4</c:v>
                      </c:pt>
                      <c:pt idx="21">
                        <c:v>52.2</c:v>
                      </c:pt>
                      <c:pt idx="22">
                        <c:v>50.4</c:v>
                      </c:pt>
                      <c:pt idx="23">
                        <c:v>51.1</c:v>
                      </c:pt>
                      <c:pt idx="24">
                        <c:v>51.4</c:v>
                      </c:pt>
                      <c:pt idx="25">
                        <c:v>52.1</c:v>
                      </c:pt>
                      <c:pt idx="26">
                        <c:v>17.399999999999999</c:v>
                      </c:pt>
                      <c:pt idx="27">
                        <c:v>10.8</c:v>
                      </c:pt>
                      <c:pt idx="28">
                        <c:v>28.9</c:v>
                      </c:pt>
                      <c:pt idx="29">
                        <c:v>46.4</c:v>
                      </c:pt>
                      <c:pt idx="30">
                        <c:v>51.6</c:v>
                      </c:pt>
                      <c:pt idx="31">
                        <c:v>47.1</c:v>
                      </c:pt>
                      <c:pt idx="32">
                        <c:v>48.8</c:v>
                      </c:pt>
                      <c:pt idx="33">
                        <c:v>46.7</c:v>
                      </c:pt>
                      <c:pt idx="34">
                        <c:v>39.4</c:v>
                      </c:pt>
                      <c:pt idx="35">
                        <c:v>39.700000000000003</c:v>
                      </c:pt>
                      <c:pt idx="36">
                        <c:v>44.7</c:v>
                      </c:pt>
                      <c:pt idx="37">
                        <c:v>48.8</c:v>
                      </c:pt>
                      <c:pt idx="38">
                        <c:v>48.6</c:v>
                      </c:pt>
                      <c:pt idx="39">
                        <c:v>47.3</c:v>
                      </c:pt>
                      <c:pt idx="40">
                        <c:v>53.1</c:v>
                      </c:pt>
                      <c:pt idx="41">
                        <c:v>56.8</c:v>
                      </c:pt>
                      <c:pt idx="42">
                        <c:v>58</c:v>
                      </c:pt>
                      <c:pt idx="43">
                        <c:v>58</c:v>
                      </c:pt>
                    </c:numCache>
                  </c:numRef>
                </c:val>
                <c:smooth val="0"/>
                <c:extLst xmlns:c15="http://schemas.microsoft.com/office/drawing/2012/chart">
                  <c:ext xmlns:c16="http://schemas.microsoft.com/office/drawing/2014/chart" uri="{C3380CC4-5D6E-409C-BE32-E72D297353CC}">
                    <c16:uniqueId val="{00000008-3BC6-4196-8FF6-48451E8E7958}"/>
                  </c:ext>
                </c:extLst>
              </c15:ser>
            </c15:filteredLineSeries>
            <c15:filteredLineSeries>
              <c15:ser>
                <c:idx val="9"/>
                <c:order val="9"/>
                <c:spPr>
                  <a:ln w="28575" cap="rnd">
                    <a:solidFill>
                      <a:schemeClr val="accent4">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Summary!$B$46:$B$89</c15:sqref>
                        </c15:formulaRef>
                      </c:ext>
                    </c:extLst>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extLst xmlns:c15="http://schemas.microsoft.com/office/drawing/2012/chart">
                      <c:ext xmlns:c15="http://schemas.microsoft.com/office/drawing/2012/chart" uri="{02D57815-91ED-43cb-92C2-25804820EDAC}">
                        <c15:formulaRef>
                          <c15:sqref>Summary!$L$46:$L$89</c15:sqref>
                        </c15:formulaRef>
                      </c:ext>
                    </c:extLst>
                    <c:numCache>
                      <c:formatCode>0.0</c:formatCode>
                      <c:ptCount val="44"/>
                      <c:pt idx="0">
                        <c:v>56.9</c:v>
                      </c:pt>
                      <c:pt idx="1">
                        <c:v>57.3</c:v>
                      </c:pt>
                      <c:pt idx="2">
                        <c:v>56.2</c:v>
                      </c:pt>
                      <c:pt idx="3">
                        <c:v>55.6</c:v>
                      </c:pt>
                      <c:pt idx="4">
                        <c:v>56.4</c:v>
                      </c:pt>
                      <c:pt idx="5">
                        <c:v>55.4</c:v>
                      </c:pt>
                      <c:pt idx="6">
                        <c:v>52.6</c:v>
                      </c:pt>
                      <c:pt idx="7">
                        <c:v>52.7</c:v>
                      </c:pt>
                      <c:pt idx="8">
                        <c:v>52.5</c:v>
                      </c:pt>
                      <c:pt idx="9">
                        <c:v>54</c:v>
                      </c:pt>
                      <c:pt idx="10">
                        <c:v>54</c:v>
                      </c:pt>
                      <c:pt idx="11">
                        <c:v>54</c:v>
                      </c:pt>
                      <c:pt idx="12">
                        <c:v>54.7</c:v>
                      </c:pt>
                      <c:pt idx="13">
                        <c:v>54.5</c:v>
                      </c:pt>
                      <c:pt idx="14">
                        <c:v>56.8</c:v>
                      </c:pt>
                      <c:pt idx="15">
                        <c:v>53.1</c:v>
                      </c:pt>
                      <c:pt idx="16">
                        <c:v>52.8</c:v>
                      </c:pt>
                      <c:pt idx="17">
                        <c:v>53.6</c:v>
                      </c:pt>
                      <c:pt idx="18">
                        <c:v>52.9</c:v>
                      </c:pt>
                      <c:pt idx="19">
                        <c:v>54.3</c:v>
                      </c:pt>
                      <c:pt idx="20">
                        <c:v>53.3</c:v>
                      </c:pt>
                      <c:pt idx="21">
                        <c:v>52.7</c:v>
                      </c:pt>
                      <c:pt idx="22">
                        <c:v>53.2</c:v>
                      </c:pt>
                      <c:pt idx="23">
                        <c:v>54.9</c:v>
                      </c:pt>
                      <c:pt idx="24">
                        <c:v>52.3</c:v>
                      </c:pt>
                      <c:pt idx="25">
                        <c:v>52.1</c:v>
                      </c:pt>
                      <c:pt idx="26">
                        <c:v>23</c:v>
                      </c:pt>
                      <c:pt idx="27">
                        <c:v>7.1</c:v>
                      </c:pt>
                      <c:pt idx="28">
                        <c:v>27.9</c:v>
                      </c:pt>
                      <c:pt idx="29">
                        <c:v>50.2</c:v>
                      </c:pt>
                      <c:pt idx="30">
                        <c:v>51.9</c:v>
                      </c:pt>
                      <c:pt idx="31">
                        <c:v>47.7</c:v>
                      </c:pt>
                      <c:pt idx="32">
                        <c:v>42.4</c:v>
                      </c:pt>
                      <c:pt idx="33">
                        <c:v>41.4</c:v>
                      </c:pt>
                      <c:pt idx="34">
                        <c:v>39.5</c:v>
                      </c:pt>
                      <c:pt idx="35">
                        <c:v>48</c:v>
                      </c:pt>
                      <c:pt idx="36">
                        <c:v>41.7</c:v>
                      </c:pt>
                      <c:pt idx="37">
                        <c:v>43.1</c:v>
                      </c:pt>
                      <c:pt idx="38">
                        <c:v>48.1</c:v>
                      </c:pt>
                      <c:pt idx="39">
                        <c:v>54.6</c:v>
                      </c:pt>
                      <c:pt idx="40">
                        <c:v>59.4</c:v>
                      </c:pt>
                      <c:pt idx="41">
                        <c:v>62.5</c:v>
                      </c:pt>
                      <c:pt idx="42">
                        <c:v>61.9</c:v>
                      </c:pt>
                      <c:pt idx="43">
                        <c:v>60.1</c:v>
                      </c:pt>
                    </c:numCache>
                  </c:numRef>
                </c:val>
                <c:smooth val="0"/>
                <c:extLst xmlns:c15="http://schemas.microsoft.com/office/drawing/2012/chart">
                  <c:ext xmlns:c16="http://schemas.microsoft.com/office/drawing/2014/chart" uri="{C3380CC4-5D6E-409C-BE32-E72D297353CC}">
                    <c16:uniqueId val="{00000009-3BC6-4196-8FF6-48451E8E7958}"/>
                  </c:ext>
                </c:extLst>
              </c15:ser>
            </c15:filteredLineSeries>
            <c15:filteredLineSeries>
              <c15:ser>
                <c:idx val="10"/>
                <c:order val="10"/>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Summary!$B$46:$B$89</c15:sqref>
                        </c15:formulaRef>
                      </c:ext>
                    </c:extLst>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extLst xmlns:c15="http://schemas.microsoft.com/office/drawing/2012/chart">
                      <c:ext xmlns:c15="http://schemas.microsoft.com/office/drawing/2012/chart" uri="{02D57815-91ED-43cb-92C2-25804820EDAC}">
                        <c15:formulaRef>
                          <c15:sqref>Summary!$M$46:$M$89</c15:sqref>
                        </c15:formulaRef>
                      </c:ext>
                    </c:extLst>
                    <c:numCache>
                      <c:formatCode>0.0</c:formatCode>
                      <c:ptCount val="44"/>
                      <c:pt idx="0">
                        <c:v>50</c:v>
                      </c:pt>
                      <c:pt idx="1">
                        <c:v>52.7</c:v>
                      </c:pt>
                      <c:pt idx="2">
                        <c:v>50.4</c:v>
                      </c:pt>
                      <c:pt idx="3">
                        <c:v>50</c:v>
                      </c:pt>
                      <c:pt idx="4">
                        <c:v>49.5</c:v>
                      </c:pt>
                      <c:pt idx="5">
                        <c:v>47</c:v>
                      </c:pt>
                      <c:pt idx="6">
                        <c:v>50.4</c:v>
                      </c:pt>
                      <c:pt idx="7">
                        <c:v>46.8</c:v>
                      </c:pt>
                      <c:pt idx="8">
                        <c:v>46.4</c:v>
                      </c:pt>
                      <c:pt idx="9">
                        <c:v>50.5</c:v>
                      </c:pt>
                      <c:pt idx="10">
                        <c:v>51.3</c:v>
                      </c:pt>
                      <c:pt idx="11">
                        <c:v>51.9</c:v>
                      </c:pt>
                      <c:pt idx="12">
                        <c:v>52</c:v>
                      </c:pt>
                      <c:pt idx="13">
                        <c:v>52.2</c:v>
                      </c:pt>
                      <c:pt idx="14">
                        <c:v>52.7</c:v>
                      </c:pt>
                      <c:pt idx="15">
                        <c:v>49.9</c:v>
                      </c:pt>
                      <c:pt idx="16">
                        <c:v>47.8</c:v>
                      </c:pt>
                      <c:pt idx="17">
                        <c:v>48.2</c:v>
                      </c:pt>
                      <c:pt idx="18">
                        <c:v>52.2</c:v>
                      </c:pt>
                      <c:pt idx="19">
                        <c:v>51.4</c:v>
                      </c:pt>
                      <c:pt idx="20">
                        <c:v>51.8</c:v>
                      </c:pt>
                      <c:pt idx="21">
                        <c:v>51.2</c:v>
                      </c:pt>
                      <c:pt idx="22">
                        <c:v>50.9</c:v>
                      </c:pt>
                      <c:pt idx="23">
                        <c:v>51</c:v>
                      </c:pt>
                      <c:pt idx="24">
                        <c:v>52.7</c:v>
                      </c:pt>
                      <c:pt idx="25">
                        <c:v>50.4</c:v>
                      </c:pt>
                      <c:pt idx="26">
                        <c:v>34.5</c:v>
                      </c:pt>
                      <c:pt idx="27">
                        <c:v>27.4</c:v>
                      </c:pt>
                      <c:pt idx="28">
                        <c:v>27.6</c:v>
                      </c:pt>
                      <c:pt idx="29">
                        <c:v>35.9</c:v>
                      </c:pt>
                      <c:pt idx="30">
                        <c:v>42.5</c:v>
                      </c:pt>
                      <c:pt idx="31">
                        <c:v>49.5</c:v>
                      </c:pt>
                      <c:pt idx="32">
                        <c:v>50.4</c:v>
                      </c:pt>
                      <c:pt idx="33">
                        <c:v>52.3</c:v>
                      </c:pt>
                      <c:pt idx="34">
                        <c:v>50.9</c:v>
                      </c:pt>
                      <c:pt idx="35">
                        <c:v>51.1</c:v>
                      </c:pt>
                      <c:pt idx="36">
                        <c:v>47</c:v>
                      </c:pt>
                      <c:pt idx="37">
                        <c:v>47.1</c:v>
                      </c:pt>
                      <c:pt idx="38">
                        <c:v>44.1</c:v>
                      </c:pt>
                      <c:pt idx="39">
                        <c:v>42.9</c:v>
                      </c:pt>
                      <c:pt idx="40">
                        <c:v>48.3</c:v>
                      </c:pt>
                      <c:pt idx="41">
                        <c:v>53.9</c:v>
                      </c:pt>
                      <c:pt idx="42">
                        <c:v>54.4</c:v>
                      </c:pt>
                      <c:pt idx="43">
                        <c:v>55.1</c:v>
                      </c:pt>
                    </c:numCache>
                  </c:numRef>
                </c:val>
                <c:smooth val="0"/>
                <c:extLst xmlns:c15="http://schemas.microsoft.com/office/drawing/2012/chart">
                  <c:ext xmlns:c16="http://schemas.microsoft.com/office/drawing/2014/chart" uri="{C3380CC4-5D6E-409C-BE32-E72D297353CC}">
                    <c16:uniqueId val="{0000000A-3BC6-4196-8FF6-48451E8E7958}"/>
                  </c:ext>
                </c:extLst>
              </c15:ser>
            </c15:filteredLineSeries>
            <c15:filteredLineSeries>
              <c15:ser>
                <c:idx val="11"/>
                <c:order val="11"/>
                <c:spPr>
                  <a:ln w="28575" cap="rnd">
                    <a:solidFill>
                      <a:schemeClr val="accent6">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Summary!$B$46:$B$89</c15:sqref>
                        </c15:formulaRef>
                      </c:ext>
                    </c:extLst>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extLst xmlns:c15="http://schemas.microsoft.com/office/drawing/2012/chart">
                      <c:ext xmlns:c15="http://schemas.microsoft.com/office/drawing/2012/chart" uri="{02D57815-91ED-43cb-92C2-25804820EDAC}">
                        <c15:formulaRef>
                          <c15:sqref>Summary!$N$46:$N$89</c15:sqref>
                        </c15:formulaRef>
                      </c:ext>
                    </c:extLst>
                    <c:numCache>
                      <c:formatCode>0.0</c:formatCode>
                      <c:ptCount val="44"/>
                      <c:pt idx="0">
                        <c:v>55.1</c:v>
                      </c:pt>
                      <c:pt idx="1">
                        <c:v>56.5</c:v>
                      </c:pt>
                      <c:pt idx="2">
                        <c:v>53.7</c:v>
                      </c:pt>
                      <c:pt idx="3">
                        <c:v>55.5</c:v>
                      </c:pt>
                      <c:pt idx="4">
                        <c:v>54.1</c:v>
                      </c:pt>
                      <c:pt idx="5">
                        <c:v>52.3</c:v>
                      </c:pt>
                      <c:pt idx="6">
                        <c:v>52.8</c:v>
                      </c:pt>
                      <c:pt idx="7">
                        <c:v>53.3</c:v>
                      </c:pt>
                      <c:pt idx="8">
                        <c:v>54.7</c:v>
                      </c:pt>
                      <c:pt idx="9">
                        <c:v>56.9</c:v>
                      </c:pt>
                      <c:pt idx="10">
                        <c:v>55.6</c:v>
                      </c:pt>
                      <c:pt idx="11">
                        <c:v>54.4</c:v>
                      </c:pt>
                      <c:pt idx="12">
                        <c:v>54.9</c:v>
                      </c:pt>
                      <c:pt idx="13">
                        <c:v>55.3</c:v>
                      </c:pt>
                      <c:pt idx="14">
                        <c:v>54.4</c:v>
                      </c:pt>
                      <c:pt idx="15">
                        <c:v>52.6</c:v>
                      </c:pt>
                      <c:pt idx="16">
                        <c:v>52</c:v>
                      </c:pt>
                      <c:pt idx="17">
                        <c:v>49.7</c:v>
                      </c:pt>
                      <c:pt idx="18">
                        <c:v>50.4</c:v>
                      </c:pt>
                      <c:pt idx="19">
                        <c:v>52.1</c:v>
                      </c:pt>
                      <c:pt idx="20">
                        <c:v>53.6</c:v>
                      </c:pt>
                      <c:pt idx="21">
                        <c:v>55.8</c:v>
                      </c:pt>
                      <c:pt idx="22">
                        <c:v>55.6</c:v>
                      </c:pt>
                      <c:pt idx="23">
                        <c:v>53.1</c:v>
                      </c:pt>
                      <c:pt idx="24">
                        <c:v>54.1</c:v>
                      </c:pt>
                      <c:pt idx="25">
                        <c:v>52</c:v>
                      </c:pt>
                      <c:pt idx="26">
                        <c:v>37.1</c:v>
                      </c:pt>
                      <c:pt idx="27">
                        <c:v>12.2</c:v>
                      </c:pt>
                      <c:pt idx="28">
                        <c:v>35.9</c:v>
                      </c:pt>
                      <c:pt idx="29">
                        <c:v>47.8</c:v>
                      </c:pt>
                      <c:pt idx="30">
                        <c:v>58.5</c:v>
                      </c:pt>
                      <c:pt idx="31">
                        <c:v>58.2</c:v>
                      </c:pt>
                      <c:pt idx="32">
                        <c:v>53.7</c:v>
                      </c:pt>
                      <c:pt idx="33">
                        <c:v>46.9</c:v>
                      </c:pt>
                      <c:pt idx="34">
                        <c:v>48.2</c:v>
                      </c:pt>
                      <c:pt idx="35">
                        <c:v>48</c:v>
                      </c:pt>
                      <c:pt idx="36">
                        <c:v>52.7</c:v>
                      </c:pt>
                      <c:pt idx="37">
                        <c:v>52.2</c:v>
                      </c:pt>
                      <c:pt idx="38">
                        <c:v>55.8</c:v>
                      </c:pt>
                      <c:pt idx="39">
                        <c:v>55.2</c:v>
                      </c:pt>
                      <c:pt idx="40">
                        <c:v>57.5</c:v>
                      </c:pt>
                      <c:pt idx="41">
                        <c:v>56.5</c:v>
                      </c:pt>
                      <c:pt idx="42">
                        <c:v>53.5</c:v>
                      </c:pt>
                      <c:pt idx="43">
                        <c:v>49.3</c:v>
                      </c:pt>
                    </c:numCache>
                  </c:numRef>
                </c:val>
                <c:smooth val="0"/>
                <c:extLst xmlns:c15="http://schemas.microsoft.com/office/drawing/2012/chart">
                  <c:ext xmlns:c16="http://schemas.microsoft.com/office/drawing/2014/chart" uri="{C3380CC4-5D6E-409C-BE32-E72D297353CC}">
                    <c16:uniqueId val="{0000000B-3BC6-4196-8FF6-48451E8E7958}"/>
                  </c:ext>
                </c:extLst>
              </c15:ser>
            </c15:filteredLineSeries>
            <c15:filteredLineSeries>
              <c15:ser>
                <c:idx val="12"/>
                <c:order val="12"/>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Summary!$B$46:$B$89</c15:sqref>
                        </c15:formulaRef>
                      </c:ext>
                    </c:extLst>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extLst xmlns:c15="http://schemas.microsoft.com/office/drawing/2012/chart">
                      <c:ext xmlns:c15="http://schemas.microsoft.com/office/drawing/2012/chart" uri="{02D57815-91ED-43cb-92C2-25804820EDAC}">
                        <c15:formulaRef>
                          <c15:sqref>Summary!$O$46:$O$89</c15:sqref>
                        </c15:formulaRef>
                      </c:ext>
                    </c:extLst>
                    <c:numCache>
                      <c:formatCode>0.0</c:formatCode>
                      <c:ptCount val="44"/>
                      <c:pt idx="0">
                        <c:v>51.7</c:v>
                      </c:pt>
                      <c:pt idx="1">
                        <c:v>47.8</c:v>
                      </c:pt>
                      <c:pt idx="2">
                        <c:v>50.3</c:v>
                      </c:pt>
                      <c:pt idx="3">
                        <c:v>51.4</c:v>
                      </c:pt>
                      <c:pt idx="4">
                        <c:v>49.6</c:v>
                      </c:pt>
                      <c:pt idx="5">
                        <c:v>52.6</c:v>
                      </c:pt>
                      <c:pt idx="6">
                        <c:v>54.2</c:v>
                      </c:pt>
                      <c:pt idx="7">
                        <c:v>51.5</c:v>
                      </c:pt>
                      <c:pt idx="8">
                        <c:v>50.9</c:v>
                      </c:pt>
                      <c:pt idx="9">
                        <c:v>52.2</c:v>
                      </c:pt>
                      <c:pt idx="10">
                        <c:v>53.7</c:v>
                      </c:pt>
                      <c:pt idx="11">
                        <c:v>53.2</c:v>
                      </c:pt>
                      <c:pt idx="12">
                        <c:v>52.2</c:v>
                      </c:pt>
                      <c:pt idx="13">
                        <c:v>52.5</c:v>
                      </c:pt>
                      <c:pt idx="14">
                        <c:v>52</c:v>
                      </c:pt>
                      <c:pt idx="15">
                        <c:v>51</c:v>
                      </c:pt>
                      <c:pt idx="16">
                        <c:v>50.2</c:v>
                      </c:pt>
                      <c:pt idx="17">
                        <c:v>49.6</c:v>
                      </c:pt>
                      <c:pt idx="18">
                        <c:v>53.8</c:v>
                      </c:pt>
                      <c:pt idx="19">
                        <c:v>52.4</c:v>
                      </c:pt>
                      <c:pt idx="20">
                        <c:v>48.7</c:v>
                      </c:pt>
                      <c:pt idx="21">
                        <c:v>49.2</c:v>
                      </c:pt>
                      <c:pt idx="22">
                        <c:v>52.7</c:v>
                      </c:pt>
                      <c:pt idx="23">
                        <c:v>53.3</c:v>
                      </c:pt>
                      <c:pt idx="24">
                        <c:v>55.5</c:v>
                      </c:pt>
                      <c:pt idx="25">
                        <c:v>57.5</c:v>
                      </c:pt>
                      <c:pt idx="26">
                        <c:v>49.3</c:v>
                      </c:pt>
                      <c:pt idx="27">
                        <c:v>49.3</c:v>
                      </c:pt>
                      <c:pt idx="28">
                        <c:v>12.6</c:v>
                      </c:pt>
                      <c:pt idx="29">
                        <c:v>33.700000000000003</c:v>
                      </c:pt>
                      <c:pt idx="30">
                        <c:v>34.200000000000003</c:v>
                      </c:pt>
                      <c:pt idx="31">
                        <c:v>41.8</c:v>
                      </c:pt>
                      <c:pt idx="32">
                        <c:v>49.8</c:v>
                      </c:pt>
                      <c:pt idx="33">
                        <c:v>54.1</c:v>
                      </c:pt>
                      <c:pt idx="34">
                        <c:v>53.7</c:v>
                      </c:pt>
                      <c:pt idx="35">
                        <c:v>52.3</c:v>
                      </c:pt>
                      <c:pt idx="36">
                        <c:v>52.8</c:v>
                      </c:pt>
                      <c:pt idx="37">
                        <c:v>55.3</c:v>
                      </c:pt>
                      <c:pt idx="38">
                        <c:v>54.6</c:v>
                      </c:pt>
                      <c:pt idx="39">
                        <c:v>54</c:v>
                      </c:pt>
                      <c:pt idx="40">
                        <c:v>46.4</c:v>
                      </c:pt>
                      <c:pt idx="41">
                        <c:v>41.2</c:v>
                      </c:pt>
                      <c:pt idx="42">
                        <c:v>45.4</c:v>
                      </c:pt>
                      <c:pt idx="43">
                        <c:v>56.7</c:v>
                      </c:pt>
                    </c:numCache>
                  </c:numRef>
                </c:val>
                <c:smooth val="0"/>
                <c:extLst xmlns:c15="http://schemas.microsoft.com/office/drawing/2012/chart">
                  <c:ext xmlns:c16="http://schemas.microsoft.com/office/drawing/2014/chart" uri="{C3380CC4-5D6E-409C-BE32-E72D297353CC}">
                    <c16:uniqueId val="{0000000C-3BC6-4196-8FF6-48451E8E7958}"/>
                  </c:ext>
                </c:extLst>
              </c15:ser>
            </c15:filteredLineSeries>
            <c15:filteredLineSeries>
              <c15:ser>
                <c:idx val="13"/>
                <c:order val="13"/>
                <c:spPr>
                  <a:ln w="28575" cap="rnd">
                    <a:solidFill>
                      <a:schemeClr val="accent2">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Summary!$B$46:$B$89</c15:sqref>
                        </c15:formulaRef>
                      </c:ext>
                    </c:extLst>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extLst xmlns:c15="http://schemas.microsoft.com/office/drawing/2012/chart">
                      <c:ext xmlns:c15="http://schemas.microsoft.com/office/drawing/2012/chart" uri="{02D57815-91ED-43cb-92C2-25804820EDAC}">
                        <c15:formulaRef>
                          <c15:sqref>Summary!$P$46:$P$89</c15:sqref>
                        </c15:formulaRef>
                      </c:ext>
                    </c:extLst>
                    <c:numCache>
                      <c:formatCode>0.0</c:formatCode>
                      <c:ptCount val="44"/>
                      <c:pt idx="0">
                        <c:v>54.9</c:v>
                      </c:pt>
                      <c:pt idx="1">
                        <c:v>54</c:v>
                      </c:pt>
                      <c:pt idx="2">
                        <c:v>56.9</c:v>
                      </c:pt>
                      <c:pt idx="3">
                        <c:v>55.2</c:v>
                      </c:pt>
                      <c:pt idx="4">
                        <c:v>59</c:v>
                      </c:pt>
                      <c:pt idx="5">
                        <c:v>63</c:v>
                      </c:pt>
                      <c:pt idx="6">
                        <c:v>53.6</c:v>
                      </c:pt>
                      <c:pt idx="7">
                        <c:v>52.2</c:v>
                      </c:pt>
                      <c:pt idx="8">
                        <c:v>52.5</c:v>
                      </c:pt>
                      <c:pt idx="9">
                        <c:v>51.1</c:v>
                      </c:pt>
                      <c:pt idx="10">
                        <c:v>55.1</c:v>
                      </c:pt>
                      <c:pt idx="11">
                        <c:v>52.1</c:v>
                      </c:pt>
                      <c:pt idx="12">
                        <c:v>44.3</c:v>
                      </c:pt>
                      <c:pt idx="13">
                        <c:v>44.5</c:v>
                      </c:pt>
                      <c:pt idx="14">
                        <c:v>44.8</c:v>
                      </c:pt>
                      <c:pt idx="15">
                        <c:v>46.5</c:v>
                      </c:pt>
                      <c:pt idx="16">
                        <c:v>52.5</c:v>
                      </c:pt>
                      <c:pt idx="17">
                        <c:v>52.2</c:v>
                      </c:pt>
                      <c:pt idx="18">
                        <c:v>43.9</c:v>
                      </c:pt>
                      <c:pt idx="19">
                        <c:v>51.4</c:v>
                      </c:pt>
                      <c:pt idx="20">
                        <c:v>51.5</c:v>
                      </c:pt>
                      <c:pt idx="21">
                        <c:v>54.2</c:v>
                      </c:pt>
                      <c:pt idx="22">
                        <c:v>53.7</c:v>
                      </c:pt>
                      <c:pt idx="23">
                        <c:v>48.7</c:v>
                      </c:pt>
                      <c:pt idx="24">
                        <c:v>46.6</c:v>
                      </c:pt>
                      <c:pt idx="25">
                        <c:v>47</c:v>
                      </c:pt>
                      <c:pt idx="26">
                        <c:v>38.700000000000003</c:v>
                      </c:pt>
                      <c:pt idx="27">
                        <c:v>27.1</c:v>
                      </c:pt>
                      <c:pt idx="28">
                        <c:v>31.6</c:v>
                      </c:pt>
                      <c:pt idx="29">
                        <c:v>31.5</c:v>
                      </c:pt>
                      <c:pt idx="30">
                        <c:v>44</c:v>
                      </c:pt>
                      <c:pt idx="31">
                        <c:v>43.5</c:v>
                      </c:pt>
                      <c:pt idx="32">
                        <c:v>36.200000000000003</c:v>
                      </c:pt>
                      <c:pt idx="33">
                        <c:v>51.4</c:v>
                      </c:pt>
                      <c:pt idx="34">
                        <c:v>52.9</c:v>
                      </c:pt>
                      <c:pt idx="35">
                        <c:v>54.3</c:v>
                      </c:pt>
                      <c:pt idx="36">
                        <c:v>54.3</c:v>
                      </c:pt>
                      <c:pt idx="37">
                        <c:v>55.8</c:v>
                      </c:pt>
                      <c:pt idx="38">
                        <c:v>58.7</c:v>
                      </c:pt>
                      <c:pt idx="39">
                        <c:v>61</c:v>
                      </c:pt>
                      <c:pt idx="40">
                        <c:v>61.2</c:v>
                      </c:pt>
                      <c:pt idx="41">
                        <c:v>57.8</c:v>
                      </c:pt>
                      <c:pt idx="42">
                        <c:v>51.7</c:v>
                      </c:pt>
                      <c:pt idx="43">
                        <c:v>45.6</c:v>
                      </c:pt>
                    </c:numCache>
                  </c:numRef>
                </c:val>
                <c:smooth val="0"/>
                <c:extLst xmlns:c15="http://schemas.microsoft.com/office/drawing/2012/chart">
                  <c:ext xmlns:c16="http://schemas.microsoft.com/office/drawing/2014/chart" uri="{C3380CC4-5D6E-409C-BE32-E72D297353CC}">
                    <c16:uniqueId val="{0000000D-3BC6-4196-8FF6-48451E8E7958}"/>
                  </c:ext>
                </c:extLst>
              </c15:ser>
            </c15:filteredLineSeries>
            <c15:filteredLineSeries>
              <c15:ser>
                <c:idx val="14"/>
                <c:order val="14"/>
                <c:spPr>
                  <a:ln w="28575" cap="rnd">
                    <a:solidFill>
                      <a:schemeClr val="accent3">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Summary!$B$46:$B$89</c15:sqref>
                        </c15:formulaRef>
                      </c:ext>
                    </c:extLst>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extLst xmlns:c15="http://schemas.microsoft.com/office/drawing/2012/chart">
                      <c:ext xmlns:c15="http://schemas.microsoft.com/office/drawing/2012/chart" uri="{02D57815-91ED-43cb-92C2-25804820EDAC}">
                        <c15:formulaRef>
                          <c15:sqref>Summary!$Q$46:$Q$89</c15:sqref>
                        </c15:formulaRef>
                      </c:ext>
                    </c:extLst>
                    <c:numCache>
                      <c:formatCode>0.0</c:formatCode>
                      <c:ptCount val="44"/>
                      <c:pt idx="0">
                        <c:v>59.8</c:v>
                      </c:pt>
                      <c:pt idx="1">
                        <c:v>57.2</c:v>
                      </c:pt>
                      <c:pt idx="2">
                        <c:v>56.5</c:v>
                      </c:pt>
                      <c:pt idx="3">
                        <c:v>58.3</c:v>
                      </c:pt>
                      <c:pt idx="4">
                        <c:v>59.3</c:v>
                      </c:pt>
                      <c:pt idx="5">
                        <c:v>59.5</c:v>
                      </c:pt>
                      <c:pt idx="6">
                        <c:v>57.4</c:v>
                      </c:pt>
                      <c:pt idx="7">
                        <c:v>58</c:v>
                      </c:pt>
                      <c:pt idx="8">
                        <c:v>58.7</c:v>
                      </c:pt>
                      <c:pt idx="9">
                        <c:v>57.2</c:v>
                      </c:pt>
                      <c:pt idx="10">
                        <c:v>57.1</c:v>
                      </c:pt>
                      <c:pt idx="11">
                        <c:v>56.3</c:v>
                      </c:pt>
                      <c:pt idx="12">
                        <c:v>54.2</c:v>
                      </c:pt>
                      <c:pt idx="13">
                        <c:v>55.9</c:v>
                      </c:pt>
                      <c:pt idx="14">
                        <c:v>55.3</c:v>
                      </c:pt>
                      <c:pt idx="15">
                        <c:v>54.7</c:v>
                      </c:pt>
                      <c:pt idx="16">
                        <c:v>57</c:v>
                      </c:pt>
                      <c:pt idx="17">
                        <c:v>56.9</c:v>
                      </c:pt>
                      <c:pt idx="18">
                        <c:v>55</c:v>
                      </c:pt>
                      <c:pt idx="19">
                        <c:v>54.6</c:v>
                      </c:pt>
                      <c:pt idx="20">
                        <c:v>53.1</c:v>
                      </c:pt>
                      <c:pt idx="21">
                        <c:v>50.6</c:v>
                      </c:pt>
                      <c:pt idx="22">
                        <c:v>52</c:v>
                      </c:pt>
                      <c:pt idx="23">
                        <c:v>55.9</c:v>
                      </c:pt>
                      <c:pt idx="24">
                        <c:v>56.9</c:v>
                      </c:pt>
                      <c:pt idx="25">
                        <c:v>59.9</c:v>
                      </c:pt>
                      <c:pt idx="26">
                        <c:v>32.5</c:v>
                      </c:pt>
                      <c:pt idx="27">
                        <c:v>13.9</c:v>
                      </c:pt>
                      <c:pt idx="28">
                        <c:v>23.4</c:v>
                      </c:pt>
                      <c:pt idx="29">
                        <c:v>39.700000000000003</c:v>
                      </c:pt>
                      <c:pt idx="30">
                        <c:v>51.9</c:v>
                      </c:pt>
                      <c:pt idx="31">
                        <c:v>52.4</c:v>
                      </c:pt>
                      <c:pt idx="32">
                        <c:v>45.8</c:v>
                      </c:pt>
                      <c:pt idx="33">
                        <c:v>48.3</c:v>
                      </c:pt>
                      <c:pt idx="34">
                        <c:v>45.4</c:v>
                      </c:pt>
                      <c:pt idx="35">
                        <c:v>50.1</c:v>
                      </c:pt>
                      <c:pt idx="36">
                        <c:v>36.200000000000003</c:v>
                      </c:pt>
                      <c:pt idx="37">
                        <c:v>41.2</c:v>
                      </c:pt>
                      <c:pt idx="38">
                        <c:v>54.6</c:v>
                      </c:pt>
                      <c:pt idx="39">
                        <c:v>57.7</c:v>
                      </c:pt>
                      <c:pt idx="40">
                        <c:v>62.1</c:v>
                      </c:pt>
                      <c:pt idx="41">
                        <c:v>63.1</c:v>
                      </c:pt>
                      <c:pt idx="42">
                        <c:v>66.599999999999994</c:v>
                      </c:pt>
                      <c:pt idx="43">
                        <c:v>63.7</c:v>
                      </c:pt>
                    </c:numCache>
                  </c:numRef>
                </c:val>
                <c:smooth val="0"/>
                <c:extLst xmlns:c15="http://schemas.microsoft.com/office/drawing/2012/chart">
                  <c:ext xmlns:c16="http://schemas.microsoft.com/office/drawing/2014/chart" uri="{C3380CC4-5D6E-409C-BE32-E72D297353CC}">
                    <c16:uniqueId val="{0000000E-3BC6-4196-8FF6-48451E8E7958}"/>
                  </c:ext>
                </c:extLst>
              </c15:ser>
            </c15:filteredLineSeries>
          </c:ext>
        </c:extLst>
      </c:lineChart>
      <c:dateAx>
        <c:axId val="147343951"/>
        <c:scaling>
          <c:orientation val="minMax"/>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8629663"/>
        <c:crosses val="autoZero"/>
        <c:auto val="1"/>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Global!$H$2</c:f>
              <c:strCache>
                <c:ptCount val="1"/>
                <c:pt idx="0">
                  <c:v>Global Services PMI</c:v>
                </c:pt>
              </c:strCache>
            </c:strRef>
          </c:tx>
          <c:spPr>
            <a:solidFill>
              <a:schemeClr val="accent1">
                <a:shade val="76000"/>
              </a:schemeClr>
            </a:solidFill>
            <a:ln>
              <a:noFill/>
            </a:ln>
            <a:effectLst/>
          </c:spPr>
          <c:cat>
            <c:numRef>
              <c:f>Global!$A$6:$A$320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Global!$B$6:$B$320</c:f>
              <c:numCache>
                <c:formatCode>General</c:formatCode>
                <c:ptCount val="315"/>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numCache>
            </c:numRef>
          </c:val>
          <c:extLst>
            <c:ext xmlns:c16="http://schemas.microsoft.com/office/drawing/2014/chart" uri="{C3380CC4-5D6E-409C-BE32-E72D297353CC}">
              <c16:uniqueId val="{00000000-7899-48E2-AD47-38535CDF9D37}"/>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7899-48E2-AD47-38535CDF9D37}"/>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US!$J$2</c:f>
              <c:strCache>
                <c:ptCount val="1"/>
                <c:pt idx="0">
                  <c:v>U.S. Services PMI</c:v>
                </c:pt>
              </c:strCache>
            </c:strRef>
          </c:tx>
          <c:spPr>
            <a:solidFill>
              <a:schemeClr val="accent1">
                <a:shade val="76000"/>
              </a:schemeClr>
            </a:solidFill>
            <a:ln>
              <a:noFill/>
            </a:ln>
            <a:effectLst/>
          </c:spPr>
          <c:cat>
            <c:numRef>
              <c:f>US!$A$6:$A$320</c:f>
              <c:numCache>
                <c:formatCode>m/d/yy</c:formatCode>
                <c:ptCount val="315"/>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numCache>
            </c:numRef>
          </c:cat>
          <c:val>
            <c:numRef>
              <c:f>US!$B$6:$B$320</c:f>
              <c:numCache>
                <c:formatCode>General</c:formatCode>
                <c:ptCount val="315"/>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numCache>
            </c:numRef>
          </c:val>
          <c:extLst>
            <c:ext xmlns:c16="http://schemas.microsoft.com/office/drawing/2014/chart" uri="{C3380CC4-5D6E-409C-BE32-E72D297353CC}">
              <c16:uniqueId val="{00000000-8689-4727-A0CC-77ABD79CD84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8689-4727-A0CC-77ABD79CD84D}"/>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EuroArea!$J$2</c:f>
              <c:strCache>
                <c:ptCount val="1"/>
                <c:pt idx="0">
                  <c:v>Euro Area Services PMI</c:v>
                </c:pt>
              </c:strCache>
            </c:strRef>
          </c:tx>
          <c:spPr>
            <a:solidFill>
              <a:schemeClr val="accent1">
                <a:shade val="76000"/>
              </a:schemeClr>
            </a:solidFill>
            <a:ln>
              <a:noFill/>
            </a:ln>
            <a:effectLst/>
          </c:spPr>
          <c:cat>
            <c:numRef>
              <c:f>EuroArea!$A$6:$A$320</c:f>
              <c:numCache>
                <c:formatCode>m/d/yy</c:formatCode>
                <c:ptCount val="31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numCache>
            </c:numRef>
          </c:cat>
          <c:val>
            <c:numRef>
              <c:f>EuroArea!$B$6:$B$320</c:f>
              <c:numCache>
                <c:formatCode>General</c:formatCode>
                <c:ptCount val="315"/>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numCache>
            </c:numRef>
          </c:val>
          <c:extLst>
            <c:ext xmlns:c16="http://schemas.microsoft.com/office/drawing/2014/chart" uri="{C3380CC4-5D6E-409C-BE32-E72D297353CC}">
              <c16:uniqueId val="{00000000-05F1-4A57-9CA1-EAC49DE6A67B}"/>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05F1-4A57-9CA1-EAC49DE6A67B}"/>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China!$J$2</c:f>
              <c:strCache>
                <c:ptCount val="1"/>
                <c:pt idx="0">
                  <c:v>China Services PMI</c:v>
                </c:pt>
              </c:strCache>
            </c:strRef>
          </c:tx>
          <c:spPr>
            <a:solidFill>
              <a:schemeClr val="accent1">
                <a:shade val="76000"/>
              </a:schemeClr>
            </a:solidFill>
            <a:ln>
              <a:noFill/>
            </a:ln>
            <a:effectLst/>
          </c:spPr>
          <c:cat>
            <c:numRef>
              <c:f>China!$A$6:$A$320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China!$B$6:$B$320</c:f>
              <c:numCache>
                <c:formatCode>General</c:formatCode>
                <c:ptCount val="315"/>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numCache>
            </c:numRef>
          </c:val>
          <c:extLst>
            <c:ext xmlns:c16="http://schemas.microsoft.com/office/drawing/2014/chart" uri="{C3380CC4-5D6E-409C-BE32-E72D297353CC}">
              <c16:uniqueId val="{00000000-05CF-48BF-AE14-FAC2DB338ECA}"/>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05CF-48BF-AE14-FAC2DB338ECA}"/>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China!$J$2</c:f>
              <c:strCache>
                <c:ptCount val="1"/>
                <c:pt idx="0">
                  <c:v>China Services PMI</c:v>
                </c:pt>
              </c:strCache>
            </c:strRef>
          </c:tx>
          <c:spPr>
            <a:solidFill>
              <a:schemeClr val="accent1">
                <a:shade val="76000"/>
              </a:schemeClr>
            </a:solidFill>
            <a:ln>
              <a:noFill/>
            </a:ln>
            <a:effectLst/>
          </c:spPr>
          <c:cat>
            <c:numRef>
              <c:f>China!$A$6:$A$320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China!$B$6:$B$320</c:f>
              <c:numCache>
                <c:formatCode>General</c:formatCode>
                <c:ptCount val="315"/>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numCache>
            </c:numRef>
          </c:val>
          <c:extLst>
            <c:ext xmlns:c16="http://schemas.microsoft.com/office/drawing/2014/chart" uri="{C3380CC4-5D6E-409C-BE32-E72D297353CC}">
              <c16:uniqueId val="{00000000-B8BE-4C87-ACF0-8599EB3DAC66}"/>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B8BE-4C87-ACF0-8599EB3DAC66}"/>
                  </c:ext>
                </c:extLst>
              </c15:ser>
            </c15:filteredLineSeries>
          </c:ext>
        </c:extLst>
      </c:lineChart>
      <c:dateAx>
        <c:axId val="781995520"/>
        <c:scaling>
          <c:orientation val="minMax"/>
          <c:min val="43617"/>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France!$J$2</c:f>
              <c:strCache>
                <c:ptCount val="1"/>
                <c:pt idx="0">
                  <c:v>France Services PMI</c:v>
                </c:pt>
              </c:strCache>
            </c:strRef>
          </c:tx>
          <c:spPr>
            <a:solidFill>
              <a:schemeClr val="accent1">
                <a:shade val="76000"/>
              </a:schemeClr>
            </a:solidFill>
            <a:ln>
              <a:noFill/>
            </a:ln>
            <a:effectLst/>
          </c:spPr>
          <c:cat>
            <c:numRef>
              <c:f>France!$A$6:$A$320</c:f>
              <c:numCache>
                <c:formatCode>m/d/yy</c:formatCode>
                <c:ptCount val="315"/>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France!$B$6:$B$320</c:f>
              <c:numCache>
                <c:formatCode>General</c:formatCode>
                <c:ptCount val="315"/>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numCache>
            </c:numRef>
          </c:val>
          <c:extLst>
            <c:ext xmlns:c16="http://schemas.microsoft.com/office/drawing/2014/chart" uri="{C3380CC4-5D6E-409C-BE32-E72D297353CC}">
              <c16:uniqueId val="{00000000-580B-4623-9AE2-C200F9FD3F7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580B-4623-9AE2-C200F9FD3F7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Germany!$J$2</c:f>
              <c:strCache>
                <c:ptCount val="1"/>
                <c:pt idx="0">
                  <c:v>Germany Services PMI</c:v>
                </c:pt>
              </c:strCache>
            </c:strRef>
          </c:tx>
          <c:spPr>
            <a:solidFill>
              <a:schemeClr val="accent1">
                <a:shade val="76000"/>
              </a:schemeClr>
            </a:solidFill>
            <a:ln>
              <a:noFill/>
            </a:ln>
            <a:effectLst/>
          </c:spPr>
          <c:cat>
            <c:numRef>
              <c:f>Germany!$A$6:$A$320</c:f>
              <c:numCache>
                <c:formatCode>m/d/yy</c:formatCode>
                <c:ptCount val="315"/>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numCache>
            </c:numRef>
          </c:cat>
          <c:val>
            <c:numRef>
              <c:f>Germany!$B$6:$B$320</c:f>
              <c:numCache>
                <c:formatCode>General</c:formatCode>
                <c:ptCount val="315"/>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numCache>
            </c:numRef>
          </c:val>
          <c:extLst>
            <c:ext xmlns:c16="http://schemas.microsoft.com/office/drawing/2014/chart" uri="{C3380CC4-5D6E-409C-BE32-E72D297353CC}">
              <c16:uniqueId val="{00000000-2B7C-4625-869A-7BB381B7902D}"/>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2B7C-4625-869A-7BB381B7902D}"/>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3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UK!$J$2</c:f>
              <c:strCache>
                <c:ptCount val="1"/>
                <c:pt idx="0">
                  <c:v>U.K. Services PMI</c:v>
                </c:pt>
              </c:strCache>
            </c:strRef>
          </c:tx>
          <c:spPr>
            <a:solidFill>
              <a:schemeClr val="accent1">
                <a:shade val="76000"/>
              </a:schemeClr>
            </a:solidFill>
            <a:ln>
              <a:noFill/>
            </a:ln>
            <a:effectLst/>
          </c:spPr>
          <c:cat>
            <c:numRef>
              <c:f>UK!$A$6:$A$320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UK!$B$6:$B$320</c:f>
              <c:numCache>
                <c:formatCode>General</c:formatCode>
                <c:ptCount val="315"/>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numCache>
            </c:numRef>
          </c:val>
          <c:extLst>
            <c:ext xmlns:c16="http://schemas.microsoft.com/office/drawing/2014/chart" uri="{C3380CC4-5D6E-409C-BE32-E72D297353CC}">
              <c16:uniqueId val="{00000000-23FB-4B2F-B2AB-74ACE901056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23FB-4B2F-B2AB-74ACE901056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India!$J$2</c:f>
              <c:strCache>
                <c:ptCount val="1"/>
                <c:pt idx="0">
                  <c:v>India Services PMI</c:v>
                </c:pt>
              </c:strCache>
            </c:strRef>
          </c:tx>
          <c:spPr>
            <a:solidFill>
              <a:schemeClr val="accent1">
                <a:shade val="76000"/>
              </a:schemeClr>
            </a:solidFill>
            <a:ln>
              <a:noFill/>
            </a:ln>
            <a:effectLst/>
          </c:spPr>
          <c:cat>
            <c:numRef>
              <c:f>India!$A$6:$A$320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India!$B$6:$B$320</c:f>
              <c:numCache>
                <c:formatCode>General</c:formatCode>
                <c:ptCount val="315"/>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numCache>
            </c:numRef>
          </c:val>
          <c:extLst>
            <c:ext xmlns:c16="http://schemas.microsoft.com/office/drawing/2014/chart" uri="{C3380CC4-5D6E-409C-BE32-E72D297353CC}">
              <c16:uniqueId val="{00000000-4CB5-406E-B5AB-BB78BEB3ED60}"/>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4CB5-406E-B5AB-BB78BEB3ED60}"/>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Australia!$J$2</c:f>
              <c:strCache>
                <c:ptCount val="1"/>
                <c:pt idx="0">
                  <c:v>Australia Services PMI</c:v>
                </c:pt>
              </c:strCache>
            </c:strRef>
          </c:tx>
          <c:spPr>
            <a:solidFill>
              <a:schemeClr val="accent1">
                <a:shade val="76000"/>
              </a:schemeClr>
            </a:solidFill>
            <a:ln>
              <a:noFill/>
            </a:ln>
            <a:effectLst/>
          </c:spPr>
          <c:cat>
            <c:numRef>
              <c:f>Australia!$A$6:$A$320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Australia!$B$6:$B$320</c:f>
              <c:numCache>
                <c:formatCode>General</c:formatCode>
                <c:ptCount val="315"/>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numCache>
            </c:numRef>
          </c:val>
          <c:extLst>
            <c:ext xmlns:c16="http://schemas.microsoft.com/office/drawing/2014/chart" uri="{C3380CC4-5D6E-409C-BE32-E72D297353CC}">
              <c16:uniqueId val="{00000000-0766-42C9-8FC2-EC24B659A15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0766-42C9-8FC2-EC24B659A15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2"/>
          <c:min val="2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Ireland!$J$2</c:f>
              <c:strCache>
                <c:ptCount val="1"/>
                <c:pt idx="0">
                  <c:v>Ireland Services PMI</c:v>
                </c:pt>
              </c:strCache>
            </c:strRef>
          </c:tx>
          <c:spPr>
            <a:solidFill>
              <a:schemeClr val="accent1">
                <a:shade val="76000"/>
              </a:schemeClr>
            </a:solidFill>
            <a:ln>
              <a:noFill/>
            </a:ln>
            <a:effectLst/>
          </c:spPr>
          <c:cat>
            <c:numRef>
              <c:f>Ireland!$A$6:$A$320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Ireland!$B$6:$B$320</c:f>
              <c:numCache>
                <c:formatCode>General</c:formatCode>
                <c:ptCount val="315"/>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numCache>
            </c:numRef>
          </c:val>
          <c:extLst>
            <c:ext xmlns:c16="http://schemas.microsoft.com/office/drawing/2014/chart" uri="{C3380CC4-5D6E-409C-BE32-E72D297353CC}">
              <c16:uniqueId val="{00000000-4C33-4EBF-8A58-8BAFE342F0C3}"/>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4C33-4EBF-8A58-8BAFE342F0C3}"/>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4"/>
          <c:min val="3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Italy!$J$2</c:f>
              <c:strCache>
                <c:ptCount val="1"/>
                <c:pt idx="0">
                  <c:v>Italy Services PMI</c:v>
                </c:pt>
              </c:strCache>
            </c:strRef>
          </c:tx>
          <c:spPr>
            <a:solidFill>
              <a:schemeClr val="accent1">
                <a:shade val="76000"/>
              </a:schemeClr>
            </a:solidFill>
            <a:ln>
              <a:noFill/>
            </a:ln>
            <a:effectLst/>
          </c:spPr>
          <c:cat>
            <c:numRef>
              <c:f>Italy!$A$6:$A$320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Italy!$B$6:$B$320</c:f>
              <c:numCache>
                <c:formatCode>General</c:formatCode>
                <c:ptCount val="315"/>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numCache>
            </c:numRef>
          </c:val>
          <c:extLst>
            <c:ext xmlns:c16="http://schemas.microsoft.com/office/drawing/2014/chart" uri="{C3380CC4-5D6E-409C-BE32-E72D297353CC}">
              <c16:uniqueId val="{00000000-58E7-49FD-953C-B26A14793DA1}"/>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58E7-49FD-953C-B26A14793DA1}"/>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8"/>
          <c:min val="1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Japan!$J$2</c:f>
              <c:strCache>
                <c:ptCount val="1"/>
                <c:pt idx="0">
                  <c:v>Japan Services PMI</c:v>
                </c:pt>
              </c:strCache>
            </c:strRef>
          </c:tx>
          <c:spPr>
            <a:solidFill>
              <a:schemeClr val="accent1">
                <a:shade val="76000"/>
              </a:schemeClr>
            </a:solidFill>
            <a:ln>
              <a:noFill/>
            </a:ln>
            <a:effectLst/>
          </c:spPr>
          <c:cat>
            <c:numRef>
              <c:f>Japan!$A$6:$A$320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Japan!$B$6:$B$320</c:f>
              <c:numCache>
                <c:formatCode>General</c:formatCode>
                <c:ptCount val="315"/>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numCache>
            </c:numRef>
          </c:val>
          <c:extLst>
            <c:ext xmlns:c16="http://schemas.microsoft.com/office/drawing/2014/chart" uri="{C3380CC4-5D6E-409C-BE32-E72D297353CC}">
              <c16:uniqueId val="{00000000-C89D-4017-B820-A188854C6625}"/>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C89D-4017-B820-A188854C6625}"/>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6"/>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Brazil!$J$2</c:f>
              <c:strCache>
                <c:ptCount val="1"/>
                <c:pt idx="0">
                  <c:v>Brazil Services PMI</c:v>
                </c:pt>
              </c:strCache>
            </c:strRef>
          </c:tx>
          <c:spPr>
            <a:solidFill>
              <a:schemeClr val="accent1">
                <a:shade val="76000"/>
              </a:schemeClr>
            </a:solidFill>
            <a:ln>
              <a:noFill/>
            </a:ln>
            <a:effectLst/>
          </c:spPr>
          <c:cat>
            <c:numRef>
              <c:f>Brazil!$A$6:$A$320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Brazil!$B$6:$B$320</c:f>
              <c:numCache>
                <c:formatCode>General</c:formatCode>
                <c:ptCount val="315"/>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numCache>
            </c:numRef>
          </c:val>
          <c:extLst>
            <c:ext xmlns:c16="http://schemas.microsoft.com/office/drawing/2014/chart" uri="{C3380CC4-5D6E-409C-BE32-E72D297353CC}">
              <c16:uniqueId val="{00000000-C516-4501-A8D1-8DD8CA43A00F}"/>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C516-4501-A8D1-8DD8CA43A00F}"/>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56"/>
          <c:min val="3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Russia!$J$2</c:f>
              <c:strCache>
                <c:ptCount val="1"/>
                <c:pt idx="0">
                  <c:v>Russia Services PMI</c:v>
                </c:pt>
              </c:strCache>
            </c:strRef>
          </c:tx>
          <c:spPr>
            <a:solidFill>
              <a:schemeClr val="accent1">
                <a:shade val="76000"/>
              </a:schemeClr>
            </a:solidFill>
            <a:ln>
              <a:noFill/>
            </a:ln>
            <a:effectLst/>
          </c:spPr>
          <c:cat>
            <c:numRef>
              <c:f>Russia!$A$6:$A$320</c:f>
              <c:numCache>
                <c:formatCode>m/d/yy</c:formatCode>
                <c:ptCount val="31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Russia!$B$6:$B$320</c:f>
              <c:numCache>
                <c:formatCode>General</c:formatCode>
                <c:ptCount val="315"/>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numCache>
            </c:numRef>
          </c:val>
          <c:extLst>
            <c:ext xmlns:c16="http://schemas.microsoft.com/office/drawing/2014/chart" uri="{C3380CC4-5D6E-409C-BE32-E72D297353CC}">
              <c16:uniqueId val="{00000000-FBD9-4C2C-8C38-620980219F58}"/>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FBD9-4C2C-8C38-620980219F58}"/>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3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5.7669338417899556E-2"/>
          <c:y val="0.1070675802929214"/>
          <c:w val="0.91709143980320862"/>
          <c:h val="0.78119813267616411"/>
        </c:manualLayout>
      </c:layout>
      <c:areaChart>
        <c:grouping val="standard"/>
        <c:varyColors val="0"/>
        <c:ser>
          <c:idx val="0"/>
          <c:order val="0"/>
          <c:tx>
            <c:strRef>
              <c:f>Spain!$J$2</c:f>
              <c:strCache>
                <c:ptCount val="1"/>
                <c:pt idx="0">
                  <c:v>Spain Services PMI</c:v>
                </c:pt>
              </c:strCache>
            </c:strRef>
          </c:tx>
          <c:spPr>
            <a:solidFill>
              <a:schemeClr val="accent1">
                <a:shade val="76000"/>
              </a:schemeClr>
            </a:solidFill>
            <a:ln>
              <a:noFill/>
            </a:ln>
            <a:effectLst/>
          </c:spPr>
          <c:cat>
            <c:numRef>
              <c:f>Spain!$A$6:$A$319</c:f>
              <c:numCache>
                <c:formatCode>m/d/yy</c:formatCode>
                <c:ptCount val="314"/>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Spain!$B$6:$B$319</c:f>
              <c:numCache>
                <c:formatCode>General</c:formatCode>
                <c:ptCount val="314"/>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numCache>
            </c:numRef>
          </c:val>
          <c:extLst>
            <c:ext xmlns:c16="http://schemas.microsoft.com/office/drawing/2014/chart" uri="{C3380CC4-5D6E-409C-BE32-E72D297353CC}">
              <c16:uniqueId val="{00000000-C19D-44CE-A824-D5B054E363B4}"/>
            </c:ext>
          </c:extLst>
        </c:ser>
        <c:dLbls>
          <c:showLegendKey val="0"/>
          <c:showVal val="0"/>
          <c:showCatName val="0"/>
          <c:showSerName val="0"/>
          <c:showPercent val="0"/>
          <c:showBubbleSize val="0"/>
        </c:dLbls>
        <c:axId val="781995520"/>
        <c:axId val="781722752"/>
      </c:areaChart>
      <c:lineChart>
        <c:grouping val="standard"/>
        <c:varyColors val="0"/>
        <c:dLbls>
          <c:showLegendKey val="0"/>
          <c:showVal val="0"/>
          <c:showCatName val="0"/>
          <c:showSerName val="0"/>
          <c:showPercent val="0"/>
          <c:showBubbleSize val="0"/>
        </c:dLbls>
        <c:marker val="1"/>
        <c:smooth val="0"/>
        <c:axId val="781995520"/>
        <c:axId val="781722752"/>
        <c:extLst>
          <c:ext xmlns:c15="http://schemas.microsoft.com/office/drawing/2012/chart" uri="{02D57815-91ED-43cb-92C2-25804820EDAC}">
            <c15:filteredLineSeries>
              <c15:ser>
                <c:idx val="1"/>
                <c:order val="1"/>
                <c:spPr>
                  <a:ln w="28575" cap="rnd">
                    <a:solidFill>
                      <a:schemeClr val="accent1">
                        <a:tint val="77000"/>
                      </a:schemeClr>
                    </a:solidFill>
                    <a:round/>
                  </a:ln>
                  <a:effectLst/>
                </c:spPr>
                <c:marker>
                  <c:symbol val="none"/>
                </c:marker>
                <c:val>
                  <c:numRef>
                    <c:extLst>
                      <c:ext uri="{02D57815-91ED-43cb-92C2-25804820EDAC}">
                        <c15:formulaRef>
                          <c15:sqref>#REF!$B$6:$B$92</c15:sqref>
                        </c15:formulaRef>
                      </c:ext>
                    </c:extLst>
                    <c:numCache>
                      <c:formatCode>General</c:formatCode>
                      <c:ptCount val="1"/>
                      <c:pt idx="0">
                        <c:v>1</c:v>
                      </c:pt>
                    </c:numCache>
                  </c:numRef>
                </c:val>
                <c:smooth val="0"/>
                <c:extLst>
                  <c:ext xmlns:c16="http://schemas.microsoft.com/office/drawing/2014/chart" uri="{C3380CC4-5D6E-409C-BE32-E72D297353CC}">
                    <c16:uniqueId val="{00000001-C19D-44CE-A824-D5B054E363B4}"/>
                  </c:ext>
                </c:extLst>
              </c15:ser>
            </c15:filteredLineSeries>
          </c:ext>
        </c:extLst>
      </c:lineChart>
      <c:dateAx>
        <c:axId val="781995520"/>
        <c:scaling>
          <c:orientation val="minMax"/>
        </c:scaling>
        <c:delete val="0"/>
        <c:axPos val="b"/>
        <c:numFmt formatCode="yyyy" sourceLinked="0"/>
        <c:majorTickMark val="out"/>
        <c:minorTickMark val="none"/>
        <c:tickLblPos val="low"/>
        <c:spPr>
          <a:noFill/>
          <a:ln w="9525" cap="flat" cmpd="sng" algn="ctr">
            <a:solidFill>
              <a:schemeClr val="tx1">
                <a:lumMod val="15000"/>
                <a:lumOff val="85000"/>
              </a:schemeClr>
            </a:solidFill>
            <a:round/>
          </a:ln>
          <a:effectLst/>
        </c:spPr>
        <c:txPr>
          <a:bodyPr rot="-30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722752"/>
        <c:crossesAt val="50"/>
        <c:auto val="1"/>
        <c:lblOffset val="100"/>
        <c:baseTimeUnit val="months"/>
        <c:majorUnit val="1"/>
        <c:majorTimeUnit val="years"/>
      </c:dateAx>
      <c:valAx>
        <c:axId val="781722752"/>
        <c:scaling>
          <c:orientation val="minMax"/>
          <c:max val="60"/>
          <c:min val="22"/>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1995520"/>
        <c:crosses val="autoZero"/>
        <c:crossBetween val="between"/>
        <c:majorUnit val="2"/>
      </c:valAx>
      <c:spPr>
        <a:noFill/>
        <a:ln>
          <a:noFill/>
        </a:ln>
        <a:effectLst/>
      </c:spPr>
    </c:plotArea>
    <c:legend>
      <c:legendPos val="r"/>
      <c:legendEntry>
        <c:idx val="0"/>
        <c:txPr>
          <a:bodyPr rot="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34996815043975044"/>
          <c:y val="1.7850763986451901E-2"/>
          <c:w val="0.37206481248228196"/>
          <c:h val="8.5032291088095333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44" l="0.7000000000000004" r="0.7000000000000004" t="0.75000000000000044" header="0.30000000000000021" footer="0.30000000000000021"/>
    <c:pageSetup/>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colors5.xml><?xml version="1.0" encoding="utf-8"?>
<cs:colorStyle xmlns:cs="http://schemas.microsoft.com/office/drawing/2012/chartStyle" xmlns:a="http://schemas.openxmlformats.org/drawingml/2006/main" meth="withinLinear" id="14">
  <a:schemeClr val="accent1"/>
</cs:colorStyle>
</file>

<file path=xl/charts/colors6.xml><?xml version="1.0" encoding="utf-8"?>
<cs:colorStyle xmlns:cs="http://schemas.microsoft.com/office/drawing/2012/chartStyle" xmlns:a="http://schemas.openxmlformats.org/drawingml/2006/main" meth="withinLinear" id="14">
  <a:schemeClr val="accent1"/>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 id="14">
  <a:schemeClr val="accent1"/>
</cs:colorStyle>
</file>

<file path=xl/charts/colors9.xml><?xml version="1.0" encoding="utf-8"?>
<cs:colorStyle xmlns:cs="http://schemas.microsoft.com/office/drawing/2012/chartStyle" xmlns:a="http://schemas.openxmlformats.org/drawingml/2006/main" meth="withinLinear" id="14">
  <a:schemeClr val="accent1"/>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withinLinear" id="14">
  <a:schemeClr val="accent1"/>
</cs:colorStyle>
</file>

<file path=xl/charts/colors12.xml><?xml version="1.0" encoding="utf-8"?>
<cs:colorStyle xmlns:cs="http://schemas.microsoft.com/office/drawing/2012/chartStyle" xmlns:a="http://schemas.openxmlformats.org/drawingml/2006/main" meth="withinLinear" id="14">
  <a:schemeClr val="accent1"/>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12</xdr:col>
      <xdr:colOff>112059</xdr:colOff>
      <xdr:row>1</xdr:row>
      <xdr:rowOff>179294</xdr:rowOff>
    </xdr:from>
    <xdr:to>
      <xdr:col>19</xdr:col>
      <xdr:colOff>11207</xdr:colOff>
      <xdr:row>7</xdr:row>
      <xdr:rowOff>26894</xdr:rowOff>
    </xdr:to>
    <xdr:graphicFrame macro="">
      <xdr:nvGraphicFramePr>
        <xdr:cNvPr id="3" name="Chart 7">
          <a:extLst>
            <a:ext uri="{FF2B5EF4-FFF2-40B4-BE49-F238E27FC236}">
              <a16:creationId xmlns:a16="http://schemas.microsoft.com/office/drawing/2014/main" id="{A68A6C68-EDA3-4390-BCB8-8B68FDCA44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D609EF4A-B45F-4E7C-A2AC-CA8629B40B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381000</xdr:colOff>
      <xdr:row>120</xdr:row>
      <xdr:rowOff>139700</xdr:rowOff>
    </xdr:from>
    <xdr:to>
      <xdr:col>12</xdr:col>
      <xdr:colOff>447675</xdr:colOff>
      <xdr:row>139</xdr:row>
      <xdr:rowOff>177800</xdr:rowOff>
    </xdr:to>
    <xdr:graphicFrame macro="">
      <xdr:nvGraphicFramePr>
        <xdr:cNvPr id="6" name="Chart 7">
          <a:extLst>
            <a:ext uri="{FF2B5EF4-FFF2-40B4-BE49-F238E27FC236}">
              <a16:creationId xmlns:a16="http://schemas.microsoft.com/office/drawing/2014/main" id="{0A02F88A-D86A-4013-8FA0-9DA1CA3741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390525</xdr:colOff>
      <xdr:row>85</xdr:row>
      <xdr:rowOff>31750</xdr:rowOff>
    </xdr:from>
    <xdr:to>
      <xdr:col>12</xdr:col>
      <xdr:colOff>457200</xdr:colOff>
      <xdr:row>104</xdr:row>
      <xdr:rowOff>69850</xdr:rowOff>
    </xdr:to>
    <xdr:graphicFrame macro="">
      <xdr:nvGraphicFramePr>
        <xdr:cNvPr id="4" name="Chart 7">
          <a:extLst>
            <a:ext uri="{FF2B5EF4-FFF2-40B4-BE49-F238E27FC236}">
              <a16:creationId xmlns:a16="http://schemas.microsoft.com/office/drawing/2014/main" id="{685F8B42-481A-477E-94BE-6F48EDFE94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200025</xdr:colOff>
      <xdr:row>160</xdr:row>
      <xdr:rowOff>44450</xdr:rowOff>
    </xdr:from>
    <xdr:to>
      <xdr:col>12</xdr:col>
      <xdr:colOff>355600</xdr:colOff>
      <xdr:row>179</xdr:row>
      <xdr:rowOff>82550</xdr:rowOff>
    </xdr:to>
    <xdr:graphicFrame macro="">
      <xdr:nvGraphicFramePr>
        <xdr:cNvPr id="3" name="Chart 7">
          <a:extLst>
            <a:ext uri="{FF2B5EF4-FFF2-40B4-BE49-F238E27FC236}">
              <a16:creationId xmlns:a16="http://schemas.microsoft.com/office/drawing/2014/main" id="{443C224B-0414-4F60-8CE0-DE2A3DAFCD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377825</xdr:colOff>
      <xdr:row>101</xdr:row>
      <xdr:rowOff>139700</xdr:rowOff>
    </xdr:from>
    <xdr:to>
      <xdr:col>12</xdr:col>
      <xdr:colOff>444500</xdr:colOff>
      <xdr:row>120</xdr:row>
      <xdr:rowOff>177800</xdr:rowOff>
    </xdr:to>
    <xdr:graphicFrame macro="">
      <xdr:nvGraphicFramePr>
        <xdr:cNvPr id="2" name="Chart 7">
          <a:extLst>
            <a:ext uri="{FF2B5EF4-FFF2-40B4-BE49-F238E27FC236}">
              <a16:creationId xmlns:a16="http://schemas.microsoft.com/office/drawing/2014/main" id="{24091F63-946E-4EBE-BD7A-58A05C483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393700</xdr:colOff>
      <xdr:row>121</xdr:row>
      <xdr:rowOff>152400</xdr:rowOff>
    </xdr:from>
    <xdr:to>
      <xdr:col>12</xdr:col>
      <xdr:colOff>460375</xdr:colOff>
      <xdr:row>141</xdr:row>
      <xdr:rowOff>0</xdr:rowOff>
    </xdr:to>
    <xdr:graphicFrame macro="">
      <xdr:nvGraphicFramePr>
        <xdr:cNvPr id="3" name="Chart 7">
          <a:extLst>
            <a:ext uri="{FF2B5EF4-FFF2-40B4-BE49-F238E27FC236}">
              <a16:creationId xmlns:a16="http://schemas.microsoft.com/office/drawing/2014/main" id="{F969450B-95D5-427C-8C25-43B95435AA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304800</xdr:colOff>
      <xdr:row>147</xdr:row>
      <xdr:rowOff>22225</xdr:rowOff>
    </xdr:from>
    <xdr:to>
      <xdr:col>12</xdr:col>
      <xdr:colOff>371475</xdr:colOff>
      <xdr:row>166</xdr:row>
      <xdr:rowOff>60325</xdr:rowOff>
    </xdr:to>
    <xdr:graphicFrame macro="">
      <xdr:nvGraphicFramePr>
        <xdr:cNvPr id="2" name="Chart 7">
          <a:extLst>
            <a:ext uri="{FF2B5EF4-FFF2-40B4-BE49-F238E27FC236}">
              <a16:creationId xmlns:a16="http://schemas.microsoft.com/office/drawing/2014/main" id="{D4839041-826A-4176-9478-06FF53177C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196850</xdr:colOff>
      <xdr:row>159</xdr:row>
      <xdr:rowOff>174625</xdr:rowOff>
    </xdr:from>
    <xdr:to>
      <xdr:col>12</xdr:col>
      <xdr:colOff>263525</xdr:colOff>
      <xdr:row>179</xdr:row>
      <xdr:rowOff>22225</xdr:rowOff>
    </xdr:to>
    <xdr:graphicFrame macro="">
      <xdr:nvGraphicFramePr>
        <xdr:cNvPr id="2" name="Chart 7">
          <a:extLst>
            <a:ext uri="{FF2B5EF4-FFF2-40B4-BE49-F238E27FC236}">
              <a16:creationId xmlns:a16="http://schemas.microsoft.com/office/drawing/2014/main" id="{5E83D243-C088-4F89-ADEF-57B8235BD6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330201</xdr:colOff>
      <xdr:row>121</xdr:row>
      <xdr:rowOff>133350</xdr:rowOff>
    </xdr:from>
    <xdr:to>
      <xdr:col>12</xdr:col>
      <xdr:colOff>609601</xdr:colOff>
      <xdr:row>140</xdr:row>
      <xdr:rowOff>76200</xdr:rowOff>
    </xdr:to>
    <xdr:graphicFrame macro="">
      <xdr:nvGraphicFramePr>
        <xdr:cNvPr id="2" name="Chart 7">
          <a:extLst>
            <a:ext uri="{FF2B5EF4-FFF2-40B4-BE49-F238E27FC236}">
              <a16:creationId xmlns:a16="http://schemas.microsoft.com/office/drawing/2014/main" id="{B80BA3F1-F41C-480D-9503-86A3CCD313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292101</xdr:colOff>
      <xdr:row>120</xdr:row>
      <xdr:rowOff>171450</xdr:rowOff>
    </xdr:from>
    <xdr:to>
      <xdr:col>12</xdr:col>
      <xdr:colOff>571501</xdr:colOff>
      <xdr:row>139</xdr:row>
      <xdr:rowOff>114300</xdr:rowOff>
    </xdr:to>
    <xdr:graphicFrame macro="">
      <xdr:nvGraphicFramePr>
        <xdr:cNvPr id="2" name="Chart 7">
          <a:extLst>
            <a:ext uri="{FF2B5EF4-FFF2-40B4-BE49-F238E27FC236}">
              <a16:creationId xmlns:a16="http://schemas.microsoft.com/office/drawing/2014/main" id="{C0BA0F47-43CA-4C79-9581-0666BBE327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203201</xdr:colOff>
      <xdr:row>121</xdr:row>
      <xdr:rowOff>184150</xdr:rowOff>
    </xdr:from>
    <xdr:to>
      <xdr:col>12</xdr:col>
      <xdr:colOff>482601</xdr:colOff>
      <xdr:row>140</xdr:row>
      <xdr:rowOff>127000</xdr:rowOff>
    </xdr:to>
    <xdr:graphicFrame macro="">
      <xdr:nvGraphicFramePr>
        <xdr:cNvPr id="2" name="Chart 7">
          <a:extLst>
            <a:ext uri="{FF2B5EF4-FFF2-40B4-BE49-F238E27FC236}">
              <a16:creationId xmlns:a16="http://schemas.microsoft.com/office/drawing/2014/main" id="{89549FFF-2285-485A-A8A0-C68387FB2F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165101</xdr:colOff>
      <xdr:row>121</xdr:row>
      <xdr:rowOff>95250</xdr:rowOff>
    </xdr:from>
    <xdr:to>
      <xdr:col>12</xdr:col>
      <xdr:colOff>444501</xdr:colOff>
      <xdr:row>140</xdr:row>
      <xdr:rowOff>38100</xdr:rowOff>
    </xdr:to>
    <xdr:graphicFrame macro="">
      <xdr:nvGraphicFramePr>
        <xdr:cNvPr id="2" name="Chart 7">
          <a:extLst>
            <a:ext uri="{FF2B5EF4-FFF2-40B4-BE49-F238E27FC236}">
              <a16:creationId xmlns:a16="http://schemas.microsoft.com/office/drawing/2014/main" id="{A0617155-5C41-4AFA-B46E-5E1D0DE462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304801</xdr:colOff>
      <xdr:row>121</xdr:row>
      <xdr:rowOff>19050</xdr:rowOff>
    </xdr:from>
    <xdr:to>
      <xdr:col>12</xdr:col>
      <xdr:colOff>584201</xdr:colOff>
      <xdr:row>139</xdr:row>
      <xdr:rowOff>152400</xdr:rowOff>
    </xdr:to>
    <xdr:graphicFrame macro="">
      <xdr:nvGraphicFramePr>
        <xdr:cNvPr id="2" name="Chart 7">
          <a:extLst>
            <a:ext uri="{FF2B5EF4-FFF2-40B4-BE49-F238E27FC236}">
              <a16:creationId xmlns:a16="http://schemas.microsoft.com/office/drawing/2014/main" id="{85153715-A80B-45F6-976E-53D103FBEA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254001</xdr:colOff>
      <xdr:row>121</xdr:row>
      <xdr:rowOff>120650</xdr:rowOff>
    </xdr:from>
    <xdr:to>
      <xdr:col>12</xdr:col>
      <xdr:colOff>533401</xdr:colOff>
      <xdr:row>140</xdr:row>
      <xdr:rowOff>63500</xdr:rowOff>
    </xdr:to>
    <xdr:graphicFrame macro="">
      <xdr:nvGraphicFramePr>
        <xdr:cNvPr id="2" name="Chart 7">
          <a:extLst>
            <a:ext uri="{FF2B5EF4-FFF2-40B4-BE49-F238E27FC236}">
              <a16:creationId xmlns:a16="http://schemas.microsoft.com/office/drawing/2014/main" id="{BECEA25B-6B4F-4A4A-B192-DBF120C5DC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228601</xdr:colOff>
      <xdr:row>121</xdr:row>
      <xdr:rowOff>44450</xdr:rowOff>
    </xdr:from>
    <xdr:to>
      <xdr:col>12</xdr:col>
      <xdr:colOff>508001</xdr:colOff>
      <xdr:row>139</xdr:row>
      <xdr:rowOff>177800</xdr:rowOff>
    </xdr:to>
    <xdr:graphicFrame macro="">
      <xdr:nvGraphicFramePr>
        <xdr:cNvPr id="2" name="Chart 7">
          <a:extLst>
            <a:ext uri="{FF2B5EF4-FFF2-40B4-BE49-F238E27FC236}">
              <a16:creationId xmlns:a16="http://schemas.microsoft.com/office/drawing/2014/main" id="{D21086F6-7F56-455D-81C2-6E11E13B07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228601</xdr:colOff>
      <xdr:row>121</xdr:row>
      <xdr:rowOff>95250</xdr:rowOff>
    </xdr:from>
    <xdr:to>
      <xdr:col>12</xdr:col>
      <xdr:colOff>508001</xdr:colOff>
      <xdr:row>140</xdr:row>
      <xdr:rowOff>38100</xdr:rowOff>
    </xdr:to>
    <xdr:graphicFrame macro="">
      <xdr:nvGraphicFramePr>
        <xdr:cNvPr id="2" name="Chart 7">
          <a:extLst>
            <a:ext uri="{FF2B5EF4-FFF2-40B4-BE49-F238E27FC236}">
              <a16:creationId xmlns:a16="http://schemas.microsoft.com/office/drawing/2014/main" id="{97912246-07AF-4B8D-94DF-A8FA4B7531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292101</xdr:colOff>
      <xdr:row>121</xdr:row>
      <xdr:rowOff>95250</xdr:rowOff>
    </xdr:from>
    <xdr:to>
      <xdr:col>12</xdr:col>
      <xdr:colOff>571501</xdr:colOff>
      <xdr:row>140</xdr:row>
      <xdr:rowOff>38100</xdr:rowOff>
    </xdr:to>
    <xdr:graphicFrame macro="">
      <xdr:nvGraphicFramePr>
        <xdr:cNvPr id="2" name="Chart 7">
          <a:extLst>
            <a:ext uri="{FF2B5EF4-FFF2-40B4-BE49-F238E27FC236}">
              <a16:creationId xmlns:a16="http://schemas.microsoft.com/office/drawing/2014/main" id="{C7B1A506-AE6F-4879-8489-0EA15D2651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1CC8E1D-E517-4E19-BE08-5BDF5E15906F}" name="Table1" displayName="Table1" ref="A5:C140" totalsRowShown="0" headerRowDxfId="119" dataDxfId="117" headerRowBorderDxfId="118" tableBorderDxfId="116" totalsRowBorderDxfId="115">
  <autoFilter ref="A5:C140" xr:uid="{BB1EFE81-B1F4-4E9E-B894-93A44851F41D}"/>
  <tableColumns count="3">
    <tableColumn id="1" xr3:uid="{375DDBC9-B934-4FDB-8184-784BF1823141}" name="Date" dataDxfId="114"/>
    <tableColumn id="2" xr3:uid="{E0A48F48-C21D-4E32-90AC-3D87AD2BC0F8}" name="PMI" dataDxfId="113"/>
    <tableColumn id="3" xr3:uid="{0B8890C1-3DD9-4C54-A9EF-4A7965A54279}" name="mom" dataDxfId="11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32D0BFE3-6943-416B-B37F-EFB9089D6988}" name="Table1346811" displayName="Table1346811" ref="A5:C104" totalsRowShown="0" headerRowDxfId="111" dataDxfId="109" headerRowBorderDxfId="110" tableBorderDxfId="108" totalsRowBorderDxfId="107">
  <autoFilter ref="A5:C104" xr:uid="{13A09B06-B203-4CEC-87CB-B23BBB61FD67}"/>
  <tableColumns count="3">
    <tableColumn id="1" xr3:uid="{A5A410CD-B2EB-4F57-8D54-D18AA25D208B}" name="Date" dataDxfId="106"/>
    <tableColumn id="2" xr3:uid="{2A2F6C44-BB49-4EB7-BB39-1BFA9CE42B58}" name="PMI" dataDxfId="105"/>
    <tableColumn id="3" xr3:uid="{78719EF0-B3C8-4A42-95E0-B443C8D9F068}" name="mom" dataDxfId="10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BB60437-6A01-4BFC-BFC8-470760A11E24}" name="Table13468113" displayName="Table13468113" ref="A5:C179" totalsRowShown="0" headerRowDxfId="103" dataDxfId="101" headerRowBorderDxfId="102" tableBorderDxfId="100" totalsRowBorderDxfId="99">
  <autoFilter ref="A5:C179" xr:uid="{74D4C138-BB3B-41EF-A532-161CBBC8CDBB}"/>
  <tableColumns count="3">
    <tableColumn id="1" xr3:uid="{888CFB43-06C5-4FAC-BCCC-CE1CB8D11F7C}" name="Date" dataDxfId="98"/>
    <tableColumn id="2" xr3:uid="{B504A8AC-4EC7-4DD6-9389-A2A45520BA79}" name="PMI" dataDxfId="97"/>
    <tableColumn id="3" xr3:uid="{69E88F94-1CA7-4D88-8458-54E999973000}" name="mom" dataDxfId="9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6EC91D-FE02-495A-B13B-2B86A5D5D964}" name="Table134681134" displayName="Table134681134" ref="A5:C140" totalsRowShown="0" headerRowDxfId="95" dataDxfId="93" headerRowBorderDxfId="94" tableBorderDxfId="92" totalsRowBorderDxfId="91">
  <autoFilter ref="A5:C140" xr:uid="{BB8BBDC2-805A-402E-8C51-02565D668389}"/>
  <tableColumns count="3">
    <tableColumn id="1" xr3:uid="{D047339E-3460-46B7-9D2E-37FEAE8B6786}" name="Date" dataDxfId="90"/>
    <tableColumn id="2" xr3:uid="{1CA21BF5-DC55-4DCC-9186-CDA5127E2F33}" name="PMI" dataDxfId="89"/>
    <tableColumn id="3" xr3:uid="{9A323275-E537-4790-80E0-7D3581443CA2}" name="mom" dataDxfId="8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D5E924-667E-4ED3-BAC1-7CE2FCA284C5}" name="Table1346811345" displayName="Table1346811345" ref="A5:C166" totalsRowShown="0" headerRowDxfId="87" dataDxfId="85" headerRowBorderDxfId="86" tableBorderDxfId="84" totalsRowBorderDxfId="83">
  <autoFilter ref="A5:C166" xr:uid="{DD9AFFDF-7BD4-46DA-BE86-1E66434F04B5}"/>
  <tableColumns count="3">
    <tableColumn id="1" xr3:uid="{062F6D87-A7CF-4E90-856F-8A72108F0882}" name="Date" dataDxfId="82"/>
    <tableColumn id="2" xr3:uid="{6DBE9811-3317-4197-A91C-A8B6DE4CC993}" name="PMI" dataDxfId="81"/>
    <tableColumn id="3" xr3:uid="{8F1BD723-49F2-474F-A771-0B7B9D06044F}" name="mom" dataDxfId="8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1F2731A-79C4-4659-B784-789D6D8A8B76}" name="Table13468113456" displayName="Table13468113456" ref="A5:C179" totalsRowShown="0" headerRowDxfId="79" dataDxfId="77" headerRowBorderDxfId="78" tableBorderDxfId="76" totalsRowBorderDxfId="75">
  <autoFilter ref="A5:C179" xr:uid="{ACAD0EF9-A21D-475F-AA2A-C280A9FABD9E}"/>
  <tableColumns count="3">
    <tableColumn id="1" xr3:uid="{5F13D950-A78F-4A8B-99D1-51860E19FF2C}" name="Date" dataDxfId="74"/>
    <tableColumn id="2" xr3:uid="{FEB4F68C-9EB0-411F-9DE6-823736EDA583}" name="PMI" dataDxfId="73"/>
    <tableColumn id="3" xr3:uid="{C469834D-7D09-45B9-948A-DD1DC257718C}" name="mom" dataDxfId="7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071310C-11F7-4B6B-97B1-8F983A7C0FAD}" name="Table1346811345671012131415" displayName="Table1346811345671012131415" ref="A5:C140" totalsRowShown="0" headerRowDxfId="71" dataDxfId="69" headerRowBorderDxfId="70" tableBorderDxfId="68" totalsRowBorderDxfId="67">
  <autoFilter ref="A5:C140" xr:uid="{4087C79F-4BB6-4800-9501-52A59A283BFE}"/>
  <tableColumns count="3">
    <tableColumn id="1" xr3:uid="{80E83CC1-A9CF-4960-B58F-D1F4BE105BE9}" name="Date" dataDxfId="66"/>
    <tableColumn id="2" xr3:uid="{CD4294A7-3B75-4F03-80DA-E5BC6F41F86A}" name="PMI" dataDxfId="65"/>
    <tableColumn id="3" xr3:uid="{59F34B89-7516-44AD-9680-F163244F62FB}" name="mom" dataDxfId="6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73684E9-7981-40AC-A4D0-9F7C4CE2F76F}" name="Table134681134567" displayName="Table134681134567" ref="A5:C140" totalsRowShown="0" headerRowDxfId="63" dataDxfId="61" headerRowBorderDxfId="62" tableBorderDxfId="60" totalsRowBorderDxfId="59">
  <autoFilter ref="A5:C140" xr:uid="{AB7DD9E0-DE35-4B42-89BA-C1BE9E865988}"/>
  <tableColumns count="3">
    <tableColumn id="1" xr3:uid="{78C6336E-5091-4A83-9318-CA36BE194B9C}" name="Date" dataDxfId="58"/>
    <tableColumn id="2" xr3:uid="{54098377-BA56-4163-84F1-734A976BFB9B}" name="PMI" dataDxfId="57"/>
    <tableColumn id="3" xr3:uid="{0D66A73A-C63D-48E3-9A52-9F94824F4073}" name="mom" dataDxfId="5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06F369D-0F88-4229-988F-3F36264FAF5B}" name="Table13468113456716" displayName="Table13468113456716" ref="A5:C140" totalsRowShown="0" headerRowDxfId="55" dataDxfId="53" headerRowBorderDxfId="54" tableBorderDxfId="52" totalsRowBorderDxfId="51">
  <autoFilter ref="A5:C140" xr:uid="{461CA332-7C82-453E-B4FC-2CABBE4A96F5}"/>
  <tableColumns count="3">
    <tableColumn id="1" xr3:uid="{A93B9B08-640A-4DEA-BE78-89E6B661CAFE}" name="Date" dataDxfId="50"/>
    <tableColumn id="2" xr3:uid="{3E17FB3F-4FBE-4BD7-ABBA-7C9B483BE0AE}" name="PMI" dataDxfId="49"/>
    <tableColumn id="3" xr3:uid="{702462F3-DEB5-4A01-9FB4-BB6701EE40F3}" name="mom" dataDxfId="4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395A9B2-DA83-4C9A-A577-A52A9DE8F096}" name="Table1346811345678" displayName="Table1346811345678" ref="A5:C140" totalsRowShown="0" headerRowDxfId="47" dataDxfId="45" headerRowBorderDxfId="46" tableBorderDxfId="44" totalsRowBorderDxfId="43">
  <autoFilter ref="A5:C140" xr:uid="{0C63931C-8CDB-4E7A-9B59-4B29A80EB82F}"/>
  <tableColumns count="3">
    <tableColumn id="1" xr3:uid="{52AF1380-4EFB-44DF-B0B4-E0BF3547889A}" name="Date" dataDxfId="42"/>
    <tableColumn id="2" xr3:uid="{AFD998CB-5A19-4DAA-B684-9EAC3DC5C729}" name="PMI" dataDxfId="41"/>
    <tableColumn id="3" xr3:uid="{4128D506-5AC1-4BAF-B7F5-DEE9D5815741}" name="mom" dataDxfId="4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36D5DE8-5504-423D-AC7C-A4F900F9F0F2}" name="Table13468113456789" displayName="Table13468113456789" ref="A5:C140" totalsRowShown="0" headerRowDxfId="39" dataDxfId="37" headerRowBorderDxfId="38" tableBorderDxfId="36" totalsRowBorderDxfId="35">
  <autoFilter ref="A5:C140" xr:uid="{F0DAA39C-7BD6-4937-AF61-B95379C6AA3A}"/>
  <tableColumns count="3">
    <tableColumn id="1" xr3:uid="{6548C9A3-639D-439F-AD05-C21B8048CDBF}" name="Date" dataDxfId="34"/>
    <tableColumn id="2" xr3:uid="{12C0A7B7-5A0D-470B-917E-8EDBA6DE5B25}" name="PMI" dataDxfId="33"/>
    <tableColumn id="3" xr3:uid="{028F2E01-EAC7-48B0-9DCA-25E92119518E}" name="mom" dataDxfId="3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5098EB5-F3E9-4B70-96B1-932A09855D55}" name="Table13468113456710" displayName="Table13468113456710" ref="A5:C140" totalsRowShown="0" headerRowDxfId="31" dataDxfId="29" headerRowBorderDxfId="30" tableBorderDxfId="28" totalsRowBorderDxfId="27">
  <autoFilter ref="A5:C140" xr:uid="{B6DEB59B-8527-457B-8A8D-9CDAA1C869AD}"/>
  <tableColumns count="3">
    <tableColumn id="1" xr3:uid="{016E0F99-9AD3-4A88-BD33-EC6159C8C89E}" name="Date" dataDxfId="26"/>
    <tableColumn id="2" xr3:uid="{2C01127B-6074-4414-9C07-3111F34BB947}" name="PMI" dataDxfId="25"/>
    <tableColumn id="3" xr3:uid="{B21AB9EF-1E49-46B5-87EF-CB05A340561E}" name="mom" dataDxfId="2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3A7EB45A-F45B-4DF1-9E15-3229D5765AE0}" name="Table1346811345671012" displayName="Table1346811345671012" ref="A5:C140" totalsRowShown="0" headerRowDxfId="23" dataDxfId="21" headerRowBorderDxfId="22" tableBorderDxfId="20" totalsRowBorderDxfId="19">
  <autoFilter ref="A5:C140" xr:uid="{3C172765-9E01-4091-97B8-E6E07AEA4421}"/>
  <tableColumns count="3">
    <tableColumn id="1" xr3:uid="{E873B87B-BE9F-4D12-8C9F-75ED6554BB98}" name="Date" dataDxfId="18"/>
    <tableColumn id="2" xr3:uid="{455BF5D1-AD4D-4720-B7E1-66B8773FEA44}" name="PMI" dataDxfId="17"/>
    <tableColumn id="3" xr3:uid="{B5E68F22-1CC6-417B-966B-4335C5000D78}" name="mom" dataDxfId="1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014FE85-B094-4262-B4E9-480075999E2E}" name="Table134681134567101213" displayName="Table134681134567101213" ref="A5:C140" totalsRowShown="0" headerRowDxfId="15" dataDxfId="13" headerRowBorderDxfId="14" tableBorderDxfId="12" totalsRowBorderDxfId="11">
  <autoFilter ref="A5:C140" xr:uid="{A484EB00-848A-489D-932E-F64314EE3540}"/>
  <tableColumns count="3">
    <tableColumn id="1" xr3:uid="{6E374FCF-3A7E-4F46-8DA6-E82EA5F95D59}" name="Date" dataDxfId="10"/>
    <tableColumn id="2" xr3:uid="{D184AB1F-84FB-4D32-B2EC-382E6637F5BC}" name="PMI" dataDxfId="9"/>
    <tableColumn id="3" xr3:uid="{3F69F4CA-CF10-4506-9CF6-457B37BFD2BC}" name="mom" dataDxfId="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A6F6A37-EB67-4D89-84A6-C113AA3B213A}" name="Table13468113456710121314" displayName="Table13468113456710121314" ref="A5:C140" totalsRowShown="0" headerRowDxfId="7" dataDxfId="5" headerRowBorderDxfId="6" tableBorderDxfId="4" totalsRowBorderDxfId="3">
  <autoFilter ref="A5:C140" xr:uid="{C7362E40-6876-4E80-9993-53A9F2B978EC}"/>
  <tableColumns count="3">
    <tableColumn id="1" xr3:uid="{23016B74-88A9-4DAC-A0E5-4FE24D15B0F5}" name="Date" dataDxfId="2"/>
    <tableColumn id="2" xr3:uid="{52F0B86D-1BAA-4E1B-90F9-0F2AE4B2B630}" name="PMI" dataDxfId="1"/>
    <tableColumn id="3" xr3:uid="{1E138444-1493-4D3F-BA71-69FD734080E3}" name="mom" dataDxfId="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tradingeconomics.com/country-list/services-pmi"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CF42BD-087E-40DD-A44A-F9AEFA81862F}">
  <sheetPr>
    <tabColor rgb="FFFFFF00"/>
  </sheetPr>
  <dimension ref="B1:S34"/>
  <sheetViews>
    <sheetView tabSelected="1" zoomScale="150" zoomScaleNormal="150" workbookViewId="0">
      <selection activeCell="AI16" sqref="AI16"/>
    </sheetView>
  </sheetViews>
  <sheetFormatPr baseColWidth="10" defaultColWidth="9.1640625" defaultRowHeight="15" x14ac:dyDescent="0.2"/>
  <cols>
    <col min="1" max="1" width="4" style="1" customWidth="1"/>
    <col min="2" max="5" width="12.83203125" style="1" customWidth="1"/>
    <col min="6" max="6" width="13.6640625" style="1" customWidth="1"/>
    <col min="7" max="10" width="12.83203125" style="1" customWidth="1"/>
    <col min="11" max="13" width="2" style="1" customWidth="1"/>
    <col min="14" max="14" width="9.1640625" style="1"/>
    <col min="15" max="15" width="15.5" style="1" customWidth="1"/>
    <col min="16" max="18" width="12.6640625" style="1" customWidth="1"/>
    <col min="19" max="19" width="11.6640625" style="1" customWidth="1"/>
    <col min="20" max="16384" width="9.1640625" style="1"/>
  </cols>
  <sheetData>
    <row r="1" spans="2:19" x14ac:dyDescent="0.2">
      <c r="B1" s="81"/>
      <c r="C1" s="81"/>
      <c r="D1" s="81"/>
      <c r="E1" s="81"/>
      <c r="F1" s="81"/>
      <c r="G1" s="81"/>
      <c r="H1" s="81"/>
      <c r="I1" s="81"/>
      <c r="J1" s="81"/>
    </row>
    <row r="2" spans="2:19" ht="16" thickBot="1" x14ac:dyDescent="0.25">
      <c r="B2" s="82"/>
      <c r="C2" s="82"/>
      <c r="D2" s="82"/>
      <c r="E2" s="82"/>
      <c r="F2" s="82"/>
      <c r="G2" s="82"/>
      <c r="H2" s="82"/>
      <c r="I2" s="82"/>
      <c r="J2" s="82"/>
    </row>
    <row r="3" spans="2:19" ht="16" thickBot="1" x14ac:dyDescent="0.25">
      <c r="B3" s="83" t="s">
        <v>58</v>
      </c>
      <c r="C3" s="84"/>
      <c r="D3" s="84"/>
      <c r="E3" s="84"/>
      <c r="F3" s="84"/>
      <c r="G3" s="84"/>
      <c r="H3" s="84"/>
      <c r="I3" s="84"/>
      <c r="J3" s="85"/>
    </row>
    <row r="5" spans="2:19" x14ac:dyDescent="0.2">
      <c r="B5" s="76" t="s">
        <v>0</v>
      </c>
      <c r="C5" s="86"/>
      <c r="D5" s="86"/>
      <c r="E5" s="86"/>
      <c r="F5" s="86"/>
      <c r="G5" s="86"/>
      <c r="H5" s="86"/>
      <c r="I5" s="86"/>
      <c r="J5" s="87"/>
    </row>
    <row r="7" spans="2:19" ht="225.75" customHeight="1" x14ac:dyDescent="0.2">
      <c r="B7" s="88" t="s">
        <v>8</v>
      </c>
      <c r="C7" s="89"/>
      <c r="D7" s="89"/>
      <c r="E7" s="89"/>
      <c r="F7" s="89"/>
      <c r="G7" s="89"/>
      <c r="H7" s="89"/>
      <c r="I7" s="89"/>
      <c r="J7" s="89"/>
    </row>
    <row r="8" spans="2:19" ht="24" customHeight="1" x14ac:dyDescent="0.2">
      <c r="B8" s="58"/>
      <c r="C8" s="3"/>
      <c r="D8" s="3"/>
      <c r="E8" s="3"/>
      <c r="F8" s="3"/>
      <c r="G8" s="3"/>
      <c r="H8" s="3"/>
      <c r="I8" s="3"/>
      <c r="J8" s="3"/>
    </row>
    <row r="9" spans="2:19" ht="16" thickBot="1" x14ac:dyDescent="0.25">
      <c r="B9" s="4"/>
      <c r="C9" s="5"/>
      <c r="D9" s="5"/>
      <c r="E9" s="5"/>
    </row>
    <row r="10" spans="2:19" ht="16" thickBot="1" x14ac:dyDescent="0.25">
      <c r="B10" s="76" t="s">
        <v>1</v>
      </c>
      <c r="C10" s="90"/>
      <c r="D10" s="90"/>
      <c r="E10" s="90"/>
      <c r="F10" s="90"/>
      <c r="G10" s="90"/>
      <c r="H10" s="90"/>
      <c r="I10" s="90"/>
      <c r="J10" s="91"/>
      <c r="N10" s="92" t="s">
        <v>2</v>
      </c>
      <c r="O10" s="93"/>
      <c r="P10" s="93"/>
      <c r="Q10" s="93"/>
      <c r="R10" s="93"/>
      <c r="S10" s="94"/>
    </row>
    <row r="11" spans="2:19" x14ac:dyDescent="0.2">
      <c r="N11" s="6" t="s">
        <v>3</v>
      </c>
    </row>
    <row r="12" spans="2:19" ht="16" thickBot="1" x14ac:dyDescent="0.25">
      <c r="B12" s="76" t="s">
        <v>4</v>
      </c>
      <c r="C12" s="77"/>
      <c r="D12" s="77"/>
      <c r="E12" s="77"/>
      <c r="F12" s="78"/>
      <c r="G12" s="76" t="s">
        <v>5</v>
      </c>
      <c r="H12" s="77"/>
      <c r="I12" s="77"/>
      <c r="J12" s="78"/>
    </row>
    <row r="13" spans="2:19" x14ac:dyDescent="0.2">
      <c r="P13" s="7">
        <v>44531</v>
      </c>
      <c r="Q13" s="8">
        <f>DATE(YEAR(P13),MONTH(P13)-1,DAY(P13))</f>
        <v>44501</v>
      </c>
      <c r="R13" s="9"/>
      <c r="S13" s="24" t="s">
        <v>39</v>
      </c>
    </row>
    <row r="14" spans="2:19" ht="16" thickBot="1" x14ac:dyDescent="0.25">
      <c r="B14" s="71" t="s">
        <v>12</v>
      </c>
      <c r="C14" s="69"/>
      <c r="D14" s="69"/>
      <c r="E14" s="69"/>
      <c r="F14" s="69"/>
      <c r="G14" s="71" t="s">
        <v>13</v>
      </c>
      <c r="H14" s="69"/>
      <c r="I14" s="69"/>
      <c r="J14" s="69"/>
      <c r="O14" s="1" t="s">
        <v>34</v>
      </c>
      <c r="P14" s="11" t="s">
        <v>6</v>
      </c>
      <c r="Q14" s="11" t="s">
        <v>6</v>
      </c>
      <c r="R14" s="12" t="s">
        <v>7</v>
      </c>
      <c r="S14" s="50" t="s">
        <v>40</v>
      </c>
    </row>
    <row r="15" spans="2:19" ht="30.75" customHeight="1" x14ac:dyDescent="0.2">
      <c r="G15" s="72" t="s">
        <v>56</v>
      </c>
      <c r="H15" s="79"/>
      <c r="I15" s="79"/>
      <c r="J15" s="79"/>
      <c r="N15" s="95" t="s">
        <v>12</v>
      </c>
      <c r="O15" s="96"/>
      <c r="P15" s="51">
        <f>VLOOKUP($P$13,Summary!B:Q,MATCH(Note!N15,Summary!$B$2:$Q$2,),)</f>
        <v>54.6</v>
      </c>
      <c r="Q15" s="51">
        <f>VLOOKUP($Q$13,Summary!B:Q,MATCH(Note!N15,Summary!$B$2:$Q$2,),)</f>
        <v>55.6</v>
      </c>
      <c r="R15" s="52">
        <f>P15-Q15</f>
        <v>-1</v>
      </c>
      <c r="S15" s="53"/>
    </row>
    <row r="16" spans="2:19" x14ac:dyDescent="0.2">
      <c r="B16" s="80" t="s">
        <v>57</v>
      </c>
      <c r="C16" s="79"/>
      <c r="D16" s="79"/>
      <c r="E16" s="79"/>
      <c r="F16" s="79"/>
      <c r="G16" s="71" t="s">
        <v>37</v>
      </c>
      <c r="H16" s="69"/>
      <c r="I16" s="69"/>
      <c r="J16" s="69"/>
      <c r="N16" s="66" t="s">
        <v>28</v>
      </c>
      <c r="O16" s="67"/>
      <c r="P16" s="13">
        <f>VLOOKUP($P$13,Summary!B:Q,MATCH(Note!N16,Summary!$B$2:$Q$2,),)</f>
        <v>57.6</v>
      </c>
      <c r="Q16" s="13">
        <f>VLOOKUP($Q$13,Summary!B:Q,MATCH(Note!N16,Summary!$B$2:$Q$2,),)</f>
        <v>58</v>
      </c>
      <c r="R16" s="23">
        <f t="shared" ref="R16:R29" si="0">P16-Q16</f>
        <v>-0.39999999999999858</v>
      </c>
      <c r="S16" s="54">
        <v>0.24099999999999999</v>
      </c>
    </row>
    <row r="17" spans="2:19" x14ac:dyDescent="0.2">
      <c r="B17" s="71"/>
      <c r="C17" s="69"/>
      <c r="D17" s="69"/>
      <c r="E17" s="69"/>
      <c r="F17" s="69"/>
      <c r="G17" s="1" t="s">
        <v>38</v>
      </c>
      <c r="N17" s="66" t="s">
        <v>29</v>
      </c>
      <c r="O17" s="67"/>
      <c r="P17" s="13">
        <f>VLOOKUP($P$13,Summary!B:Q,MATCH(Note!N17,Summary!$B$2:$Q$2,),)</f>
        <v>53.1</v>
      </c>
      <c r="Q17" s="13">
        <f>VLOOKUP($Q$13,Summary!B:Q,MATCH(Note!N17,Summary!$B$2:$Q$2,),)</f>
        <v>52.1</v>
      </c>
      <c r="R17" s="23">
        <f t="shared" si="0"/>
        <v>1</v>
      </c>
      <c r="S17" s="54">
        <v>0.152</v>
      </c>
    </row>
    <row r="18" spans="2:19" x14ac:dyDescent="0.2">
      <c r="B18" s="71"/>
      <c r="C18" s="69"/>
      <c r="D18" s="69"/>
      <c r="E18" s="69"/>
      <c r="F18" s="69"/>
      <c r="N18" s="66" t="s">
        <v>30</v>
      </c>
      <c r="O18" s="67"/>
      <c r="P18" s="13">
        <f>VLOOKUP($P$13,Summary!B:Q,MATCH(Note!N18,Summary!$B$2:$Q$2,),)</f>
        <v>53.1</v>
      </c>
      <c r="Q18" s="13">
        <f>VLOOKUP($Q$13,Summary!B:Q,MATCH(Note!N18,Summary!$B$2:$Q$2,),)</f>
        <v>55.9</v>
      </c>
      <c r="R18" s="23">
        <f t="shared" si="0"/>
        <v>-2.7999999999999972</v>
      </c>
      <c r="S18" s="54">
        <v>0.156</v>
      </c>
    </row>
    <row r="19" spans="2:19" x14ac:dyDescent="0.2">
      <c r="N19" s="66" t="s">
        <v>31</v>
      </c>
      <c r="O19" s="67"/>
      <c r="P19" s="13">
        <f>VLOOKUP($P$13,Summary!B:Q,MATCH(Note!N19,Summary!$B$2:$Q$2,),)</f>
        <v>52.1</v>
      </c>
      <c r="Q19" s="13">
        <f>VLOOKUP($Q$13,Summary!B:Q,MATCH(Note!N19,Summary!$B$2:$Q$2,),)</f>
        <v>53</v>
      </c>
      <c r="R19" s="23">
        <f t="shared" si="0"/>
        <v>-0.89999999999999858</v>
      </c>
      <c r="S19" s="54">
        <v>0.06</v>
      </c>
    </row>
    <row r="20" spans="2:19" x14ac:dyDescent="0.2">
      <c r="B20" s="71"/>
      <c r="C20" s="69"/>
      <c r="D20" s="69"/>
      <c r="E20" s="69"/>
      <c r="F20" s="69"/>
      <c r="G20" s="71"/>
      <c r="H20" s="69"/>
      <c r="I20" s="69"/>
      <c r="J20" s="69"/>
      <c r="N20" s="66" t="s">
        <v>17</v>
      </c>
      <c r="O20" s="67"/>
      <c r="P20" s="13">
        <f>VLOOKUP($P$13,Summary!B:Q,MATCH(Note!N20,Summary!$B$2:$Q$2,),)</f>
        <v>48.7</v>
      </c>
      <c r="Q20" s="13">
        <f>VLOOKUP($Q$13,Summary!B:Q,MATCH(Note!N20,Summary!$B$2:$Q$2,),)</f>
        <v>52.7</v>
      </c>
      <c r="R20" s="23">
        <f t="shared" si="0"/>
        <v>-4</v>
      </c>
      <c r="S20" s="54">
        <v>4.5642432442496987E-2</v>
      </c>
    </row>
    <row r="21" spans="2:19" x14ac:dyDescent="0.2">
      <c r="B21" s="71"/>
      <c r="C21" s="69"/>
      <c r="D21" s="69"/>
      <c r="E21" s="69"/>
      <c r="F21" s="69"/>
      <c r="G21" s="71"/>
      <c r="H21" s="69"/>
      <c r="I21" s="69"/>
      <c r="J21" s="69"/>
      <c r="N21" s="66" t="s">
        <v>18</v>
      </c>
      <c r="O21" s="67"/>
      <c r="P21" s="13">
        <f>VLOOKUP($P$13,Summary!B:Q,MATCH(Note!N21,Summary!$B$2:$Q$2,),)</f>
        <v>57</v>
      </c>
      <c r="Q21" s="13">
        <f>VLOOKUP($Q$13,Summary!B:Q,MATCH(Note!N21,Summary!$B$2:$Q$2,),)</f>
        <v>57.4</v>
      </c>
      <c r="R21" s="23">
        <f t="shared" si="0"/>
        <v>-0.39999999999999858</v>
      </c>
      <c r="S21" s="54">
        <v>3.2062660592594432E-2</v>
      </c>
    </row>
    <row r="22" spans="2:19" x14ac:dyDescent="0.2">
      <c r="B22" s="71"/>
      <c r="C22" s="69"/>
      <c r="D22" s="69"/>
      <c r="E22" s="69"/>
      <c r="F22" s="69"/>
      <c r="G22" s="71"/>
      <c r="H22" s="69"/>
      <c r="I22" s="69"/>
      <c r="J22" s="69"/>
      <c r="N22" s="66" t="s">
        <v>32</v>
      </c>
      <c r="O22" s="67"/>
      <c r="P22" s="13">
        <f>VLOOKUP($P$13,Summary!B:Q,MATCH(Note!N22,Summary!$B$2:$Q$2,),)</f>
        <v>53.6</v>
      </c>
      <c r="Q22" s="13">
        <f>VLOOKUP($Q$13,Summary!B:Q,MATCH(Note!N22,Summary!$B$2:$Q$2,),)</f>
        <v>58.5</v>
      </c>
      <c r="R22" s="23">
        <f t="shared" si="0"/>
        <v>-4.8999999999999986</v>
      </c>
      <c r="S22" s="54">
        <v>3.3000000000000002E-2</v>
      </c>
    </row>
    <row r="23" spans="2:19" x14ac:dyDescent="0.2">
      <c r="B23" s="71"/>
      <c r="C23" s="69"/>
      <c r="D23" s="69"/>
      <c r="E23" s="69"/>
      <c r="F23" s="69"/>
      <c r="N23" s="66" t="s">
        <v>33</v>
      </c>
      <c r="O23" s="67"/>
      <c r="P23" s="13">
        <f>VLOOKUP($P$13,Summary!B:Q,MATCH(Note!N23,Summary!$B$2:$Q$2,),)</f>
        <v>53</v>
      </c>
      <c r="Q23" s="13">
        <f>VLOOKUP($Q$13,Summary!B:Q,MATCH(Note!N23,Summary!$B$2:$Q$2,),)</f>
        <v>55.9</v>
      </c>
      <c r="R23" s="23">
        <f t="shared" si="0"/>
        <v>-2.8999999999999986</v>
      </c>
      <c r="S23" s="54">
        <v>2.4E-2</v>
      </c>
    </row>
    <row r="24" spans="2:19" x14ac:dyDescent="0.2">
      <c r="B24" s="71"/>
      <c r="C24" s="69"/>
      <c r="D24" s="69"/>
      <c r="E24" s="69"/>
      <c r="F24" s="69"/>
      <c r="N24" s="66" t="s">
        <v>20</v>
      </c>
      <c r="O24" s="67"/>
      <c r="P24" s="13">
        <f>VLOOKUP($P$13,Summary!B:Q,MATCH(Note!N24,Summary!$B$2:$Q$2,),)</f>
        <v>55.8</v>
      </c>
      <c r="Q24" s="13">
        <f>VLOOKUP($Q$13,Summary!B:Q,MATCH(Note!N24,Summary!$B$2:$Q$2,),)</f>
        <v>59.8</v>
      </c>
      <c r="R24" s="23">
        <f t="shared" si="0"/>
        <v>-4</v>
      </c>
      <c r="S24" s="54">
        <v>1.6273382902396941E-2</v>
      </c>
    </row>
    <row r="25" spans="2:19" x14ac:dyDescent="0.2">
      <c r="N25" s="66" t="s">
        <v>24</v>
      </c>
      <c r="O25" s="67"/>
      <c r="P25" s="13">
        <f>VLOOKUP($P$13,Summary!B:Q,MATCH(Note!N25,Summary!$B$2:$Q$2,),)</f>
        <v>53.6</v>
      </c>
      <c r="Q25" s="13">
        <f>VLOOKUP($Q$13,Summary!B:Q,MATCH(Note!N25,Summary!$B$2:$Q$2,),)</f>
        <v>53.6</v>
      </c>
      <c r="R25" s="23">
        <f t="shared" si="0"/>
        <v>0</v>
      </c>
      <c r="S25" s="54">
        <v>2.5521033750822358E-2</v>
      </c>
    </row>
    <row r="26" spans="2:19" s="10" customFormat="1" x14ac:dyDescent="0.2">
      <c r="N26" s="66" t="s">
        <v>26</v>
      </c>
      <c r="O26" s="67"/>
      <c r="P26" s="13">
        <f>VLOOKUP($P$13,Summary!B:Q,MATCH(Note!N26,Summary!$B$2:$Q$2,),)</f>
        <v>49.5</v>
      </c>
      <c r="Q26" s="13">
        <f>VLOOKUP($Q$13,Summary!B:Q,MATCH(Note!N26,Summary!$B$2:$Q$2,),)</f>
        <v>47.1</v>
      </c>
      <c r="R26" s="23">
        <f t="shared" si="0"/>
        <v>2.3999999999999986</v>
      </c>
      <c r="S26" s="54">
        <v>1.9587641662839338E-2</v>
      </c>
    </row>
    <row r="27" spans="2:19" s="10" customFormat="1" x14ac:dyDescent="0.2">
      <c r="N27" s="66" t="s">
        <v>25</v>
      </c>
      <c r="O27" s="67"/>
      <c r="P27" s="13">
        <f>VLOOKUP($P$13,Summary!B:Q,MATCH(Note!N27,Summary!$B$2:$Q$2,),)</f>
        <v>55.5</v>
      </c>
      <c r="Q27" s="13">
        <f>VLOOKUP($Q$13,Summary!B:Q,MATCH(Note!N27,Summary!$B$2:$Q$2,),)</f>
        <v>58.1</v>
      </c>
      <c r="R27" s="23">
        <f t="shared" si="0"/>
        <v>-2.6000000000000014</v>
      </c>
      <c r="S27" s="54">
        <v>3.2286093767455719E-2</v>
      </c>
    </row>
    <row r="28" spans="2:19" s="10" customFormat="1" x14ac:dyDescent="0.2">
      <c r="N28" s="66" t="s">
        <v>27</v>
      </c>
      <c r="O28" s="67"/>
      <c r="P28" s="13">
        <f>VLOOKUP($P$13,Summary!B:Q,MATCH(Note!N28,Summary!$B$2:$Q$2,),)</f>
        <v>49.6</v>
      </c>
      <c r="Q28" s="13">
        <f>VLOOKUP($Q$13,Summary!B:Q,MATCH(Note!N28,Summary!$B$2:$Q$2,),)</f>
        <v>47.6</v>
      </c>
      <c r="R28" s="23">
        <f t="shared" si="0"/>
        <v>2</v>
      </c>
      <c r="S28" s="54">
        <v>1.6422338352304465E-2</v>
      </c>
    </row>
    <row r="29" spans="2:19" s="10" customFormat="1" ht="16" thickBot="1" x14ac:dyDescent="0.25">
      <c r="N29" s="74" t="s">
        <v>21</v>
      </c>
      <c r="O29" s="75"/>
      <c r="P29" s="55">
        <f>VLOOKUP($P$13,Summary!B:Q,MATCH(Note!N29,Summary!$B$2:$Q$2,),)</f>
        <v>55.4</v>
      </c>
      <c r="Q29" s="55">
        <f>VLOOKUP($Q$13,Summary!B:Q,MATCH(Note!N29,Summary!$B$2:$Q$2,),)</f>
        <v>59.3</v>
      </c>
      <c r="R29" s="56">
        <f t="shared" si="0"/>
        <v>-3.8999999999999986</v>
      </c>
      <c r="S29" s="57">
        <v>4.1459266890927372E-3</v>
      </c>
    </row>
    <row r="32" spans="2:19" x14ac:dyDescent="0.2">
      <c r="B32" s="68"/>
      <c r="C32" s="69"/>
      <c r="D32" s="69"/>
      <c r="E32" s="69"/>
      <c r="F32" s="69"/>
      <c r="G32" s="69"/>
      <c r="H32" s="69"/>
      <c r="I32" s="69"/>
      <c r="J32" s="69"/>
      <c r="K32" s="69"/>
      <c r="L32" s="69"/>
      <c r="M32" s="69"/>
      <c r="N32" s="69"/>
      <c r="O32" s="69"/>
      <c r="P32" s="69"/>
      <c r="Q32" s="69"/>
      <c r="R32" s="69"/>
      <c r="S32" s="69"/>
    </row>
    <row r="33" spans="2:19" x14ac:dyDescent="0.2">
      <c r="B33" s="72"/>
      <c r="C33" s="73"/>
      <c r="D33" s="73"/>
      <c r="E33" s="73"/>
      <c r="F33" s="73"/>
      <c r="G33" s="73"/>
      <c r="H33" s="73"/>
      <c r="I33" s="73"/>
      <c r="J33" s="73"/>
      <c r="K33" s="73"/>
      <c r="L33" s="73"/>
      <c r="M33" s="73"/>
      <c r="N33" s="73"/>
      <c r="O33" s="73"/>
      <c r="P33" s="73"/>
      <c r="Q33" s="73"/>
      <c r="R33" s="73"/>
      <c r="S33" s="73"/>
    </row>
    <row r="34" spans="2:19" x14ac:dyDescent="0.2">
      <c r="B34" s="70"/>
      <c r="C34" s="69"/>
      <c r="D34" s="69"/>
      <c r="E34" s="69"/>
      <c r="F34" s="69"/>
      <c r="G34" s="69"/>
      <c r="H34" s="69"/>
      <c r="I34" s="69"/>
      <c r="J34" s="69"/>
      <c r="K34" s="69"/>
      <c r="L34" s="69"/>
      <c r="M34" s="69"/>
      <c r="N34" s="69"/>
      <c r="O34" s="69"/>
      <c r="P34" s="69"/>
      <c r="Q34" s="69"/>
      <c r="R34" s="69"/>
      <c r="S34" s="69"/>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dxfId="129" priority="7" operator="lessThan">
      <formula>0</formula>
    </cfRule>
    <cfRule type="cellIs" dxfId="128" priority="8" operator="greaterThan">
      <formula>0</formula>
    </cfRule>
  </conditionalFormatting>
  <conditionalFormatting sqref="S16:S29">
    <cfRule type="dataBar" priority="199">
      <dataBar>
        <cfvo type="min"/>
        <cfvo type="max"/>
        <color rgb="FF638EC6"/>
      </dataBar>
      <extLst>
        <ext xmlns:x14="http://schemas.microsoft.com/office/spreadsheetml/2009/9/main" uri="{B025F937-C7B1-47D3-B67F-A62EFF666E3E}">
          <x14:id>{33D717AC-1227-459D-B72B-67F1B9ED5446}</x14:id>
        </ext>
      </extLst>
    </cfRule>
  </conditionalFormatting>
  <hyperlinks>
    <hyperlink ref="B16" r:id="rId1" xr:uid="{023096AD-68AC-46A2-8C93-2F62EBF48ACB}"/>
  </hyperlinks>
  <pageMargins left="0.7" right="0.7" top="0.75" bottom="0.75" header="0.3" footer="0.3"/>
  <drawing r:id="rId2"/>
  <extLst>
    <ext xmlns:x14="http://schemas.microsoft.com/office/spreadsheetml/2009/9/main" uri="{78C0D931-6437-407d-A8EE-F0AAD7539E65}">
      <x14:conditionalFormattings>
        <x14:conditionalFormatting xmlns:xm="http://schemas.microsoft.com/office/excel/2006/main">
          <x14:cfRule type="dataBar" id="{33D717AC-1227-459D-B72B-67F1B9ED5446}">
            <x14:dataBar minLength="0" maxLength="100" border="1" negativeBarBorderColorSameAsPositive="0">
              <x14:cfvo type="autoMin"/>
              <x14:cfvo type="autoMax"/>
              <x14:borderColor rgb="FF638EC6"/>
              <x14:negativeFillColor rgb="FFFF0000"/>
              <x14:negativeBorderColor rgb="FFFF0000"/>
              <x14:axisColor rgb="FF000000"/>
            </x14:dataBar>
          </x14:cfRule>
          <xm:sqref>S16:S29</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190A8-ECED-4BAC-A789-151B5D1F5B7A}">
  <sheetPr>
    <tabColor theme="1" tint="0.499984740745262"/>
  </sheetPr>
  <dimension ref="B2:G29"/>
  <sheetViews>
    <sheetView zoomScale="160" zoomScaleNormal="160" workbookViewId="0">
      <selection activeCell="E35" sqref="E35"/>
    </sheetView>
  </sheetViews>
  <sheetFormatPr baseColWidth="10" defaultColWidth="9.1640625" defaultRowHeight="15" x14ac:dyDescent="0.2"/>
  <cols>
    <col min="1" max="2" width="9.1640625" style="10"/>
    <col min="3" max="7" width="28.6640625" style="22" customWidth="1"/>
    <col min="8" max="16384" width="9.1640625" style="10"/>
  </cols>
  <sheetData>
    <row r="2" spans="2:7" x14ac:dyDescent="0.2">
      <c r="B2" s="2" t="s">
        <v>57</v>
      </c>
    </row>
    <row r="8" spans="2:7" ht="16" thickBot="1" x14ac:dyDescent="0.25"/>
    <row r="9" spans="2:7" x14ac:dyDescent="0.2">
      <c r="C9" s="48" t="s">
        <v>34</v>
      </c>
      <c r="D9" s="49" t="s">
        <v>35</v>
      </c>
      <c r="E9" s="49" t="s">
        <v>36</v>
      </c>
      <c r="F9" s="49" t="s">
        <v>60</v>
      </c>
      <c r="G9" s="49" t="s">
        <v>61</v>
      </c>
    </row>
    <row r="10" spans="2:7" x14ac:dyDescent="0.2">
      <c r="C10" s="59" t="s">
        <v>69</v>
      </c>
      <c r="D10" s="60">
        <v>67.3</v>
      </c>
      <c r="E10" s="63">
        <v>68.7</v>
      </c>
      <c r="F10" s="61">
        <v>44531</v>
      </c>
      <c r="G10" s="62" t="s">
        <v>59</v>
      </c>
    </row>
    <row r="11" spans="2:7" x14ac:dyDescent="0.2">
      <c r="C11" s="59" t="s">
        <v>68</v>
      </c>
      <c r="D11" s="60">
        <v>62.1</v>
      </c>
      <c r="E11" s="63">
        <v>57.9</v>
      </c>
      <c r="F11" s="61">
        <v>44501</v>
      </c>
      <c r="G11" s="60" t="s">
        <v>59</v>
      </c>
    </row>
    <row r="12" spans="2:7" x14ac:dyDescent="0.2">
      <c r="C12" s="59" t="s">
        <v>62</v>
      </c>
      <c r="D12" s="60">
        <v>61.3</v>
      </c>
      <c r="E12" s="63">
        <v>60.8</v>
      </c>
      <c r="F12" s="61">
        <v>44409</v>
      </c>
      <c r="G12" s="60" t="s">
        <v>59</v>
      </c>
    </row>
    <row r="13" spans="2:7" x14ac:dyDescent="0.2">
      <c r="C13" s="59" t="s">
        <v>64</v>
      </c>
      <c r="D13" s="60">
        <v>57.6</v>
      </c>
      <c r="E13" s="63">
        <v>58</v>
      </c>
      <c r="F13" s="61">
        <v>44531</v>
      </c>
      <c r="G13" s="60" t="s">
        <v>59</v>
      </c>
    </row>
    <row r="14" spans="2:7" x14ac:dyDescent="0.2">
      <c r="C14" s="59" t="s">
        <v>18</v>
      </c>
      <c r="D14" s="60">
        <v>57</v>
      </c>
      <c r="E14" s="63">
        <v>57.4</v>
      </c>
      <c r="F14" s="61">
        <v>44531</v>
      </c>
      <c r="G14" s="60" t="s">
        <v>59</v>
      </c>
    </row>
    <row r="15" spans="2:7" x14ac:dyDescent="0.2">
      <c r="C15" s="59" t="s">
        <v>20</v>
      </c>
      <c r="D15" s="60">
        <v>55.8</v>
      </c>
      <c r="E15" s="63">
        <v>59.8</v>
      </c>
      <c r="F15" s="61">
        <v>44531</v>
      </c>
      <c r="G15" s="60" t="s">
        <v>59</v>
      </c>
    </row>
    <row r="16" spans="2:7" x14ac:dyDescent="0.2">
      <c r="C16" s="59" t="s">
        <v>25</v>
      </c>
      <c r="D16" s="60">
        <v>55.5</v>
      </c>
      <c r="E16" s="63">
        <v>58.1</v>
      </c>
      <c r="F16" s="61">
        <v>44531</v>
      </c>
      <c r="G16" s="60" t="s">
        <v>59</v>
      </c>
    </row>
    <row r="17" spans="3:7" x14ac:dyDescent="0.2">
      <c r="C17" s="59" t="s">
        <v>21</v>
      </c>
      <c r="D17" s="60">
        <v>55.4</v>
      </c>
      <c r="E17" s="63">
        <v>59.3</v>
      </c>
      <c r="F17" s="61">
        <v>44531</v>
      </c>
      <c r="G17" s="62" t="s">
        <v>59</v>
      </c>
    </row>
    <row r="18" spans="3:7" x14ac:dyDescent="0.2">
      <c r="C18" s="59" t="s">
        <v>24</v>
      </c>
      <c r="D18" s="60">
        <v>53.6</v>
      </c>
      <c r="E18" s="63">
        <v>53.6</v>
      </c>
      <c r="F18" s="61">
        <v>44531</v>
      </c>
      <c r="G18" s="60" t="s">
        <v>59</v>
      </c>
    </row>
    <row r="19" spans="3:7" x14ac:dyDescent="0.2">
      <c r="C19" s="59" t="s">
        <v>63</v>
      </c>
      <c r="D19" s="60">
        <v>53.6</v>
      </c>
      <c r="E19" s="63">
        <v>58.5</v>
      </c>
      <c r="F19" s="61">
        <v>44531</v>
      </c>
      <c r="G19" s="60" t="s">
        <v>59</v>
      </c>
    </row>
    <row r="20" spans="3:7" x14ac:dyDescent="0.2">
      <c r="C20" s="59" t="s">
        <v>22</v>
      </c>
      <c r="D20" s="60">
        <v>53.1</v>
      </c>
      <c r="E20" s="63">
        <v>52.1</v>
      </c>
      <c r="F20" s="61">
        <v>44531</v>
      </c>
      <c r="G20" s="60" t="s">
        <v>59</v>
      </c>
    </row>
    <row r="21" spans="3:7" x14ac:dyDescent="0.2">
      <c r="C21" s="59" t="s">
        <v>16</v>
      </c>
      <c r="D21" s="60">
        <v>53.1</v>
      </c>
      <c r="E21" s="63">
        <v>55.9</v>
      </c>
      <c r="F21" s="61">
        <v>44531</v>
      </c>
      <c r="G21" s="60" t="s">
        <v>59</v>
      </c>
    </row>
    <row r="22" spans="3:7" x14ac:dyDescent="0.2">
      <c r="C22" s="59" t="s">
        <v>19</v>
      </c>
      <c r="D22" s="60">
        <v>53</v>
      </c>
      <c r="E22" s="63">
        <v>55.9</v>
      </c>
      <c r="F22" s="61">
        <v>44531</v>
      </c>
      <c r="G22" s="60" t="s">
        <v>59</v>
      </c>
    </row>
    <row r="23" spans="3:7" x14ac:dyDescent="0.2">
      <c r="C23" s="59" t="s">
        <v>23</v>
      </c>
      <c r="D23" s="60">
        <v>52.1</v>
      </c>
      <c r="E23" s="63">
        <v>53</v>
      </c>
      <c r="F23" s="61">
        <v>44531</v>
      </c>
      <c r="G23" s="60" t="s">
        <v>59</v>
      </c>
    </row>
    <row r="24" spans="3:7" x14ac:dyDescent="0.2">
      <c r="C24" s="13" t="s">
        <v>27</v>
      </c>
      <c r="D24" s="13">
        <v>49.6</v>
      </c>
      <c r="E24" s="13">
        <v>47.6</v>
      </c>
      <c r="F24" s="64">
        <v>44501</v>
      </c>
      <c r="G24" s="13" t="s">
        <v>59</v>
      </c>
    </row>
    <row r="25" spans="3:7" x14ac:dyDescent="0.2">
      <c r="C25" s="13" t="s">
        <v>26</v>
      </c>
      <c r="D25" s="13">
        <v>49.5</v>
      </c>
      <c r="E25" s="13">
        <v>47.1</v>
      </c>
      <c r="F25" s="64">
        <v>44531</v>
      </c>
      <c r="G25" s="13" t="s">
        <v>59</v>
      </c>
    </row>
    <row r="26" spans="3:7" x14ac:dyDescent="0.2">
      <c r="C26" s="13" t="s">
        <v>17</v>
      </c>
      <c r="D26" s="13">
        <v>48.7</v>
      </c>
      <c r="E26" s="13">
        <v>52.7</v>
      </c>
      <c r="F26" s="64">
        <v>44531</v>
      </c>
      <c r="G26" s="13" t="s">
        <v>59</v>
      </c>
    </row>
    <row r="27" spans="3:7" x14ac:dyDescent="0.2">
      <c r="C27" s="13" t="s">
        <v>65</v>
      </c>
      <c r="D27" s="13">
        <v>48.7</v>
      </c>
      <c r="E27" s="13">
        <v>53.5</v>
      </c>
      <c r="F27" s="64">
        <v>44501</v>
      </c>
      <c r="G27" s="13" t="s">
        <v>59</v>
      </c>
    </row>
    <row r="28" spans="3:7" x14ac:dyDescent="0.2">
      <c r="C28" s="13" t="s">
        <v>67</v>
      </c>
      <c r="D28" s="13">
        <v>46.9</v>
      </c>
      <c r="E28" s="13">
        <v>44.8</v>
      </c>
      <c r="F28" s="64">
        <v>44409</v>
      </c>
      <c r="G28" s="13" t="s">
        <v>59</v>
      </c>
    </row>
    <row r="29" spans="3:7" x14ac:dyDescent="0.2">
      <c r="C29" s="13" t="s">
        <v>66</v>
      </c>
      <c r="D29" s="13">
        <v>46.5</v>
      </c>
      <c r="E29" s="13">
        <v>44.9</v>
      </c>
      <c r="F29" s="64">
        <v>44501</v>
      </c>
      <c r="G29" s="13" t="s">
        <v>59</v>
      </c>
    </row>
  </sheetData>
  <hyperlinks>
    <hyperlink ref="B2" r:id="rId1" xr:uid="{697D17D2-A0CB-4C0B-B010-06706F9C2B7C}"/>
  </hyperlink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A4DE3-F8F1-4329-A894-2312191A3959}">
  <sheetPr>
    <tabColor rgb="FFFF0000"/>
  </sheetPr>
  <dimension ref="A1:BK347"/>
  <sheetViews>
    <sheetView zoomScale="170" zoomScaleNormal="170" workbookViewId="0">
      <pane xSplit="2" ySplit="11" topLeftCell="C70" activePane="bottomRight" state="frozen"/>
      <selection pane="topRight" activeCell="C1" sqref="C1"/>
      <selection pane="bottomLeft" activeCell="A12" sqref="A12"/>
      <selection pane="bottomRight" activeCell="B79" sqref="B79:B85"/>
    </sheetView>
  </sheetViews>
  <sheetFormatPr baseColWidth="10" defaultColWidth="9.1640625" defaultRowHeight="15" x14ac:dyDescent="0.2"/>
  <cols>
    <col min="1" max="1" width="9.1640625" style="27"/>
    <col min="2" max="2" width="17.83203125" style="26" customWidth="1"/>
    <col min="3" max="17" width="6.1640625" style="26" customWidth="1"/>
    <col min="18" max="18" width="9.1640625" style="27"/>
    <col min="19" max="19" width="12.33203125" style="27" customWidth="1"/>
    <col min="20" max="20" width="9.1640625" style="27"/>
    <col min="21" max="21" width="10.5" style="27" customWidth="1"/>
    <col min="22" max="22" width="10.6640625" style="27" bestFit="1" customWidth="1"/>
    <col min="23" max="63" width="9.1640625" style="27"/>
    <col min="64" max="16384" width="9.1640625" style="26"/>
  </cols>
  <sheetData>
    <row r="1" spans="2:25" s="27" customFormat="1" ht="16" thickBot="1" x14ac:dyDescent="0.25">
      <c r="S1" s="28" t="s">
        <v>43</v>
      </c>
      <c r="T1" s="27" t="s">
        <v>44</v>
      </c>
      <c r="V1" s="29">
        <v>44531</v>
      </c>
      <c r="Y1" s="6" t="s">
        <v>45</v>
      </c>
    </row>
    <row r="2" spans="2:25" ht="72.75" customHeight="1" x14ac:dyDescent="0.2">
      <c r="B2" s="30"/>
      <c r="C2" s="31" t="s">
        <v>12</v>
      </c>
      <c r="D2" s="31" t="s">
        <v>28</v>
      </c>
      <c r="E2" s="31" t="s">
        <v>29</v>
      </c>
      <c r="F2" s="31" t="s">
        <v>30</v>
      </c>
      <c r="G2" s="31" t="s">
        <v>31</v>
      </c>
      <c r="H2" s="31" t="s">
        <v>17</v>
      </c>
      <c r="I2" s="31" t="s">
        <v>18</v>
      </c>
      <c r="J2" s="31" t="s">
        <v>32</v>
      </c>
      <c r="K2" s="31" t="s">
        <v>33</v>
      </c>
      <c r="L2" s="31" t="s">
        <v>20</v>
      </c>
      <c r="M2" s="31" t="s">
        <v>24</v>
      </c>
      <c r="N2" s="31" t="s">
        <v>26</v>
      </c>
      <c r="O2" s="31" t="s">
        <v>25</v>
      </c>
      <c r="P2" s="31" t="s">
        <v>27</v>
      </c>
      <c r="Q2" s="31" t="s">
        <v>21</v>
      </c>
      <c r="T2" s="27" t="s">
        <v>46</v>
      </c>
      <c r="V2" s="32">
        <f>DATE(YEAR(V1),MONTH(V1)-1,DAY(V1))</f>
        <v>44501</v>
      </c>
    </row>
    <row r="3" spans="2:25" x14ac:dyDescent="0.2">
      <c r="B3" s="33" t="s">
        <v>47</v>
      </c>
      <c r="C3" s="34">
        <f>MAX(C48:C59)</f>
        <v>54.6</v>
      </c>
      <c r="D3" s="34">
        <f t="shared" ref="D3:Q3" si="0">MAX(D45:D56)</f>
        <v>56.8</v>
      </c>
      <c r="E3" s="34">
        <f t="shared" si="0"/>
        <v>54.7</v>
      </c>
      <c r="F3" s="34">
        <f t="shared" si="0"/>
        <v>58</v>
      </c>
      <c r="G3" s="34">
        <f t="shared" si="0"/>
        <v>52.5</v>
      </c>
      <c r="H3" s="34">
        <f t="shared" si="0"/>
        <v>57.3</v>
      </c>
      <c r="I3" s="34">
        <f t="shared" si="0"/>
        <v>59.2</v>
      </c>
      <c r="J3" s="34">
        <f t="shared" si="0"/>
        <v>55.1</v>
      </c>
      <c r="K3" s="34">
        <f t="shared" si="0"/>
        <v>57.7</v>
      </c>
      <c r="L3" s="34">
        <f t="shared" si="0"/>
        <v>57.3</v>
      </c>
      <c r="M3" s="34">
        <f t="shared" si="0"/>
        <v>52.7</v>
      </c>
      <c r="N3" s="34">
        <f t="shared" si="0"/>
        <v>56.9</v>
      </c>
      <c r="O3" s="34">
        <f t="shared" si="0"/>
        <v>54.2</v>
      </c>
      <c r="P3" s="34">
        <f t="shared" si="0"/>
        <v>63</v>
      </c>
      <c r="Q3" s="34">
        <f t="shared" si="0"/>
        <v>60.4</v>
      </c>
      <c r="U3" s="27" t="s">
        <v>48</v>
      </c>
      <c r="V3" s="32">
        <f>DATE(YEAR(V1),MONTH(V1)-12,DAY(V1))</f>
        <v>44166</v>
      </c>
    </row>
    <row r="4" spans="2:25" x14ac:dyDescent="0.2">
      <c r="B4" s="33" t="s">
        <v>49</v>
      </c>
      <c r="C4" s="34">
        <f>MIN(C48:C59)</f>
        <v>52.6</v>
      </c>
      <c r="D4" s="34">
        <f t="shared" ref="D4:Q4" si="1">MIN(D45:D56)</f>
        <v>52.9</v>
      </c>
      <c r="E4" s="34">
        <f t="shared" si="1"/>
        <v>50.8</v>
      </c>
      <c r="F4" s="34">
        <f t="shared" si="1"/>
        <v>53.4</v>
      </c>
      <c r="G4" s="34">
        <f t="shared" si="1"/>
        <v>50.2</v>
      </c>
      <c r="H4" s="34">
        <f t="shared" si="1"/>
        <v>52.1</v>
      </c>
      <c r="I4" s="34">
        <f t="shared" si="1"/>
        <v>54.3</v>
      </c>
      <c r="J4" s="34">
        <f t="shared" si="1"/>
        <v>50.4</v>
      </c>
      <c r="K4" s="34">
        <f t="shared" si="1"/>
        <v>49.2</v>
      </c>
      <c r="L4" s="34">
        <f t="shared" si="1"/>
        <v>52.5</v>
      </c>
      <c r="M4" s="34">
        <f t="shared" si="1"/>
        <v>46.4</v>
      </c>
      <c r="N4" s="34">
        <f t="shared" si="1"/>
        <v>52.3</v>
      </c>
      <c r="O4" s="34">
        <f t="shared" si="1"/>
        <v>47.8</v>
      </c>
      <c r="P4" s="34">
        <f t="shared" si="1"/>
        <v>51.1</v>
      </c>
      <c r="Q4" s="34">
        <f t="shared" si="1"/>
        <v>56.5</v>
      </c>
    </row>
    <row r="5" spans="2:25" ht="16.5" customHeight="1" thickBot="1" x14ac:dyDescent="0.25">
      <c r="B5" s="33" t="s">
        <v>50</v>
      </c>
      <c r="C5" s="35">
        <f>AVERAGE(C48:C59)</f>
        <v>53.524999999999984</v>
      </c>
      <c r="D5" s="35">
        <f t="shared" ref="D5:Q5" si="2">AVERAGE(D45:D56)</f>
        <v>54.841666666666661</v>
      </c>
      <c r="E5" s="35">
        <f t="shared" si="2"/>
        <v>53.066666666666656</v>
      </c>
      <c r="F5" s="35">
        <f t="shared" si="2"/>
        <v>54.983333333333341</v>
      </c>
      <c r="G5" s="35">
        <f t="shared" si="2"/>
        <v>51.516666666666659</v>
      </c>
      <c r="H5" s="35">
        <f t="shared" si="2"/>
        <v>54.574999999999996</v>
      </c>
      <c r="I5" s="35">
        <f t="shared" si="2"/>
        <v>56.29999999999999</v>
      </c>
      <c r="J5" s="35">
        <f t="shared" si="2"/>
        <v>53.300000000000004</v>
      </c>
      <c r="K5" s="35">
        <f t="shared" si="2"/>
        <v>53.341666666666669</v>
      </c>
      <c r="L5" s="35">
        <f t="shared" si="2"/>
        <v>54.85</v>
      </c>
      <c r="M5" s="35">
        <f t="shared" si="2"/>
        <v>49.366666666666653</v>
      </c>
      <c r="N5" s="35">
        <f t="shared" si="2"/>
        <v>54.775000000000006</v>
      </c>
      <c r="O5" s="35">
        <f t="shared" si="2"/>
        <v>51.400000000000006</v>
      </c>
      <c r="P5" s="35">
        <f t="shared" si="2"/>
        <v>54.958333333333336</v>
      </c>
      <c r="Q5" s="35">
        <f t="shared" si="2"/>
        <v>58.283333333333339</v>
      </c>
    </row>
    <row r="6" spans="2:25" x14ac:dyDescent="0.2">
      <c r="B6" s="36" t="s">
        <v>51</v>
      </c>
      <c r="C6" s="37" t="str">
        <f t="shared" ref="C6:Q6" si="3">IF((VLOOKUP($V$1,$B:$Q,MATCH(C2,$B$2:$Q$2,),))&gt;C5,"above","below")</f>
        <v>above</v>
      </c>
      <c r="D6" s="38" t="str">
        <f t="shared" si="3"/>
        <v>above</v>
      </c>
      <c r="E6" s="38" t="str">
        <f t="shared" si="3"/>
        <v>above</v>
      </c>
      <c r="F6" s="38" t="str">
        <f t="shared" si="3"/>
        <v>below</v>
      </c>
      <c r="G6" s="38" t="str">
        <f t="shared" si="3"/>
        <v>above</v>
      </c>
      <c r="H6" s="38" t="str">
        <f t="shared" si="3"/>
        <v>below</v>
      </c>
      <c r="I6" s="38" t="str">
        <f t="shared" si="3"/>
        <v>above</v>
      </c>
      <c r="J6" s="38" t="str">
        <f t="shared" si="3"/>
        <v>above</v>
      </c>
      <c r="K6" s="38" t="str">
        <f t="shared" si="3"/>
        <v>below</v>
      </c>
      <c r="L6" s="38" t="str">
        <f t="shared" si="3"/>
        <v>above</v>
      </c>
      <c r="M6" s="38" t="str">
        <f t="shared" si="3"/>
        <v>above</v>
      </c>
      <c r="N6" s="38" t="str">
        <f t="shared" si="3"/>
        <v>below</v>
      </c>
      <c r="O6" s="38" t="str">
        <f t="shared" si="3"/>
        <v>above</v>
      </c>
      <c r="P6" s="38" t="str">
        <f t="shared" si="3"/>
        <v>below</v>
      </c>
      <c r="Q6" s="38" t="str">
        <f t="shared" si="3"/>
        <v>below</v>
      </c>
    </row>
    <row r="7" spans="2:25" x14ac:dyDescent="0.2">
      <c r="B7" s="36" t="s">
        <v>52</v>
      </c>
      <c r="C7" s="39">
        <f>VLOOKUP($V$1,$B:$Q,MATCH(C2,$B$2:$Q$2,),)-VLOOKUP($V$3,$B:$Q,MATCH(C2,$B$2:$Q$2,),)</f>
        <v>2.8000000000000043</v>
      </c>
      <c r="D7" s="34">
        <f t="shared" ref="D7:Q7" si="4">VLOOKUP($V$1,$B:$Q,MATCH(D2,$B$2:$Q$2,),)-VLOOKUP($V$3,$B:$Q,MATCH(D2,$B$2:$Q$2,),)</f>
        <v>2.8000000000000043</v>
      </c>
      <c r="E7" s="34">
        <f t="shared" si="4"/>
        <v>-3.1999999999999957</v>
      </c>
      <c r="F7" s="34">
        <f t="shared" si="4"/>
        <v>6.7000000000000028</v>
      </c>
      <c r="G7" s="34">
        <f t="shared" si="4"/>
        <v>4.8999999999999986</v>
      </c>
      <c r="H7" s="34">
        <f t="shared" si="4"/>
        <v>1.7000000000000028</v>
      </c>
      <c r="I7" s="34">
        <f t="shared" si="4"/>
        <v>7.8999999999999986</v>
      </c>
      <c r="J7" s="34">
        <f t="shared" si="4"/>
        <v>4.2000000000000028</v>
      </c>
      <c r="K7" s="34">
        <f t="shared" si="4"/>
        <v>13.299999999999997</v>
      </c>
      <c r="L7" s="34">
        <f t="shared" si="4"/>
        <v>7.7999999999999972</v>
      </c>
      <c r="M7" s="34">
        <f t="shared" si="4"/>
        <v>2.5</v>
      </c>
      <c r="N7" s="34">
        <f t="shared" si="4"/>
        <v>1.5</v>
      </c>
      <c r="O7" s="34">
        <f t="shared" si="4"/>
        <v>3.2000000000000028</v>
      </c>
      <c r="P7" s="34">
        <f t="shared" si="4"/>
        <v>-4.6999999999999957</v>
      </c>
      <c r="Q7" s="34">
        <f t="shared" si="4"/>
        <v>5.2999999999999972</v>
      </c>
    </row>
    <row r="8" spans="2:25" x14ac:dyDescent="0.2">
      <c r="B8" s="36" t="s">
        <v>53</v>
      </c>
      <c r="C8" s="39">
        <f t="shared" ref="C8:Q8" si="5">VLOOKUP($V$1,$B:$Q,MATCH(C2,$B$2:$Q$2,),)-VLOOKUP($V$2,$B:$Q,MATCH(C2,$B$2:$Q$2,),)</f>
        <v>-1</v>
      </c>
      <c r="D8" s="34">
        <f t="shared" si="5"/>
        <v>-0.39999999999999858</v>
      </c>
      <c r="E8" s="34">
        <f t="shared" si="5"/>
        <v>1</v>
      </c>
      <c r="F8" s="34">
        <f t="shared" si="5"/>
        <v>-2.7999999999999972</v>
      </c>
      <c r="G8" s="34">
        <f t="shared" si="5"/>
        <v>-0.89999999999999858</v>
      </c>
      <c r="H8" s="34">
        <f t="shared" si="5"/>
        <v>-4</v>
      </c>
      <c r="I8" s="34">
        <f t="shared" si="5"/>
        <v>-0.39999999999999858</v>
      </c>
      <c r="J8" s="34">
        <f t="shared" si="5"/>
        <v>-4.8999999999999986</v>
      </c>
      <c r="K8" s="34">
        <f t="shared" si="5"/>
        <v>-2.8999999999999986</v>
      </c>
      <c r="L8" s="34">
        <f t="shared" si="5"/>
        <v>-4</v>
      </c>
      <c r="M8" s="34">
        <f t="shared" si="5"/>
        <v>0</v>
      </c>
      <c r="N8" s="34">
        <f t="shared" si="5"/>
        <v>2.3999999999999986</v>
      </c>
      <c r="O8" s="34">
        <f t="shared" si="5"/>
        <v>-2.6000000000000014</v>
      </c>
      <c r="P8" s="34">
        <f t="shared" si="5"/>
        <v>2</v>
      </c>
      <c r="Q8" s="34">
        <f t="shared" si="5"/>
        <v>-3.8999999999999986</v>
      </c>
    </row>
    <row r="9" spans="2:25" ht="66.75" customHeight="1" x14ac:dyDescent="0.2">
      <c r="B9" s="40" t="s">
        <v>54</v>
      </c>
      <c r="C9" s="41" t="str">
        <f t="shared" ref="C9:Q9" si="6">IF(VLOOKUP($V$1,$B:$Q,MATCH(C2,$B$2:$Q$2,),)&gt;50,"Growth","Contraction")</f>
        <v>Growth</v>
      </c>
      <c r="D9" s="42" t="str">
        <f t="shared" si="6"/>
        <v>Growth</v>
      </c>
      <c r="E9" s="42" t="str">
        <f t="shared" si="6"/>
        <v>Growth</v>
      </c>
      <c r="F9" s="42" t="str">
        <f t="shared" si="6"/>
        <v>Growth</v>
      </c>
      <c r="G9" s="42" t="str">
        <f t="shared" si="6"/>
        <v>Growth</v>
      </c>
      <c r="H9" s="42" t="str">
        <f t="shared" si="6"/>
        <v>Contraction</v>
      </c>
      <c r="I9" s="42" t="str">
        <f t="shared" si="6"/>
        <v>Growth</v>
      </c>
      <c r="J9" s="42" t="str">
        <f t="shared" si="6"/>
        <v>Growth</v>
      </c>
      <c r="K9" s="42" t="str">
        <f t="shared" si="6"/>
        <v>Growth</v>
      </c>
      <c r="L9" s="42" t="str">
        <f t="shared" si="6"/>
        <v>Growth</v>
      </c>
      <c r="M9" s="42" t="str">
        <f t="shared" si="6"/>
        <v>Growth</v>
      </c>
      <c r="N9" s="42" t="str">
        <f t="shared" si="6"/>
        <v>Contraction</v>
      </c>
      <c r="O9" s="42" t="str">
        <f t="shared" si="6"/>
        <v>Growth</v>
      </c>
      <c r="P9" s="42" t="str">
        <f t="shared" si="6"/>
        <v>Contraction</v>
      </c>
      <c r="Q9" s="42" t="str">
        <f t="shared" si="6"/>
        <v>Growth</v>
      </c>
    </row>
    <row r="10" spans="2:25" ht="26.25" customHeight="1" thickBot="1" x14ac:dyDescent="0.25">
      <c r="B10" s="43" t="s">
        <v>55</v>
      </c>
      <c r="C10" s="44" t="str">
        <f>IF(C8&gt;0,"+","-")</f>
        <v>-</v>
      </c>
      <c r="D10" s="45" t="str">
        <f t="shared" ref="D10:Q10" si="7">IF(D8&gt;0,"+","-")</f>
        <v>-</v>
      </c>
      <c r="E10" s="45" t="str">
        <f t="shared" si="7"/>
        <v>+</v>
      </c>
      <c r="F10" s="45" t="str">
        <f t="shared" si="7"/>
        <v>-</v>
      </c>
      <c r="G10" s="45" t="str">
        <f t="shared" si="7"/>
        <v>-</v>
      </c>
      <c r="H10" s="45" t="str">
        <f t="shared" si="7"/>
        <v>-</v>
      </c>
      <c r="I10" s="45" t="str">
        <f t="shared" si="7"/>
        <v>-</v>
      </c>
      <c r="J10" s="45" t="str">
        <f t="shared" si="7"/>
        <v>-</v>
      </c>
      <c r="K10" s="45" t="str">
        <f t="shared" si="7"/>
        <v>-</v>
      </c>
      <c r="L10" s="45" t="str">
        <f t="shared" si="7"/>
        <v>-</v>
      </c>
      <c r="M10" s="45" t="str">
        <f t="shared" si="7"/>
        <v>-</v>
      </c>
      <c r="N10" s="45" t="str">
        <f t="shared" si="7"/>
        <v>+</v>
      </c>
      <c r="O10" s="45" t="str">
        <f t="shared" si="7"/>
        <v>-</v>
      </c>
      <c r="P10" s="45" t="str">
        <f t="shared" si="7"/>
        <v>+</v>
      </c>
      <c r="Q10" s="45" t="str">
        <f t="shared" si="7"/>
        <v>-</v>
      </c>
    </row>
    <row r="11" spans="2:25" ht="26.25" customHeight="1" x14ac:dyDescent="0.2">
      <c r="B11" s="27"/>
      <c r="C11" s="27"/>
      <c r="D11" s="27"/>
      <c r="E11" s="27"/>
      <c r="F11" s="27"/>
      <c r="G11" s="27"/>
      <c r="H11" s="27"/>
      <c r="I11" s="27"/>
      <c r="J11" s="27"/>
      <c r="K11" s="27"/>
      <c r="L11" s="27"/>
      <c r="M11" s="27"/>
      <c r="N11" s="27"/>
      <c r="O11" s="27"/>
      <c r="P11" s="27"/>
      <c r="Q11" s="27"/>
    </row>
    <row r="12" spans="2:25" x14ac:dyDescent="0.2">
      <c r="B12" s="46">
        <v>42064</v>
      </c>
      <c r="C12" s="47">
        <f>VLOOKUP(B12,Global!$A:$B,2,)</f>
        <v>55.1</v>
      </c>
      <c r="D12" s="47">
        <f>VLOOKUP(B12,US!$A:$B,2,)</f>
        <v>59.2</v>
      </c>
      <c r="E12" s="47">
        <f>VLOOKUP(B12,China!$A:$B,2,)</f>
        <v>52.3</v>
      </c>
      <c r="F12" s="47">
        <f>VLOOKUP(B12,EuroArea!A:B,2,)</f>
        <v>54.2</v>
      </c>
      <c r="G12" s="47">
        <f>VLOOKUP(B12,Japan!$A:$B,2,)</f>
        <v>48.4</v>
      </c>
      <c r="H12" s="47">
        <f>VLOOKUP(B12,Germany!$A:$B,2,)</f>
        <v>55.4</v>
      </c>
      <c r="I12" s="47">
        <f>VLOOKUP(B12,France!$A:$B,2,)</f>
        <v>52.4</v>
      </c>
      <c r="J12" s="47">
        <f>VLOOKUP(B12,UK!$A:$B,2,)</f>
        <v>58.9</v>
      </c>
      <c r="K12" s="47">
        <f>VLOOKUP(B12,Italy!$A:$B,2,)</f>
        <v>51.6</v>
      </c>
      <c r="L12" s="47">
        <f>VLOOKUP(B12,Spain!$A:$B,2,)</f>
        <v>57.3</v>
      </c>
      <c r="M12" s="47">
        <f>VLOOKUP(B12,Brazil!$A:$B,2,)</f>
        <v>47.9</v>
      </c>
      <c r="N12" s="47">
        <f>VLOOKUP(B12,Russia!$A:$B,2,)</f>
        <v>46.1</v>
      </c>
      <c r="O12" s="47">
        <f>VLOOKUP(B12,India!$A:$B,2,)</f>
        <v>53</v>
      </c>
      <c r="P12" s="47">
        <f>VLOOKUP(B12,Australia!$A:$B,2,)</f>
        <v>50.2</v>
      </c>
      <c r="Q12" s="47">
        <f>VLOOKUP(B12,Ireland!$A:$B,2,)</f>
        <v>60.9</v>
      </c>
    </row>
    <row r="13" spans="2:25" x14ac:dyDescent="0.2">
      <c r="B13" s="46">
        <v>42095</v>
      </c>
      <c r="C13" s="47">
        <f>VLOOKUP(B13,Global!$A:$B,2,)</f>
        <v>54.8</v>
      </c>
      <c r="D13" s="47">
        <f>VLOOKUP(B13,US!$A:$B,2,)</f>
        <v>57.4</v>
      </c>
      <c r="E13" s="47">
        <f>VLOOKUP(B13,China!$A:$B,2,)</f>
        <v>52.9</v>
      </c>
      <c r="F13" s="47">
        <f>VLOOKUP(B13,EuroArea!A:B,2,)</f>
        <v>54.1</v>
      </c>
      <c r="G13" s="47">
        <f>VLOOKUP(B13,Japan!$A:$B,2,)</f>
        <v>51.3</v>
      </c>
      <c r="H13" s="47">
        <f>VLOOKUP(B13,Germany!$A:$B,2,)</f>
        <v>54</v>
      </c>
      <c r="I13" s="47">
        <f>VLOOKUP(B13,France!$A:$B,2,)</f>
        <v>51.4</v>
      </c>
      <c r="J13" s="47">
        <f>VLOOKUP(B13,UK!$A:$B,2,)</f>
        <v>59.5</v>
      </c>
      <c r="K13" s="47">
        <f>VLOOKUP(B13,Italy!$A:$B,2,)</f>
        <v>53.1</v>
      </c>
      <c r="L13" s="47">
        <f>VLOOKUP(B13,Spain!$A:$B,2,)</f>
        <v>60.3</v>
      </c>
      <c r="M13" s="47">
        <f>VLOOKUP(B13,Brazil!$A:$B,2,)</f>
        <v>44.6</v>
      </c>
      <c r="N13" s="47">
        <f>VLOOKUP(B13,Russia!$A:$B,2,)</f>
        <v>50.7</v>
      </c>
      <c r="O13" s="47">
        <f>VLOOKUP(B13,India!$A:$B,2,)</f>
        <v>52.4</v>
      </c>
      <c r="P13" s="47">
        <f>VLOOKUP(B13,Australia!$A:$B,2,)</f>
        <v>49.7</v>
      </c>
      <c r="Q13" s="47">
        <f>VLOOKUP(B13,Ireland!$A:$B,2,)</f>
        <v>60.6</v>
      </c>
    </row>
    <row r="14" spans="2:25" x14ac:dyDescent="0.2">
      <c r="B14" s="46">
        <v>42125</v>
      </c>
      <c r="C14" s="47">
        <f>VLOOKUP(B14,Global!$A:$B,2,)</f>
        <v>54.1</v>
      </c>
      <c r="D14" s="47">
        <f>VLOOKUP(B14,US!$A:$B,2,)</f>
        <v>56.2</v>
      </c>
      <c r="E14" s="47">
        <f>VLOOKUP(B14,China!$A:$B,2,)</f>
        <v>53.5</v>
      </c>
      <c r="F14" s="47">
        <f>VLOOKUP(B14,EuroArea!A:B,2,)</f>
        <v>53.8</v>
      </c>
      <c r="G14" s="47">
        <f>VLOOKUP(B14,Japan!$A:$B,2,)</f>
        <v>51.5</v>
      </c>
      <c r="H14" s="47">
        <f>VLOOKUP(B14,Germany!$A:$B,2,)</f>
        <v>53</v>
      </c>
      <c r="I14" s="47">
        <f>VLOOKUP(B14,France!$A:$B,2,)</f>
        <v>52.8</v>
      </c>
      <c r="J14" s="47">
        <f>VLOOKUP(B14,UK!$A:$B,2,)</f>
        <v>56.5</v>
      </c>
      <c r="K14" s="47">
        <f>VLOOKUP(B14,Italy!$A:$B,2,)</f>
        <v>52.5</v>
      </c>
      <c r="L14" s="47">
        <f>VLOOKUP(B14,Spain!$A:$B,2,)</f>
        <v>58.4</v>
      </c>
      <c r="M14" s="47">
        <f>VLOOKUP(B14,Brazil!$A:$B,2,)</f>
        <v>42.5</v>
      </c>
      <c r="N14" s="47">
        <f>VLOOKUP(B14,Russia!$A:$B,2,)</f>
        <v>52.8</v>
      </c>
      <c r="O14" s="47">
        <f>VLOOKUP(B14,India!$A:$B,2,)</f>
        <v>49.6</v>
      </c>
      <c r="P14" s="47">
        <f>VLOOKUP(B14,Australia!$A:$B,2,)</f>
        <v>49.6</v>
      </c>
      <c r="Q14" s="47">
        <f>VLOOKUP(B14,Ireland!$A:$B,2,)</f>
        <v>61.4</v>
      </c>
    </row>
    <row r="15" spans="2:25" x14ac:dyDescent="0.2">
      <c r="B15" s="46">
        <v>42156</v>
      </c>
      <c r="C15" s="47">
        <f>VLOOKUP(B15,Global!$A:$B,2,)</f>
        <v>53.5</v>
      </c>
      <c r="D15" s="47">
        <f>VLOOKUP(B15,US!$A:$B,2,)</f>
        <v>54.8</v>
      </c>
      <c r="E15" s="47">
        <f>VLOOKUP(B15,China!$A:$B,2,)</f>
        <v>51.8</v>
      </c>
      <c r="F15" s="47">
        <f>VLOOKUP(B15,EuroArea!A:B,2,)</f>
        <v>54.4</v>
      </c>
      <c r="G15" s="47">
        <f>VLOOKUP(B15,Japan!$A:$B,2,)</f>
        <v>51.8</v>
      </c>
      <c r="H15" s="47">
        <f>VLOOKUP(B15,Germany!$A:$B,2,)</f>
        <v>53.8</v>
      </c>
      <c r="I15" s="47">
        <f>VLOOKUP(B15,France!$A:$B,2,)</f>
        <v>54.1</v>
      </c>
      <c r="J15" s="47">
        <f>VLOOKUP(B15,UK!$A:$B,2,)</f>
        <v>58.5</v>
      </c>
      <c r="K15" s="47">
        <f>VLOOKUP(B15,Italy!$A:$B,2,)</f>
        <v>53.4</v>
      </c>
      <c r="L15" s="47">
        <f>VLOOKUP(B15,Spain!$A:$B,2,)</f>
        <v>56.1</v>
      </c>
      <c r="M15" s="47">
        <f>VLOOKUP(B15,Brazil!$A:$B,2,)</f>
        <v>39.9</v>
      </c>
      <c r="N15" s="47">
        <f>VLOOKUP(B15,Russia!$A:$B,2,)</f>
        <v>49.5</v>
      </c>
      <c r="O15" s="47">
        <f>VLOOKUP(B15,India!$A:$B,2,)</f>
        <v>47.7</v>
      </c>
      <c r="P15" s="47">
        <f>VLOOKUP(B15,Australia!$A:$B,2,)</f>
        <v>51.2</v>
      </c>
      <c r="Q15" s="47">
        <f>VLOOKUP(B15,Ireland!$A:$B,2,)</f>
        <v>63.3</v>
      </c>
    </row>
    <row r="16" spans="2:25" x14ac:dyDescent="0.2">
      <c r="B16" s="46">
        <v>42186</v>
      </c>
      <c r="C16" s="47">
        <f>VLOOKUP(B16,Global!$A:$B,2,)</f>
        <v>53.9</v>
      </c>
      <c r="D16" s="47">
        <f>VLOOKUP(B16,US!$A:$B,2,)</f>
        <v>55.7</v>
      </c>
      <c r="E16" s="47">
        <f>VLOOKUP(B16,China!$A:$B,2,)</f>
        <v>53.8</v>
      </c>
      <c r="F16" s="47">
        <f>VLOOKUP(B16,EuroArea!A:B,2,)</f>
        <v>54</v>
      </c>
      <c r="G16" s="47">
        <f>VLOOKUP(B16,Japan!$A:$B,2,)</f>
        <v>51.2</v>
      </c>
      <c r="H16" s="47">
        <f>VLOOKUP(B16,Germany!$A:$B,2,)</f>
        <v>53.8</v>
      </c>
      <c r="I16" s="47">
        <f>VLOOKUP(B16,France!$A:$B,2,)</f>
        <v>52</v>
      </c>
      <c r="J16" s="47">
        <f>VLOOKUP(B16,UK!$A:$B,2,)</f>
        <v>57.4</v>
      </c>
      <c r="K16" s="47">
        <f>VLOOKUP(B16,Italy!$A:$B,2,)</f>
        <v>52</v>
      </c>
      <c r="L16" s="47">
        <f>VLOOKUP(B16,Spain!$A:$B,2,)</f>
        <v>59.7</v>
      </c>
      <c r="M16" s="47">
        <f>VLOOKUP(B16,Brazil!$A:$B,2,)</f>
        <v>39.1</v>
      </c>
      <c r="N16" s="47">
        <f>VLOOKUP(B16,Russia!$A:$B,2,)</f>
        <v>51.6</v>
      </c>
      <c r="O16" s="47">
        <f>VLOOKUP(B16,India!$A:$B,2,)</f>
        <v>50.8</v>
      </c>
      <c r="P16" s="47">
        <f>VLOOKUP(B16,Australia!$A:$B,2,)</f>
        <v>54.1</v>
      </c>
      <c r="Q16" s="47">
        <f>VLOOKUP(B16,Ireland!$A:$B,2,)</f>
        <v>63.4</v>
      </c>
    </row>
    <row r="17" spans="2:17" x14ac:dyDescent="0.2">
      <c r="B17" s="46">
        <v>42217</v>
      </c>
      <c r="C17" s="47">
        <f>VLOOKUP(B17,Global!$A:$B,2,)</f>
        <v>54.4</v>
      </c>
      <c r="D17" s="47">
        <f>VLOOKUP(B17,US!$A:$B,2,)</f>
        <v>56.1</v>
      </c>
      <c r="E17" s="47">
        <f>VLOOKUP(B17,China!$A:$B,2,)</f>
        <v>51.5</v>
      </c>
      <c r="F17" s="47">
        <f>VLOOKUP(B17,EuroArea!A:B,2,)</f>
        <v>54.4</v>
      </c>
      <c r="G17" s="47">
        <f>VLOOKUP(B17,Japan!$A:$B,2,)</f>
        <v>53.7</v>
      </c>
      <c r="H17" s="47">
        <f>VLOOKUP(B17,Germany!$A:$B,2,)</f>
        <v>54.9</v>
      </c>
      <c r="I17" s="47">
        <f>VLOOKUP(B17,France!$A:$B,2,)</f>
        <v>50.6</v>
      </c>
      <c r="J17" s="47">
        <f>VLOOKUP(B17,UK!$A:$B,2,)</f>
        <v>55.6</v>
      </c>
      <c r="K17" s="47">
        <f>VLOOKUP(B17,Italy!$A:$B,2,)</f>
        <v>54.6</v>
      </c>
      <c r="L17" s="47">
        <f>VLOOKUP(B17,Spain!$A:$B,2,)</f>
        <v>59.6</v>
      </c>
      <c r="M17" s="47">
        <f>VLOOKUP(B17,Brazil!$A:$B,2,)</f>
        <v>44.8</v>
      </c>
      <c r="N17" s="47">
        <f>VLOOKUP(B17,Russia!$A:$B,2,)</f>
        <v>49.1</v>
      </c>
      <c r="O17" s="47">
        <f>VLOOKUP(B17,India!$A:$B,2,)</f>
        <v>51.8</v>
      </c>
      <c r="P17" s="47">
        <f>VLOOKUP(B17,Australia!$A:$B,2,)</f>
        <v>55.6</v>
      </c>
      <c r="Q17" s="47">
        <f>VLOOKUP(B17,Ireland!$A:$B,2,)</f>
        <v>62.1</v>
      </c>
    </row>
    <row r="18" spans="2:17" x14ac:dyDescent="0.2">
      <c r="B18" s="46">
        <v>42248</v>
      </c>
      <c r="C18" s="47">
        <f>VLOOKUP(B18,Global!$A:$B,2,)</f>
        <v>53.3</v>
      </c>
      <c r="D18" s="47">
        <f>VLOOKUP(B18,US!$A:$B,2,)</f>
        <v>55.1</v>
      </c>
      <c r="E18" s="47">
        <f>VLOOKUP(B18,China!$A:$B,2,)</f>
        <v>50.5</v>
      </c>
      <c r="F18" s="47">
        <f>VLOOKUP(B18,EuroArea!A:B,2,)</f>
        <v>53.7</v>
      </c>
      <c r="G18" s="47">
        <f>VLOOKUP(B18,Japan!$A:$B,2,)</f>
        <v>51.4</v>
      </c>
      <c r="H18" s="47">
        <f>VLOOKUP(B18,Germany!$A:$B,2,)</f>
        <v>54.1</v>
      </c>
      <c r="I18" s="47">
        <f>VLOOKUP(B18,France!$A:$B,2,)</f>
        <v>51.9</v>
      </c>
      <c r="J18" s="47">
        <f>VLOOKUP(B18,UK!$A:$B,2,)</f>
        <v>53.3</v>
      </c>
      <c r="K18" s="47">
        <f>VLOOKUP(B18,Italy!$A:$B,2,)</f>
        <v>53.3</v>
      </c>
      <c r="L18" s="47">
        <f>VLOOKUP(B18,Spain!$A:$B,2,)</f>
        <v>55.1</v>
      </c>
      <c r="M18" s="47">
        <f>VLOOKUP(B18,Brazil!$A:$B,2,)</f>
        <v>41.7</v>
      </c>
      <c r="N18" s="47">
        <f>VLOOKUP(B18,Russia!$A:$B,2,)</f>
        <v>51.3</v>
      </c>
      <c r="O18" s="47">
        <f>VLOOKUP(B18,India!$A:$B,2,)</f>
        <v>51.3</v>
      </c>
      <c r="P18" s="47">
        <f>VLOOKUP(B18,Australia!$A:$B,2,)</f>
        <v>52.3</v>
      </c>
      <c r="Q18" s="47">
        <f>VLOOKUP(B18,Ireland!$A:$B,2,)</f>
        <v>62.4</v>
      </c>
    </row>
    <row r="19" spans="2:17" x14ac:dyDescent="0.2">
      <c r="B19" s="46">
        <v>42278</v>
      </c>
      <c r="C19" s="47">
        <f>VLOOKUP(B19,Global!$A:$B,2,)</f>
        <v>53.7</v>
      </c>
      <c r="D19" s="47">
        <f>VLOOKUP(B19,US!$A:$B,2,)</f>
        <v>54.8</v>
      </c>
      <c r="E19" s="47">
        <f>VLOOKUP(B19,China!$A:$B,2,)</f>
        <v>52</v>
      </c>
      <c r="F19" s="47">
        <f>VLOOKUP(B19,EuroArea!A:B,2,)</f>
        <v>54.1</v>
      </c>
      <c r="G19" s="47">
        <f>VLOOKUP(B19,Japan!$A:$B,2,)</f>
        <v>52.2</v>
      </c>
      <c r="H19" s="47">
        <f>VLOOKUP(B19,Germany!$A:$B,2,)</f>
        <v>54.5</v>
      </c>
      <c r="I19" s="47">
        <f>VLOOKUP(B19,France!$A:$B,2,)</f>
        <v>52.7</v>
      </c>
      <c r="J19" s="47">
        <f>VLOOKUP(B19,UK!$A:$B,2,)</f>
        <v>54.9</v>
      </c>
      <c r="K19" s="47">
        <f>VLOOKUP(B19,Italy!$A:$B,2,)</f>
        <v>53.4</v>
      </c>
      <c r="L19" s="47">
        <f>VLOOKUP(B19,Spain!$A:$B,2,)</f>
        <v>55.9</v>
      </c>
      <c r="M19" s="47">
        <f>VLOOKUP(B19,Brazil!$A:$B,2,)</f>
        <v>43</v>
      </c>
      <c r="N19" s="47">
        <f>VLOOKUP(B19,Russia!$A:$B,2,)</f>
        <v>47.8</v>
      </c>
      <c r="O19" s="47">
        <f>VLOOKUP(B19,India!$A:$B,2,)</f>
        <v>53.2</v>
      </c>
      <c r="P19" s="47">
        <f>VLOOKUP(B19,Australia!$A:$B,2,)</f>
        <v>48.9</v>
      </c>
      <c r="Q19" s="47">
        <f>VLOOKUP(B19,Ireland!$A:$B,2,)</f>
        <v>60.1</v>
      </c>
    </row>
    <row r="20" spans="2:17" x14ac:dyDescent="0.2">
      <c r="B20" s="46">
        <v>42309</v>
      </c>
      <c r="C20" s="47">
        <f>VLOOKUP(B20,Global!$A:$B,2,)</f>
        <v>54.1</v>
      </c>
      <c r="D20" s="47">
        <f>VLOOKUP(B20,US!$A:$B,2,)</f>
        <v>56.1</v>
      </c>
      <c r="E20" s="47">
        <f>VLOOKUP(B20,China!$A:$B,2,)</f>
        <v>51.2</v>
      </c>
      <c r="F20" s="47">
        <f>VLOOKUP(B20,EuroArea!A:B,2,)</f>
        <v>54.2</v>
      </c>
      <c r="G20" s="47">
        <f>VLOOKUP(B20,Japan!$A:$B,2,)</f>
        <v>51.6</v>
      </c>
      <c r="H20" s="47">
        <f>VLOOKUP(B20,Germany!$A:$B,2,)</f>
        <v>55.6</v>
      </c>
      <c r="I20" s="47">
        <f>VLOOKUP(B20,France!$A:$B,2,)</f>
        <v>51</v>
      </c>
      <c r="J20" s="47">
        <f>VLOOKUP(B20,UK!$A:$B,2,)</f>
        <v>55.9</v>
      </c>
      <c r="K20" s="47">
        <f>VLOOKUP(B20,Italy!$A:$B,2,)</f>
        <v>53.4</v>
      </c>
      <c r="L20" s="47">
        <f>VLOOKUP(B20,Spain!$A:$B,2,)</f>
        <v>56.7</v>
      </c>
      <c r="M20" s="47">
        <f>VLOOKUP(B20,Brazil!$A:$B,2,)</f>
        <v>45.5</v>
      </c>
      <c r="N20" s="47">
        <f>VLOOKUP(B20,Russia!$A:$B,2,)</f>
        <v>49.8</v>
      </c>
      <c r="O20" s="47">
        <f>VLOOKUP(B20,India!$A:$B,2,)</f>
        <v>50.1</v>
      </c>
      <c r="P20" s="47">
        <f>VLOOKUP(B20,Australia!$A:$B,2,)</f>
        <v>48.2</v>
      </c>
      <c r="Q20" s="47">
        <f>VLOOKUP(B20,Ireland!$A:$B,2,)</f>
        <v>63.6</v>
      </c>
    </row>
    <row r="21" spans="2:17" x14ac:dyDescent="0.2">
      <c r="B21" s="46">
        <v>42339</v>
      </c>
      <c r="C21" s="47">
        <f>VLOOKUP(B21,Global!$A:$B,2,)</f>
        <v>53.1</v>
      </c>
      <c r="D21" s="47">
        <f>VLOOKUP(B21,US!$A:$B,2,)</f>
        <v>54.3</v>
      </c>
      <c r="E21" s="47">
        <f>VLOOKUP(B21,China!$A:$B,2,)</f>
        <v>50.2</v>
      </c>
      <c r="F21" s="47">
        <f>VLOOKUP(B21,EuroArea!A:B,2,)</f>
        <v>54.2</v>
      </c>
      <c r="G21" s="47">
        <f>VLOOKUP(B21,Japan!$A:$B,2,)</f>
        <v>51.5</v>
      </c>
      <c r="H21" s="47">
        <f>VLOOKUP(B21,Germany!$A:$B,2,)</f>
        <v>56</v>
      </c>
      <c r="I21" s="47">
        <f>VLOOKUP(B21,France!$A:$B,2,)</f>
        <v>49.8</v>
      </c>
      <c r="J21" s="47">
        <f>VLOOKUP(B21,UK!$A:$B,2,)</f>
        <v>55.5</v>
      </c>
      <c r="K21" s="47">
        <f>VLOOKUP(B21,Italy!$A:$B,2,)</f>
        <v>55.3</v>
      </c>
      <c r="L21" s="47">
        <f>VLOOKUP(B21,Spain!$A:$B,2,)</f>
        <v>55.1</v>
      </c>
      <c r="M21" s="47">
        <f>VLOOKUP(B21,Brazil!$A:$B,2,)</f>
        <v>43.5</v>
      </c>
      <c r="N21" s="47">
        <f>VLOOKUP(B21,Russia!$A:$B,2,)</f>
        <v>47.8</v>
      </c>
      <c r="O21" s="47">
        <f>VLOOKUP(B21,India!$A:$B,2,)</f>
        <v>53.6</v>
      </c>
      <c r="P21" s="47">
        <f>VLOOKUP(B21,Australia!$A:$B,2,)</f>
        <v>46.3</v>
      </c>
      <c r="Q21" s="47">
        <f>VLOOKUP(B21,Ireland!$A:$B,2,)</f>
        <v>61.8</v>
      </c>
    </row>
    <row r="22" spans="2:17" x14ac:dyDescent="0.2">
      <c r="B22" s="46">
        <v>42370</v>
      </c>
      <c r="C22" s="47">
        <f>VLOOKUP(B22,Global!$A:$B,2,)</f>
        <v>52.8</v>
      </c>
      <c r="D22" s="47">
        <f>VLOOKUP(B22,US!$A:$B,2,)</f>
        <v>53.2</v>
      </c>
      <c r="E22" s="47">
        <f>VLOOKUP(B22,China!$A:$B,2,)</f>
        <v>52.4</v>
      </c>
      <c r="F22" s="47">
        <f>VLOOKUP(B22,EuroArea!A:B,2,)</f>
        <v>53.6</v>
      </c>
      <c r="G22" s="47">
        <f>VLOOKUP(B22,Japan!$A:$B,2,)</f>
        <v>52.4</v>
      </c>
      <c r="H22" s="47">
        <f>VLOOKUP(B22,Germany!$A:$B,2,)</f>
        <v>55</v>
      </c>
      <c r="I22" s="47">
        <f>VLOOKUP(B22,France!$A:$B,2,)</f>
        <v>50.3</v>
      </c>
      <c r="J22" s="47">
        <f>VLOOKUP(B22,UK!$A:$B,2,)</f>
        <v>55.6</v>
      </c>
      <c r="K22" s="47">
        <f>VLOOKUP(B22,Italy!$A:$B,2,)</f>
        <v>53.6</v>
      </c>
      <c r="L22" s="47">
        <f>VLOOKUP(B22,Spain!$A:$B,2,)</f>
        <v>54.6</v>
      </c>
      <c r="M22" s="47">
        <f>VLOOKUP(B22,Brazil!$A:$B,2,)</f>
        <v>44.4</v>
      </c>
      <c r="N22" s="47">
        <f>VLOOKUP(B22,Russia!$A:$B,2,)</f>
        <v>47.1</v>
      </c>
      <c r="O22" s="47">
        <f>VLOOKUP(B22,India!$A:$B,2,)</f>
        <v>54.3</v>
      </c>
      <c r="P22" s="47">
        <f>VLOOKUP(B22,Australia!$A:$B,2,)</f>
        <v>48.4</v>
      </c>
      <c r="Q22" s="47">
        <f>VLOOKUP(B22,Ireland!$A:$B,2,)</f>
        <v>64</v>
      </c>
    </row>
    <row r="23" spans="2:17" x14ac:dyDescent="0.2">
      <c r="B23" s="46">
        <v>42401</v>
      </c>
      <c r="C23" s="47">
        <f>VLOOKUP(B23,Global!$A:$B,2,)</f>
        <v>50.7</v>
      </c>
      <c r="D23" s="47">
        <f>VLOOKUP(B23,US!$A:$B,2,)</f>
        <v>49.7</v>
      </c>
      <c r="E23" s="47">
        <f>VLOOKUP(B23,China!$A:$B,2,)</f>
        <v>51.2</v>
      </c>
      <c r="F23" s="47">
        <f>VLOOKUP(B23,EuroArea!A:B,2,)</f>
        <v>53.3</v>
      </c>
      <c r="G23" s="47">
        <f>VLOOKUP(B23,Japan!$A:$B,2,)</f>
        <v>51.2</v>
      </c>
      <c r="H23" s="47">
        <f>VLOOKUP(B23,Germany!$A:$B,2,)</f>
        <v>55.3</v>
      </c>
      <c r="I23" s="47">
        <f>VLOOKUP(B23,France!$A:$B,2,)</f>
        <v>49.2</v>
      </c>
      <c r="J23" s="47">
        <f>VLOOKUP(B23,UK!$A:$B,2,)</f>
        <v>52.7</v>
      </c>
      <c r="K23" s="47">
        <f>VLOOKUP(B23,Italy!$A:$B,2,)</f>
        <v>53.8</v>
      </c>
      <c r="L23" s="47">
        <f>VLOOKUP(B23,Spain!$A:$B,2,)</f>
        <v>54.1</v>
      </c>
      <c r="M23" s="47">
        <f>VLOOKUP(B23,Brazil!$A:$B,2,)</f>
        <v>36.9</v>
      </c>
      <c r="N23" s="47">
        <f>VLOOKUP(B23,Russia!$A:$B,2,)</f>
        <v>50.9</v>
      </c>
      <c r="O23" s="47">
        <f>VLOOKUP(B23,India!$A:$B,2,)</f>
        <v>51.4</v>
      </c>
      <c r="P23" s="47">
        <f>VLOOKUP(B23,Australia!$A:$B,2,)</f>
        <v>51.8</v>
      </c>
      <c r="Q23" s="47">
        <f>VLOOKUP(B23,Ireland!$A:$B,2,)</f>
        <v>62.1</v>
      </c>
    </row>
    <row r="24" spans="2:17" x14ac:dyDescent="0.2">
      <c r="B24" s="46">
        <v>42430</v>
      </c>
      <c r="C24" s="47">
        <f>VLOOKUP(B24,Global!$A:$B,2,)</f>
        <v>51.4</v>
      </c>
      <c r="D24" s="47">
        <f>VLOOKUP(B24,US!$A:$B,2,)</f>
        <v>51.3</v>
      </c>
      <c r="E24" s="47">
        <f>VLOOKUP(B24,China!$A:$B,2,)</f>
        <v>52.2</v>
      </c>
      <c r="F24" s="47">
        <f>VLOOKUP(B24,EuroArea!A:B,2,)</f>
        <v>53.1</v>
      </c>
      <c r="G24" s="47">
        <f>VLOOKUP(B24,Japan!$A:$B,2,)</f>
        <v>50</v>
      </c>
      <c r="H24" s="47">
        <f>VLOOKUP(B24,Germany!$A:$B,2,)</f>
        <v>55.1</v>
      </c>
      <c r="I24" s="47">
        <f>VLOOKUP(B24,France!$A:$B,2,)</f>
        <v>49.9</v>
      </c>
      <c r="J24" s="47">
        <f>VLOOKUP(B24,UK!$A:$B,2,)</f>
        <v>53.7</v>
      </c>
      <c r="K24" s="47">
        <f>VLOOKUP(B24,Italy!$A:$B,2,)</f>
        <v>51.2</v>
      </c>
      <c r="L24" s="47">
        <f>VLOOKUP(B24,Spain!$A:$B,2,)</f>
        <v>55.3</v>
      </c>
      <c r="M24" s="47">
        <f>VLOOKUP(B24,Brazil!$A:$B,2,)</f>
        <v>38.6</v>
      </c>
      <c r="N24" s="47">
        <f>VLOOKUP(B24,Russia!$A:$B,2,)</f>
        <v>52</v>
      </c>
      <c r="O24" s="47">
        <f>VLOOKUP(B24,India!$A:$B,2,)</f>
        <v>54.3</v>
      </c>
      <c r="P24" s="47">
        <f>VLOOKUP(B24,Australia!$A:$B,2,)</f>
        <v>49.5</v>
      </c>
      <c r="Q24" s="47">
        <f>VLOOKUP(B24,Ireland!$A:$B,2,)</f>
        <v>62.8</v>
      </c>
    </row>
    <row r="25" spans="2:17" x14ac:dyDescent="0.2">
      <c r="B25" s="46">
        <v>42461</v>
      </c>
      <c r="C25" s="47">
        <f>VLOOKUP(B25,Global!$A:$B,2,)</f>
        <v>51.9</v>
      </c>
      <c r="D25" s="47">
        <f>VLOOKUP(B25,US!$A:$B,2,)</f>
        <v>52.8</v>
      </c>
      <c r="E25" s="47">
        <f>VLOOKUP(B25,China!$A:$B,2,)</f>
        <v>51.8</v>
      </c>
      <c r="F25" s="47">
        <f>VLOOKUP(B25,EuroArea!A:B,2,)</f>
        <v>53.1</v>
      </c>
      <c r="G25" s="47">
        <f>VLOOKUP(B25,Japan!$A:$B,2,)</f>
        <v>49.3</v>
      </c>
      <c r="H25" s="47">
        <f>VLOOKUP(B25,Germany!$A:$B,2,)</f>
        <v>54.5</v>
      </c>
      <c r="I25" s="47">
        <f>VLOOKUP(B25,France!$A:$B,2,)</f>
        <v>50.6</v>
      </c>
      <c r="J25" s="47">
        <f>VLOOKUP(B25,UK!$A:$B,2,)</f>
        <v>52.3</v>
      </c>
      <c r="K25" s="47">
        <f>VLOOKUP(B25,Italy!$A:$B,2,)</f>
        <v>52.1</v>
      </c>
      <c r="L25" s="47">
        <f>VLOOKUP(B25,Spain!$A:$B,2,)</f>
        <v>55.1</v>
      </c>
      <c r="M25" s="47">
        <f>VLOOKUP(B25,Brazil!$A:$B,2,)</f>
        <v>37.4</v>
      </c>
      <c r="N25" s="47">
        <f>VLOOKUP(B25,Russia!$A:$B,2,)</f>
        <v>54.2</v>
      </c>
      <c r="O25" s="47">
        <f>VLOOKUP(B25,India!$A:$B,2,)</f>
        <v>53.7</v>
      </c>
      <c r="P25" s="47">
        <f>VLOOKUP(B25,Australia!$A:$B,2,)</f>
        <v>49.7</v>
      </c>
      <c r="Q25" s="47">
        <f>VLOOKUP(B25,Ireland!$A:$B,2,)</f>
        <v>59.8</v>
      </c>
    </row>
    <row r="26" spans="2:17" x14ac:dyDescent="0.2">
      <c r="B26" s="46">
        <v>42491</v>
      </c>
      <c r="C26" s="47">
        <f>VLOOKUP(B26,Global!$A:$B,2,)</f>
        <v>52.8</v>
      </c>
      <c r="D26" s="47">
        <f>VLOOKUP(B26,US!$A:$B,2,)</f>
        <v>51.3</v>
      </c>
      <c r="E26" s="47">
        <f>VLOOKUP(B26,China!$A:$B,2,)</f>
        <v>51.2</v>
      </c>
      <c r="F26" s="47">
        <f>VLOOKUP(B26,EuroArea!A:B,2,)</f>
        <v>53.3</v>
      </c>
      <c r="G26" s="47">
        <f>VLOOKUP(B26,Japan!$A:$B,2,)</f>
        <v>50.4</v>
      </c>
      <c r="H26" s="47">
        <f>VLOOKUP(B26,Germany!$A:$B,2,)</f>
        <v>55.2</v>
      </c>
      <c r="I26" s="47">
        <f>VLOOKUP(B26,France!$A:$B,2,)</f>
        <v>51.6</v>
      </c>
      <c r="J26" s="47">
        <f>VLOOKUP(B26,UK!$A:$B,2,)</f>
        <v>53.5</v>
      </c>
      <c r="K26" s="47">
        <f>VLOOKUP(B26,Italy!$A:$B,2,)</f>
        <v>49.8</v>
      </c>
      <c r="L26" s="47">
        <f>VLOOKUP(B26,Spain!$A:$B,2,)</f>
        <v>55.4</v>
      </c>
      <c r="M26" s="47">
        <f>VLOOKUP(B26,Brazil!$A:$B,2,)</f>
        <v>37.299999999999997</v>
      </c>
      <c r="N26" s="47">
        <f>VLOOKUP(B26,Russia!$A:$B,2,)</f>
        <v>51.8</v>
      </c>
      <c r="O26" s="47">
        <f>VLOOKUP(B26,India!$A:$B,2,)</f>
        <v>51</v>
      </c>
      <c r="P26" s="47">
        <f>VLOOKUP(B26,Australia!$A:$B,2,)</f>
        <v>51.5</v>
      </c>
      <c r="Q26" s="47">
        <f>VLOOKUP(B26,Ireland!$A:$B,2,)</f>
        <v>61.7</v>
      </c>
    </row>
    <row r="27" spans="2:17" x14ac:dyDescent="0.2">
      <c r="B27" s="46">
        <v>42522</v>
      </c>
      <c r="C27" s="47">
        <f>VLOOKUP(B27,Global!$A:$B,2,)</f>
        <v>51.3</v>
      </c>
      <c r="D27" s="47">
        <f>VLOOKUP(B27,US!$A:$B,2,)</f>
        <v>51.4</v>
      </c>
      <c r="E27" s="47">
        <f>VLOOKUP(B27,China!$A:$B,2,)</f>
        <v>52.7</v>
      </c>
      <c r="F27" s="47">
        <f>VLOOKUP(B27,EuroArea!A:B,2,)</f>
        <v>52.8</v>
      </c>
      <c r="G27" s="47">
        <f>VLOOKUP(B27,Japan!$A:$B,2,)</f>
        <v>49.4</v>
      </c>
      <c r="H27" s="47">
        <f>VLOOKUP(B27,Germany!$A:$B,2,)</f>
        <v>53.7</v>
      </c>
      <c r="I27" s="47">
        <f>VLOOKUP(B27,France!$A:$B,2,)</f>
        <v>49.9</v>
      </c>
      <c r="J27" s="47">
        <f>VLOOKUP(B27,UK!$A:$B,2,)</f>
        <v>52.3</v>
      </c>
      <c r="K27" s="47">
        <f>VLOOKUP(B27,Italy!$A:$B,2,)</f>
        <v>51.9</v>
      </c>
      <c r="L27" s="47">
        <f>VLOOKUP(B27,Spain!$A:$B,2,)</f>
        <v>56</v>
      </c>
      <c r="M27" s="47">
        <f>VLOOKUP(B27,Brazil!$A:$B,2,)</f>
        <v>41.4</v>
      </c>
      <c r="N27" s="47">
        <f>VLOOKUP(B27,Russia!$A:$B,2,)</f>
        <v>53.8</v>
      </c>
      <c r="O27" s="47">
        <f>VLOOKUP(B27,India!$A:$B,2,)</f>
        <v>50.3</v>
      </c>
      <c r="P27" s="47">
        <f>VLOOKUP(B27,Australia!$A:$B,2,)</f>
        <v>51.3</v>
      </c>
      <c r="Q27" s="47">
        <f>VLOOKUP(B27,Ireland!$A:$B,2,)</f>
        <v>61.2</v>
      </c>
    </row>
    <row r="28" spans="2:17" x14ac:dyDescent="0.2">
      <c r="B28" s="46">
        <v>42552</v>
      </c>
      <c r="C28" s="47">
        <f>VLOOKUP(B28,Global!$A:$B,2,)</f>
        <v>51.3</v>
      </c>
      <c r="D28" s="47">
        <f>VLOOKUP(B28,US!$A:$B,2,)</f>
        <v>51.4</v>
      </c>
      <c r="E28" s="47">
        <f>VLOOKUP(B28,China!$A:$B,2,)</f>
        <v>51.7</v>
      </c>
      <c r="F28" s="47">
        <f>VLOOKUP(B28,EuroArea!A:B,2,)</f>
        <v>52.9</v>
      </c>
      <c r="G28" s="47">
        <f>VLOOKUP(B28,Japan!$A:$B,2,)</f>
        <v>50.4</v>
      </c>
      <c r="H28" s="47">
        <f>VLOOKUP(B28,Germany!$A:$B,2,)</f>
        <v>54.4</v>
      </c>
      <c r="I28" s="47">
        <f>VLOOKUP(B28,France!$A:$B,2,)</f>
        <v>50.5</v>
      </c>
      <c r="J28" s="47">
        <f>VLOOKUP(B28,UK!$A:$B,2,)</f>
        <v>47.4</v>
      </c>
      <c r="K28" s="47">
        <f>VLOOKUP(B28,Italy!$A:$B,2,)</f>
        <v>52</v>
      </c>
      <c r="L28" s="47">
        <f>VLOOKUP(B28,Spain!$A:$B,2,)</f>
        <v>54.1</v>
      </c>
      <c r="M28" s="47">
        <f>VLOOKUP(B28,Brazil!$A:$B,2,)</f>
        <v>45.6</v>
      </c>
      <c r="N28" s="47">
        <f>VLOOKUP(B28,Russia!$A:$B,2,)</f>
        <v>55</v>
      </c>
      <c r="O28" s="47">
        <f>VLOOKUP(B28,India!$A:$B,2,)</f>
        <v>51.9</v>
      </c>
      <c r="P28" s="47">
        <f>VLOOKUP(B28,Australia!$A:$B,2,)</f>
        <v>53.9</v>
      </c>
      <c r="Q28" s="47">
        <f>VLOOKUP(B28,Ireland!$A:$B,2,)</f>
        <v>59.5</v>
      </c>
    </row>
    <row r="29" spans="2:17" x14ac:dyDescent="0.2">
      <c r="B29" s="46">
        <v>42583</v>
      </c>
      <c r="C29" s="47">
        <f>VLOOKUP(B29,Global!$A:$B,2,)</f>
        <v>51.5</v>
      </c>
      <c r="D29" s="47">
        <f>VLOOKUP(B29,US!$A:$B,2,)</f>
        <v>51</v>
      </c>
      <c r="E29" s="47">
        <f>VLOOKUP(B29,China!$A:$B,2,)</f>
        <v>52.1</v>
      </c>
      <c r="F29" s="47">
        <f>VLOOKUP(B29,EuroArea!A:B,2,)</f>
        <v>52.8</v>
      </c>
      <c r="G29" s="47">
        <f>VLOOKUP(B29,Japan!$A:$B,2,)</f>
        <v>49.6</v>
      </c>
      <c r="H29" s="47">
        <f>VLOOKUP(B29,Germany!$A:$B,2,)</f>
        <v>51.7</v>
      </c>
      <c r="I29" s="47">
        <f>VLOOKUP(B29,France!$A:$B,2,)</f>
        <v>52.3</v>
      </c>
      <c r="J29" s="47">
        <f>VLOOKUP(B29,UK!$A:$B,2,)</f>
        <v>52.9</v>
      </c>
      <c r="K29" s="47">
        <f>VLOOKUP(B29,Italy!$A:$B,2,)</f>
        <v>52.3</v>
      </c>
      <c r="L29" s="47">
        <f>VLOOKUP(B29,Spain!$A:$B,2,)</f>
        <v>56</v>
      </c>
      <c r="M29" s="47">
        <f>VLOOKUP(B29,Brazil!$A:$B,2,)</f>
        <v>42.7</v>
      </c>
      <c r="N29" s="47">
        <f>VLOOKUP(B29,Russia!$A:$B,2,)</f>
        <v>53.5</v>
      </c>
      <c r="O29" s="47">
        <f>VLOOKUP(B29,India!$A:$B,2,)</f>
        <v>54.7</v>
      </c>
      <c r="P29" s="47">
        <f>VLOOKUP(B29,Australia!$A:$B,2,)</f>
        <v>45</v>
      </c>
      <c r="Q29" s="47">
        <f>VLOOKUP(B29,Ireland!$A:$B,2,)</f>
        <v>59.7</v>
      </c>
    </row>
    <row r="30" spans="2:17" x14ac:dyDescent="0.2">
      <c r="B30" s="46">
        <v>42614</v>
      </c>
      <c r="C30" s="47">
        <f>VLOOKUP(B30,Global!$A:$B,2,)</f>
        <v>51.6</v>
      </c>
      <c r="D30" s="47">
        <f>VLOOKUP(B30,US!$A:$B,2,)</f>
        <v>52.3</v>
      </c>
      <c r="E30" s="47">
        <f>VLOOKUP(B30,China!$A:$B,2,)</f>
        <v>51</v>
      </c>
      <c r="F30" s="47">
        <f>VLOOKUP(B30,EuroArea!A:B,2,)</f>
        <v>52.2</v>
      </c>
      <c r="G30" s="47">
        <f>VLOOKUP(B30,Japan!$A:$B,2,)</f>
        <v>48.2</v>
      </c>
      <c r="H30" s="47">
        <f>VLOOKUP(B30,Germany!$A:$B,2,)</f>
        <v>50.9</v>
      </c>
      <c r="I30" s="47">
        <f>VLOOKUP(B30,France!$A:$B,2,)</f>
        <v>53.3</v>
      </c>
      <c r="J30" s="47">
        <f>VLOOKUP(B30,UK!$A:$B,2,)</f>
        <v>52.6</v>
      </c>
      <c r="K30" s="47">
        <f>VLOOKUP(B30,Italy!$A:$B,2,)</f>
        <v>50.7</v>
      </c>
      <c r="L30" s="47">
        <f>VLOOKUP(B30,Spain!$A:$B,2,)</f>
        <v>54.7</v>
      </c>
      <c r="M30" s="47">
        <f>VLOOKUP(B30,Brazil!$A:$B,2,)</f>
        <v>45.3</v>
      </c>
      <c r="N30" s="47">
        <f>VLOOKUP(B30,Russia!$A:$B,2,)</f>
        <v>53</v>
      </c>
      <c r="O30" s="47">
        <f>VLOOKUP(B30,India!$A:$B,2,)</f>
        <v>52</v>
      </c>
      <c r="P30" s="47">
        <f>VLOOKUP(B30,Australia!$A:$B,2,)</f>
        <v>48.9</v>
      </c>
      <c r="Q30" s="47">
        <f>VLOOKUP(B30,Ireland!$A:$B,2,)</f>
        <v>56.2</v>
      </c>
    </row>
    <row r="31" spans="2:17" x14ac:dyDescent="0.2">
      <c r="B31" s="46">
        <v>42644</v>
      </c>
      <c r="C31" s="47">
        <f>VLOOKUP(B31,Global!$A:$B,2,)</f>
        <v>53.2</v>
      </c>
      <c r="D31" s="47">
        <f>VLOOKUP(B31,US!$A:$B,2,)</f>
        <v>54.8</v>
      </c>
      <c r="E31" s="47">
        <f>VLOOKUP(B31,China!$A:$B,2,)</f>
        <v>52.4</v>
      </c>
      <c r="F31" s="47">
        <f>VLOOKUP(B31,EuroArea!A:B,2,)</f>
        <v>52.8</v>
      </c>
      <c r="G31" s="47">
        <f>VLOOKUP(B31,Japan!$A:$B,2,)</f>
        <v>50.5</v>
      </c>
      <c r="H31" s="47">
        <f>VLOOKUP(B31,Germany!$A:$B,2,)</f>
        <v>54.2</v>
      </c>
      <c r="I31" s="47">
        <f>VLOOKUP(B31,France!$A:$B,2,)</f>
        <v>51.4</v>
      </c>
      <c r="J31" s="47">
        <f>VLOOKUP(B31,UK!$A:$B,2,)</f>
        <v>54.5</v>
      </c>
      <c r="K31" s="47">
        <f>VLOOKUP(B31,Italy!$A:$B,2,)</f>
        <v>51</v>
      </c>
      <c r="L31" s="47">
        <f>VLOOKUP(B31,Spain!$A:$B,2,)</f>
        <v>54.6</v>
      </c>
      <c r="M31" s="47">
        <f>VLOOKUP(B31,Brazil!$A:$B,2,)</f>
        <v>43.9</v>
      </c>
      <c r="N31" s="47">
        <f>VLOOKUP(B31,Russia!$A:$B,2,)</f>
        <v>52.7</v>
      </c>
      <c r="O31" s="47">
        <f>VLOOKUP(B31,India!$A:$B,2,)</f>
        <v>54.5</v>
      </c>
      <c r="P31" s="47">
        <f>VLOOKUP(B31,Australia!$A:$B,2,)</f>
        <v>50.5</v>
      </c>
      <c r="Q31" s="47">
        <f>VLOOKUP(B31,Ireland!$A:$B,2,)</f>
        <v>54.6</v>
      </c>
    </row>
    <row r="32" spans="2:17" x14ac:dyDescent="0.2">
      <c r="B32" s="46">
        <v>42675</v>
      </c>
      <c r="C32" s="47">
        <f>VLOOKUP(B32,Global!$A:$B,2,)</f>
        <v>53.3</v>
      </c>
      <c r="D32" s="47">
        <f>VLOOKUP(B32,US!$A:$B,2,)</f>
        <v>54.6</v>
      </c>
      <c r="E32" s="47">
        <f>VLOOKUP(B32,China!$A:$B,2,)</f>
        <v>53.1</v>
      </c>
      <c r="F32" s="47">
        <f>VLOOKUP(B32,EuroArea!A:B,2,)</f>
        <v>53.8</v>
      </c>
      <c r="G32" s="47">
        <f>VLOOKUP(B32,Japan!$A:$B,2,)</f>
        <v>51.8</v>
      </c>
      <c r="H32" s="47">
        <f>VLOOKUP(B32,Germany!$A:$B,2,)</f>
        <v>55.1</v>
      </c>
      <c r="I32" s="47">
        <f>VLOOKUP(B32,France!$A:$B,2,)</f>
        <v>51.6</v>
      </c>
      <c r="J32" s="47">
        <f>VLOOKUP(B32,UK!$A:$B,2,)</f>
        <v>55.2</v>
      </c>
      <c r="K32" s="47">
        <f>VLOOKUP(B32,Italy!$A:$B,2,)</f>
        <v>53.3</v>
      </c>
      <c r="L32" s="47">
        <f>VLOOKUP(B32,Spain!$A:$B,2,)</f>
        <v>55.1</v>
      </c>
      <c r="M32" s="47">
        <f>VLOOKUP(B32,Brazil!$A:$B,2,)</f>
        <v>44.4</v>
      </c>
      <c r="N32" s="47">
        <f>VLOOKUP(B32,Russia!$A:$B,2,)</f>
        <v>54.7</v>
      </c>
      <c r="O32" s="47">
        <f>VLOOKUP(B32,India!$A:$B,2,)</f>
        <v>46.7</v>
      </c>
      <c r="P32" s="47">
        <f>VLOOKUP(B32,Australia!$A:$B,2,)</f>
        <v>51.1</v>
      </c>
      <c r="Q32" s="47">
        <f>VLOOKUP(B32,Ireland!$A:$B,2,)</f>
        <v>56</v>
      </c>
    </row>
    <row r="33" spans="2:17" x14ac:dyDescent="0.2">
      <c r="B33" s="46">
        <v>42705</v>
      </c>
      <c r="C33" s="47">
        <f>VLOOKUP(B33,Global!$A:$B,2,)</f>
        <v>53.3</v>
      </c>
      <c r="D33" s="47">
        <f>VLOOKUP(B33,US!$A:$B,2,)</f>
        <v>53.9</v>
      </c>
      <c r="E33" s="47">
        <f>VLOOKUP(B33,China!$A:$B,2,)</f>
        <v>53.4</v>
      </c>
      <c r="F33" s="47">
        <f>VLOOKUP(B33,EuroArea!A:B,2,)</f>
        <v>53.7</v>
      </c>
      <c r="G33" s="47">
        <f>VLOOKUP(B33,Japan!$A:$B,2,)</f>
        <v>52.3</v>
      </c>
      <c r="H33" s="47">
        <f>VLOOKUP(B33,Germany!$A:$B,2,)</f>
        <v>54.3</v>
      </c>
      <c r="I33" s="47">
        <f>VLOOKUP(B33,France!$A:$B,2,)</f>
        <v>52.9</v>
      </c>
      <c r="J33" s="47">
        <f>VLOOKUP(B33,UK!$A:$B,2,)</f>
        <v>56.2</v>
      </c>
      <c r="K33" s="47">
        <f>VLOOKUP(B33,Italy!$A:$B,2,)</f>
        <v>52.3</v>
      </c>
      <c r="L33" s="47">
        <f>VLOOKUP(B33,Spain!$A:$B,2,)</f>
        <v>55</v>
      </c>
      <c r="M33" s="47">
        <f>VLOOKUP(B33,Brazil!$A:$B,2,)</f>
        <v>45.1</v>
      </c>
      <c r="N33" s="47">
        <f>VLOOKUP(B33,Russia!$A:$B,2,)</f>
        <v>56.5</v>
      </c>
      <c r="O33" s="47">
        <f>VLOOKUP(B33,India!$A:$B,2,)</f>
        <v>46.8</v>
      </c>
      <c r="P33" s="47">
        <f>VLOOKUP(B33,Australia!$A:$B,2,)</f>
        <v>57.7</v>
      </c>
      <c r="Q33" s="47">
        <f>VLOOKUP(B33,Ireland!$A:$B,2,)</f>
        <v>59.1</v>
      </c>
    </row>
    <row r="34" spans="2:17" x14ac:dyDescent="0.2">
      <c r="B34" s="46">
        <v>42736</v>
      </c>
      <c r="C34" s="47">
        <f>VLOOKUP(B34,Global!$A:$B,2,)</f>
        <v>53.9</v>
      </c>
      <c r="D34" s="47">
        <f>VLOOKUP(B34,US!$A:$B,2,)</f>
        <v>55.6</v>
      </c>
      <c r="E34" s="47">
        <f>VLOOKUP(B34,China!$A:$B,2,)</f>
        <v>53.1</v>
      </c>
      <c r="F34" s="47">
        <f>VLOOKUP(B34,EuroArea!A:B,2,)</f>
        <v>53.7</v>
      </c>
      <c r="G34" s="47">
        <f>VLOOKUP(B34,Japan!$A:$B,2,)</f>
        <v>51.9</v>
      </c>
      <c r="H34" s="47">
        <f>VLOOKUP(B34,Germany!$A:$B,2,)</f>
        <v>53.4</v>
      </c>
      <c r="I34" s="47">
        <f>VLOOKUP(B34,France!$A:$B,2,)</f>
        <v>54.1</v>
      </c>
      <c r="J34" s="47">
        <f>VLOOKUP(B34,UK!$A:$B,2,)</f>
        <v>54.5</v>
      </c>
      <c r="K34" s="47">
        <f>VLOOKUP(B34,Italy!$A:$B,2,)</f>
        <v>52.4</v>
      </c>
      <c r="L34" s="47">
        <f>VLOOKUP(B34,Spain!$A:$B,2,)</f>
        <v>54.2</v>
      </c>
      <c r="M34" s="47">
        <f>VLOOKUP(B34,Brazil!$A:$B,2,)</f>
        <v>45.1</v>
      </c>
      <c r="N34" s="47">
        <f>VLOOKUP(B34,Russia!$A:$B,2,)</f>
        <v>58.4</v>
      </c>
      <c r="O34" s="47">
        <f>VLOOKUP(B34,India!$A:$B,2,)</f>
        <v>48.7</v>
      </c>
      <c r="P34" s="47">
        <f>VLOOKUP(B34,Australia!$A:$B,2,)</f>
        <v>54.5</v>
      </c>
      <c r="Q34" s="47">
        <f>VLOOKUP(B34,Ireland!$A:$B,2,)</f>
        <v>61</v>
      </c>
    </row>
    <row r="35" spans="2:17" x14ac:dyDescent="0.2">
      <c r="B35" s="46">
        <v>42767</v>
      </c>
      <c r="C35" s="47">
        <f>VLOOKUP(B35,Global!$A:$B,2,)</f>
        <v>53.3</v>
      </c>
      <c r="D35" s="47">
        <f>VLOOKUP(B35,US!$A:$B,2,)</f>
        <v>53.8</v>
      </c>
      <c r="E35" s="47">
        <f>VLOOKUP(B35,China!$A:$B,2,)</f>
        <v>52.6</v>
      </c>
      <c r="F35" s="47">
        <f>VLOOKUP(B35,EuroArea!A:B,2,)</f>
        <v>55.5</v>
      </c>
      <c r="G35" s="47">
        <f>VLOOKUP(B35,Japan!$A:$B,2,)</f>
        <v>51.3</v>
      </c>
      <c r="H35" s="47">
        <f>VLOOKUP(B35,Germany!$A:$B,2,)</f>
        <v>54.4</v>
      </c>
      <c r="I35" s="47">
        <f>VLOOKUP(B35,France!$A:$B,2,)</f>
        <v>56.4</v>
      </c>
      <c r="J35" s="47">
        <f>VLOOKUP(B35,UK!$A:$B,2,)</f>
        <v>53.3</v>
      </c>
      <c r="K35" s="47">
        <f>VLOOKUP(B35,Italy!$A:$B,2,)</f>
        <v>54.1</v>
      </c>
      <c r="L35" s="47">
        <f>VLOOKUP(B35,Spain!$A:$B,2,)</f>
        <v>57</v>
      </c>
      <c r="M35" s="47">
        <f>VLOOKUP(B35,Brazil!$A:$B,2,)</f>
        <v>46.4</v>
      </c>
      <c r="N35" s="47">
        <f>VLOOKUP(B35,Russia!$A:$B,2,)</f>
        <v>55.5</v>
      </c>
      <c r="O35" s="47">
        <f>VLOOKUP(B35,India!$A:$B,2,)</f>
        <v>50.3</v>
      </c>
      <c r="P35" s="47">
        <f>VLOOKUP(B35,Australia!$A:$B,2,)</f>
        <v>49</v>
      </c>
      <c r="Q35" s="47">
        <f>VLOOKUP(B35,Ireland!$A:$B,2,)</f>
        <v>60.6</v>
      </c>
    </row>
    <row r="36" spans="2:17" x14ac:dyDescent="0.2">
      <c r="B36" s="46">
        <v>42795</v>
      </c>
      <c r="C36" s="47">
        <f>VLOOKUP(B36,Global!$A:$B,2,)</f>
        <v>53.6</v>
      </c>
      <c r="D36" s="47">
        <f>VLOOKUP(B36,US!$A:$B,2,)</f>
        <v>52.8</v>
      </c>
      <c r="E36" s="47">
        <f>VLOOKUP(B36,China!$A:$B,2,)</f>
        <v>52.2</v>
      </c>
      <c r="F36" s="47">
        <f>VLOOKUP(B36,EuroArea!A:B,2,)</f>
        <v>56</v>
      </c>
      <c r="G36" s="47">
        <f>VLOOKUP(B36,Japan!$A:$B,2,)</f>
        <v>52.9</v>
      </c>
      <c r="H36" s="47">
        <f>VLOOKUP(B36,Germany!$A:$B,2,)</f>
        <v>55.6</v>
      </c>
      <c r="I36" s="47">
        <f>VLOOKUP(B36,France!$A:$B,2,)</f>
        <v>57.5</v>
      </c>
      <c r="J36" s="47">
        <f>VLOOKUP(B36,UK!$A:$B,2,)</f>
        <v>55</v>
      </c>
      <c r="K36" s="47">
        <f>VLOOKUP(B36,Italy!$A:$B,2,)</f>
        <v>52.9</v>
      </c>
      <c r="L36" s="47">
        <f>VLOOKUP(B36,Spain!$A:$B,2,)</f>
        <v>57.4</v>
      </c>
      <c r="M36" s="47">
        <f>VLOOKUP(B36,Brazil!$A:$B,2,)</f>
        <v>47.7</v>
      </c>
      <c r="N36" s="47">
        <f>VLOOKUP(B36,Russia!$A:$B,2,)</f>
        <v>56.6</v>
      </c>
      <c r="O36" s="47">
        <f>VLOOKUP(B36,India!$A:$B,2,)</f>
        <v>51.5</v>
      </c>
      <c r="P36" s="47">
        <f>VLOOKUP(B36,Australia!$A:$B,2,)</f>
        <v>51.7</v>
      </c>
      <c r="Q36" s="47">
        <f>VLOOKUP(B36,Ireland!$A:$B,2,)</f>
        <v>59.1</v>
      </c>
    </row>
    <row r="37" spans="2:17" x14ac:dyDescent="0.2">
      <c r="B37" s="46">
        <v>42826</v>
      </c>
      <c r="C37" s="47">
        <f>VLOOKUP(B37,Global!$A:$B,2,)</f>
        <v>53.6</v>
      </c>
      <c r="D37" s="47">
        <f>VLOOKUP(B37,US!$A:$B,2,)</f>
        <v>53.1</v>
      </c>
      <c r="E37" s="47">
        <f>VLOOKUP(B37,China!$A:$B,2,)</f>
        <v>51.5</v>
      </c>
      <c r="F37" s="47">
        <f>VLOOKUP(B37,EuroArea!A:B,2,)</f>
        <v>56.4</v>
      </c>
      <c r="G37" s="47">
        <f>VLOOKUP(B37,Japan!$A:$B,2,)</f>
        <v>52.2</v>
      </c>
      <c r="H37" s="47">
        <f>VLOOKUP(B37,Germany!$A:$B,2,)</f>
        <v>55.4</v>
      </c>
      <c r="I37" s="47">
        <f>VLOOKUP(B37,France!$A:$B,2,)</f>
        <v>56.7</v>
      </c>
      <c r="J37" s="47">
        <f>VLOOKUP(B37,UK!$A:$B,2,)</f>
        <v>55.8</v>
      </c>
      <c r="K37" s="47">
        <f>VLOOKUP(B37,Italy!$A:$B,2,)</f>
        <v>56.2</v>
      </c>
      <c r="L37" s="47">
        <f>VLOOKUP(B37,Spain!$A:$B,2,)</f>
        <v>57.8</v>
      </c>
      <c r="M37" s="47">
        <f>VLOOKUP(B37,Brazil!$A:$B,2,)</f>
        <v>50.3</v>
      </c>
      <c r="N37" s="47">
        <f>VLOOKUP(B37,Russia!$A:$B,2,)</f>
        <v>56.1</v>
      </c>
      <c r="O37" s="47">
        <f>VLOOKUP(B37,India!$A:$B,2,)</f>
        <v>50.2</v>
      </c>
      <c r="P37" s="47">
        <f>VLOOKUP(B37,Australia!$A:$B,2,)</f>
        <v>53</v>
      </c>
      <c r="Q37" s="47">
        <f>VLOOKUP(B37,Ireland!$A:$B,2,)</f>
        <v>61.1</v>
      </c>
    </row>
    <row r="38" spans="2:17" x14ac:dyDescent="0.2">
      <c r="B38" s="46">
        <v>42856</v>
      </c>
      <c r="C38" s="47">
        <f>VLOOKUP(B38,Global!$A:$B,2,)</f>
        <v>53.8</v>
      </c>
      <c r="D38" s="47">
        <f>VLOOKUP(B38,US!$A:$B,2,)</f>
        <v>53.6</v>
      </c>
      <c r="E38" s="47">
        <f>VLOOKUP(B38,China!$A:$B,2,)</f>
        <v>52.8</v>
      </c>
      <c r="F38" s="47">
        <f>VLOOKUP(B38,EuroArea!A:B,2,)</f>
        <v>56.3</v>
      </c>
      <c r="G38" s="47">
        <f>VLOOKUP(B38,Japan!$A:$B,2,)</f>
        <v>53</v>
      </c>
      <c r="H38" s="47">
        <f>VLOOKUP(B38,Germany!$A:$B,2,)</f>
        <v>55.4</v>
      </c>
      <c r="I38" s="47">
        <f>VLOOKUP(B38,France!$A:$B,2,)</f>
        <v>57.2</v>
      </c>
      <c r="J38" s="47">
        <f>VLOOKUP(B38,UK!$A:$B,2,)</f>
        <v>53.8</v>
      </c>
      <c r="K38" s="47">
        <f>VLOOKUP(B38,Italy!$A:$B,2,)</f>
        <v>55.1</v>
      </c>
      <c r="L38" s="47">
        <f>VLOOKUP(B38,Spain!$A:$B,2,)</f>
        <v>57.3</v>
      </c>
      <c r="M38" s="47">
        <f>VLOOKUP(B38,Brazil!$A:$B,2,)</f>
        <v>49.2</v>
      </c>
      <c r="N38" s="47">
        <f>VLOOKUP(B38,Russia!$A:$B,2,)</f>
        <v>56.3</v>
      </c>
      <c r="O38" s="47">
        <f>VLOOKUP(B38,India!$A:$B,2,)</f>
        <v>52.2</v>
      </c>
      <c r="P38" s="47">
        <f>VLOOKUP(B38,Australia!$A:$B,2,)</f>
        <v>51.5</v>
      </c>
      <c r="Q38" s="47">
        <f>VLOOKUP(B38,Ireland!$A:$B,2,)</f>
        <v>59.5</v>
      </c>
    </row>
    <row r="39" spans="2:17" x14ac:dyDescent="0.2">
      <c r="B39" s="46">
        <v>42887</v>
      </c>
      <c r="C39" s="47">
        <f>VLOOKUP(B39,Global!$A:$B,2,)</f>
        <v>53.8</v>
      </c>
      <c r="D39" s="47">
        <f>VLOOKUP(B39,US!$A:$B,2,)</f>
        <v>54.2</v>
      </c>
      <c r="E39" s="47">
        <f>VLOOKUP(B39,China!$A:$B,2,)</f>
        <v>51.6</v>
      </c>
      <c r="F39" s="47">
        <f>VLOOKUP(B39,EuroArea!A:B,2,)</f>
        <v>55.4</v>
      </c>
      <c r="G39" s="47">
        <f>VLOOKUP(B39,Japan!$A:$B,2,)</f>
        <v>53.3</v>
      </c>
      <c r="H39" s="47">
        <f>VLOOKUP(B39,Germany!$A:$B,2,)</f>
        <v>54</v>
      </c>
      <c r="I39" s="47">
        <f>VLOOKUP(B39,France!$A:$B,2,)</f>
        <v>56.9</v>
      </c>
      <c r="J39" s="47">
        <f>VLOOKUP(B39,UK!$A:$B,2,)</f>
        <v>53.4</v>
      </c>
      <c r="K39" s="47">
        <f>VLOOKUP(B39,Italy!$A:$B,2,)</f>
        <v>53.6</v>
      </c>
      <c r="L39" s="47">
        <f>VLOOKUP(B39,Spain!$A:$B,2,)</f>
        <v>58.3</v>
      </c>
      <c r="M39" s="47">
        <f>VLOOKUP(B39,Brazil!$A:$B,2,)</f>
        <v>47.4</v>
      </c>
      <c r="N39" s="47">
        <f>VLOOKUP(B39,Russia!$A:$B,2,)</f>
        <v>55.5</v>
      </c>
      <c r="O39" s="47">
        <f>VLOOKUP(B39,India!$A:$B,2,)</f>
        <v>53.1</v>
      </c>
      <c r="P39" s="47">
        <f>VLOOKUP(B39,Australia!$A:$B,2,)</f>
        <v>54.8</v>
      </c>
      <c r="Q39" s="47">
        <f>VLOOKUP(B39,Ireland!$A:$B,2,)</f>
        <v>57.6</v>
      </c>
    </row>
    <row r="40" spans="2:17" x14ac:dyDescent="0.2">
      <c r="B40" s="46">
        <v>42917</v>
      </c>
      <c r="C40" s="47">
        <f>VLOOKUP(B40,Global!$A:$B,2,)</f>
        <v>53.7</v>
      </c>
      <c r="D40" s="47">
        <f>VLOOKUP(B40,US!$A:$B,2,)</f>
        <v>54.7</v>
      </c>
      <c r="E40" s="47">
        <f>VLOOKUP(B40,China!$A:$B,2,)</f>
        <v>51.5</v>
      </c>
      <c r="F40" s="47">
        <f>VLOOKUP(B40,EuroArea!A:B,2,)</f>
        <v>55.4</v>
      </c>
      <c r="G40" s="47">
        <f>VLOOKUP(B40,Japan!$A:$B,2,)</f>
        <v>52</v>
      </c>
      <c r="H40" s="47">
        <f>VLOOKUP(B40,Germany!$A:$B,2,)</f>
        <v>53.1</v>
      </c>
      <c r="I40" s="47">
        <f>VLOOKUP(B40,France!$A:$B,2,)</f>
        <v>56</v>
      </c>
      <c r="J40" s="47">
        <f>VLOOKUP(B40,UK!$A:$B,2,)</f>
        <v>53.8</v>
      </c>
      <c r="K40" s="47">
        <f>VLOOKUP(B40,Italy!$A:$B,2,)</f>
        <v>56.3</v>
      </c>
      <c r="L40" s="47">
        <f>VLOOKUP(B40,Spain!$A:$B,2,)</f>
        <v>57.6</v>
      </c>
      <c r="M40" s="47">
        <f>VLOOKUP(B40,Brazil!$A:$B,2,)</f>
        <v>48.8</v>
      </c>
      <c r="N40" s="47">
        <f>VLOOKUP(B40,Russia!$A:$B,2,)</f>
        <v>52.6</v>
      </c>
      <c r="O40" s="47">
        <f>VLOOKUP(B40,India!$A:$B,2,)</f>
        <v>45.9</v>
      </c>
      <c r="P40" s="47">
        <f>VLOOKUP(B40,Australia!$A:$B,2,)</f>
        <v>56.4</v>
      </c>
      <c r="Q40" s="47">
        <f>VLOOKUP(B40,Ireland!$A:$B,2,)</f>
        <v>58.3</v>
      </c>
    </row>
    <row r="41" spans="2:17" x14ac:dyDescent="0.2">
      <c r="B41" s="46">
        <v>42948</v>
      </c>
      <c r="C41" s="47">
        <f>VLOOKUP(B41,Global!$A:$B,2,)</f>
        <v>54.1</v>
      </c>
      <c r="D41" s="47">
        <f>VLOOKUP(B41,US!$A:$B,2,)</f>
        <v>56</v>
      </c>
      <c r="E41" s="47">
        <f>VLOOKUP(B41,China!$A:$B,2,)</f>
        <v>52.7</v>
      </c>
      <c r="F41" s="47">
        <f>VLOOKUP(B41,EuroArea!A:B,2,)</f>
        <v>54.7</v>
      </c>
      <c r="G41" s="47">
        <f>VLOOKUP(B41,Japan!$A:$B,2,)</f>
        <v>51.6</v>
      </c>
      <c r="H41" s="47">
        <f>VLOOKUP(B41,Germany!$A:$B,2,)</f>
        <v>53.5</v>
      </c>
      <c r="I41" s="47">
        <f>VLOOKUP(B41,France!$A:$B,2,)</f>
        <v>54.9</v>
      </c>
      <c r="J41" s="47">
        <f>VLOOKUP(B41,UK!$A:$B,2,)</f>
        <v>53.2</v>
      </c>
      <c r="K41" s="47">
        <f>VLOOKUP(B41,Italy!$A:$B,2,)</f>
        <v>55.1</v>
      </c>
      <c r="L41" s="47">
        <f>VLOOKUP(B41,Spain!$A:$B,2,)</f>
        <v>56</v>
      </c>
      <c r="M41" s="47">
        <f>VLOOKUP(B41,Brazil!$A:$B,2,)</f>
        <v>49</v>
      </c>
      <c r="N41" s="47">
        <f>VLOOKUP(B41,Russia!$A:$B,2,)</f>
        <v>54.2</v>
      </c>
      <c r="O41" s="47">
        <f>VLOOKUP(B41,India!$A:$B,2,)</f>
        <v>47.5</v>
      </c>
      <c r="P41" s="47">
        <f>VLOOKUP(B41,Australia!$A:$B,2,)</f>
        <v>53</v>
      </c>
      <c r="Q41" s="47">
        <f>VLOOKUP(B41,Ireland!$A:$B,2,)</f>
        <v>58.4</v>
      </c>
    </row>
    <row r="42" spans="2:17" x14ac:dyDescent="0.2">
      <c r="B42" s="46">
        <v>42979</v>
      </c>
      <c r="C42" s="47">
        <f>VLOOKUP(B42,Global!$A:$B,2,)</f>
        <v>54</v>
      </c>
      <c r="D42" s="47">
        <f>VLOOKUP(B42,US!$A:$B,2,)</f>
        <v>55.3</v>
      </c>
      <c r="E42" s="47">
        <f>VLOOKUP(B42,China!$A:$B,2,)</f>
        <v>50.6</v>
      </c>
      <c r="F42" s="47">
        <f>VLOOKUP(B42,EuroArea!A:B,2,)</f>
        <v>55.8</v>
      </c>
      <c r="G42" s="47">
        <f>VLOOKUP(B42,Japan!$A:$B,2,)</f>
        <v>51</v>
      </c>
      <c r="H42" s="47">
        <f>VLOOKUP(B42,Germany!$A:$B,2,)</f>
        <v>55.6</v>
      </c>
      <c r="I42" s="47">
        <f>VLOOKUP(B42,France!$A:$B,2,)</f>
        <v>57</v>
      </c>
      <c r="J42" s="47">
        <f>VLOOKUP(B42,UK!$A:$B,2,)</f>
        <v>53.6</v>
      </c>
      <c r="K42" s="47">
        <f>VLOOKUP(B42,Italy!$A:$B,2,)</f>
        <v>53.2</v>
      </c>
      <c r="L42" s="47">
        <f>VLOOKUP(B42,Spain!$A:$B,2,)</f>
        <v>56.7</v>
      </c>
      <c r="M42" s="47">
        <f>VLOOKUP(B42,Brazil!$A:$B,2,)</f>
        <v>50.7</v>
      </c>
      <c r="N42" s="47">
        <f>VLOOKUP(B42,Russia!$A:$B,2,)</f>
        <v>55.2</v>
      </c>
      <c r="O42" s="47">
        <f>VLOOKUP(B42,India!$A:$B,2,)</f>
        <v>50.7</v>
      </c>
      <c r="P42" s="47">
        <f>VLOOKUP(B42,Australia!$A:$B,2,)</f>
        <v>52.1</v>
      </c>
      <c r="Q42" s="47">
        <f>VLOOKUP(B42,Ireland!$A:$B,2,)</f>
        <v>58.7</v>
      </c>
    </row>
    <row r="43" spans="2:17" x14ac:dyDescent="0.2">
      <c r="B43" s="46">
        <v>43009</v>
      </c>
      <c r="C43" s="47">
        <f>VLOOKUP(B43,Global!$A:$B,2,)</f>
        <v>54.1</v>
      </c>
      <c r="D43" s="47">
        <f>VLOOKUP(B43,US!$A:$B,2,)</f>
        <v>55.3</v>
      </c>
      <c r="E43" s="47">
        <f>VLOOKUP(B43,China!$A:$B,2,)</f>
        <v>51.2</v>
      </c>
      <c r="F43" s="47">
        <f>VLOOKUP(B43,EuroArea!A:B,2,)</f>
        <v>55</v>
      </c>
      <c r="G43" s="47">
        <f>VLOOKUP(B43,Japan!$A:$B,2,)</f>
        <v>53.4</v>
      </c>
      <c r="H43" s="47">
        <f>VLOOKUP(B43,Germany!$A:$B,2,)</f>
        <v>54.7</v>
      </c>
      <c r="I43" s="47">
        <f>VLOOKUP(B43,France!$A:$B,2,)</f>
        <v>57.3</v>
      </c>
      <c r="J43" s="47">
        <f>VLOOKUP(B43,UK!$A:$B,2,)</f>
        <v>55.6</v>
      </c>
      <c r="K43" s="47">
        <f>VLOOKUP(B43,Italy!$A:$B,2,)</f>
        <v>52.1</v>
      </c>
      <c r="L43" s="47">
        <f>VLOOKUP(B43,Spain!$A:$B,2,)</f>
        <v>54.6</v>
      </c>
      <c r="M43" s="47">
        <f>VLOOKUP(B43,Brazil!$A:$B,2,)</f>
        <v>48.8</v>
      </c>
      <c r="N43" s="47">
        <f>VLOOKUP(B43,Russia!$A:$B,2,)</f>
        <v>53.9</v>
      </c>
      <c r="O43" s="47">
        <f>VLOOKUP(B43,India!$A:$B,2,)</f>
        <v>51.7</v>
      </c>
      <c r="P43" s="47">
        <f>VLOOKUP(B43,Australia!$A:$B,2,)</f>
        <v>51.4</v>
      </c>
      <c r="Q43" s="47">
        <f>VLOOKUP(B43,Ireland!$A:$B,2,)</f>
        <v>57.5</v>
      </c>
    </row>
    <row r="44" spans="2:17" x14ac:dyDescent="0.2">
      <c r="B44" s="46">
        <v>43040</v>
      </c>
      <c r="C44" s="47">
        <f>VLOOKUP(B44,Global!$A:$B,2,)</f>
        <v>53.7</v>
      </c>
      <c r="D44" s="47">
        <f>VLOOKUP(B44,US!$A:$B,2,)</f>
        <v>54.5</v>
      </c>
      <c r="E44" s="47">
        <f>VLOOKUP(B44,China!$A:$B,2,)</f>
        <v>51.9</v>
      </c>
      <c r="F44" s="47">
        <f>VLOOKUP(B44,EuroArea!A:B,2,)</f>
        <v>56.2</v>
      </c>
      <c r="G44" s="47">
        <f>VLOOKUP(B44,Japan!$A:$B,2,)</f>
        <v>51.2</v>
      </c>
      <c r="H44" s="47">
        <f>VLOOKUP(B44,Germany!$A:$B,2,)</f>
        <v>54.3</v>
      </c>
      <c r="I44" s="47">
        <f>VLOOKUP(B44,France!$A:$B,2,)</f>
        <v>60.4</v>
      </c>
      <c r="J44" s="47">
        <f>VLOOKUP(B44,UK!$A:$B,2,)</f>
        <v>53.8</v>
      </c>
      <c r="K44" s="47">
        <f>VLOOKUP(B44,Italy!$A:$B,2,)</f>
        <v>54.7</v>
      </c>
      <c r="L44" s="47">
        <f>VLOOKUP(B44,Spain!$A:$B,2,)</f>
        <v>54.4</v>
      </c>
      <c r="M44" s="47">
        <f>VLOOKUP(B44,Brazil!$A:$B,2,)</f>
        <v>46.9</v>
      </c>
      <c r="N44" s="47">
        <f>VLOOKUP(B44,Russia!$A:$B,2,)</f>
        <v>57.4</v>
      </c>
      <c r="O44" s="47">
        <f>VLOOKUP(B44,India!$A:$B,2,)</f>
        <v>48.5</v>
      </c>
      <c r="P44" s="47">
        <f>VLOOKUP(B44,Australia!$A:$B,2,)</f>
        <v>51.7</v>
      </c>
      <c r="Q44" s="47">
        <f>VLOOKUP(B44,Ireland!$A:$B,2,)</f>
        <v>56</v>
      </c>
    </row>
    <row r="45" spans="2:17" x14ac:dyDescent="0.2">
      <c r="B45" s="46">
        <v>43070</v>
      </c>
      <c r="C45" s="47">
        <f>VLOOKUP(B45,Global!$A:$B,2,)</f>
        <v>53.8</v>
      </c>
      <c r="D45" s="47">
        <f>VLOOKUP(B45,US!$A:$B,2,)</f>
        <v>53.7</v>
      </c>
      <c r="E45" s="47">
        <f>VLOOKUP(B45,China!$A:$B,2,)</f>
        <v>53.9</v>
      </c>
      <c r="F45" s="47">
        <f>VLOOKUP(B45,EuroArea!A:B,2,)</f>
        <v>56.6</v>
      </c>
      <c r="G45" s="47">
        <f>VLOOKUP(B45,Japan!$A:$B,2,)</f>
        <v>51.1</v>
      </c>
      <c r="H45" s="47">
        <f>VLOOKUP(B45,Germany!$A:$B,2,)</f>
        <v>55.8</v>
      </c>
      <c r="I45" s="47">
        <f>VLOOKUP(B45,France!$A:$B,2,)</f>
        <v>59.1</v>
      </c>
      <c r="J45" s="47">
        <f>VLOOKUP(B45,UK!$A:$B,2,)</f>
        <v>54.2</v>
      </c>
      <c r="K45" s="47">
        <f>VLOOKUP(B45,Italy!$A:$B,2,)</f>
        <v>55.4</v>
      </c>
      <c r="L45" s="47">
        <f>VLOOKUP(B45,Spain!$A:$B,2,)</f>
        <v>54.6</v>
      </c>
      <c r="M45" s="47">
        <f>VLOOKUP(B45,Brazil!$A:$B,2,)</f>
        <v>47.4</v>
      </c>
      <c r="N45" s="47">
        <f>VLOOKUP(B45,Russia!$A:$B,2,)</f>
        <v>56.8</v>
      </c>
      <c r="O45" s="47">
        <f>VLOOKUP(B45,India!$A:$B,2,)</f>
        <v>50.9</v>
      </c>
      <c r="P45" s="47">
        <f>VLOOKUP(B45,Australia!$A:$B,2,)</f>
        <v>52</v>
      </c>
      <c r="Q45" s="47">
        <f>VLOOKUP(B45,Ireland!$A:$B,2,)</f>
        <v>60.4</v>
      </c>
    </row>
    <row r="46" spans="2:17" x14ac:dyDescent="0.2">
      <c r="B46" s="46">
        <v>43101</v>
      </c>
      <c r="C46" s="47">
        <f>VLOOKUP(B46,Global!$A:$B,2,)</f>
        <v>54.1</v>
      </c>
      <c r="D46" s="47">
        <f>VLOOKUP(B46,US!$A:$B,2,)</f>
        <v>53.3</v>
      </c>
      <c r="E46" s="47">
        <f>VLOOKUP(B46,China!$A:$B,2,)</f>
        <v>54.7</v>
      </c>
      <c r="F46" s="47">
        <f>VLOOKUP(B46,EuroArea!A:B,2,)</f>
        <v>58</v>
      </c>
      <c r="G46" s="47">
        <f>VLOOKUP(B46,Japan!$A:$B,2,)</f>
        <v>51.9</v>
      </c>
      <c r="H46" s="47">
        <f>VLOOKUP(B46,Germany!$A:$B,2,)</f>
        <v>57.3</v>
      </c>
      <c r="I46" s="47">
        <f>VLOOKUP(B46,France!$A:$B,2,)</f>
        <v>59.2</v>
      </c>
      <c r="J46" s="47">
        <f>VLOOKUP(B46,UK!$A:$B,2,)</f>
        <v>53</v>
      </c>
      <c r="K46" s="47">
        <f>VLOOKUP(B46,Italy!$A:$B,2,)</f>
        <v>57.7</v>
      </c>
      <c r="L46" s="47">
        <f>VLOOKUP(B46,Spain!$A:$B,2,)</f>
        <v>56.9</v>
      </c>
      <c r="M46" s="47">
        <f>VLOOKUP(B46,Brazil!$A:$B,2,)</f>
        <v>50</v>
      </c>
      <c r="N46" s="47">
        <f>VLOOKUP(B46,Russia!$A:$B,2,)</f>
        <v>55.1</v>
      </c>
      <c r="O46" s="47">
        <f>VLOOKUP(B46,India!$A:$B,2,)</f>
        <v>51.7</v>
      </c>
      <c r="P46" s="47">
        <f>VLOOKUP(B46,Australia!$A:$B,2,)</f>
        <v>54.9</v>
      </c>
      <c r="Q46" s="47">
        <f>VLOOKUP(B46,Ireland!$A:$B,2,)</f>
        <v>59.8</v>
      </c>
    </row>
    <row r="47" spans="2:17" x14ac:dyDescent="0.2">
      <c r="B47" s="46">
        <v>43132</v>
      </c>
      <c r="C47" s="47">
        <f>VLOOKUP(B47,Global!$A:$B,2,)</f>
        <v>54.8</v>
      </c>
      <c r="D47" s="47">
        <f>VLOOKUP(B47,US!$A:$B,2,)</f>
        <v>55.9</v>
      </c>
      <c r="E47" s="47">
        <f>VLOOKUP(B47,China!$A:$B,2,)</f>
        <v>54.2</v>
      </c>
      <c r="F47" s="47">
        <f>VLOOKUP(B47,EuroArea!A:B,2,)</f>
        <v>56.2</v>
      </c>
      <c r="G47" s="47">
        <f>VLOOKUP(B47,Japan!$A:$B,2,)</f>
        <v>51.7</v>
      </c>
      <c r="H47" s="47">
        <f>VLOOKUP(B47,Germany!$A:$B,2,)</f>
        <v>55.3</v>
      </c>
      <c r="I47" s="47">
        <f>VLOOKUP(B47,France!$A:$B,2,)</f>
        <v>57.4</v>
      </c>
      <c r="J47" s="47">
        <f>VLOOKUP(B47,UK!$A:$B,2,)</f>
        <v>54.5</v>
      </c>
      <c r="K47" s="47">
        <f>VLOOKUP(B47,Italy!$A:$B,2,)</f>
        <v>55</v>
      </c>
      <c r="L47" s="47">
        <f>VLOOKUP(B47,Spain!$A:$B,2,)</f>
        <v>57.3</v>
      </c>
      <c r="M47" s="47">
        <f>VLOOKUP(B47,Brazil!$A:$B,2,)</f>
        <v>52.7</v>
      </c>
      <c r="N47" s="47">
        <f>VLOOKUP(B47,Russia!$A:$B,2,)</f>
        <v>56.5</v>
      </c>
      <c r="O47" s="47">
        <f>VLOOKUP(B47,India!$A:$B,2,)</f>
        <v>47.8</v>
      </c>
      <c r="P47" s="47">
        <f>VLOOKUP(B47,Australia!$A:$B,2,)</f>
        <v>54</v>
      </c>
      <c r="Q47" s="47">
        <f>VLOOKUP(B47,Ireland!$A:$B,2,)</f>
        <v>57.2</v>
      </c>
    </row>
    <row r="48" spans="2:17" x14ac:dyDescent="0.2">
      <c r="B48" s="46">
        <v>43160</v>
      </c>
      <c r="C48" s="47">
        <f>VLOOKUP(B48,Global!$A:$B,2,)</f>
        <v>53.2</v>
      </c>
      <c r="D48" s="47">
        <f>VLOOKUP(B48,US!$A:$B,2,)</f>
        <v>54</v>
      </c>
      <c r="E48" s="47">
        <f>VLOOKUP(B48,China!$A:$B,2,)</f>
        <v>52.3</v>
      </c>
      <c r="F48" s="47">
        <f>VLOOKUP(B48,EuroArea!A:B,2,)</f>
        <v>54.9</v>
      </c>
      <c r="G48" s="47">
        <f>VLOOKUP(B48,Japan!$A:$B,2,)</f>
        <v>50.9</v>
      </c>
      <c r="H48" s="47">
        <f>VLOOKUP(B48,Germany!$A:$B,2,)</f>
        <v>53.9</v>
      </c>
      <c r="I48" s="47">
        <f>VLOOKUP(B48,France!$A:$B,2,)</f>
        <v>56.8</v>
      </c>
      <c r="J48" s="47">
        <f>VLOOKUP(B48,UK!$A:$B,2,)</f>
        <v>51.7</v>
      </c>
      <c r="K48" s="47">
        <f>VLOOKUP(B48,Italy!$A:$B,2,)</f>
        <v>52.6</v>
      </c>
      <c r="L48" s="47">
        <f>VLOOKUP(B48,Spain!$A:$B,2,)</f>
        <v>56.2</v>
      </c>
      <c r="M48" s="47">
        <f>VLOOKUP(B48,Brazil!$A:$B,2,)</f>
        <v>50.4</v>
      </c>
      <c r="N48" s="47">
        <f>VLOOKUP(B48,Russia!$A:$B,2,)</f>
        <v>53.7</v>
      </c>
      <c r="O48" s="47">
        <f>VLOOKUP(B48,India!$A:$B,2,)</f>
        <v>50.3</v>
      </c>
      <c r="P48" s="47">
        <f>VLOOKUP(B48,Australia!$A:$B,2,)</f>
        <v>56.9</v>
      </c>
      <c r="Q48" s="47">
        <f>VLOOKUP(B48,Ireland!$A:$B,2,)</f>
        <v>56.5</v>
      </c>
    </row>
    <row r="49" spans="2:17" x14ac:dyDescent="0.2">
      <c r="B49" s="46">
        <v>43191</v>
      </c>
      <c r="C49" s="47">
        <f>VLOOKUP(B49,Global!$A:$B,2,)</f>
        <v>53.8</v>
      </c>
      <c r="D49" s="47">
        <f>VLOOKUP(B49,US!$A:$B,2,)</f>
        <v>54.6</v>
      </c>
      <c r="E49" s="47">
        <f>VLOOKUP(B49,China!$A:$B,2,)</f>
        <v>52.9</v>
      </c>
      <c r="F49" s="47">
        <f>VLOOKUP(B49,EuroArea!A:B,2,)</f>
        <v>54.7</v>
      </c>
      <c r="G49" s="47">
        <f>VLOOKUP(B49,Japan!$A:$B,2,)</f>
        <v>52.5</v>
      </c>
      <c r="H49" s="47">
        <f>VLOOKUP(B49,Germany!$A:$B,2,)</f>
        <v>53</v>
      </c>
      <c r="I49" s="47">
        <f>VLOOKUP(B49,France!$A:$B,2,)</f>
        <v>57.4</v>
      </c>
      <c r="J49" s="47">
        <f>VLOOKUP(B49,UK!$A:$B,2,)</f>
        <v>52.8</v>
      </c>
      <c r="K49" s="47">
        <f>VLOOKUP(B49,Italy!$A:$B,2,)</f>
        <v>52.6</v>
      </c>
      <c r="L49" s="47">
        <f>VLOOKUP(B49,Spain!$A:$B,2,)</f>
        <v>55.6</v>
      </c>
      <c r="M49" s="47">
        <f>VLOOKUP(B49,Brazil!$A:$B,2,)</f>
        <v>50</v>
      </c>
      <c r="N49" s="47">
        <f>VLOOKUP(B49,Russia!$A:$B,2,)</f>
        <v>55.5</v>
      </c>
      <c r="O49" s="47">
        <f>VLOOKUP(B49,India!$A:$B,2,)</f>
        <v>51.4</v>
      </c>
      <c r="P49" s="47">
        <f>VLOOKUP(B49,Australia!$A:$B,2,)</f>
        <v>55.2</v>
      </c>
      <c r="Q49" s="47">
        <f>VLOOKUP(B49,Ireland!$A:$B,2,)</f>
        <v>58.3</v>
      </c>
    </row>
    <row r="50" spans="2:17" s="27" customFormat="1" x14ac:dyDescent="0.2">
      <c r="B50" s="46">
        <v>43221</v>
      </c>
      <c r="C50" s="47">
        <f>VLOOKUP(B50,Global!$A:$B,2,)</f>
        <v>54.3</v>
      </c>
      <c r="D50" s="47">
        <f>VLOOKUP(B50,US!$A:$B,2,)</f>
        <v>56.8</v>
      </c>
      <c r="E50" s="47">
        <f>VLOOKUP(B50,China!$A:$B,2,)</f>
        <v>52.9</v>
      </c>
      <c r="F50" s="47">
        <f>VLOOKUP(B50,EuroArea!A:B,2,)</f>
        <v>53.8</v>
      </c>
      <c r="G50" s="47">
        <f>VLOOKUP(B50,Japan!$A:$B,2,)</f>
        <v>51</v>
      </c>
      <c r="H50" s="47">
        <f>VLOOKUP(B50,Germany!$A:$B,2,)</f>
        <v>52.1</v>
      </c>
      <c r="I50" s="47">
        <f>VLOOKUP(B50,France!$A:$B,2,)</f>
        <v>54.3</v>
      </c>
      <c r="J50" s="47">
        <f>VLOOKUP(B50,UK!$A:$B,2,)</f>
        <v>54</v>
      </c>
      <c r="K50" s="47">
        <f>VLOOKUP(B50,Italy!$A:$B,2,)</f>
        <v>53.1</v>
      </c>
      <c r="L50" s="47">
        <f>VLOOKUP(B50,Spain!$A:$B,2,)</f>
        <v>56.4</v>
      </c>
      <c r="M50" s="47">
        <f>VLOOKUP(B50,Brazil!$A:$B,2,)</f>
        <v>49.5</v>
      </c>
      <c r="N50" s="47">
        <f>VLOOKUP(B50,Russia!$A:$B,2,)</f>
        <v>54.1</v>
      </c>
      <c r="O50" s="47">
        <f>VLOOKUP(B50,India!$A:$B,2,)</f>
        <v>49.6</v>
      </c>
      <c r="P50" s="47">
        <f>VLOOKUP(B50,Australia!$A:$B,2,)</f>
        <v>59</v>
      </c>
      <c r="Q50" s="47">
        <f>VLOOKUP(B50,Ireland!$A:$B,2,)</f>
        <v>59.3</v>
      </c>
    </row>
    <row r="51" spans="2:17" s="27" customFormat="1" x14ac:dyDescent="0.2">
      <c r="B51" s="46">
        <v>43252</v>
      </c>
      <c r="C51" s="47">
        <f>VLOOKUP(B51,Global!$A:$B,2,)</f>
        <v>54.6</v>
      </c>
      <c r="D51" s="47">
        <f>VLOOKUP(B51,US!$A:$B,2,)</f>
        <v>56.5</v>
      </c>
      <c r="E51" s="47">
        <f>VLOOKUP(B51,China!$A:$B,2,)</f>
        <v>53.9</v>
      </c>
      <c r="F51" s="47">
        <f>VLOOKUP(B51,EuroArea!A:B,2,)</f>
        <v>55.2</v>
      </c>
      <c r="G51" s="47">
        <f>VLOOKUP(B51,Japan!$A:$B,2,)</f>
        <v>51.4</v>
      </c>
      <c r="H51" s="47">
        <f>VLOOKUP(B51,Germany!$A:$B,2,)</f>
        <v>54.5</v>
      </c>
      <c r="I51" s="47">
        <f>VLOOKUP(B51,France!$A:$B,2,)</f>
        <v>55.9</v>
      </c>
      <c r="J51" s="47">
        <f>VLOOKUP(B51,UK!$A:$B,2,)</f>
        <v>55.1</v>
      </c>
      <c r="K51" s="47">
        <f>VLOOKUP(B51,Italy!$A:$B,2,)</f>
        <v>54.3</v>
      </c>
      <c r="L51" s="47">
        <f>VLOOKUP(B51,Spain!$A:$B,2,)</f>
        <v>55.4</v>
      </c>
      <c r="M51" s="47">
        <f>VLOOKUP(B51,Brazil!$A:$B,2,)</f>
        <v>47</v>
      </c>
      <c r="N51" s="47">
        <f>VLOOKUP(B51,Russia!$A:$B,2,)</f>
        <v>52.3</v>
      </c>
      <c r="O51" s="47">
        <f>VLOOKUP(B51,India!$A:$B,2,)</f>
        <v>52.6</v>
      </c>
      <c r="P51" s="47">
        <f>VLOOKUP(B51,Australia!$A:$B,2,)</f>
        <v>63</v>
      </c>
      <c r="Q51" s="47">
        <f>VLOOKUP(B51,Ireland!$A:$B,2,)</f>
        <v>59.5</v>
      </c>
    </row>
    <row r="52" spans="2:17" s="27" customFormat="1" x14ac:dyDescent="0.2">
      <c r="B52" s="46">
        <v>43282</v>
      </c>
      <c r="C52" s="47">
        <f>VLOOKUP(B52,Global!$A:$B,2,)</f>
        <v>54</v>
      </c>
      <c r="D52" s="47">
        <f>VLOOKUP(B52,US!$A:$B,2,)</f>
        <v>56</v>
      </c>
      <c r="E52" s="47">
        <f>VLOOKUP(B52,China!$A:$B,2,)</f>
        <v>52.8</v>
      </c>
      <c r="F52" s="47">
        <f>VLOOKUP(B52,EuroArea!A:B,2,)</f>
        <v>54.2</v>
      </c>
      <c r="G52" s="47">
        <f>VLOOKUP(B52,Japan!$A:$B,2,)</f>
        <v>51.3</v>
      </c>
      <c r="H52" s="47">
        <f>VLOOKUP(B52,Germany!$A:$B,2,)</f>
        <v>54.1</v>
      </c>
      <c r="I52" s="47">
        <f>VLOOKUP(B52,France!$A:$B,2,)</f>
        <v>54.9</v>
      </c>
      <c r="J52" s="47">
        <f>VLOOKUP(B52,UK!$A:$B,2,)</f>
        <v>53.5</v>
      </c>
      <c r="K52" s="47">
        <f>VLOOKUP(B52,Italy!$A:$B,2,)</f>
        <v>54</v>
      </c>
      <c r="L52" s="47">
        <f>VLOOKUP(B52,Spain!$A:$B,2,)</f>
        <v>52.6</v>
      </c>
      <c r="M52" s="47">
        <f>VLOOKUP(B52,Brazil!$A:$B,2,)</f>
        <v>50.4</v>
      </c>
      <c r="N52" s="47">
        <f>VLOOKUP(B52,Russia!$A:$B,2,)</f>
        <v>52.8</v>
      </c>
      <c r="O52" s="47">
        <f>VLOOKUP(B52,India!$A:$B,2,)</f>
        <v>54.2</v>
      </c>
      <c r="P52" s="47">
        <f>VLOOKUP(B52,Australia!$A:$B,2,)</f>
        <v>53.6</v>
      </c>
      <c r="Q52" s="47">
        <f>VLOOKUP(B52,Ireland!$A:$B,2,)</f>
        <v>57.4</v>
      </c>
    </row>
    <row r="53" spans="2:17" s="27" customFormat="1" x14ac:dyDescent="0.2">
      <c r="B53" s="46">
        <v>43313</v>
      </c>
      <c r="C53" s="47">
        <f>VLOOKUP(B53,Global!$A:$B,2,)</f>
        <v>53.5</v>
      </c>
      <c r="D53" s="47">
        <f>VLOOKUP(B53,US!$A:$B,2,)</f>
        <v>55.2</v>
      </c>
      <c r="E53" s="47">
        <f>VLOOKUP(B53,China!$A:$B,2,)</f>
        <v>51.5</v>
      </c>
      <c r="F53" s="47">
        <f>VLOOKUP(B53,EuroArea!A:B,2,)</f>
        <v>54.4</v>
      </c>
      <c r="G53" s="47">
        <f>VLOOKUP(B53,Japan!$A:$B,2,)</f>
        <v>51.5</v>
      </c>
      <c r="H53" s="47">
        <f>VLOOKUP(B53,Germany!$A:$B,2,)</f>
        <v>55</v>
      </c>
      <c r="I53" s="47">
        <f>VLOOKUP(B53,France!$A:$B,2,)</f>
        <v>55.4</v>
      </c>
      <c r="J53" s="47">
        <f>VLOOKUP(B53,UK!$A:$B,2,)</f>
        <v>54.3</v>
      </c>
      <c r="K53" s="47">
        <f>VLOOKUP(B53,Italy!$A:$B,2,)</f>
        <v>52.6</v>
      </c>
      <c r="L53" s="47">
        <f>VLOOKUP(B53,Spain!$A:$B,2,)</f>
        <v>52.7</v>
      </c>
      <c r="M53" s="47">
        <f>VLOOKUP(B53,Brazil!$A:$B,2,)</f>
        <v>46.8</v>
      </c>
      <c r="N53" s="47">
        <f>VLOOKUP(B53,Russia!$A:$B,2,)</f>
        <v>53.3</v>
      </c>
      <c r="O53" s="47">
        <f>VLOOKUP(B53,India!$A:$B,2,)</f>
        <v>51.5</v>
      </c>
      <c r="P53" s="47">
        <f>VLOOKUP(B53,Australia!$A:$B,2,)</f>
        <v>52.2</v>
      </c>
      <c r="Q53" s="47">
        <f>VLOOKUP(B53,Ireland!$A:$B,2,)</f>
        <v>58</v>
      </c>
    </row>
    <row r="54" spans="2:17" s="27" customFormat="1" x14ac:dyDescent="0.2">
      <c r="B54" s="46">
        <v>43344</v>
      </c>
      <c r="C54" s="47">
        <f>VLOOKUP(B54,Global!$A:$B,2,)</f>
        <v>52.9</v>
      </c>
      <c r="D54" s="47">
        <f>VLOOKUP(B54,US!$A:$B,2,)</f>
        <v>52.9</v>
      </c>
      <c r="E54" s="47">
        <f>VLOOKUP(B54,China!$A:$B,2,)</f>
        <v>53.1</v>
      </c>
      <c r="F54" s="47">
        <f>VLOOKUP(B54,EuroArea!A:B,2,)</f>
        <v>54.7</v>
      </c>
      <c r="G54" s="47">
        <f>VLOOKUP(B54,Japan!$A:$B,2,)</f>
        <v>50.2</v>
      </c>
      <c r="H54" s="47">
        <f>VLOOKUP(B54,Germany!$A:$B,2,)</f>
        <v>55.9</v>
      </c>
      <c r="I54" s="47">
        <f>VLOOKUP(B54,France!$A:$B,2,)</f>
        <v>54.8</v>
      </c>
      <c r="J54" s="47">
        <f>VLOOKUP(B54,UK!$A:$B,2,)</f>
        <v>53.9</v>
      </c>
      <c r="K54" s="47">
        <f>VLOOKUP(B54,Italy!$A:$B,2,)</f>
        <v>53.3</v>
      </c>
      <c r="L54" s="47">
        <f>VLOOKUP(B54,Spain!$A:$B,2,)</f>
        <v>52.5</v>
      </c>
      <c r="M54" s="47">
        <f>VLOOKUP(B54,Brazil!$A:$B,2,)</f>
        <v>46.4</v>
      </c>
      <c r="N54" s="47">
        <f>VLOOKUP(B54,Russia!$A:$B,2,)</f>
        <v>54.7</v>
      </c>
      <c r="O54" s="47">
        <f>VLOOKUP(B54,India!$A:$B,2,)</f>
        <v>50.9</v>
      </c>
      <c r="P54" s="47">
        <f>VLOOKUP(B54,Australia!$A:$B,2,)</f>
        <v>52.5</v>
      </c>
      <c r="Q54" s="47">
        <f>VLOOKUP(B54,Ireland!$A:$B,2,)</f>
        <v>58.7</v>
      </c>
    </row>
    <row r="55" spans="2:17" s="27" customFormat="1" x14ac:dyDescent="0.2">
      <c r="B55" s="46">
        <v>43374</v>
      </c>
      <c r="C55" s="47">
        <f>VLOOKUP(B55,Global!$A:$B,2,)</f>
        <v>53.4</v>
      </c>
      <c r="D55" s="47">
        <f>VLOOKUP(B55,US!$A:$B,2,)</f>
        <v>54.8</v>
      </c>
      <c r="E55" s="47">
        <f>VLOOKUP(B55,China!$A:$B,2,)</f>
        <v>50.8</v>
      </c>
      <c r="F55" s="47">
        <f>VLOOKUP(B55,EuroArea!A:B,2,)</f>
        <v>53.7</v>
      </c>
      <c r="G55" s="47">
        <f>VLOOKUP(B55,Japan!$A:$B,2,)</f>
        <v>52.4</v>
      </c>
      <c r="H55" s="47">
        <f>VLOOKUP(B55,Germany!$A:$B,2,)</f>
        <v>54.7</v>
      </c>
      <c r="I55" s="47">
        <f>VLOOKUP(B55,France!$A:$B,2,)</f>
        <v>55.3</v>
      </c>
      <c r="J55" s="47">
        <f>VLOOKUP(B55,UK!$A:$B,2,)</f>
        <v>52.2</v>
      </c>
      <c r="K55" s="47">
        <f>VLOOKUP(B55,Italy!$A:$B,2,)</f>
        <v>49.2</v>
      </c>
      <c r="L55" s="47">
        <f>VLOOKUP(B55,Spain!$A:$B,2,)</f>
        <v>54</v>
      </c>
      <c r="M55" s="47">
        <f>VLOOKUP(B55,Brazil!$A:$B,2,)</f>
        <v>50.5</v>
      </c>
      <c r="N55" s="47">
        <f>VLOOKUP(B55,Russia!$A:$B,2,)</f>
        <v>56.9</v>
      </c>
      <c r="O55" s="47">
        <f>VLOOKUP(B55,India!$A:$B,2,)</f>
        <v>52.2</v>
      </c>
      <c r="P55" s="47">
        <f>VLOOKUP(B55,Australia!$A:$B,2,)</f>
        <v>51.1</v>
      </c>
      <c r="Q55" s="47">
        <f>VLOOKUP(B55,Ireland!$A:$B,2,)</f>
        <v>57.2</v>
      </c>
    </row>
    <row r="56" spans="2:17" s="27" customFormat="1" x14ac:dyDescent="0.2">
      <c r="B56" s="46">
        <v>43405</v>
      </c>
      <c r="C56" s="47">
        <f>VLOOKUP(B56,Global!$A:$B,2,)</f>
        <v>53.7</v>
      </c>
      <c r="D56" s="47">
        <f>VLOOKUP(B56,US!$A:$B,2,)</f>
        <v>54.4</v>
      </c>
      <c r="E56" s="47">
        <f>VLOOKUP(B56,China!$A:$B,2,)</f>
        <v>53.8</v>
      </c>
      <c r="F56" s="47">
        <f>VLOOKUP(B56,EuroArea!A:B,2,)</f>
        <v>53.4</v>
      </c>
      <c r="G56" s="47">
        <f>VLOOKUP(B56,Japan!$A:$B,2,)</f>
        <v>52.3</v>
      </c>
      <c r="H56" s="47">
        <f>VLOOKUP(B56,Germany!$A:$B,2,)</f>
        <v>53.3</v>
      </c>
      <c r="I56" s="47">
        <f>VLOOKUP(B56,France!$A:$B,2,)</f>
        <v>55.1</v>
      </c>
      <c r="J56" s="47">
        <f>VLOOKUP(B56,UK!$A:$B,2,)</f>
        <v>50.4</v>
      </c>
      <c r="K56" s="47">
        <f>VLOOKUP(B56,Italy!$A:$B,2,)</f>
        <v>50.3</v>
      </c>
      <c r="L56" s="47">
        <f>VLOOKUP(B56,Spain!$A:$B,2,)</f>
        <v>54</v>
      </c>
      <c r="M56" s="47">
        <f>VLOOKUP(B56,Brazil!$A:$B,2,)</f>
        <v>51.3</v>
      </c>
      <c r="N56" s="47">
        <f>VLOOKUP(B56,Russia!$A:$B,2,)</f>
        <v>55.6</v>
      </c>
      <c r="O56" s="47">
        <f>VLOOKUP(B56,India!$A:$B,2,)</f>
        <v>53.7</v>
      </c>
      <c r="P56" s="47">
        <f>VLOOKUP(B56,Australia!$A:$B,2,)</f>
        <v>55.1</v>
      </c>
      <c r="Q56" s="47">
        <f>VLOOKUP(B56,Ireland!$A:$B,2,)</f>
        <v>57.1</v>
      </c>
    </row>
    <row r="57" spans="2:17" s="27" customFormat="1" x14ac:dyDescent="0.2">
      <c r="B57" s="46">
        <v>43435</v>
      </c>
      <c r="C57" s="47">
        <f>VLOOKUP(B57,Global!$A:$B,2,)</f>
        <v>53</v>
      </c>
      <c r="D57" s="47">
        <f>VLOOKUP(B57,US!$A:$B,2,)</f>
        <v>54.4</v>
      </c>
      <c r="E57" s="47">
        <f>VLOOKUP(B57,China!$A:$B,2,)</f>
        <v>53.9</v>
      </c>
      <c r="F57" s="47">
        <f>VLOOKUP(B57,EuroArea!A:B,2,)</f>
        <v>51.2</v>
      </c>
      <c r="G57" s="47">
        <f>VLOOKUP(B57,Japan!$A:$B,2,)</f>
        <v>51</v>
      </c>
      <c r="H57" s="47">
        <f>VLOOKUP(B57,Germany!$A:$B,2,)</f>
        <v>51.8</v>
      </c>
      <c r="I57" s="47">
        <f>VLOOKUP(B57,France!$A:$B,2,)</f>
        <v>49</v>
      </c>
      <c r="J57" s="47">
        <f>VLOOKUP(B57,UK!$A:$B,2,)</f>
        <v>51.2</v>
      </c>
      <c r="K57" s="47">
        <f>VLOOKUP(B57,Italy!$A:$B,2,)</f>
        <v>50.5</v>
      </c>
      <c r="L57" s="47">
        <f>VLOOKUP(B57,Spain!$A:$B,2,)</f>
        <v>54</v>
      </c>
      <c r="M57" s="47">
        <f>VLOOKUP(B57,Brazil!$A:$B,2,)</f>
        <v>51.9</v>
      </c>
      <c r="N57" s="47">
        <f>VLOOKUP(B57,Russia!$A:$B,2,)</f>
        <v>54.4</v>
      </c>
      <c r="O57" s="47">
        <f>VLOOKUP(B57,India!$A:$B,2,)</f>
        <v>53.2</v>
      </c>
      <c r="P57" s="47">
        <f>VLOOKUP(B57,Australia!$A:$B,2,)</f>
        <v>52.1</v>
      </c>
      <c r="Q57" s="47">
        <f>VLOOKUP(B57,Ireland!$A:$B,2,)</f>
        <v>56.3</v>
      </c>
    </row>
    <row r="58" spans="2:17" s="27" customFormat="1" x14ac:dyDescent="0.2">
      <c r="B58" s="46">
        <v>43466</v>
      </c>
      <c r="C58" s="47">
        <f>VLOOKUP(B58,Global!$A:$B,2,)</f>
        <v>52.6</v>
      </c>
      <c r="D58" s="47">
        <f>VLOOKUP(B58,US!$A:$B,2,)</f>
        <v>54.2</v>
      </c>
      <c r="E58" s="47">
        <f>VLOOKUP(B58,China!$A:$B,2,)</f>
        <v>53.6</v>
      </c>
      <c r="F58" s="47">
        <f>VLOOKUP(B58,EuroArea!A:B,2,)</f>
        <v>51.2</v>
      </c>
      <c r="G58" s="47">
        <f>VLOOKUP(B58,Japan!$A:$B,2,)</f>
        <v>51.6</v>
      </c>
      <c r="H58" s="47">
        <f>VLOOKUP(B58,Germany!$A:$B,2,)</f>
        <v>53</v>
      </c>
      <c r="I58" s="47">
        <f>VLOOKUP(B58,France!$A:$B,2,)</f>
        <v>47.8</v>
      </c>
      <c r="J58" s="47">
        <f>VLOOKUP(B58,UK!$A:$B,2,)</f>
        <v>50.1</v>
      </c>
      <c r="K58" s="47">
        <f>VLOOKUP(B58,Italy!$A:$B,2,)</f>
        <v>49.7</v>
      </c>
      <c r="L58" s="47">
        <f>VLOOKUP(B58,Spain!$A:$B,2,)</f>
        <v>54.7</v>
      </c>
      <c r="M58" s="47">
        <f>VLOOKUP(B58,Brazil!$A:$B,2,)</f>
        <v>52</v>
      </c>
      <c r="N58" s="47">
        <f>VLOOKUP(B58,Russia!$A:$B,2,)</f>
        <v>54.9</v>
      </c>
      <c r="O58" s="47">
        <f>VLOOKUP(B58,India!$A:$B,2,)</f>
        <v>52.2</v>
      </c>
      <c r="P58" s="47">
        <f>VLOOKUP(B58,Australia!$A:$B,2,)</f>
        <v>44.3</v>
      </c>
      <c r="Q58" s="47">
        <f>VLOOKUP(B58,Ireland!$A:$B,2,)</f>
        <v>54.2</v>
      </c>
    </row>
    <row r="59" spans="2:17" s="27" customFormat="1" x14ac:dyDescent="0.2">
      <c r="B59" s="46">
        <v>43497</v>
      </c>
      <c r="C59" s="47">
        <f>VLOOKUP(B59,Global!$A:$B,2,)</f>
        <v>53.3</v>
      </c>
      <c r="D59" s="47">
        <f>VLOOKUP(B59,US!$A:$B,2,)</f>
        <v>56.2</v>
      </c>
      <c r="E59" s="47">
        <f>VLOOKUP(B59,China!$A:$B,2,)</f>
        <v>51.1</v>
      </c>
      <c r="F59" s="47">
        <f>VLOOKUP(B59,EuroArea!A:B,2,)</f>
        <v>52.8</v>
      </c>
      <c r="G59" s="47">
        <f>VLOOKUP(B59,Japan!$A:$B,2,)</f>
        <v>52.3</v>
      </c>
      <c r="H59" s="47">
        <f>VLOOKUP(B59,Germany!$A:$B,2,)</f>
        <v>55.3</v>
      </c>
      <c r="I59" s="47">
        <f>VLOOKUP(B59,France!$A:$B,2,)</f>
        <v>50.2</v>
      </c>
      <c r="J59" s="47">
        <f>VLOOKUP(B59,UK!$A:$B,2,)</f>
        <v>51.3</v>
      </c>
      <c r="K59" s="47">
        <f>VLOOKUP(B59,Italy!$A:$B,2,)</f>
        <v>50.4</v>
      </c>
      <c r="L59" s="47">
        <f>VLOOKUP(B59,Spain!$A:$B,2,)</f>
        <v>54.5</v>
      </c>
      <c r="M59" s="47">
        <f>VLOOKUP(B59,Brazil!$A:$B,2,)</f>
        <v>52.2</v>
      </c>
      <c r="N59" s="47">
        <f>VLOOKUP(B59,Russia!$A:$B,2,)</f>
        <v>55.3</v>
      </c>
      <c r="O59" s="47">
        <f>VLOOKUP(B59,India!$A:$B,2,)</f>
        <v>52.5</v>
      </c>
      <c r="P59" s="47">
        <f>VLOOKUP(B59,Australia!$A:$B,2,)</f>
        <v>44.5</v>
      </c>
      <c r="Q59" s="47">
        <f>VLOOKUP(B59,Ireland!$A:$B,2,)</f>
        <v>55.9</v>
      </c>
    </row>
    <row r="60" spans="2:17" s="27" customFormat="1" x14ac:dyDescent="0.2">
      <c r="B60" s="46">
        <v>43525</v>
      </c>
      <c r="C60" s="47">
        <f>VLOOKUP(B60,Global!$A:$B,2,)</f>
        <v>53.7</v>
      </c>
      <c r="D60" s="47">
        <f>VLOOKUP(B60,US!$A:$B,2,)</f>
        <v>54.8</v>
      </c>
      <c r="E60" s="47">
        <f>VLOOKUP(B60,China!$A:$B,2,)</f>
        <v>54.4</v>
      </c>
      <c r="F60" s="47">
        <f>VLOOKUP(B60,EuroArea!A:B,2,)</f>
        <v>53.3</v>
      </c>
      <c r="G60" s="47">
        <f>VLOOKUP(B60,Japan!$A:$B,2,)</f>
        <v>52</v>
      </c>
      <c r="H60" s="47">
        <f>VLOOKUP(B60,Germany!$A:$B,2,)</f>
        <v>55.4</v>
      </c>
      <c r="I60" s="47">
        <f>VLOOKUP(B60,France!$A:$B,2,)</f>
        <v>49.1</v>
      </c>
      <c r="J60" s="47">
        <f>VLOOKUP(B60,UK!$A:$B,2,)</f>
        <v>48.9</v>
      </c>
      <c r="K60" s="47">
        <f>VLOOKUP(B60,Italy!$A:$B,2,)</f>
        <v>53.1</v>
      </c>
      <c r="L60" s="47">
        <f>VLOOKUP(B60,Spain!$A:$B,2,)</f>
        <v>56.8</v>
      </c>
      <c r="M60" s="47">
        <f>VLOOKUP(B60,Brazil!$A:$B,2,)</f>
        <v>52.7</v>
      </c>
      <c r="N60" s="47">
        <f>VLOOKUP(B60,Russia!$A:$B,2,)</f>
        <v>54.4</v>
      </c>
      <c r="O60" s="47">
        <f>VLOOKUP(B60,India!$A:$B,2,)</f>
        <v>52</v>
      </c>
      <c r="P60" s="47">
        <f>VLOOKUP(B60,Australia!$A:$B,2,)</f>
        <v>44.8</v>
      </c>
      <c r="Q60" s="47">
        <f>VLOOKUP(B60,Ireland!$A:$B,2,)</f>
        <v>55.3</v>
      </c>
    </row>
    <row r="61" spans="2:17" s="27" customFormat="1" x14ac:dyDescent="0.2">
      <c r="B61" s="46">
        <v>43556</v>
      </c>
      <c r="C61" s="47">
        <f>VLOOKUP(B61,Global!$A:$B,2,)</f>
        <v>52.7</v>
      </c>
      <c r="D61" s="47">
        <f>VLOOKUP(B61,US!$A:$B,2,)</f>
        <v>53</v>
      </c>
      <c r="E61" s="47">
        <f>VLOOKUP(B61,China!$A:$B,2,)</f>
        <v>54.5</v>
      </c>
      <c r="F61" s="47">
        <f>VLOOKUP(B61,EuroArea!A:B,2,)</f>
        <v>52.8</v>
      </c>
      <c r="G61" s="47">
        <f>VLOOKUP(B61,Japan!$A:$B,2,)</f>
        <v>51.8</v>
      </c>
      <c r="H61" s="47">
        <f>VLOOKUP(B61,Germany!$A:$B,2,)</f>
        <v>55.7</v>
      </c>
      <c r="I61" s="47">
        <f>VLOOKUP(B61,France!$A:$B,2,)</f>
        <v>50.5</v>
      </c>
      <c r="J61" s="47">
        <f>VLOOKUP(B61,UK!$A:$B,2,)</f>
        <v>50.4</v>
      </c>
      <c r="K61" s="47">
        <f>VLOOKUP(B61,Italy!$A:$B,2,)</f>
        <v>50.4</v>
      </c>
      <c r="L61" s="47">
        <f>VLOOKUP(B61,Spain!$A:$B,2,)</f>
        <v>53.1</v>
      </c>
      <c r="M61" s="47">
        <f>VLOOKUP(B61,Brazil!$A:$B,2,)</f>
        <v>49.9</v>
      </c>
      <c r="N61" s="47">
        <f>VLOOKUP(B61,Russia!$A:$B,2,)</f>
        <v>52.6</v>
      </c>
      <c r="O61" s="47">
        <f>VLOOKUP(B61,India!$A:$B,2,)</f>
        <v>51</v>
      </c>
      <c r="P61" s="47">
        <f>VLOOKUP(B61,Australia!$A:$B,2,)</f>
        <v>46.5</v>
      </c>
      <c r="Q61" s="47">
        <f>VLOOKUP(B61,Ireland!$A:$B,2,)</f>
        <v>54.7</v>
      </c>
    </row>
    <row r="62" spans="2:17" s="27" customFormat="1" x14ac:dyDescent="0.2">
      <c r="B62" s="46">
        <v>43586</v>
      </c>
      <c r="C62" s="47">
        <f>VLOOKUP(B62,Global!$A:$B,2,)</f>
        <v>51.6</v>
      </c>
      <c r="D62" s="47">
        <f>VLOOKUP(B62,US!$A:$B,2,)</f>
        <v>50.9</v>
      </c>
      <c r="E62" s="47">
        <f>VLOOKUP(B62,China!$A:$B,2,)</f>
        <v>52.7</v>
      </c>
      <c r="F62" s="47">
        <f>VLOOKUP(B62,EuroArea!A:B,2,)</f>
        <v>52.9</v>
      </c>
      <c r="G62" s="47">
        <f>VLOOKUP(B62,Japan!$A:$B,2,)</f>
        <v>51.7</v>
      </c>
      <c r="H62" s="47">
        <f>VLOOKUP(B62,Germany!$A:$B,2,)</f>
        <v>55.4</v>
      </c>
      <c r="I62" s="47">
        <f>VLOOKUP(B62,France!$A:$B,2,)</f>
        <v>51.5</v>
      </c>
      <c r="J62" s="47">
        <f>VLOOKUP(B62,UK!$A:$B,2,)</f>
        <v>51</v>
      </c>
      <c r="K62" s="47">
        <f>VLOOKUP(B62,Italy!$A:$B,2,)</f>
        <v>50</v>
      </c>
      <c r="L62" s="47">
        <f>VLOOKUP(B62,Spain!$A:$B,2,)</f>
        <v>52.8</v>
      </c>
      <c r="M62" s="47">
        <f>VLOOKUP(B62,Brazil!$A:$B,2,)</f>
        <v>47.8</v>
      </c>
      <c r="N62" s="47">
        <f>VLOOKUP(B62,Russia!$A:$B,2,)</f>
        <v>52</v>
      </c>
      <c r="O62" s="47">
        <f>VLOOKUP(B62,India!$A:$B,2,)</f>
        <v>50.2</v>
      </c>
      <c r="P62" s="47">
        <f>VLOOKUP(B62,Australia!$A:$B,2,)</f>
        <v>52.5</v>
      </c>
      <c r="Q62" s="47">
        <f>VLOOKUP(B62,Ireland!$A:$B,2,)</f>
        <v>57</v>
      </c>
    </row>
    <row r="63" spans="2:17" s="27" customFormat="1" x14ac:dyDescent="0.2">
      <c r="B63" s="46">
        <v>43617</v>
      </c>
      <c r="C63" s="47">
        <f>VLOOKUP(B63,Global!$A:$B,2,)</f>
        <v>51.9</v>
      </c>
      <c r="D63" s="47">
        <f>VLOOKUP(B63,US!$A:$B,2,)</f>
        <v>51.5</v>
      </c>
      <c r="E63" s="47">
        <f>VLOOKUP(B63,China!$A:$B,2,)</f>
        <v>52</v>
      </c>
      <c r="F63" s="47">
        <f>VLOOKUP(B63,EuroArea!A:B,2,)</f>
        <v>53.6</v>
      </c>
      <c r="G63" s="47">
        <f>VLOOKUP(B63,Japan!$A:$B,2,)</f>
        <v>51.9</v>
      </c>
      <c r="H63" s="47">
        <f>VLOOKUP(B63,Germany!$A:$B,2,)</f>
        <v>55.8</v>
      </c>
      <c r="I63" s="47">
        <f>VLOOKUP(B63,France!$A:$B,2,)</f>
        <v>52.9</v>
      </c>
      <c r="J63" s="47">
        <f>VLOOKUP(B63,UK!$A:$B,2,)</f>
        <v>50.2</v>
      </c>
      <c r="K63" s="47">
        <f>VLOOKUP(B63,Italy!$A:$B,2,)</f>
        <v>50.5</v>
      </c>
      <c r="L63" s="47">
        <f>VLOOKUP(B63,Spain!$A:$B,2,)</f>
        <v>53.6</v>
      </c>
      <c r="M63" s="47">
        <f>VLOOKUP(B63,Brazil!$A:$B,2,)</f>
        <v>48.2</v>
      </c>
      <c r="N63" s="47">
        <f>VLOOKUP(B63,Russia!$A:$B,2,)</f>
        <v>49.7</v>
      </c>
      <c r="O63" s="47">
        <f>VLOOKUP(B63,India!$A:$B,2,)</f>
        <v>49.6</v>
      </c>
      <c r="P63" s="47">
        <f>VLOOKUP(B63,Australia!$A:$B,2,)</f>
        <v>52.2</v>
      </c>
      <c r="Q63" s="47">
        <f>VLOOKUP(B63,Ireland!$A:$B,2,)</f>
        <v>56.9</v>
      </c>
    </row>
    <row r="64" spans="2:17" s="27" customFormat="1" x14ac:dyDescent="0.2">
      <c r="B64" s="46">
        <v>43647</v>
      </c>
      <c r="C64" s="47">
        <f>VLOOKUP(B64,Global!$A:$B,2,)</f>
        <v>52.5</v>
      </c>
      <c r="D64" s="47">
        <f>VLOOKUP(B64,US!$A:$B,2,)</f>
        <v>53</v>
      </c>
      <c r="E64" s="47">
        <f>VLOOKUP(B64,China!$A:$B,2,)</f>
        <v>51.6</v>
      </c>
      <c r="F64" s="47">
        <f>VLOOKUP(B64,EuroArea!A:B,2,)</f>
        <v>53.2</v>
      </c>
      <c r="G64" s="47">
        <f>VLOOKUP(B64,Japan!$A:$B,2,)</f>
        <v>51.8</v>
      </c>
      <c r="H64" s="47">
        <f>VLOOKUP(B64,Germany!$A:$B,2,)</f>
        <v>54.5</v>
      </c>
      <c r="I64" s="47">
        <f>VLOOKUP(B64,France!$A:$B,2,)</f>
        <v>52.6</v>
      </c>
      <c r="J64" s="47">
        <f>VLOOKUP(B64,UK!$A:$B,2,)</f>
        <v>51.4</v>
      </c>
      <c r="K64" s="47">
        <f>VLOOKUP(B64,Italy!$A:$B,2,)</f>
        <v>51.7</v>
      </c>
      <c r="L64" s="47">
        <f>VLOOKUP(B64,Spain!$A:$B,2,)</f>
        <v>52.9</v>
      </c>
      <c r="M64" s="47">
        <f>VLOOKUP(B64,Brazil!$A:$B,2,)</f>
        <v>52.2</v>
      </c>
      <c r="N64" s="47">
        <f>VLOOKUP(B64,Russia!$A:$B,2,)</f>
        <v>50.4</v>
      </c>
      <c r="O64" s="47">
        <f>VLOOKUP(B64,India!$A:$B,2,)</f>
        <v>53.8</v>
      </c>
      <c r="P64" s="47">
        <f>VLOOKUP(B64,Australia!$A:$B,2,)</f>
        <v>43.9</v>
      </c>
      <c r="Q64" s="47">
        <f>VLOOKUP(B64,Ireland!$A:$B,2,)</f>
        <v>55</v>
      </c>
    </row>
    <row r="65" spans="2:17" s="27" customFormat="1" x14ac:dyDescent="0.2">
      <c r="B65" s="46">
        <v>43678</v>
      </c>
      <c r="C65" s="47">
        <f>VLOOKUP(B65,Global!$A:$B,2,)</f>
        <v>51.8</v>
      </c>
      <c r="D65" s="47">
        <f>VLOOKUP(B65,US!$A:$B,2,)</f>
        <v>50.7</v>
      </c>
      <c r="E65" s="47">
        <f>VLOOKUP(B65,China!$A:$B,2,)</f>
        <v>52.1</v>
      </c>
      <c r="F65" s="47">
        <f>VLOOKUP(B65,EuroArea!A:B,2,)</f>
        <v>53.5</v>
      </c>
      <c r="G65" s="47">
        <f>VLOOKUP(B65,Japan!$A:$B,2,)</f>
        <v>53.3</v>
      </c>
      <c r="H65" s="47">
        <f>VLOOKUP(B65,Germany!$A:$B,2,)</f>
        <v>54.8</v>
      </c>
      <c r="I65" s="47">
        <f>VLOOKUP(B65,France!$A:$B,2,)</f>
        <v>53.4</v>
      </c>
      <c r="J65" s="47">
        <f>VLOOKUP(B65,UK!$A:$B,2,)</f>
        <v>50.6</v>
      </c>
      <c r="K65" s="47">
        <f>VLOOKUP(B65,Italy!$A:$B,2,)</f>
        <v>50.6</v>
      </c>
      <c r="L65" s="47">
        <f>VLOOKUP(B65,Spain!$A:$B,2,)</f>
        <v>54.3</v>
      </c>
      <c r="M65" s="47">
        <f>VLOOKUP(B65,Brazil!$A:$B,2,)</f>
        <v>51.4</v>
      </c>
      <c r="N65" s="47">
        <f>VLOOKUP(B65,Russia!$A:$B,2,)</f>
        <v>52.1</v>
      </c>
      <c r="O65" s="47">
        <f>VLOOKUP(B65,India!$A:$B,2,)</f>
        <v>52.4</v>
      </c>
      <c r="P65" s="47">
        <f>VLOOKUP(B65,Australia!$A:$B,2,)</f>
        <v>51.4</v>
      </c>
      <c r="Q65" s="47">
        <f>VLOOKUP(B65,Ireland!$A:$B,2,)</f>
        <v>54.6</v>
      </c>
    </row>
    <row r="66" spans="2:17" s="27" customFormat="1" x14ac:dyDescent="0.2">
      <c r="B66" s="46">
        <v>43709</v>
      </c>
      <c r="C66" s="47">
        <f>VLOOKUP(B66,Global!$A:$B,2,)</f>
        <v>51.6</v>
      </c>
      <c r="D66" s="47">
        <f>VLOOKUP(B66,US!$A:$B,2,)</f>
        <v>50.9</v>
      </c>
      <c r="E66" s="47">
        <f>VLOOKUP(B66,China!$A:$B,2,)</f>
        <v>51.3</v>
      </c>
      <c r="F66" s="47">
        <f>VLOOKUP(B66,EuroArea!A:B,2,)</f>
        <v>51.6</v>
      </c>
      <c r="G66" s="47">
        <f>VLOOKUP(B66,Japan!$A:$B,2,)</f>
        <v>52.8</v>
      </c>
      <c r="H66" s="47">
        <f>VLOOKUP(B66,Germany!$A:$B,2,)</f>
        <v>51.4</v>
      </c>
      <c r="I66" s="47">
        <f>VLOOKUP(B66,France!$A:$B,2,)</f>
        <v>51.1</v>
      </c>
      <c r="J66" s="47">
        <f>VLOOKUP(B66,UK!$A:$B,2,)</f>
        <v>49.5</v>
      </c>
      <c r="K66" s="47">
        <f>VLOOKUP(B66,Italy!$A:$B,2,)</f>
        <v>51.4</v>
      </c>
      <c r="L66" s="47">
        <f>VLOOKUP(B66,Spain!$A:$B,2,)</f>
        <v>53.3</v>
      </c>
      <c r="M66" s="47">
        <f>VLOOKUP(B66,Brazil!$A:$B,2,)</f>
        <v>51.8</v>
      </c>
      <c r="N66" s="47">
        <f>VLOOKUP(B66,Russia!$A:$B,2,)</f>
        <v>53.6</v>
      </c>
      <c r="O66" s="47">
        <f>VLOOKUP(B66,India!$A:$B,2,)</f>
        <v>48.7</v>
      </c>
      <c r="P66" s="47">
        <f>VLOOKUP(B66,Australia!$A:$B,2,)</f>
        <v>51.5</v>
      </c>
      <c r="Q66" s="47">
        <f>VLOOKUP(B66,Ireland!$A:$B,2,)</f>
        <v>53.1</v>
      </c>
    </row>
    <row r="67" spans="2:17" s="27" customFormat="1" x14ac:dyDescent="0.2">
      <c r="B67" s="46">
        <v>43739</v>
      </c>
      <c r="C67" s="47">
        <f>VLOOKUP(B67,Global!$A:$B,2,)</f>
        <v>51</v>
      </c>
      <c r="D67" s="47">
        <f>VLOOKUP(B67,US!$A:$B,2,)</f>
        <v>50.6</v>
      </c>
      <c r="E67" s="47">
        <f>VLOOKUP(B67,China!$A:$B,2,)</f>
        <v>51.1</v>
      </c>
      <c r="F67" s="47">
        <f>VLOOKUP(B67,EuroArea!A:B,2,)</f>
        <v>52.2</v>
      </c>
      <c r="G67" s="47">
        <f>VLOOKUP(B67,Japan!$A:$B,2,)</f>
        <v>49.7</v>
      </c>
      <c r="H67" s="47">
        <f>VLOOKUP(B67,Germany!$A:$B,2,)</f>
        <v>51.6</v>
      </c>
      <c r="I67" s="47">
        <f>VLOOKUP(B67,France!$A:$B,2,)</f>
        <v>52.9</v>
      </c>
      <c r="J67" s="47">
        <f>VLOOKUP(B67,UK!$A:$B,2,)</f>
        <v>50</v>
      </c>
      <c r="K67" s="47">
        <f>VLOOKUP(B67,Italy!$A:$B,2,)</f>
        <v>52.2</v>
      </c>
      <c r="L67" s="47">
        <f>VLOOKUP(B67,Spain!$A:$B,2,)</f>
        <v>52.7</v>
      </c>
      <c r="M67" s="47">
        <f>VLOOKUP(B67,Brazil!$A:$B,2,)</f>
        <v>51.2</v>
      </c>
      <c r="N67" s="47">
        <f>VLOOKUP(B67,Russia!$A:$B,2,)</f>
        <v>55.8</v>
      </c>
      <c r="O67" s="47">
        <f>VLOOKUP(B67,India!$A:$B,2,)</f>
        <v>49.2</v>
      </c>
      <c r="P67" s="47">
        <f>VLOOKUP(B67,Australia!$A:$B,2,)</f>
        <v>54.2</v>
      </c>
      <c r="Q67" s="47">
        <f>VLOOKUP(B67,Ireland!$A:$B,2,)</f>
        <v>50.6</v>
      </c>
    </row>
    <row r="68" spans="2:17" s="27" customFormat="1" x14ac:dyDescent="0.2">
      <c r="B68" s="46">
        <v>43770</v>
      </c>
      <c r="C68" s="47">
        <f>VLOOKUP(B68,Global!$A:$B,2,)</f>
        <v>51.6</v>
      </c>
      <c r="D68" s="47">
        <f>VLOOKUP(B68,US!$A:$B,2,)</f>
        <v>51.6</v>
      </c>
      <c r="E68" s="47">
        <f>VLOOKUP(B68,China!$A:$B,2,)</f>
        <v>53.5</v>
      </c>
      <c r="F68" s="47">
        <f>VLOOKUP(B68,EuroArea!A:B,2,)</f>
        <v>51.9</v>
      </c>
      <c r="G68" s="47">
        <f>VLOOKUP(B68,Japan!$A:$B,2,)</f>
        <v>50.3</v>
      </c>
      <c r="H68" s="47">
        <f>VLOOKUP(B68,Germany!$A:$B,2,)</f>
        <v>51.7</v>
      </c>
      <c r="I68" s="47">
        <f>VLOOKUP(B68,France!$A:$B,2,)</f>
        <v>52.2</v>
      </c>
      <c r="J68" s="47">
        <f>VLOOKUP(B68,UK!$A:$B,2,)</f>
        <v>49.3</v>
      </c>
      <c r="K68" s="47">
        <f>VLOOKUP(B68,Italy!$A:$B,2,)</f>
        <v>50.4</v>
      </c>
      <c r="L68" s="47">
        <f>VLOOKUP(B68,Spain!$A:$B,2,)</f>
        <v>53.2</v>
      </c>
      <c r="M68" s="47">
        <f>VLOOKUP(B68,Brazil!$A:$B,2,)</f>
        <v>50.9</v>
      </c>
      <c r="N68" s="47">
        <f>VLOOKUP(B68,Russia!$A:$B,2,)</f>
        <v>55.6</v>
      </c>
      <c r="O68" s="47">
        <f>VLOOKUP(B68,India!$A:$B,2,)</f>
        <v>52.7</v>
      </c>
      <c r="P68" s="47">
        <f>VLOOKUP(B68,Australia!$A:$B,2,)</f>
        <v>53.7</v>
      </c>
      <c r="Q68" s="47">
        <f>VLOOKUP(B68,Ireland!$A:$B,2,)</f>
        <v>52</v>
      </c>
    </row>
    <row r="69" spans="2:17" s="27" customFormat="1" x14ac:dyDescent="0.2">
      <c r="B69" s="46">
        <v>43800</v>
      </c>
      <c r="C69" s="47">
        <f>VLOOKUP(B69,Global!$A:$B,2,)</f>
        <v>52</v>
      </c>
      <c r="D69" s="47">
        <f>VLOOKUP(B69,US!$A:$B,2,)</f>
        <v>52.8</v>
      </c>
      <c r="E69" s="47">
        <f>VLOOKUP(B69,China!$A:$B,2,)</f>
        <v>52.5</v>
      </c>
      <c r="F69" s="47">
        <f>VLOOKUP(B69,EuroArea!A:B,2,)</f>
        <v>52.8</v>
      </c>
      <c r="G69" s="47">
        <f>VLOOKUP(B69,Japan!$A:$B,2,)</f>
        <v>49.4</v>
      </c>
      <c r="H69" s="47">
        <f>VLOOKUP(B69,Germany!$A:$B,2,)</f>
        <v>52.9</v>
      </c>
      <c r="I69" s="47">
        <f>VLOOKUP(B69,France!$A:$B,2,)</f>
        <v>52.4</v>
      </c>
      <c r="J69" s="47">
        <f>VLOOKUP(B69,UK!$A:$B,2,)</f>
        <v>50</v>
      </c>
      <c r="K69" s="47">
        <f>VLOOKUP(B69,Italy!$A:$B,2,)</f>
        <v>51.1</v>
      </c>
      <c r="L69" s="47">
        <f>VLOOKUP(B69,Spain!$A:$B,2,)</f>
        <v>54.9</v>
      </c>
      <c r="M69" s="47">
        <f>VLOOKUP(B69,Brazil!$A:$B,2,)</f>
        <v>51</v>
      </c>
      <c r="N69" s="47">
        <f>VLOOKUP(B69,Russia!$A:$B,2,)</f>
        <v>53.1</v>
      </c>
      <c r="O69" s="47">
        <f>VLOOKUP(B69,India!$A:$B,2,)</f>
        <v>53.3</v>
      </c>
      <c r="P69" s="47">
        <f>VLOOKUP(B69,Australia!$A:$B,2,)</f>
        <v>48.7</v>
      </c>
      <c r="Q69" s="47">
        <f>VLOOKUP(B69,Ireland!$A:$B,2,)</f>
        <v>55.9</v>
      </c>
    </row>
    <row r="70" spans="2:17" s="27" customFormat="1" x14ac:dyDescent="0.2">
      <c r="B70" s="46">
        <v>43831</v>
      </c>
      <c r="C70" s="47">
        <f>VLOOKUP(B70,Global!$A:$B,2,)</f>
        <v>52.7</v>
      </c>
      <c r="D70" s="47">
        <f>VLOOKUP(B70,US!$A:$B,2,)</f>
        <v>53.4</v>
      </c>
      <c r="E70" s="47">
        <f>VLOOKUP(B70,China!$A:$B,2,)</f>
        <v>51.8</v>
      </c>
      <c r="F70" s="47">
        <f>VLOOKUP(B70,EuroArea!A:B,2,)</f>
        <v>52.5</v>
      </c>
      <c r="G70" s="47">
        <f>VLOOKUP(B70,Japan!$A:$B,2,)</f>
        <v>51</v>
      </c>
      <c r="H70" s="47">
        <f>VLOOKUP(B70,Germany!$A:$B,2,)</f>
        <v>54.2</v>
      </c>
      <c r="I70" s="47">
        <f>VLOOKUP(B70,France!$A:$B,2,)</f>
        <v>51</v>
      </c>
      <c r="J70" s="47">
        <f>VLOOKUP(B70,UK!$A:$B,2,)</f>
        <v>53.9</v>
      </c>
      <c r="K70" s="47">
        <f>VLOOKUP(B70,Italy!$A:$B,2,)</f>
        <v>51.4</v>
      </c>
      <c r="L70" s="47">
        <f>VLOOKUP(B70,Spain!$A:$B,2,)</f>
        <v>52.3</v>
      </c>
      <c r="M70" s="47">
        <f>VLOOKUP(B70,Brazil!$A:$B,2,)</f>
        <v>52.7</v>
      </c>
      <c r="N70" s="47">
        <f>VLOOKUP(B70,Russia!$A:$B,2,)</f>
        <v>54.1</v>
      </c>
      <c r="O70" s="47">
        <f>VLOOKUP(B70,India!$A:$B,2,)</f>
        <v>55.5</v>
      </c>
      <c r="P70" s="47">
        <f>VLOOKUP(B70,Australia!$A:$B,2,)</f>
        <v>46.6</v>
      </c>
      <c r="Q70" s="47">
        <f>VLOOKUP(B70,Ireland!$A:$B,2,)</f>
        <v>56.9</v>
      </c>
    </row>
    <row r="71" spans="2:17" s="27" customFormat="1" x14ac:dyDescent="0.2">
      <c r="B71" s="46">
        <v>43862</v>
      </c>
      <c r="C71" s="47">
        <f>VLOOKUP(B71,Global!$A:$B,2,)</f>
        <v>47.1</v>
      </c>
      <c r="D71" s="47">
        <f>VLOOKUP(B71,US!$A:$B,2,)</f>
        <v>49.4</v>
      </c>
      <c r="E71" s="47">
        <f>VLOOKUP(B71,China!$A:$B,2,)</f>
        <v>26.5</v>
      </c>
      <c r="F71" s="47">
        <f>VLOOKUP(B71,EuroArea!A:B,2,)</f>
        <v>52.6</v>
      </c>
      <c r="G71" s="47">
        <f>VLOOKUP(B71,Japan!$A:$B,2,)</f>
        <v>46.8</v>
      </c>
      <c r="H71" s="47">
        <f>VLOOKUP(B71,Germany!$A:$B,2,)</f>
        <v>52.5</v>
      </c>
      <c r="I71" s="47">
        <f>VLOOKUP(B71,France!$A:$B,2,)</f>
        <v>52.5</v>
      </c>
      <c r="J71" s="47">
        <f>VLOOKUP(B71,UK!$A:$B,2,)</f>
        <v>53.2</v>
      </c>
      <c r="K71" s="47">
        <f>VLOOKUP(B71,Italy!$A:$B,2,)</f>
        <v>52.1</v>
      </c>
      <c r="L71" s="47">
        <f>VLOOKUP(B71,Spain!$A:$B,2,)</f>
        <v>52.1</v>
      </c>
      <c r="M71" s="47">
        <f>VLOOKUP(B71,Brazil!$A:$B,2,)</f>
        <v>50.4</v>
      </c>
      <c r="N71" s="47">
        <f>VLOOKUP(B71,Russia!$A:$B,2,)</f>
        <v>52</v>
      </c>
      <c r="O71" s="47">
        <f>VLOOKUP(B71,India!$A:$B,2,)</f>
        <v>57.5</v>
      </c>
      <c r="P71" s="47">
        <f>VLOOKUP(B71,Australia!$A:$B,2,)</f>
        <v>47</v>
      </c>
      <c r="Q71" s="47">
        <f>VLOOKUP(B71,Ireland!$A:$B,2,)</f>
        <v>59.9</v>
      </c>
    </row>
    <row r="72" spans="2:17" s="27" customFormat="1" x14ac:dyDescent="0.2">
      <c r="B72" s="46">
        <v>43891</v>
      </c>
      <c r="C72" s="47">
        <f>VLOOKUP(B72,Global!$A:$B,2,)</f>
        <v>36.799999999999997</v>
      </c>
      <c r="D72" s="47">
        <f>VLOOKUP(B72,US!$A:$B,2,)</f>
        <v>39.799999999999997</v>
      </c>
      <c r="E72" s="47">
        <f>VLOOKUP(B72,China!$A:$B,2,)</f>
        <v>43</v>
      </c>
      <c r="F72" s="47">
        <f>VLOOKUP(B72,EuroArea!A:B,2,)</f>
        <v>26.4</v>
      </c>
      <c r="G72" s="47">
        <f>VLOOKUP(B72,Japan!$A:$B,2,)</f>
        <v>33.799999999999997</v>
      </c>
      <c r="H72" s="47">
        <f>VLOOKUP(B72,Germany!$A:$B,2,)</f>
        <v>31.7</v>
      </c>
      <c r="I72" s="47">
        <f>VLOOKUP(B72,France!$A:$B,2,)</f>
        <v>27.4</v>
      </c>
      <c r="J72" s="47">
        <f>VLOOKUP(B72,UK!$A:$B,2,)</f>
        <v>34.5</v>
      </c>
      <c r="K72" s="47">
        <f>VLOOKUP(B72,Italy!$A:$B,2,)</f>
        <v>17.399999999999999</v>
      </c>
      <c r="L72" s="47">
        <f>VLOOKUP(B72,Spain!$A:$B,2,)</f>
        <v>23</v>
      </c>
      <c r="M72" s="47">
        <f>VLOOKUP(B72,Brazil!$A:$B,2,)</f>
        <v>34.5</v>
      </c>
      <c r="N72" s="47">
        <f>VLOOKUP(B72,Russia!$A:$B,2,)</f>
        <v>37.1</v>
      </c>
      <c r="O72" s="47">
        <f>VLOOKUP(B72,India!$A:$B,2,)</f>
        <v>49.3</v>
      </c>
      <c r="P72" s="47">
        <f>VLOOKUP(B72,Australia!$A:$B,2,)</f>
        <v>38.700000000000003</v>
      </c>
      <c r="Q72" s="47">
        <f>VLOOKUP(B72,Ireland!$A:$B,2,)</f>
        <v>32.5</v>
      </c>
    </row>
    <row r="73" spans="2:17" s="27" customFormat="1" x14ac:dyDescent="0.2">
      <c r="B73" s="46">
        <v>43922</v>
      </c>
      <c r="C73" s="47">
        <f>VLOOKUP(B73,Global!$A:$B,2,)</f>
        <v>24</v>
      </c>
      <c r="D73" s="47">
        <f>VLOOKUP(B73,US!$A:$B,2,)</f>
        <v>26.7</v>
      </c>
      <c r="E73" s="47">
        <f>VLOOKUP(B73,China!$A:$B,2,)</f>
        <v>44.4</v>
      </c>
      <c r="F73" s="47">
        <f>VLOOKUP(B73,EuroArea!A:B,2,)</f>
        <v>12</v>
      </c>
      <c r="G73" s="47">
        <f>VLOOKUP(B73,Japan!$A:$B,2,)</f>
        <v>22.8</v>
      </c>
      <c r="H73" s="47">
        <f>VLOOKUP(B73,Germany!$A:$B,2,)</f>
        <v>16.2</v>
      </c>
      <c r="I73" s="47">
        <f>VLOOKUP(B73,France!$A:$B,2,)</f>
        <v>10.199999999999999</v>
      </c>
      <c r="J73" s="47">
        <f>VLOOKUP(B73,UK!$A:$B,2,)</f>
        <v>13.4</v>
      </c>
      <c r="K73" s="47">
        <f>VLOOKUP(B73,Italy!$A:$B,2,)</f>
        <v>10.8</v>
      </c>
      <c r="L73" s="47">
        <f>VLOOKUP(B73,Spain!$A:$B,2,)</f>
        <v>7.1</v>
      </c>
      <c r="M73" s="47">
        <f>VLOOKUP(B73,Brazil!$A:$B,2,)</f>
        <v>27.4</v>
      </c>
      <c r="N73" s="47">
        <f>VLOOKUP(B73,Russia!$A:$B,2,)</f>
        <v>12.2</v>
      </c>
      <c r="O73" s="47">
        <f>VLOOKUP(B73,India!$A:$B,2,)</f>
        <v>49.3</v>
      </c>
      <c r="P73" s="47">
        <f>VLOOKUP(B73,Australia!$A:$B,2,)</f>
        <v>27.1</v>
      </c>
      <c r="Q73" s="47">
        <f>VLOOKUP(B73,Ireland!$A:$B,2,)</f>
        <v>13.9</v>
      </c>
    </row>
    <row r="74" spans="2:17" s="27" customFormat="1" x14ac:dyDescent="0.2">
      <c r="B74" s="46">
        <v>43952</v>
      </c>
      <c r="C74" s="47">
        <f>VLOOKUP(B74,Global!$A:$B,2,)</f>
        <v>35.1</v>
      </c>
      <c r="D74" s="47">
        <f>VLOOKUP(B74,US!$A:$B,2,)</f>
        <v>37.5</v>
      </c>
      <c r="E74" s="47">
        <f>VLOOKUP(B74,China!$A:$B,2,)</f>
        <v>55</v>
      </c>
      <c r="F74" s="47">
        <f>VLOOKUP(B74,EuroArea!A:B,2,)</f>
        <v>30.5</v>
      </c>
      <c r="G74" s="47">
        <f>VLOOKUP(B74,Japan!$A:$B,2,)</f>
        <v>26.5</v>
      </c>
      <c r="H74" s="47">
        <f>VLOOKUP(B74,Germany!$A:$B,2,)</f>
        <v>32.6</v>
      </c>
      <c r="I74" s="47">
        <f>VLOOKUP(B74,France!$A:$B,2,)</f>
        <v>31.1</v>
      </c>
      <c r="J74" s="47">
        <f>VLOOKUP(B74,UK!$A:$B,2,)</f>
        <v>29</v>
      </c>
      <c r="K74" s="47">
        <f>VLOOKUP(B74,Italy!$A:$B,2,)</f>
        <v>28.9</v>
      </c>
      <c r="L74" s="47">
        <f>VLOOKUP(B74,Spain!$A:$B,2,)</f>
        <v>27.9</v>
      </c>
      <c r="M74" s="47">
        <f>VLOOKUP(B74,Brazil!$A:$B,2,)</f>
        <v>27.6</v>
      </c>
      <c r="N74" s="47">
        <f>VLOOKUP(B74,Russia!$A:$B,2,)</f>
        <v>35.9</v>
      </c>
      <c r="O74" s="47">
        <f>VLOOKUP(B74,India!$A:$B,2,)</f>
        <v>12.6</v>
      </c>
      <c r="P74" s="47">
        <f>VLOOKUP(B74,Australia!$A:$B,2,)</f>
        <v>31.6</v>
      </c>
      <c r="Q74" s="47">
        <f>VLOOKUP(B74,Ireland!$A:$B,2,)</f>
        <v>23.4</v>
      </c>
    </row>
    <row r="75" spans="2:17" s="27" customFormat="1" x14ac:dyDescent="0.2">
      <c r="B75" s="46">
        <v>43983</v>
      </c>
      <c r="C75" s="47">
        <f>VLOOKUP(B75,Global!$A:$B,2,)</f>
        <v>48</v>
      </c>
      <c r="D75" s="47">
        <f>VLOOKUP(B75,US!$A:$B,2,)</f>
        <v>47.9</v>
      </c>
      <c r="E75" s="47">
        <f>VLOOKUP(B75,China!$A:$B,2,)</f>
        <v>58.4</v>
      </c>
      <c r="F75" s="47">
        <f>VLOOKUP(B75,EuroArea!A:B,2,)</f>
        <v>48.3</v>
      </c>
      <c r="G75" s="47">
        <f>VLOOKUP(B75,Japan!$A:$B,2,)</f>
        <v>45</v>
      </c>
      <c r="H75" s="47">
        <f>VLOOKUP(B75,Germany!$A:$B,2,)</f>
        <v>47.3</v>
      </c>
      <c r="I75" s="47">
        <f>VLOOKUP(B75,France!$A:$B,2,)</f>
        <v>50.7</v>
      </c>
      <c r="J75" s="47">
        <f>VLOOKUP(B75,UK!$A:$B,2,)</f>
        <v>47.1</v>
      </c>
      <c r="K75" s="47">
        <f>VLOOKUP(B75,Italy!$A:$B,2,)</f>
        <v>46.4</v>
      </c>
      <c r="L75" s="47">
        <f>VLOOKUP(B75,Spain!$A:$B,2,)</f>
        <v>50.2</v>
      </c>
      <c r="M75" s="47">
        <f>VLOOKUP(B75,Brazil!$A:$B,2,)</f>
        <v>35.9</v>
      </c>
      <c r="N75" s="47">
        <f>VLOOKUP(B75,Russia!$A:$B,2,)</f>
        <v>47.8</v>
      </c>
      <c r="O75" s="47">
        <f>VLOOKUP(B75,India!$A:$B,2,)</f>
        <v>33.700000000000003</v>
      </c>
      <c r="P75" s="47">
        <f>VLOOKUP(B75,Australia!$A:$B,2,)</f>
        <v>31.5</v>
      </c>
      <c r="Q75" s="47">
        <f>VLOOKUP(B75,Ireland!$A:$B,2,)</f>
        <v>39.700000000000003</v>
      </c>
    </row>
    <row r="76" spans="2:17" s="27" customFormat="1" x14ac:dyDescent="0.2">
      <c r="B76" s="46">
        <v>44013</v>
      </c>
      <c r="C76" s="47">
        <f>VLOOKUP(B76,Global!$A:$B,2,)</f>
        <v>50.6</v>
      </c>
      <c r="D76" s="47">
        <f>VLOOKUP(B76,US!$A:$B,2,)</f>
        <v>50</v>
      </c>
      <c r="E76" s="47">
        <f>VLOOKUP(B76,China!$A:$B,2,)</f>
        <v>54.1</v>
      </c>
      <c r="F76" s="47">
        <f>VLOOKUP(B76,EuroArea!A:B,2,)</f>
        <v>54.7</v>
      </c>
      <c r="G76" s="47">
        <f>VLOOKUP(B76,Japan!$A:$B,2,)</f>
        <v>45.4</v>
      </c>
      <c r="H76" s="47">
        <f>VLOOKUP(B76,Germany!$A:$B,2,)</f>
        <v>55.6</v>
      </c>
      <c r="I76" s="47">
        <f>VLOOKUP(B76,France!$A:$B,2,)</f>
        <v>57.3</v>
      </c>
      <c r="J76" s="47">
        <f>VLOOKUP(B76,UK!$A:$B,2,)</f>
        <v>56.5</v>
      </c>
      <c r="K76" s="47">
        <f>VLOOKUP(B76,Italy!$A:$B,2,)</f>
        <v>51.6</v>
      </c>
      <c r="L76" s="47">
        <f>VLOOKUP(B76,Spain!$A:$B,2,)</f>
        <v>51.9</v>
      </c>
      <c r="M76" s="47">
        <f>VLOOKUP(B76,Brazil!$A:$B,2,)</f>
        <v>42.5</v>
      </c>
      <c r="N76" s="47">
        <f>VLOOKUP(B76,Russia!$A:$B,2,)</f>
        <v>58.5</v>
      </c>
      <c r="O76" s="47">
        <f>VLOOKUP(B76,India!$A:$B,2,)</f>
        <v>34.200000000000003</v>
      </c>
      <c r="P76" s="47">
        <f>VLOOKUP(B76,Australia!$A:$B,2,)</f>
        <v>44</v>
      </c>
      <c r="Q76" s="47">
        <f>VLOOKUP(B76,Ireland!$A:$B,2,)</f>
        <v>51.9</v>
      </c>
    </row>
    <row r="77" spans="2:17" s="27" customFormat="1" x14ac:dyDescent="0.2">
      <c r="B77" s="46">
        <v>44044</v>
      </c>
      <c r="C77" s="47">
        <f>VLOOKUP(B77,Global!$A:$B,2,)</f>
        <v>52</v>
      </c>
      <c r="D77" s="47">
        <f>VLOOKUP(B77,US!$A:$B,2,)</f>
        <v>55</v>
      </c>
      <c r="E77" s="47">
        <f>VLOOKUP(B77,China!$A:$B,2,)</f>
        <v>54</v>
      </c>
      <c r="F77" s="47">
        <f>VLOOKUP(B77,EuroArea!A:B,2,)</f>
        <v>50.5</v>
      </c>
      <c r="G77" s="47">
        <f>VLOOKUP(B77,Japan!$A:$B,2,)</f>
        <v>45</v>
      </c>
      <c r="H77" s="47">
        <f>VLOOKUP(B77,Germany!$A:$B,2,)</f>
        <v>52.5</v>
      </c>
      <c r="I77" s="47">
        <f>VLOOKUP(B77,France!$A:$B,2,)</f>
        <v>51.5</v>
      </c>
      <c r="J77" s="47">
        <f>VLOOKUP(B77,UK!$A:$B,2,)</f>
        <v>58.8</v>
      </c>
      <c r="K77" s="47">
        <f>VLOOKUP(B77,Italy!$A:$B,2,)</f>
        <v>47.1</v>
      </c>
      <c r="L77" s="47">
        <f>VLOOKUP(B77,Spain!$A:$B,2,)</f>
        <v>47.7</v>
      </c>
      <c r="M77" s="47">
        <f>VLOOKUP(B77,Brazil!$A:$B,2,)</f>
        <v>49.5</v>
      </c>
      <c r="N77" s="47">
        <f>VLOOKUP(B77,Russia!$A:$B,2,)</f>
        <v>58.2</v>
      </c>
      <c r="O77" s="47">
        <f>VLOOKUP(B77,India!$A:$B,2,)</f>
        <v>41.8</v>
      </c>
      <c r="P77" s="47">
        <f>VLOOKUP(B77,Australia!$A:$B,2,)</f>
        <v>43.5</v>
      </c>
      <c r="Q77" s="47">
        <f>VLOOKUP(B77,Ireland!$A:$B,2,)</f>
        <v>52.4</v>
      </c>
    </row>
    <row r="78" spans="2:17" s="27" customFormat="1" x14ac:dyDescent="0.2">
      <c r="B78" s="46">
        <v>44075</v>
      </c>
      <c r="C78" s="47">
        <f>VLOOKUP(B78,Global!$A:$B,2,)</f>
        <v>52</v>
      </c>
      <c r="D78" s="47">
        <f>VLOOKUP(B78,US!$A:$B,2,)</f>
        <v>54.6</v>
      </c>
      <c r="E78" s="47">
        <f>VLOOKUP(B78,China!$A:$B,2,)</f>
        <v>54.8</v>
      </c>
      <c r="F78" s="47">
        <f>VLOOKUP(B78,EuroArea!A:B,2,)</f>
        <v>48</v>
      </c>
      <c r="G78" s="47">
        <f>VLOOKUP(B78,Japan!$A:$B,2,)</f>
        <v>46.9</v>
      </c>
      <c r="H78" s="47">
        <f>VLOOKUP(B78,Germany!$A:$B,2,)</f>
        <v>50.6</v>
      </c>
      <c r="I78" s="47">
        <f>VLOOKUP(B78,France!$A:$B,2,)</f>
        <v>47.5</v>
      </c>
      <c r="J78" s="47">
        <f>VLOOKUP(B78,UK!$A:$B,2,)</f>
        <v>56.1</v>
      </c>
      <c r="K78" s="47">
        <f>VLOOKUP(B78,Italy!$A:$B,2,)</f>
        <v>48.8</v>
      </c>
      <c r="L78" s="47">
        <f>VLOOKUP(B78,Spain!$A:$B,2,)</f>
        <v>42.4</v>
      </c>
      <c r="M78" s="47">
        <f>VLOOKUP(B78,Brazil!$A:$B,2,)</f>
        <v>50.4</v>
      </c>
      <c r="N78" s="47">
        <f>VLOOKUP(B78,Russia!$A:$B,2,)</f>
        <v>53.7</v>
      </c>
      <c r="O78" s="47">
        <f>VLOOKUP(B78,India!$A:$B,2,)</f>
        <v>49.8</v>
      </c>
      <c r="P78" s="47">
        <f>VLOOKUP(B78,Australia!$A:$B,2,)</f>
        <v>36.200000000000003</v>
      </c>
      <c r="Q78" s="47">
        <f>VLOOKUP(B78,Ireland!$A:$B,2,)</f>
        <v>45.8</v>
      </c>
    </row>
    <row r="79" spans="2:17" s="27" customFormat="1" x14ac:dyDescent="0.2">
      <c r="B79" s="46">
        <v>44105</v>
      </c>
      <c r="C79" s="47">
        <f>VLOOKUP(B79,Global!$A:$B,2,)</f>
        <v>52.9</v>
      </c>
      <c r="D79" s="47">
        <f>VLOOKUP(B79,US!$A:$B,2,)</f>
        <v>56.9</v>
      </c>
      <c r="E79" s="47">
        <f>VLOOKUP(B79,China!$A:$B,2,)</f>
        <v>56.8</v>
      </c>
      <c r="F79" s="47">
        <f>VLOOKUP(B79,EuroArea!A:B,2,)</f>
        <v>46.9</v>
      </c>
      <c r="G79" s="47">
        <f>VLOOKUP(B79,Japan!$A:$B,2,)</f>
        <v>47.7</v>
      </c>
      <c r="H79" s="47">
        <f>VLOOKUP(B79,Germany!$A:$B,2,)</f>
        <v>49.5</v>
      </c>
      <c r="I79" s="47">
        <f>VLOOKUP(B79,France!$A:$B,2,)</f>
        <v>46.5</v>
      </c>
      <c r="J79" s="47">
        <f>VLOOKUP(B79,UK!$A:$B,2,)</f>
        <v>51.4</v>
      </c>
      <c r="K79" s="47">
        <f>VLOOKUP(B79,Italy!$A:$B,2,)</f>
        <v>46.7</v>
      </c>
      <c r="L79" s="47">
        <f>VLOOKUP(B79,Spain!$A:$B,2,)</f>
        <v>41.4</v>
      </c>
      <c r="M79" s="47">
        <f>VLOOKUP(B79,Brazil!$A:$B,2,)</f>
        <v>52.3</v>
      </c>
      <c r="N79" s="47">
        <f>VLOOKUP(B79,Russia!$A:$B,2,)</f>
        <v>46.9</v>
      </c>
      <c r="O79" s="47">
        <f>VLOOKUP(B79,India!$A:$B,2,)</f>
        <v>54.1</v>
      </c>
      <c r="P79" s="47">
        <f>VLOOKUP(B79,Australia!$A:$B,2,)</f>
        <v>51.4</v>
      </c>
      <c r="Q79" s="47">
        <f>VLOOKUP(B79,Ireland!$A:$B,2,)</f>
        <v>48.3</v>
      </c>
    </row>
    <row r="80" spans="2:17" s="27" customFormat="1" x14ac:dyDescent="0.2">
      <c r="B80" s="46">
        <v>44136</v>
      </c>
      <c r="C80" s="47">
        <f>VLOOKUP(B80,Global!$A:$B,2,)</f>
        <v>52.2</v>
      </c>
      <c r="D80" s="47">
        <f>VLOOKUP(B80,US!$A:$B,2,)</f>
        <v>58.4</v>
      </c>
      <c r="E80" s="47">
        <f>VLOOKUP(B80,China!$A:$B,2,)</f>
        <v>57.8</v>
      </c>
      <c r="F80" s="47">
        <f>VLOOKUP(B80,EuroArea!A:B,2,)</f>
        <v>41.7</v>
      </c>
      <c r="G80" s="47">
        <f>VLOOKUP(B80,Japan!$A:$B,2,)</f>
        <v>47.8</v>
      </c>
      <c r="H80" s="47">
        <f>VLOOKUP(B80,Germany!$A:$B,2,)</f>
        <v>46</v>
      </c>
      <c r="I80" s="47">
        <f>VLOOKUP(B80,France!$A:$B,2,)</f>
        <v>38.799999999999997</v>
      </c>
      <c r="J80" s="47">
        <f>VLOOKUP(B80,UK!$A:$B,2,)</f>
        <v>47.6</v>
      </c>
      <c r="K80" s="47">
        <f>VLOOKUP(B80,Italy!$A:$B,2,)</f>
        <v>39.4</v>
      </c>
      <c r="L80" s="47">
        <f>VLOOKUP(B80,Spain!$A:$B,2,)</f>
        <v>39.5</v>
      </c>
      <c r="M80" s="47">
        <f>VLOOKUP(B80,Brazil!$A:$B,2,)</f>
        <v>50.9</v>
      </c>
      <c r="N80" s="47">
        <f>VLOOKUP(B80,Russia!$A:$B,2,)</f>
        <v>48.2</v>
      </c>
      <c r="O80" s="47">
        <f>VLOOKUP(B80,India!$A:$B,2,)</f>
        <v>53.7</v>
      </c>
      <c r="P80" s="47">
        <f>VLOOKUP(B80,Australia!$A:$B,2,)</f>
        <v>52.9</v>
      </c>
      <c r="Q80" s="47">
        <f>VLOOKUP(B80,Ireland!$A:$B,2,)</f>
        <v>45.4</v>
      </c>
    </row>
    <row r="81" spans="2:17" s="27" customFormat="1" x14ac:dyDescent="0.2">
      <c r="B81" s="46">
        <v>44166</v>
      </c>
      <c r="C81" s="47">
        <f>VLOOKUP(B81,Global!$A:$B,2,)</f>
        <v>51.8</v>
      </c>
      <c r="D81" s="47">
        <f>VLOOKUP(B81,US!$A:$B,2,)</f>
        <v>54.8</v>
      </c>
      <c r="E81" s="47">
        <f>VLOOKUP(B81,China!$A:$B,2,)</f>
        <v>56.3</v>
      </c>
      <c r="F81" s="47">
        <f>VLOOKUP(B81,EuroArea!A:B,2,)</f>
        <v>46.4</v>
      </c>
      <c r="G81" s="47">
        <f>VLOOKUP(B81,Japan!$A:$B,2,)</f>
        <v>47.2</v>
      </c>
      <c r="H81" s="47">
        <f>VLOOKUP(B81,Germany!$A:$B,2,)</f>
        <v>47</v>
      </c>
      <c r="I81" s="47">
        <f>VLOOKUP(B81,France!$A:$B,2,)</f>
        <v>49.1</v>
      </c>
      <c r="J81" s="47">
        <f>VLOOKUP(B81,UK!$A:$B,2,)</f>
        <v>49.4</v>
      </c>
      <c r="K81" s="47">
        <f>VLOOKUP(B81,Italy!$A:$B,2,)</f>
        <v>39.700000000000003</v>
      </c>
      <c r="L81" s="47">
        <f>VLOOKUP(B81,Spain!$A:$B,2,)</f>
        <v>48</v>
      </c>
      <c r="M81" s="47">
        <f>VLOOKUP(B81,Brazil!$A:$B,2,)</f>
        <v>51.1</v>
      </c>
      <c r="N81" s="47">
        <f>VLOOKUP(B81,Russia!$A:$B,2,)</f>
        <v>48</v>
      </c>
      <c r="O81" s="47">
        <f>VLOOKUP(B81,India!$A:$B,2,)</f>
        <v>52.3</v>
      </c>
      <c r="P81" s="47">
        <f>VLOOKUP(B81,Australia!$A:$B,2,)</f>
        <v>54.3</v>
      </c>
      <c r="Q81" s="47">
        <f>VLOOKUP(B81,Ireland!$A:$B,2,)</f>
        <v>50.1</v>
      </c>
    </row>
    <row r="82" spans="2:17" s="27" customFormat="1" x14ac:dyDescent="0.2">
      <c r="B82" s="46">
        <v>44197</v>
      </c>
      <c r="C82" s="47">
        <f>VLOOKUP(B82,Global!$A:$B,2,)</f>
        <v>51.6</v>
      </c>
      <c r="D82" s="47">
        <f>VLOOKUP(B82,US!$A:$B,2,)</f>
        <v>58.3</v>
      </c>
      <c r="E82" s="47">
        <f>VLOOKUP(B82,China!$A:$B,2,)</f>
        <v>52</v>
      </c>
      <c r="F82" s="47">
        <f>VLOOKUP(B82,EuroArea!A:B,2,)</f>
        <v>45.4</v>
      </c>
      <c r="G82" s="47">
        <f>VLOOKUP(B82,Japan!$A:$B,2,)</f>
        <v>46.1</v>
      </c>
      <c r="H82" s="47">
        <f>VLOOKUP(B82,Germany!$A:$B,2,)</f>
        <v>46.7</v>
      </c>
      <c r="I82" s="47">
        <f>VLOOKUP(B82,France!$A:$B,2,)</f>
        <v>47.3</v>
      </c>
      <c r="J82" s="47">
        <f>VLOOKUP(B82,UK!$A:$B,2,)</f>
        <v>39.5</v>
      </c>
      <c r="K82" s="47">
        <f>VLOOKUP(B82,Italy!$A:$B,2,)</f>
        <v>44.7</v>
      </c>
      <c r="L82" s="47">
        <f>VLOOKUP(B82,Spain!$A:$B,2,)</f>
        <v>41.7</v>
      </c>
      <c r="M82" s="47">
        <f>VLOOKUP(B82,Brazil!$A:$B,2,)</f>
        <v>47</v>
      </c>
      <c r="N82" s="47">
        <f>VLOOKUP(B82,Russia!$A:$B,2,)</f>
        <v>52.7</v>
      </c>
      <c r="O82" s="47">
        <f>VLOOKUP(B82,India!$A:$B,2,)</f>
        <v>52.8</v>
      </c>
      <c r="P82" s="47">
        <f>VLOOKUP(B82,Australia!$A:$B,2,)</f>
        <v>54.3</v>
      </c>
      <c r="Q82" s="47">
        <f>VLOOKUP(B82,Ireland!$A:$B,2,)</f>
        <v>36.200000000000003</v>
      </c>
    </row>
    <row r="83" spans="2:17" s="27" customFormat="1" x14ac:dyDescent="0.2">
      <c r="B83" s="46">
        <v>44228</v>
      </c>
      <c r="C83" s="47">
        <f>VLOOKUP(B83,Global!$A:$B,2,)</f>
        <v>52.8</v>
      </c>
      <c r="D83" s="47">
        <f>VLOOKUP(B83,US!$A:$B,2,)</f>
        <v>59.8</v>
      </c>
      <c r="E83" s="47">
        <f>VLOOKUP(B83,China!$A:$B,2,)</f>
        <v>51.5</v>
      </c>
      <c r="F83" s="47">
        <f>VLOOKUP(B83,EuroArea!A:B,2,)</f>
        <v>45.7</v>
      </c>
      <c r="G83" s="47">
        <f>VLOOKUP(B83,Japan!$A:$B,2,)</f>
        <v>46.3</v>
      </c>
      <c r="H83" s="47">
        <f>VLOOKUP(B83,Germany!$A:$B,2,)</f>
        <v>45.7</v>
      </c>
      <c r="I83" s="47">
        <f>VLOOKUP(B83,France!$A:$B,2,)</f>
        <v>45.6</v>
      </c>
      <c r="J83" s="47">
        <f>VLOOKUP(B83,UK!$A:$B,2,)</f>
        <v>49.5</v>
      </c>
      <c r="K83" s="47">
        <f>VLOOKUP(B83,Italy!$A:$B,2,)</f>
        <v>48.8</v>
      </c>
      <c r="L83" s="47">
        <f>VLOOKUP(B83,Spain!$A:$B,2,)</f>
        <v>43.1</v>
      </c>
      <c r="M83" s="47">
        <f>VLOOKUP(B83,Brazil!$A:$B,2,)</f>
        <v>47.1</v>
      </c>
      <c r="N83" s="47">
        <f>VLOOKUP(B83,Russia!$A:$B,2,)</f>
        <v>52.2</v>
      </c>
      <c r="O83" s="47">
        <f>VLOOKUP(B83,India!$A:$B,2,)</f>
        <v>55.3</v>
      </c>
      <c r="P83" s="47">
        <f>VLOOKUP(B83,Australia!$A:$B,2,)</f>
        <v>55.8</v>
      </c>
      <c r="Q83" s="47">
        <f>VLOOKUP(B83,Ireland!$A:$B,2,)</f>
        <v>41.2</v>
      </c>
    </row>
    <row r="84" spans="2:17" s="27" customFormat="1" x14ac:dyDescent="0.2">
      <c r="B84" s="46">
        <v>44256</v>
      </c>
      <c r="C84" s="47">
        <f>VLOOKUP(B84,Global!$A:$B,2,)</f>
        <v>54.7</v>
      </c>
      <c r="D84" s="47">
        <f>VLOOKUP(B84,US!$A:$B,2,)</f>
        <v>60.4</v>
      </c>
      <c r="E84" s="47">
        <f>VLOOKUP(B84,China!$A:$B,2,)</f>
        <v>54.3</v>
      </c>
      <c r="F84" s="47">
        <f>VLOOKUP(B84,EuroArea!A:B,2,)</f>
        <v>49.6</v>
      </c>
      <c r="G84" s="47">
        <f>VLOOKUP(B84,Japan!$A:$B,2,)</f>
        <v>48.3</v>
      </c>
      <c r="H84" s="47">
        <f>VLOOKUP(B84,Germany!$A:$B,2,)</f>
        <v>51.5</v>
      </c>
      <c r="I84" s="47">
        <f>VLOOKUP(B84,France!$A:$B,2,)</f>
        <v>48.2</v>
      </c>
      <c r="J84" s="47">
        <f>VLOOKUP(B84,UK!$A:$B,2,)</f>
        <v>56.3</v>
      </c>
      <c r="K84" s="47">
        <f>VLOOKUP(B84,Italy!$A:$B,2,)</f>
        <v>48.6</v>
      </c>
      <c r="L84" s="47">
        <f>VLOOKUP(B84,Spain!$A:$B,2,)</f>
        <v>48.1</v>
      </c>
      <c r="M84" s="47">
        <f>VLOOKUP(B84,Brazil!$A:$B,2,)</f>
        <v>44.1</v>
      </c>
      <c r="N84" s="47">
        <f>VLOOKUP(B84,Russia!$A:$B,2,)</f>
        <v>55.8</v>
      </c>
      <c r="O84" s="47">
        <f>VLOOKUP(B84,India!$A:$B,2,)</f>
        <v>54.6</v>
      </c>
      <c r="P84" s="47">
        <f>VLOOKUP(B84,Australia!$A:$B,2,)</f>
        <v>58.7</v>
      </c>
      <c r="Q84" s="47">
        <f>VLOOKUP(B84,Ireland!$A:$B,2,)</f>
        <v>54.6</v>
      </c>
    </row>
    <row r="85" spans="2:17" s="27" customFormat="1" x14ac:dyDescent="0.2">
      <c r="B85" s="46">
        <v>44287</v>
      </c>
      <c r="C85" s="47">
        <f>VLOOKUP(B85,Global!$A:$B,2,)</f>
        <v>57</v>
      </c>
      <c r="D85" s="47">
        <f>VLOOKUP(B85,US!$A:$B,2,)</f>
        <v>64.7</v>
      </c>
      <c r="E85" s="47">
        <f>VLOOKUP(B85,China!$A:$B,2,)</f>
        <v>56.3</v>
      </c>
      <c r="F85" s="47">
        <f>VLOOKUP(B85,EuroArea!A:B,2,)</f>
        <v>50.5</v>
      </c>
      <c r="G85" s="47">
        <f>VLOOKUP(B85,Japan!$A:$B,2,)</f>
        <v>49.5</v>
      </c>
      <c r="H85" s="47">
        <f>VLOOKUP(B85,Germany!$A:$B,2,)</f>
        <v>49.9</v>
      </c>
      <c r="I85" s="47">
        <f>VLOOKUP(B85,France!$A:$B,2,)</f>
        <v>50.3</v>
      </c>
      <c r="J85" s="47">
        <f>VLOOKUP(B85,UK!$A:$B,2,)</f>
        <v>60.1</v>
      </c>
      <c r="K85" s="47">
        <f>VLOOKUP(B85,Italy!$A:$B,2,)</f>
        <v>47.3</v>
      </c>
      <c r="L85" s="47">
        <f>VLOOKUP(B85,Spain!$A:$B,2,)</f>
        <v>54.6</v>
      </c>
      <c r="M85" s="47">
        <f>VLOOKUP(B85,Brazil!$A:$B,2,)</f>
        <v>42.9</v>
      </c>
      <c r="N85" s="47">
        <f>VLOOKUP(B85,Russia!$A:$B,2,)</f>
        <v>55.2</v>
      </c>
      <c r="O85" s="47">
        <f>VLOOKUP(B85,India!$A:$B,2,)</f>
        <v>54</v>
      </c>
      <c r="P85" s="47">
        <f>VLOOKUP(B85,Australia!$A:$B,2,)</f>
        <v>61</v>
      </c>
      <c r="Q85" s="47">
        <f>VLOOKUP(B85,Ireland!$A:$B,2,)</f>
        <v>57.7</v>
      </c>
    </row>
    <row r="86" spans="2:17" s="27" customFormat="1" x14ac:dyDescent="0.2">
      <c r="B86" s="46">
        <v>44317</v>
      </c>
      <c r="C86" s="47">
        <f>VLOOKUP(B86,Global!$A:$B,2,)</f>
        <v>59.5</v>
      </c>
      <c r="D86" s="47">
        <f>VLOOKUP(B86,US!$A:$B,2,)</f>
        <v>70.400000000000006</v>
      </c>
      <c r="E86" s="47">
        <f>VLOOKUP(B86,China!$A:$B,2,)</f>
        <v>55.1</v>
      </c>
      <c r="F86" s="47">
        <f>VLOOKUP(B86,EuroArea!A:B,2,)</f>
        <v>55.2</v>
      </c>
      <c r="G86" s="47">
        <f>VLOOKUP(B86,Japan!$A:$B,2,)</f>
        <v>46.5</v>
      </c>
      <c r="H86" s="47">
        <f>VLOOKUP(B86,Germany!$A:$B,2,)</f>
        <v>52.8</v>
      </c>
      <c r="I86" s="47">
        <f>VLOOKUP(B86,France!$A:$B,2,)</f>
        <v>56.6</v>
      </c>
      <c r="J86" s="47">
        <f>VLOOKUP(B86,UK!$A:$B,2,)</f>
        <v>62.9</v>
      </c>
      <c r="K86" s="47">
        <f>VLOOKUP(B86,Italy!$A:$B,2,)</f>
        <v>53.1</v>
      </c>
      <c r="L86" s="47">
        <f>VLOOKUP(B86,Spain!$A:$B,2,)</f>
        <v>59.4</v>
      </c>
      <c r="M86" s="47">
        <f>VLOOKUP(B86,Brazil!$A:$B,2,)</f>
        <v>48.3</v>
      </c>
      <c r="N86" s="47">
        <f>VLOOKUP(B86,Russia!$A:$B,2,)</f>
        <v>57.5</v>
      </c>
      <c r="O86" s="47">
        <f>VLOOKUP(B86,India!$A:$B,2,)</f>
        <v>46.4</v>
      </c>
      <c r="P86" s="47">
        <f>VLOOKUP(B86,Australia!$A:$B,2,)</f>
        <v>61.2</v>
      </c>
      <c r="Q86" s="47">
        <f>VLOOKUP(B86,Ireland!$A:$B,2,)</f>
        <v>62.1</v>
      </c>
    </row>
    <row r="87" spans="2:17" s="27" customFormat="1" x14ac:dyDescent="0.2">
      <c r="B87" s="46">
        <v>44348</v>
      </c>
      <c r="C87" s="47">
        <f>VLOOKUP(B87,Global!$A:$B,2,)</f>
        <v>57.4</v>
      </c>
      <c r="D87" s="47">
        <f>VLOOKUP(B87,US!$A:$B,2,)</f>
        <v>64.599999999999994</v>
      </c>
      <c r="E87" s="47">
        <f>VLOOKUP(B87,China!$A:$B,2,)</f>
        <v>50.3</v>
      </c>
      <c r="F87" s="47">
        <f>VLOOKUP(B87,EuroArea!A:B,2,)</f>
        <v>58.3</v>
      </c>
      <c r="G87" s="47">
        <f>VLOOKUP(B87,Japan!$A:$B,2,)</f>
        <v>48</v>
      </c>
      <c r="H87" s="47">
        <f>VLOOKUP(B87,Germany!$A:$B,2,)</f>
        <v>57.5</v>
      </c>
      <c r="I87" s="47">
        <f>VLOOKUP(B87,France!$A:$B,2,)</f>
        <v>57.8</v>
      </c>
      <c r="J87" s="47">
        <f>VLOOKUP(B87,UK!$A:$B,2,)</f>
        <v>62.4</v>
      </c>
      <c r="K87" s="47">
        <f>VLOOKUP(B87,Italy!$A:$B,2,)</f>
        <v>56.8</v>
      </c>
      <c r="L87" s="47">
        <f>VLOOKUP(B87,Spain!$A:$B,2,)</f>
        <v>62.5</v>
      </c>
      <c r="M87" s="47">
        <f>VLOOKUP(B87,Brazil!$A:$B,2,)</f>
        <v>53.9</v>
      </c>
      <c r="N87" s="47">
        <f>VLOOKUP(B87,Russia!$A:$B,2,)</f>
        <v>56.5</v>
      </c>
      <c r="O87" s="47">
        <f>VLOOKUP(B87,India!$A:$B,2,)</f>
        <v>41.2</v>
      </c>
      <c r="P87" s="47">
        <f>VLOOKUP(B87,Australia!$A:$B,2,)</f>
        <v>57.8</v>
      </c>
      <c r="Q87" s="47">
        <f>VLOOKUP(B87,Ireland!$A:$B,2,)</f>
        <v>63.1</v>
      </c>
    </row>
    <row r="88" spans="2:17" s="27" customFormat="1" x14ac:dyDescent="0.2">
      <c r="B88" s="46">
        <v>44378</v>
      </c>
      <c r="C88" s="47">
        <f>VLOOKUP(B88,Global!$A:$B,2,)</f>
        <v>56.3</v>
      </c>
      <c r="D88" s="47">
        <f>VLOOKUP(B88,US!$A:$B,2,)</f>
        <v>59.9</v>
      </c>
      <c r="E88" s="47">
        <f>VLOOKUP(B88,China!$A:$B,2,)</f>
        <v>54.9</v>
      </c>
      <c r="F88" s="47">
        <f>VLOOKUP(B88,EuroArea!A:B,2,)</f>
        <v>59.8</v>
      </c>
      <c r="G88" s="47">
        <f>VLOOKUP(B88,Japan!$A:$B,2,)</f>
        <v>47.4</v>
      </c>
      <c r="H88" s="47">
        <f>VLOOKUP(B88,Germany!$A:$B,2,)</f>
        <v>61.8</v>
      </c>
      <c r="I88" s="47">
        <f>VLOOKUP(B88,France!$A:$B,2,)</f>
        <v>56.8</v>
      </c>
      <c r="J88" s="47">
        <f>VLOOKUP(B88,UK!$A:$B,2,)</f>
        <v>59.6</v>
      </c>
      <c r="K88" s="47">
        <f>VLOOKUP(B88,Italy!$A:$B,2,)</f>
        <v>58</v>
      </c>
      <c r="L88" s="47">
        <f>VLOOKUP(B88,Spain!$A:$B,2,)</f>
        <v>61.9</v>
      </c>
      <c r="M88" s="47">
        <f>VLOOKUP(B88,Brazil!$A:$B,2,)</f>
        <v>54.4</v>
      </c>
      <c r="N88" s="47">
        <f>VLOOKUP(B88,Russia!$A:$B,2,)</f>
        <v>53.5</v>
      </c>
      <c r="O88" s="47">
        <f>VLOOKUP(B88,India!$A:$B,2,)</f>
        <v>45.4</v>
      </c>
      <c r="P88" s="47">
        <f>VLOOKUP(B88,Australia!$A:$B,2,)</f>
        <v>51.7</v>
      </c>
      <c r="Q88" s="47">
        <f>VLOOKUP(B88,Ireland!$A:$B,2,)</f>
        <v>66.599999999999994</v>
      </c>
    </row>
    <row r="89" spans="2:17" s="27" customFormat="1" x14ac:dyDescent="0.2">
      <c r="B89" s="46">
        <v>44409</v>
      </c>
      <c r="C89" s="47">
        <f>VLOOKUP(B89,Global!$A:$B,2,)</f>
        <v>52.8</v>
      </c>
      <c r="D89" s="47">
        <f>VLOOKUP(B89,US!$A:$B,2,)</f>
        <v>55.1</v>
      </c>
      <c r="E89" s="47">
        <f>VLOOKUP(B89,China!$A:$B,2,)</f>
        <v>46.7</v>
      </c>
      <c r="F89" s="47">
        <f>VLOOKUP(B89,EuroArea!A:B,2,)</f>
        <v>59</v>
      </c>
      <c r="G89" s="47">
        <f>VLOOKUP(B89,Japan!$A:$B,2,)</f>
        <v>42.9</v>
      </c>
      <c r="H89" s="47">
        <f>VLOOKUP(B89,Germany!$A:$B,2,)</f>
        <v>60.8</v>
      </c>
      <c r="I89" s="47">
        <f>VLOOKUP(B89,France!$A:$B,2,)</f>
        <v>56.3</v>
      </c>
      <c r="J89" s="47">
        <f>VLOOKUP(B89,UK!$A:$B,2,)</f>
        <v>55</v>
      </c>
      <c r="K89" s="47">
        <f>VLOOKUP(B89,Italy!$A:$B,2,)</f>
        <v>58</v>
      </c>
      <c r="L89" s="47">
        <f>VLOOKUP(B89,Spain!$A:$B,2,)</f>
        <v>60.1</v>
      </c>
      <c r="M89" s="47">
        <f>VLOOKUP(B89,Brazil!$A:$B,2,)</f>
        <v>55.1</v>
      </c>
      <c r="N89" s="47">
        <f>VLOOKUP(B89,Russia!$A:$B,2,)</f>
        <v>49.3</v>
      </c>
      <c r="O89" s="47">
        <f>VLOOKUP(B89,India!$A:$B,2,)</f>
        <v>56.7</v>
      </c>
      <c r="P89" s="47">
        <f>VLOOKUP(B89,Australia!$A:$B,2,)</f>
        <v>45.6</v>
      </c>
      <c r="Q89" s="47">
        <f>VLOOKUP(B89,Ireland!$A:$B,2,)</f>
        <v>63.7</v>
      </c>
    </row>
    <row r="90" spans="2:17" s="27" customFormat="1" x14ac:dyDescent="0.2">
      <c r="B90" s="46">
        <v>44440</v>
      </c>
      <c r="C90" s="47">
        <f>VLOOKUP(B90,Global!$A:$B,2,)</f>
        <v>53.8</v>
      </c>
      <c r="D90" s="47">
        <f>VLOOKUP(B90,US!$A:$B,2,)</f>
        <v>54.9</v>
      </c>
      <c r="E90" s="47">
        <f>VLOOKUP(B90,China!$A:$B,2,)</f>
        <v>53.4</v>
      </c>
      <c r="F90" s="47">
        <f>VLOOKUP(B90,EuroArea!A:B,2,)</f>
        <v>56.4</v>
      </c>
      <c r="G90" s="47">
        <f>VLOOKUP(B90,Japan!$A:$B,2,)</f>
        <v>47.8</v>
      </c>
      <c r="H90" s="47">
        <f>VLOOKUP(B90,Germany!$A:$B,2,)</f>
        <v>56.2</v>
      </c>
      <c r="I90" s="47">
        <f>VLOOKUP(B90,France!$A:$B,2,)</f>
        <v>56.2</v>
      </c>
      <c r="J90" s="47">
        <f>VLOOKUP(B90,UK!$A:$B,2,)</f>
        <v>55.4</v>
      </c>
      <c r="K90" s="47">
        <f>VLOOKUP(B90,Italy!$A:$B,2,)</f>
        <v>55.5</v>
      </c>
      <c r="L90" s="47">
        <f>VLOOKUP(B90,Spain!$A:$B,2,)</f>
        <v>56.9</v>
      </c>
      <c r="M90" s="47">
        <f>VLOOKUP(B90,Brazil!$A:$B,2,)</f>
        <v>54.6</v>
      </c>
      <c r="N90" s="47">
        <f>VLOOKUP(B90,Russia!$A:$B,2,)</f>
        <v>50.5</v>
      </c>
      <c r="O90" s="47">
        <f>VLOOKUP(B90,India!$A:$B,2,)</f>
        <v>55.2</v>
      </c>
      <c r="P90" s="47">
        <f>VLOOKUP(B90,Australia!$A:$B,2,)</f>
        <v>45.7</v>
      </c>
      <c r="Q90" s="47">
        <f>VLOOKUP(B90,Ireland!$A:$B,2,)</f>
        <v>63.7</v>
      </c>
    </row>
    <row r="91" spans="2:17" s="27" customFormat="1" x14ac:dyDescent="0.2">
      <c r="B91" s="46">
        <v>44470</v>
      </c>
      <c r="C91" s="47">
        <f>VLOOKUP(B91,Global!$A:$B,2,)</f>
        <v>55.6</v>
      </c>
      <c r="D91" s="47">
        <f>VLOOKUP(B91,US!$A:$B,2,)</f>
        <v>58.7</v>
      </c>
      <c r="E91" s="47">
        <f>VLOOKUP(B91,China!$A:$B,2,)</f>
        <v>53.8</v>
      </c>
      <c r="F91" s="47">
        <f>VLOOKUP(B91,EuroArea!A:B,2,)</f>
        <v>54.6</v>
      </c>
      <c r="G91" s="47">
        <f>VLOOKUP(B91,Japan!$A:$B,2,)</f>
        <v>50.7</v>
      </c>
      <c r="H91" s="47">
        <f>VLOOKUP(B91,Germany!$A:$B,2,)</f>
        <v>52.4</v>
      </c>
      <c r="I91" s="47">
        <f>VLOOKUP(B91,France!$A:$B,2,)</f>
        <v>56.6</v>
      </c>
      <c r="J91" s="47">
        <f>VLOOKUP(B91,UK!$A:$B,2,)</f>
        <v>59.1</v>
      </c>
      <c r="K91" s="47">
        <f>VLOOKUP(B91,Italy!$A:$B,2,)</f>
        <v>52.4</v>
      </c>
      <c r="L91" s="47">
        <f>VLOOKUP(B91,Spain!$A:$B,2,)</f>
        <v>56.6</v>
      </c>
      <c r="M91" s="47">
        <f>VLOOKUP(B91,Brazil!$A:$B,2,)</f>
        <v>54.9</v>
      </c>
      <c r="N91" s="47">
        <f>VLOOKUP(B91,Russia!$A:$B,2,)</f>
        <v>58.8</v>
      </c>
      <c r="O91" s="47">
        <f>VLOOKUP(B91,India!$A:$B,2,)</f>
        <v>58.4</v>
      </c>
      <c r="P91" s="47">
        <f>VLOOKUP(B91,Australia!$A:$B,2,)</f>
        <v>47.6</v>
      </c>
      <c r="Q91" s="47">
        <f>VLOOKUP(B91,Ireland!$A:$B,2,)</f>
        <v>63.4</v>
      </c>
    </row>
    <row r="92" spans="2:17" s="27" customFormat="1" x14ac:dyDescent="0.2">
      <c r="B92" s="46">
        <v>44501</v>
      </c>
      <c r="C92" s="47">
        <f>VLOOKUP(B92,Global!$A:$B,2,)</f>
        <v>55.6</v>
      </c>
      <c r="D92" s="47">
        <f>VLOOKUP(B92,US!$A:$B,2,)</f>
        <v>58</v>
      </c>
      <c r="E92" s="47">
        <f>VLOOKUP(B92,China!$A:$B,2,)</f>
        <v>52.1</v>
      </c>
      <c r="F92" s="47">
        <f>VLOOKUP(B92,EuroArea!A:B,2,)</f>
        <v>55.9</v>
      </c>
      <c r="G92" s="47">
        <f>VLOOKUP(B92,Japan!$A:$B,2,)</f>
        <v>53</v>
      </c>
      <c r="H92" s="47">
        <f>VLOOKUP(B92,Germany!$A:$B,2,)</f>
        <v>52.7</v>
      </c>
      <c r="I92" s="47">
        <f>VLOOKUP(B92,France!$A:$B,2,)</f>
        <v>57.4</v>
      </c>
      <c r="J92" s="47">
        <f>VLOOKUP(B92,UK!$A:$B,2,)</f>
        <v>58.5</v>
      </c>
      <c r="K92" s="47">
        <f>VLOOKUP(B92,Italy!$A:$B,2,)</f>
        <v>55.9</v>
      </c>
      <c r="L92" s="47">
        <f>VLOOKUP(B92,Spain!$A:$B,2,)</f>
        <v>59.8</v>
      </c>
      <c r="M92" s="47">
        <f>VLOOKUP(B92,Brazil!$A:$B,2,)</f>
        <v>53.6</v>
      </c>
      <c r="N92" s="47">
        <f>VLOOKUP(B92,Russia!$A:$B,2,)</f>
        <v>47.1</v>
      </c>
      <c r="O92" s="47">
        <f>VLOOKUP(B92,India!$A:$B,2,)</f>
        <v>58.1</v>
      </c>
      <c r="P92" s="47">
        <f>VLOOKUP(B92,Australia!$A:$B,2,)</f>
        <v>47.6</v>
      </c>
      <c r="Q92" s="47">
        <f>VLOOKUP(B92,Ireland!$A:$B,2,)</f>
        <v>59.3</v>
      </c>
    </row>
    <row r="93" spans="2:17" s="27" customFormat="1" x14ac:dyDescent="0.2">
      <c r="B93" s="46">
        <v>44531</v>
      </c>
      <c r="C93" s="47">
        <f>VLOOKUP(B93,Global!$A:$B,2,)</f>
        <v>54.6</v>
      </c>
      <c r="D93" s="47">
        <f>VLOOKUP(B93,US!$A:$B,2,)</f>
        <v>57.6</v>
      </c>
      <c r="E93" s="47">
        <f>VLOOKUP(B93,China!$A:$B,2,)</f>
        <v>53.1</v>
      </c>
      <c r="F93" s="47">
        <f>VLOOKUP(B93,EuroArea!A:B,2,)</f>
        <v>53.1</v>
      </c>
      <c r="G93" s="47">
        <f>VLOOKUP(B93,Japan!$A:$B,2,)</f>
        <v>52.1</v>
      </c>
      <c r="H93" s="47">
        <f>VLOOKUP(B93,Germany!$A:$B,2,)</f>
        <v>48.7</v>
      </c>
      <c r="I93" s="47">
        <f>VLOOKUP(B93,France!$A:$B,2,)</f>
        <v>57</v>
      </c>
      <c r="J93" s="47">
        <f>VLOOKUP(B93,UK!$A:$B,2,)</f>
        <v>53.6</v>
      </c>
      <c r="K93" s="47">
        <f>VLOOKUP(B93,Italy!$A:$B,2,)</f>
        <v>53</v>
      </c>
      <c r="L93" s="47">
        <f>VLOOKUP(B93,Spain!$A:$B,2,)</f>
        <v>55.8</v>
      </c>
      <c r="M93" s="47">
        <f>VLOOKUP(B93,Brazil!$A:$B,2,)</f>
        <v>53.6</v>
      </c>
      <c r="N93" s="47">
        <f>VLOOKUP(B93,Russia!$A:$B,2,)</f>
        <v>49.5</v>
      </c>
      <c r="O93" s="47">
        <f>VLOOKUP(B93,India!$A:$B,2,)</f>
        <v>55.5</v>
      </c>
      <c r="P93" s="47">
        <f>VLOOKUP(B93,Australia!$A:$B,2,)</f>
        <v>49.6</v>
      </c>
      <c r="Q93" s="47">
        <f>VLOOKUP(B93,Ireland!$A:$B,2,)</f>
        <v>55.4</v>
      </c>
    </row>
    <row r="94" spans="2:17" s="27" customFormat="1" x14ac:dyDescent="0.2"/>
    <row r="95" spans="2:17" s="27" customFormat="1" x14ac:dyDescent="0.2"/>
    <row r="96" spans="2:17" s="27" customFormat="1" x14ac:dyDescent="0.2"/>
    <row r="97" s="27" customFormat="1" x14ac:dyDescent="0.2"/>
    <row r="98" s="27" customFormat="1" x14ac:dyDescent="0.2"/>
    <row r="99" s="27" customFormat="1" x14ac:dyDescent="0.2"/>
    <row r="100" s="27" customFormat="1" x14ac:dyDescent="0.2"/>
    <row r="101" s="27" customFormat="1" x14ac:dyDescent="0.2"/>
    <row r="102" s="27" customFormat="1" x14ac:dyDescent="0.2"/>
    <row r="103" s="27" customFormat="1" x14ac:dyDescent="0.2"/>
    <row r="104" s="27" customFormat="1" x14ac:dyDescent="0.2"/>
    <row r="105" s="27" customFormat="1" x14ac:dyDescent="0.2"/>
    <row r="106" s="27" customFormat="1" x14ac:dyDescent="0.2"/>
    <row r="107" s="27" customFormat="1" x14ac:dyDescent="0.2"/>
    <row r="108" s="27" customFormat="1" x14ac:dyDescent="0.2"/>
    <row r="109" s="27" customFormat="1" x14ac:dyDescent="0.2"/>
    <row r="110" s="27" customFormat="1" x14ac:dyDescent="0.2"/>
    <row r="111" s="27" customFormat="1" x14ac:dyDescent="0.2"/>
    <row r="112" s="27" customFormat="1" x14ac:dyDescent="0.2"/>
    <row r="113" s="27" customFormat="1" x14ac:dyDescent="0.2"/>
    <row r="114" s="27" customFormat="1" x14ac:dyDescent="0.2"/>
    <row r="115" s="27" customFormat="1" x14ac:dyDescent="0.2"/>
    <row r="116" s="27" customFormat="1" x14ac:dyDescent="0.2"/>
    <row r="117" s="27" customFormat="1" x14ac:dyDescent="0.2"/>
    <row r="118" s="27" customFormat="1" x14ac:dyDescent="0.2"/>
    <row r="119" s="27" customFormat="1" x14ac:dyDescent="0.2"/>
    <row r="120" s="27" customFormat="1" x14ac:dyDescent="0.2"/>
    <row r="121" s="27" customFormat="1" x14ac:dyDescent="0.2"/>
    <row r="122" s="27" customFormat="1" x14ac:dyDescent="0.2"/>
    <row r="123" s="27" customFormat="1" x14ac:dyDescent="0.2"/>
    <row r="124" s="27" customFormat="1" x14ac:dyDescent="0.2"/>
    <row r="125" s="27" customFormat="1" x14ac:dyDescent="0.2"/>
    <row r="126" s="27" customFormat="1" x14ac:dyDescent="0.2"/>
    <row r="127" s="27" customFormat="1" x14ac:dyDescent="0.2"/>
    <row r="128" s="27" customFormat="1" x14ac:dyDescent="0.2"/>
    <row r="129" s="27" customFormat="1" x14ac:dyDescent="0.2"/>
    <row r="130" s="27" customFormat="1" x14ac:dyDescent="0.2"/>
    <row r="131" s="27" customFormat="1" x14ac:dyDescent="0.2"/>
    <row r="132" s="27" customFormat="1" x14ac:dyDescent="0.2"/>
    <row r="133" s="27" customFormat="1" x14ac:dyDescent="0.2"/>
    <row r="134" s="27" customFormat="1" x14ac:dyDescent="0.2"/>
    <row r="135" s="27" customFormat="1" x14ac:dyDescent="0.2"/>
    <row r="136" s="27" customFormat="1" x14ac:dyDescent="0.2"/>
    <row r="137" s="27" customFormat="1" x14ac:dyDescent="0.2"/>
    <row r="138" s="27" customFormat="1" x14ac:dyDescent="0.2"/>
    <row r="139" s="27" customFormat="1" x14ac:dyDescent="0.2"/>
    <row r="140" s="27" customFormat="1" x14ac:dyDescent="0.2"/>
    <row r="141" s="27" customFormat="1" x14ac:dyDescent="0.2"/>
    <row r="142" s="27" customFormat="1" x14ac:dyDescent="0.2"/>
    <row r="143" s="27" customFormat="1" x14ac:dyDescent="0.2"/>
    <row r="144" s="27" customFormat="1" x14ac:dyDescent="0.2"/>
    <row r="145" s="27" customFormat="1" x14ac:dyDescent="0.2"/>
    <row r="146" s="27" customFormat="1" x14ac:dyDescent="0.2"/>
    <row r="147" s="27" customFormat="1" x14ac:dyDescent="0.2"/>
    <row r="148" s="27" customFormat="1" x14ac:dyDescent="0.2"/>
    <row r="149" s="27" customFormat="1" x14ac:dyDescent="0.2"/>
    <row r="150" s="27" customFormat="1" x14ac:dyDescent="0.2"/>
    <row r="151" s="27" customFormat="1" x14ac:dyDescent="0.2"/>
    <row r="152" s="27" customFormat="1" x14ac:dyDescent="0.2"/>
    <row r="153" s="27" customFormat="1" x14ac:dyDescent="0.2"/>
    <row r="154" s="27" customFormat="1" x14ac:dyDescent="0.2"/>
    <row r="155" s="27" customFormat="1" x14ac:dyDescent="0.2"/>
    <row r="156" s="27" customFormat="1" x14ac:dyDescent="0.2"/>
    <row r="157" s="27" customFormat="1" x14ac:dyDescent="0.2"/>
    <row r="158" s="27" customFormat="1" x14ac:dyDescent="0.2"/>
    <row r="159" s="27" customFormat="1" x14ac:dyDescent="0.2"/>
    <row r="160" s="27" customFormat="1" x14ac:dyDescent="0.2"/>
    <row r="161" s="27" customFormat="1" x14ac:dyDescent="0.2"/>
    <row r="162" s="27" customFormat="1" x14ac:dyDescent="0.2"/>
    <row r="163" s="27" customFormat="1" x14ac:dyDescent="0.2"/>
    <row r="164" s="27" customFormat="1" x14ac:dyDescent="0.2"/>
    <row r="165" s="27" customFormat="1" x14ac:dyDescent="0.2"/>
    <row r="166" s="27" customFormat="1" x14ac:dyDescent="0.2"/>
    <row r="167" s="27" customFormat="1" x14ac:dyDescent="0.2"/>
    <row r="168" s="27" customFormat="1" x14ac:dyDescent="0.2"/>
    <row r="169" s="27" customFormat="1" x14ac:dyDescent="0.2"/>
    <row r="170" s="27" customFormat="1" x14ac:dyDescent="0.2"/>
    <row r="171" s="27" customFormat="1" x14ac:dyDescent="0.2"/>
    <row r="172" s="27" customFormat="1" x14ac:dyDescent="0.2"/>
    <row r="173" s="27" customFormat="1" x14ac:dyDescent="0.2"/>
    <row r="174" s="27" customFormat="1" x14ac:dyDescent="0.2"/>
    <row r="175" s="27" customFormat="1" x14ac:dyDescent="0.2"/>
    <row r="176" s="27" customFormat="1" x14ac:dyDescent="0.2"/>
    <row r="177" s="27" customFormat="1" x14ac:dyDescent="0.2"/>
    <row r="178" s="27" customFormat="1" x14ac:dyDescent="0.2"/>
    <row r="179" s="27" customFormat="1" x14ac:dyDescent="0.2"/>
    <row r="180" s="27" customFormat="1" x14ac:dyDescent="0.2"/>
    <row r="181" s="27" customFormat="1" x14ac:dyDescent="0.2"/>
    <row r="182" s="27" customFormat="1" x14ac:dyDescent="0.2"/>
    <row r="183" s="27" customFormat="1" x14ac:dyDescent="0.2"/>
    <row r="184" s="27" customFormat="1" x14ac:dyDescent="0.2"/>
    <row r="185" s="27" customFormat="1" x14ac:dyDescent="0.2"/>
    <row r="186" s="27" customFormat="1" x14ac:dyDescent="0.2"/>
    <row r="187" s="27" customFormat="1" x14ac:dyDescent="0.2"/>
    <row r="188" s="27" customFormat="1" x14ac:dyDescent="0.2"/>
    <row r="189" s="27" customFormat="1" x14ac:dyDescent="0.2"/>
    <row r="190" s="27" customFormat="1" x14ac:dyDescent="0.2"/>
    <row r="191" s="27" customFormat="1" x14ac:dyDescent="0.2"/>
    <row r="192" s="27" customFormat="1" x14ac:dyDescent="0.2"/>
    <row r="193" s="27" customFormat="1" x14ac:dyDescent="0.2"/>
    <row r="194" s="27" customFormat="1" x14ac:dyDescent="0.2"/>
    <row r="195" s="27" customFormat="1" x14ac:dyDescent="0.2"/>
    <row r="196" s="27" customFormat="1" x14ac:dyDescent="0.2"/>
    <row r="197" s="27" customFormat="1" x14ac:dyDescent="0.2"/>
    <row r="198" s="27" customFormat="1" x14ac:dyDescent="0.2"/>
    <row r="199" s="27" customFormat="1" x14ac:dyDescent="0.2"/>
    <row r="200" s="27" customFormat="1" x14ac:dyDescent="0.2"/>
    <row r="201" s="27" customFormat="1" x14ac:dyDescent="0.2"/>
    <row r="202" s="27" customFormat="1" x14ac:dyDescent="0.2"/>
    <row r="203" s="27" customFormat="1" x14ac:dyDescent="0.2"/>
    <row r="204" s="27" customFormat="1" x14ac:dyDescent="0.2"/>
    <row r="205" s="27" customFormat="1" x14ac:dyDescent="0.2"/>
    <row r="206" s="27" customFormat="1" x14ac:dyDescent="0.2"/>
    <row r="207" s="27" customFormat="1" x14ac:dyDescent="0.2"/>
    <row r="208" s="27" customFormat="1" x14ac:dyDescent="0.2"/>
    <row r="209" s="27" customFormat="1" x14ac:dyDescent="0.2"/>
    <row r="210" s="27" customFormat="1" x14ac:dyDescent="0.2"/>
    <row r="211" s="27" customFormat="1" x14ac:dyDescent="0.2"/>
    <row r="212" s="27" customFormat="1" x14ac:dyDescent="0.2"/>
    <row r="213" s="27" customFormat="1" x14ac:dyDescent="0.2"/>
    <row r="214" s="27" customFormat="1" x14ac:dyDescent="0.2"/>
    <row r="215" s="27" customFormat="1" x14ac:dyDescent="0.2"/>
    <row r="216" s="27" customFormat="1" x14ac:dyDescent="0.2"/>
    <row r="217" s="27" customFormat="1" x14ac:dyDescent="0.2"/>
    <row r="218" s="27" customFormat="1" x14ac:dyDescent="0.2"/>
    <row r="219" s="27" customFormat="1" x14ac:dyDescent="0.2"/>
    <row r="220" s="27" customFormat="1" x14ac:dyDescent="0.2"/>
    <row r="221" s="27" customFormat="1" x14ac:dyDescent="0.2"/>
    <row r="222" s="27" customFormat="1" x14ac:dyDescent="0.2"/>
    <row r="223" s="27" customFormat="1" x14ac:dyDescent="0.2"/>
    <row r="224" s="27" customFormat="1" x14ac:dyDescent="0.2"/>
    <row r="225" s="27" customFormat="1" x14ac:dyDescent="0.2"/>
    <row r="226" s="27" customFormat="1" x14ac:dyDescent="0.2"/>
    <row r="227" s="27" customFormat="1" x14ac:dyDescent="0.2"/>
    <row r="228" s="27" customFormat="1" x14ac:dyDescent="0.2"/>
    <row r="229" s="27" customFormat="1" x14ac:dyDescent="0.2"/>
    <row r="230" s="27" customFormat="1" x14ac:dyDescent="0.2"/>
    <row r="231" s="27" customFormat="1" x14ac:dyDescent="0.2"/>
    <row r="232" s="27" customFormat="1" x14ac:dyDescent="0.2"/>
    <row r="233" s="27" customFormat="1" x14ac:dyDescent="0.2"/>
    <row r="234" s="27" customFormat="1" x14ac:dyDescent="0.2"/>
    <row r="235" s="27" customFormat="1" x14ac:dyDescent="0.2"/>
    <row r="236" s="27" customFormat="1" x14ac:dyDescent="0.2"/>
    <row r="237" s="27" customFormat="1" x14ac:dyDescent="0.2"/>
    <row r="238" s="27" customFormat="1" x14ac:dyDescent="0.2"/>
    <row r="239" s="27" customFormat="1" x14ac:dyDescent="0.2"/>
    <row r="240" s="27" customFormat="1" x14ac:dyDescent="0.2"/>
    <row r="241" s="27" customFormat="1" x14ac:dyDescent="0.2"/>
    <row r="242" s="27" customFormat="1" x14ac:dyDescent="0.2"/>
    <row r="243" s="27" customFormat="1" x14ac:dyDescent="0.2"/>
    <row r="244" s="27" customFormat="1" x14ac:dyDescent="0.2"/>
    <row r="245" s="27" customFormat="1" x14ac:dyDescent="0.2"/>
    <row r="246" s="27" customFormat="1" x14ac:dyDescent="0.2"/>
    <row r="247" s="27" customFormat="1" x14ac:dyDescent="0.2"/>
    <row r="248" s="27" customFormat="1" x14ac:dyDescent="0.2"/>
    <row r="249" s="27" customFormat="1" x14ac:dyDescent="0.2"/>
    <row r="250" s="27" customFormat="1" x14ac:dyDescent="0.2"/>
    <row r="251" s="27" customFormat="1" x14ac:dyDescent="0.2"/>
    <row r="252" s="27" customFormat="1" x14ac:dyDescent="0.2"/>
    <row r="253" s="27" customFormat="1" x14ac:dyDescent="0.2"/>
    <row r="254" s="27" customFormat="1" x14ac:dyDescent="0.2"/>
    <row r="255" s="27" customFormat="1" x14ac:dyDescent="0.2"/>
    <row r="256" s="27" customFormat="1" x14ac:dyDescent="0.2"/>
    <row r="257" s="27" customFormat="1" x14ac:dyDescent="0.2"/>
    <row r="258" s="27" customFormat="1" x14ac:dyDescent="0.2"/>
    <row r="259" s="27" customFormat="1" x14ac:dyDescent="0.2"/>
    <row r="260" s="27" customFormat="1" x14ac:dyDescent="0.2"/>
    <row r="261" s="27" customFormat="1" x14ac:dyDescent="0.2"/>
    <row r="262" s="27" customFormat="1" x14ac:dyDescent="0.2"/>
    <row r="263" s="27" customFormat="1" x14ac:dyDescent="0.2"/>
    <row r="264" s="27" customFormat="1" x14ac:dyDescent="0.2"/>
    <row r="265" s="27" customFormat="1" x14ac:dyDescent="0.2"/>
    <row r="266" s="27" customFormat="1" x14ac:dyDescent="0.2"/>
    <row r="267" s="27" customFormat="1" x14ac:dyDescent="0.2"/>
    <row r="268" s="27" customFormat="1" x14ac:dyDescent="0.2"/>
    <row r="269" s="27" customFormat="1" x14ac:dyDescent="0.2"/>
    <row r="270" s="27" customFormat="1" x14ac:dyDescent="0.2"/>
    <row r="271" s="27" customFormat="1" x14ac:dyDescent="0.2"/>
    <row r="272" s="27" customFormat="1" x14ac:dyDescent="0.2"/>
    <row r="273" s="27" customFormat="1" x14ac:dyDescent="0.2"/>
    <row r="274" s="27" customFormat="1" x14ac:dyDescent="0.2"/>
    <row r="275" s="27" customFormat="1" x14ac:dyDescent="0.2"/>
    <row r="276" s="27" customFormat="1" x14ac:dyDescent="0.2"/>
    <row r="277" s="27" customFormat="1" x14ac:dyDescent="0.2"/>
    <row r="278" s="27" customFormat="1" x14ac:dyDescent="0.2"/>
    <row r="279" s="27" customFormat="1" x14ac:dyDescent="0.2"/>
    <row r="280" s="27" customFormat="1" x14ac:dyDescent="0.2"/>
    <row r="281" s="27" customFormat="1" x14ac:dyDescent="0.2"/>
    <row r="282" s="27" customFormat="1" x14ac:dyDescent="0.2"/>
    <row r="283" s="27" customFormat="1" x14ac:dyDescent="0.2"/>
    <row r="284" s="27" customFormat="1" x14ac:dyDescent="0.2"/>
    <row r="285" s="27" customFormat="1" x14ac:dyDescent="0.2"/>
    <row r="286" s="27" customFormat="1" x14ac:dyDescent="0.2"/>
    <row r="287" s="27" customFormat="1" x14ac:dyDescent="0.2"/>
    <row r="288" s="27" customFormat="1" x14ac:dyDescent="0.2"/>
    <row r="289" s="27" customFormat="1" x14ac:dyDescent="0.2"/>
    <row r="290" s="27" customFormat="1" x14ac:dyDescent="0.2"/>
    <row r="291" s="27" customFormat="1" x14ac:dyDescent="0.2"/>
    <row r="292" s="27" customFormat="1" x14ac:dyDescent="0.2"/>
    <row r="293" s="27" customFormat="1" x14ac:dyDescent="0.2"/>
    <row r="294" s="27" customFormat="1" x14ac:dyDescent="0.2"/>
    <row r="295" s="27" customFormat="1" x14ac:dyDescent="0.2"/>
    <row r="296" s="27" customFormat="1" x14ac:dyDescent="0.2"/>
    <row r="297" s="27" customFormat="1" x14ac:dyDescent="0.2"/>
    <row r="298" s="27" customFormat="1" x14ac:dyDescent="0.2"/>
    <row r="299" s="27" customFormat="1" x14ac:dyDescent="0.2"/>
    <row r="300" s="27" customFormat="1" x14ac:dyDescent="0.2"/>
    <row r="301" s="27" customFormat="1" x14ac:dyDescent="0.2"/>
    <row r="302" s="27" customFormat="1" x14ac:dyDescent="0.2"/>
    <row r="303" s="27" customFormat="1" x14ac:dyDescent="0.2"/>
    <row r="304" s="27" customFormat="1" x14ac:dyDescent="0.2"/>
    <row r="305" s="27" customFormat="1" x14ac:dyDescent="0.2"/>
    <row r="306" s="27" customFormat="1" x14ac:dyDescent="0.2"/>
    <row r="307" s="27" customFormat="1" x14ac:dyDescent="0.2"/>
    <row r="308" s="27" customFormat="1" x14ac:dyDescent="0.2"/>
    <row r="309" s="27" customFormat="1" x14ac:dyDescent="0.2"/>
    <row r="310" s="27" customFormat="1" x14ac:dyDescent="0.2"/>
    <row r="311" s="27" customFormat="1" x14ac:dyDescent="0.2"/>
    <row r="312" s="27" customFormat="1" x14ac:dyDescent="0.2"/>
    <row r="313" s="27" customFormat="1" x14ac:dyDescent="0.2"/>
    <row r="314" s="27" customFormat="1" x14ac:dyDescent="0.2"/>
    <row r="315" s="27" customFormat="1" x14ac:dyDescent="0.2"/>
    <row r="316" s="27" customFormat="1" x14ac:dyDescent="0.2"/>
    <row r="317" s="27" customFormat="1" x14ac:dyDescent="0.2"/>
    <row r="318" s="27" customFormat="1" x14ac:dyDescent="0.2"/>
    <row r="319" s="27" customFormat="1" x14ac:dyDescent="0.2"/>
    <row r="320" s="27" customFormat="1" x14ac:dyDescent="0.2"/>
    <row r="321" s="27" customFormat="1" x14ac:dyDescent="0.2"/>
    <row r="322" s="27" customFormat="1" x14ac:dyDescent="0.2"/>
    <row r="323" s="27" customFormat="1" x14ac:dyDescent="0.2"/>
    <row r="324" s="27" customFormat="1" x14ac:dyDescent="0.2"/>
    <row r="325" s="27" customFormat="1" x14ac:dyDescent="0.2"/>
    <row r="326" s="27" customFormat="1" x14ac:dyDescent="0.2"/>
    <row r="327" s="27" customFormat="1" x14ac:dyDescent="0.2"/>
    <row r="328" s="27" customFormat="1" x14ac:dyDescent="0.2"/>
    <row r="329" s="27" customFormat="1" x14ac:dyDescent="0.2"/>
    <row r="330" s="27" customFormat="1" x14ac:dyDescent="0.2"/>
    <row r="331" s="27" customFormat="1" x14ac:dyDescent="0.2"/>
    <row r="332" s="27" customFormat="1" x14ac:dyDescent="0.2"/>
    <row r="333" s="27" customFormat="1" x14ac:dyDescent="0.2"/>
    <row r="334" s="27" customFormat="1" x14ac:dyDescent="0.2"/>
    <row r="335" s="27" customFormat="1" x14ac:dyDescent="0.2"/>
    <row r="336" s="27" customFormat="1" x14ac:dyDescent="0.2"/>
    <row r="337" s="27" customFormat="1" x14ac:dyDescent="0.2"/>
    <row r="338" s="27" customFormat="1" x14ac:dyDescent="0.2"/>
    <row r="339" s="27" customFormat="1" x14ac:dyDescent="0.2"/>
    <row r="340" s="27" customFormat="1" x14ac:dyDescent="0.2"/>
    <row r="341" s="27" customFormat="1" x14ac:dyDescent="0.2"/>
    <row r="342" s="27" customFormat="1" x14ac:dyDescent="0.2"/>
    <row r="343" s="27" customFormat="1" x14ac:dyDescent="0.2"/>
    <row r="344" s="27" customFormat="1" x14ac:dyDescent="0.2"/>
    <row r="345" s="27" customFormat="1" x14ac:dyDescent="0.2"/>
    <row r="346" s="27" customFormat="1" x14ac:dyDescent="0.2"/>
    <row r="347" s="27" customFormat="1" x14ac:dyDescent="0.2"/>
  </sheetData>
  <conditionalFormatting sqref="C12:Q93">
    <cfRule type="colorScale" priority="13">
      <colorScale>
        <cfvo type="num" val="45"/>
        <cfvo type="num" val="50"/>
        <cfvo type="num" val="58"/>
        <color rgb="FFF8696B"/>
        <color rgb="FFFFEB84"/>
        <color rgb="FF63BE7B"/>
      </colorScale>
    </cfRule>
  </conditionalFormatting>
  <conditionalFormatting sqref="C6:Q6">
    <cfRule type="containsText" dxfId="127" priority="11" operator="containsText" text="below">
      <formula>NOT(ISERROR(SEARCH("below",C6)))</formula>
    </cfRule>
    <cfRule type="containsText" dxfId="126" priority="12" operator="containsText" text="above">
      <formula>NOT(ISERROR(SEARCH("above",C6)))</formula>
    </cfRule>
  </conditionalFormatting>
  <conditionalFormatting sqref="C8:Q8">
    <cfRule type="cellIs" dxfId="125" priority="9" operator="lessThan">
      <formula>0</formula>
    </cfRule>
    <cfRule type="cellIs" dxfId="124" priority="10" operator="greaterThan">
      <formula>0</formula>
    </cfRule>
  </conditionalFormatting>
  <conditionalFormatting sqref="C9:Q9">
    <cfRule type="cellIs" dxfId="123" priority="3" operator="equal">
      <formula>"Growth"</formula>
    </cfRule>
    <cfRule type="cellIs" dxfId="122" priority="4" operator="equal">
      <formula>"Contraction"</formula>
    </cfRule>
  </conditionalFormatting>
  <conditionalFormatting sqref="C10:Q10">
    <cfRule type="cellIs" dxfId="121" priority="1" operator="equal">
      <formula>"+"</formula>
    </cfRule>
    <cfRule type="cellIs" dxfId="120" priority="2" operator="equal">
      <formula>"-"</formula>
    </cfRule>
  </conditionalFormatting>
  <conditionalFormatting sqref="C12:Q93">
    <cfRule type="colorScale" priority="183">
      <colorScale>
        <cfvo type="min"/>
        <cfvo type="percentile" val="50"/>
        <cfvo type="max"/>
        <color rgb="FFF8696B"/>
        <color rgb="FFFFEB84"/>
        <color rgb="FF63BE7B"/>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4C1FA-E11C-405E-9A95-01CA0C5AE334}">
  <dimension ref="A1:H140"/>
  <sheetViews>
    <sheetView zoomScale="160" zoomScaleNormal="160" workbookViewId="0">
      <pane ySplit="5" topLeftCell="A104" activePane="bottomLeft" state="frozen"/>
      <selection pane="bottomLeft" activeCell="T124" sqref="T124"/>
    </sheetView>
  </sheetViews>
  <sheetFormatPr baseColWidth="10" defaultColWidth="9.1640625" defaultRowHeight="15" x14ac:dyDescent="0.2"/>
  <cols>
    <col min="1" max="1" width="13.5" style="1" customWidth="1"/>
    <col min="2" max="2" width="11.33203125" style="1" customWidth="1"/>
    <col min="3" max="16384" width="9.1640625" style="1"/>
  </cols>
  <sheetData>
    <row r="1" spans="1:8" x14ac:dyDescent="0.2">
      <c r="A1" s="1" t="s">
        <v>41</v>
      </c>
    </row>
    <row r="2" spans="1:8" x14ac:dyDescent="0.2">
      <c r="H2" s="1" t="str">
        <f>A1</f>
        <v>Global Services PMI</v>
      </c>
    </row>
    <row r="4" spans="1:8" ht="16" thickBot="1" x14ac:dyDescent="0.25"/>
    <row r="5" spans="1:8" ht="16" thickBot="1" x14ac:dyDescent="0.25">
      <c r="A5" s="19" t="s">
        <v>9</v>
      </c>
      <c r="B5" s="20" t="s">
        <v>10</v>
      </c>
      <c r="C5" s="20" t="s">
        <v>11</v>
      </c>
    </row>
    <row r="6" spans="1:8" x14ac:dyDescent="0.2">
      <c r="A6" s="17">
        <v>40452</v>
      </c>
      <c r="B6" s="18">
        <v>54.6</v>
      </c>
      <c r="C6" s="18"/>
    </row>
    <row r="7" spans="1:8" x14ac:dyDescent="0.2">
      <c r="A7" s="14">
        <v>40483</v>
      </c>
      <c r="B7" s="13">
        <v>54.8</v>
      </c>
      <c r="C7" s="13">
        <f>Table1[[#This Row],[PMI]]-B6</f>
        <v>0.19999999999999574</v>
      </c>
    </row>
    <row r="8" spans="1:8" x14ac:dyDescent="0.2">
      <c r="A8" s="14">
        <v>40513</v>
      </c>
      <c r="B8" s="13">
        <v>56.3</v>
      </c>
      <c r="C8" s="13">
        <f>Table1[[#This Row],[PMI]]-B7</f>
        <v>1.5</v>
      </c>
    </row>
    <row r="9" spans="1:8" x14ac:dyDescent="0.2">
      <c r="A9" s="14">
        <v>40544</v>
      </c>
      <c r="B9" s="13">
        <v>57.1</v>
      </c>
      <c r="C9" s="13">
        <f>Table1[[#This Row],[PMI]]-B8</f>
        <v>0.80000000000000426</v>
      </c>
    </row>
    <row r="10" spans="1:8" x14ac:dyDescent="0.2">
      <c r="A10" s="14">
        <v>40575</v>
      </c>
      <c r="B10" s="13">
        <v>59.3</v>
      </c>
      <c r="C10" s="13">
        <f>Table1[[#This Row],[PMI]]-B9</f>
        <v>2.1999999999999957</v>
      </c>
    </row>
    <row r="11" spans="1:8" x14ac:dyDescent="0.2">
      <c r="A11" s="14">
        <v>40603</v>
      </c>
      <c r="B11" s="13">
        <v>54</v>
      </c>
      <c r="C11" s="13">
        <f>Table1[[#This Row],[PMI]]-B10</f>
        <v>-5.2999999999999972</v>
      </c>
    </row>
    <row r="12" spans="1:8" x14ac:dyDescent="0.2">
      <c r="A12" s="14">
        <v>40634</v>
      </c>
      <c r="B12" s="13">
        <v>51</v>
      </c>
      <c r="C12" s="13">
        <f>Table1[[#This Row],[PMI]]-B11</f>
        <v>-3</v>
      </c>
    </row>
    <row r="13" spans="1:8" x14ac:dyDescent="0.2">
      <c r="A13" s="14">
        <v>40664</v>
      </c>
      <c r="B13" s="13">
        <v>52.5</v>
      </c>
      <c r="C13" s="13">
        <f>Table1[[#This Row],[PMI]]-B12</f>
        <v>1.5</v>
      </c>
    </row>
    <row r="14" spans="1:8" x14ac:dyDescent="0.2">
      <c r="A14" s="14">
        <v>40695</v>
      </c>
      <c r="B14" s="13">
        <v>52.1</v>
      </c>
      <c r="C14" s="13">
        <f>Table1[[#This Row],[PMI]]-B13</f>
        <v>-0.39999999999999858</v>
      </c>
    </row>
    <row r="15" spans="1:8" x14ac:dyDescent="0.2">
      <c r="A15" s="14">
        <v>40725</v>
      </c>
      <c r="B15" s="13">
        <v>53.1</v>
      </c>
      <c r="C15" s="13">
        <f>Table1[[#This Row],[PMI]]-B14</f>
        <v>1</v>
      </c>
    </row>
    <row r="16" spans="1:8" x14ac:dyDescent="0.2">
      <c r="A16" s="14">
        <v>40756</v>
      </c>
      <c r="B16" s="13">
        <v>52.4</v>
      </c>
      <c r="C16" s="13">
        <f>Table1[[#This Row],[PMI]]-B15</f>
        <v>-0.70000000000000284</v>
      </c>
    </row>
    <row r="17" spans="1:3" x14ac:dyDescent="0.2">
      <c r="A17" s="14">
        <v>40787</v>
      </c>
      <c r="B17" s="13">
        <v>52.6</v>
      </c>
      <c r="C17" s="13">
        <f>Table1[[#This Row],[PMI]]-B16</f>
        <v>0.20000000000000284</v>
      </c>
    </row>
    <row r="18" spans="1:3" x14ac:dyDescent="0.2">
      <c r="A18" s="14">
        <v>40817</v>
      </c>
      <c r="B18" s="13">
        <v>51.8</v>
      </c>
      <c r="C18" s="13">
        <f>Table1[[#This Row],[PMI]]-B17</f>
        <v>-0.80000000000000426</v>
      </c>
    </row>
    <row r="19" spans="1:3" x14ac:dyDescent="0.2">
      <c r="A19" s="14">
        <v>40848</v>
      </c>
      <c r="B19" s="13">
        <v>52.6</v>
      </c>
      <c r="C19" s="13">
        <f>Table1[[#This Row],[PMI]]-B18</f>
        <v>0.80000000000000426</v>
      </c>
    </row>
    <row r="20" spans="1:3" x14ac:dyDescent="0.2">
      <c r="A20" s="14">
        <v>40878</v>
      </c>
      <c r="B20" s="13">
        <v>53.2</v>
      </c>
      <c r="C20" s="13">
        <f>Table1[[#This Row],[PMI]]-B19</f>
        <v>0.60000000000000142</v>
      </c>
    </row>
    <row r="21" spans="1:3" x14ac:dyDescent="0.2">
      <c r="A21" s="14">
        <v>40909</v>
      </c>
      <c r="B21" s="13">
        <v>55.4</v>
      </c>
      <c r="C21" s="13">
        <f>Table1[[#This Row],[PMI]]-B20</f>
        <v>2.1999999999999957</v>
      </c>
    </row>
    <row r="22" spans="1:3" x14ac:dyDescent="0.2">
      <c r="A22" s="14">
        <v>40940</v>
      </c>
      <c r="B22" s="13">
        <v>56.5</v>
      </c>
      <c r="C22" s="13">
        <f>Table1[[#This Row],[PMI]]-B21</f>
        <v>1.1000000000000014</v>
      </c>
    </row>
    <row r="23" spans="1:3" x14ac:dyDescent="0.2">
      <c r="A23" s="14">
        <v>40969</v>
      </c>
      <c r="B23" s="13">
        <v>54.3</v>
      </c>
      <c r="C23" s="13">
        <f>Table1[[#This Row],[PMI]]-B22</f>
        <v>-2.2000000000000028</v>
      </c>
    </row>
    <row r="24" spans="1:3" x14ac:dyDescent="0.2">
      <c r="A24" s="14">
        <v>41000</v>
      </c>
      <c r="B24" s="13">
        <v>53.2</v>
      </c>
      <c r="C24" s="13">
        <f>Table1[[#This Row],[PMI]]-B23</f>
        <v>-1.0999999999999943</v>
      </c>
    </row>
    <row r="25" spans="1:3" x14ac:dyDescent="0.2">
      <c r="A25" s="14">
        <v>41030</v>
      </c>
      <c r="B25" s="13">
        <v>53.3</v>
      </c>
      <c r="C25" s="13">
        <f>Table1[[#This Row],[PMI]]-B24</f>
        <v>9.9999999999994316E-2</v>
      </c>
    </row>
    <row r="26" spans="1:3" x14ac:dyDescent="0.2">
      <c r="A26" s="14">
        <v>41061</v>
      </c>
      <c r="B26" s="13">
        <v>50.1</v>
      </c>
      <c r="C26" s="13">
        <f>Table1[[#This Row],[PMI]]-B25</f>
        <v>-3.1999999999999957</v>
      </c>
    </row>
    <row r="27" spans="1:3" x14ac:dyDescent="0.2">
      <c r="A27" s="14">
        <v>41091</v>
      </c>
      <c r="B27" s="13">
        <v>49.2</v>
      </c>
      <c r="C27" s="13">
        <f>Table1[[#This Row],[PMI]]-B26</f>
        <v>-0.89999999999999858</v>
      </c>
    </row>
    <row r="28" spans="1:3" x14ac:dyDescent="0.2">
      <c r="A28" s="14">
        <v>41122</v>
      </c>
      <c r="B28" s="13">
        <v>52.4</v>
      </c>
      <c r="C28" s="13">
        <f>Table1[[#This Row],[PMI]]-B27</f>
        <v>3.1999999999999957</v>
      </c>
    </row>
    <row r="29" spans="1:3" x14ac:dyDescent="0.2">
      <c r="A29" s="14">
        <v>41153</v>
      </c>
      <c r="B29" s="13">
        <v>53.1</v>
      </c>
      <c r="C29" s="13">
        <f>Table1[[#This Row],[PMI]]-B28</f>
        <v>0.70000000000000284</v>
      </c>
    </row>
    <row r="30" spans="1:3" x14ac:dyDescent="0.2">
      <c r="A30" s="14">
        <v>41183</v>
      </c>
      <c r="B30" s="13">
        <v>53.6</v>
      </c>
      <c r="C30" s="13">
        <f>Table1[[#This Row],[PMI]]-B29</f>
        <v>0.5</v>
      </c>
    </row>
    <row r="31" spans="1:3" x14ac:dyDescent="0.2">
      <c r="A31" s="14">
        <v>41214</v>
      </c>
      <c r="B31" s="13">
        <v>54.8</v>
      </c>
      <c r="C31" s="13">
        <f>Table1[[#This Row],[PMI]]-B30</f>
        <v>1.1999999999999957</v>
      </c>
    </row>
    <row r="32" spans="1:3" x14ac:dyDescent="0.2">
      <c r="A32" s="14">
        <v>41244</v>
      </c>
      <c r="B32" s="13">
        <v>54.8</v>
      </c>
      <c r="C32" s="13">
        <f>Table1[[#This Row],[PMI]]-B31</f>
        <v>0</v>
      </c>
    </row>
    <row r="33" spans="1:3" x14ac:dyDescent="0.2">
      <c r="A33" s="14">
        <v>41275</v>
      </c>
      <c r="B33" s="13">
        <v>53.6</v>
      </c>
      <c r="C33" s="13">
        <f>Table1[[#This Row],[PMI]]-B32</f>
        <v>-1.1999999999999957</v>
      </c>
    </row>
    <row r="34" spans="1:3" x14ac:dyDescent="0.2">
      <c r="A34" s="14">
        <v>41306</v>
      </c>
      <c r="B34" s="13">
        <v>53.2</v>
      </c>
      <c r="C34" s="13">
        <f>Table1[[#This Row],[PMI]]-B33</f>
        <v>-0.39999999999999858</v>
      </c>
    </row>
    <row r="35" spans="1:3" x14ac:dyDescent="0.2">
      <c r="A35" s="14">
        <v>41334</v>
      </c>
      <c r="B35" s="13">
        <v>53.4</v>
      </c>
      <c r="C35" s="13">
        <f>Table1[[#This Row],[PMI]]-B34</f>
        <v>0.19999999999999574</v>
      </c>
    </row>
    <row r="36" spans="1:3" x14ac:dyDescent="0.2">
      <c r="A36" s="14">
        <v>41365</v>
      </c>
      <c r="B36" s="13">
        <v>52.1</v>
      </c>
      <c r="C36" s="13">
        <f>Table1[[#This Row],[PMI]]-B35</f>
        <v>-1.2999999999999972</v>
      </c>
    </row>
    <row r="37" spans="1:3" x14ac:dyDescent="0.2">
      <c r="A37" s="14">
        <v>41395</v>
      </c>
      <c r="B37" s="13">
        <v>53.7</v>
      </c>
      <c r="C37" s="13">
        <f>Table1[[#This Row],[PMI]]-B36</f>
        <v>1.6000000000000014</v>
      </c>
    </row>
    <row r="38" spans="1:3" x14ac:dyDescent="0.2">
      <c r="A38" s="14">
        <v>41426</v>
      </c>
      <c r="B38" s="13">
        <v>51.3</v>
      </c>
      <c r="C38" s="13">
        <f>Table1[[#This Row],[PMI]]-B37</f>
        <v>-2.4000000000000057</v>
      </c>
    </row>
    <row r="39" spans="1:3" x14ac:dyDescent="0.2">
      <c r="A39" s="14">
        <v>41456</v>
      </c>
      <c r="B39" s="13">
        <v>54.9</v>
      </c>
      <c r="C39" s="13">
        <f>Table1[[#This Row],[PMI]]-B38</f>
        <v>3.6000000000000014</v>
      </c>
    </row>
    <row r="40" spans="1:3" x14ac:dyDescent="0.2">
      <c r="A40" s="14">
        <v>41487</v>
      </c>
      <c r="B40" s="13">
        <v>56</v>
      </c>
      <c r="C40" s="13">
        <f>Table1[[#This Row],[PMI]]-B39</f>
        <v>1.1000000000000014</v>
      </c>
    </row>
    <row r="41" spans="1:3" x14ac:dyDescent="0.2">
      <c r="A41" s="14">
        <v>41518</v>
      </c>
      <c r="B41" s="13">
        <v>53.6</v>
      </c>
      <c r="C41" s="13">
        <f>Table1[[#This Row],[PMI]]-B40</f>
        <v>-2.3999999999999986</v>
      </c>
    </row>
    <row r="42" spans="1:3" x14ac:dyDescent="0.2">
      <c r="A42" s="14">
        <v>41548</v>
      </c>
      <c r="B42" s="13">
        <v>51.8</v>
      </c>
      <c r="C42" s="13">
        <f>Table1[[#This Row],[PMI]]-B41</f>
        <v>-1.8000000000000043</v>
      </c>
    </row>
    <row r="43" spans="1:3" x14ac:dyDescent="0.2">
      <c r="A43" s="14">
        <v>41579</v>
      </c>
      <c r="B43" s="13">
        <v>53.9</v>
      </c>
      <c r="C43" s="13">
        <f>Table1[[#This Row],[PMI]]-B42</f>
        <v>2.1000000000000014</v>
      </c>
    </row>
    <row r="44" spans="1:3" x14ac:dyDescent="0.2">
      <c r="A44" s="14">
        <v>41609</v>
      </c>
      <c r="B44" s="13">
        <v>53.5</v>
      </c>
      <c r="C44" s="13">
        <f>Table1[[#This Row],[PMI]]-B43</f>
        <v>-0.39999999999999858</v>
      </c>
    </row>
    <row r="45" spans="1:3" x14ac:dyDescent="0.2">
      <c r="A45" s="14">
        <v>41640</v>
      </c>
      <c r="B45" s="13">
        <v>53.8</v>
      </c>
      <c r="C45" s="13">
        <f>Table1[[#This Row],[PMI]]-B44</f>
        <v>0.29999999999999716</v>
      </c>
    </row>
    <row r="46" spans="1:3" x14ac:dyDescent="0.2">
      <c r="A46" s="14">
        <v>41671</v>
      </c>
      <c r="B46" s="13">
        <v>52.7</v>
      </c>
      <c r="C46" s="13">
        <f>Table1[[#This Row],[PMI]]-B45</f>
        <v>-1.0999999999999943</v>
      </c>
    </row>
    <row r="47" spans="1:3" x14ac:dyDescent="0.2">
      <c r="A47" s="14">
        <v>41699</v>
      </c>
      <c r="B47" s="13">
        <v>53.5</v>
      </c>
      <c r="C47" s="13">
        <f>Table1[[#This Row],[PMI]]-B46</f>
        <v>0.79999999999999716</v>
      </c>
    </row>
    <row r="48" spans="1:3" x14ac:dyDescent="0.2">
      <c r="A48" s="14">
        <v>41730</v>
      </c>
      <c r="B48" s="13">
        <v>52.7</v>
      </c>
      <c r="C48" s="13">
        <f>Table1[[#This Row],[PMI]]-B47</f>
        <v>-0.79999999999999716</v>
      </c>
    </row>
    <row r="49" spans="1:3" x14ac:dyDescent="0.2">
      <c r="A49" s="14">
        <v>41760</v>
      </c>
      <c r="B49" s="13">
        <v>54.6</v>
      </c>
      <c r="C49" s="13">
        <f>Table1[[#This Row],[PMI]]-B48</f>
        <v>1.8999999999999986</v>
      </c>
    </row>
    <row r="50" spans="1:3" x14ac:dyDescent="0.2">
      <c r="A50" s="14">
        <v>41791</v>
      </c>
      <c r="B50" s="13">
        <v>55.8</v>
      </c>
      <c r="C50" s="13">
        <f>Table1[[#This Row],[PMI]]-B49</f>
        <v>1.1999999999999957</v>
      </c>
    </row>
    <row r="51" spans="1:3" x14ac:dyDescent="0.2">
      <c r="A51" s="14">
        <v>41821</v>
      </c>
      <c r="B51" s="13">
        <v>56</v>
      </c>
      <c r="C51" s="13">
        <f>Table1[[#This Row],[PMI]]-B50</f>
        <v>0.20000000000000284</v>
      </c>
    </row>
    <row r="52" spans="1:3" x14ac:dyDescent="0.2">
      <c r="A52" s="14">
        <v>41852</v>
      </c>
      <c r="B52" s="13">
        <v>55.5</v>
      </c>
      <c r="C52" s="13">
        <f>Table1[[#This Row],[PMI]]-B51</f>
        <v>-0.5</v>
      </c>
    </row>
    <row r="53" spans="1:3" x14ac:dyDescent="0.2">
      <c r="A53" s="14">
        <v>41883</v>
      </c>
      <c r="B53" s="13">
        <v>55.3</v>
      </c>
      <c r="C53" s="13">
        <f>Table1[[#This Row],[PMI]]-B52</f>
        <v>-0.20000000000000284</v>
      </c>
    </row>
    <row r="54" spans="1:3" x14ac:dyDescent="0.2">
      <c r="A54" s="14">
        <v>41913</v>
      </c>
      <c r="B54" s="13">
        <v>53.7</v>
      </c>
      <c r="C54" s="13">
        <f>Table1[[#This Row],[PMI]]-B53</f>
        <v>-1.5999999999999943</v>
      </c>
    </row>
    <row r="55" spans="1:3" x14ac:dyDescent="0.2">
      <c r="A55" s="14">
        <v>41944</v>
      </c>
      <c r="B55" s="13">
        <v>53.5</v>
      </c>
      <c r="C55" s="13">
        <f>Table1[[#This Row],[PMI]]-B54</f>
        <v>-0.20000000000000284</v>
      </c>
    </row>
    <row r="56" spans="1:3" x14ac:dyDescent="0.2">
      <c r="A56" s="14">
        <v>41974</v>
      </c>
      <c r="B56" s="13">
        <v>52.3</v>
      </c>
      <c r="C56" s="13">
        <f>Table1[[#This Row],[PMI]]-B55</f>
        <v>-1.2000000000000028</v>
      </c>
    </row>
    <row r="57" spans="1:3" x14ac:dyDescent="0.2">
      <c r="A57" s="14">
        <v>42005</v>
      </c>
      <c r="B57" s="13">
        <v>52.9</v>
      </c>
      <c r="C57" s="13">
        <f>Table1[[#This Row],[PMI]]-B56</f>
        <v>0.60000000000000142</v>
      </c>
    </row>
    <row r="58" spans="1:3" x14ac:dyDescent="0.2">
      <c r="A58" s="14">
        <v>42036</v>
      </c>
      <c r="B58" s="13">
        <v>54.1</v>
      </c>
      <c r="C58" s="13">
        <f>Table1[[#This Row],[PMI]]-B57</f>
        <v>1.2000000000000028</v>
      </c>
    </row>
    <row r="59" spans="1:3" x14ac:dyDescent="0.2">
      <c r="A59" s="14">
        <v>42064</v>
      </c>
      <c r="B59" s="13">
        <v>55.1</v>
      </c>
      <c r="C59" s="13">
        <f>Table1[[#This Row],[PMI]]-B58</f>
        <v>1</v>
      </c>
    </row>
    <row r="60" spans="1:3" x14ac:dyDescent="0.2">
      <c r="A60" s="14">
        <v>42095</v>
      </c>
      <c r="B60" s="13">
        <v>54.8</v>
      </c>
      <c r="C60" s="13">
        <f>Table1[[#This Row],[PMI]]-B59</f>
        <v>-0.30000000000000426</v>
      </c>
    </row>
    <row r="61" spans="1:3" x14ac:dyDescent="0.2">
      <c r="A61" s="14">
        <v>42125</v>
      </c>
      <c r="B61" s="13">
        <v>54.1</v>
      </c>
      <c r="C61" s="13">
        <f>Table1[[#This Row],[PMI]]-B60</f>
        <v>-0.69999999999999574</v>
      </c>
    </row>
    <row r="62" spans="1:3" x14ac:dyDescent="0.2">
      <c r="A62" s="14">
        <v>42156</v>
      </c>
      <c r="B62" s="13">
        <v>53.5</v>
      </c>
      <c r="C62" s="13">
        <f>Table1[[#This Row],[PMI]]-B61</f>
        <v>-0.60000000000000142</v>
      </c>
    </row>
    <row r="63" spans="1:3" x14ac:dyDescent="0.2">
      <c r="A63" s="14">
        <v>42186</v>
      </c>
      <c r="B63" s="13">
        <v>53.9</v>
      </c>
      <c r="C63" s="13">
        <f>Table1[[#This Row],[PMI]]-B62</f>
        <v>0.39999999999999858</v>
      </c>
    </row>
    <row r="64" spans="1:3" x14ac:dyDescent="0.2">
      <c r="A64" s="14">
        <v>42217</v>
      </c>
      <c r="B64" s="13">
        <v>54.4</v>
      </c>
      <c r="C64" s="13">
        <f>Table1[[#This Row],[PMI]]-B63</f>
        <v>0.5</v>
      </c>
    </row>
    <row r="65" spans="1:3" x14ac:dyDescent="0.2">
      <c r="A65" s="14">
        <v>42248</v>
      </c>
      <c r="B65" s="13">
        <v>53.3</v>
      </c>
      <c r="C65" s="13">
        <f>Table1[[#This Row],[PMI]]-B64</f>
        <v>-1.1000000000000014</v>
      </c>
    </row>
    <row r="66" spans="1:3" x14ac:dyDescent="0.2">
      <c r="A66" s="14">
        <v>42278</v>
      </c>
      <c r="B66" s="13">
        <v>53.7</v>
      </c>
      <c r="C66" s="13">
        <f>Table1[[#This Row],[PMI]]-B65</f>
        <v>0.40000000000000568</v>
      </c>
    </row>
    <row r="67" spans="1:3" x14ac:dyDescent="0.2">
      <c r="A67" s="14">
        <v>42309</v>
      </c>
      <c r="B67" s="13">
        <v>54.1</v>
      </c>
      <c r="C67" s="13">
        <f>Table1[[#This Row],[PMI]]-B66</f>
        <v>0.39999999999999858</v>
      </c>
    </row>
    <row r="68" spans="1:3" x14ac:dyDescent="0.2">
      <c r="A68" s="14">
        <v>42339</v>
      </c>
      <c r="B68" s="13">
        <v>53.1</v>
      </c>
      <c r="C68" s="13">
        <f>Table1[[#This Row],[PMI]]-B67</f>
        <v>-1</v>
      </c>
    </row>
    <row r="69" spans="1:3" x14ac:dyDescent="0.2">
      <c r="A69" s="14">
        <v>42370</v>
      </c>
      <c r="B69" s="13">
        <v>52.8</v>
      </c>
      <c r="C69" s="13">
        <f>Table1[[#This Row],[PMI]]-B68</f>
        <v>-0.30000000000000426</v>
      </c>
    </row>
    <row r="70" spans="1:3" x14ac:dyDescent="0.2">
      <c r="A70" s="14">
        <v>42401</v>
      </c>
      <c r="B70" s="13">
        <v>50.7</v>
      </c>
      <c r="C70" s="13">
        <f>Table1[[#This Row],[PMI]]-B69</f>
        <v>-2.0999999999999943</v>
      </c>
    </row>
    <row r="71" spans="1:3" x14ac:dyDescent="0.2">
      <c r="A71" s="14">
        <v>42430</v>
      </c>
      <c r="B71" s="13">
        <v>51.4</v>
      </c>
      <c r="C71" s="13">
        <f>Table1[[#This Row],[PMI]]-B70</f>
        <v>0.69999999999999574</v>
      </c>
    </row>
    <row r="72" spans="1:3" x14ac:dyDescent="0.2">
      <c r="A72" s="14">
        <v>42461</v>
      </c>
      <c r="B72" s="13">
        <v>51.9</v>
      </c>
      <c r="C72" s="13">
        <f>Table1[[#This Row],[PMI]]-B71</f>
        <v>0.5</v>
      </c>
    </row>
    <row r="73" spans="1:3" x14ac:dyDescent="0.2">
      <c r="A73" s="14">
        <v>42491</v>
      </c>
      <c r="B73" s="13">
        <v>52.8</v>
      </c>
      <c r="C73" s="13">
        <f>Table1[[#This Row],[PMI]]-B72</f>
        <v>0.89999999999999858</v>
      </c>
    </row>
    <row r="74" spans="1:3" x14ac:dyDescent="0.2">
      <c r="A74" s="14">
        <v>42522</v>
      </c>
      <c r="B74" s="13">
        <v>51.3</v>
      </c>
      <c r="C74" s="13">
        <f>Table1[[#This Row],[PMI]]-B73</f>
        <v>-1.5</v>
      </c>
    </row>
    <row r="75" spans="1:3" x14ac:dyDescent="0.2">
      <c r="A75" s="14">
        <v>42552</v>
      </c>
      <c r="B75" s="13">
        <v>51.3</v>
      </c>
      <c r="C75" s="13">
        <f>Table1[[#This Row],[PMI]]-B74</f>
        <v>0</v>
      </c>
    </row>
    <row r="76" spans="1:3" x14ac:dyDescent="0.2">
      <c r="A76" s="14">
        <v>42583</v>
      </c>
      <c r="B76" s="13">
        <v>51.5</v>
      </c>
      <c r="C76" s="13">
        <f>Table1[[#This Row],[PMI]]-B75</f>
        <v>0.20000000000000284</v>
      </c>
    </row>
    <row r="77" spans="1:3" x14ac:dyDescent="0.2">
      <c r="A77" s="14">
        <v>42614</v>
      </c>
      <c r="B77" s="13">
        <v>51.6</v>
      </c>
      <c r="C77" s="13">
        <f>Table1[[#This Row],[PMI]]-B76</f>
        <v>0.10000000000000142</v>
      </c>
    </row>
    <row r="78" spans="1:3" x14ac:dyDescent="0.2">
      <c r="A78" s="14">
        <v>42644</v>
      </c>
      <c r="B78" s="13">
        <v>53.2</v>
      </c>
      <c r="C78" s="13">
        <f>Table1[[#This Row],[PMI]]-B77</f>
        <v>1.6000000000000014</v>
      </c>
    </row>
    <row r="79" spans="1:3" x14ac:dyDescent="0.2">
      <c r="A79" s="14">
        <v>42675</v>
      </c>
      <c r="B79" s="13">
        <v>53.3</v>
      </c>
      <c r="C79" s="13">
        <f>Table1[[#This Row],[PMI]]-B78</f>
        <v>9.9999999999994316E-2</v>
      </c>
    </row>
    <row r="80" spans="1:3" x14ac:dyDescent="0.2">
      <c r="A80" s="14">
        <v>42705</v>
      </c>
      <c r="B80" s="13">
        <v>53.3</v>
      </c>
      <c r="C80" s="13">
        <f>Table1[[#This Row],[PMI]]-B79</f>
        <v>0</v>
      </c>
    </row>
    <row r="81" spans="1:3" x14ac:dyDescent="0.2">
      <c r="A81" s="14">
        <v>42736</v>
      </c>
      <c r="B81" s="13">
        <v>53.9</v>
      </c>
      <c r="C81" s="13">
        <f>Table1[[#This Row],[PMI]]-B80</f>
        <v>0.60000000000000142</v>
      </c>
    </row>
    <row r="82" spans="1:3" x14ac:dyDescent="0.2">
      <c r="A82" s="14">
        <v>42767</v>
      </c>
      <c r="B82" s="13">
        <v>53.3</v>
      </c>
      <c r="C82" s="13">
        <f>Table1[[#This Row],[PMI]]-B81</f>
        <v>-0.60000000000000142</v>
      </c>
    </row>
    <row r="83" spans="1:3" x14ac:dyDescent="0.2">
      <c r="A83" s="14">
        <v>42795</v>
      </c>
      <c r="B83" s="13">
        <v>53.6</v>
      </c>
      <c r="C83" s="13">
        <f>Table1[[#This Row],[PMI]]-B82</f>
        <v>0.30000000000000426</v>
      </c>
    </row>
    <row r="84" spans="1:3" x14ac:dyDescent="0.2">
      <c r="A84" s="14">
        <v>42826</v>
      </c>
      <c r="B84" s="13">
        <v>53.6</v>
      </c>
      <c r="C84" s="13">
        <f>Table1[[#This Row],[PMI]]-B83</f>
        <v>0</v>
      </c>
    </row>
    <row r="85" spans="1:3" x14ac:dyDescent="0.2">
      <c r="A85" s="14">
        <v>42856</v>
      </c>
      <c r="B85" s="13">
        <v>53.8</v>
      </c>
      <c r="C85" s="13">
        <f>Table1[[#This Row],[PMI]]-B84</f>
        <v>0.19999999999999574</v>
      </c>
    </row>
    <row r="86" spans="1:3" x14ac:dyDescent="0.2">
      <c r="A86" s="14">
        <v>42887</v>
      </c>
      <c r="B86" s="13">
        <v>53.8</v>
      </c>
      <c r="C86" s="13">
        <f>Table1[[#This Row],[PMI]]-B85</f>
        <v>0</v>
      </c>
    </row>
    <row r="87" spans="1:3" x14ac:dyDescent="0.2">
      <c r="A87" s="14">
        <v>42917</v>
      </c>
      <c r="B87" s="13">
        <v>53.7</v>
      </c>
      <c r="C87" s="13">
        <f>Table1[[#This Row],[PMI]]-B86</f>
        <v>-9.9999999999994316E-2</v>
      </c>
    </row>
    <row r="88" spans="1:3" x14ac:dyDescent="0.2">
      <c r="A88" s="14">
        <v>42948</v>
      </c>
      <c r="B88" s="13">
        <v>54.1</v>
      </c>
      <c r="C88" s="13">
        <f>Table1[[#This Row],[PMI]]-B87</f>
        <v>0.39999999999999858</v>
      </c>
    </row>
    <row r="89" spans="1:3" x14ac:dyDescent="0.2">
      <c r="A89" s="14">
        <v>42979</v>
      </c>
      <c r="B89" s="13">
        <v>54</v>
      </c>
      <c r="C89" s="13">
        <f>Table1[[#This Row],[PMI]]-B88</f>
        <v>-0.10000000000000142</v>
      </c>
    </row>
    <row r="90" spans="1:3" x14ac:dyDescent="0.2">
      <c r="A90" s="14">
        <v>43009</v>
      </c>
      <c r="B90" s="13">
        <v>54.1</v>
      </c>
      <c r="C90" s="13">
        <f>Table1[[#This Row],[PMI]]-B89</f>
        <v>0.10000000000000142</v>
      </c>
    </row>
    <row r="91" spans="1:3" x14ac:dyDescent="0.2">
      <c r="A91" s="14">
        <v>43040</v>
      </c>
      <c r="B91" s="13">
        <v>53.7</v>
      </c>
      <c r="C91" s="13">
        <f>Table1[[#This Row],[PMI]]-B90</f>
        <v>-0.39999999999999858</v>
      </c>
    </row>
    <row r="92" spans="1:3" x14ac:dyDescent="0.2">
      <c r="A92" s="14">
        <v>43070</v>
      </c>
      <c r="B92" s="13">
        <v>53.8</v>
      </c>
      <c r="C92" s="13">
        <f>Table1[[#This Row],[PMI]]-B91</f>
        <v>9.9999999999994316E-2</v>
      </c>
    </row>
    <row r="93" spans="1:3" x14ac:dyDescent="0.2">
      <c r="A93" s="14">
        <v>43101</v>
      </c>
      <c r="B93" s="13">
        <v>54.1</v>
      </c>
      <c r="C93" s="13">
        <f>Table1[[#This Row],[PMI]]-B92</f>
        <v>0.30000000000000426</v>
      </c>
    </row>
    <row r="94" spans="1:3" x14ac:dyDescent="0.2">
      <c r="A94" s="14">
        <v>43132</v>
      </c>
      <c r="B94" s="13">
        <v>54.8</v>
      </c>
      <c r="C94" s="13">
        <f>Table1[[#This Row],[PMI]]-B93</f>
        <v>0.69999999999999574</v>
      </c>
    </row>
    <row r="95" spans="1:3" x14ac:dyDescent="0.2">
      <c r="A95" s="14">
        <v>43160</v>
      </c>
      <c r="B95" s="13">
        <v>53.2</v>
      </c>
      <c r="C95" s="13">
        <f>Table1[[#This Row],[PMI]]-B94</f>
        <v>-1.5999999999999943</v>
      </c>
    </row>
    <row r="96" spans="1:3" x14ac:dyDescent="0.2">
      <c r="A96" s="14">
        <v>43191</v>
      </c>
      <c r="B96" s="13">
        <v>53.8</v>
      </c>
      <c r="C96" s="13">
        <f>Table1[[#This Row],[PMI]]-B95</f>
        <v>0.59999999999999432</v>
      </c>
    </row>
    <row r="97" spans="1:3" x14ac:dyDescent="0.2">
      <c r="A97" s="14">
        <v>43221</v>
      </c>
      <c r="B97" s="13">
        <v>54.3</v>
      </c>
      <c r="C97" s="13">
        <f>Table1[[#This Row],[PMI]]-B96</f>
        <v>0.5</v>
      </c>
    </row>
    <row r="98" spans="1:3" x14ac:dyDescent="0.2">
      <c r="A98" s="14">
        <v>43252</v>
      </c>
      <c r="B98" s="13">
        <v>54.6</v>
      </c>
      <c r="C98" s="13">
        <f>Table1[[#This Row],[PMI]]-B97</f>
        <v>0.30000000000000426</v>
      </c>
    </row>
    <row r="99" spans="1:3" x14ac:dyDescent="0.2">
      <c r="A99" s="14">
        <v>43282</v>
      </c>
      <c r="B99" s="13">
        <v>54</v>
      </c>
      <c r="C99" s="13">
        <f>Table1[[#This Row],[PMI]]-B98</f>
        <v>-0.60000000000000142</v>
      </c>
    </row>
    <row r="100" spans="1:3" x14ac:dyDescent="0.2">
      <c r="A100" s="14">
        <v>43313</v>
      </c>
      <c r="B100" s="13">
        <v>53.5</v>
      </c>
      <c r="C100" s="13">
        <f>Table1[[#This Row],[PMI]]-B99</f>
        <v>-0.5</v>
      </c>
    </row>
    <row r="101" spans="1:3" x14ac:dyDescent="0.2">
      <c r="A101" s="14">
        <v>43344</v>
      </c>
      <c r="B101" s="13">
        <v>52.9</v>
      </c>
      <c r="C101" s="13">
        <f>Table1[[#This Row],[PMI]]-B100</f>
        <v>-0.60000000000000142</v>
      </c>
    </row>
    <row r="102" spans="1:3" x14ac:dyDescent="0.2">
      <c r="A102" s="14">
        <v>43374</v>
      </c>
      <c r="B102" s="13">
        <v>53.4</v>
      </c>
      <c r="C102" s="13">
        <f>Table1[[#This Row],[PMI]]-B101</f>
        <v>0.5</v>
      </c>
    </row>
    <row r="103" spans="1:3" x14ac:dyDescent="0.2">
      <c r="A103" s="14">
        <v>43405</v>
      </c>
      <c r="B103" s="13">
        <v>53.7</v>
      </c>
      <c r="C103" s="13">
        <f>Table1[[#This Row],[PMI]]-B102</f>
        <v>0.30000000000000426</v>
      </c>
    </row>
    <row r="104" spans="1:3" x14ac:dyDescent="0.2">
      <c r="A104" s="14">
        <v>43435</v>
      </c>
      <c r="B104" s="13">
        <v>53</v>
      </c>
      <c r="C104" s="13">
        <f>Table1[[#This Row],[PMI]]-B103</f>
        <v>-0.70000000000000284</v>
      </c>
    </row>
    <row r="105" spans="1:3" x14ac:dyDescent="0.2">
      <c r="A105" s="14">
        <v>43466</v>
      </c>
      <c r="B105" s="13">
        <v>52.6</v>
      </c>
      <c r="C105" s="13">
        <f>Table1[[#This Row],[PMI]]-B104</f>
        <v>-0.39999999999999858</v>
      </c>
    </row>
    <row r="106" spans="1:3" x14ac:dyDescent="0.2">
      <c r="A106" s="14">
        <v>43497</v>
      </c>
      <c r="B106" s="13">
        <v>53.3</v>
      </c>
      <c r="C106" s="13">
        <f>Table1[[#This Row],[PMI]]-B105</f>
        <v>0.69999999999999574</v>
      </c>
    </row>
    <row r="107" spans="1:3" x14ac:dyDescent="0.2">
      <c r="A107" s="14">
        <v>43525</v>
      </c>
      <c r="B107" s="13">
        <v>53.7</v>
      </c>
      <c r="C107" s="13">
        <f>Table1[[#This Row],[PMI]]-B106</f>
        <v>0.40000000000000568</v>
      </c>
    </row>
    <row r="108" spans="1:3" x14ac:dyDescent="0.2">
      <c r="A108" s="14">
        <v>43556</v>
      </c>
      <c r="B108" s="13">
        <v>52.7</v>
      </c>
      <c r="C108" s="13">
        <f>Table1[[#This Row],[PMI]]-B107</f>
        <v>-1</v>
      </c>
    </row>
    <row r="109" spans="1:3" x14ac:dyDescent="0.2">
      <c r="A109" s="14">
        <v>43586</v>
      </c>
      <c r="B109" s="13">
        <v>51.6</v>
      </c>
      <c r="C109" s="13">
        <f>Table1[[#This Row],[PMI]]-B108</f>
        <v>-1.1000000000000014</v>
      </c>
    </row>
    <row r="110" spans="1:3" x14ac:dyDescent="0.2">
      <c r="A110" s="14">
        <v>43617</v>
      </c>
      <c r="B110" s="13">
        <v>51.9</v>
      </c>
      <c r="C110" s="13">
        <f>Table1[[#This Row],[PMI]]-B109</f>
        <v>0.29999999999999716</v>
      </c>
    </row>
    <row r="111" spans="1:3" x14ac:dyDescent="0.2">
      <c r="A111" s="14">
        <v>43647</v>
      </c>
      <c r="B111" s="13">
        <v>52.5</v>
      </c>
      <c r="C111" s="13">
        <f>Table1[[#This Row],[PMI]]-B110</f>
        <v>0.60000000000000142</v>
      </c>
    </row>
    <row r="112" spans="1:3" x14ac:dyDescent="0.2">
      <c r="A112" s="15">
        <v>43678</v>
      </c>
      <c r="B112" s="16">
        <v>51.8</v>
      </c>
      <c r="C112" s="16">
        <f>Table1[[#This Row],[PMI]]-B111</f>
        <v>-0.70000000000000284</v>
      </c>
    </row>
    <row r="113" spans="1:3" x14ac:dyDescent="0.2">
      <c r="A113" s="14">
        <v>43709</v>
      </c>
      <c r="B113" s="13">
        <v>51.6</v>
      </c>
      <c r="C113" s="13">
        <f>Table1[[#This Row],[PMI]]-B112</f>
        <v>-0.19999999999999574</v>
      </c>
    </row>
    <row r="114" spans="1:3" x14ac:dyDescent="0.2">
      <c r="A114" s="15">
        <v>43739</v>
      </c>
      <c r="B114" s="16">
        <v>51</v>
      </c>
      <c r="C114" s="16">
        <f>Table1[[#This Row],[PMI]]-B113</f>
        <v>-0.60000000000000142</v>
      </c>
    </row>
    <row r="115" spans="1:3" x14ac:dyDescent="0.2">
      <c r="A115" s="14">
        <v>43770</v>
      </c>
      <c r="B115" s="13">
        <v>51.6</v>
      </c>
      <c r="C115" s="13">
        <f>Table1[[#This Row],[PMI]]-B114</f>
        <v>0.60000000000000142</v>
      </c>
    </row>
    <row r="116" spans="1:3" x14ac:dyDescent="0.2">
      <c r="A116" s="15">
        <v>43800</v>
      </c>
      <c r="B116" s="16">
        <v>52</v>
      </c>
      <c r="C116" s="16">
        <f>Table1[[#This Row],[PMI]]-B115</f>
        <v>0.39999999999999858</v>
      </c>
    </row>
    <row r="117" spans="1:3" x14ac:dyDescent="0.2">
      <c r="A117" s="14">
        <v>43831</v>
      </c>
      <c r="B117" s="13">
        <v>52.7</v>
      </c>
      <c r="C117" s="13">
        <f>Table1[[#This Row],[PMI]]-B116</f>
        <v>0.70000000000000284</v>
      </c>
    </row>
    <row r="118" spans="1:3" x14ac:dyDescent="0.2">
      <c r="A118" s="15">
        <v>43862</v>
      </c>
      <c r="B118" s="16">
        <v>47.1</v>
      </c>
      <c r="C118" s="16">
        <f>Table1[[#This Row],[PMI]]-B117</f>
        <v>-5.6000000000000014</v>
      </c>
    </row>
    <row r="119" spans="1:3" x14ac:dyDescent="0.2">
      <c r="A119" s="14">
        <v>43891</v>
      </c>
      <c r="B119" s="13">
        <v>36.799999999999997</v>
      </c>
      <c r="C119" s="13">
        <f>Table1[[#This Row],[PMI]]-B118</f>
        <v>-10.300000000000004</v>
      </c>
    </row>
    <row r="120" spans="1:3" x14ac:dyDescent="0.2">
      <c r="A120" s="15">
        <v>43922</v>
      </c>
      <c r="B120" s="16">
        <v>24</v>
      </c>
      <c r="C120" s="16">
        <f>Table1[[#This Row],[PMI]]-B119</f>
        <v>-12.799999999999997</v>
      </c>
    </row>
    <row r="121" spans="1:3" x14ac:dyDescent="0.2">
      <c r="A121" s="14">
        <v>43952</v>
      </c>
      <c r="B121" s="13">
        <v>35.1</v>
      </c>
      <c r="C121" s="13">
        <f>Table1[[#This Row],[PMI]]-B120</f>
        <v>11.100000000000001</v>
      </c>
    </row>
    <row r="122" spans="1:3" x14ac:dyDescent="0.2">
      <c r="A122" s="15">
        <v>43983</v>
      </c>
      <c r="B122" s="16">
        <v>48</v>
      </c>
      <c r="C122" s="16">
        <f>Table1[[#This Row],[PMI]]-B121</f>
        <v>12.899999999999999</v>
      </c>
    </row>
    <row r="123" spans="1:3" x14ac:dyDescent="0.2">
      <c r="A123" s="14">
        <v>44013</v>
      </c>
      <c r="B123" s="13">
        <v>50.6</v>
      </c>
      <c r="C123" s="13">
        <f>Table1[[#This Row],[PMI]]-B122</f>
        <v>2.6000000000000014</v>
      </c>
    </row>
    <row r="124" spans="1:3" x14ac:dyDescent="0.2">
      <c r="A124" s="15">
        <v>44044</v>
      </c>
      <c r="B124" s="16">
        <v>52</v>
      </c>
      <c r="C124" s="16">
        <f>Table1[[#This Row],[PMI]]-B123</f>
        <v>1.3999999999999986</v>
      </c>
    </row>
    <row r="125" spans="1:3" x14ac:dyDescent="0.2">
      <c r="A125" s="14">
        <v>44075</v>
      </c>
      <c r="B125" s="13">
        <v>52</v>
      </c>
      <c r="C125" s="13">
        <f>Table1[[#This Row],[PMI]]-B124</f>
        <v>0</v>
      </c>
    </row>
    <row r="126" spans="1:3" x14ac:dyDescent="0.2">
      <c r="A126" s="15">
        <v>44105</v>
      </c>
      <c r="B126" s="16">
        <v>52.9</v>
      </c>
      <c r="C126" s="16">
        <f>Table1[[#This Row],[PMI]]-B125</f>
        <v>0.89999999999999858</v>
      </c>
    </row>
    <row r="127" spans="1:3" x14ac:dyDescent="0.2">
      <c r="A127" s="14">
        <v>44136</v>
      </c>
      <c r="B127" s="13">
        <v>52.2</v>
      </c>
      <c r="C127" s="13">
        <f>Table1[[#This Row],[PMI]]-B126</f>
        <v>-0.69999999999999574</v>
      </c>
    </row>
    <row r="128" spans="1:3" x14ac:dyDescent="0.2">
      <c r="A128" s="15">
        <v>44166</v>
      </c>
      <c r="B128" s="16">
        <v>51.8</v>
      </c>
      <c r="C128" s="16">
        <f>Table1[[#This Row],[PMI]]-B127</f>
        <v>-0.40000000000000568</v>
      </c>
    </row>
    <row r="129" spans="1:3" x14ac:dyDescent="0.2">
      <c r="A129" s="14">
        <v>44197</v>
      </c>
      <c r="B129" s="13">
        <v>51.6</v>
      </c>
      <c r="C129" s="13">
        <f>Table1[[#This Row],[PMI]]-B128</f>
        <v>-0.19999999999999574</v>
      </c>
    </row>
    <row r="130" spans="1:3" x14ac:dyDescent="0.2">
      <c r="A130" s="15">
        <v>44228</v>
      </c>
      <c r="B130" s="16">
        <v>52.8</v>
      </c>
      <c r="C130" s="16">
        <f>Table1[[#This Row],[PMI]]-B129</f>
        <v>1.1999999999999957</v>
      </c>
    </row>
    <row r="131" spans="1:3" x14ac:dyDescent="0.2">
      <c r="A131" s="14">
        <v>44256</v>
      </c>
      <c r="B131" s="13">
        <v>54.7</v>
      </c>
      <c r="C131" s="13">
        <f>Table1[[#This Row],[PMI]]-B130</f>
        <v>1.9000000000000057</v>
      </c>
    </row>
    <row r="132" spans="1:3" x14ac:dyDescent="0.2">
      <c r="A132" s="15">
        <v>44287</v>
      </c>
      <c r="B132" s="16">
        <v>57</v>
      </c>
      <c r="C132" s="16">
        <f>Table1[[#This Row],[PMI]]-B131</f>
        <v>2.2999999999999972</v>
      </c>
    </row>
    <row r="133" spans="1:3" x14ac:dyDescent="0.2">
      <c r="A133" s="14">
        <v>44317</v>
      </c>
      <c r="B133" s="13">
        <v>59.5</v>
      </c>
      <c r="C133" s="13">
        <f>Table1[[#This Row],[PMI]]-B132</f>
        <v>2.5</v>
      </c>
    </row>
    <row r="134" spans="1:3" x14ac:dyDescent="0.2">
      <c r="A134" s="15">
        <v>44348</v>
      </c>
      <c r="B134" s="16">
        <v>57.4</v>
      </c>
      <c r="C134" s="16">
        <f>Table1[[#This Row],[PMI]]-B133</f>
        <v>-2.1000000000000014</v>
      </c>
    </row>
    <row r="135" spans="1:3" x14ac:dyDescent="0.2">
      <c r="A135" s="14">
        <v>44378</v>
      </c>
      <c r="B135" s="13">
        <v>56.3</v>
      </c>
      <c r="C135" s="13">
        <f>Table1[[#This Row],[PMI]]-B134</f>
        <v>-1.1000000000000014</v>
      </c>
    </row>
    <row r="136" spans="1:3" x14ac:dyDescent="0.2">
      <c r="A136" s="15">
        <v>44409</v>
      </c>
      <c r="B136" s="16">
        <v>52.8</v>
      </c>
      <c r="C136" s="16">
        <f>Table1[[#This Row],[PMI]]-B135</f>
        <v>-3.5</v>
      </c>
    </row>
    <row r="137" spans="1:3" x14ac:dyDescent="0.2">
      <c r="A137" s="14">
        <v>44440</v>
      </c>
      <c r="B137" s="13">
        <v>53.8</v>
      </c>
      <c r="C137" s="13">
        <f>Table1[[#This Row],[PMI]]-B136</f>
        <v>1</v>
      </c>
    </row>
    <row r="138" spans="1:3" x14ac:dyDescent="0.2">
      <c r="A138" s="15">
        <v>44470</v>
      </c>
      <c r="B138" s="16">
        <v>55.6</v>
      </c>
      <c r="C138" s="16">
        <f>Table1[[#This Row],[PMI]]-B137</f>
        <v>1.8000000000000043</v>
      </c>
    </row>
    <row r="139" spans="1:3" x14ac:dyDescent="0.2">
      <c r="A139" s="14">
        <v>44501</v>
      </c>
      <c r="B139" s="13">
        <v>55.6</v>
      </c>
      <c r="C139" s="13">
        <f>Table1[[#This Row],[PMI]]-B138</f>
        <v>0</v>
      </c>
    </row>
    <row r="140" spans="1:3" x14ac:dyDescent="0.2">
      <c r="A140" s="15">
        <v>44531</v>
      </c>
      <c r="B140" s="16">
        <v>54.6</v>
      </c>
      <c r="C140" s="16">
        <f>Table1[[#This Row],[PMI]]-B139</f>
        <v>-1</v>
      </c>
    </row>
  </sheetData>
  <conditionalFormatting sqref="B6:B140">
    <cfRule type="colorScale" priority="203">
      <colorScale>
        <cfvo type="min"/>
        <cfvo type="percentile" val="50"/>
        <cfvo type="max"/>
        <color rgb="FFF8696B"/>
        <color rgb="FFFFEB84"/>
        <color rgb="FF63BE7B"/>
      </colorScale>
    </cfRule>
  </conditionalFormatting>
  <conditionalFormatting sqref="C7:C140">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DA31-9BA6-4727-8A23-153986CABD41}">
  <dimension ref="A1:J104"/>
  <sheetViews>
    <sheetView topLeftCell="A61" zoomScale="160" zoomScaleNormal="160" workbookViewId="0">
      <selection activeCell="B104" sqref="B104"/>
    </sheetView>
  </sheetViews>
  <sheetFormatPr baseColWidth="10" defaultColWidth="9.1640625" defaultRowHeight="15" x14ac:dyDescent="0.2"/>
  <cols>
    <col min="1" max="1" width="13.5" style="10" customWidth="1"/>
    <col min="2" max="2" width="11.33203125" style="10" customWidth="1"/>
    <col min="3" max="16384" width="9.1640625" style="10"/>
  </cols>
  <sheetData>
    <row r="1" spans="1:10" x14ac:dyDescent="0.2">
      <c r="A1" s="10" t="s">
        <v>14</v>
      </c>
      <c r="J1" s="10" t="s">
        <v>42</v>
      </c>
    </row>
    <row r="2" spans="1:10" x14ac:dyDescent="0.2">
      <c r="J2" s="10" t="str">
        <f>A1&amp;J1</f>
        <v>U.S. Services PMI</v>
      </c>
    </row>
    <row r="4" spans="1:10" ht="16" thickBot="1" x14ac:dyDescent="0.25"/>
    <row r="5" spans="1:10" ht="16" thickBot="1" x14ac:dyDescent="0.25">
      <c r="A5" s="19" t="s">
        <v>9</v>
      </c>
      <c r="B5" s="20" t="s">
        <v>10</v>
      </c>
      <c r="C5" s="20" t="s">
        <v>11</v>
      </c>
    </row>
    <row r="6" spans="1:10" x14ac:dyDescent="0.2">
      <c r="A6" s="17">
        <v>41548</v>
      </c>
      <c r="B6" s="18">
        <v>49.3</v>
      </c>
      <c r="C6" s="18"/>
    </row>
    <row r="7" spans="1:10" x14ac:dyDescent="0.2">
      <c r="A7" s="14">
        <v>41579</v>
      </c>
      <c r="B7" s="13">
        <v>55.9</v>
      </c>
      <c r="C7" s="13">
        <f>Table1346811[[#This Row],[PMI]]-B6</f>
        <v>6.6000000000000014</v>
      </c>
    </row>
    <row r="8" spans="1:10" x14ac:dyDescent="0.2">
      <c r="A8" s="14">
        <v>41609</v>
      </c>
      <c r="B8" s="13">
        <v>55.7</v>
      </c>
      <c r="C8" s="13">
        <f>Table1346811[[#This Row],[PMI]]-B7</f>
        <v>-0.19999999999999574</v>
      </c>
    </row>
    <row r="9" spans="1:10" x14ac:dyDescent="0.2">
      <c r="A9" s="14">
        <v>41640</v>
      </c>
      <c r="B9" s="13">
        <v>56.7</v>
      </c>
      <c r="C9" s="13">
        <f>Table1346811[[#This Row],[PMI]]-B8</f>
        <v>1</v>
      </c>
    </row>
    <row r="10" spans="1:10" x14ac:dyDescent="0.2">
      <c r="A10" s="14">
        <v>41671</v>
      </c>
      <c r="B10" s="13">
        <v>53.3</v>
      </c>
      <c r="C10" s="13">
        <f>Table1346811[[#This Row],[PMI]]-B9</f>
        <v>-3.4000000000000057</v>
      </c>
    </row>
    <row r="11" spans="1:10" x14ac:dyDescent="0.2">
      <c r="A11" s="14">
        <v>41699</v>
      </c>
      <c r="B11" s="13">
        <v>55.3</v>
      </c>
      <c r="C11" s="13">
        <f>Table1346811[[#This Row],[PMI]]-B10</f>
        <v>2</v>
      </c>
    </row>
    <row r="12" spans="1:10" x14ac:dyDescent="0.2">
      <c r="A12" s="14">
        <v>41730</v>
      </c>
      <c r="B12" s="13">
        <v>55</v>
      </c>
      <c r="C12" s="13">
        <f>Table1346811[[#This Row],[PMI]]-B11</f>
        <v>-0.29999999999999716</v>
      </c>
    </row>
    <row r="13" spans="1:10" x14ac:dyDescent="0.2">
      <c r="A13" s="14">
        <v>41760</v>
      </c>
      <c r="B13" s="13">
        <v>58</v>
      </c>
      <c r="C13" s="13">
        <f>Table1346811[[#This Row],[PMI]]-B12</f>
        <v>3</v>
      </c>
    </row>
    <row r="14" spans="1:10" x14ac:dyDescent="0.2">
      <c r="A14" s="14">
        <v>41791</v>
      </c>
      <c r="B14" s="13">
        <v>61</v>
      </c>
      <c r="C14" s="13">
        <f>Table1346811[[#This Row],[PMI]]-B13</f>
        <v>3</v>
      </c>
    </row>
    <row r="15" spans="1:10" x14ac:dyDescent="0.2">
      <c r="A15" s="14">
        <v>41821</v>
      </c>
      <c r="B15" s="13">
        <v>60.8</v>
      </c>
      <c r="C15" s="13">
        <f>Table1346811[[#This Row],[PMI]]-B14</f>
        <v>-0.20000000000000284</v>
      </c>
    </row>
    <row r="16" spans="1:10" x14ac:dyDescent="0.2">
      <c r="A16" s="14">
        <v>41852</v>
      </c>
      <c r="B16" s="13">
        <v>59.5</v>
      </c>
      <c r="C16" s="13">
        <f>Table1346811[[#This Row],[PMI]]-B15</f>
        <v>-1.2999999999999972</v>
      </c>
    </row>
    <row r="17" spans="1:3" x14ac:dyDescent="0.2">
      <c r="A17" s="14">
        <v>41883</v>
      </c>
      <c r="B17" s="13">
        <v>58.9</v>
      </c>
      <c r="C17" s="13">
        <f>Table1346811[[#This Row],[PMI]]-B16</f>
        <v>-0.60000000000000142</v>
      </c>
    </row>
    <row r="18" spans="1:3" x14ac:dyDescent="0.2">
      <c r="A18" s="14">
        <v>41913</v>
      </c>
      <c r="B18" s="13">
        <v>57.1</v>
      </c>
      <c r="C18" s="13">
        <f>Table1346811[[#This Row],[PMI]]-B17</f>
        <v>-1.7999999999999972</v>
      </c>
    </row>
    <row r="19" spans="1:3" x14ac:dyDescent="0.2">
      <c r="A19" s="14">
        <v>41944</v>
      </c>
      <c r="B19" s="13">
        <v>56.2</v>
      </c>
      <c r="C19" s="13">
        <f>Table1346811[[#This Row],[PMI]]-B18</f>
        <v>-0.89999999999999858</v>
      </c>
    </row>
    <row r="20" spans="1:3" x14ac:dyDescent="0.2">
      <c r="A20" s="14">
        <v>41974</v>
      </c>
      <c r="B20" s="13">
        <v>53.3</v>
      </c>
      <c r="C20" s="13">
        <f>Table1346811[[#This Row],[PMI]]-B19</f>
        <v>-2.9000000000000057</v>
      </c>
    </row>
    <row r="21" spans="1:3" x14ac:dyDescent="0.2">
      <c r="A21" s="14">
        <v>42005</v>
      </c>
      <c r="B21" s="13">
        <v>54.2</v>
      </c>
      <c r="C21" s="13">
        <f>Table1346811[[#This Row],[PMI]]-B20</f>
        <v>0.90000000000000568</v>
      </c>
    </row>
    <row r="22" spans="1:3" x14ac:dyDescent="0.2">
      <c r="A22" s="14">
        <v>42036</v>
      </c>
      <c r="B22" s="13">
        <v>57.1</v>
      </c>
      <c r="C22" s="13">
        <f>Table1346811[[#This Row],[PMI]]-B21</f>
        <v>2.8999999999999986</v>
      </c>
    </row>
    <row r="23" spans="1:3" x14ac:dyDescent="0.2">
      <c r="A23" s="14">
        <v>42064</v>
      </c>
      <c r="B23" s="13">
        <v>59.2</v>
      </c>
      <c r="C23" s="13">
        <f>Table1346811[[#This Row],[PMI]]-B22</f>
        <v>2.1000000000000014</v>
      </c>
    </row>
    <row r="24" spans="1:3" x14ac:dyDescent="0.2">
      <c r="A24" s="14">
        <v>42095</v>
      </c>
      <c r="B24" s="13">
        <v>57.4</v>
      </c>
      <c r="C24" s="13">
        <f>Table1346811[[#This Row],[PMI]]-B23</f>
        <v>-1.8000000000000043</v>
      </c>
    </row>
    <row r="25" spans="1:3" x14ac:dyDescent="0.2">
      <c r="A25" s="14">
        <v>42125</v>
      </c>
      <c r="B25" s="13">
        <v>56.2</v>
      </c>
      <c r="C25" s="13">
        <f>Table1346811[[#This Row],[PMI]]-B24</f>
        <v>-1.1999999999999957</v>
      </c>
    </row>
    <row r="26" spans="1:3" x14ac:dyDescent="0.2">
      <c r="A26" s="14">
        <v>42156</v>
      </c>
      <c r="B26" s="13">
        <v>54.8</v>
      </c>
      <c r="C26" s="13">
        <f>Table1346811[[#This Row],[PMI]]-B25</f>
        <v>-1.4000000000000057</v>
      </c>
    </row>
    <row r="27" spans="1:3" x14ac:dyDescent="0.2">
      <c r="A27" s="14">
        <v>42186</v>
      </c>
      <c r="B27" s="13">
        <v>55.7</v>
      </c>
      <c r="C27" s="13">
        <f>Table1346811[[#This Row],[PMI]]-B26</f>
        <v>0.90000000000000568</v>
      </c>
    </row>
    <row r="28" spans="1:3" x14ac:dyDescent="0.2">
      <c r="A28" s="14">
        <v>42217</v>
      </c>
      <c r="B28" s="13">
        <v>56.1</v>
      </c>
      <c r="C28" s="13">
        <f>Table1346811[[#This Row],[PMI]]-B27</f>
        <v>0.39999999999999858</v>
      </c>
    </row>
    <row r="29" spans="1:3" x14ac:dyDescent="0.2">
      <c r="A29" s="14">
        <v>42248</v>
      </c>
      <c r="B29" s="13">
        <v>55.1</v>
      </c>
      <c r="C29" s="13">
        <f>Table1346811[[#This Row],[PMI]]-B28</f>
        <v>-1</v>
      </c>
    </row>
    <row r="30" spans="1:3" x14ac:dyDescent="0.2">
      <c r="A30" s="14">
        <v>42278</v>
      </c>
      <c r="B30" s="13">
        <v>54.8</v>
      </c>
      <c r="C30" s="13">
        <f>Table1346811[[#This Row],[PMI]]-B29</f>
        <v>-0.30000000000000426</v>
      </c>
    </row>
    <row r="31" spans="1:3" x14ac:dyDescent="0.2">
      <c r="A31" s="14">
        <v>42309</v>
      </c>
      <c r="B31" s="13">
        <v>56.1</v>
      </c>
      <c r="C31" s="13">
        <f>Table1346811[[#This Row],[PMI]]-B30</f>
        <v>1.3000000000000043</v>
      </c>
    </row>
    <row r="32" spans="1:3" x14ac:dyDescent="0.2">
      <c r="A32" s="14">
        <v>42339</v>
      </c>
      <c r="B32" s="13">
        <v>54.3</v>
      </c>
      <c r="C32" s="13">
        <f>Table1346811[[#This Row],[PMI]]-B31</f>
        <v>-1.8000000000000043</v>
      </c>
    </row>
    <row r="33" spans="1:3" x14ac:dyDescent="0.2">
      <c r="A33" s="14">
        <v>42370</v>
      </c>
      <c r="B33" s="13">
        <v>53.2</v>
      </c>
      <c r="C33" s="13">
        <f>Table1346811[[#This Row],[PMI]]-B32</f>
        <v>-1.0999999999999943</v>
      </c>
    </row>
    <row r="34" spans="1:3" x14ac:dyDescent="0.2">
      <c r="A34" s="14">
        <v>42401</v>
      </c>
      <c r="B34" s="13">
        <v>49.7</v>
      </c>
      <c r="C34" s="13">
        <f>Table1346811[[#This Row],[PMI]]-B33</f>
        <v>-3.5</v>
      </c>
    </row>
    <row r="35" spans="1:3" x14ac:dyDescent="0.2">
      <c r="A35" s="14">
        <v>42430</v>
      </c>
      <c r="B35" s="13">
        <v>51.3</v>
      </c>
      <c r="C35" s="13">
        <f>Table1346811[[#This Row],[PMI]]-B34</f>
        <v>1.5999999999999943</v>
      </c>
    </row>
    <row r="36" spans="1:3" x14ac:dyDescent="0.2">
      <c r="A36" s="14">
        <v>42461</v>
      </c>
      <c r="B36" s="13">
        <v>52.8</v>
      </c>
      <c r="C36" s="13">
        <f>Table1346811[[#This Row],[PMI]]-B35</f>
        <v>1.5</v>
      </c>
    </row>
    <row r="37" spans="1:3" x14ac:dyDescent="0.2">
      <c r="A37" s="14">
        <v>42491</v>
      </c>
      <c r="B37" s="13">
        <v>51.3</v>
      </c>
      <c r="C37" s="13">
        <f>Table1346811[[#This Row],[PMI]]-B36</f>
        <v>-1.5</v>
      </c>
    </row>
    <row r="38" spans="1:3" x14ac:dyDescent="0.2">
      <c r="A38" s="14">
        <v>42522</v>
      </c>
      <c r="B38" s="13">
        <v>51.4</v>
      </c>
      <c r="C38" s="13">
        <f>Table1346811[[#This Row],[PMI]]-B37</f>
        <v>0.10000000000000142</v>
      </c>
    </row>
    <row r="39" spans="1:3" x14ac:dyDescent="0.2">
      <c r="A39" s="14">
        <v>42552</v>
      </c>
      <c r="B39" s="13">
        <v>51.4</v>
      </c>
      <c r="C39" s="13">
        <f>Table1346811[[#This Row],[PMI]]-B38</f>
        <v>0</v>
      </c>
    </row>
    <row r="40" spans="1:3" x14ac:dyDescent="0.2">
      <c r="A40" s="14">
        <v>42583</v>
      </c>
      <c r="B40" s="13">
        <v>51</v>
      </c>
      <c r="C40" s="13">
        <f>Table1346811[[#This Row],[PMI]]-B39</f>
        <v>-0.39999999999999858</v>
      </c>
    </row>
    <row r="41" spans="1:3" x14ac:dyDescent="0.2">
      <c r="A41" s="14">
        <v>42614</v>
      </c>
      <c r="B41" s="13">
        <v>52.3</v>
      </c>
      <c r="C41" s="13">
        <f>Table1346811[[#This Row],[PMI]]-B40</f>
        <v>1.2999999999999972</v>
      </c>
    </row>
    <row r="42" spans="1:3" x14ac:dyDescent="0.2">
      <c r="A42" s="14">
        <v>42644</v>
      </c>
      <c r="B42" s="13">
        <v>54.8</v>
      </c>
      <c r="C42" s="13">
        <f>Table1346811[[#This Row],[PMI]]-B41</f>
        <v>2.5</v>
      </c>
    </row>
    <row r="43" spans="1:3" x14ac:dyDescent="0.2">
      <c r="A43" s="14">
        <v>42675</v>
      </c>
      <c r="B43" s="13">
        <v>54.6</v>
      </c>
      <c r="C43" s="13">
        <f>Table1346811[[#This Row],[PMI]]-B42</f>
        <v>-0.19999999999999574</v>
      </c>
    </row>
    <row r="44" spans="1:3" x14ac:dyDescent="0.2">
      <c r="A44" s="14">
        <v>42705</v>
      </c>
      <c r="B44" s="13">
        <v>53.9</v>
      </c>
      <c r="C44" s="13">
        <f>Table1346811[[#This Row],[PMI]]-B43</f>
        <v>-0.70000000000000284</v>
      </c>
    </row>
    <row r="45" spans="1:3" x14ac:dyDescent="0.2">
      <c r="A45" s="14">
        <v>42736</v>
      </c>
      <c r="B45" s="13">
        <v>55.6</v>
      </c>
      <c r="C45" s="13">
        <f>Table1346811[[#This Row],[PMI]]-B44</f>
        <v>1.7000000000000028</v>
      </c>
    </row>
    <row r="46" spans="1:3" x14ac:dyDescent="0.2">
      <c r="A46" s="14">
        <v>42767</v>
      </c>
      <c r="B46" s="13">
        <v>53.8</v>
      </c>
      <c r="C46" s="13">
        <f>Table1346811[[#This Row],[PMI]]-B45</f>
        <v>-1.8000000000000043</v>
      </c>
    </row>
    <row r="47" spans="1:3" x14ac:dyDescent="0.2">
      <c r="A47" s="14">
        <v>42795</v>
      </c>
      <c r="B47" s="13">
        <v>52.8</v>
      </c>
      <c r="C47" s="13">
        <f>Table1346811[[#This Row],[PMI]]-B46</f>
        <v>-1</v>
      </c>
    </row>
    <row r="48" spans="1:3" x14ac:dyDescent="0.2">
      <c r="A48" s="14">
        <v>42826</v>
      </c>
      <c r="B48" s="13">
        <v>53.1</v>
      </c>
      <c r="C48" s="13">
        <f>Table1346811[[#This Row],[PMI]]-B47</f>
        <v>0.30000000000000426</v>
      </c>
    </row>
    <row r="49" spans="1:3" x14ac:dyDescent="0.2">
      <c r="A49" s="14">
        <v>42856</v>
      </c>
      <c r="B49" s="13">
        <v>53.6</v>
      </c>
      <c r="C49" s="13">
        <f>Table1346811[[#This Row],[PMI]]-B48</f>
        <v>0.5</v>
      </c>
    </row>
    <row r="50" spans="1:3" x14ac:dyDescent="0.2">
      <c r="A50" s="14">
        <v>42887</v>
      </c>
      <c r="B50" s="13">
        <v>54.2</v>
      </c>
      <c r="C50" s="13">
        <f>Table1346811[[#This Row],[PMI]]-B49</f>
        <v>0.60000000000000142</v>
      </c>
    </row>
    <row r="51" spans="1:3" x14ac:dyDescent="0.2">
      <c r="A51" s="14">
        <v>42917</v>
      </c>
      <c r="B51" s="13">
        <v>54.7</v>
      </c>
      <c r="C51" s="13">
        <f>Table1346811[[#This Row],[PMI]]-B50</f>
        <v>0.5</v>
      </c>
    </row>
    <row r="52" spans="1:3" x14ac:dyDescent="0.2">
      <c r="A52" s="14">
        <v>42948</v>
      </c>
      <c r="B52" s="13">
        <v>56</v>
      </c>
      <c r="C52" s="13">
        <f>Table1346811[[#This Row],[PMI]]-B51</f>
        <v>1.2999999999999972</v>
      </c>
    </row>
    <row r="53" spans="1:3" x14ac:dyDescent="0.2">
      <c r="A53" s="14">
        <v>42979</v>
      </c>
      <c r="B53" s="13">
        <v>55.3</v>
      </c>
      <c r="C53" s="13">
        <f>Table1346811[[#This Row],[PMI]]-B52</f>
        <v>-0.70000000000000284</v>
      </c>
    </row>
    <row r="54" spans="1:3" x14ac:dyDescent="0.2">
      <c r="A54" s="14">
        <v>43009</v>
      </c>
      <c r="B54" s="13">
        <v>55.3</v>
      </c>
      <c r="C54" s="13">
        <f>Table1346811[[#This Row],[PMI]]-B53</f>
        <v>0</v>
      </c>
    </row>
    <row r="55" spans="1:3" x14ac:dyDescent="0.2">
      <c r="A55" s="14">
        <v>43040</v>
      </c>
      <c r="B55" s="13">
        <v>54.5</v>
      </c>
      <c r="C55" s="13">
        <f>Table1346811[[#This Row],[PMI]]-B54</f>
        <v>-0.79999999999999716</v>
      </c>
    </row>
    <row r="56" spans="1:3" x14ac:dyDescent="0.2">
      <c r="A56" s="14">
        <v>43070</v>
      </c>
      <c r="B56" s="13">
        <v>53.7</v>
      </c>
      <c r="C56" s="13">
        <f>Table1346811[[#This Row],[PMI]]-B55</f>
        <v>-0.79999999999999716</v>
      </c>
    </row>
    <row r="57" spans="1:3" x14ac:dyDescent="0.2">
      <c r="A57" s="14">
        <v>43101</v>
      </c>
      <c r="B57" s="13">
        <v>53.3</v>
      </c>
      <c r="C57" s="13">
        <f>Table1346811[[#This Row],[PMI]]-B56</f>
        <v>-0.40000000000000568</v>
      </c>
    </row>
    <row r="58" spans="1:3" x14ac:dyDescent="0.2">
      <c r="A58" s="14">
        <v>43132</v>
      </c>
      <c r="B58" s="13">
        <v>55.9</v>
      </c>
      <c r="C58" s="13">
        <f>Table1346811[[#This Row],[PMI]]-B57</f>
        <v>2.6000000000000014</v>
      </c>
    </row>
    <row r="59" spans="1:3" x14ac:dyDescent="0.2">
      <c r="A59" s="14">
        <v>43160</v>
      </c>
      <c r="B59" s="13">
        <v>54</v>
      </c>
      <c r="C59" s="13">
        <f>Table1346811[[#This Row],[PMI]]-B58</f>
        <v>-1.8999999999999986</v>
      </c>
    </row>
    <row r="60" spans="1:3" x14ac:dyDescent="0.2">
      <c r="A60" s="14">
        <v>43191</v>
      </c>
      <c r="B60" s="13">
        <v>54.6</v>
      </c>
      <c r="C60" s="13">
        <f>Table1346811[[#This Row],[PMI]]-B59</f>
        <v>0.60000000000000142</v>
      </c>
    </row>
    <row r="61" spans="1:3" x14ac:dyDescent="0.2">
      <c r="A61" s="14">
        <v>43221</v>
      </c>
      <c r="B61" s="13">
        <v>56.8</v>
      </c>
      <c r="C61" s="13">
        <f>Table1346811[[#This Row],[PMI]]-B60</f>
        <v>2.1999999999999957</v>
      </c>
    </row>
    <row r="62" spans="1:3" x14ac:dyDescent="0.2">
      <c r="A62" s="14">
        <v>43252</v>
      </c>
      <c r="B62" s="13">
        <v>56.5</v>
      </c>
      <c r="C62" s="13">
        <f>Table1346811[[#This Row],[PMI]]-B61</f>
        <v>-0.29999999999999716</v>
      </c>
    </row>
    <row r="63" spans="1:3" x14ac:dyDescent="0.2">
      <c r="A63" s="14">
        <v>43282</v>
      </c>
      <c r="B63" s="13">
        <v>56</v>
      </c>
      <c r="C63" s="13">
        <f>Table1346811[[#This Row],[PMI]]-B62</f>
        <v>-0.5</v>
      </c>
    </row>
    <row r="64" spans="1:3" x14ac:dyDescent="0.2">
      <c r="A64" s="14">
        <v>43313</v>
      </c>
      <c r="B64" s="13">
        <v>55.2</v>
      </c>
      <c r="C64" s="13">
        <f>Table1346811[[#This Row],[PMI]]-B63</f>
        <v>-0.79999999999999716</v>
      </c>
    </row>
    <row r="65" spans="1:3" x14ac:dyDescent="0.2">
      <c r="A65" s="14">
        <v>43344</v>
      </c>
      <c r="B65" s="13">
        <v>52.9</v>
      </c>
      <c r="C65" s="13">
        <f>Table1346811[[#This Row],[PMI]]-B64</f>
        <v>-2.3000000000000043</v>
      </c>
    </row>
    <row r="66" spans="1:3" x14ac:dyDescent="0.2">
      <c r="A66" s="14">
        <v>43374</v>
      </c>
      <c r="B66" s="13">
        <v>54.8</v>
      </c>
      <c r="C66" s="13">
        <f>Table1346811[[#This Row],[PMI]]-B65</f>
        <v>1.8999999999999986</v>
      </c>
    </row>
    <row r="67" spans="1:3" x14ac:dyDescent="0.2">
      <c r="A67" s="14">
        <v>43405</v>
      </c>
      <c r="B67" s="13">
        <v>54.4</v>
      </c>
      <c r="C67" s="13">
        <f>Table1346811[[#This Row],[PMI]]-B66</f>
        <v>-0.39999999999999858</v>
      </c>
    </row>
    <row r="68" spans="1:3" x14ac:dyDescent="0.2">
      <c r="A68" s="14">
        <v>43435</v>
      </c>
      <c r="B68" s="13">
        <v>54.4</v>
      </c>
      <c r="C68" s="13">
        <f>Table1346811[[#This Row],[PMI]]-B67</f>
        <v>0</v>
      </c>
    </row>
    <row r="69" spans="1:3" x14ac:dyDescent="0.2">
      <c r="A69" s="14">
        <v>43466</v>
      </c>
      <c r="B69" s="13">
        <v>54.2</v>
      </c>
      <c r="C69" s="13">
        <f>Table1346811[[#This Row],[PMI]]-B68</f>
        <v>-0.19999999999999574</v>
      </c>
    </row>
    <row r="70" spans="1:3" x14ac:dyDescent="0.2">
      <c r="A70" s="14">
        <v>43497</v>
      </c>
      <c r="B70" s="13">
        <v>56.2</v>
      </c>
      <c r="C70" s="13">
        <f>Table1346811[[#This Row],[PMI]]-B69</f>
        <v>2</v>
      </c>
    </row>
    <row r="71" spans="1:3" x14ac:dyDescent="0.2">
      <c r="A71" s="14">
        <v>43525</v>
      </c>
      <c r="B71" s="13">
        <v>54.8</v>
      </c>
      <c r="C71" s="13">
        <f>Table1346811[[#This Row],[PMI]]-B70</f>
        <v>-1.4000000000000057</v>
      </c>
    </row>
    <row r="72" spans="1:3" x14ac:dyDescent="0.2">
      <c r="A72" s="14">
        <v>43556</v>
      </c>
      <c r="B72" s="13">
        <v>53</v>
      </c>
      <c r="C72" s="13">
        <f>Table1346811[[#This Row],[PMI]]-B71</f>
        <v>-1.7999999999999972</v>
      </c>
    </row>
    <row r="73" spans="1:3" x14ac:dyDescent="0.2">
      <c r="A73" s="14">
        <v>43586</v>
      </c>
      <c r="B73" s="13">
        <v>50.9</v>
      </c>
      <c r="C73" s="13">
        <f>Table1346811[[#This Row],[PMI]]-B72</f>
        <v>-2.1000000000000014</v>
      </c>
    </row>
    <row r="74" spans="1:3" x14ac:dyDescent="0.2">
      <c r="A74" s="14">
        <v>43617</v>
      </c>
      <c r="B74" s="13">
        <v>51.5</v>
      </c>
      <c r="C74" s="13">
        <f>Table1346811[[#This Row],[PMI]]-B73</f>
        <v>0.60000000000000142</v>
      </c>
    </row>
    <row r="75" spans="1:3" x14ac:dyDescent="0.2">
      <c r="A75" s="14">
        <v>43647</v>
      </c>
      <c r="B75" s="13">
        <v>53</v>
      </c>
      <c r="C75" s="13">
        <f>Table1346811[[#This Row],[PMI]]-B74</f>
        <v>1.5</v>
      </c>
    </row>
    <row r="76" spans="1:3" x14ac:dyDescent="0.2">
      <c r="A76" s="14">
        <v>43678</v>
      </c>
      <c r="B76" s="13">
        <v>50.7</v>
      </c>
      <c r="C76" s="13">
        <f>Table1346811[[#This Row],[PMI]]-B75</f>
        <v>-2.2999999999999972</v>
      </c>
    </row>
    <row r="77" spans="1:3" x14ac:dyDescent="0.2">
      <c r="A77" s="14">
        <v>43709</v>
      </c>
      <c r="B77" s="13">
        <v>50.9</v>
      </c>
      <c r="C77" s="13">
        <f>Table1346811[[#This Row],[PMI]]-B76</f>
        <v>0.19999999999999574</v>
      </c>
    </row>
    <row r="78" spans="1:3" x14ac:dyDescent="0.2">
      <c r="A78" s="14">
        <v>43739</v>
      </c>
      <c r="B78" s="13">
        <v>50.6</v>
      </c>
      <c r="C78" s="13">
        <f>Table1346811[[#This Row],[PMI]]-B77</f>
        <v>-0.29999999999999716</v>
      </c>
    </row>
    <row r="79" spans="1:3" x14ac:dyDescent="0.2">
      <c r="A79" s="14">
        <v>43770</v>
      </c>
      <c r="B79" s="13">
        <v>51.6</v>
      </c>
      <c r="C79" s="13">
        <f>Table1346811[[#This Row],[PMI]]-B78</f>
        <v>1</v>
      </c>
    </row>
    <row r="80" spans="1:3" x14ac:dyDescent="0.2">
      <c r="A80" s="14">
        <v>43800</v>
      </c>
      <c r="B80" s="13">
        <v>52.8</v>
      </c>
      <c r="C80" s="13">
        <f>Table1346811[[#This Row],[PMI]]-B79</f>
        <v>1.1999999999999957</v>
      </c>
    </row>
    <row r="81" spans="1:3" x14ac:dyDescent="0.2">
      <c r="A81" s="14">
        <v>43831</v>
      </c>
      <c r="B81" s="13">
        <v>53.4</v>
      </c>
      <c r="C81" s="13">
        <f>Table1346811[[#This Row],[PMI]]-B80</f>
        <v>0.60000000000000142</v>
      </c>
    </row>
    <row r="82" spans="1:3" x14ac:dyDescent="0.2">
      <c r="A82" s="14">
        <v>43862</v>
      </c>
      <c r="B82" s="13">
        <v>49.4</v>
      </c>
      <c r="C82" s="13">
        <f>Table1346811[[#This Row],[PMI]]-B81</f>
        <v>-4</v>
      </c>
    </row>
    <row r="83" spans="1:3" x14ac:dyDescent="0.2">
      <c r="A83" s="14">
        <v>43891</v>
      </c>
      <c r="B83" s="13">
        <v>39.799999999999997</v>
      </c>
      <c r="C83" s="13">
        <f>Table1346811[[#This Row],[PMI]]-B82</f>
        <v>-9.6000000000000014</v>
      </c>
    </row>
    <row r="84" spans="1:3" x14ac:dyDescent="0.2">
      <c r="A84" s="14">
        <v>43922</v>
      </c>
      <c r="B84" s="13">
        <v>26.7</v>
      </c>
      <c r="C84" s="13">
        <f>Table1346811[[#This Row],[PMI]]-B83</f>
        <v>-13.099999999999998</v>
      </c>
    </row>
    <row r="85" spans="1:3" x14ac:dyDescent="0.2">
      <c r="A85" s="14">
        <v>43952</v>
      </c>
      <c r="B85" s="13">
        <v>37.5</v>
      </c>
      <c r="C85" s="13">
        <f>Table1346811[[#This Row],[PMI]]-B84</f>
        <v>10.8</v>
      </c>
    </row>
    <row r="86" spans="1:3" x14ac:dyDescent="0.2">
      <c r="A86" s="14">
        <v>43983</v>
      </c>
      <c r="B86" s="13">
        <v>47.9</v>
      </c>
      <c r="C86" s="13">
        <f>Table1346811[[#This Row],[PMI]]-B85</f>
        <v>10.399999999999999</v>
      </c>
    </row>
    <row r="87" spans="1:3" x14ac:dyDescent="0.2">
      <c r="A87" s="14">
        <v>44013</v>
      </c>
      <c r="B87" s="13">
        <v>50</v>
      </c>
      <c r="C87" s="13">
        <f>Table1346811[[#This Row],[PMI]]-B86</f>
        <v>2.1000000000000014</v>
      </c>
    </row>
    <row r="88" spans="1:3" x14ac:dyDescent="0.2">
      <c r="A88" s="14">
        <v>44044</v>
      </c>
      <c r="B88" s="13">
        <v>55</v>
      </c>
      <c r="C88" s="13">
        <f>Table1346811[[#This Row],[PMI]]-B87</f>
        <v>5</v>
      </c>
    </row>
    <row r="89" spans="1:3" x14ac:dyDescent="0.2">
      <c r="A89" s="14">
        <v>44075</v>
      </c>
      <c r="B89" s="13">
        <v>54.6</v>
      </c>
      <c r="C89" s="13">
        <f>Table1346811[[#This Row],[PMI]]-B88</f>
        <v>-0.39999999999999858</v>
      </c>
    </row>
    <row r="90" spans="1:3" x14ac:dyDescent="0.2">
      <c r="A90" s="14">
        <v>44105</v>
      </c>
      <c r="B90" s="13">
        <v>56.9</v>
      </c>
      <c r="C90" s="13">
        <f>Table1346811[[#This Row],[PMI]]-B89</f>
        <v>2.2999999999999972</v>
      </c>
    </row>
    <row r="91" spans="1:3" x14ac:dyDescent="0.2">
      <c r="A91" s="14">
        <v>44136</v>
      </c>
      <c r="B91" s="13">
        <v>58.4</v>
      </c>
      <c r="C91" s="13">
        <f>Table1346811[[#This Row],[PMI]]-B90</f>
        <v>1.5</v>
      </c>
    </row>
    <row r="92" spans="1:3" x14ac:dyDescent="0.2">
      <c r="A92" s="14">
        <v>44166</v>
      </c>
      <c r="B92" s="13">
        <v>54.8</v>
      </c>
      <c r="C92" s="13">
        <f>Table1346811[[#This Row],[PMI]]-B91</f>
        <v>-3.6000000000000014</v>
      </c>
    </row>
    <row r="93" spans="1:3" x14ac:dyDescent="0.2">
      <c r="A93" s="14">
        <v>44197</v>
      </c>
      <c r="B93" s="13">
        <v>58.3</v>
      </c>
      <c r="C93" s="13">
        <f>Table1346811[[#This Row],[PMI]]-B92</f>
        <v>3.5</v>
      </c>
    </row>
    <row r="94" spans="1:3" x14ac:dyDescent="0.2">
      <c r="A94" s="14">
        <v>44228</v>
      </c>
      <c r="B94" s="13">
        <v>59.8</v>
      </c>
      <c r="C94" s="13">
        <f>Table1346811[[#This Row],[PMI]]-B93</f>
        <v>1.5</v>
      </c>
    </row>
    <row r="95" spans="1:3" x14ac:dyDescent="0.2">
      <c r="A95" s="14">
        <v>44256</v>
      </c>
      <c r="B95" s="13">
        <v>60.4</v>
      </c>
      <c r="C95" s="13">
        <f>Table1346811[[#This Row],[PMI]]-B94</f>
        <v>0.60000000000000142</v>
      </c>
    </row>
    <row r="96" spans="1:3" x14ac:dyDescent="0.2">
      <c r="A96" s="14">
        <v>44287</v>
      </c>
      <c r="B96" s="13">
        <v>64.7</v>
      </c>
      <c r="C96" s="13">
        <f>Table1346811[[#This Row],[PMI]]-B95</f>
        <v>4.3000000000000043</v>
      </c>
    </row>
    <row r="97" spans="1:3" x14ac:dyDescent="0.2">
      <c r="A97" s="14">
        <v>44317</v>
      </c>
      <c r="B97" s="13">
        <v>70.400000000000006</v>
      </c>
      <c r="C97" s="13">
        <f>Table1346811[[#This Row],[PMI]]-B96</f>
        <v>5.7000000000000028</v>
      </c>
    </row>
    <row r="98" spans="1:3" x14ac:dyDescent="0.2">
      <c r="A98" s="14">
        <v>44348</v>
      </c>
      <c r="B98" s="13">
        <v>64.599999999999994</v>
      </c>
      <c r="C98" s="13">
        <f>Table1346811[[#This Row],[PMI]]-B97</f>
        <v>-5.8000000000000114</v>
      </c>
    </row>
    <row r="99" spans="1:3" x14ac:dyDescent="0.2">
      <c r="A99" s="14">
        <v>44378</v>
      </c>
      <c r="B99" s="13">
        <v>59.9</v>
      </c>
      <c r="C99" s="13">
        <f>Table1346811[[#This Row],[PMI]]-B98</f>
        <v>-4.6999999999999957</v>
      </c>
    </row>
    <row r="100" spans="1:3" x14ac:dyDescent="0.2">
      <c r="A100" s="14">
        <v>44409</v>
      </c>
      <c r="B100" s="13">
        <v>55.1</v>
      </c>
      <c r="C100" s="13">
        <f>Table1346811[[#This Row],[PMI]]-B99</f>
        <v>-4.7999999999999972</v>
      </c>
    </row>
    <row r="101" spans="1:3" x14ac:dyDescent="0.2">
      <c r="A101" s="14">
        <v>44440</v>
      </c>
      <c r="B101" s="13">
        <v>54.9</v>
      </c>
      <c r="C101" s="13">
        <f>Table1346811[[#This Row],[PMI]]-B100</f>
        <v>-0.20000000000000284</v>
      </c>
    </row>
    <row r="102" spans="1:3" x14ac:dyDescent="0.2">
      <c r="A102" s="14">
        <v>44470</v>
      </c>
      <c r="B102" s="13">
        <v>58.7</v>
      </c>
      <c r="C102" s="13">
        <f>Table1346811[[#This Row],[PMI]]-B101</f>
        <v>3.8000000000000043</v>
      </c>
    </row>
    <row r="103" spans="1:3" x14ac:dyDescent="0.2">
      <c r="A103" s="14">
        <v>44501</v>
      </c>
      <c r="B103" s="13">
        <v>58</v>
      </c>
      <c r="C103" s="13">
        <f>Table1346811[[#This Row],[PMI]]-B102</f>
        <v>-0.70000000000000284</v>
      </c>
    </row>
    <row r="104" spans="1:3" x14ac:dyDescent="0.2">
      <c r="A104" s="14">
        <v>44531</v>
      </c>
      <c r="B104" s="13">
        <v>57.6</v>
      </c>
      <c r="C104" s="13">
        <f>Table1346811[[#This Row],[PMI]]-B103</f>
        <v>-0.39999999999999858</v>
      </c>
    </row>
  </sheetData>
  <conditionalFormatting sqref="B6:B104">
    <cfRule type="colorScale" priority="46">
      <colorScale>
        <cfvo type="min"/>
        <cfvo type="percentile" val="50"/>
        <cfvo type="max"/>
        <color rgb="FFF8696B"/>
        <color rgb="FFFFEB84"/>
        <color rgb="FF63BE7B"/>
      </colorScale>
    </cfRule>
  </conditionalFormatting>
  <conditionalFormatting sqref="C7:C104">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4C733-BF4B-4B53-846D-F5D6BA8EBE01}">
  <dimension ref="A1:J179"/>
  <sheetViews>
    <sheetView zoomScale="170" zoomScaleNormal="170" workbookViewId="0">
      <pane ySplit="5" topLeftCell="A145" activePane="bottomLeft" state="frozen"/>
      <selection pane="bottomLeft" activeCell="B179" sqref="B179"/>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16</v>
      </c>
      <c r="J1" s="25" t="s">
        <v>42</v>
      </c>
    </row>
    <row r="2" spans="1:10" x14ac:dyDescent="0.2">
      <c r="J2" s="25" t="str">
        <f>A1&amp;J1</f>
        <v>Euro Area Services PMI</v>
      </c>
    </row>
    <row r="4" spans="1:10" ht="16" thickBot="1" x14ac:dyDescent="0.25"/>
    <row r="5" spans="1:10" ht="16" thickBot="1" x14ac:dyDescent="0.25">
      <c r="A5" s="19" t="s">
        <v>9</v>
      </c>
      <c r="B5" s="20" t="s">
        <v>10</v>
      </c>
      <c r="C5" s="20" t="s">
        <v>11</v>
      </c>
    </row>
    <row r="6" spans="1:10" x14ac:dyDescent="0.2">
      <c r="A6" s="17">
        <v>39264</v>
      </c>
      <c r="B6" s="18">
        <v>58.3</v>
      </c>
      <c r="C6" s="18"/>
    </row>
    <row r="7" spans="1:10" x14ac:dyDescent="0.2">
      <c r="A7" s="14">
        <v>39295</v>
      </c>
      <c r="B7" s="13">
        <v>58</v>
      </c>
      <c r="C7" s="13">
        <f>Table13468113[[#This Row],[PMI]]-B6</f>
        <v>-0.29999999999999716</v>
      </c>
    </row>
    <row r="8" spans="1:10" x14ac:dyDescent="0.2">
      <c r="A8" s="14">
        <v>39326</v>
      </c>
      <c r="B8" s="13">
        <v>54.2</v>
      </c>
      <c r="C8" s="13">
        <f>Table13468113[[#This Row],[PMI]]-B7</f>
        <v>-3.7999999999999972</v>
      </c>
    </row>
    <row r="9" spans="1:10" x14ac:dyDescent="0.2">
      <c r="A9" s="14">
        <v>39356</v>
      </c>
      <c r="B9" s="13">
        <v>55.8</v>
      </c>
      <c r="C9" s="13">
        <f>Table13468113[[#This Row],[PMI]]-B8</f>
        <v>1.5999999999999943</v>
      </c>
    </row>
    <row r="10" spans="1:10" x14ac:dyDescent="0.2">
      <c r="A10" s="14">
        <v>39387</v>
      </c>
      <c r="B10" s="13">
        <v>54.1</v>
      </c>
      <c r="C10" s="13">
        <f>Table13468113[[#This Row],[PMI]]-B9</f>
        <v>-1.6999999999999957</v>
      </c>
    </row>
    <row r="11" spans="1:10" x14ac:dyDescent="0.2">
      <c r="A11" s="14">
        <v>39417</v>
      </c>
      <c r="B11" s="13">
        <v>53.1</v>
      </c>
      <c r="C11" s="13">
        <f>Table13468113[[#This Row],[PMI]]-B10</f>
        <v>-1</v>
      </c>
    </row>
    <row r="12" spans="1:10" x14ac:dyDescent="0.2">
      <c r="A12" s="14">
        <v>39448</v>
      </c>
      <c r="B12" s="13">
        <v>50.6</v>
      </c>
      <c r="C12" s="13">
        <f>Table13468113[[#This Row],[PMI]]-B11</f>
        <v>-2.5</v>
      </c>
    </row>
    <row r="13" spans="1:10" x14ac:dyDescent="0.2">
      <c r="A13" s="14">
        <v>39479</v>
      </c>
      <c r="B13" s="13">
        <v>51.7</v>
      </c>
      <c r="C13" s="13">
        <f>Table13468113[[#This Row],[PMI]]-B12</f>
        <v>1.1000000000000014</v>
      </c>
    </row>
    <row r="14" spans="1:10" x14ac:dyDescent="0.2">
      <c r="A14" s="14">
        <v>39508</v>
      </c>
      <c r="B14" s="13">
        <v>51.6</v>
      </c>
      <c r="C14" s="13">
        <f>Table13468113[[#This Row],[PMI]]-B13</f>
        <v>-0.10000000000000142</v>
      </c>
    </row>
    <row r="15" spans="1:10" x14ac:dyDescent="0.2">
      <c r="A15" s="14">
        <v>39539</v>
      </c>
      <c r="B15" s="13">
        <v>52</v>
      </c>
      <c r="C15" s="13">
        <f>Table13468113[[#This Row],[PMI]]-B14</f>
        <v>0.39999999999999858</v>
      </c>
    </row>
    <row r="16" spans="1:10" x14ac:dyDescent="0.2">
      <c r="A16" s="14">
        <v>39569</v>
      </c>
      <c r="B16" s="13">
        <v>50.6</v>
      </c>
      <c r="C16" s="13">
        <f>Table13468113[[#This Row],[PMI]]-B15</f>
        <v>-1.3999999999999986</v>
      </c>
    </row>
    <row r="17" spans="1:3" x14ac:dyDescent="0.2">
      <c r="A17" s="14">
        <v>39600</v>
      </c>
      <c r="B17" s="13">
        <v>49.1</v>
      </c>
      <c r="C17" s="13">
        <f>Table13468113[[#This Row],[PMI]]-B16</f>
        <v>-1.5</v>
      </c>
    </row>
    <row r="18" spans="1:3" x14ac:dyDescent="0.2">
      <c r="A18" s="14">
        <v>39630</v>
      </c>
      <c r="B18" s="13">
        <v>48.3</v>
      </c>
      <c r="C18" s="13">
        <f>Table13468113[[#This Row],[PMI]]-B17</f>
        <v>-0.80000000000000426</v>
      </c>
    </row>
    <row r="19" spans="1:3" x14ac:dyDescent="0.2">
      <c r="A19" s="14">
        <v>39661</v>
      </c>
      <c r="B19" s="13">
        <v>48.5</v>
      </c>
      <c r="C19" s="13">
        <f>Table13468113[[#This Row],[PMI]]-B18</f>
        <v>0.20000000000000284</v>
      </c>
    </row>
    <row r="20" spans="1:3" x14ac:dyDescent="0.2">
      <c r="A20" s="14">
        <v>39692</v>
      </c>
      <c r="B20" s="13">
        <v>48.4</v>
      </c>
      <c r="C20" s="13">
        <f>Table13468113[[#This Row],[PMI]]-B19</f>
        <v>-0.10000000000000142</v>
      </c>
    </row>
    <row r="21" spans="1:3" x14ac:dyDescent="0.2">
      <c r="A21" s="14">
        <v>39722</v>
      </c>
      <c r="B21" s="13">
        <v>45.8</v>
      </c>
      <c r="C21" s="13">
        <f>Table13468113[[#This Row],[PMI]]-B20</f>
        <v>-2.6000000000000014</v>
      </c>
    </row>
    <row r="22" spans="1:3" x14ac:dyDescent="0.2">
      <c r="A22" s="14">
        <v>39753</v>
      </c>
      <c r="B22" s="13">
        <v>42.5</v>
      </c>
      <c r="C22" s="13">
        <f>Table13468113[[#This Row],[PMI]]-B21</f>
        <v>-3.2999999999999972</v>
      </c>
    </row>
    <row r="23" spans="1:3" x14ac:dyDescent="0.2">
      <c r="A23" s="14">
        <v>39783</v>
      </c>
      <c r="B23" s="13">
        <v>42.3</v>
      </c>
      <c r="C23" s="13">
        <f>Table13468113[[#This Row],[PMI]]-B22</f>
        <v>-0.20000000000000284</v>
      </c>
    </row>
    <row r="24" spans="1:3" x14ac:dyDescent="0.2">
      <c r="A24" s="14">
        <v>39814</v>
      </c>
      <c r="B24" s="13">
        <v>42.2</v>
      </c>
      <c r="C24" s="13">
        <f>Table13468113[[#This Row],[PMI]]-B23</f>
        <v>-9.9999999999994316E-2</v>
      </c>
    </row>
    <row r="25" spans="1:3" x14ac:dyDescent="0.2">
      <c r="A25" s="14">
        <v>39845</v>
      </c>
      <c r="B25" s="13">
        <v>39.200000000000003</v>
      </c>
      <c r="C25" s="13">
        <f>Table13468113[[#This Row],[PMI]]-B24</f>
        <v>-3</v>
      </c>
    </row>
    <row r="26" spans="1:3" x14ac:dyDescent="0.2">
      <c r="A26" s="14">
        <v>39873</v>
      </c>
      <c r="B26" s="13">
        <v>40.9</v>
      </c>
      <c r="C26" s="13">
        <f>Table13468113[[#This Row],[PMI]]-B25</f>
        <v>1.6999999999999957</v>
      </c>
    </row>
    <row r="27" spans="1:3" x14ac:dyDescent="0.2">
      <c r="A27" s="14">
        <v>39904</v>
      </c>
      <c r="B27" s="13">
        <v>43.8</v>
      </c>
      <c r="C27" s="13">
        <f>Table13468113[[#This Row],[PMI]]-B26</f>
        <v>2.8999999999999986</v>
      </c>
    </row>
    <row r="28" spans="1:3" x14ac:dyDescent="0.2">
      <c r="A28" s="14">
        <v>39934</v>
      </c>
      <c r="B28" s="13">
        <v>44.8</v>
      </c>
      <c r="C28" s="13">
        <f>Table13468113[[#This Row],[PMI]]-B27</f>
        <v>1</v>
      </c>
    </row>
    <row r="29" spans="1:3" x14ac:dyDescent="0.2">
      <c r="A29" s="14">
        <v>39965</v>
      </c>
      <c r="B29" s="13">
        <v>44.7</v>
      </c>
      <c r="C29" s="13">
        <f>Table13468113[[#This Row],[PMI]]-B28</f>
        <v>-9.9999999999994316E-2</v>
      </c>
    </row>
    <row r="30" spans="1:3" x14ac:dyDescent="0.2">
      <c r="A30" s="14">
        <v>39995</v>
      </c>
      <c r="B30" s="13">
        <v>45.7</v>
      </c>
      <c r="C30" s="13">
        <f>Table13468113[[#This Row],[PMI]]-B29</f>
        <v>1</v>
      </c>
    </row>
    <row r="31" spans="1:3" x14ac:dyDescent="0.2">
      <c r="A31" s="14">
        <v>40026</v>
      </c>
      <c r="B31" s="13">
        <v>49.9</v>
      </c>
      <c r="C31" s="13">
        <f>Table13468113[[#This Row],[PMI]]-B30</f>
        <v>4.1999999999999957</v>
      </c>
    </row>
    <row r="32" spans="1:3" x14ac:dyDescent="0.2">
      <c r="A32" s="14">
        <v>40057</v>
      </c>
      <c r="B32" s="13">
        <v>50.9</v>
      </c>
      <c r="C32" s="13">
        <f>Table13468113[[#This Row],[PMI]]-B31</f>
        <v>1</v>
      </c>
    </row>
    <row r="33" spans="1:3" x14ac:dyDescent="0.2">
      <c r="A33" s="14">
        <v>40087</v>
      </c>
      <c r="B33" s="13">
        <v>52.6</v>
      </c>
      <c r="C33" s="13">
        <f>Table13468113[[#This Row],[PMI]]-B32</f>
        <v>1.7000000000000028</v>
      </c>
    </row>
    <row r="34" spans="1:3" x14ac:dyDescent="0.2">
      <c r="A34" s="14">
        <v>40118</v>
      </c>
      <c r="B34" s="13">
        <v>53</v>
      </c>
      <c r="C34" s="13">
        <f>Table13468113[[#This Row],[PMI]]-B33</f>
        <v>0.39999999999999858</v>
      </c>
    </row>
    <row r="35" spans="1:3" x14ac:dyDescent="0.2">
      <c r="A35" s="14">
        <v>40148</v>
      </c>
      <c r="B35" s="13">
        <v>52.9</v>
      </c>
      <c r="C35" s="13">
        <f>Table13468113[[#This Row],[PMI]]-B34</f>
        <v>-0.10000000000000142</v>
      </c>
    </row>
    <row r="36" spans="1:3" x14ac:dyDescent="0.2">
      <c r="A36" s="14">
        <v>40179</v>
      </c>
      <c r="B36" s="13">
        <v>52.5</v>
      </c>
      <c r="C36" s="13">
        <f>Table13468113[[#This Row],[PMI]]-B35</f>
        <v>-0.39999999999999858</v>
      </c>
    </row>
    <row r="37" spans="1:3" x14ac:dyDescent="0.2">
      <c r="A37" s="14">
        <v>40210</v>
      </c>
      <c r="B37" s="13">
        <v>51.8</v>
      </c>
      <c r="C37" s="13">
        <f>Table13468113[[#This Row],[PMI]]-B36</f>
        <v>-0.70000000000000284</v>
      </c>
    </row>
    <row r="38" spans="1:3" x14ac:dyDescent="0.2">
      <c r="A38" s="14">
        <v>40238</v>
      </c>
      <c r="B38" s="13">
        <v>54.1</v>
      </c>
      <c r="C38" s="13">
        <f>Table13468113[[#This Row],[PMI]]-B37</f>
        <v>2.3000000000000043</v>
      </c>
    </row>
    <row r="39" spans="1:3" x14ac:dyDescent="0.2">
      <c r="A39" s="14">
        <v>40269</v>
      </c>
      <c r="B39" s="13">
        <v>55.6</v>
      </c>
      <c r="C39" s="13">
        <f>Table13468113[[#This Row],[PMI]]-B38</f>
        <v>1.5</v>
      </c>
    </row>
    <row r="40" spans="1:3" x14ac:dyDescent="0.2">
      <c r="A40" s="14">
        <v>40299</v>
      </c>
      <c r="B40" s="13">
        <v>56.2</v>
      </c>
      <c r="C40" s="13">
        <f>Table13468113[[#This Row],[PMI]]-B39</f>
        <v>0.60000000000000142</v>
      </c>
    </row>
    <row r="41" spans="1:3" x14ac:dyDescent="0.2">
      <c r="A41" s="14">
        <v>40330</v>
      </c>
      <c r="B41" s="13">
        <v>55.5</v>
      </c>
      <c r="C41" s="13">
        <f>Table13468113[[#This Row],[PMI]]-B40</f>
        <v>-0.70000000000000284</v>
      </c>
    </row>
    <row r="42" spans="1:3" x14ac:dyDescent="0.2">
      <c r="A42" s="14">
        <v>40360</v>
      </c>
      <c r="B42" s="13">
        <v>55.8</v>
      </c>
      <c r="C42" s="13">
        <f>Table13468113[[#This Row],[PMI]]-B41</f>
        <v>0.29999999999999716</v>
      </c>
    </row>
    <row r="43" spans="1:3" x14ac:dyDescent="0.2">
      <c r="A43" s="14">
        <v>40391</v>
      </c>
      <c r="B43" s="13">
        <v>55.9</v>
      </c>
      <c r="C43" s="13">
        <f>Table13468113[[#This Row],[PMI]]-B42</f>
        <v>0.10000000000000142</v>
      </c>
    </row>
    <row r="44" spans="1:3" x14ac:dyDescent="0.2">
      <c r="A44" s="14">
        <v>40422</v>
      </c>
      <c r="B44" s="13">
        <v>54.1</v>
      </c>
      <c r="C44" s="13">
        <f>Table13468113[[#This Row],[PMI]]-B43</f>
        <v>-1.7999999999999972</v>
      </c>
    </row>
    <row r="45" spans="1:3" x14ac:dyDescent="0.2">
      <c r="A45" s="14">
        <v>40452</v>
      </c>
      <c r="B45" s="13">
        <v>53.3</v>
      </c>
      <c r="C45" s="13">
        <f>Table13468113[[#This Row],[PMI]]-B44</f>
        <v>-0.80000000000000426</v>
      </c>
    </row>
    <row r="46" spans="1:3" x14ac:dyDescent="0.2">
      <c r="A46" s="14">
        <v>40483</v>
      </c>
      <c r="B46" s="13">
        <v>55.4</v>
      </c>
      <c r="C46" s="13">
        <f>Table13468113[[#This Row],[PMI]]-B45</f>
        <v>2.1000000000000014</v>
      </c>
    </row>
    <row r="47" spans="1:3" x14ac:dyDescent="0.2">
      <c r="A47" s="14">
        <v>40513</v>
      </c>
      <c r="B47" s="13">
        <v>56.5</v>
      </c>
      <c r="C47" s="13">
        <f>Table13468113[[#This Row],[PMI]]-B46</f>
        <v>1.1000000000000014</v>
      </c>
    </row>
    <row r="48" spans="1:3" x14ac:dyDescent="0.2">
      <c r="A48" s="14">
        <v>40544</v>
      </c>
      <c r="B48" s="13">
        <v>55.9</v>
      </c>
      <c r="C48" s="13">
        <f>Table13468113[[#This Row],[PMI]]-B47</f>
        <v>-0.60000000000000142</v>
      </c>
    </row>
    <row r="49" spans="1:3" x14ac:dyDescent="0.2">
      <c r="A49" s="14">
        <v>40575</v>
      </c>
      <c r="B49" s="13">
        <v>56.8</v>
      </c>
      <c r="C49" s="13">
        <f>Table13468113[[#This Row],[PMI]]-B48</f>
        <v>0.89999999999999858</v>
      </c>
    </row>
    <row r="50" spans="1:3" x14ac:dyDescent="0.2">
      <c r="A50" s="14">
        <v>40603</v>
      </c>
      <c r="B50" s="13">
        <v>57.2</v>
      </c>
      <c r="C50" s="13">
        <f>Table13468113[[#This Row],[PMI]]-B49</f>
        <v>0.40000000000000568</v>
      </c>
    </row>
    <row r="51" spans="1:3" x14ac:dyDescent="0.2">
      <c r="A51" s="14">
        <v>40634</v>
      </c>
      <c r="B51" s="13">
        <v>56.7</v>
      </c>
      <c r="C51" s="13">
        <f>Table13468113[[#This Row],[PMI]]-B50</f>
        <v>-0.5</v>
      </c>
    </row>
    <row r="52" spans="1:3" x14ac:dyDescent="0.2">
      <c r="A52" s="14">
        <v>40664</v>
      </c>
      <c r="B52" s="13">
        <v>55.4</v>
      </c>
      <c r="C52" s="13">
        <f>Table13468113[[#This Row],[PMI]]-B51</f>
        <v>-1.3000000000000043</v>
      </c>
    </row>
    <row r="53" spans="1:3" x14ac:dyDescent="0.2">
      <c r="A53" s="14">
        <v>40695</v>
      </c>
      <c r="B53" s="13">
        <v>53.7</v>
      </c>
      <c r="C53" s="13">
        <f>Table13468113[[#This Row],[PMI]]-B52</f>
        <v>-1.6999999999999957</v>
      </c>
    </row>
    <row r="54" spans="1:3" x14ac:dyDescent="0.2">
      <c r="A54" s="14">
        <v>40725</v>
      </c>
      <c r="B54" s="13">
        <v>51.6</v>
      </c>
      <c r="C54" s="13">
        <f>Table13468113[[#This Row],[PMI]]-B53</f>
        <v>-2.1000000000000014</v>
      </c>
    </row>
    <row r="55" spans="1:3" x14ac:dyDescent="0.2">
      <c r="A55" s="14">
        <v>40756</v>
      </c>
      <c r="B55" s="13">
        <v>51.5</v>
      </c>
      <c r="C55" s="13">
        <f>Table13468113[[#This Row],[PMI]]-B54</f>
        <v>-0.10000000000000142</v>
      </c>
    </row>
    <row r="56" spans="1:3" x14ac:dyDescent="0.2">
      <c r="A56" s="14">
        <v>40787</v>
      </c>
      <c r="B56" s="13">
        <v>48.8</v>
      </c>
      <c r="C56" s="13">
        <f>Table13468113[[#This Row],[PMI]]-B55</f>
        <v>-2.7000000000000028</v>
      </c>
    </row>
    <row r="57" spans="1:3" x14ac:dyDescent="0.2">
      <c r="A57" s="14">
        <v>40817</v>
      </c>
      <c r="B57" s="13">
        <v>46.4</v>
      </c>
      <c r="C57" s="13">
        <f>Table13468113[[#This Row],[PMI]]-B56</f>
        <v>-2.3999999999999986</v>
      </c>
    </row>
    <row r="58" spans="1:3" x14ac:dyDescent="0.2">
      <c r="A58" s="14">
        <v>40848</v>
      </c>
      <c r="B58" s="13">
        <v>47.5</v>
      </c>
      <c r="C58" s="13">
        <f>Table13468113[[#This Row],[PMI]]-B57</f>
        <v>1.1000000000000014</v>
      </c>
    </row>
    <row r="59" spans="1:3" x14ac:dyDescent="0.2">
      <c r="A59" s="14">
        <v>40878</v>
      </c>
      <c r="B59" s="13">
        <v>48.8</v>
      </c>
      <c r="C59" s="13">
        <f>Table13468113[[#This Row],[PMI]]-B58</f>
        <v>1.2999999999999972</v>
      </c>
    </row>
    <row r="60" spans="1:3" x14ac:dyDescent="0.2">
      <c r="A60" s="14">
        <v>40909</v>
      </c>
      <c r="B60" s="13">
        <v>50.4</v>
      </c>
      <c r="C60" s="13">
        <f>Table13468113[[#This Row],[PMI]]-B59</f>
        <v>1.6000000000000014</v>
      </c>
    </row>
    <row r="61" spans="1:3" x14ac:dyDescent="0.2">
      <c r="A61" s="14">
        <v>40940</v>
      </c>
      <c r="B61" s="13">
        <v>48.8</v>
      </c>
      <c r="C61" s="13">
        <f>Table13468113[[#This Row],[PMI]]-B60</f>
        <v>-1.6000000000000014</v>
      </c>
    </row>
    <row r="62" spans="1:3" x14ac:dyDescent="0.2">
      <c r="A62" s="14">
        <v>40969</v>
      </c>
      <c r="B62" s="13">
        <v>47.9</v>
      </c>
      <c r="C62" s="13">
        <f>Table13468113[[#This Row],[PMI]]-B61</f>
        <v>-0.89999999999999858</v>
      </c>
    </row>
    <row r="63" spans="1:3" x14ac:dyDescent="0.2">
      <c r="A63" s="14">
        <v>41000</v>
      </c>
      <c r="B63" s="13">
        <v>46.9</v>
      </c>
      <c r="C63" s="13">
        <f>Table13468113[[#This Row],[PMI]]-B62</f>
        <v>-1</v>
      </c>
    </row>
    <row r="64" spans="1:3" x14ac:dyDescent="0.2">
      <c r="A64" s="14">
        <v>41030</v>
      </c>
      <c r="B64" s="13">
        <v>46.7</v>
      </c>
      <c r="C64" s="13">
        <f>Table13468113[[#This Row],[PMI]]-B63</f>
        <v>-0.19999999999999574</v>
      </c>
    </row>
    <row r="65" spans="1:3" x14ac:dyDescent="0.2">
      <c r="A65" s="14">
        <v>41061</v>
      </c>
      <c r="B65" s="13">
        <v>47.1</v>
      </c>
      <c r="C65" s="13">
        <f>Table13468113[[#This Row],[PMI]]-B64</f>
        <v>0.39999999999999858</v>
      </c>
    </row>
    <row r="66" spans="1:3" x14ac:dyDescent="0.2">
      <c r="A66" s="14">
        <v>41091</v>
      </c>
      <c r="B66" s="13">
        <v>47.9</v>
      </c>
      <c r="C66" s="13">
        <f>Table13468113[[#This Row],[PMI]]-B65</f>
        <v>0.79999999999999716</v>
      </c>
    </row>
    <row r="67" spans="1:3" x14ac:dyDescent="0.2">
      <c r="A67" s="14">
        <v>41122</v>
      </c>
      <c r="B67" s="13">
        <v>47.2</v>
      </c>
      <c r="C67" s="13">
        <f>Table13468113[[#This Row],[PMI]]-B66</f>
        <v>-0.69999999999999574</v>
      </c>
    </row>
    <row r="68" spans="1:3" x14ac:dyDescent="0.2">
      <c r="A68" s="14">
        <v>41153</v>
      </c>
      <c r="B68" s="13">
        <v>46.1</v>
      </c>
      <c r="C68" s="13">
        <f>Table13468113[[#This Row],[PMI]]-B67</f>
        <v>-1.1000000000000014</v>
      </c>
    </row>
    <row r="69" spans="1:3" x14ac:dyDescent="0.2">
      <c r="A69" s="14">
        <v>41183</v>
      </c>
      <c r="B69" s="13">
        <v>46</v>
      </c>
      <c r="C69" s="13">
        <f>Table13468113[[#This Row],[PMI]]-B68</f>
        <v>-0.10000000000000142</v>
      </c>
    </row>
    <row r="70" spans="1:3" x14ac:dyDescent="0.2">
      <c r="A70" s="14">
        <v>41214</v>
      </c>
      <c r="B70" s="13">
        <v>46.7</v>
      </c>
      <c r="C70" s="13">
        <f>Table13468113[[#This Row],[PMI]]-B69</f>
        <v>0.70000000000000284</v>
      </c>
    </row>
    <row r="71" spans="1:3" x14ac:dyDescent="0.2">
      <c r="A71" s="14">
        <v>41244</v>
      </c>
      <c r="B71" s="13">
        <v>47.2</v>
      </c>
      <c r="C71" s="13">
        <f>Table13468113[[#This Row],[PMI]]-B70</f>
        <v>0.5</v>
      </c>
    </row>
    <row r="72" spans="1:3" x14ac:dyDescent="0.2">
      <c r="A72" s="14">
        <v>41275</v>
      </c>
      <c r="B72" s="13">
        <v>48.6</v>
      </c>
      <c r="C72" s="13">
        <f>Table13468113[[#This Row],[PMI]]-B71</f>
        <v>1.3999999999999986</v>
      </c>
    </row>
    <row r="73" spans="1:3" x14ac:dyDescent="0.2">
      <c r="A73" s="14">
        <v>41306</v>
      </c>
      <c r="B73" s="13">
        <v>47.9</v>
      </c>
      <c r="C73" s="13">
        <f>Table13468113[[#This Row],[PMI]]-B72</f>
        <v>-0.70000000000000284</v>
      </c>
    </row>
    <row r="74" spans="1:3" x14ac:dyDescent="0.2">
      <c r="A74" s="14">
        <v>41334</v>
      </c>
      <c r="B74" s="13">
        <v>46.4</v>
      </c>
      <c r="C74" s="13">
        <f>Table13468113[[#This Row],[PMI]]-B73</f>
        <v>-1.5</v>
      </c>
    </row>
    <row r="75" spans="1:3" x14ac:dyDescent="0.2">
      <c r="A75" s="14">
        <v>41365</v>
      </c>
      <c r="B75" s="13">
        <v>47</v>
      </c>
      <c r="C75" s="13">
        <f>Table13468113[[#This Row],[PMI]]-B74</f>
        <v>0.60000000000000142</v>
      </c>
    </row>
    <row r="76" spans="1:3" x14ac:dyDescent="0.2">
      <c r="A76" s="14">
        <v>41395</v>
      </c>
      <c r="B76" s="13">
        <v>47.2</v>
      </c>
      <c r="C76" s="13">
        <f>Table13468113[[#This Row],[PMI]]-B75</f>
        <v>0.20000000000000284</v>
      </c>
    </row>
    <row r="77" spans="1:3" x14ac:dyDescent="0.2">
      <c r="A77" s="14">
        <v>41426</v>
      </c>
      <c r="B77" s="13">
        <v>48.3</v>
      </c>
      <c r="C77" s="21">
        <f>Table13468113[[#This Row],[PMI]]-B76</f>
        <v>1.0999999999999943</v>
      </c>
    </row>
    <row r="78" spans="1:3" x14ac:dyDescent="0.2">
      <c r="A78" s="14">
        <v>41456</v>
      </c>
      <c r="B78" s="13">
        <v>49.8</v>
      </c>
      <c r="C78" s="21">
        <f>Table13468113[[#This Row],[PMI]]-B77</f>
        <v>1.5</v>
      </c>
    </row>
    <row r="79" spans="1:3" x14ac:dyDescent="0.2">
      <c r="A79" s="14">
        <v>41487</v>
      </c>
      <c r="B79" s="13">
        <v>50.7</v>
      </c>
      <c r="C79" s="21">
        <f>Table13468113[[#This Row],[PMI]]-B78</f>
        <v>0.90000000000000568</v>
      </c>
    </row>
    <row r="80" spans="1:3" x14ac:dyDescent="0.2">
      <c r="A80" s="14">
        <v>41518</v>
      </c>
      <c r="B80" s="13">
        <v>52.2</v>
      </c>
      <c r="C80" s="21">
        <f>Table13468113[[#This Row],[PMI]]-B79</f>
        <v>1.5</v>
      </c>
    </row>
    <row r="81" spans="1:3" x14ac:dyDescent="0.2">
      <c r="A81" s="14">
        <v>41548</v>
      </c>
      <c r="B81" s="13">
        <v>51.6</v>
      </c>
      <c r="C81" s="21">
        <f>Table13468113[[#This Row],[PMI]]-B80</f>
        <v>-0.60000000000000142</v>
      </c>
    </row>
    <row r="82" spans="1:3" x14ac:dyDescent="0.2">
      <c r="A82" s="14">
        <v>41579</v>
      </c>
      <c r="B82" s="13">
        <v>51.2</v>
      </c>
      <c r="C82" s="21">
        <f>Table13468113[[#This Row],[PMI]]-B81</f>
        <v>-0.39999999999999858</v>
      </c>
    </row>
    <row r="83" spans="1:3" x14ac:dyDescent="0.2">
      <c r="A83" s="14">
        <v>41609</v>
      </c>
      <c r="B83" s="13">
        <v>51</v>
      </c>
      <c r="C83" s="21">
        <f>Table13468113[[#This Row],[PMI]]-B82</f>
        <v>-0.20000000000000284</v>
      </c>
    </row>
    <row r="84" spans="1:3" x14ac:dyDescent="0.2">
      <c r="A84" s="14">
        <v>41640</v>
      </c>
      <c r="B84" s="13">
        <v>51.6</v>
      </c>
      <c r="C84" s="21">
        <f>Table13468113[[#This Row],[PMI]]-B83</f>
        <v>0.60000000000000142</v>
      </c>
    </row>
    <row r="85" spans="1:3" x14ac:dyDescent="0.2">
      <c r="A85" s="14">
        <v>41671</v>
      </c>
      <c r="B85" s="13">
        <v>52.6</v>
      </c>
      <c r="C85" s="21">
        <f>Table13468113[[#This Row],[PMI]]-B84</f>
        <v>1</v>
      </c>
    </row>
    <row r="86" spans="1:3" x14ac:dyDescent="0.2">
      <c r="A86" s="14">
        <v>41699</v>
      </c>
      <c r="B86" s="13">
        <v>52.2</v>
      </c>
      <c r="C86" s="21">
        <f>Table13468113[[#This Row],[PMI]]-B85</f>
        <v>-0.39999999999999858</v>
      </c>
    </row>
    <row r="87" spans="1:3" x14ac:dyDescent="0.2">
      <c r="A87" s="14">
        <v>41730</v>
      </c>
      <c r="B87" s="13">
        <v>53.1</v>
      </c>
      <c r="C87" s="21">
        <f>Table13468113[[#This Row],[PMI]]-B86</f>
        <v>0.89999999999999858</v>
      </c>
    </row>
    <row r="88" spans="1:3" x14ac:dyDescent="0.2">
      <c r="A88" s="14">
        <v>41760</v>
      </c>
      <c r="B88" s="13">
        <v>53.2</v>
      </c>
      <c r="C88" s="21">
        <f>Table13468113[[#This Row],[PMI]]-B87</f>
        <v>0.10000000000000142</v>
      </c>
    </row>
    <row r="89" spans="1:3" x14ac:dyDescent="0.2">
      <c r="A89" s="14">
        <v>41791</v>
      </c>
      <c r="B89" s="13">
        <v>52.8</v>
      </c>
      <c r="C89" s="21">
        <f>Table13468113[[#This Row],[PMI]]-B88</f>
        <v>-0.40000000000000568</v>
      </c>
    </row>
    <row r="90" spans="1:3" x14ac:dyDescent="0.2">
      <c r="A90" s="14">
        <v>41821</v>
      </c>
      <c r="B90" s="13">
        <v>54.2</v>
      </c>
      <c r="C90" s="21">
        <f>Table13468113[[#This Row],[PMI]]-B89</f>
        <v>1.4000000000000057</v>
      </c>
    </row>
    <row r="91" spans="1:3" x14ac:dyDescent="0.2">
      <c r="A91" s="14">
        <v>41852</v>
      </c>
      <c r="B91" s="13">
        <v>53.1</v>
      </c>
      <c r="C91" s="21">
        <f>Table13468113[[#This Row],[PMI]]-B90</f>
        <v>-1.1000000000000014</v>
      </c>
    </row>
    <row r="92" spans="1:3" x14ac:dyDescent="0.2">
      <c r="A92" s="14">
        <v>41883</v>
      </c>
      <c r="B92" s="13">
        <v>52.4</v>
      </c>
      <c r="C92" s="21">
        <f>Table13468113[[#This Row],[PMI]]-B91</f>
        <v>-0.70000000000000284</v>
      </c>
    </row>
    <row r="93" spans="1:3" x14ac:dyDescent="0.2">
      <c r="A93" s="14">
        <v>41913</v>
      </c>
      <c r="B93" s="13">
        <v>52.3</v>
      </c>
      <c r="C93" s="21">
        <f>Table13468113[[#This Row],[PMI]]-B92</f>
        <v>-0.10000000000000142</v>
      </c>
    </row>
    <row r="94" spans="1:3" x14ac:dyDescent="0.2">
      <c r="A94" s="14">
        <v>41944</v>
      </c>
      <c r="B94" s="13">
        <v>51.1</v>
      </c>
      <c r="C94" s="21">
        <f>Table13468113[[#This Row],[PMI]]-B93</f>
        <v>-1.1999999999999957</v>
      </c>
    </row>
    <row r="95" spans="1:3" x14ac:dyDescent="0.2">
      <c r="A95" s="14">
        <v>41974</v>
      </c>
      <c r="B95" s="13">
        <v>51.6</v>
      </c>
      <c r="C95" s="21">
        <f>Table13468113[[#This Row],[PMI]]-B94</f>
        <v>0.5</v>
      </c>
    </row>
    <row r="96" spans="1:3" x14ac:dyDescent="0.2">
      <c r="A96" s="14">
        <v>42005</v>
      </c>
      <c r="B96" s="13">
        <v>52.7</v>
      </c>
      <c r="C96" s="21">
        <f>Table13468113[[#This Row],[PMI]]-B95</f>
        <v>1.1000000000000014</v>
      </c>
    </row>
    <row r="97" spans="1:3" x14ac:dyDescent="0.2">
      <c r="A97" s="14">
        <v>42036</v>
      </c>
      <c r="B97" s="13">
        <v>53.7</v>
      </c>
      <c r="C97" s="21">
        <f>Table13468113[[#This Row],[PMI]]-B96</f>
        <v>1</v>
      </c>
    </row>
    <row r="98" spans="1:3" x14ac:dyDescent="0.2">
      <c r="A98" s="14">
        <v>42064</v>
      </c>
      <c r="B98" s="13">
        <v>54.2</v>
      </c>
      <c r="C98" s="21">
        <f>Table13468113[[#This Row],[PMI]]-B97</f>
        <v>0.5</v>
      </c>
    </row>
    <row r="99" spans="1:3" x14ac:dyDescent="0.2">
      <c r="A99" s="14">
        <v>42095</v>
      </c>
      <c r="B99" s="13">
        <v>54.1</v>
      </c>
      <c r="C99" s="21">
        <f>Table13468113[[#This Row],[PMI]]-B98</f>
        <v>-0.10000000000000142</v>
      </c>
    </row>
    <row r="100" spans="1:3" x14ac:dyDescent="0.2">
      <c r="A100" s="14">
        <v>42125</v>
      </c>
      <c r="B100" s="13">
        <v>53.8</v>
      </c>
      <c r="C100" s="21">
        <f>Table13468113[[#This Row],[PMI]]-B99</f>
        <v>-0.30000000000000426</v>
      </c>
    </row>
    <row r="101" spans="1:3" x14ac:dyDescent="0.2">
      <c r="A101" s="14">
        <v>42156</v>
      </c>
      <c r="B101" s="13">
        <v>54.4</v>
      </c>
      <c r="C101" s="21">
        <f>Table13468113[[#This Row],[PMI]]-B100</f>
        <v>0.60000000000000142</v>
      </c>
    </row>
    <row r="102" spans="1:3" x14ac:dyDescent="0.2">
      <c r="A102" s="14">
        <v>42186</v>
      </c>
      <c r="B102" s="13">
        <v>54</v>
      </c>
      <c r="C102" s="21">
        <f>Table13468113[[#This Row],[PMI]]-B101</f>
        <v>-0.39999999999999858</v>
      </c>
    </row>
    <row r="103" spans="1:3" x14ac:dyDescent="0.2">
      <c r="A103" s="14">
        <v>42217</v>
      </c>
      <c r="B103" s="13">
        <v>54.4</v>
      </c>
      <c r="C103" s="21">
        <f>Table13468113[[#This Row],[PMI]]-B102</f>
        <v>0.39999999999999858</v>
      </c>
    </row>
    <row r="104" spans="1:3" x14ac:dyDescent="0.2">
      <c r="A104" s="14">
        <v>42248</v>
      </c>
      <c r="B104" s="13">
        <v>53.7</v>
      </c>
      <c r="C104" s="21">
        <f>Table13468113[[#This Row],[PMI]]-B103</f>
        <v>-0.69999999999999574</v>
      </c>
    </row>
    <row r="105" spans="1:3" x14ac:dyDescent="0.2">
      <c r="A105" s="14">
        <v>42278</v>
      </c>
      <c r="B105" s="13">
        <v>54.1</v>
      </c>
      <c r="C105" s="21">
        <f>Table13468113[[#This Row],[PMI]]-B104</f>
        <v>0.39999999999999858</v>
      </c>
    </row>
    <row r="106" spans="1:3" x14ac:dyDescent="0.2">
      <c r="A106" s="14">
        <v>42309</v>
      </c>
      <c r="B106" s="13">
        <v>54.2</v>
      </c>
      <c r="C106" s="21">
        <f>Table13468113[[#This Row],[PMI]]-B105</f>
        <v>0.10000000000000142</v>
      </c>
    </row>
    <row r="107" spans="1:3" x14ac:dyDescent="0.2">
      <c r="A107" s="14">
        <v>42339</v>
      </c>
      <c r="B107" s="13">
        <v>54.2</v>
      </c>
      <c r="C107" s="21">
        <f>Table13468113[[#This Row],[PMI]]-B106</f>
        <v>0</v>
      </c>
    </row>
    <row r="108" spans="1:3" x14ac:dyDescent="0.2">
      <c r="A108" s="14">
        <v>42370</v>
      </c>
      <c r="B108" s="13">
        <v>53.6</v>
      </c>
      <c r="C108" s="21">
        <f>Table13468113[[#This Row],[PMI]]-B107</f>
        <v>-0.60000000000000142</v>
      </c>
    </row>
    <row r="109" spans="1:3" x14ac:dyDescent="0.2">
      <c r="A109" s="14">
        <v>42401</v>
      </c>
      <c r="B109" s="13">
        <v>53.3</v>
      </c>
      <c r="C109" s="21">
        <f>Table13468113[[#This Row],[PMI]]-B108</f>
        <v>-0.30000000000000426</v>
      </c>
    </row>
    <row r="110" spans="1:3" x14ac:dyDescent="0.2">
      <c r="A110" s="14">
        <v>42430</v>
      </c>
      <c r="B110" s="13">
        <v>53.1</v>
      </c>
      <c r="C110" s="21">
        <f>Table13468113[[#This Row],[PMI]]-B109</f>
        <v>-0.19999999999999574</v>
      </c>
    </row>
    <row r="111" spans="1:3" x14ac:dyDescent="0.2">
      <c r="A111" s="14">
        <v>42461</v>
      </c>
      <c r="B111" s="13">
        <v>53.1</v>
      </c>
      <c r="C111" s="21">
        <f>Table13468113[[#This Row],[PMI]]-B110</f>
        <v>0</v>
      </c>
    </row>
    <row r="112" spans="1:3" x14ac:dyDescent="0.2">
      <c r="A112" s="14">
        <v>42491</v>
      </c>
      <c r="B112" s="13">
        <v>53.3</v>
      </c>
      <c r="C112" s="21">
        <f>Table13468113[[#This Row],[PMI]]-B111</f>
        <v>0.19999999999999574</v>
      </c>
    </row>
    <row r="113" spans="1:3" x14ac:dyDescent="0.2">
      <c r="A113" s="14">
        <v>42522</v>
      </c>
      <c r="B113" s="13">
        <v>52.8</v>
      </c>
      <c r="C113" s="21">
        <f>Table13468113[[#This Row],[PMI]]-B112</f>
        <v>-0.5</v>
      </c>
    </row>
    <row r="114" spans="1:3" x14ac:dyDescent="0.2">
      <c r="A114" s="14">
        <v>42552</v>
      </c>
      <c r="B114" s="13">
        <v>52.9</v>
      </c>
      <c r="C114" s="21">
        <f>Table13468113[[#This Row],[PMI]]-B113</f>
        <v>0.10000000000000142</v>
      </c>
    </row>
    <row r="115" spans="1:3" x14ac:dyDescent="0.2">
      <c r="A115" s="14">
        <v>42583</v>
      </c>
      <c r="B115" s="13">
        <v>52.8</v>
      </c>
      <c r="C115" s="21">
        <f>Table13468113[[#This Row],[PMI]]-B114</f>
        <v>-0.10000000000000142</v>
      </c>
    </row>
    <row r="116" spans="1:3" x14ac:dyDescent="0.2">
      <c r="A116" s="14">
        <v>42614</v>
      </c>
      <c r="B116" s="13">
        <v>52.2</v>
      </c>
      <c r="C116" s="21">
        <f>Table13468113[[#This Row],[PMI]]-B115</f>
        <v>-0.59999999999999432</v>
      </c>
    </row>
    <row r="117" spans="1:3" x14ac:dyDescent="0.2">
      <c r="A117" s="14">
        <v>42644</v>
      </c>
      <c r="B117" s="13">
        <v>52.8</v>
      </c>
      <c r="C117" s="21">
        <f>Table13468113[[#This Row],[PMI]]-B116</f>
        <v>0.59999999999999432</v>
      </c>
    </row>
    <row r="118" spans="1:3" x14ac:dyDescent="0.2">
      <c r="A118" s="14">
        <v>42675</v>
      </c>
      <c r="B118" s="13">
        <v>53.8</v>
      </c>
      <c r="C118" s="21">
        <f>Table13468113[[#This Row],[PMI]]-B117</f>
        <v>1</v>
      </c>
    </row>
    <row r="119" spans="1:3" x14ac:dyDescent="0.2">
      <c r="A119" s="14">
        <v>42705</v>
      </c>
      <c r="B119" s="13">
        <v>53.7</v>
      </c>
      <c r="C119" s="21">
        <f>Table13468113[[#This Row],[PMI]]-B118</f>
        <v>-9.9999999999994316E-2</v>
      </c>
    </row>
    <row r="120" spans="1:3" x14ac:dyDescent="0.2">
      <c r="A120" s="14">
        <v>42736</v>
      </c>
      <c r="B120" s="13">
        <v>53.7</v>
      </c>
      <c r="C120" s="21">
        <f>Table13468113[[#This Row],[PMI]]-B119</f>
        <v>0</v>
      </c>
    </row>
    <row r="121" spans="1:3" x14ac:dyDescent="0.2">
      <c r="A121" s="14">
        <v>42767</v>
      </c>
      <c r="B121" s="13">
        <v>55.5</v>
      </c>
      <c r="C121" s="21">
        <f>Table13468113[[#This Row],[PMI]]-B120</f>
        <v>1.7999999999999972</v>
      </c>
    </row>
    <row r="122" spans="1:3" x14ac:dyDescent="0.2">
      <c r="A122" s="14">
        <v>42795</v>
      </c>
      <c r="B122" s="13">
        <v>56</v>
      </c>
      <c r="C122" s="21">
        <f>Table13468113[[#This Row],[PMI]]-B121</f>
        <v>0.5</v>
      </c>
    </row>
    <row r="123" spans="1:3" x14ac:dyDescent="0.2">
      <c r="A123" s="14">
        <v>42826</v>
      </c>
      <c r="B123" s="13">
        <v>56.4</v>
      </c>
      <c r="C123" s="21">
        <f>Table13468113[[#This Row],[PMI]]-B122</f>
        <v>0.39999999999999858</v>
      </c>
    </row>
    <row r="124" spans="1:3" x14ac:dyDescent="0.2">
      <c r="A124" s="14">
        <v>42856</v>
      </c>
      <c r="B124" s="13">
        <v>56.3</v>
      </c>
      <c r="C124" s="21">
        <f>Table13468113[[#This Row],[PMI]]-B123</f>
        <v>-0.10000000000000142</v>
      </c>
    </row>
    <row r="125" spans="1:3" x14ac:dyDescent="0.2">
      <c r="A125" s="14">
        <v>42887</v>
      </c>
      <c r="B125" s="13">
        <v>55.4</v>
      </c>
      <c r="C125" s="21">
        <f>Table13468113[[#This Row],[PMI]]-B124</f>
        <v>-0.89999999999999858</v>
      </c>
    </row>
    <row r="126" spans="1:3" x14ac:dyDescent="0.2">
      <c r="A126" s="14">
        <v>42917</v>
      </c>
      <c r="B126" s="13">
        <v>55.4</v>
      </c>
      <c r="C126" s="21">
        <f>Table13468113[[#This Row],[PMI]]-B125</f>
        <v>0</v>
      </c>
    </row>
    <row r="127" spans="1:3" x14ac:dyDescent="0.2">
      <c r="A127" s="14">
        <v>42948</v>
      </c>
      <c r="B127" s="13">
        <v>54.7</v>
      </c>
      <c r="C127" s="21">
        <f>Table13468113[[#This Row],[PMI]]-B126</f>
        <v>-0.69999999999999574</v>
      </c>
    </row>
    <row r="128" spans="1:3" x14ac:dyDescent="0.2">
      <c r="A128" s="14">
        <v>42979</v>
      </c>
      <c r="B128" s="13">
        <v>55.8</v>
      </c>
      <c r="C128" s="21">
        <f>Table13468113[[#This Row],[PMI]]-B127</f>
        <v>1.0999999999999943</v>
      </c>
    </row>
    <row r="129" spans="1:3" x14ac:dyDescent="0.2">
      <c r="A129" s="14">
        <v>43009</v>
      </c>
      <c r="B129" s="13">
        <v>55</v>
      </c>
      <c r="C129" s="21">
        <f>Table13468113[[#This Row],[PMI]]-B128</f>
        <v>-0.79999999999999716</v>
      </c>
    </row>
    <row r="130" spans="1:3" x14ac:dyDescent="0.2">
      <c r="A130" s="14">
        <v>43040</v>
      </c>
      <c r="B130" s="13">
        <v>56.2</v>
      </c>
      <c r="C130" s="21">
        <f>Table13468113[[#This Row],[PMI]]-B129</f>
        <v>1.2000000000000028</v>
      </c>
    </row>
    <row r="131" spans="1:3" x14ac:dyDescent="0.2">
      <c r="A131" s="14">
        <v>43070</v>
      </c>
      <c r="B131" s="13">
        <v>56.6</v>
      </c>
      <c r="C131" s="21">
        <f>Table13468113[[#This Row],[PMI]]-B130</f>
        <v>0.39999999999999858</v>
      </c>
    </row>
    <row r="132" spans="1:3" x14ac:dyDescent="0.2">
      <c r="A132" s="14">
        <v>43101</v>
      </c>
      <c r="B132" s="13">
        <v>58</v>
      </c>
      <c r="C132" s="21">
        <f>Table13468113[[#This Row],[PMI]]-B131</f>
        <v>1.3999999999999986</v>
      </c>
    </row>
    <row r="133" spans="1:3" x14ac:dyDescent="0.2">
      <c r="A133" s="14">
        <v>43132</v>
      </c>
      <c r="B133" s="13">
        <v>56.2</v>
      </c>
      <c r="C133" s="21">
        <f>Table13468113[[#This Row],[PMI]]-B132</f>
        <v>-1.7999999999999972</v>
      </c>
    </row>
    <row r="134" spans="1:3" x14ac:dyDescent="0.2">
      <c r="A134" s="14">
        <v>43160</v>
      </c>
      <c r="B134" s="13">
        <v>54.9</v>
      </c>
      <c r="C134" s="21">
        <f>Table13468113[[#This Row],[PMI]]-B133</f>
        <v>-1.3000000000000043</v>
      </c>
    </row>
    <row r="135" spans="1:3" x14ac:dyDescent="0.2">
      <c r="A135" s="14">
        <v>43191</v>
      </c>
      <c r="B135" s="13">
        <v>54.7</v>
      </c>
      <c r="C135" s="21">
        <f>Table13468113[[#This Row],[PMI]]-B134</f>
        <v>-0.19999999999999574</v>
      </c>
    </row>
    <row r="136" spans="1:3" x14ac:dyDescent="0.2">
      <c r="A136" s="14">
        <v>43221</v>
      </c>
      <c r="B136" s="13">
        <v>53.8</v>
      </c>
      <c r="C136" s="21">
        <f>Table13468113[[#This Row],[PMI]]-B135</f>
        <v>-0.90000000000000568</v>
      </c>
    </row>
    <row r="137" spans="1:3" x14ac:dyDescent="0.2">
      <c r="A137" s="14">
        <v>43252</v>
      </c>
      <c r="B137" s="13">
        <v>55.2</v>
      </c>
      <c r="C137" s="21">
        <f>Table13468113[[#This Row],[PMI]]-B136</f>
        <v>1.4000000000000057</v>
      </c>
    </row>
    <row r="138" spans="1:3" x14ac:dyDescent="0.2">
      <c r="A138" s="14">
        <v>43282</v>
      </c>
      <c r="B138" s="13">
        <v>54.2</v>
      </c>
      <c r="C138" s="21">
        <f>Table13468113[[#This Row],[PMI]]-B137</f>
        <v>-1</v>
      </c>
    </row>
    <row r="139" spans="1:3" x14ac:dyDescent="0.2">
      <c r="A139" s="14">
        <v>43313</v>
      </c>
      <c r="B139" s="13">
        <v>54.4</v>
      </c>
      <c r="C139" s="21">
        <f>Table13468113[[#This Row],[PMI]]-B138</f>
        <v>0.19999999999999574</v>
      </c>
    </row>
    <row r="140" spans="1:3" x14ac:dyDescent="0.2">
      <c r="A140" s="14">
        <v>43344</v>
      </c>
      <c r="B140" s="13">
        <v>54.7</v>
      </c>
      <c r="C140" s="21">
        <f>Table13468113[[#This Row],[PMI]]-B139</f>
        <v>0.30000000000000426</v>
      </c>
    </row>
    <row r="141" spans="1:3" x14ac:dyDescent="0.2">
      <c r="A141" s="14">
        <v>43374</v>
      </c>
      <c r="B141" s="13">
        <v>53.7</v>
      </c>
      <c r="C141" s="21">
        <f>Table13468113[[#This Row],[PMI]]-B140</f>
        <v>-1</v>
      </c>
    </row>
    <row r="142" spans="1:3" x14ac:dyDescent="0.2">
      <c r="A142" s="14">
        <v>43405</v>
      </c>
      <c r="B142" s="13">
        <v>53.4</v>
      </c>
      <c r="C142" s="21">
        <f>Table13468113[[#This Row],[PMI]]-B141</f>
        <v>-0.30000000000000426</v>
      </c>
    </row>
    <row r="143" spans="1:3" x14ac:dyDescent="0.2">
      <c r="A143" s="14">
        <v>43435</v>
      </c>
      <c r="B143" s="13">
        <v>51.2</v>
      </c>
      <c r="C143" s="21">
        <f>Table13468113[[#This Row],[PMI]]-B142</f>
        <v>-2.1999999999999957</v>
      </c>
    </row>
    <row r="144" spans="1:3" x14ac:dyDescent="0.2">
      <c r="A144" s="14">
        <v>43466</v>
      </c>
      <c r="B144" s="13">
        <v>51.2</v>
      </c>
      <c r="C144" s="21">
        <f>Table13468113[[#This Row],[PMI]]-B143</f>
        <v>0</v>
      </c>
    </row>
    <row r="145" spans="1:3" x14ac:dyDescent="0.2">
      <c r="A145" s="14">
        <v>43497</v>
      </c>
      <c r="B145" s="13">
        <v>52.8</v>
      </c>
      <c r="C145" s="21">
        <f>Table13468113[[#This Row],[PMI]]-B144</f>
        <v>1.5999999999999943</v>
      </c>
    </row>
    <row r="146" spans="1:3" x14ac:dyDescent="0.2">
      <c r="A146" s="14">
        <v>43525</v>
      </c>
      <c r="B146" s="13">
        <v>53.3</v>
      </c>
      <c r="C146" s="21">
        <f>Table13468113[[#This Row],[PMI]]-B145</f>
        <v>0.5</v>
      </c>
    </row>
    <row r="147" spans="1:3" x14ac:dyDescent="0.2">
      <c r="A147" s="14">
        <v>43556</v>
      </c>
      <c r="B147" s="13">
        <v>52.8</v>
      </c>
      <c r="C147" s="21">
        <f>Table13468113[[#This Row],[PMI]]-B146</f>
        <v>-0.5</v>
      </c>
    </row>
    <row r="148" spans="1:3" x14ac:dyDescent="0.2">
      <c r="A148" s="14">
        <v>43586</v>
      </c>
      <c r="B148" s="13">
        <v>52.9</v>
      </c>
      <c r="C148" s="21">
        <f>Table13468113[[#This Row],[PMI]]-B147</f>
        <v>0.10000000000000142</v>
      </c>
    </row>
    <row r="149" spans="1:3" x14ac:dyDescent="0.2">
      <c r="A149" s="14">
        <v>43617</v>
      </c>
      <c r="B149" s="13">
        <v>53.6</v>
      </c>
      <c r="C149" s="21">
        <f>Table13468113[[#This Row],[PMI]]-B148</f>
        <v>0.70000000000000284</v>
      </c>
    </row>
    <row r="150" spans="1:3" x14ac:dyDescent="0.2">
      <c r="A150" s="14">
        <v>43647</v>
      </c>
      <c r="B150" s="13">
        <v>53.2</v>
      </c>
      <c r="C150" s="21">
        <f>Table13468113[[#This Row],[PMI]]-B149</f>
        <v>-0.39999999999999858</v>
      </c>
    </row>
    <row r="151" spans="1:3" x14ac:dyDescent="0.2">
      <c r="A151" s="14">
        <v>43678</v>
      </c>
      <c r="B151" s="13">
        <v>53.5</v>
      </c>
      <c r="C151" s="21">
        <f>Table13468113[[#This Row],[PMI]]-B150</f>
        <v>0.29999999999999716</v>
      </c>
    </row>
    <row r="152" spans="1:3" x14ac:dyDescent="0.2">
      <c r="A152" s="14">
        <v>43709</v>
      </c>
      <c r="B152" s="13">
        <v>51.6</v>
      </c>
      <c r="C152" s="21">
        <f>Table13468113[[#This Row],[PMI]]-B151</f>
        <v>-1.8999999999999986</v>
      </c>
    </row>
    <row r="153" spans="1:3" x14ac:dyDescent="0.2">
      <c r="A153" s="14">
        <v>43739</v>
      </c>
      <c r="B153" s="13">
        <v>52.2</v>
      </c>
      <c r="C153" s="21">
        <f>Table13468113[[#This Row],[PMI]]-B152</f>
        <v>0.60000000000000142</v>
      </c>
    </row>
    <row r="154" spans="1:3" x14ac:dyDescent="0.2">
      <c r="A154" s="14">
        <v>43770</v>
      </c>
      <c r="B154" s="13">
        <v>51.9</v>
      </c>
      <c r="C154" s="21">
        <f>Table13468113[[#This Row],[PMI]]-B153</f>
        <v>-0.30000000000000426</v>
      </c>
    </row>
    <row r="155" spans="1:3" x14ac:dyDescent="0.2">
      <c r="A155" s="14">
        <v>43800</v>
      </c>
      <c r="B155" s="13">
        <v>52.8</v>
      </c>
      <c r="C155" s="21">
        <f>Table13468113[[#This Row],[PMI]]-B154</f>
        <v>0.89999999999999858</v>
      </c>
    </row>
    <row r="156" spans="1:3" x14ac:dyDescent="0.2">
      <c r="A156" s="14">
        <v>43831</v>
      </c>
      <c r="B156" s="13">
        <v>52.5</v>
      </c>
      <c r="C156" s="21">
        <f>Table13468113[[#This Row],[PMI]]-B155</f>
        <v>-0.29999999999999716</v>
      </c>
    </row>
    <row r="157" spans="1:3" x14ac:dyDescent="0.2">
      <c r="A157" s="14">
        <v>43862</v>
      </c>
      <c r="B157" s="13">
        <v>52.6</v>
      </c>
      <c r="C157" s="21">
        <f>Table13468113[[#This Row],[PMI]]-B156</f>
        <v>0.10000000000000142</v>
      </c>
    </row>
    <row r="158" spans="1:3" x14ac:dyDescent="0.2">
      <c r="A158" s="14">
        <v>43891</v>
      </c>
      <c r="B158" s="13">
        <v>26.4</v>
      </c>
      <c r="C158" s="21">
        <f>Table13468113[[#This Row],[PMI]]-B157</f>
        <v>-26.200000000000003</v>
      </c>
    </row>
    <row r="159" spans="1:3" x14ac:dyDescent="0.2">
      <c r="A159" s="14">
        <v>43922</v>
      </c>
      <c r="B159" s="13">
        <v>12</v>
      </c>
      <c r="C159" s="21">
        <f>Table13468113[[#This Row],[PMI]]-B158</f>
        <v>-14.399999999999999</v>
      </c>
    </row>
    <row r="160" spans="1:3" x14ac:dyDescent="0.2">
      <c r="A160" s="14">
        <v>43952</v>
      </c>
      <c r="B160" s="13">
        <v>30.5</v>
      </c>
      <c r="C160" s="21">
        <f>Table13468113[[#This Row],[PMI]]-B159</f>
        <v>18.5</v>
      </c>
    </row>
    <row r="161" spans="1:3" x14ac:dyDescent="0.2">
      <c r="A161" s="14">
        <v>43983</v>
      </c>
      <c r="B161" s="13">
        <v>48.3</v>
      </c>
      <c r="C161" s="21">
        <f>Table13468113[[#This Row],[PMI]]-B160</f>
        <v>17.799999999999997</v>
      </c>
    </row>
    <row r="162" spans="1:3" x14ac:dyDescent="0.2">
      <c r="A162" s="14">
        <v>44013</v>
      </c>
      <c r="B162" s="13">
        <v>54.7</v>
      </c>
      <c r="C162" s="21">
        <f>Table13468113[[#This Row],[PMI]]-B161</f>
        <v>6.4000000000000057</v>
      </c>
    </row>
    <row r="163" spans="1:3" x14ac:dyDescent="0.2">
      <c r="A163" s="14">
        <v>44044</v>
      </c>
      <c r="B163" s="13">
        <v>50.5</v>
      </c>
      <c r="C163" s="21">
        <f>Table13468113[[#This Row],[PMI]]-B162</f>
        <v>-4.2000000000000028</v>
      </c>
    </row>
    <row r="164" spans="1:3" x14ac:dyDescent="0.2">
      <c r="A164" s="14">
        <v>44075</v>
      </c>
      <c r="B164" s="13">
        <v>48</v>
      </c>
      <c r="C164" s="21">
        <f>Table13468113[[#This Row],[PMI]]-B163</f>
        <v>-2.5</v>
      </c>
    </row>
    <row r="165" spans="1:3" x14ac:dyDescent="0.2">
      <c r="A165" s="14">
        <v>44105</v>
      </c>
      <c r="B165" s="13">
        <v>46.9</v>
      </c>
      <c r="C165" s="21">
        <f>Table13468113[[#This Row],[PMI]]-B164</f>
        <v>-1.1000000000000014</v>
      </c>
    </row>
    <row r="166" spans="1:3" x14ac:dyDescent="0.2">
      <c r="A166" s="14">
        <v>44136</v>
      </c>
      <c r="B166" s="13">
        <v>41.7</v>
      </c>
      <c r="C166" s="21">
        <f>Table13468113[[#This Row],[PMI]]-B165</f>
        <v>-5.1999999999999957</v>
      </c>
    </row>
    <row r="167" spans="1:3" x14ac:dyDescent="0.2">
      <c r="A167" s="14">
        <v>44166</v>
      </c>
      <c r="B167" s="13">
        <v>46.4</v>
      </c>
      <c r="C167" s="21">
        <f>Table13468113[[#This Row],[PMI]]-B166</f>
        <v>4.6999999999999957</v>
      </c>
    </row>
    <row r="168" spans="1:3" x14ac:dyDescent="0.2">
      <c r="A168" s="14">
        <v>44197</v>
      </c>
      <c r="B168" s="13">
        <v>45.4</v>
      </c>
      <c r="C168" s="21">
        <f>Table13468113[[#This Row],[PMI]]-B167</f>
        <v>-1</v>
      </c>
    </row>
    <row r="169" spans="1:3" x14ac:dyDescent="0.2">
      <c r="A169" s="14">
        <v>44228</v>
      </c>
      <c r="B169" s="13">
        <v>45.7</v>
      </c>
      <c r="C169" s="21">
        <f>Table13468113[[#This Row],[PMI]]-B168</f>
        <v>0.30000000000000426</v>
      </c>
    </row>
    <row r="170" spans="1:3" x14ac:dyDescent="0.2">
      <c r="A170" s="14">
        <v>44256</v>
      </c>
      <c r="B170" s="13">
        <v>49.6</v>
      </c>
      <c r="C170" s="21">
        <f>Table13468113[[#This Row],[PMI]]-B169</f>
        <v>3.8999999999999986</v>
      </c>
    </row>
    <row r="171" spans="1:3" x14ac:dyDescent="0.2">
      <c r="A171" s="14">
        <v>44287</v>
      </c>
      <c r="B171" s="13">
        <v>50.5</v>
      </c>
      <c r="C171" s="21">
        <f>Table13468113[[#This Row],[PMI]]-B170</f>
        <v>0.89999999999999858</v>
      </c>
    </row>
    <row r="172" spans="1:3" x14ac:dyDescent="0.2">
      <c r="A172" s="14">
        <v>44317</v>
      </c>
      <c r="B172" s="13">
        <v>55.2</v>
      </c>
      <c r="C172" s="21">
        <f>Table13468113[[#This Row],[PMI]]-B171</f>
        <v>4.7000000000000028</v>
      </c>
    </row>
    <row r="173" spans="1:3" x14ac:dyDescent="0.2">
      <c r="A173" s="14">
        <v>44348</v>
      </c>
      <c r="B173" s="13">
        <v>58.3</v>
      </c>
      <c r="C173" s="21">
        <f>Table13468113[[#This Row],[PMI]]-B172</f>
        <v>3.0999999999999943</v>
      </c>
    </row>
    <row r="174" spans="1:3" x14ac:dyDescent="0.2">
      <c r="A174" s="14">
        <v>44378</v>
      </c>
      <c r="B174" s="13">
        <v>59.8</v>
      </c>
      <c r="C174" s="21">
        <f>Table13468113[[#This Row],[PMI]]-B173</f>
        <v>1.5</v>
      </c>
    </row>
    <row r="175" spans="1:3" x14ac:dyDescent="0.2">
      <c r="A175" s="14">
        <v>44409</v>
      </c>
      <c r="B175" s="13">
        <v>59</v>
      </c>
      <c r="C175" s="21">
        <f>Table13468113[[#This Row],[PMI]]-B174</f>
        <v>-0.79999999999999716</v>
      </c>
    </row>
    <row r="176" spans="1:3" x14ac:dyDescent="0.2">
      <c r="A176" s="14">
        <v>44440</v>
      </c>
      <c r="B176" s="13">
        <v>56.4</v>
      </c>
      <c r="C176" s="21">
        <f>Table13468113[[#This Row],[PMI]]-B175</f>
        <v>-2.6000000000000014</v>
      </c>
    </row>
    <row r="177" spans="1:3" x14ac:dyDescent="0.2">
      <c r="A177" s="14">
        <v>44470</v>
      </c>
      <c r="B177" s="13">
        <v>54.6</v>
      </c>
      <c r="C177" s="21">
        <f>Table13468113[[#This Row],[PMI]]-B176</f>
        <v>-1.7999999999999972</v>
      </c>
    </row>
    <row r="178" spans="1:3" x14ac:dyDescent="0.2">
      <c r="A178" s="14">
        <v>44501</v>
      </c>
      <c r="B178" s="13">
        <v>55.9</v>
      </c>
      <c r="C178" s="21">
        <f>Table13468113[[#This Row],[PMI]]-B177</f>
        <v>1.2999999999999972</v>
      </c>
    </row>
    <row r="179" spans="1:3" x14ac:dyDescent="0.2">
      <c r="A179" s="14">
        <v>44531</v>
      </c>
      <c r="B179" s="13">
        <v>53.1</v>
      </c>
      <c r="C179" s="21">
        <f>Table13468113[[#This Row],[PMI]]-B178</f>
        <v>-2.7999999999999972</v>
      </c>
    </row>
  </sheetData>
  <conditionalFormatting sqref="B6:B179">
    <cfRule type="colorScale" priority="1">
      <colorScale>
        <cfvo type="min"/>
        <cfvo type="percentile" val="50"/>
        <cfvo type="max"/>
        <color rgb="FFF8696B"/>
        <color rgb="FFFFEB84"/>
        <color rgb="FF63BE7B"/>
      </colorScale>
    </cfRule>
  </conditionalFormatting>
  <conditionalFormatting sqref="C7:C76">
    <cfRule type="colorScale" priority="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30E43-B305-4210-9BBF-CFF408DFCE84}">
  <dimension ref="A1:J140"/>
  <sheetViews>
    <sheetView zoomScale="160" zoomScaleNormal="160" workbookViewId="0">
      <pane ySplit="5" topLeftCell="A101" activePane="bottomLeft" state="frozen"/>
      <selection pane="bottomLeft" activeCell="N93" sqref="M93:N96"/>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22</v>
      </c>
      <c r="J1" s="25" t="s">
        <v>42</v>
      </c>
    </row>
    <row r="2" spans="1:10" x14ac:dyDescent="0.2">
      <c r="J2" s="25" t="str">
        <f>A1&amp;J1</f>
        <v>China Services PMI</v>
      </c>
    </row>
    <row r="4" spans="1:10" ht="16" thickBot="1" x14ac:dyDescent="0.25"/>
    <row r="5" spans="1:10" ht="16" thickBot="1" x14ac:dyDescent="0.25">
      <c r="A5" s="19" t="s">
        <v>9</v>
      </c>
      <c r="B5" s="20" t="s">
        <v>10</v>
      </c>
      <c r="C5" s="20" t="s">
        <v>11</v>
      </c>
    </row>
    <row r="6" spans="1:10" x14ac:dyDescent="0.2">
      <c r="A6" s="17">
        <v>40452</v>
      </c>
      <c r="B6" s="18">
        <v>60.5</v>
      </c>
      <c r="C6" s="18"/>
    </row>
    <row r="7" spans="1:10" x14ac:dyDescent="0.2">
      <c r="A7" s="14">
        <v>40483</v>
      </c>
      <c r="B7" s="13">
        <v>53.2</v>
      </c>
      <c r="C7" s="13">
        <f>Table134681134[[#This Row],[PMI]]-B6</f>
        <v>-7.2999999999999972</v>
      </c>
    </row>
    <row r="8" spans="1:10" x14ac:dyDescent="0.2">
      <c r="A8" s="14">
        <v>40513</v>
      </c>
      <c r="B8" s="13">
        <v>48.1</v>
      </c>
      <c r="C8" s="13">
        <f>Table134681134[[#This Row],[PMI]]-B7</f>
        <v>-5.1000000000000014</v>
      </c>
    </row>
    <row r="9" spans="1:10" x14ac:dyDescent="0.2">
      <c r="A9" s="14">
        <v>40544</v>
      </c>
      <c r="B9" s="13">
        <v>46.5</v>
      </c>
      <c r="C9" s="13">
        <f>Table134681134[[#This Row],[PMI]]-B8</f>
        <v>-1.6000000000000014</v>
      </c>
    </row>
    <row r="10" spans="1:10" x14ac:dyDescent="0.2">
      <c r="A10" s="14">
        <v>40575</v>
      </c>
      <c r="B10" s="13">
        <v>44.1</v>
      </c>
      <c r="C10" s="13">
        <f>Table134681134[[#This Row],[PMI]]-B9</f>
        <v>-2.3999999999999986</v>
      </c>
    </row>
    <row r="11" spans="1:10" x14ac:dyDescent="0.2">
      <c r="A11" s="14">
        <v>40603</v>
      </c>
      <c r="B11" s="13">
        <v>60.2</v>
      </c>
      <c r="C11" s="13">
        <f>Table134681134[[#This Row],[PMI]]-B10</f>
        <v>16.100000000000001</v>
      </c>
    </row>
    <row r="12" spans="1:10" x14ac:dyDescent="0.2">
      <c r="A12" s="14">
        <v>40634</v>
      </c>
      <c r="B12" s="13">
        <v>62.5</v>
      </c>
      <c r="C12" s="13">
        <f>Table134681134[[#This Row],[PMI]]-B11</f>
        <v>2.2999999999999972</v>
      </c>
    </row>
    <row r="13" spans="1:10" x14ac:dyDescent="0.2">
      <c r="A13" s="14">
        <v>40664</v>
      </c>
      <c r="B13" s="13">
        <v>61.9</v>
      </c>
      <c r="C13" s="13">
        <f>Table134681134[[#This Row],[PMI]]-B12</f>
        <v>-0.60000000000000142</v>
      </c>
    </row>
    <row r="14" spans="1:10" x14ac:dyDescent="0.2">
      <c r="A14" s="14">
        <v>40695</v>
      </c>
      <c r="B14" s="13">
        <v>57</v>
      </c>
      <c r="C14" s="13">
        <f>Table134681134[[#This Row],[PMI]]-B13</f>
        <v>-4.8999999999999986</v>
      </c>
    </row>
    <row r="15" spans="1:10" x14ac:dyDescent="0.2">
      <c r="A15" s="14">
        <v>40725</v>
      </c>
      <c r="B15" s="13">
        <v>59.6</v>
      </c>
      <c r="C15" s="13">
        <f>Table134681134[[#This Row],[PMI]]-B14</f>
        <v>2.6000000000000014</v>
      </c>
    </row>
    <row r="16" spans="1:10" x14ac:dyDescent="0.2">
      <c r="A16" s="14">
        <v>40756</v>
      </c>
      <c r="B16" s="13">
        <v>58.1</v>
      </c>
      <c r="C16" s="13">
        <f>Table134681134[[#This Row],[PMI]]-B15</f>
        <v>-1.5</v>
      </c>
    </row>
    <row r="17" spans="1:3" x14ac:dyDescent="0.2">
      <c r="A17" s="14">
        <v>40787</v>
      </c>
      <c r="B17" s="13">
        <v>57</v>
      </c>
      <c r="C17" s="13">
        <f>Table134681134[[#This Row],[PMI]]-B16</f>
        <v>-1.1000000000000014</v>
      </c>
    </row>
    <row r="18" spans="1:3" x14ac:dyDescent="0.2">
      <c r="A18" s="14">
        <v>40817</v>
      </c>
      <c r="B18" s="13">
        <v>54.6</v>
      </c>
      <c r="C18" s="13">
        <f>Table134681134[[#This Row],[PMI]]-B17</f>
        <v>-2.3999999999999986</v>
      </c>
    </row>
    <row r="19" spans="1:3" x14ac:dyDescent="0.2">
      <c r="A19" s="14">
        <v>40848</v>
      </c>
      <c r="B19" s="13">
        <v>49.7</v>
      </c>
      <c r="C19" s="13">
        <f>Table134681134[[#This Row],[PMI]]-B18</f>
        <v>-4.8999999999999986</v>
      </c>
    </row>
    <row r="20" spans="1:3" x14ac:dyDescent="0.2">
      <c r="A20" s="14">
        <v>40878</v>
      </c>
      <c r="B20" s="13">
        <v>56</v>
      </c>
      <c r="C20" s="13">
        <f>Table134681134[[#This Row],[PMI]]-B19</f>
        <v>6.2999999999999972</v>
      </c>
    </row>
    <row r="21" spans="1:3" x14ac:dyDescent="0.2">
      <c r="A21" s="14">
        <v>40909</v>
      </c>
      <c r="B21" s="13">
        <v>52.5</v>
      </c>
      <c r="C21" s="13">
        <f>Table134681134[[#This Row],[PMI]]-B20</f>
        <v>-3.5</v>
      </c>
    </row>
    <row r="22" spans="1:3" x14ac:dyDescent="0.2">
      <c r="A22" s="14">
        <v>40940</v>
      </c>
      <c r="B22" s="13">
        <v>53.9</v>
      </c>
      <c r="C22" s="13">
        <f>Table134681134[[#This Row],[PMI]]-B21</f>
        <v>1.3999999999999986</v>
      </c>
    </row>
    <row r="23" spans="1:3" x14ac:dyDescent="0.2">
      <c r="A23" s="14">
        <v>40969</v>
      </c>
      <c r="B23" s="13">
        <v>53.3</v>
      </c>
      <c r="C23" s="13">
        <f>Table134681134[[#This Row],[PMI]]-B22</f>
        <v>-0.60000000000000142</v>
      </c>
    </row>
    <row r="24" spans="1:3" x14ac:dyDescent="0.2">
      <c r="A24" s="14">
        <v>41000</v>
      </c>
      <c r="B24" s="13">
        <v>54.1</v>
      </c>
      <c r="C24" s="13">
        <f>Table134681134[[#This Row],[PMI]]-B23</f>
        <v>0.80000000000000426</v>
      </c>
    </row>
    <row r="25" spans="1:3" x14ac:dyDescent="0.2">
      <c r="A25" s="14">
        <v>41030</v>
      </c>
      <c r="B25" s="13">
        <v>54.7</v>
      </c>
      <c r="C25" s="13">
        <f>Table134681134[[#This Row],[PMI]]-B24</f>
        <v>0.60000000000000142</v>
      </c>
    </row>
    <row r="26" spans="1:3" x14ac:dyDescent="0.2">
      <c r="A26" s="14">
        <v>41061</v>
      </c>
      <c r="B26" s="13">
        <v>52.3</v>
      </c>
      <c r="C26" s="13">
        <f>Table134681134[[#This Row],[PMI]]-B25</f>
        <v>-2.4000000000000057</v>
      </c>
    </row>
    <row r="27" spans="1:3" x14ac:dyDescent="0.2">
      <c r="A27" s="14">
        <v>41091</v>
      </c>
      <c r="B27" s="13">
        <v>53.1</v>
      </c>
      <c r="C27" s="13">
        <f>Table134681134[[#This Row],[PMI]]-B26</f>
        <v>0.80000000000000426</v>
      </c>
    </row>
    <row r="28" spans="1:3" x14ac:dyDescent="0.2">
      <c r="A28" s="14">
        <v>41122</v>
      </c>
      <c r="B28" s="13">
        <v>52</v>
      </c>
      <c r="C28" s="13">
        <f>Table134681134[[#This Row],[PMI]]-B27</f>
        <v>-1.1000000000000014</v>
      </c>
    </row>
    <row r="29" spans="1:3" x14ac:dyDescent="0.2">
      <c r="A29" s="14">
        <v>41153</v>
      </c>
      <c r="B29" s="13">
        <v>54.3</v>
      </c>
      <c r="C29" s="13">
        <f>Table134681134[[#This Row],[PMI]]-B28</f>
        <v>2.2999999999999972</v>
      </c>
    </row>
    <row r="30" spans="1:3" x14ac:dyDescent="0.2">
      <c r="A30" s="14">
        <v>41183</v>
      </c>
      <c r="B30" s="13">
        <v>53.5</v>
      </c>
      <c r="C30" s="13">
        <f>Table134681134[[#This Row],[PMI]]-B29</f>
        <v>-0.79999999999999716</v>
      </c>
    </row>
    <row r="31" spans="1:3" x14ac:dyDescent="0.2">
      <c r="A31" s="14">
        <v>41214</v>
      </c>
      <c r="B31" s="13">
        <v>52.1</v>
      </c>
      <c r="C31" s="13">
        <f>Table134681134[[#This Row],[PMI]]-B30</f>
        <v>-1.3999999999999986</v>
      </c>
    </row>
    <row r="32" spans="1:3" x14ac:dyDescent="0.2">
      <c r="A32" s="14">
        <v>41244</v>
      </c>
      <c r="B32" s="13">
        <v>53.5</v>
      </c>
      <c r="C32" s="13">
        <f>Table134681134[[#This Row],[PMI]]-B31</f>
        <v>1.3999999999999986</v>
      </c>
    </row>
    <row r="33" spans="1:3" x14ac:dyDescent="0.2">
      <c r="A33" s="14">
        <v>41275</v>
      </c>
      <c r="B33" s="13">
        <v>54</v>
      </c>
      <c r="C33" s="13">
        <f>Table134681134[[#This Row],[PMI]]-B32</f>
        <v>0.5</v>
      </c>
    </row>
    <row r="34" spans="1:3" x14ac:dyDescent="0.2">
      <c r="A34" s="14">
        <v>41306</v>
      </c>
      <c r="B34" s="13">
        <v>52.1</v>
      </c>
      <c r="C34" s="13">
        <f>Table134681134[[#This Row],[PMI]]-B33</f>
        <v>-1.8999999999999986</v>
      </c>
    </row>
    <row r="35" spans="1:3" x14ac:dyDescent="0.2">
      <c r="A35" s="14">
        <v>41334</v>
      </c>
      <c r="B35" s="13">
        <v>54.3</v>
      </c>
      <c r="C35" s="13">
        <f>Table134681134[[#This Row],[PMI]]-B34</f>
        <v>2.1999999999999957</v>
      </c>
    </row>
    <row r="36" spans="1:3" x14ac:dyDescent="0.2">
      <c r="A36" s="14">
        <v>41365</v>
      </c>
      <c r="B36" s="13">
        <v>51.1</v>
      </c>
      <c r="C36" s="13">
        <f>Table134681134[[#This Row],[PMI]]-B35</f>
        <v>-3.1999999999999957</v>
      </c>
    </row>
    <row r="37" spans="1:3" x14ac:dyDescent="0.2">
      <c r="A37" s="14">
        <v>41395</v>
      </c>
      <c r="B37" s="13">
        <v>51.2</v>
      </c>
      <c r="C37" s="13">
        <f>Table134681134[[#This Row],[PMI]]-B36</f>
        <v>0.10000000000000142</v>
      </c>
    </row>
    <row r="38" spans="1:3" x14ac:dyDescent="0.2">
      <c r="A38" s="14">
        <v>41426</v>
      </c>
      <c r="B38" s="13">
        <v>51.3</v>
      </c>
      <c r="C38" s="13">
        <f>Table134681134[[#This Row],[PMI]]-B37</f>
        <v>9.9999999999994316E-2</v>
      </c>
    </row>
    <row r="39" spans="1:3" x14ac:dyDescent="0.2">
      <c r="A39" s="14">
        <v>41456</v>
      </c>
      <c r="B39" s="13">
        <v>51.3</v>
      </c>
      <c r="C39" s="13">
        <f>Table134681134[[#This Row],[PMI]]-B38</f>
        <v>0</v>
      </c>
    </row>
    <row r="40" spans="1:3" x14ac:dyDescent="0.2">
      <c r="A40" s="14">
        <v>41487</v>
      </c>
      <c r="B40" s="13">
        <v>52.8</v>
      </c>
      <c r="C40" s="13">
        <f>Table134681134[[#This Row],[PMI]]-B39</f>
        <v>1.5</v>
      </c>
    </row>
    <row r="41" spans="1:3" x14ac:dyDescent="0.2">
      <c r="A41" s="14">
        <v>41518</v>
      </c>
      <c r="B41" s="13">
        <v>52.4</v>
      </c>
      <c r="C41" s="13">
        <f>Table134681134[[#This Row],[PMI]]-B40</f>
        <v>-0.39999999999999858</v>
      </c>
    </row>
    <row r="42" spans="1:3" x14ac:dyDescent="0.2">
      <c r="A42" s="14">
        <v>41548</v>
      </c>
      <c r="B42" s="13">
        <v>52.6</v>
      </c>
      <c r="C42" s="13">
        <f>Table134681134[[#This Row],[PMI]]-B41</f>
        <v>0.20000000000000284</v>
      </c>
    </row>
    <row r="43" spans="1:3" x14ac:dyDescent="0.2">
      <c r="A43" s="14">
        <v>41579</v>
      </c>
      <c r="B43" s="13">
        <v>52.5</v>
      </c>
      <c r="C43" s="13">
        <f>Table134681134[[#This Row],[PMI]]-B42</f>
        <v>-0.10000000000000142</v>
      </c>
    </row>
    <row r="44" spans="1:3" x14ac:dyDescent="0.2">
      <c r="A44" s="14">
        <v>41609</v>
      </c>
      <c r="B44" s="13">
        <v>51.4</v>
      </c>
      <c r="C44" s="13">
        <f>Table134681134[[#This Row],[PMI]]-B43</f>
        <v>-1.1000000000000014</v>
      </c>
    </row>
    <row r="45" spans="1:3" x14ac:dyDescent="0.2">
      <c r="A45" s="14">
        <v>41640</v>
      </c>
      <c r="B45" s="13">
        <v>50.7</v>
      </c>
      <c r="C45" s="13">
        <f>Table134681134[[#This Row],[PMI]]-B44</f>
        <v>-0.69999999999999574</v>
      </c>
    </row>
    <row r="46" spans="1:3" x14ac:dyDescent="0.2">
      <c r="A46" s="14">
        <v>41671</v>
      </c>
      <c r="B46" s="13">
        <v>51</v>
      </c>
      <c r="C46" s="13">
        <f>Table134681134[[#This Row],[PMI]]-B45</f>
        <v>0.29999999999999716</v>
      </c>
    </row>
    <row r="47" spans="1:3" x14ac:dyDescent="0.2">
      <c r="A47" s="14">
        <v>41699</v>
      </c>
      <c r="B47" s="13">
        <v>51.9</v>
      </c>
      <c r="C47" s="13">
        <f>Table134681134[[#This Row],[PMI]]-B46</f>
        <v>0.89999999999999858</v>
      </c>
    </row>
    <row r="48" spans="1:3" x14ac:dyDescent="0.2">
      <c r="A48" s="14">
        <v>41730</v>
      </c>
      <c r="B48" s="13">
        <v>51.4</v>
      </c>
      <c r="C48" s="13">
        <f>Table134681134[[#This Row],[PMI]]-B47</f>
        <v>-0.5</v>
      </c>
    </row>
    <row r="49" spans="1:3" x14ac:dyDescent="0.2">
      <c r="A49" s="14">
        <v>41760</v>
      </c>
      <c r="B49" s="13">
        <v>50.7</v>
      </c>
      <c r="C49" s="13">
        <f>Table134681134[[#This Row],[PMI]]-B48</f>
        <v>-0.69999999999999574</v>
      </c>
    </row>
    <row r="50" spans="1:3" x14ac:dyDescent="0.2">
      <c r="A50" s="14">
        <v>41791</v>
      </c>
      <c r="B50" s="13">
        <v>53.1</v>
      </c>
      <c r="C50" s="13">
        <f>Table134681134[[#This Row],[PMI]]-B49</f>
        <v>2.3999999999999986</v>
      </c>
    </row>
    <row r="51" spans="1:3" x14ac:dyDescent="0.2">
      <c r="A51" s="14">
        <v>41821</v>
      </c>
      <c r="B51" s="13">
        <v>50</v>
      </c>
      <c r="C51" s="13">
        <f>Table134681134[[#This Row],[PMI]]-B50</f>
        <v>-3.1000000000000014</v>
      </c>
    </row>
    <row r="52" spans="1:3" x14ac:dyDescent="0.2">
      <c r="A52" s="14">
        <v>41852</v>
      </c>
      <c r="B52" s="13">
        <v>54.1</v>
      </c>
      <c r="C52" s="13">
        <f>Table134681134[[#This Row],[PMI]]-B51</f>
        <v>4.1000000000000014</v>
      </c>
    </row>
    <row r="53" spans="1:3" x14ac:dyDescent="0.2">
      <c r="A53" s="14">
        <v>41883</v>
      </c>
      <c r="B53" s="13">
        <v>53.5</v>
      </c>
      <c r="C53" s="13">
        <f>Table134681134[[#This Row],[PMI]]-B52</f>
        <v>-0.60000000000000142</v>
      </c>
    </row>
    <row r="54" spans="1:3" x14ac:dyDescent="0.2">
      <c r="A54" s="14">
        <v>41913</v>
      </c>
      <c r="B54" s="13">
        <v>52.9</v>
      </c>
      <c r="C54" s="13">
        <f>Table134681134[[#This Row],[PMI]]-B53</f>
        <v>-0.60000000000000142</v>
      </c>
    </row>
    <row r="55" spans="1:3" x14ac:dyDescent="0.2">
      <c r="A55" s="14">
        <v>41944</v>
      </c>
      <c r="B55" s="13">
        <v>53</v>
      </c>
      <c r="C55" s="13">
        <f>Table134681134[[#This Row],[PMI]]-B54</f>
        <v>0.10000000000000142</v>
      </c>
    </row>
    <row r="56" spans="1:3" x14ac:dyDescent="0.2">
      <c r="A56" s="14">
        <v>41974</v>
      </c>
      <c r="B56" s="13">
        <v>53.4</v>
      </c>
      <c r="C56" s="13">
        <f>Table134681134[[#This Row],[PMI]]-B55</f>
        <v>0.39999999999999858</v>
      </c>
    </row>
    <row r="57" spans="1:3" x14ac:dyDescent="0.2">
      <c r="A57" s="14">
        <v>42005</v>
      </c>
      <c r="B57" s="13">
        <v>51.8</v>
      </c>
      <c r="C57" s="13">
        <f>Table134681134[[#This Row],[PMI]]-B56</f>
        <v>-1.6000000000000014</v>
      </c>
    </row>
    <row r="58" spans="1:3" x14ac:dyDescent="0.2">
      <c r="A58" s="14">
        <v>42036</v>
      </c>
      <c r="B58" s="13">
        <v>52</v>
      </c>
      <c r="C58" s="13">
        <f>Table134681134[[#This Row],[PMI]]-B57</f>
        <v>0.20000000000000284</v>
      </c>
    </row>
    <row r="59" spans="1:3" x14ac:dyDescent="0.2">
      <c r="A59" s="14">
        <v>42064</v>
      </c>
      <c r="B59" s="13">
        <v>52.3</v>
      </c>
      <c r="C59" s="13">
        <f>Table134681134[[#This Row],[PMI]]-B58</f>
        <v>0.29999999999999716</v>
      </c>
    </row>
    <row r="60" spans="1:3" x14ac:dyDescent="0.2">
      <c r="A60" s="14">
        <v>42095</v>
      </c>
      <c r="B60" s="13">
        <v>52.9</v>
      </c>
      <c r="C60" s="13">
        <f>Table134681134[[#This Row],[PMI]]-B59</f>
        <v>0.60000000000000142</v>
      </c>
    </row>
    <row r="61" spans="1:3" x14ac:dyDescent="0.2">
      <c r="A61" s="14">
        <v>42125</v>
      </c>
      <c r="B61" s="13">
        <v>53.5</v>
      </c>
      <c r="C61" s="13">
        <f>Table134681134[[#This Row],[PMI]]-B60</f>
        <v>0.60000000000000142</v>
      </c>
    </row>
    <row r="62" spans="1:3" x14ac:dyDescent="0.2">
      <c r="A62" s="14">
        <v>42156</v>
      </c>
      <c r="B62" s="13">
        <v>51.8</v>
      </c>
      <c r="C62" s="13">
        <f>Table134681134[[#This Row],[PMI]]-B61</f>
        <v>-1.7000000000000028</v>
      </c>
    </row>
    <row r="63" spans="1:3" x14ac:dyDescent="0.2">
      <c r="A63" s="14">
        <v>42186</v>
      </c>
      <c r="B63" s="13">
        <v>53.8</v>
      </c>
      <c r="C63" s="13">
        <f>Table134681134[[#This Row],[PMI]]-B62</f>
        <v>2</v>
      </c>
    </row>
    <row r="64" spans="1:3" x14ac:dyDescent="0.2">
      <c r="A64" s="14">
        <v>42217</v>
      </c>
      <c r="B64" s="13">
        <v>51.5</v>
      </c>
      <c r="C64" s="13">
        <f>Table134681134[[#This Row],[PMI]]-B63</f>
        <v>-2.2999999999999972</v>
      </c>
    </row>
    <row r="65" spans="1:3" x14ac:dyDescent="0.2">
      <c r="A65" s="14">
        <v>42248</v>
      </c>
      <c r="B65" s="13">
        <v>50.5</v>
      </c>
      <c r="C65" s="13">
        <f>Table134681134[[#This Row],[PMI]]-B64</f>
        <v>-1</v>
      </c>
    </row>
    <row r="66" spans="1:3" x14ac:dyDescent="0.2">
      <c r="A66" s="14">
        <v>42278</v>
      </c>
      <c r="B66" s="13">
        <v>52</v>
      </c>
      <c r="C66" s="13">
        <f>Table134681134[[#This Row],[PMI]]-B65</f>
        <v>1.5</v>
      </c>
    </row>
    <row r="67" spans="1:3" x14ac:dyDescent="0.2">
      <c r="A67" s="14">
        <v>42309</v>
      </c>
      <c r="B67" s="13">
        <v>51.2</v>
      </c>
      <c r="C67" s="13">
        <f>Table134681134[[#This Row],[PMI]]-B66</f>
        <v>-0.79999999999999716</v>
      </c>
    </row>
    <row r="68" spans="1:3" x14ac:dyDescent="0.2">
      <c r="A68" s="14">
        <v>42339</v>
      </c>
      <c r="B68" s="13">
        <v>50.2</v>
      </c>
      <c r="C68" s="13">
        <f>Table134681134[[#This Row],[PMI]]-B67</f>
        <v>-1</v>
      </c>
    </row>
    <row r="69" spans="1:3" x14ac:dyDescent="0.2">
      <c r="A69" s="14">
        <v>42370</v>
      </c>
      <c r="B69" s="13">
        <v>52.4</v>
      </c>
      <c r="C69" s="13">
        <f>Table134681134[[#This Row],[PMI]]-B68</f>
        <v>2.1999999999999957</v>
      </c>
    </row>
    <row r="70" spans="1:3" x14ac:dyDescent="0.2">
      <c r="A70" s="14">
        <v>42401</v>
      </c>
      <c r="B70" s="13">
        <v>51.2</v>
      </c>
      <c r="C70" s="13">
        <f>Table134681134[[#This Row],[PMI]]-B69</f>
        <v>-1.1999999999999957</v>
      </c>
    </row>
    <row r="71" spans="1:3" x14ac:dyDescent="0.2">
      <c r="A71" s="14">
        <v>42430</v>
      </c>
      <c r="B71" s="13">
        <v>52.2</v>
      </c>
      <c r="C71" s="13">
        <f>Table134681134[[#This Row],[PMI]]-B70</f>
        <v>1</v>
      </c>
    </row>
    <row r="72" spans="1:3" x14ac:dyDescent="0.2">
      <c r="A72" s="14">
        <v>42461</v>
      </c>
      <c r="B72" s="13">
        <v>51.8</v>
      </c>
      <c r="C72" s="13">
        <f>Table134681134[[#This Row],[PMI]]-B71</f>
        <v>-0.40000000000000568</v>
      </c>
    </row>
    <row r="73" spans="1:3" x14ac:dyDescent="0.2">
      <c r="A73" s="14">
        <v>42491</v>
      </c>
      <c r="B73" s="13">
        <v>51.2</v>
      </c>
      <c r="C73" s="13">
        <f>Table134681134[[#This Row],[PMI]]-B72</f>
        <v>-0.59999999999999432</v>
      </c>
    </row>
    <row r="74" spans="1:3" x14ac:dyDescent="0.2">
      <c r="A74" s="14">
        <v>42522</v>
      </c>
      <c r="B74" s="13">
        <v>52.7</v>
      </c>
      <c r="C74" s="13">
        <f>Table134681134[[#This Row],[PMI]]-B73</f>
        <v>1.5</v>
      </c>
    </row>
    <row r="75" spans="1:3" x14ac:dyDescent="0.2">
      <c r="A75" s="14">
        <v>42552</v>
      </c>
      <c r="B75" s="13">
        <v>51.7</v>
      </c>
      <c r="C75" s="13">
        <f>Table134681134[[#This Row],[PMI]]-B74</f>
        <v>-1</v>
      </c>
    </row>
    <row r="76" spans="1:3" x14ac:dyDescent="0.2">
      <c r="A76" s="14">
        <v>42583</v>
      </c>
      <c r="B76" s="13">
        <v>52.1</v>
      </c>
      <c r="C76" s="13">
        <f>Table134681134[[#This Row],[PMI]]-B75</f>
        <v>0.39999999999999858</v>
      </c>
    </row>
    <row r="77" spans="1:3" x14ac:dyDescent="0.2">
      <c r="A77" s="14">
        <v>42614</v>
      </c>
      <c r="B77" s="13">
        <v>51</v>
      </c>
      <c r="C77" s="21">
        <f>Table134681134[[#This Row],[PMI]]-B76</f>
        <v>-1.1000000000000014</v>
      </c>
    </row>
    <row r="78" spans="1:3" x14ac:dyDescent="0.2">
      <c r="A78" s="14">
        <v>42644</v>
      </c>
      <c r="B78" s="13">
        <v>52.4</v>
      </c>
      <c r="C78" s="21">
        <f>Table134681134[[#This Row],[PMI]]-B77</f>
        <v>1.3999999999999986</v>
      </c>
    </row>
    <row r="79" spans="1:3" x14ac:dyDescent="0.2">
      <c r="A79" s="14">
        <v>42675</v>
      </c>
      <c r="B79" s="13">
        <v>53.1</v>
      </c>
      <c r="C79" s="21">
        <f>Table134681134[[#This Row],[PMI]]-B78</f>
        <v>0.70000000000000284</v>
      </c>
    </row>
    <row r="80" spans="1:3" x14ac:dyDescent="0.2">
      <c r="A80" s="14">
        <v>42705</v>
      </c>
      <c r="B80" s="13">
        <v>53.4</v>
      </c>
      <c r="C80" s="21">
        <f>Table134681134[[#This Row],[PMI]]-B79</f>
        <v>0.29999999999999716</v>
      </c>
    </row>
    <row r="81" spans="1:3" x14ac:dyDescent="0.2">
      <c r="A81" s="14">
        <v>42736</v>
      </c>
      <c r="B81" s="13">
        <v>53.1</v>
      </c>
      <c r="C81" s="21">
        <f>Table134681134[[#This Row],[PMI]]-B80</f>
        <v>-0.29999999999999716</v>
      </c>
    </row>
    <row r="82" spans="1:3" x14ac:dyDescent="0.2">
      <c r="A82" s="14">
        <v>42767</v>
      </c>
      <c r="B82" s="13">
        <v>52.6</v>
      </c>
      <c r="C82" s="21">
        <f>Table134681134[[#This Row],[PMI]]-B81</f>
        <v>-0.5</v>
      </c>
    </row>
    <row r="83" spans="1:3" x14ac:dyDescent="0.2">
      <c r="A83" s="14">
        <v>42795</v>
      </c>
      <c r="B83" s="13">
        <v>52.2</v>
      </c>
      <c r="C83" s="21">
        <f>Table134681134[[#This Row],[PMI]]-B82</f>
        <v>-0.39999999999999858</v>
      </c>
    </row>
    <row r="84" spans="1:3" x14ac:dyDescent="0.2">
      <c r="A84" s="14">
        <v>42826</v>
      </c>
      <c r="B84" s="13">
        <v>51.5</v>
      </c>
      <c r="C84" s="21">
        <f>Table134681134[[#This Row],[PMI]]-B83</f>
        <v>-0.70000000000000284</v>
      </c>
    </row>
    <row r="85" spans="1:3" x14ac:dyDescent="0.2">
      <c r="A85" s="14">
        <v>42856</v>
      </c>
      <c r="B85" s="13">
        <v>52.8</v>
      </c>
      <c r="C85" s="21">
        <f>Table134681134[[#This Row],[PMI]]-B84</f>
        <v>1.2999999999999972</v>
      </c>
    </row>
    <row r="86" spans="1:3" x14ac:dyDescent="0.2">
      <c r="A86" s="14">
        <v>42887</v>
      </c>
      <c r="B86" s="13">
        <v>51.6</v>
      </c>
      <c r="C86" s="21">
        <f>Table134681134[[#This Row],[PMI]]-B85</f>
        <v>-1.1999999999999957</v>
      </c>
    </row>
    <row r="87" spans="1:3" x14ac:dyDescent="0.2">
      <c r="A87" s="14">
        <v>42917</v>
      </c>
      <c r="B87" s="13">
        <v>51.5</v>
      </c>
      <c r="C87" s="21">
        <f>Table134681134[[#This Row],[PMI]]-B86</f>
        <v>-0.10000000000000142</v>
      </c>
    </row>
    <row r="88" spans="1:3" x14ac:dyDescent="0.2">
      <c r="A88" s="14">
        <v>42948</v>
      </c>
      <c r="B88" s="13">
        <v>52.7</v>
      </c>
      <c r="C88" s="21">
        <f>Table134681134[[#This Row],[PMI]]-B87</f>
        <v>1.2000000000000028</v>
      </c>
    </row>
    <row r="89" spans="1:3" x14ac:dyDescent="0.2">
      <c r="A89" s="14">
        <v>42979</v>
      </c>
      <c r="B89" s="13">
        <v>50.6</v>
      </c>
      <c r="C89" s="21">
        <f>Table134681134[[#This Row],[PMI]]-B88</f>
        <v>-2.1000000000000014</v>
      </c>
    </row>
    <row r="90" spans="1:3" x14ac:dyDescent="0.2">
      <c r="A90" s="14">
        <v>43009</v>
      </c>
      <c r="B90" s="13">
        <v>51.2</v>
      </c>
      <c r="C90" s="21">
        <f>Table134681134[[#This Row],[PMI]]-B89</f>
        <v>0.60000000000000142</v>
      </c>
    </row>
    <row r="91" spans="1:3" x14ac:dyDescent="0.2">
      <c r="A91" s="14">
        <v>43040</v>
      </c>
      <c r="B91" s="13">
        <v>51.9</v>
      </c>
      <c r="C91" s="21">
        <f>Table134681134[[#This Row],[PMI]]-B90</f>
        <v>0.69999999999999574</v>
      </c>
    </row>
    <row r="92" spans="1:3" x14ac:dyDescent="0.2">
      <c r="A92" s="14">
        <v>43070</v>
      </c>
      <c r="B92" s="13">
        <v>53.9</v>
      </c>
      <c r="C92" s="21">
        <f>Table134681134[[#This Row],[PMI]]-B91</f>
        <v>2</v>
      </c>
    </row>
    <row r="93" spans="1:3" x14ac:dyDescent="0.2">
      <c r="A93" s="14">
        <v>43101</v>
      </c>
      <c r="B93" s="13">
        <v>54.7</v>
      </c>
      <c r="C93" s="21">
        <f>Table134681134[[#This Row],[PMI]]-B92</f>
        <v>0.80000000000000426</v>
      </c>
    </row>
    <row r="94" spans="1:3" x14ac:dyDescent="0.2">
      <c r="A94" s="14">
        <v>43132</v>
      </c>
      <c r="B94" s="13">
        <v>54.2</v>
      </c>
      <c r="C94" s="21">
        <f>Table134681134[[#This Row],[PMI]]-B93</f>
        <v>-0.5</v>
      </c>
    </row>
    <row r="95" spans="1:3" x14ac:dyDescent="0.2">
      <c r="A95" s="14">
        <v>43160</v>
      </c>
      <c r="B95" s="13">
        <v>52.3</v>
      </c>
      <c r="C95" s="21">
        <f>Table134681134[[#This Row],[PMI]]-B94</f>
        <v>-1.9000000000000057</v>
      </c>
    </row>
    <row r="96" spans="1:3" x14ac:dyDescent="0.2">
      <c r="A96" s="14">
        <v>43191</v>
      </c>
      <c r="B96" s="13">
        <v>52.9</v>
      </c>
      <c r="C96" s="21">
        <f>Table134681134[[#This Row],[PMI]]-B95</f>
        <v>0.60000000000000142</v>
      </c>
    </row>
    <row r="97" spans="1:3" x14ac:dyDescent="0.2">
      <c r="A97" s="14">
        <v>43221</v>
      </c>
      <c r="B97" s="13">
        <v>52.9</v>
      </c>
      <c r="C97" s="21">
        <f>Table134681134[[#This Row],[PMI]]-B96</f>
        <v>0</v>
      </c>
    </row>
    <row r="98" spans="1:3" x14ac:dyDescent="0.2">
      <c r="A98" s="14">
        <v>43252</v>
      </c>
      <c r="B98" s="13">
        <v>53.9</v>
      </c>
      <c r="C98" s="21">
        <f>Table134681134[[#This Row],[PMI]]-B97</f>
        <v>1</v>
      </c>
    </row>
    <row r="99" spans="1:3" x14ac:dyDescent="0.2">
      <c r="A99" s="14">
        <v>43282</v>
      </c>
      <c r="B99" s="13">
        <v>52.8</v>
      </c>
      <c r="C99" s="21">
        <f>Table134681134[[#This Row],[PMI]]-B98</f>
        <v>-1.1000000000000014</v>
      </c>
    </row>
    <row r="100" spans="1:3" x14ac:dyDescent="0.2">
      <c r="A100" s="14">
        <v>43313</v>
      </c>
      <c r="B100" s="13">
        <v>51.5</v>
      </c>
      <c r="C100" s="21">
        <f>Table134681134[[#This Row],[PMI]]-B99</f>
        <v>-1.2999999999999972</v>
      </c>
    </row>
    <row r="101" spans="1:3" x14ac:dyDescent="0.2">
      <c r="A101" s="14">
        <v>43344</v>
      </c>
      <c r="B101" s="13">
        <v>53.1</v>
      </c>
      <c r="C101" s="21">
        <f>Table134681134[[#This Row],[PMI]]-B100</f>
        <v>1.6000000000000014</v>
      </c>
    </row>
    <row r="102" spans="1:3" x14ac:dyDescent="0.2">
      <c r="A102" s="14">
        <v>43374</v>
      </c>
      <c r="B102" s="13">
        <v>50.8</v>
      </c>
      <c r="C102" s="21">
        <f>Table134681134[[#This Row],[PMI]]-B101</f>
        <v>-2.3000000000000043</v>
      </c>
    </row>
    <row r="103" spans="1:3" x14ac:dyDescent="0.2">
      <c r="A103" s="14">
        <v>43405</v>
      </c>
      <c r="B103" s="13">
        <v>53.8</v>
      </c>
      <c r="C103" s="21">
        <f>Table134681134[[#This Row],[PMI]]-B102</f>
        <v>3</v>
      </c>
    </row>
    <row r="104" spans="1:3" x14ac:dyDescent="0.2">
      <c r="A104" s="14">
        <v>43435</v>
      </c>
      <c r="B104" s="13">
        <v>53.9</v>
      </c>
      <c r="C104" s="21">
        <f>Table134681134[[#This Row],[PMI]]-B103</f>
        <v>0.10000000000000142</v>
      </c>
    </row>
    <row r="105" spans="1:3" x14ac:dyDescent="0.2">
      <c r="A105" s="14">
        <v>43466</v>
      </c>
      <c r="B105" s="13">
        <v>53.6</v>
      </c>
      <c r="C105" s="21">
        <f>Table134681134[[#This Row],[PMI]]-B104</f>
        <v>-0.29999999999999716</v>
      </c>
    </row>
    <row r="106" spans="1:3" x14ac:dyDescent="0.2">
      <c r="A106" s="14">
        <v>43497</v>
      </c>
      <c r="B106" s="13">
        <v>51.1</v>
      </c>
      <c r="C106" s="21">
        <f>Table134681134[[#This Row],[PMI]]-B105</f>
        <v>-2.5</v>
      </c>
    </row>
    <row r="107" spans="1:3" x14ac:dyDescent="0.2">
      <c r="A107" s="14">
        <v>43525</v>
      </c>
      <c r="B107" s="13">
        <v>54.4</v>
      </c>
      <c r="C107" s="21">
        <f>Table134681134[[#This Row],[PMI]]-B106</f>
        <v>3.2999999999999972</v>
      </c>
    </row>
    <row r="108" spans="1:3" x14ac:dyDescent="0.2">
      <c r="A108" s="14">
        <v>43556</v>
      </c>
      <c r="B108" s="13">
        <v>54.5</v>
      </c>
      <c r="C108" s="21">
        <f>Table134681134[[#This Row],[PMI]]-B107</f>
        <v>0.10000000000000142</v>
      </c>
    </row>
    <row r="109" spans="1:3" x14ac:dyDescent="0.2">
      <c r="A109" s="14">
        <v>43586</v>
      </c>
      <c r="B109" s="13">
        <v>52.7</v>
      </c>
      <c r="C109" s="21">
        <f>Table134681134[[#This Row],[PMI]]-B108</f>
        <v>-1.7999999999999972</v>
      </c>
    </row>
    <row r="110" spans="1:3" x14ac:dyDescent="0.2">
      <c r="A110" s="14">
        <v>43617</v>
      </c>
      <c r="B110" s="13">
        <v>52</v>
      </c>
      <c r="C110" s="21">
        <f>Table134681134[[#This Row],[PMI]]-B109</f>
        <v>-0.70000000000000284</v>
      </c>
    </row>
    <row r="111" spans="1:3" x14ac:dyDescent="0.2">
      <c r="A111" s="14">
        <v>43647</v>
      </c>
      <c r="B111" s="13">
        <v>51.6</v>
      </c>
      <c r="C111" s="21">
        <f>Table134681134[[#This Row],[PMI]]-B110</f>
        <v>-0.39999999999999858</v>
      </c>
    </row>
    <row r="112" spans="1:3" x14ac:dyDescent="0.2">
      <c r="A112" s="14">
        <v>43678</v>
      </c>
      <c r="B112" s="13">
        <v>52.1</v>
      </c>
      <c r="C112" s="21">
        <f>Table134681134[[#This Row],[PMI]]-B111</f>
        <v>0.5</v>
      </c>
    </row>
    <row r="113" spans="1:6" x14ac:dyDescent="0.2">
      <c r="A113" s="14">
        <v>43709</v>
      </c>
      <c r="B113" s="13">
        <v>51.3</v>
      </c>
      <c r="C113" s="21">
        <f>Table134681134[[#This Row],[PMI]]-B112</f>
        <v>-0.80000000000000426</v>
      </c>
    </row>
    <row r="114" spans="1:6" x14ac:dyDescent="0.2">
      <c r="A114" s="14">
        <v>43739</v>
      </c>
      <c r="B114" s="13">
        <v>51.1</v>
      </c>
      <c r="C114" s="21">
        <f>Table134681134[[#This Row],[PMI]]-B113</f>
        <v>-0.19999999999999574</v>
      </c>
      <c r="F114" s="65"/>
    </row>
    <row r="115" spans="1:6" x14ac:dyDescent="0.2">
      <c r="A115" s="14">
        <v>43770</v>
      </c>
      <c r="B115" s="13">
        <v>53.5</v>
      </c>
      <c r="C115" s="21">
        <f>Table134681134[[#This Row],[PMI]]-B114</f>
        <v>2.3999999999999986</v>
      </c>
    </row>
    <row r="116" spans="1:6" x14ac:dyDescent="0.2">
      <c r="A116" s="14">
        <v>43800</v>
      </c>
      <c r="B116" s="13">
        <v>52.5</v>
      </c>
      <c r="C116" s="21">
        <f>Table134681134[[#This Row],[PMI]]-B115</f>
        <v>-1</v>
      </c>
    </row>
    <row r="117" spans="1:6" x14ac:dyDescent="0.2">
      <c r="A117" s="14">
        <v>43831</v>
      </c>
      <c r="B117" s="13">
        <v>51.8</v>
      </c>
      <c r="C117" s="21">
        <f>Table134681134[[#This Row],[PMI]]-B116</f>
        <v>-0.70000000000000284</v>
      </c>
    </row>
    <row r="118" spans="1:6" x14ac:dyDescent="0.2">
      <c r="A118" s="14">
        <v>43862</v>
      </c>
      <c r="B118" s="13">
        <v>26.5</v>
      </c>
      <c r="C118" s="21">
        <f>Table134681134[[#This Row],[PMI]]-B117</f>
        <v>-25.299999999999997</v>
      </c>
    </row>
    <row r="119" spans="1:6" x14ac:dyDescent="0.2">
      <c r="A119" s="14">
        <v>43891</v>
      </c>
      <c r="B119" s="13">
        <v>43</v>
      </c>
      <c r="C119" s="21">
        <f>Table134681134[[#This Row],[PMI]]-B118</f>
        <v>16.5</v>
      </c>
    </row>
    <row r="120" spans="1:6" x14ac:dyDescent="0.2">
      <c r="A120" s="14">
        <v>43922</v>
      </c>
      <c r="B120" s="13">
        <v>44.4</v>
      </c>
      <c r="C120" s="21">
        <f>Table134681134[[#This Row],[PMI]]-B119</f>
        <v>1.3999999999999986</v>
      </c>
    </row>
    <row r="121" spans="1:6" x14ac:dyDescent="0.2">
      <c r="A121" s="14">
        <v>43952</v>
      </c>
      <c r="B121" s="13">
        <v>55</v>
      </c>
      <c r="C121" s="21">
        <f>Table134681134[[#This Row],[PMI]]-B120</f>
        <v>10.600000000000001</v>
      </c>
    </row>
    <row r="122" spans="1:6" x14ac:dyDescent="0.2">
      <c r="A122" s="14">
        <v>43983</v>
      </c>
      <c r="B122" s="13">
        <v>58.4</v>
      </c>
      <c r="C122" s="21">
        <f>Table134681134[[#This Row],[PMI]]-B121</f>
        <v>3.3999999999999986</v>
      </c>
    </row>
    <row r="123" spans="1:6" x14ac:dyDescent="0.2">
      <c r="A123" s="14">
        <v>44013</v>
      </c>
      <c r="B123" s="13">
        <v>54.1</v>
      </c>
      <c r="C123" s="21">
        <f>Table134681134[[#This Row],[PMI]]-B122</f>
        <v>-4.2999999999999972</v>
      </c>
    </row>
    <row r="124" spans="1:6" x14ac:dyDescent="0.2">
      <c r="A124" s="14">
        <v>44044</v>
      </c>
      <c r="B124" s="13">
        <v>54</v>
      </c>
      <c r="C124" s="21">
        <f>Table134681134[[#This Row],[PMI]]-B123</f>
        <v>-0.10000000000000142</v>
      </c>
    </row>
    <row r="125" spans="1:6" x14ac:dyDescent="0.2">
      <c r="A125" s="14">
        <v>44075</v>
      </c>
      <c r="B125" s="13">
        <v>54.8</v>
      </c>
      <c r="C125" s="21">
        <f>Table134681134[[#This Row],[PMI]]-B124</f>
        <v>0.79999999999999716</v>
      </c>
    </row>
    <row r="126" spans="1:6" x14ac:dyDescent="0.2">
      <c r="A126" s="14">
        <v>44105</v>
      </c>
      <c r="B126" s="13">
        <v>56.8</v>
      </c>
      <c r="C126" s="21">
        <f>Table134681134[[#This Row],[PMI]]-B125</f>
        <v>2</v>
      </c>
    </row>
    <row r="127" spans="1:6" x14ac:dyDescent="0.2">
      <c r="A127" s="14">
        <v>44136</v>
      </c>
      <c r="B127" s="13">
        <v>57.8</v>
      </c>
      <c r="C127" s="21">
        <f>Table134681134[[#This Row],[PMI]]-B126</f>
        <v>1</v>
      </c>
    </row>
    <row r="128" spans="1:6" x14ac:dyDescent="0.2">
      <c r="A128" s="14">
        <v>44166</v>
      </c>
      <c r="B128" s="13">
        <v>56.3</v>
      </c>
      <c r="C128" s="21">
        <f>Table134681134[[#This Row],[PMI]]-B127</f>
        <v>-1.5</v>
      </c>
    </row>
    <row r="129" spans="1:3" x14ac:dyDescent="0.2">
      <c r="A129" s="14">
        <v>44197</v>
      </c>
      <c r="B129" s="13">
        <v>52</v>
      </c>
      <c r="C129" s="21">
        <f>Table134681134[[#This Row],[PMI]]-B128</f>
        <v>-4.2999999999999972</v>
      </c>
    </row>
    <row r="130" spans="1:3" x14ac:dyDescent="0.2">
      <c r="A130" s="14">
        <v>44228</v>
      </c>
      <c r="B130" s="13">
        <v>51.5</v>
      </c>
      <c r="C130" s="21">
        <f>Table134681134[[#This Row],[PMI]]-B129</f>
        <v>-0.5</v>
      </c>
    </row>
    <row r="131" spans="1:3" x14ac:dyDescent="0.2">
      <c r="A131" s="14">
        <v>44256</v>
      </c>
      <c r="B131" s="13">
        <v>54.3</v>
      </c>
      <c r="C131" s="21">
        <f>Table134681134[[#This Row],[PMI]]-B130</f>
        <v>2.7999999999999972</v>
      </c>
    </row>
    <row r="132" spans="1:3" x14ac:dyDescent="0.2">
      <c r="A132" s="14">
        <v>44287</v>
      </c>
      <c r="B132" s="13">
        <v>56.3</v>
      </c>
      <c r="C132" s="21">
        <f>Table134681134[[#This Row],[PMI]]-B131</f>
        <v>2</v>
      </c>
    </row>
    <row r="133" spans="1:3" x14ac:dyDescent="0.2">
      <c r="A133" s="14">
        <v>44317</v>
      </c>
      <c r="B133" s="13">
        <v>55.1</v>
      </c>
      <c r="C133" s="21">
        <f>Table134681134[[#This Row],[PMI]]-B132</f>
        <v>-1.1999999999999957</v>
      </c>
    </row>
    <row r="134" spans="1:3" x14ac:dyDescent="0.2">
      <c r="A134" s="14">
        <v>44348</v>
      </c>
      <c r="B134" s="13">
        <v>50.3</v>
      </c>
      <c r="C134" s="21">
        <f>Table134681134[[#This Row],[PMI]]-B133</f>
        <v>-4.8000000000000043</v>
      </c>
    </row>
    <row r="135" spans="1:3" x14ac:dyDescent="0.2">
      <c r="A135" s="14">
        <v>44378</v>
      </c>
      <c r="B135" s="13">
        <v>54.9</v>
      </c>
      <c r="C135" s="21">
        <f>Table134681134[[#This Row],[PMI]]-B134</f>
        <v>4.6000000000000014</v>
      </c>
    </row>
    <row r="136" spans="1:3" x14ac:dyDescent="0.2">
      <c r="A136" s="14">
        <v>44409</v>
      </c>
      <c r="B136" s="13">
        <v>46.7</v>
      </c>
      <c r="C136" s="21">
        <f>Table134681134[[#This Row],[PMI]]-B135</f>
        <v>-8.1999999999999957</v>
      </c>
    </row>
    <row r="137" spans="1:3" x14ac:dyDescent="0.2">
      <c r="A137" s="14">
        <v>44440</v>
      </c>
      <c r="B137" s="13">
        <v>53.4</v>
      </c>
      <c r="C137" s="21">
        <f>Table134681134[[#This Row],[PMI]]-B136</f>
        <v>6.6999999999999957</v>
      </c>
    </row>
    <row r="138" spans="1:3" x14ac:dyDescent="0.2">
      <c r="A138" s="14">
        <v>44470</v>
      </c>
      <c r="B138" s="13">
        <v>53.8</v>
      </c>
      <c r="C138" s="21">
        <f>Table134681134[[#This Row],[PMI]]-B137</f>
        <v>0.39999999999999858</v>
      </c>
    </row>
    <row r="139" spans="1:3" x14ac:dyDescent="0.2">
      <c r="A139" s="14">
        <v>44501</v>
      </c>
      <c r="B139" s="13">
        <v>52.1</v>
      </c>
      <c r="C139" s="21">
        <f>Table134681134[[#This Row],[PMI]]-B138</f>
        <v>-1.6999999999999957</v>
      </c>
    </row>
    <row r="140" spans="1:3" x14ac:dyDescent="0.2">
      <c r="A140" s="14">
        <v>44531</v>
      </c>
      <c r="B140" s="13">
        <v>53.1</v>
      </c>
      <c r="C140" s="21">
        <f>Table134681134[[#This Row],[PMI]]-B139</f>
        <v>1</v>
      </c>
    </row>
  </sheetData>
  <conditionalFormatting sqref="C7:C76">
    <cfRule type="colorScale" priority="2">
      <colorScale>
        <cfvo type="min"/>
        <cfvo type="percentile" val="50"/>
        <cfvo type="max"/>
        <color rgb="FFF8696B"/>
        <color rgb="FFFCFCFF"/>
        <color rgb="FF5A8AC6"/>
      </colorScale>
    </cfRule>
  </conditionalFormatting>
  <conditionalFormatting sqref="B6:B140">
    <cfRule type="colorScale" priority="20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53678-9D06-43DB-A999-C1FBFCB8F91F}">
  <dimension ref="A1:J166"/>
  <sheetViews>
    <sheetView zoomScale="160" zoomScaleNormal="160" workbookViewId="0">
      <pane ySplit="5" topLeftCell="A127" activePane="bottomLeft" state="frozen"/>
      <selection pane="bottomLeft" activeCell="A168" sqref="A168"/>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18</v>
      </c>
      <c r="J1" s="25" t="s">
        <v>42</v>
      </c>
    </row>
    <row r="2" spans="1:10" x14ac:dyDescent="0.2">
      <c r="J2" s="25" t="str">
        <f>A1&amp;J1</f>
        <v>France Services PMI</v>
      </c>
    </row>
    <row r="4" spans="1:10" ht="16" thickBot="1" x14ac:dyDescent="0.25"/>
    <row r="5" spans="1:10" ht="16" thickBot="1" x14ac:dyDescent="0.25">
      <c r="A5" s="19" t="s">
        <v>9</v>
      </c>
      <c r="B5" s="20" t="s">
        <v>10</v>
      </c>
      <c r="C5" s="20" t="s">
        <v>11</v>
      </c>
    </row>
    <row r="6" spans="1:10" x14ac:dyDescent="0.2">
      <c r="A6" s="17">
        <v>39661</v>
      </c>
      <c r="B6" s="18">
        <v>48</v>
      </c>
      <c r="C6" s="18"/>
    </row>
    <row r="7" spans="1:10" x14ac:dyDescent="0.2">
      <c r="A7" s="14">
        <v>39692</v>
      </c>
      <c r="B7" s="13">
        <v>50.1</v>
      </c>
      <c r="C7" s="13">
        <f>Table1346811345[[#This Row],[PMI]]-B6</f>
        <v>2.1000000000000014</v>
      </c>
    </row>
    <row r="8" spans="1:10" x14ac:dyDescent="0.2">
      <c r="A8" s="14">
        <v>39722</v>
      </c>
      <c r="B8" s="13">
        <v>47.5</v>
      </c>
      <c r="C8" s="13">
        <f>Table1346811345[[#This Row],[PMI]]-B7</f>
        <v>-2.6000000000000014</v>
      </c>
    </row>
    <row r="9" spans="1:10" x14ac:dyDescent="0.2">
      <c r="A9" s="14">
        <v>39753</v>
      </c>
      <c r="B9" s="13">
        <v>46.2</v>
      </c>
      <c r="C9" s="13">
        <f>Table1346811345[[#This Row],[PMI]]-B8</f>
        <v>-1.2999999999999972</v>
      </c>
    </row>
    <row r="10" spans="1:10" x14ac:dyDescent="0.2">
      <c r="A10" s="14">
        <v>39783</v>
      </c>
      <c r="B10" s="13">
        <v>44.2</v>
      </c>
      <c r="C10" s="13">
        <f>Table1346811345[[#This Row],[PMI]]-B9</f>
        <v>-2</v>
      </c>
    </row>
    <row r="11" spans="1:10" x14ac:dyDescent="0.2">
      <c r="A11" s="14">
        <v>39814</v>
      </c>
      <c r="B11" s="13">
        <v>42.6</v>
      </c>
      <c r="C11" s="13">
        <f>Table1346811345[[#This Row],[PMI]]-B10</f>
        <v>-1.6000000000000014</v>
      </c>
    </row>
    <row r="12" spans="1:10" x14ac:dyDescent="0.2">
      <c r="A12" s="14">
        <v>39845</v>
      </c>
      <c r="B12" s="13">
        <v>40.200000000000003</v>
      </c>
      <c r="C12" s="13">
        <f>Table1346811345[[#This Row],[PMI]]-B11</f>
        <v>-2.3999999999999986</v>
      </c>
    </row>
    <row r="13" spans="1:10" x14ac:dyDescent="0.2">
      <c r="A13" s="14">
        <v>39873</v>
      </c>
      <c r="B13" s="13">
        <v>43.6</v>
      </c>
      <c r="C13" s="13">
        <f>Table1346811345[[#This Row],[PMI]]-B12</f>
        <v>3.3999999999999986</v>
      </c>
    </row>
    <row r="14" spans="1:10" x14ac:dyDescent="0.2">
      <c r="A14" s="14">
        <v>39904</v>
      </c>
      <c r="B14" s="13">
        <v>46.5</v>
      </c>
      <c r="C14" s="13">
        <f>Table1346811345[[#This Row],[PMI]]-B13</f>
        <v>2.8999999999999986</v>
      </c>
    </row>
    <row r="15" spans="1:10" x14ac:dyDescent="0.2">
      <c r="A15" s="14">
        <v>39934</v>
      </c>
      <c r="B15" s="13">
        <v>48.3</v>
      </c>
      <c r="C15" s="13">
        <f>Table1346811345[[#This Row],[PMI]]-B14</f>
        <v>1.7999999999999972</v>
      </c>
    </row>
    <row r="16" spans="1:10" x14ac:dyDescent="0.2">
      <c r="A16" s="14">
        <v>39965</v>
      </c>
      <c r="B16" s="13">
        <v>47.2</v>
      </c>
      <c r="C16" s="13">
        <f>Table1346811345[[#This Row],[PMI]]-B15</f>
        <v>-1.0999999999999943</v>
      </c>
    </row>
    <row r="17" spans="1:3" x14ac:dyDescent="0.2">
      <c r="A17" s="14">
        <v>39995</v>
      </c>
      <c r="B17" s="13">
        <v>45.5</v>
      </c>
      <c r="C17" s="13">
        <f>Table1346811345[[#This Row],[PMI]]-B16</f>
        <v>-1.7000000000000028</v>
      </c>
    </row>
    <row r="18" spans="1:3" x14ac:dyDescent="0.2">
      <c r="A18" s="14">
        <v>40026</v>
      </c>
      <c r="B18" s="13">
        <v>49.3</v>
      </c>
      <c r="C18" s="13">
        <f>Table1346811345[[#This Row],[PMI]]-B17</f>
        <v>3.7999999999999972</v>
      </c>
    </row>
    <row r="19" spans="1:3" x14ac:dyDescent="0.2">
      <c r="A19" s="14">
        <v>40057</v>
      </c>
      <c r="B19" s="13">
        <v>53.2</v>
      </c>
      <c r="C19" s="13">
        <f>Table1346811345[[#This Row],[PMI]]-B18</f>
        <v>3.9000000000000057</v>
      </c>
    </row>
    <row r="20" spans="1:3" x14ac:dyDescent="0.2">
      <c r="A20" s="14">
        <v>40087</v>
      </c>
      <c r="B20" s="13">
        <v>57.7</v>
      </c>
      <c r="C20" s="13">
        <f>Table1346811345[[#This Row],[PMI]]-B19</f>
        <v>4.5</v>
      </c>
    </row>
    <row r="21" spans="1:3" x14ac:dyDescent="0.2">
      <c r="A21" s="14">
        <v>40118</v>
      </c>
      <c r="B21" s="13">
        <v>60.9</v>
      </c>
      <c r="C21" s="13">
        <f>Table1346811345[[#This Row],[PMI]]-B20</f>
        <v>3.1999999999999957</v>
      </c>
    </row>
    <row r="22" spans="1:3" x14ac:dyDescent="0.2">
      <c r="A22" s="14">
        <v>40148</v>
      </c>
      <c r="B22" s="13">
        <v>58.2</v>
      </c>
      <c r="C22" s="13">
        <f>Table1346811345[[#This Row],[PMI]]-B21</f>
        <v>-2.6999999999999957</v>
      </c>
    </row>
    <row r="23" spans="1:3" x14ac:dyDescent="0.2">
      <c r="A23" s="14">
        <v>40179</v>
      </c>
      <c r="B23" s="13">
        <v>56.3</v>
      </c>
      <c r="C23" s="13">
        <f>Table1346811345[[#This Row],[PMI]]-B22</f>
        <v>-1.9000000000000057</v>
      </c>
    </row>
    <row r="24" spans="1:3" x14ac:dyDescent="0.2">
      <c r="A24" s="14">
        <v>40210</v>
      </c>
      <c r="B24" s="13">
        <v>54.6</v>
      </c>
      <c r="C24" s="13">
        <f>Table1346811345[[#This Row],[PMI]]-B23</f>
        <v>-1.6999999999999957</v>
      </c>
    </row>
    <row r="25" spans="1:3" x14ac:dyDescent="0.2">
      <c r="A25" s="14">
        <v>40238</v>
      </c>
      <c r="B25" s="13">
        <v>53.8</v>
      </c>
      <c r="C25" s="13">
        <f>Table1346811345[[#This Row],[PMI]]-B24</f>
        <v>-0.80000000000000426</v>
      </c>
    </row>
    <row r="26" spans="1:3" x14ac:dyDescent="0.2">
      <c r="A26" s="14">
        <v>40269</v>
      </c>
      <c r="B26" s="13">
        <v>59.2</v>
      </c>
      <c r="C26" s="13">
        <f>Table1346811345[[#This Row],[PMI]]-B25</f>
        <v>5.4000000000000057</v>
      </c>
    </row>
    <row r="27" spans="1:3" x14ac:dyDescent="0.2">
      <c r="A27" s="14">
        <v>40299</v>
      </c>
      <c r="B27" s="13">
        <v>61.4</v>
      </c>
      <c r="C27" s="13">
        <f>Table1346811345[[#This Row],[PMI]]-B26</f>
        <v>2.1999999999999957</v>
      </c>
    </row>
    <row r="28" spans="1:3" x14ac:dyDescent="0.2">
      <c r="A28" s="14">
        <v>40330</v>
      </c>
      <c r="B28" s="13">
        <v>60.8</v>
      </c>
      <c r="C28" s="13">
        <f>Table1346811345[[#This Row],[PMI]]-B27</f>
        <v>-0.60000000000000142</v>
      </c>
    </row>
    <row r="29" spans="1:3" x14ac:dyDescent="0.2">
      <c r="A29" s="14">
        <v>40360</v>
      </c>
      <c r="B29" s="13">
        <v>61.1</v>
      </c>
      <c r="C29" s="13">
        <f>Table1346811345[[#This Row],[PMI]]-B28</f>
        <v>0.30000000000000426</v>
      </c>
    </row>
    <row r="30" spans="1:3" x14ac:dyDescent="0.2">
      <c r="A30" s="14">
        <v>40391</v>
      </c>
      <c r="B30" s="13">
        <v>60.4</v>
      </c>
      <c r="C30" s="13">
        <f>Table1346811345[[#This Row],[PMI]]-B29</f>
        <v>-0.70000000000000284</v>
      </c>
    </row>
    <row r="31" spans="1:3" x14ac:dyDescent="0.2">
      <c r="A31" s="14">
        <v>40422</v>
      </c>
      <c r="B31" s="13">
        <v>58.2</v>
      </c>
      <c r="C31" s="13">
        <f>Table1346811345[[#This Row],[PMI]]-B30</f>
        <v>-2.1999999999999957</v>
      </c>
    </row>
    <row r="32" spans="1:3" x14ac:dyDescent="0.2">
      <c r="A32" s="14">
        <v>40452</v>
      </c>
      <c r="B32" s="13">
        <v>54.8</v>
      </c>
      <c r="C32" s="13">
        <f>Table1346811345[[#This Row],[PMI]]-B31</f>
        <v>-3.4000000000000057</v>
      </c>
    </row>
    <row r="33" spans="1:3" x14ac:dyDescent="0.2">
      <c r="A33" s="14">
        <v>40483</v>
      </c>
      <c r="B33" s="13">
        <v>55</v>
      </c>
      <c r="C33" s="13">
        <f>Table1346811345[[#This Row],[PMI]]-B32</f>
        <v>0.20000000000000284</v>
      </c>
    </row>
    <row r="34" spans="1:3" x14ac:dyDescent="0.2">
      <c r="A34" s="14">
        <v>40513</v>
      </c>
      <c r="B34" s="13">
        <v>57.1</v>
      </c>
      <c r="C34" s="13">
        <f>Table1346811345[[#This Row],[PMI]]-B33</f>
        <v>2.1000000000000014</v>
      </c>
    </row>
    <row r="35" spans="1:3" x14ac:dyDescent="0.2">
      <c r="A35" s="14">
        <v>40544</v>
      </c>
      <c r="B35" s="13">
        <v>58.3</v>
      </c>
      <c r="C35" s="13">
        <f>Table1346811345[[#This Row],[PMI]]-B34</f>
        <v>1.1999999999999957</v>
      </c>
    </row>
    <row r="36" spans="1:3" x14ac:dyDescent="0.2">
      <c r="A36" s="14">
        <v>40575</v>
      </c>
      <c r="B36" s="13">
        <v>59.7</v>
      </c>
      <c r="C36" s="13">
        <f>Table1346811345[[#This Row],[PMI]]-B35</f>
        <v>1.4000000000000057</v>
      </c>
    </row>
    <row r="37" spans="1:3" x14ac:dyDescent="0.2">
      <c r="A37" s="14">
        <v>40603</v>
      </c>
      <c r="B37" s="13">
        <v>60.4</v>
      </c>
      <c r="C37" s="13">
        <f>Table1346811345[[#This Row],[PMI]]-B36</f>
        <v>0.69999999999999574</v>
      </c>
    </row>
    <row r="38" spans="1:3" x14ac:dyDescent="0.2">
      <c r="A38" s="14">
        <v>40634</v>
      </c>
      <c r="B38" s="13">
        <v>62.9</v>
      </c>
      <c r="C38" s="13">
        <f>Table1346811345[[#This Row],[PMI]]-B37</f>
        <v>2.5</v>
      </c>
    </row>
    <row r="39" spans="1:3" x14ac:dyDescent="0.2">
      <c r="A39" s="14">
        <v>40664</v>
      </c>
      <c r="B39" s="13">
        <v>62.5</v>
      </c>
      <c r="C39" s="13">
        <f>Table1346811345[[#This Row],[PMI]]-B38</f>
        <v>-0.39999999999999858</v>
      </c>
    </row>
    <row r="40" spans="1:3" x14ac:dyDescent="0.2">
      <c r="A40" s="14">
        <v>40695</v>
      </c>
      <c r="B40" s="13">
        <v>56.1</v>
      </c>
      <c r="C40" s="13">
        <f>Table1346811345[[#This Row],[PMI]]-B39</f>
        <v>-6.3999999999999986</v>
      </c>
    </row>
    <row r="41" spans="1:3" x14ac:dyDescent="0.2">
      <c r="A41" s="14">
        <v>40725</v>
      </c>
      <c r="B41" s="13">
        <v>54.2</v>
      </c>
      <c r="C41" s="13">
        <f>Table1346811345[[#This Row],[PMI]]-B40</f>
        <v>-1.8999999999999986</v>
      </c>
    </row>
    <row r="42" spans="1:3" x14ac:dyDescent="0.2">
      <c r="A42" s="14">
        <v>40756</v>
      </c>
      <c r="B42" s="13">
        <v>52.3</v>
      </c>
      <c r="C42" s="13">
        <f>Table1346811345[[#This Row],[PMI]]-B41</f>
        <v>-1.9000000000000057</v>
      </c>
    </row>
    <row r="43" spans="1:3" x14ac:dyDescent="0.2">
      <c r="A43" s="14">
        <v>40787</v>
      </c>
      <c r="B43" s="13">
        <v>51.5</v>
      </c>
      <c r="C43" s="13">
        <f>Table1346811345[[#This Row],[PMI]]-B42</f>
        <v>-0.79999999999999716</v>
      </c>
    </row>
    <row r="44" spans="1:3" x14ac:dyDescent="0.2">
      <c r="A44" s="14">
        <v>40817</v>
      </c>
      <c r="B44" s="13">
        <v>44.6</v>
      </c>
      <c r="C44" s="13">
        <f>Table1346811345[[#This Row],[PMI]]-B43</f>
        <v>-6.8999999999999986</v>
      </c>
    </row>
    <row r="45" spans="1:3" x14ac:dyDescent="0.2">
      <c r="A45" s="14">
        <v>40848</v>
      </c>
      <c r="B45" s="13">
        <v>49.6</v>
      </c>
      <c r="C45" s="13">
        <f>Table1346811345[[#This Row],[PMI]]-B44</f>
        <v>5</v>
      </c>
    </row>
    <row r="46" spans="1:3" x14ac:dyDescent="0.2">
      <c r="A46" s="14">
        <v>40878</v>
      </c>
      <c r="B46" s="13">
        <v>50.3</v>
      </c>
      <c r="C46" s="13">
        <f>Table1346811345[[#This Row],[PMI]]-B45</f>
        <v>0.69999999999999574</v>
      </c>
    </row>
    <row r="47" spans="1:3" x14ac:dyDescent="0.2">
      <c r="A47" s="14">
        <v>40909</v>
      </c>
      <c r="B47" s="13">
        <v>52.3</v>
      </c>
      <c r="C47" s="13">
        <f>Table1346811345[[#This Row],[PMI]]-B46</f>
        <v>2</v>
      </c>
    </row>
    <row r="48" spans="1:3" x14ac:dyDescent="0.2">
      <c r="A48" s="14">
        <v>40940</v>
      </c>
      <c r="B48" s="13">
        <v>50</v>
      </c>
      <c r="C48" s="13">
        <f>Table1346811345[[#This Row],[PMI]]-B47</f>
        <v>-2.2999999999999972</v>
      </c>
    </row>
    <row r="49" spans="1:3" x14ac:dyDescent="0.2">
      <c r="A49" s="14">
        <v>40969</v>
      </c>
      <c r="B49" s="13">
        <v>50.1</v>
      </c>
      <c r="C49" s="13">
        <f>Table1346811345[[#This Row],[PMI]]-B48</f>
        <v>0.10000000000000142</v>
      </c>
    </row>
    <row r="50" spans="1:3" x14ac:dyDescent="0.2">
      <c r="A50" s="14">
        <v>41000</v>
      </c>
      <c r="B50" s="13">
        <v>45.2</v>
      </c>
      <c r="C50" s="13">
        <f>Table1346811345[[#This Row],[PMI]]-B49</f>
        <v>-4.8999999999999986</v>
      </c>
    </row>
    <row r="51" spans="1:3" x14ac:dyDescent="0.2">
      <c r="A51" s="14">
        <v>41030</v>
      </c>
      <c r="B51" s="13">
        <v>45.1</v>
      </c>
      <c r="C51" s="13">
        <f>Table1346811345[[#This Row],[PMI]]-B50</f>
        <v>-0.10000000000000142</v>
      </c>
    </row>
    <row r="52" spans="1:3" x14ac:dyDescent="0.2">
      <c r="A52" s="14">
        <v>41061</v>
      </c>
      <c r="B52" s="13">
        <v>47.9</v>
      </c>
      <c r="C52" s="13">
        <f>Table1346811345[[#This Row],[PMI]]-B51</f>
        <v>2.7999999999999972</v>
      </c>
    </row>
    <row r="53" spans="1:3" x14ac:dyDescent="0.2">
      <c r="A53" s="14">
        <v>41091</v>
      </c>
      <c r="B53" s="13">
        <v>50</v>
      </c>
      <c r="C53" s="13">
        <f>Table1346811345[[#This Row],[PMI]]-B52</f>
        <v>2.1000000000000014</v>
      </c>
    </row>
    <row r="54" spans="1:3" x14ac:dyDescent="0.2">
      <c r="A54" s="14">
        <v>41122</v>
      </c>
      <c r="B54" s="13">
        <v>49.2</v>
      </c>
      <c r="C54" s="13">
        <f>Table1346811345[[#This Row],[PMI]]-B53</f>
        <v>-0.79999999999999716</v>
      </c>
    </row>
    <row r="55" spans="1:3" x14ac:dyDescent="0.2">
      <c r="A55" s="14">
        <v>41153</v>
      </c>
      <c r="B55" s="13">
        <v>45</v>
      </c>
      <c r="C55" s="13">
        <f>Table1346811345[[#This Row],[PMI]]-B54</f>
        <v>-4.2000000000000028</v>
      </c>
    </row>
    <row r="56" spans="1:3" x14ac:dyDescent="0.2">
      <c r="A56" s="14">
        <v>41183</v>
      </c>
      <c r="B56" s="13">
        <v>44.6</v>
      </c>
      <c r="C56" s="13">
        <f>Table1346811345[[#This Row],[PMI]]-B55</f>
        <v>-0.39999999999999858</v>
      </c>
    </row>
    <row r="57" spans="1:3" x14ac:dyDescent="0.2">
      <c r="A57" s="14">
        <v>41214</v>
      </c>
      <c r="B57" s="13">
        <v>45.8</v>
      </c>
      <c r="C57" s="13">
        <f>Table1346811345[[#This Row],[PMI]]-B56</f>
        <v>1.1999999999999957</v>
      </c>
    </row>
    <row r="58" spans="1:3" x14ac:dyDescent="0.2">
      <c r="A58" s="14">
        <v>41244</v>
      </c>
      <c r="B58" s="13">
        <v>44.1</v>
      </c>
      <c r="C58" s="13">
        <f>Table1346811345[[#This Row],[PMI]]-B57</f>
        <v>-1.6999999999999957</v>
      </c>
    </row>
    <row r="59" spans="1:3" x14ac:dyDescent="0.2">
      <c r="A59" s="14">
        <v>41275</v>
      </c>
      <c r="B59" s="13">
        <v>43.6</v>
      </c>
      <c r="C59" s="13">
        <f>Table1346811345[[#This Row],[PMI]]-B58</f>
        <v>-0.5</v>
      </c>
    </row>
    <row r="60" spans="1:3" x14ac:dyDescent="0.2">
      <c r="A60" s="14">
        <v>41306</v>
      </c>
      <c r="B60" s="13">
        <v>43.7</v>
      </c>
      <c r="C60" s="13">
        <f>Table1346811345[[#This Row],[PMI]]-B59</f>
        <v>0.10000000000000142</v>
      </c>
    </row>
    <row r="61" spans="1:3" x14ac:dyDescent="0.2">
      <c r="A61" s="14">
        <v>41334</v>
      </c>
      <c r="B61" s="13">
        <v>41.3</v>
      </c>
      <c r="C61" s="13">
        <f>Table1346811345[[#This Row],[PMI]]-B60</f>
        <v>-2.4000000000000057</v>
      </c>
    </row>
    <row r="62" spans="1:3" x14ac:dyDescent="0.2">
      <c r="A62" s="14">
        <v>41365</v>
      </c>
      <c r="B62" s="13">
        <v>44.3</v>
      </c>
      <c r="C62" s="13">
        <f>Table1346811345[[#This Row],[PMI]]-B61</f>
        <v>3</v>
      </c>
    </row>
    <row r="63" spans="1:3" x14ac:dyDescent="0.2">
      <c r="A63" s="14">
        <v>41395</v>
      </c>
      <c r="B63" s="13">
        <v>44.3</v>
      </c>
      <c r="C63" s="13">
        <f>Table1346811345[[#This Row],[PMI]]-B62</f>
        <v>0</v>
      </c>
    </row>
    <row r="64" spans="1:3" x14ac:dyDescent="0.2">
      <c r="A64" s="14">
        <v>41426</v>
      </c>
      <c r="B64" s="13">
        <v>47.2</v>
      </c>
      <c r="C64" s="13">
        <f>Table1346811345[[#This Row],[PMI]]-B63</f>
        <v>2.9000000000000057</v>
      </c>
    </row>
    <row r="65" spans="1:3" x14ac:dyDescent="0.2">
      <c r="A65" s="14">
        <v>41456</v>
      </c>
      <c r="B65" s="13">
        <v>48.6</v>
      </c>
      <c r="C65" s="13">
        <f>Table1346811345[[#This Row],[PMI]]-B64</f>
        <v>1.3999999999999986</v>
      </c>
    </row>
    <row r="66" spans="1:3" x14ac:dyDescent="0.2">
      <c r="A66" s="14">
        <v>41487</v>
      </c>
      <c r="B66" s="13">
        <v>48.9</v>
      </c>
      <c r="C66" s="13">
        <f>Table1346811345[[#This Row],[PMI]]-B65</f>
        <v>0.29999999999999716</v>
      </c>
    </row>
    <row r="67" spans="1:3" x14ac:dyDescent="0.2">
      <c r="A67" s="14">
        <v>41518</v>
      </c>
      <c r="B67" s="13">
        <v>51</v>
      </c>
      <c r="C67" s="13">
        <f>Table1346811345[[#This Row],[PMI]]-B66</f>
        <v>2.1000000000000014</v>
      </c>
    </row>
    <row r="68" spans="1:3" x14ac:dyDescent="0.2">
      <c r="A68" s="14">
        <v>41548</v>
      </c>
      <c r="B68" s="13">
        <v>50.9</v>
      </c>
      <c r="C68" s="13">
        <f>Table1346811345[[#This Row],[PMI]]-B67</f>
        <v>-0.10000000000000142</v>
      </c>
    </row>
    <row r="69" spans="1:3" x14ac:dyDescent="0.2">
      <c r="A69" s="14">
        <v>41579</v>
      </c>
      <c r="B69" s="13">
        <v>48</v>
      </c>
      <c r="C69" s="13">
        <f>Table1346811345[[#This Row],[PMI]]-B68</f>
        <v>-2.8999999999999986</v>
      </c>
    </row>
    <row r="70" spans="1:3" x14ac:dyDescent="0.2">
      <c r="A70" s="14">
        <v>41609</v>
      </c>
      <c r="B70" s="13">
        <v>48.1</v>
      </c>
      <c r="C70" s="13">
        <f>Table1346811345[[#This Row],[PMI]]-B69</f>
        <v>0.10000000000000142</v>
      </c>
    </row>
    <row r="71" spans="1:3" x14ac:dyDescent="0.2">
      <c r="A71" s="14">
        <v>41640</v>
      </c>
      <c r="B71" s="13">
        <v>48.9</v>
      </c>
      <c r="C71" s="13">
        <f>Table1346811345[[#This Row],[PMI]]-B70</f>
        <v>0.79999999999999716</v>
      </c>
    </row>
    <row r="72" spans="1:3" x14ac:dyDescent="0.2">
      <c r="A72" s="14">
        <v>41671</v>
      </c>
      <c r="B72" s="13">
        <v>47.2</v>
      </c>
      <c r="C72" s="13">
        <f>Table1346811345[[#This Row],[PMI]]-B71</f>
        <v>-1.6999999999999957</v>
      </c>
    </row>
    <row r="73" spans="1:3" x14ac:dyDescent="0.2">
      <c r="A73" s="14">
        <v>41699</v>
      </c>
      <c r="B73" s="13">
        <v>51.5</v>
      </c>
      <c r="C73" s="13">
        <f>Table1346811345[[#This Row],[PMI]]-B72</f>
        <v>4.2999999999999972</v>
      </c>
    </row>
    <row r="74" spans="1:3" x14ac:dyDescent="0.2">
      <c r="A74" s="14">
        <v>41730</v>
      </c>
      <c r="B74" s="13">
        <v>50.4</v>
      </c>
      <c r="C74" s="13">
        <f>Table1346811345[[#This Row],[PMI]]-B73</f>
        <v>-1.1000000000000014</v>
      </c>
    </row>
    <row r="75" spans="1:3" x14ac:dyDescent="0.2">
      <c r="A75" s="14">
        <v>41760</v>
      </c>
      <c r="B75" s="13">
        <v>49.1</v>
      </c>
      <c r="C75" s="13">
        <f>Table1346811345[[#This Row],[PMI]]-B74</f>
        <v>-1.2999999999999972</v>
      </c>
    </row>
    <row r="76" spans="1:3" x14ac:dyDescent="0.2">
      <c r="A76" s="14">
        <v>41791</v>
      </c>
      <c r="B76" s="13">
        <v>48.2</v>
      </c>
      <c r="C76" s="13">
        <f>Table1346811345[[#This Row],[PMI]]-B75</f>
        <v>-0.89999999999999858</v>
      </c>
    </row>
    <row r="77" spans="1:3" x14ac:dyDescent="0.2">
      <c r="A77" s="14">
        <v>41821</v>
      </c>
      <c r="B77" s="13">
        <v>50.4</v>
      </c>
      <c r="C77" s="21">
        <f>Table1346811345[[#This Row],[PMI]]-B76</f>
        <v>2.1999999999999957</v>
      </c>
    </row>
    <row r="78" spans="1:3" x14ac:dyDescent="0.2">
      <c r="A78" s="14">
        <v>41852</v>
      </c>
      <c r="B78" s="13">
        <v>50.3</v>
      </c>
      <c r="C78" s="21">
        <f>Table1346811345[[#This Row],[PMI]]-B77</f>
        <v>-0.10000000000000142</v>
      </c>
    </row>
    <row r="79" spans="1:3" x14ac:dyDescent="0.2">
      <c r="A79" s="14">
        <v>41883</v>
      </c>
      <c r="B79" s="13">
        <v>48.4</v>
      </c>
      <c r="C79" s="21">
        <f>Table1346811345[[#This Row],[PMI]]-B78</f>
        <v>-1.8999999999999986</v>
      </c>
    </row>
    <row r="80" spans="1:3" x14ac:dyDescent="0.2">
      <c r="A80" s="14">
        <v>41913</v>
      </c>
      <c r="B80" s="13">
        <v>48.3</v>
      </c>
      <c r="C80" s="21">
        <f>Table1346811345[[#This Row],[PMI]]-B79</f>
        <v>-0.10000000000000142</v>
      </c>
    </row>
    <row r="81" spans="1:3" x14ac:dyDescent="0.2">
      <c r="A81" s="14">
        <v>41944</v>
      </c>
      <c r="B81" s="13">
        <v>47.9</v>
      </c>
      <c r="C81" s="21">
        <f>Table1346811345[[#This Row],[PMI]]-B80</f>
        <v>-0.39999999999999858</v>
      </c>
    </row>
    <row r="82" spans="1:3" x14ac:dyDescent="0.2">
      <c r="A82" s="14">
        <v>41974</v>
      </c>
      <c r="B82" s="13">
        <v>50.6</v>
      </c>
      <c r="C82" s="21">
        <f>Table1346811345[[#This Row],[PMI]]-B81</f>
        <v>2.7000000000000028</v>
      </c>
    </row>
    <row r="83" spans="1:3" x14ac:dyDescent="0.2">
      <c r="A83" s="14">
        <v>42005</v>
      </c>
      <c r="B83" s="13">
        <v>49.4</v>
      </c>
      <c r="C83" s="21">
        <f>Table1346811345[[#This Row],[PMI]]-B82</f>
        <v>-1.2000000000000028</v>
      </c>
    </row>
    <row r="84" spans="1:3" x14ac:dyDescent="0.2">
      <c r="A84" s="14">
        <v>42036</v>
      </c>
      <c r="B84" s="13">
        <v>53.4</v>
      </c>
      <c r="C84" s="21">
        <f>Table1346811345[[#This Row],[PMI]]-B83</f>
        <v>4</v>
      </c>
    </row>
    <row r="85" spans="1:3" x14ac:dyDescent="0.2">
      <c r="A85" s="14">
        <v>42064</v>
      </c>
      <c r="B85" s="13">
        <v>52.4</v>
      </c>
      <c r="C85" s="21">
        <f>Table1346811345[[#This Row],[PMI]]-B84</f>
        <v>-1</v>
      </c>
    </row>
    <row r="86" spans="1:3" x14ac:dyDescent="0.2">
      <c r="A86" s="14">
        <v>42095</v>
      </c>
      <c r="B86" s="13">
        <v>51.4</v>
      </c>
      <c r="C86" s="21">
        <f>Table1346811345[[#This Row],[PMI]]-B85</f>
        <v>-1</v>
      </c>
    </row>
    <row r="87" spans="1:3" x14ac:dyDescent="0.2">
      <c r="A87" s="14">
        <v>42125</v>
      </c>
      <c r="B87" s="13">
        <v>52.8</v>
      </c>
      <c r="C87" s="21">
        <f>Table1346811345[[#This Row],[PMI]]-B86</f>
        <v>1.3999999999999986</v>
      </c>
    </row>
    <row r="88" spans="1:3" x14ac:dyDescent="0.2">
      <c r="A88" s="14">
        <v>42156</v>
      </c>
      <c r="B88" s="13">
        <v>54.1</v>
      </c>
      <c r="C88" s="21">
        <f>Table1346811345[[#This Row],[PMI]]-B87</f>
        <v>1.3000000000000043</v>
      </c>
    </row>
    <row r="89" spans="1:3" x14ac:dyDescent="0.2">
      <c r="A89" s="14">
        <v>42186</v>
      </c>
      <c r="B89" s="13">
        <v>52</v>
      </c>
      <c r="C89" s="21">
        <f>Table1346811345[[#This Row],[PMI]]-B88</f>
        <v>-2.1000000000000014</v>
      </c>
    </row>
    <row r="90" spans="1:3" x14ac:dyDescent="0.2">
      <c r="A90" s="14">
        <v>42217</v>
      </c>
      <c r="B90" s="13">
        <v>50.6</v>
      </c>
      <c r="C90" s="21">
        <f>Table1346811345[[#This Row],[PMI]]-B89</f>
        <v>-1.3999999999999986</v>
      </c>
    </row>
    <row r="91" spans="1:3" x14ac:dyDescent="0.2">
      <c r="A91" s="14">
        <v>42248</v>
      </c>
      <c r="B91" s="13">
        <v>51.9</v>
      </c>
      <c r="C91" s="21">
        <f>Table1346811345[[#This Row],[PMI]]-B90</f>
        <v>1.2999999999999972</v>
      </c>
    </row>
    <row r="92" spans="1:3" x14ac:dyDescent="0.2">
      <c r="A92" s="14">
        <v>42278</v>
      </c>
      <c r="B92" s="13">
        <v>52.7</v>
      </c>
      <c r="C92" s="21">
        <f>Table1346811345[[#This Row],[PMI]]-B91</f>
        <v>0.80000000000000426</v>
      </c>
    </row>
    <row r="93" spans="1:3" x14ac:dyDescent="0.2">
      <c r="A93" s="14">
        <v>42309</v>
      </c>
      <c r="B93" s="13">
        <v>51</v>
      </c>
      <c r="C93" s="21">
        <f>Table1346811345[[#This Row],[PMI]]-B92</f>
        <v>-1.7000000000000028</v>
      </c>
    </row>
    <row r="94" spans="1:3" x14ac:dyDescent="0.2">
      <c r="A94" s="14">
        <v>42339</v>
      </c>
      <c r="B94" s="13">
        <v>49.8</v>
      </c>
      <c r="C94" s="21">
        <f>Table1346811345[[#This Row],[PMI]]-B93</f>
        <v>-1.2000000000000028</v>
      </c>
    </row>
    <row r="95" spans="1:3" x14ac:dyDescent="0.2">
      <c r="A95" s="14">
        <v>42370</v>
      </c>
      <c r="B95" s="13">
        <v>50.3</v>
      </c>
      <c r="C95" s="21">
        <f>Table1346811345[[#This Row],[PMI]]-B94</f>
        <v>0.5</v>
      </c>
    </row>
    <row r="96" spans="1:3" x14ac:dyDescent="0.2">
      <c r="A96" s="14">
        <v>42401</v>
      </c>
      <c r="B96" s="13">
        <v>49.2</v>
      </c>
      <c r="C96" s="21">
        <f>Table1346811345[[#This Row],[PMI]]-B95</f>
        <v>-1.0999999999999943</v>
      </c>
    </row>
    <row r="97" spans="1:3" x14ac:dyDescent="0.2">
      <c r="A97" s="14">
        <v>42430</v>
      </c>
      <c r="B97" s="13">
        <v>49.9</v>
      </c>
      <c r="C97" s="21">
        <f>Table1346811345[[#This Row],[PMI]]-B96</f>
        <v>0.69999999999999574</v>
      </c>
    </row>
    <row r="98" spans="1:3" x14ac:dyDescent="0.2">
      <c r="A98" s="14">
        <v>42461</v>
      </c>
      <c r="B98" s="13">
        <v>50.6</v>
      </c>
      <c r="C98" s="21">
        <f>Table1346811345[[#This Row],[PMI]]-B97</f>
        <v>0.70000000000000284</v>
      </c>
    </row>
    <row r="99" spans="1:3" x14ac:dyDescent="0.2">
      <c r="A99" s="14">
        <v>42491</v>
      </c>
      <c r="B99" s="13">
        <v>51.6</v>
      </c>
      <c r="C99" s="21">
        <f>Table1346811345[[#This Row],[PMI]]-B98</f>
        <v>1</v>
      </c>
    </row>
    <row r="100" spans="1:3" x14ac:dyDescent="0.2">
      <c r="A100" s="14">
        <v>42522</v>
      </c>
      <c r="B100" s="13">
        <v>49.9</v>
      </c>
      <c r="C100" s="21">
        <f>Table1346811345[[#This Row],[PMI]]-B99</f>
        <v>-1.7000000000000028</v>
      </c>
    </row>
    <row r="101" spans="1:3" x14ac:dyDescent="0.2">
      <c r="A101" s="14">
        <v>42552</v>
      </c>
      <c r="B101" s="13">
        <v>50.5</v>
      </c>
      <c r="C101" s="21">
        <f>Table1346811345[[#This Row],[PMI]]-B100</f>
        <v>0.60000000000000142</v>
      </c>
    </row>
    <row r="102" spans="1:3" x14ac:dyDescent="0.2">
      <c r="A102" s="14">
        <v>42583</v>
      </c>
      <c r="B102" s="13">
        <v>52.3</v>
      </c>
      <c r="C102" s="21">
        <f>Table1346811345[[#This Row],[PMI]]-B101</f>
        <v>1.7999999999999972</v>
      </c>
    </row>
    <row r="103" spans="1:3" x14ac:dyDescent="0.2">
      <c r="A103" s="14">
        <v>42614</v>
      </c>
      <c r="B103" s="13">
        <v>53.3</v>
      </c>
      <c r="C103" s="21">
        <f>Table1346811345[[#This Row],[PMI]]-B102</f>
        <v>1</v>
      </c>
    </row>
    <row r="104" spans="1:3" x14ac:dyDescent="0.2">
      <c r="A104" s="14">
        <v>42644</v>
      </c>
      <c r="B104" s="13">
        <v>51.4</v>
      </c>
      <c r="C104" s="21">
        <f>Table1346811345[[#This Row],[PMI]]-B103</f>
        <v>-1.8999999999999986</v>
      </c>
    </row>
    <row r="105" spans="1:3" x14ac:dyDescent="0.2">
      <c r="A105" s="14">
        <v>42675</v>
      </c>
      <c r="B105" s="13">
        <v>51.6</v>
      </c>
      <c r="C105" s="21">
        <f>Table1346811345[[#This Row],[PMI]]-B104</f>
        <v>0.20000000000000284</v>
      </c>
    </row>
    <row r="106" spans="1:3" x14ac:dyDescent="0.2">
      <c r="A106" s="14">
        <v>42705</v>
      </c>
      <c r="B106" s="13">
        <v>52.9</v>
      </c>
      <c r="C106" s="21">
        <f>Table1346811345[[#This Row],[PMI]]-B105</f>
        <v>1.2999999999999972</v>
      </c>
    </row>
    <row r="107" spans="1:3" x14ac:dyDescent="0.2">
      <c r="A107" s="14">
        <v>42736</v>
      </c>
      <c r="B107" s="13">
        <v>54.1</v>
      </c>
      <c r="C107" s="21">
        <f>Table1346811345[[#This Row],[PMI]]-B106</f>
        <v>1.2000000000000028</v>
      </c>
    </row>
    <row r="108" spans="1:3" x14ac:dyDescent="0.2">
      <c r="A108" s="14">
        <v>42767</v>
      </c>
      <c r="B108" s="13">
        <v>56.4</v>
      </c>
      <c r="C108" s="21">
        <f>Table1346811345[[#This Row],[PMI]]-B107</f>
        <v>2.2999999999999972</v>
      </c>
    </row>
    <row r="109" spans="1:3" x14ac:dyDescent="0.2">
      <c r="A109" s="14">
        <v>42795</v>
      </c>
      <c r="B109" s="13">
        <v>57.5</v>
      </c>
      <c r="C109" s="21">
        <f>Table1346811345[[#This Row],[PMI]]-B108</f>
        <v>1.1000000000000014</v>
      </c>
    </row>
    <row r="110" spans="1:3" x14ac:dyDescent="0.2">
      <c r="A110" s="14">
        <v>42826</v>
      </c>
      <c r="B110" s="13">
        <v>56.7</v>
      </c>
      <c r="C110" s="21">
        <f>Table1346811345[[#This Row],[PMI]]-B109</f>
        <v>-0.79999999999999716</v>
      </c>
    </row>
    <row r="111" spans="1:3" x14ac:dyDescent="0.2">
      <c r="A111" s="14">
        <v>42856</v>
      </c>
      <c r="B111" s="13">
        <v>57.2</v>
      </c>
      <c r="C111" s="21">
        <f>Table1346811345[[#This Row],[PMI]]-B110</f>
        <v>0.5</v>
      </c>
    </row>
    <row r="112" spans="1:3" x14ac:dyDescent="0.2">
      <c r="A112" s="14">
        <v>42887</v>
      </c>
      <c r="B112" s="13">
        <v>56.9</v>
      </c>
      <c r="C112" s="21">
        <f>Table1346811345[[#This Row],[PMI]]-B111</f>
        <v>-0.30000000000000426</v>
      </c>
    </row>
    <row r="113" spans="1:3" x14ac:dyDescent="0.2">
      <c r="A113" s="14">
        <v>42917</v>
      </c>
      <c r="B113" s="13">
        <v>56</v>
      </c>
      <c r="C113" s="21">
        <f>Table1346811345[[#This Row],[PMI]]-B112</f>
        <v>-0.89999999999999858</v>
      </c>
    </row>
    <row r="114" spans="1:3" x14ac:dyDescent="0.2">
      <c r="A114" s="14">
        <v>42948</v>
      </c>
      <c r="B114" s="13">
        <v>54.9</v>
      </c>
      <c r="C114" s="21">
        <f>Table1346811345[[#This Row],[PMI]]-B113</f>
        <v>-1.1000000000000014</v>
      </c>
    </row>
    <row r="115" spans="1:3" x14ac:dyDescent="0.2">
      <c r="A115" s="14">
        <v>42979</v>
      </c>
      <c r="B115" s="13">
        <v>57</v>
      </c>
      <c r="C115" s="21">
        <f>Table1346811345[[#This Row],[PMI]]-B114</f>
        <v>2.1000000000000014</v>
      </c>
    </row>
    <row r="116" spans="1:3" x14ac:dyDescent="0.2">
      <c r="A116" s="14">
        <v>43009</v>
      </c>
      <c r="B116" s="13">
        <v>57.3</v>
      </c>
      <c r="C116" s="21">
        <f>Table1346811345[[#This Row],[PMI]]-B115</f>
        <v>0.29999999999999716</v>
      </c>
    </row>
    <row r="117" spans="1:3" x14ac:dyDescent="0.2">
      <c r="A117" s="14">
        <v>43040</v>
      </c>
      <c r="B117" s="13">
        <v>60.4</v>
      </c>
      <c r="C117" s="21">
        <f>Table1346811345[[#This Row],[PMI]]-B116</f>
        <v>3.1000000000000014</v>
      </c>
    </row>
    <row r="118" spans="1:3" x14ac:dyDescent="0.2">
      <c r="A118" s="14">
        <v>43070</v>
      </c>
      <c r="B118" s="13">
        <v>59.1</v>
      </c>
      <c r="C118" s="21">
        <f>Table1346811345[[#This Row],[PMI]]-B117</f>
        <v>-1.2999999999999972</v>
      </c>
    </row>
    <row r="119" spans="1:3" x14ac:dyDescent="0.2">
      <c r="A119" s="14">
        <v>43101</v>
      </c>
      <c r="B119" s="13">
        <v>59.2</v>
      </c>
      <c r="C119" s="21">
        <f>Table1346811345[[#This Row],[PMI]]-B118</f>
        <v>0.10000000000000142</v>
      </c>
    </row>
    <row r="120" spans="1:3" x14ac:dyDescent="0.2">
      <c r="A120" s="14">
        <v>43132</v>
      </c>
      <c r="B120" s="13">
        <v>57.4</v>
      </c>
      <c r="C120" s="21">
        <f>Table1346811345[[#This Row],[PMI]]-B119</f>
        <v>-1.8000000000000043</v>
      </c>
    </row>
    <row r="121" spans="1:3" x14ac:dyDescent="0.2">
      <c r="A121" s="14">
        <v>43160</v>
      </c>
      <c r="B121" s="13">
        <v>56.8</v>
      </c>
      <c r="C121" s="21">
        <f>Table1346811345[[#This Row],[PMI]]-B120</f>
        <v>-0.60000000000000142</v>
      </c>
    </row>
    <row r="122" spans="1:3" x14ac:dyDescent="0.2">
      <c r="A122" s="14">
        <v>43191</v>
      </c>
      <c r="B122" s="13">
        <v>57.4</v>
      </c>
      <c r="C122" s="21">
        <f>Table1346811345[[#This Row],[PMI]]-B121</f>
        <v>0.60000000000000142</v>
      </c>
    </row>
    <row r="123" spans="1:3" x14ac:dyDescent="0.2">
      <c r="A123" s="14">
        <v>43221</v>
      </c>
      <c r="B123" s="13">
        <v>54.3</v>
      </c>
      <c r="C123" s="21">
        <f>Table1346811345[[#This Row],[PMI]]-B122</f>
        <v>-3.1000000000000014</v>
      </c>
    </row>
    <row r="124" spans="1:3" x14ac:dyDescent="0.2">
      <c r="A124" s="14">
        <v>43252</v>
      </c>
      <c r="B124" s="13">
        <v>55.9</v>
      </c>
      <c r="C124" s="21">
        <f>Table1346811345[[#This Row],[PMI]]-B123</f>
        <v>1.6000000000000014</v>
      </c>
    </row>
    <row r="125" spans="1:3" x14ac:dyDescent="0.2">
      <c r="A125" s="14">
        <v>43282</v>
      </c>
      <c r="B125" s="13">
        <v>54.9</v>
      </c>
      <c r="C125" s="21">
        <f>Table1346811345[[#This Row],[PMI]]-B124</f>
        <v>-1</v>
      </c>
    </row>
    <row r="126" spans="1:3" x14ac:dyDescent="0.2">
      <c r="A126" s="14">
        <v>43313</v>
      </c>
      <c r="B126" s="13">
        <v>55.4</v>
      </c>
      <c r="C126" s="21">
        <f>Table1346811345[[#This Row],[PMI]]-B125</f>
        <v>0.5</v>
      </c>
    </row>
    <row r="127" spans="1:3" x14ac:dyDescent="0.2">
      <c r="A127" s="14">
        <v>43344</v>
      </c>
      <c r="B127" s="13">
        <v>54.8</v>
      </c>
      <c r="C127" s="21">
        <f>Table1346811345[[#This Row],[PMI]]-B126</f>
        <v>-0.60000000000000142</v>
      </c>
    </row>
    <row r="128" spans="1:3" x14ac:dyDescent="0.2">
      <c r="A128" s="14">
        <v>43374</v>
      </c>
      <c r="B128" s="13">
        <v>55.3</v>
      </c>
      <c r="C128" s="21">
        <f>Table1346811345[[#This Row],[PMI]]-B127</f>
        <v>0.5</v>
      </c>
    </row>
    <row r="129" spans="1:3" x14ac:dyDescent="0.2">
      <c r="A129" s="14">
        <v>43405</v>
      </c>
      <c r="B129" s="13">
        <v>55.1</v>
      </c>
      <c r="C129" s="21">
        <f>Table1346811345[[#This Row],[PMI]]-B128</f>
        <v>-0.19999999999999574</v>
      </c>
    </row>
    <row r="130" spans="1:3" x14ac:dyDescent="0.2">
      <c r="A130" s="14">
        <v>43435</v>
      </c>
      <c r="B130" s="13">
        <v>49</v>
      </c>
      <c r="C130" s="21">
        <f>Table1346811345[[#This Row],[PMI]]-B129</f>
        <v>-6.1000000000000014</v>
      </c>
    </row>
    <row r="131" spans="1:3" x14ac:dyDescent="0.2">
      <c r="A131" s="14">
        <v>43466</v>
      </c>
      <c r="B131" s="13">
        <v>47.8</v>
      </c>
      <c r="C131" s="21">
        <f>Table1346811345[[#This Row],[PMI]]-B130</f>
        <v>-1.2000000000000028</v>
      </c>
    </row>
    <row r="132" spans="1:3" x14ac:dyDescent="0.2">
      <c r="A132" s="14">
        <v>43497</v>
      </c>
      <c r="B132" s="13">
        <v>50.2</v>
      </c>
      <c r="C132" s="21">
        <f>Table1346811345[[#This Row],[PMI]]-B131</f>
        <v>2.4000000000000057</v>
      </c>
    </row>
    <row r="133" spans="1:3" x14ac:dyDescent="0.2">
      <c r="A133" s="14">
        <v>43525</v>
      </c>
      <c r="B133" s="13">
        <v>49.1</v>
      </c>
      <c r="C133" s="21">
        <f>Table1346811345[[#This Row],[PMI]]-B132</f>
        <v>-1.1000000000000014</v>
      </c>
    </row>
    <row r="134" spans="1:3" x14ac:dyDescent="0.2">
      <c r="A134" s="14">
        <v>43556</v>
      </c>
      <c r="B134" s="13">
        <v>50.5</v>
      </c>
      <c r="C134" s="21">
        <f>Table1346811345[[#This Row],[PMI]]-B133</f>
        <v>1.3999999999999986</v>
      </c>
    </row>
    <row r="135" spans="1:3" x14ac:dyDescent="0.2">
      <c r="A135" s="14">
        <v>43586</v>
      </c>
      <c r="B135" s="13">
        <v>51.5</v>
      </c>
      <c r="C135" s="21">
        <f>Table1346811345[[#This Row],[PMI]]-B134</f>
        <v>1</v>
      </c>
    </row>
    <row r="136" spans="1:3" x14ac:dyDescent="0.2">
      <c r="A136" s="14">
        <v>43617</v>
      </c>
      <c r="B136" s="13">
        <v>52.9</v>
      </c>
      <c r="C136" s="21">
        <f>Table1346811345[[#This Row],[PMI]]-B135</f>
        <v>1.3999999999999986</v>
      </c>
    </row>
    <row r="137" spans="1:3" x14ac:dyDescent="0.2">
      <c r="A137" s="14">
        <v>43647</v>
      </c>
      <c r="B137" s="13">
        <v>52.6</v>
      </c>
      <c r="C137" s="21">
        <f>Table1346811345[[#This Row],[PMI]]-B136</f>
        <v>-0.29999999999999716</v>
      </c>
    </row>
    <row r="138" spans="1:3" x14ac:dyDescent="0.2">
      <c r="A138" s="14">
        <v>43678</v>
      </c>
      <c r="B138" s="13">
        <v>53.4</v>
      </c>
      <c r="C138" s="21">
        <f>Table1346811345[[#This Row],[PMI]]-B137</f>
        <v>0.79999999999999716</v>
      </c>
    </row>
    <row r="139" spans="1:3" x14ac:dyDescent="0.2">
      <c r="A139" s="14">
        <v>43709</v>
      </c>
      <c r="B139" s="13">
        <v>51.1</v>
      </c>
      <c r="C139" s="21">
        <f>Table1346811345[[#This Row],[PMI]]-B138</f>
        <v>-2.2999999999999972</v>
      </c>
    </row>
    <row r="140" spans="1:3" x14ac:dyDescent="0.2">
      <c r="A140" s="14">
        <v>43739</v>
      </c>
      <c r="B140" s="13">
        <v>52.9</v>
      </c>
      <c r="C140" s="21">
        <f>Table1346811345[[#This Row],[PMI]]-B139</f>
        <v>1.7999999999999972</v>
      </c>
    </row>
    <row r="141" spans="1:3" x14ac:dyDescent="0.2">
      <c r="A141" s="14">
        <v>43770</v>
      </c>
      <c r="B141" s="13">
        <v>52.2</v>
      </c>
      <c r="C141" s="21">
        <f>Table1346811345[[#This Row],[PMI]]-B140</f>
        <v>-0.69999999999999574</v>
      </c>
    </row>
    <row r="142" spans="1:3" x14ac:dyDescent="0.2">
      <c r="A142" s="14">
        <v>43800</v>
      </c>
      <c r="B142" s="13">
        <v>52.4</v>
      </c>
      <c r="C142" s="21">
        <f>Table1346811345[[#This Row],[PMI]]-B141</f>
        <v>0.19999999999999574</v>
      </c>
    </row>
    <row r="143" spans="1:3" x14ac:dyDescent="0.2">
      <c r="A143" s="14">
        <v>43831</v>
      </c>
      <c r="B143" s="13">
        <v>51</v>
      </c>
      <c r="C143" s="21">
        <f>Table1346811345[[#This Row],[PMI]]-B142</f>
        <v>-1.3999999999999986</v>
      </c>
    </row>
    <row r="144" spans="1:3" x14ac:dyDescent="0.2">
      <c r="A144" s="14">
        <v>43862</v>
      </c>
      <c r="B144" s="13">
        <v>52.5</v>
      </c>
      <c r="C144" s="21">
        <f>Table1346811345[[#This Row],[PMI]]-B143</f>
        <v>1.5</v>
      </c>
    </row>
    <row r="145" spans="1:3" x14ac:dyDescent="0.2">
      <c r="A145" s="14">
        <v>43891</v>
      </c>
      <c r="B145" s="13">
        <v>27.4</v>
      </c>
      <c r="C145" s="21">
        <f>Table1346811345[[#This Row],[PMI]]-B144</f>
        <v>-25.1</v>
      </c>
    </row>
    <row r="146" spans="1:3" x14ac:dyDescent="0.2">
      <c r="A146" s="14">
        <v>43922</v>
      </c>
      <c r="B146" s="13">
        <v>10.199999999999999</v>
      </c>
      <c r="C146" s="21">
        <f>Table1346811345[[#This Row],[PMI]]-B145</f>
        <v>-17.2</v>
      </c>
    </row>
    <row r="147" spans="1:3" x14ac:dyDescent="0.2">
      <c r="A147" s="14">
        <v>43952</v>
      </c>
      <c r="B147" s="13">
        <v>31.1</v>
      </c>
      <c r="C147" s="21">
        <f>Table1346811345[[#This Row],[PMI]]-B146</f>
        <v>20.900000000000002</v>
      </c>
    </row>
    <row r="148" spans="1:3" x14ac:dyDescent="0.2">
      <c r="A148" s="14">
        <v>43983</v>
      </c>
      <c r="B148" s="13">
        <v>50.7</v>
      </c>
      <c r="C148" s="21">
        <f>Table1346811345[[#This Row],[PMI]]-B147</f>
        <v>19.600000000000001</v>
      </c>
    </row>
    <row r="149" spans="1:3" x14ac:dyDescent="0.2">
      <c r="A149" s="14">
        <v>44013</v>
      </c>
      <c r="B149" s="13">
        <v>57.3</v>
      </c>
      <c r="C149" s="21">
        <f>Table1346811345[[#This Row],[PMI]]-B148</f>
        <v>6.5999999999999943</v>
      </c>
    </row>
    <row r="150" spans="1:3" x14ac:dyDescent="0.2">
      <c r="A150" s="14">
        <v>44044</v>
      </c>
      <c r="B150" s="13">
        <v>51.5</v>
      </c>
      <c r="C150" s="21">
        <f>Table1346811345[[#This Row],[PMI]]-B149</f>
        <v>-5.7999999999999972</v>
      </c>
    </row>
    <row r="151" spans="1:3" x14ac:dyDescent="0.2">
      <c r="A151" s="14">
        <v>44075</v>
      </c>
      <c r="B151" s="13">
        <v>47.5</v>
      </c>
      <c r="C151" s="21">
        <f>Table1346811345[[#This Row],[PMI]]-B150</f>
        <v>-4</v>
      </c>
    </row>
    <row r="152" spans="1:3" x14ac:dyDescent="0.2">
      <c r="A152" s="14">
        <v>44105</v>
      </c>
      <c r="B152" s="13">
        <v>46.5</v>
      </c>
      <c r="C152" s="21">
        <f>Table1346811345[[#This Row],[PMI]]-B151</f>
        <v>-1</v>
      </c>
    </row>
    <row r="153" spans="1:3" x14ac:dyDescent="0.2">
      <c r="A153" s="14">
        <v>44136</v>
      </c>
      <c r="B153" s="13">
        <v>38.799999999999997</v>
      </c>
      <c r="C153" s="21">
        <f>Table1346811345[[#This Row],[PMI]]-B152</f>
        <v>-7.7000000000000028</v>
      </c>
    </row>
    <row r="154" spans="1:3" x14ac:dyDescent="0.2">
      <c r="A154" s="14">
        <v>44166</v>
      </c>
      <c r="B154" s="13">
        <v>49.1</v>
      </c>
      <c r="C154" s="21">
        <f>Table1346811345[[#This Row],[PMI]]-B153</f>
        <v>10.300000000000004</v>
      </c>
    </row>
    <row r="155" spans="1:3" x14ac:dyDescent="0.2">
      <c r="A155" s="14">
        <v>44197</v>
      </c>
      <c r="B155" s="13">
        <v>47.3</v>
      </c>
      <c r="C155" s="21">
        <f>Table1346811345[[#This Row],[PMI]]-B154</f>
        <v>-1.8000000000000043</v>
      </c>
    </row>
    <row r="156" spans="1:3" x14ac:dyDescent="0.2">
      <c r="A156" s="14">
        <v>44228</v>
      </c>
      <c r="B156" s="13">
        <v>45.6</v>
      </c>
      <c r="C156" s="21">
        <f>Table1346811345[[#This Row],[PMI]]-B155</f>
        <v>-1.6999999999999957</v>
      </c>
    </row>
    <row r="157" spans="1:3" x14ac:dyDescent="0.2">
      <c r="A157" s="14">
        <v>44256</v>
      </c>
      <c r="B157" s="13">
        <v>48.2</v>
      </c>
      <c r="C157" s="21">
        <f>Table1346811345[[#This Row],[PMI]]-B156</f>
        <v>2.6000000000000014</v>
      </c>
    </row>
    <row r="158" spans="1:3" x14ac:dyDescent="0.2">
      <c r="A158" s="14">
        <v>44287</v>
      </c>
      <c r="B158" s="13">
        <v>50.3</v>
      </c>
      <c r="C158" s="21">
        <f>Table1346811345[[#This Row],[PMI]]-B157</f>
        <v>2.0999999999999943</v>
      </c>
    </row>
    <row r="159" spans="1:3" x14ac:dyDescent="0.2">
      <c r="A159" s="14">
        <v>44317</v>
      </c>
      <c r="B159" s="13">
        <v>56.6</v>
      </c>
      <c r="C159" s="21">
        <f>Table1346811345[[#This Row],[PMI]]-B158</f>
        <v>6.3000000000000043</v>
      </c>
    </row>
    <row r="160" spans="1:3" x14ac:dyDescent="0.2">
      <c r="A160" s="14">
        <v>44348</v>
      </c>
      <c r="B160" s="13">
        <v>57.8</v>
      </c>
      <c r="C160" s="21">
        <f>Table1346811345[[#This Row],[PMI]]-B159</f>
        <v>1.1999999999999957</v>
      </c>
    </row>
    <row r="161" spans="1:3" x14ac:dyDescent="0.2">
      <c r="A161" s="14">
        <v>44378</v>
      </c>
      <c r="B161" s="13">
        <v>56.8</v>
      </c>
      <c r="C161" s="21">
        <f>Table1346811345[[#This Row],[PMI]]-B160</f>
        <v>-1</v>
      </c>
    </row>
    <row r="162" spans="1:3" x14ac:dyDescent="0.2">
      <c r="A162" s="14">
        <v>44409</v>
      </c>
      <c r="B162" s="13">
        <v>56.3</v>
      </c>
      <c r="C162" s="21">
        <f>Table1346811345[[#This Row],[PMI]]-B161</f>
        <v>-0.5</v>
      </c>
    </row>
    <row r="163" spans="1:3" x14ac:dyDescent="0.2">
      <c r="A163" s="14">
        <v>44440</v>
      </c>
      <c r="B163" s="13">
        <v>56.2</v>
      </c>
      <c r="C163" s="21">
        <f>Table1346811345[[#This Row],[PMI]]-B162</f>
        <v>-9.9999999999994316E-2</v>
      </c>
    </row>
    <row r="164" spans="1:3" x14ac:dyDescent="0.2">
      <c r="A164" s="14">
        <v>44470</v>
      </c>
      <c r="B164" s="13">
        <v>56.6</v>
      </c>
      <c r="C164" s="21">
        <f>Table1346811345[[#This Row],[PMI]]-B163</f>
        <v>0.39999999999999858</v>
      </c>
    </row>
    <row r="165" spans="1:3" x14ac:dyDescent="0.2">
      <c r="A165" s="14">
        <v>44501</v>
      </c>
      <c r="B165" s="13">
        <v>57.4</v>
      </c>
      <c r="C165" s="21">
        <f>Table1346811345[[#This Row],[PMI]]-B164</f>
        <v>0.79999999999999716</v>
      </c>
    </row>
    <row r="166" spans="1:3" x14ac:dyDescent="0.2">
      <c r="A166" s="14">
        <v>44531</v>
      </c>
      <c r="B166" s="13">
        <v>57</v>
      </c>
      <c r="C166" s="21">
        <f>Table1346811345[[#This Row],[PMI]]-B165</f>
        <v>-0.39999999999999858</v>
      </c>
    </row>
  </sheetData>
  <conditionalFormatting sqref="C7:C76">
    <cfRule type="colorScale" priority="1">
      <colorScale>
        <cfvo type="min"/>
        <cfvo type="percentile" val="50"/>
        <cfvo type="max"/>
        <color rgb="FFF8696B"/>
        <color rgb="FFFCFCFF"/>
        <color rgb="FF5A8AC6"/>
      </colorScale>
    </cfRule>
  </conditionalFormatting>
  <conditionalFormatting sqref="B6:B16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6CA9A-F26F-42A7-A151-EBD410DAB6A1}">
  <dimension ref="A1:J179"/>
  <sheetViews>
    <sheetView zoomScale="150" zoomScaleNormal="150" workbookViewId="0">
      <pane ySplit="5" topLeftCell="A138" activePane="bottomLeft" state="frozen"/>
      <selection pane="bottomLeft" activeCell="A181" sqref="A181"/>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17</v>
      </c>
      <c r="J1" s="25" t="s">
        <v>42</v>
      </c>
    </row>
    <row r="2" spans="1:10" x14ac:dyDescent="0.2">
      <c r="J2" s="25" t="str">
        <f>A1&amp;J1</f>
        <v>Germany Services PMI</v>
      </c>
    </row>
    <row r="4" spans="1:10" ht="16" thickBot="1" x14ac:dyDescent="0.25"/>
    <row r="5" spans="1:10" ht="16" thickBot="1" x14ac:dyDescent="0.25">
      <c r="A5" s="19" t="s">
        <v>9</v>
      </c>
      <c r="B5" s="20" t="s">
        <v>10</v>
      </c>
      <c r="C5" s="20" t="s">
        <v>11</v>
      </c>
    </row>
    <row r="6" spans="1:10" x14ac:dyDescent="0.2">
      <c r="A6" s="17">
        <v>39264</v>
      </c>
      <c r="B6" s="18">
        <v>58.9</v>
      </c>
      <c r="C6" s="18"/>
    </row>
    <row r="7" spans="1:10" x14ac:dyDescent="0.2">
      <c r="A7" s="14">
        <v>39295</v>
      </c>
      <c r="B7" s="13">
        <v>59.8</v>
      </c>
      <c r="C7" s="13">
        <f>Table13468113456[[#This Row],[PMI]]-B6</f>
        <v>0.89999999999999858</v>
      </c>
    </row>
    <row r="8" spans="1:10" x14ac:dyDescent="0.2">
      <c r="A8" s="14">
        <v>39326</v>
      </c>
      <c r="B8" s="13">
        <v>53.1</v>
      </c>
      <c r="C8" s="13">
        <f>Table13468113456[[#This Row],[PMI]]-B7</f>
        <v>-6.6999999999999957</v>
      </c>
    </row>
    <row r="9" spans="1:10" x14ac:dyDescent="0.2">
      <c r="A9" s="14">
        <v>39356</v>
      </c>
      <c r="B9" s="13">
        <v>55.1</v>
      </c>
      <c r="C9" s="13">
        <f>Table13468113456[[#This Row],[PMI]]-B8</f>
        <v>2</v>
      </c>
    </row>
    <row r="10" spans="1:10" x14ac:dyDescent="0.2">
      <c r="A10" s="14">
        <v>39387</v>
      </c>
      <c r="B10" s="13">
        <v>53.1</v>
      </c>
      <c r="C10" s="13">
        <f>Table13468113456[[#This Row],[PMI]]-B9</f>
        <v>-2</v>
      </c>
    </row>
    <row r="11" spans="1:10" x14ac:dyDescent="0.2">
      <c r="A11" s="14">
        <v>39417</v>
      </c>
      <c r="B11" s="13">
        <v>51.5</v>
      </c>
      <c r="C11" s="13">
        <f>Table13468113456[[#This Row],[PMI]]-B10</f>
        <v>-1.6000000000000014</v>
      </c>
    </row>
    <row r="12" spans="1:10" x14ac:dyDescent="0.2">
      <c r="A12" s="14">
        <v>39448</v>
      </c>
      <c r="B12" s="13">
        <v>49.2</v>
      </c>
      <c r="C12" s="13">
        <f>Table13468113456[[#This Row],[PMI]]-B11</f>
        <v>-2.2999999999999972</v>
      </c>
    </row>
    <row r="13" spans="1:10" x14ac:dyDescent="0.2">
      <c r="A13" s="14">
        <v>39479</v>
      </c>
      <c r="B13" s="13">
        <v>52.2</v>
      </c>
      <c r="C13" s="13">
        <f>Table13468113456[[#This Row],[PMI]]-B12</f>
        <v>3</v>
      </c>
    </row>
    <row r="14" spans="1:10" x14ac:dyDescent="0.2">
      <c r="A14" s="14">
        <v>39508</v>
      </c>
      <c r="B14" s="13">
        <v>51.8</v>
      </c>
      <c r="C14" s="13">
        <f>Table13468113456[[#This Row],[PMI]]-B13</f>
        <v>-0.40000000000000568</v>
      </c>
    </row>
    <row r="15" spans="1:10" x14ac:dyDescent="0.2">
      <c r="A15" s="14">
        <v>39539</v>
      </c>
      <c r="B15" s="13">
        <v>54.9</v>
      </c>
      <c r="C15" s="13">
        <f>Table13468113456[[#This Row],[PMI]]-B14</f>
        <v>3.1000000000000014</v>
      </c>
    </row>
    <row r="16" spans="1:10" x14ac:dyDescent="0.2">
      <c r="A16" s="14">
        <v>39569</v>
      </c>
      <c r="B16" s="13">
        <v>53.8</v>
      </c>
      <c r="C16" s="13">
        <f>Table13468113456[[#This Row],[PMI]]-B15</f>
        <v>-1.1000000000000014</v>
      </c>
    </row>
    <row r="17" spans="1:3" x14ac:dyDescent="0.2">
      <c r="A17" s="14">
        <v>39600</v>
      </c>
      <c r="B17" s="13">
        <v>52.1</v>
      </c>
      <c r="C17" s="13">
        <f>Table13468113456[[#This Row],[PMI]]-B16</f>
        <v>-1.6999999999999957</v>
      </c>
    </row>
    <row r="18" spans="1:3" x14ac:dyDescent="0.2">
      <c r="A18" s="14">
        <v>39630</v>
      </c>
      <c r="B18" s="13">
        <v>53.1</v>
      </c>
      <c r="C18" s="13">
        <f>Table13468113456[[#This Row],[PMI]]-B17</f>
        <v>1</v>
      </c>
    </row>
    <row r="19" spans="1:3" x14ac:dyDescent="0.2">
      <c r="A19" s="14">
        <v>39661</v>
      </c>
      <c r="B19" s="13">
        <v>51.4</v>
      </c>
      <c r="C19" s="13">
        <f>Table13468113456[[#This Row],[PMI]]-B18</f>
        <v>-1.7000000000000028</v>
      </c>
    </row>
    <row r="20" spans="1:3" x14ac:dyDescent="0.2">
      <c r="A20" s="14">
        <v>39692</v>
      </c>
      <c r="B20" s="13">
        <v>50.2</v>
      </c>
      <c r="C20" s="13">
        <f>Table13468113456[[#This Row],[PMI]]-B19</f>
        <v>-1.1999999999999957</v>
      </c>
    </row>
    <row r="21" spans="1:3" x14ac:dyDescent="0.2">
      <c r="A21" s="14">
        <v>39722</v>
      </c>
      <c r="B21" s="13">
        <v>48.3</v>
      </c>
      <c r="C21" s="13">
        <f>Table13468113456[[#This Row],[PMI]]-B20</f>
        <v>-1.9000000000000057</v>
      </c>
    </row>
    <row r="22" spans="1:3" x14ac:dyDescent="0.2">
      <c r="A22" s="14">
        <v>39753</v>
      </c>
      <c r="B22" s="13">
        <v>45.1</v>
      </c>
      <c r="C22" s="13">
        <f>Table13468113456[[#This Row],[PMI]]-B21</f>
        <v>-3.1999999999999957</v>
      </c>
    </row>
    <row r="23" spans="1:3" x14ac:dyDescent="0.2">
      <c r="A23" s="14">
        <v>39783</v>
      </c>
      <c r="B23" s="13">
        <v>43.1</v>
      </c>
      <c r="C23" s="13">
        <f>Table13468113456[[#This Row],[PMI]]-B22</f>
        <v>-2</v>
      </c>
    </row>
    <row r="24" spans="1:3" x14ac:dyDescent="0.2">
      <c r="A24" s="14">
        <v>39814</v>
      </c>
      <c r="B24" s="13">
        <v>45.2</v>
      </c>
      <c r="C24" s="13">
        <f>Table13468113456[[#This Row],[PMI]]-B23</f>
        <v>2.1000000000000014</v>
      </c>
    </row>
    <row r="25" spans="1:3" x14ac:dyDescent="0.2">
      <c r="A25" s="14">
        <v>39845</v>
      </c>
      <c r="B25" s="13">
        <v>41.3</v>
      </c>
      <c r="C25" s="13">
        <f>Table13468113456[[#This Row],[PMI]]-B24</f>
        <v>-3.9000000000000057</v>
      </c>
    </row>
    <row r="26" spans="1:3" x14ac:dyDescent="0.2">
      <c r="A26" s="14">
        <v>39873</v>
      </c>
      <c r="B26" s="13">
        <v>42.3</v>
      </c>
      <c r="C26" s="13">
        <f>Table13468113456[[#This Row],[PMI]]-B25</f>
        <v>1</v>
      </c>
    </row>
    <row r="27" spans="1:3" x14ac:dyDescent="0.2">
      <c r="A27" s="14">
        <v>39904</v>
      </c>
      <c r="B27" s="13">
        <v>43.8</v>
      </c>
      <c r="C27" s="13">
        <f>Table13468113456[[#This Row],[PMI]]-B26</f>
        <v>1.5</v>
      </c>
    </row>
    <row r="28" spans="1:3" x14ac:dyDescent="0.2">
      <c r="A28" s="14">
        <v>39934</v>
      </c>
      <c r="B28" s="13">
        <v>45.2</v>
      </c>
      <c r="C28" s="13">
        <f>Table13468113456[[#This Row],[PMI]]-B27</f>
        <v>1.4000000000000057</v>
      </c>
    </row>
    <row r="29" spans="1:3" x14ac:dyDescent="0.2">
      <c r="A29" s="14">
        <v>39965</v>
      </c>
      <c r="B29" s="13">
        <v>45.2</v>
      </c>
      <c r="C29" s="13">
        <f>Table13468113456[[#This Row],[PMI]]-B28</f>
        <v>0</v>
      </c>
    </row>
    <row r="30" spans="1:3" x14ac:dyDescent="0.2">
      <c r="A30" s="14">
        <v>39995</v>
      </c>
      <c r="B30" s="13">
        <v>48.1</v>
      </c>
      <c r="C30" s="13">
        <f>Table13468113456[[#This Row],[PMI]]-B29</f>
        <v>2.8999999999999986</v>
      </c>
    </row>
    <row r="31" spans="1:3" x14ac:dyDescent="0.2">
      <c r="A31" s="14">
        <v>40026</v>
      </c>
      <c r="B31" s="13">
        <v>53.8</v>
      </c>
      <c r="C31" s="13">
        <f>Table13468113456[[#This Row],[PMI]]-B30</f>
        <v>5.6999999999999957</v>
      </c>
    </row>
    <row r="32" spans="1:3" x14ac:dyDescent="0.2">
      <c r="A32" s="14">
        <v>40057</v>
      </c>
      <c r="B32" s="13">
        <v>52.2</v>
      </c>
      <c r="C32" s="13">
        <f>Table13468113456[[#This Row],[PMI]]-B31</f>
        <v>-1.5999999999999943</v>
      </c>
    </row>
    <row r="33" spans="1:3" x14ac:dyDescent="0.2">
      <c r="A33" s="14">
        <v>40087</v>
      </c>
      <c r="B33" s="13">
        <v>50.7</v>
      </c>
      <c r="C33" s="13">
        <f>Table13468113456[[#This Row],[PMI]]-B32</f>
        <v>-1.5</v>
      </c>
    </row>
    <row r="34" spans="1:3" x14ac:dyDescent="0.2">
      <c r="A34" s="14">
        <v>40118</v>
      </c>
      <c r="B34" s="13">
        <v>51.4</v>
      </c>
      <c r="C34" s="13">
        <f>Table13468113456[[#This Row],[PMI]]-B33</f>
        <v>0.69999999999999574</v>
      </c>
    </row>
    <row r="35" spans="1:3" x14ac:dyDescent="0.2">
      <c r="A35" s="14">
        <v>40148</v>
      </c>
      <c r="B35" s="13">
        <v>52.1</v>
      </c>
      <c r="C35" s="13">
        <f>Table13468113456[[#This Row],[PMI]]-B34</f>
        <v>0.70000000000000284</v>
      </c>
    </row>
    <row r="36" spans="1:3" x14ac:dyDescent="0.2">
      <c r="A36" s="14">
        <v>40179</v>
      </c>
      <c r="B36" s="13">
        <v>52.2</v>
      </c>
      <c r="C36" s="13">
        <f>Table13468113456[[#This Row],[PMI]]-B35</f>
        <v>0.10000000000000142</v>
      </c>
    </row>
    <row r="37" spans="1:3" x14ac:dyDescent="0.2">
      <c r="A37" s="14">
        <v>40210</v>
      </c>
      <c r="B37" s="13">
        <v>51.9</v>
      </c>
      <c r="C37" s="13">
        <f>Table13468113456[[#This Row],[PMI]]-B36</f>
        <v>-0.30000000000000426</v>
      </c>
    </row>
    <row r="38" spans="1:3" x14ac:dyDescent="0.2">
      <c r="A38" s="14">
        <v>40238</v>
      </c>
      <c r="B38" s="13">
        <v>54.9</v>
      </c>
      <c r="C38" s="13">
        <f>Table13468113456[[#This Row],[PMI]]-B37</f>
        <v>3</v>
      </c>
    </row>
    <row r="39" spans="1:3" x14ac:dyDescent="0.2">
      <c r="A39" s="14">
        <v>40269</v>
      </c>
      <c r="B39" s="13">
        <v>53.7</v>
      </c>
      <c r="C39" s="13">
        <f>Table13468113456[[#This Row],[PMI]]-B38</f>
        <v>-1.1999999999999957</v>
      </c>
    </row>
    <row r="40" spans="1:3" x14ac:dyDescent="0.2">
      <c r="A40" s="14">
        <v>40299</v>
      </c>
      <c r="B40" s="13">
        <v>54.8</v>
      </c>
      <c r="C40" s="13">
        <f>Table13468113456[[#This Row],[PMI]]-B39</f>
        <v>1.0999999999999943</v>
      </c>
    </row>
    <row r="41" spans="1:3" x14ac:dyDescent="0.2">
      <c r="A41" s="14">
        <v>40330</v>
      </c>
      <c r="B41" s="13">
        <v>54.8</v>
      </c>
      <c r="C41" s="13">
        <f>Table13468113456[[#This Row],[PMI]]-B40</f>
        <v>0</v>
      </c>
    </row>
    <row r="42" spans="1:3" x14ac:dyDescent="0.2">
      <c r="A42" s="14">
        <v>40360</v>
      </c>
      <c r="B42" s="13">
        <v>56.5</v>
      </c>
      <c r="C42" s="13">
        <f>Table13468113456[[#This Row],[PMI]]-B41</f>
        <v>1.7000000000000028</v>
      </c>
    </row>
    <row r="43" spans="1:3" x14ac:dyDescent="0.2">
      <c r="A43" s="14">
        <v>40391</v>
      </c>
      <c r="B43" s="13">
        <v>57.2</v>
      </c>
      <c r="C43" s="13">
        <f>Table13468113456[[#This Row],[PMI]]-B42</f>
        <v>0.70000000000000284</v>
      </c>
    </row>
    <row r="44" spans="1:3" x14ac:dyDescent="0.2">
      <c r="A44" s="14">
        <v>40422</v>
      </c>
      <c r="B44" s="13">
        <v>54.9</v>
      </c>
      <c r="C44" s="13">
        <f>Table13468113456[[#This Row],[PMI]]-B43</f>
        <v>-2.3000000000000043</v>
      </c>
    </row>
    <row r="45" spans="1:3" x14ac:dyDescent="0.2">
      <c r="A45" s="14">
        <v>40452</v>
      </c>
      <c r="B45" s="13">
        <v>56</v>
      </c>
      <c r="C45" s="13">
        <f>Table13468113456[[#This Row],[PMI]]-B44</f>
        <v>1.1000000000000014</v>
      </c>
    </row>
    <row r="46" spans="1:3" x14ac:dyDescent="0.2">
      <c r="A46" s="14">
        <v>40483</v>
      </c>
      <c r="B46" s="13">
        <v>59.2</v>
      </c>
      <c r="C46" s="13">
        <f>Table13468113456[[#This Row],[PMI]]-B45</f>
        <v>3.2000000000000028</v>
      </c>
    </row>
    <row r="47" spans="1:3" x14ac:dyDescent="0.2">
      <c r="A47" s="14">
        <v>40513</v>
      </c>
      <c r="B47" s="13">
        <v>59.5</v>
      </c>
      <c r="C47" s="13">
        <f>Table13468113456[[#This Row],[PMI]]-B46</f>
        <v>0.29999999999999716</v>
      </c>
    </row>
    <row r="48" spans="1:3" x14ac:dyDescent="0.2">
      <c r="A48" s="14">
        <v>40544</v>
      </c>
      <c r="B48" s="13">
        <v>60.3</v>
      </c>
      <c r="C48" s="13">
        <f>Table13468113456[[#This Row],[PMI]]-B47</f>
        <v>0.79999999999999716</v>
      </c>
    </row>
    <row r="49" spans="1:3" x14ac:dyDescent="0.2">
      <c r="A49" s="14">
        <v>40575</v>
      </c>
      <c r="B49" s="13">
        <v>58.6</v>
      </c>
      <c r="C49" s="13">
        <f>Table13468113456[[#This Row],[PMI]]-B48</f>
        <v>-1.6999999999999957</v>
      </c>
    </row>
    <row r="50" spans="1:3" x14ac:dyDescent="0.2">
      <c r="A50" s="14">
        <v>40603</v>
      </c>
      <c r="B50" s="13">
        <v>60.1</v>
      </c>
      <c r="C50" s="13">
        <f>Table13468113456[[#This Row],[PMI]]-B49</f>
        <v>1.5</v>
      </c>
    </row>
    <row r="51" spans="1:3" x14ac:dyDescent="0.2">
      <c r="A51" s="14">
        <v>40634</v>
      </c>
      <c r="B51" s="13">
        <v>56.8</v>
      </c>
      <c r="C51" s="13">
        <f>Table13468113456[[#This Row],[PMI]]-B50</f>
        <v>-3.3000000000000043</v>
      </c>
    </row>
    <row r="52" spans="1:3" x14ac:dyDescent="0.2">
      <c r="A52" s="14">
        <v>40664</v>
      </c>
      <c r="B52" s="13">
        <v>56.1</v>
      </c>
      <c r="C52" s="13">
        <f>Table13468113456[[#This Row],[PMI]]-B51</f>
        <v>-0.69999999999999574</v>
      </c>
    </row>
    <row r="53" spans="1:3" x14ac:dyDescent="0.2">
      <c r="A53" s="14">
        <v>40695</v>
      </c>
      <c r="B53" s="13">
        <v>56.7</v>
      </c>
      <c r="C53" s="13">
        <f>Table13468113456[[#This Row],[PMI]]-B52</f>
        <v>0.60000000000000142</v>
      </c>
    </row>
    <row r="54" spans="1:3" x14ac:dyDescent="0.2">
      <c r="A54" s="14">
        <v>40725</v>
      </c>
      <c r="B54" s="13">
        <v>52.9</v>
      </c>
      <c r="C54" s="13">
        <f>Table13468113456[[#This Row],[PMI]]-B53</f>
        <v>-3.8000000000000043</v>
      </c>
    </row>
    <row r="55" spans="1:3" x14ac:dyDescent="0.2">
      <c r="A55" s="14">
        <v>40756</v>
      </c>
      <c r="B55" s="13">
        <v>51.1</v>
      </c>
      <c r="C55" s="13">
        <f>Table13468113456[[#This Row],[PMI]]-B54</f>
        <v>-1.7999999999999972</v>
      </c>
    </row>
    <row r="56" spans="1:3" x14ac:dyDescent="0.2">
      <c r="A56" s="14">
        <v>40787</v>
      </c>
      <c r="B56" s="13">
        <v>49.7</v>
      </c>
      <c r="C56" s="13">
        <f>Table13468113456[[#This Row],[PMI]]-B55</f>
        <v>-1.3999999999999986</v>
      </c>
    </row>
    <row r="57" spans="1:3" x14ac:dyDescent="0.2">
      <c r="A57" s="14">
        <v>40817</v>
      </c>
      <c r="B57" s="13">
        <v>50.6</v>
      </c>
      <c r="C57" s="13">
        <f>Table13468113456[[#This Row],[PMI]]-B56</f>
        <v>0.89999999999999858</v>
      </c>
    </row>
    <row r="58" spans="1:3" x14ac:dyDescent="0.2">
      <c r="A58" s="14">
        <v>40848</v>
      </c>
      <c r="B58" s="13">
        <v>50.3</v>
      </c>
      <c r="C58" s="13">
        <f>Table13468113456[[#This Row],[PMI]]-B57</f>
        <v>-0.30000000000000426</v>
      </c>
    </row>
    <row r="59" spans="1:3" x14ac:dyDescent="0.2">
      <c r="A59" s="14">
        <v>40878</v>
      </c>
      <c r="B59" s="13">
        <v>52.4</v>
      </c>
      <c r="C59" s="13">
        <f>Table13468113456[[#This Row],[PMI]]-B58</f>
        <v>2.1000000000000014</v>
      </c>
    </row>
    <row r="60" spans="1:3" x14ac:dyDescent="0.2">
      <c r="A60" s="14">
        <v>40909</v>
      </c>
      <c r="B60" s="13">
        <v>53.7</v>
      </c>
      <c r="C60" s="13">
        <f>Table13468113456[[#This Row],[PMI]]-B59</f>
        <v>1.3000000000000043</v>
      </c>
    </row>
    <row r="61" spans="1:3" x14ac:dyDescent="0.2">
      <c r="A61" s="14">
        <v>40940</v>
      </c>
      <c r="B61" s="13">
        <v>52.8</v>
      </c>
      <c r="C61" s="13">
        <f>Table13468113456[[#This Row],[PMI]]-B60</f>
        <v>-0.90000000000000568</v>
      </c>
    </row>
    <row r="62" spans="1:3" x14ac:dyDescent="0.2">
      <c r="A62" s="14">
        <v>40969</v>
      </c>
      <c r="B62" s="13">
        <v>52.1</v>
      </c>
      <c r="C62" s="13">
        <f>Table13468113456[[#This Row],[PMI]]-B61</f>
        <v>-0.69999999999999574</v>
      </c>
    </row>
    <row r="63" spans="1:3" x14ac:dyDescent="0.2">
      <c r="A63" s="14">
        <v>41000</v>
      </c>
      <c r="B63" s="13">
        <v>52.2</v>
      </c>
      <c r="C63" s="13">
        <f>Table13468113456[[#This Row],[PMI]]-B62</f>
        <v>0.10000000000000142</v>
      </c>
    </row>
    <row r="64" spans="1:3" x14ac:dyDescent="0.2">
      <c r="A64" s="14">
        <v>41030</v>
      </c>
      <c r="B64" s="13">
        <v>51.8</v>
      </c>
      <c r="C64" s="13">
        <f>Table13468113456[[#This Row],[PMI]]-B63</f>
        <v>-0.40000000000000568</v>
      </c>
    </row>
    <row r="65" spans="1:3" x14ac:dyDescent="0.2">
      <c r="A65" s="14">
        <v>41061</v>
      </c>
      <c r="B65" s="13">
        <v>49.9</v>
      </c>
      <c r="C65" s="13">
        <f>Table13468113456[[#This Row],[PMI]]-B64</f>
        <v>-1.8999999999999986</v>
      </c>
    </row>
    <row r="66" spans="1:3" x14ac:dyDescent="0.2">
      <c r="A66" s="14">
        <v>41091</v>
      </c>
      <c r="B66" s="13">
        <v>50.3</v>
      </c>
      <c r="C66" s="13">
        <f>Table13468113456[[#This Row],[PMI]]-B65</f>
        <v>0.39999999999999858</v>
      </c>
    </row>
    <row r="67" spans="1:3" x14ac:dyDescent="0.2">
      <c r="A67" s="14">
        <v>41122</v>
      </c>
      <c r="B67" s="13">
        <v>48.3</v>
      </c>
      <c r="C67" s="13">
        <f>Table13468113456[[#This Row],[PMI]]-B66</f>
        <v>-2</v>
      </c>
    </row>
    <row r="68" spans="1:3" x14ac:dyDescent="0.2">
      <c r="A68" s="14">
        <v>41153</v>
      </c>
      <c r="B68" s="13">
        <v>49.7</v>
      </c>
      <c r="C68" s="13">
        <f>Table13468113456[[#This Row],[PMI]]-B67</f>
        <v>1.4000000000000057</v>
      </c>
    </row>
    <row r="69" spans="1:3" x14ac:dyDescent="0.2">
      <c r="A69" s="14">
        <v>41183</v>
      </c>
      <c r="B69" s="13">
        <v>48.4</v>
      </c>
      <c r="C69" s="13">
        <f>Table13468113456[[#This Row],[PMI]]-B68</f>
        <v>-1.3000000000000043</v>
      </c>
    </row>
    <row r="70" spans="1:3" x14ac:dyDescent="0.2">
      <c r="A70" s="14">
        <v>41214</v>
      </c>
      <c r="B70" s="13">
        <v>49.7</v>
      </c>
      <c r="C70" s="13">
        <f>Table13468113456[[#This Row],[PMI]]-B69</f>
        <v>1.3000000000000043</v>
      </c>
    </row>
    <row r="71" spans="1:3" x14ac:dyDescent="0.2">
      <c r="A71" s="14">
        <v>41244</v>
      </c>
      <c r="B71" s="13">
        <v>55.7</v>
      </c>
      <c r="C71" s="13">
        <f>Table13468113456[[#This Row],[PMI]]-B70</f>
        <v>6</v>
      </c>
    </row>
    <row r="72" spans="1:3" x14ac:dyDescent="0.2">
      <c r="A72" s="14">
        <v>41275</v>
      </c>
      <c r="B72" s="13">
        <v>54.7</v>
      </c>
      <c r="C72" s="13">
        <f>Table13468113456[[#This Row],[PMI]]-B71</f>
        <v>-1</v>
      </c>
    </row>
    <row r="73" spans="1:3" x14ac:dyDescent="0.2">
      <c r="A73" s="14">
        <v>41306</v>
      </c>
      <c r="B73" s="13">
        <v>50.9</v>
      </c>
      <c r="C73" s="13">
        <f>Table13468113456[[#This Row],[PMI]]-B72</f>
        <v>-3.8000000000000043</v>
      </c>
    </row>
    <row r="74" spans="1:3" x14ac:dyDescent="0.2">
      <c r="A74" s="14">
        <v>41334</v>
      </c>
      <c r="B74" s="13">
        <v>49.6</v>
      </c>
      <c r="C74" s="13">
        <f>Table13468113456[[#This Row],[PMI]]-B73</f>
        <v>-1.2999999999999972</v>
      </c>
    </row>
    <row r="75" spans="1:3" x14ac:dyDescent="0.2">
      <c r="A75" s="14">
        <v>41365</v>
      </c>
      <c r="B75" s="13">
        <v>49.7</v>
      </c>
      <c r="C75" s="13">
        <f>Table13468113456[[#This Row],[PMI]]-B74</f>
        <v>0.10000000000000142</v>
      </c>
    </row>
    <row r="76" spans="1:3" x14ac:dyDescent="0.2">
      <c r="A76" s="14">
        <v>41395</v>
      </c>
      <c r="B76" s="13">
        <v>50.4</v>
      </c>
      <c r="C76" s="13">
        <f>Table13468113456[[#This Row],[PMI]]-B75</f>
        <v>0.69999999999999574</v>
      </c>
    </row>
    <row r="77" spans="1:3" x14ac:dyDescent="0.2">
      <c r="A77" s="14">
        <v>41426</v>
      </c>
      <c r="B77" s="13">
        <v>51.3</v>
      </c>
      <c r="C77" s="21">
        <f>Table13468113456[[#This Row],[PMI]]-B76</f>
        <v>0.89999999999999858</v>
      </c>
    </row>
    <row r="78" spans="1:3" x14ac:dyDescent="0.2">
      <c r="A78" s="14">
        <v>41456</v>
      </c>
      <c r="B78" s="13">
        <v>52.8</v>
      </c>
      <c r="C78" s="21">
        <f>Table13468113456[[#This Row],[PMI]]-B77</f>
        <v>1.5</v>
      </c>
    </row>
    <row r="79" spans="1:3" x14ac:dyDescent="0.2">
      <c r="A79" s="14">
        <v>41487</v>
      </c>
      <c r="B79" s="13">
        <v>53.7</v>
      </c>
      <c r="C79" s="21">
        <f>Table13468113456[[#This Row],[PMI]]-B78</f>
        <v>0.90000000000000568</v>
      </c>
    </row>
    <row r="80" spans="1:3" x14ac:dyDescent="0.2">
      <c r="A80" s="14">
        <v>41518</v>
      </c>
      <c r="B80" s="13">
        <v>52.9</v>
      </c>
      <c r="C80" s="21">
        <f>Table13468113456[[#This Row],[PMI]]-B79</f>
        <v>-0.80000000000000426</v>
      </c>
    </row>
    <row r="81" spans="1:3" x14ac:dyDescent="0.2">
      <c r="A81" s="14">
        <v>41548</v>
      </c>
      <c r="B81" s="13">
        <v>55.7</v>
      </c>
      <c r="C81" s="21">
        <f>Table13468113456[[#This Row],[PMI]]-B80</f>
        <v>2.8000000000000043</v>
      </c>
    </row>
    <row r="82" spans="1:3" x14ac:dyDescent="0.2">
      <c r="A82" s="14">
        <v>41579</v>
      </c>
      <c r="B82" s="13">
        <v>53.5</v>
      </c>
      <c r="C82" s="21">
        <f>Table13468113456[[#This Row],[PMI]]-B81</f>
        <v>-2.2000000000000028</v>
      </c>
    </row>
    <row r="83" spans="1:3" x14ac:dyDescent="0.2">
      <c r="A83" s="14">
        <v>41609</v>
      </c>
      <c r="B83" s="13">
        <v>53.1</v>
      </c>
      <c r="C83" s="21">
        <f>Table13468113456[[#This Row],[PMI]]-B82</f>
        <v>-0.39999999999999858</v>
      </c>
    </row>
    <row r="84" spans="1:3" x14ac:dyDescent="0.2">
      <c r="A84" s="14">
        <v>41640</v>
      </c>
      <c r="B84" s="13">
        <v>55.9</v>
      </c>
      <c r="C84" s="21">
        <f>Table13468113456[[#This Row],[PMI]]-B83</f>
        <v>2.7999999999999972</v>
      </c>
    </row>
    <row r="85" spans="1:3" x14ac:dyDescent="0.2">
      <c r="A85" s="14">
        <v>41671</v>
      </c>
      <c r="B85" s="13">
        <v>53</v>
      </c>
      <c r="C85" s="21">
        <f>Table13468113456[[#This Row],[PMI]]-B84</f>
        <v>-2.8999999999999986</v>
      </c>
    </row>
    <row r="86" spans="1:3" x14ac:dyDescent="0.2">
      <c r="A86" s="14">
        <v>41699</v>
      </c>
      <c r="B86" s="13">
        <v>54.7</v>
      </c>
      <c r="C86" s="21">
        <f>Table13468113456[[#This Row],[PMI]]-B85</f>
        <v>1.7000000000000028</v>
      </c>
    </row>
    <row r="87" spans="1:3" x14ac:dyDescent="0.2">
      <c r="A87" s="14">
        <v>41730</v>
      </c>
      <c r="B87" s="13">
        <v>56.4</v>
      </c>
      <c r="C87" s="21">
        <f>Table13468113456[[#This Row],[PMI]]-B86</f>
        <v>1.6999999999999957</v>
      </c>
    </row>
    <row r="88" spans="1:3" x14ac:dyDescent="0.2">
      <c r="A88" s="14">
        <v>41760</v>
      </c>
      <c r="B88" s="13">
        <v>56</v>
      </c>
      <c r="C88" s="21">
        <f>Table13468113456[[#This Row],[PMI]]-B87</f>
        <v>-0.39999999999999858</v>
      </c>
    </row>
    <row r="89" spans="1:3" x14ac:dyDescent="0.2">
      <c r="A89" s="14">
        <v>41791</v>
      </c>
      <c r="B89" s="13">
        <v>54.6</v>
      </c>
      <c r="C89" s="21">
        <f>Table13468113456[[#This Row],[PMI]]-B88</f>
        <v>-1.3999999999999986</v>
      </c>
    </row>
    <row r="90" spans="1:3" x14ac:dyDescent="0.2">
      <c r="A90" s="14">
        <v>41821</v>
      </c>
      <c r="B90" s="13">
        <v>56.7</v>
      </c>
      <c r="C90" s="21">
        <f>Table13468113456[[#This Row],[PMI]]-B89</f>
        <v>2.1000000000000014</v>
      </c>
    </row>
    <row r="91" spans="1:3" x14ac:dyDescent="0.2">
      <c r="A91" s="14">
        <v>41852</v>
      </c>
      <c r="B91" s="13">
        <v>54.9</v>
      </c>
      <c r="C91" s="21">
        <f>Table13468113456[[#This Row],[PMI]]-B90</f>
        <v>-1.8000000000000043</v>
      </c>
    </row>
    <row r="92" spans="1:3" x14ac:dyDescent="0.2">
      <c r="A92" s="14">
        <v>41883</v>
      </c>
      <c r="B92" s="13">
        <v>55.7</v>
      </c>
      <c r="C92" s="21">
        <f>Table13468113456[[#This Row],[PMI]]-B91</f>
        <v>0.80000000000000426</v>
      </c>
    </row>
    <row r="93" spans="1:3" x14ac:dyDescent="0.2">
      <c r="A93" s="14">
        <v>41913</v>
      </c>
      <c r="B93" s="13">
        <v>54.4</v>
      </c>
      <c r="C93" s="21">
        <f>Table13468113456[[#This Row],[PMI]]-B92</f>
        <v>-1.3000000000000043</v>
      </c>
    </row>
    <row r="94" spans="1:3" x14ac:dyDescent="0.2">
      <c r="A94" s="14">
        <v>41944</v>
      </c>
      <c r="B94" s="13">
        <v>52.1</v>
      </c>
      <c r="C94" s="21">
        <f>Table13468113456[[#This Row],[PMI]]-B93</f>
        <v>-2.2999999999999972</v>
      </c>
    </row>
    <row r="95" spans="1:3" x14ac:dyDescent="0.2">
      <c r="A95" s="14">
        <v>41974</v>
      </c>
      <c r="B95" s="13">
        <v>52.1</v>
      </c>
      <c r="C95" s="21">
        <f>Table13468113456[[#This Row],[PMI]]-B94</f>
        <v>0</v>
      </c>
    </row>
    <row r="96" spans="1:3" x14ac:dyDescent="0.2">
      <c r="A96" s="14">
        <v>42005</v>
      </c>
      <c r="B96" s="13">
        <v>54</v>
      </c>
      <c r="C96" s="21">
        <f>Table13468113456[[#This Row],[PMI]]-B95</f>
        <v>1.8999999999999986</v>
      </c>
    </row>
    <row r="97" spans="1:3" x14ac:dyDescent="0.2">
      <c r="A97" s="14">
        <v>42036</v>
      </c>
      <c r="B97" s="13">
        <v>54.7</v>
      </c>
      <c r="C97" s="21">
        <f>Table13468113456[[#This Row],[PMI]]-B96</f>
        <v>0.70000000000000284</v>
      </c>
    </row>
    <row r="98" spans="1:3" x14ac:dyDescent="0.2">
      <c r="A98" s="14">
        <v>42064</v>
      </c>
      <c r="B98" s="13">
        <v>55.4</v>
      </c>
      <c r="C98" s="21">
        <f>Table13468113456[[#This Row],[PMI]]-B97</f>
        <v>0.69999999999999574</v>
      </c>
    </row>
    <row r="99" spans="1:3" x14ac:dyDescent="0.2">
      <c r="A99" s="14">
        <v>42095</v>
      </c>
      <c r="B99" s="13">
        <v>54</v>
      </c>
      <c r="C99" s="21">
        <f>Table13468113456[[#This Row],[PMI]]-B98</f>
        <v>-1.3999999999999986</v>
      </c>
    </row>
    <row r="100" spans="1:3" x14ac:dyDescent="0.2">
      <c r="A100" s="14">
        <v>42125</v>
      </c>
      <c r="B100" s="13">
        <v>53</v>
      </c>
      <c r="C100" s="21">
        <f>Table13468113456[[#This Row],[PMI]]-B99</f>
        <v>-1</v>
      </c>
    </row>
    <row r="101" spans="1:3" x14ac:dyDescent="0.2">
      <c r="A101" s="14">
        <v>42156</v>
      </c>
      <c r="B101" s="13">
        <v>53.8</v>
      </c>
      <c r="C101" s="21">
        <f>Table13468113456[[#This Row],[PMI]]-B100</f>
        <v>0.79999999999999716</v>
      </c>
    </row>
    <row r="102" spans="1:3" x14ac:dyDescent="0.2">
      <c r="A102" s="14">
        <v>42186</v>
      </c>
      <c r="B102" s="13">
        <v>53.8</v>
      </c>
      <c r="C102" s="21">
        <f>Table13468113456[[#This Row],[PMI]]-B101</f>
        <v>0</v>
      </c>
    </row>
    <row r="103" spans="1:3" x14ac:dyDescent="0.2">
      <c r="A103" s="14">
        <v>42217</v>
      </c>
      <c r="B103" s="13">
        <v>54.9</v>
      </c>
      <c r="C103" s="21">
        <f>Table13468113456[[#This Row],[PMI]]-B102</f>
        <v>1.1000000000000014</v>
      </c>
    </row>
    <row r="104" spans="1:3" x14ac:dyDescent="0.2">
      <c r="A104" s="14">
        <v>42248</v>
      </c>
      <c r="B104" s="13">
        <v>54.1</v>
      </c>
      <c r="C104" s="21">
        <f>Table13468113456[[#This Row],[PMI]]-B103</f>
        <v>-0.79999999999999716</v>
      </c>
    </row>
    <row r="105" spans="1:3" x14ac:dyDescent="0.2">
      <c r="A105" s="14">
        <v>42278</v>
      </c>
      <c r="B105" s="13">
        <v>54.5</v>
      </c>
      <c r="C105" s="21">
        <f>Table13468113456[[#This Row],[PMI]]-B104</f>
        <v>0.39999999999999858</v>
      </c>
    </row>
    <row r="106" spans="1:3" x14ac:dyDescent="0.2">
      <c r="A106" s="14">
        <v>42309</v>
      </c>
      <c r="B106" s="13">
        <v>55.6</v>
      </c>
      <c r="C106" s="21">
        <f>Table13468113456[[#This Row],[PMI]]-B105</f>
        <v>1.1000000000000014</v>
      </c>
    </row>
    <row r="107" spans="1:3" x14ac:dyDescent="0.2">
      <c r="A107" s="14">
        <v>42339</v>
      </c>
      <c r="B107" s="13">
        <v>56</v>
      </c>
      <c r="C107" s="21">
        <f>Table13468113456[[#This Row],[PMI]]-B106</f>
        <v>0.39999999999999858</v>
      </c>
    </row>
    <row r="108" spans="1:3" x14ac:dyDescent="0.2">
      <c r="A108" s="14">
        <v>42370</v>
      </c>
      <c r="B108" s="13">
        <v>55</v>
      </c>
      <c r="C108" s="21">
        <f>Table13468113456[[#This Row],[PMI]]-B107</f>
        <v>-1</v>
      </c>
    </row>
    <row r="109" spans="1:3" x14ac:dyDescent="0.2">
      <c r="A109" s="14">
        <v>42401</v>
      </c>
      <c r="B109" s="13">
        <v>55.3</v>
      </c>
      <c r="C109" s="21">
        <f>Table13468113456[[#This Row],[PMI]]-B108</f>
        <v>0.29999999999999716</v>
      </c>
    </row>
    <row r="110" spans="1:3" x14ac:dyDescent="0.2">
      <c r="A110" s="14">
        <v>42430</v>
      </c>
      <c r="B110" s="13">
        <v>55.1</v>
      </c>
      <c r="C110" s="21">
        <f>Table13468113456[[#This Row],[PMI]]-B109</f>
        <v>-0.19999999999999574</v>
      </c>
    </row>
    <row r="111" spans="1:3" x14ac:dyDescent="0.2">
      <c r="A111" s="14">
        <v>42461</v>
      </c>
      <c r="B111" s="13">
        <v>54.5</v>
      </c>
      <c r="C111" s="21">
        <f>Table13468113456[[#This Row],[PMI]]-B110</f>
        <v>-0.60000000000000142</v>
      </c>
    </row>
    <row r="112" spans="1:3" x14ac:dyDescent="0.2">
      <c r="A112" s="14">
        <v>42491</v>
      </c>
      <c r="B112" s="13">
        <v>55.2</v>
      </c>
      <c r="C112" s="21">
        <f>Table13468113456[[#This Row],[PMI]]-B111</f>
        <v>0.70000000000000284</v>
      </c>
    </row>
    <row r="113" spans="1:3" x14ac:dyDescent="0.2">
      <c r="A113" s="14">
        <v>42522</v>
      </c>
      <c r="B113" s="13">
        <v>53.7</v>
      </c>
      <c r="C113" s="21">
        <f>Table13468113456[[#This Row],[PMI]]-B112</f>
        <v>-1.5</v>
      </c>
    </row>
    <row r="114" spans="1:3" x14ac:dyDescent="0.2">
      <c r="A114" s="14">
        <v>42552</v>
      </c>
      <c r="B114" s="13">
        <v>54.4</v>
      </c>
      <c r="C114" s="21">
        <f>Table13468113456[[#This Row],[PMI]]-B113</f>
        <v>0.69999999999999574</v>
      </c>
    </row>
    <row r="115" spans="1:3" x14ac:dyDescent="0.2">
      <c r="A115" s="14">
        <v>42583</v>
      </c>
      <c r="B115" s="13">
        <v>51.7</v>
      </c>
      <c r="C115" s="21">
        <f>Table13468113456[[#This Row],[PMI]]-B114</f>
        <v>-2.6999999999999957</v>
      </c>
    </row>
    <row r="116" spans="1:3" x14ac:dyDescent="0.2">
      <c r="A116" s="14">
        <v>42614</v>
      </c>
      <c r="B116" s="13">
        <v>50.9</v>
      </c>
      <c r="C116" s="21">
        <f>Table13468113456[[#This Row],[PMI]]-B115</f>
        <v>-0.80000000000000426</v>
      </c>
    </row>
    <row r="117" spans="1:3" x14ac:dyDescent="0.2">
      <c r="A117" s="14">
        <v>42644</v>
      </c>
      <c r="B117" s="13">
        <v>54.2</v>
      </c>
      <c r="C117" s="21">
        <f>Table13468113456[[#This Row],[PMI]]-B116</f>
        <v>3.3000000000000043</v>
      </c>
    </row>
    <row r="118" spans="1:3" x14ac:dyDescent="0.2">
      <c r="A118" s="14">
        <v>42675</v>
      </c>
      <c r="B118" s="13">
        <v>55.1</v>
      </c>
      <c r="C118" s="21">
        <f>Table13468113456[[#This Row],[PMI]]-B117</f>
        <v>0.89999999999999858</v>
      </c>
    </row>
    <row r="119" spans="1:3" x14ac:dyDescent="0.2">
      <c r="A119" s="14">
        <v>42705</v>
      </c>
      <c r="B119" s="13">
        <v>54.3</v>
      </c>
      <c r="C119" s="21">
        <f>Table13468113456[[#This Row],[PMI]]-B118</f>
        <v>-0.80000000000000426</v>
      </c>
    </row>
    <row r="120" spans="1:3" x14ac:dyDescent="0.2">
      <c r="A120" s="14">
        <v>42736</v>
      </c>
      <c r="B120" s="13">
        <v>53.4</v>
      </c>
      <c r="C120" s="21">
        <f>Table13468113456[[#This Row],[PMI]]-B119</f>
        <v>-0.89999999999999858</v>
      </c>
    </row>
    <row r="121" spans="1:3" x14ac:dyDescent="0.2">
      <c r="A121" s="14">
        <v>42767</v>
      </c>
      <c r="B121" s="13">
        <v>54.4</v>
      </c>
      <c r="C121" s="21">
        <f>Table13468113456[[#This Row],[PMI]]-B120</f>
        <v>1</v>
      </c>
    </row>
    <row r="122" spans="1:3" x14ac:dyDescent="0.2">
      <c r="A122" s="14">
        <v>42795</v>
      </c>
      <c r="B122" s="13">
        <v>55.6</v>
      </c>
      <c r="C122" s="21">
        <f>Table13468113456[[#This Row],[PMI]]-B121</f>
        <v>1.2000000000000028</v>
      </c>
    </row>
    <row r="123" spans="1:3" x14ac:dyDescent="0.2">
      <c r="A123" s="14">
        <v>42826</v>
      </c>
      <c r="B123" s="13">
        <v>55.4</v>
      </c>
      <c r="C123" s="21">
        <f>Table13468113456[[#This Row],[PMI]]-B122</f>
        <v>-0.20000000000000284</v>
      </c>
    </row>
    <row r="124" spans="1:3" x14ac:dyDescent="0.2">
      <c r="A124" s="14">
        <v>42856</v>
      </c>
      <c r="B124" s="13">
        <v>55.4</v>
      </c>
      <c r="C124" s="21">
        <f>Table13468113456[[#This Row],[PMI]]-B123</f>
        <v>0</v>
      </c>
    </row>
    <row r="125" spans="1:3" x14ac:dyDescent="0.2">
      <c r="A125" s="14">
        <v>42887</v>
      </c>
      <c r="B125" s="13">
        <v>54</v>
      </c>
      <c r="C125" s="21">
        <f>Table13468113456[[#This Row],[PMI]]-B124</f>
        <v>-1.3999999999999986</v>
      </c>
    </row>
    <row r="126" spans="1:3" x14ac:dyDescent="0.2">
      <c r="A126" s="14">
        <v>42917</v>
      </c>
      <c r="B126" s="13">
        <v>53.1</v>
      </c>
      <c r="C126" s="21">
        <f>Table13468113456[[#This Row],[PMI]]-B125</f>
        <v>-0.89999999999999858</v>
      </c>
    </row>
    <row r="127" spans="1:3" x14ac:dyDescent="0.2">
      <c r="A127" s="14">
        <v>42948</v>
      </c>
      <c r="B127" s="13">
        <v>53.5</v>
      </c>
      <c r="C127" s="21">
        <f>Table13468113456[[#This Row],[PMI]]-B126</f>
        <v>0.39999999999999858</v>
      </c>
    </row>
    <row r="128" spans="1:3" x14ac:dyDescent="0.2">
      <c r="A128" s="14">
        <v>42979</v>
      </c>
      <c r="B128" s="13">
        <v>55.6</v>
      </c>
      <c r="C128" s="21">
        <f>Table13468113456[[#This Row],[PMI]]-B127</f>
        <v>2.1000000000000014</v>
      </c>
    </row>
    <row r="129" spans="1:3" x14ac:dyDescent="0.2">
      <c r="A129" s="14">
        <v>43009</v>
      </c>
      <c r="B129" s="13">
        <v>54.7</v>
      </c>
      <c r="C129" s="21">
        <f>Table13468113456[[#This Row],[PMI]]-B128</f>
        <v>-0.89999999999999858</v>
      </c>
    </row>
    <row r="130" spans="1:3" x14ac:dyDescent="0.2">
      <c r="A130" s="14">
        <v>43040</v>
      </c>
      <c r="B130" s="13">
        <v>54.3</v>
      </c>
      <c r="C130" s="21">
        <f>Table13468113456[[#This Row],[PMI]]-B129</f>
        <v>-0.40000000000000568</v>
      </c>
    </row>
    <row r="131" spans="1:3" x14ac:dyDescent="0.2">
      <c r="A131" s="14">
        <v>43070</v>
      </c>
      <c r="B131" s="13">
        <v>55.8</v>
      </c>
      <c r="C131" s="21">
        <f>Table13468113456[[#This Row],[PMI]]-B130</f>
        <v>1.5</v>
      </c>
    </row>
    <row r="132" spans="1:3" x14ac:dyDescent="0.2">
      <c r="A132" s="14">
        <v>43101</v>
      </c>
      <c r="B132" s="13">
        <v>57.3</v>
      </c>
      <c r="C132" s="21">
        <f>Table13468113456[[#This Row],[PMI]]-B131</f>
        <v>1.5</v>
      </c>
    </row>
    <row r="133" spans="1:3" x14ac:dyDescent="0.2">
      <c r="A133" s="14">
        <v>43132</v>
      </c>
      <c r="B133" s="13">
        <v>55.3</v>
      </c>
      <c r="C133" s="21">
        <f>Table13468113456[[#This Row],[PMI]]-B132</f>
        <v>-2</v>
      </c>
    </row>
    <row r="134" spans="1:3" x14ac:dyDescent="0.2">
      <c r="A134" s="14">
        <v>43160</v>
      </c>
      <c r="B134" s="13">
        <v>53.9</v>
      </c>
      <c r="C134" s="21">
        <f>Table13468113456[[#This Row],[PMI]]-B133</f>
        <v>-1.3999999999999986</v>
      </c>
    </row>
    <row r="135" spans="1:3" x14ac:dyDescent="0.2">
      <c r="A135" s="14">
        <v>43191</v>
      </c>
      <c r="B135" s="13">
        <v>53</v>
      </c>
      <c r="C135" s="21">
        <f>Table13468113456[[#This Row],[PMI]]-B134</f>
        <v>-0.89999999999999858</v>
      </c>
    </row>
    <row r="136" spans="1:3" x14ac:dyDescent="0.2">
      <c r="A136" s="14">
        <v>43221</v>
      </c>
      <c r="B136" s="13">
        <v>52.1</v>
      </c>
      <c r="C136" s="21">
        <f>Table13468113456[[#This Row],[PMI]]-B135</f>
        <v>-0.89999999999999858</v>
      </c>
    </row>
    <row r="137" spans="1:3" x14ac:dyDescent="0.2">
      <c r="A137" s="14">
        <v>43252</v>
      </c>
      <c r="B137" s="13">
        <v>54.5</v>
      </c>
      <c r="C137" s="21">
        <f>Table13468113456[[#This Row],[PMI]]-B136</f>
        <v>2.3999999999999986</v>
      </c>
    </row>
    <row r="138" spans="1:3" x14ac:dyDescent="0.2">
      <c r="A138" s="14">
        <v>43282</v>
      </c>
      <c r="B138" s="13">
        <v>54.1</v>
      </c>
      <c r="C138" s="21">
        <f>Table13468113456[[#This Row],[PMI]]-B137</f>
        <v>-0.39999999999999858</v>
      </c>
    </row>
    <row r="139" spans="1:3" x14ac:dyDescent="0.2">
      <c r="A139" s="14">
        <v>43313</v>
      </c>
      <c r="B139" s="13">
        <v>55</v>
      </c>
      <c r="C139" s="21">
        <f>Table13468113456[[#This Row],[PMI]]-B138</f>
        <v>0.89999999999999858</v>
      </c>
    </row>
    <row r="140" spans="1:3" x14ac:dyDescent="0.2">
      <c r="A140" s="14">
        <v>43344</v>
      </c>
      <c r="B140" s="13">
        <v>55.9</v>
      </c>
      <c r="C140" s="21">
        <f>Table13468113456[[#This Row],[PMI]]-B139</f>
        <v>0.89999999999999858</v>
      </c>
    </row>
    <row r="141" spans="1:3" x14ac:dyDescent="0.2">
      <c r="A141" s="14">
        <v>43374</v>
      </c>
      <c r="B141" s="13">
        <v>54.7</v>
      </c>
      <c r="C141" s="21">
        <f>Table13468113456[[#This Row],[PMI]]-B140</f>
        <v>-1.1999999999999957</v>
      </c>
    </row>
    <row r="142" spans="1:3" x14ac:dyDescent="0.2">
      <c r="A142" s="14">
        <v>43405</v>
      </c>
      <c r="B142" s="13">
        <v>53.3</v>
      </c>
      <c r="C142" s="21">
        <f>Table13468113456[[#This Row],[PMI]]-B141</f>
        <v>-1.4000000000000057</v>
      </c>
    </row>
    <row r="143" spans="1:3" x14ac:dyDescent="0.2">
      <c r="A143" s="14">
        <v>43435</v>
      </c>
      <c r="B143" s="13">
        <v>51.8</v>
      </c>
      <c r="C143" s="21">
        <f>Table13468113456[[#This Row],[PMI]]-B142</f>
        <v>-1.5</v>
      </c>
    </row>
    <row r="144" spans="1:3" x14ac:dyDescent="0.2">
      <c r="A144" s="14">
        <v>43466</v>
      </c>
      <c r="B144" s="13">
        <v>53</v>
      </c>
      <c r="C144" s="21">
        <f>Table13468113456[[#This Row],[PMI]]-B143</f>
        <v>1.2000000000000028</v>
      </c>
    </row>
    <row r="145" spans="1:3" x14ac:dyDescent="0.2">
      <c r="A145" s="14">
        <v>43497</v>
      </c>
      <c r="B145" s="13">
        <v>55.3</v>
      </c>
      <c r="C145" s="21">
        <f>Table13468113456[[#This Row],[PMI]]-B144</f>
        <v>2.2999999999999972</v>
      </c>
    </row>
    <row r="146" spans="1:3" x14ac:dyDescent="0.2">
      <c r="A146" s="14">
        <v>43525</v>
      </c>
      <c r="B146" s="13">
        <v>55.4</v>
      </c>
      <c r="C146" s="21">
        <f>Table13468113456[[#This Row],[PMI]]-B145</f>
        <v>0.10000000000000142</v>
      </c>
    </row>
    <row r="147" spans="1:3" x14ac:dyDescent="0.2">
      <c r="A147" s="14">
        <v>43556</v>
      </c>
      <c r="B147" s="13">
        <v>55.7</v>
      </c>
      <c r="C147" s="21">
        <f>Table13468113456[[#This Row],[PMI]]-B146</f>
        <v>0.30000000000000426</v>
      </c>
    </row>
    <row r="148" spans="1:3" x14ac:dyDescent="0.2">
      <c r="A148" s="14">
        <v>43586</v>
      </c>
      <c r="B148" s="13">
        <v>55.4</v>
      </c>
      <c r="C148" s="21">
        <f>Table13468113456[[#This Row],[PMI]]-B147</f>
        <v>-0.30000000000000426</v>
      </c>
    </row>
    <row r="149" spans="1:3" x14ac:dyDescent="0.2">
      <c r="A149" s="14">
        <v>43617</v>
      </c>
      <c r="B149" s="13">
        <v>55.8</v>
      </c>
      <c r="C149" s="21">
        <f>Table13468113456[[#This Row],[PMI]]-B148</f>
        <v>0.39999999999999858</v>
      </c>
    </row>
    <row r="150" spans="1:3" x14ac:dyDescent="0.2">
      <c r="A150" s="14">
        <v>43647</v>
      </c>
      <c r="B150" s="13">
        <v>54.5</v>
      </c>
      <c r="C150" s="21">
        <f>Table13468113456[[#This Row],[PMI]]-B149</f>
        <v>-1.2999999999999972</v>
      </c>
    </row>
    <row r="151" spans="1:3" x14ac:dyDescent="0.2">
      <c r="A151" s="14">
        <v>43678</v>
      </c>
      <c r="B151" s="13">
        <v>54.8</v>
      </c>
      <c r="C151" s="21">
        <f>Table13468113456[[#This Row],[PMI]]-B150</f>
        <v>0.29999999999999716</v>
      </c>
    </row>
    <row r="152" spans="1:3" x14ac:dyDescent="0.2">
      <c r="A152" s="14">
        <v>43709</v>
      </c>
      <c r="B152" s="13">
        <v>51.4</v>
      </c>
      <c r="C152" s="21">
        <f>Table13468113456[[#This Row],[PMI]]-B151</f>
        <v>-3.3999999999999986</v>
      </c>
    </row>
    <row r="153" spans="1:3" x14ac:dyDescent="0.2">
      <c r="A153" s="14">
        <v>43739</v>
      </c>
      <c r="B153" s="13">
        <v>51.6</v>
      </c>
      <c r="C153" s="21">
        <f>Table13468113456[[#This Row],[PMI]]-B152</f>
        <v>0.20000000000000284</v>
      </c>
    </row>
    <row r="154" spans="1:3" x14ac:dyDescent="0.2">
      <c r="A154" s="14">
        <v>43770</v>
      </c>
      <c r="B154" s="13">
        <v>51.7</v>
      </c>
      <c r="C154" s="21">
        <f>Table13468113456[[#This Row],[PMI]]-B153</f>
        <v>0.10000000000000142</v>
      </c>
    </row>
    <row r="155" spans="1:3" x14ac:dyDescent="0.2">
      <c r="A155" s="14">
        <v>43800</v>
      </c>
      <c r="B155" s="13">
        <v>52.9</v>
      </c>
      <c r="C155" s="21">
        <f>Table13468113456[[#This Row],[PMI]]-B154</f>
        <v>1.1999999999999957</v>
      </c>
    </row>
    <row r="156" spans="1:3" x14ac:dyDescent="0.2">
      <c r="A156" s="14">
        <v>43831</v>
      </c>
      <c r="B156" s="13">
        <v>54.2</v>
      </c>
      <c r="C156" s="21">
        <f>Table13468113456[[#This Row],[PMI]]-B155</f>
        <v>1.3000000000000043</v>
      </c>
    </row>
    <row r="157" spans="1:3" x14ac:dyDescent="0.2">
      <c r="A157" s="14">
        <v>43862</v>
      </c>
      <c r="B157" s="13">
        <v>52.5</v>
      </c>
      <c r="C157" s="21">
        <f>Table13468113456[[#This Row],[PMI]]-B156</f>
        <v>-1.7000000000000028</v>
      </c>
    </row>
    <row r="158" spans="1:3" x14ac:dyDescent="0.2">
      <c r="A158" s="14">
        <v>43891</v>
      </c>
      <c r="B158" s="13">
        <v>31.7</v>
      </c>
      <c r="C158" s="21">
        <f>Table13468113456[[#This Row],[PMI]]-B157</f>
        <v>-20.8</v>
      </c>
    </row>
    <row r="159" spans="1:3" x14ac:dyDescent="0.2">
      <c r="A159" s="14">
        <v>43922</v>
      </c>
      <c r="B159" s="13">
        <v>16.2</v>
      </c>
      <c r="C159" s="21">
        <f>Table13468113456[[#This Row],[PMI]]-B158</f>
        <v>-15.5</v>
      </c>
    </row>
    <row r="160" spans="1:3" x14ac:dyDescent="0.2">
      <c r="A160" s="14">
        <v>43952</v>
      </c>
      <c r="B160" s="13">
        <v>32.6</v>
      </c>
      <c r="C160" s="21">
        <f>Table13468113456[[#This Row],[PMI]]-B159</f>
        <v>16.400000000000002</v>
      </c>
    </row>
    <row r="161" spans="1:3" x14ac:dyDescent="0.2">
      <c r="A161" s="14">
        <v>43983</v>
      </c>
      <c r="B161" s="13">
        <v>47.3</v>
      </c>
      <c r="C161" s="21">
        <f>Table13468113456[[#This Row],[PMI]]-B160</f>
        <v>14.699999999999996</v>
      </c>
    </row>
    <row r="162" spans="1:3" x14ac:dyDescent="0.2">
      <c r="A162" s="14">
        <v>44013</v>
      </c>
      <c r="B162" s="13">
        <v>55.6</v>
      </c>
      <c r="C162" s="21">
        <f>Table13468113456[[#This Row],[PMI]]-B161</f>
        <v>8.3000000000000043</v>
      </c>
    </row>
    <row r="163" spans="1:3" x14ac:dyDescent="0.2">
      <c r="A163" s="14">
        <v>44044</v>
      </c>
      <c r="B163" s="13">
        <v>52.5</v>
      </c>
      <c r="C163" s="21">
        <f>Table13468113456[[#This Row],[PMI]]-B162</f>
        <v>-3.1000000000000014</v>
      </c>
    </row>
    <row r="164" spans="1:3" x14ac:dyDescent="0.2">
      <c r="A164" s="14">
        <v>44075</v>
      </c>
      <c r="B164" s="13">
        <v>50.6</v>
      </c>
      <c r="C164" s="21">
        <f>Table13468113456[[#This Row],[PMI]]-B163</f>
        <v>-1.8999999999999986</v>
      </c>
    </row>
    <row r="165" spans="1:3" x14ac:dyDescent="0.2">
      <c r="A165" s="14">
        <v>44105</v>
      </c>
      <c r="B165" s="13">
        <v>49.5</v>
      </c>
      <c r="C165" s="21">
        <f>Table13468113456[[#This Row],[PMI]]-B164</f>
        <v>-1.1000000000000014</v>
      </c>
    </row>
    <row r="166" spans="1:3" x14ac:dyDescent="0.2">
      <c r="A166" s="14">
        <v>44136</v>
      </c>
      <c r="B166" s="13">
        <v>46</v>
      </c>
      <c r="C166" s="21">
        <f>Table13468113456[[#This Row],[PMI]]-B165</f>
        <v>-3.5</v>
      </c>
    </row>
    <row r="167" spans="1:3" x14ac:dyDescent="0.2">
      <c r="A167" s="14">
        <v>44166</v>
      </c>
      <c r="B167" s="13">
        <v>47</v>
      </c>
      <c r="C167" s="21">
        <f>Table13468113456[[#This Row],[PMI]]-B166</f>
        <v>1</v>
      </c>
    </row>
    <row r="168" spans="1:3" x14ac:dyDescent="0.2">
      <c r="A168" s="14">
        <v>44197</v>
      </c>
      <c r="B168" s="13">
        <v>46.7</v>
      </c>
      <c r="C168" s="21">
        <f>Table13468113456[[#This Row],[PMI]]-B167</f>
        <v>-0.29999999999999716</v>
      </c>
    </row>
    <row r="169" spans="1:3" x14ac:dyDescent="0.2">
      <c r="A169" s="14">
        <v>44228</v>
      </c>
      <c r="B169" s="13">
        <v>45.7</v>
      </c>
      <c r="C169" s="21">
        <f>Table13468113456[[#This Row],[PMI]]-B168</f>
        <v>-1</v>
      </c>
    </row>
    <row r="170" spans="1:3" x14ac:dyDescent="0.2">
      <c r="A170" s="14">
        <v>44256</v>
      </c>
      <c r="B170" s="13">
        <v>51.5</v>
      </c>
      <c r="C170" s="21">
        <f>Table13468113456[[#This Row],[PMI]]-B169</f>
        <v>5.7999999999999972</v>
      </c>
    </row>
    <row r="171" spans="1:3" x14ac:dyDescent="0.2">
      <c r="A171" s="14">
        <v>44287</v>
      </c>
      <c r="B171" s="13">
        <v>49.9</v>
      </c>
      <c r="C171" s="21">
        <f>Table13468113456[[#This Row],[PMI]]-B170</f>
        <v>-1.6000000000000014</v>
      </c>
    </row>
    <row r="172" spans="1:3" x14ac:dyDescent="0.2">
      <c r="A172" s="14">
        <v>44317</v>
      </c>
      <c r="B172" s="13">
        <v>52.8</v>
      </c>
      <c r="C172" s="21">
        <f>Table13468113456[[#This Row],[PMI]]-B171</f>
        <v>2.8999999999999986</v>
      </c>
    </row>
    <row r="173" spans="1:3" x14ac:dyDescent="0.2">
      <c r="A173" s="14">
        <v>44348</v>
      </c>
      <c r="B173" s="13">
        <v>57.5</v>
      </c>
      <c r="C173" s="21">
        <f>Table13468113456[[#This Row],[PMI]]-B172</f>
        <v>4.7000000000000028</v>
      </c>
    </row>
    <row r="174" spans="1:3" x14ac:dyDescent="0.2">
      <c r="A174" s="14">
        <v>44378</v>
      </c>
      <c r="B174" s="13">
        <v>61.8</v>
      </c>
      <c r="C174" s="21">
        <f>Table13468113456[[#This Row],[PMI]]-B173</f>
        <v>4.2999999999999972</v>
      </c>
    </row>
    <row r="175" spans="1:3" x14ac:dyDescent="0.2">
      <c r="A175" s="14">
        <v>44409</v>
      </c>
      <c r="B175" s="13">
        <v>60.8</v>
      </c>
      <c r="C175" s="21">
        <f>Table13468113456[[#This Row],[PMI]]-B174</f>
        <v>-1</v>
      </c>
    </row>
    <row r="176" spans="1:3" x14ac:dyDescent="0.2">
      <c r="A176" s="14">
        <v>44440</v>
      </c>
      <c r="B176" s="13">
        <v>56.2</v>
      </c>
      <c r="C176" s="21">
        <f>Table13468113456[[#This Row],[PMI]]-B175</f>
        <v>-4.5999999999999943</v>
      </c>
    </row>
    <row r="177" spans="1:3" x14ac:dyDescent="0.2">
      <c r="A177" s="14">
        <v>44470</v>
      </c>
      <c r="B177" s="13">
        <v>52.4</v>
      </c>
      <c r="C177" s="21">
        <f>Table13468113456[[#This Row],[PMI]]-B176</f>
        <v>-3.8000000000000043</v>
      </c>
    </row>
    <row r="178" spans="1:3" x14ac:dyDescent="0.2">
      <c r="A178" s="14">
        <v>44501</v>
      </c>
      <c r="B178" s="13">
        <v>52.7</v>
      </c>
      <c r="C178" s="21">
        <f>Table13468113456[[#This Row],[PMI]]-B177</f>
        <v>0.30000000000000426</v>
      </c>
    </row>
    <row r="179" spans="1:3" x14ac:dyDescent="0.2">
      <c r="A179" s="14">
        <v>44531</v>
      </c>
      <c r="B179" s="13">
        <v>48.7</v>
      </c>
      <c r="C179" s="21">
        <f>Table13468113456[[#This Row],[PMI]]-B178</f>
        <v>-4</v>
      </c>
    </row>
  </sheetData>
  <conditionalFormatting sqref="C7:C76">
    <cfRule type="colorScale" priority="1">
      <colorScale>
        <cfvo type="min"/>
        <cfvo type="percentile" val="50"/>
        <cfvo type="max"/>
        <color rgb="FFF8696B"/>
        <color rgb="FFFCFCFF"/>
        <color rgb="FF5A8AC6"/>
      </colorScale>
    </cfRule>
  </conditionalFormatting>
  <conditionalFormatting sqref="B6:B17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A0F89C-FA63-4B61-BA84-E27848DFFEE0}">
  <dimension ref="A1:J140"/>
  <sheetViews>
    <sheetView topLeftCell="A94" zoomScale="150" zoomScaleNormal="150" workbookViewId="0">
      <selection activeCell="A142" sqref="A142"/>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15</v>
      </c>
      <c r="J1" s="25" t="s">
        <v>42</v>
      </c>
    </row>
    <row r="2" spans="1:10" x14ac:dyDescent="0.2">
      <c r="J2" s="25" t="str">
        <f>A1&amp;J1</f>
        <v>U.K. Services PMI</v>
      </c>
    </row>
    <row r="4" spans="1:10" ht="16" thickBot="1" x14ac:dyDescent="0.25"/>
    <row r="5" spans="1:10" ht="16" thickBot="1" x14ac:dyDescent="0.25">
      <c r="A5" s="19" t="s">
        <v>9</v>
      </c>
      <c r="B5" s="20" t="s">
        <v>10</v>
      </c>
      <c r="C5" s="20" t="s">
        <v>11</v>
      </c>
    </row>
    <row r="6" spans="1:10" x14ac:dyDescent="0.2">
      <c r="A6" s="17">
        <v>40452</v>
      </c>
      <c r="B6" s="18">
        <v>53.2</v>
      </c>
      <c r="C6" s="18"/>
    </row>
    <row r="7" spans="1:10" x14ac:dyDescent="0.2">
      <c r="A7" s="14">
        <v>40483</v>
      </c>
      <c r="B7" s="13">
        <v>53</v>
      </c>
      <c r="C7" s="13">
        <f>(Table1346811345671012131415[[#This Row],[PMI]]-B6)</f>
        <v>-0.20000000000000284</v>
      </c>
    </row>
    <row r="8" spans="1:10" x14ac:dyDescent="0.2">
      <c r="A8" s="14">
        <v>40513</v>
      </c>
      <c r="B8" s="13">
        <v>53.9</v>
      </c>
      <c r="C8" s="13">
        <f>(Table1346811345671012131415[[#This Row],[PMI]]-B7)</f>
        <v>0.89999999999999858</v>
      </c>
    </row>
    <row r="9" spans="1:10" x14ac:dyDescent="0.2">
      <c r="A9" s="14">
        <v>40544</v>
      </c>
      <c r="B9" s="13">
        <v>54.5</v>
      </c>
      <c r="C9" s="13">
        <f>(Table1346811345671012131415[[#This Row],[PMI]]-B8)</f>
        <v>0.60000000000000142</v>
      </c>
    </row>
    <row r="10" spans="1:10" x14ac:dyDescent="0.2">
      <c r="A10" s="14">
        <v>40575</v>
      </c>
      <c r="B10" s="13">
        <v>52.6</v>
      </c>
      <c r="C10" s="13">
        <f>(Table1346811345671012131415[[#This Row],[PMI]]-B9)</f>
        <v>-1.8999999999999986</v>
      </c>
    </row>
    <row r="11" spans="1:10" x14ac:dyDescent="0.2">
      <c r="A11" s="14">
        <v>40603</v>
      </c>
      <c r="B11" s="13">
        <v>57.1</v>
      </c>
      <c r="C11" s="13">
        <f>(Table1346811345671012131415[[#This Row],[PMI]]-B10)</f>
        <v>4.5</v>
      </c>
    </row>
    <row r="12" spans="1:10" x14ac:dyDescent="0.2">
      <c r="A12" s="14">
        <v>40634</v>
      </c>
      <c r="B12" s="13">
        <v>54.3</v>
      </c>
      <c r="C12" s="13">
        <f>(Table1346811345671012131415[[#This Row],[PMI]]-B11)</f>
        <v>-2.8000000000000043</v>
      </c>
    </row>
    <row r="13" spans="1:10" x14ac:dyDescent="0.2">
      <c r="A13" s="14">
        <v>40664</v>
      </c>
      <c r="B13" s="13">
        <v>53.8</v>
      </c>
      <c r="C13" s="13">
        <f>(Table1346811345671012131415[[#This Row],[PMI]]-B12)</f>
        <v>-0.5</v>
      </c>
    </row>
    <row r="14" spans="1:10" x14ac:dyDescent="0.2">
      <c r="A14" s="14">
        <v>40695</v>
      </c>
      <c r="B14" s="13">
        <v>53.9</v>
      </c>
      <c r="C14" s="13">
        <f>(Table1346811345671012131415[[#This Row],[PMI]]-B13)</f>
        <v>0.10000000000000142</v>
      </c>
    </row>
    <row r="15" spans="1:10" x14ac:dyDescent="0.2">
      <c r="A15" s="14">
        <v>40725</v>
      </c>
      <c r="B15" s="13">
        <v>55.4</v>
      </c>
      <c r="C15" s="13">
        <f>(Table1346811345671012131415[[#This Row],[PMI]]-B14)</f>
        <v>1.5</v>
      </c>
    </row>
    <row r="16" spans="1:10" x14ac:dyDescent="0.2">
      <c r="A16" s="14">
        <v>40756</v>
      </c>
      <c r="B16" s="13">
        <v>51.1</v>
      </c>
      <c r="C16" s="13">
        <f>(Table1346811345671012131415[[#This Row],[PMI]]-B15)</f>
        <v>-4.2999999999999972</v>
      </c>
    </row>
    <row r="17" spans="1:3" x14ac:dyDescent="0.2">
      <c r="A17" s="14">
        <v>40787</v>
      </c>
      <c r="B17" s="13">
        <v>52.9</v>
      </c>
      <c r="C17" s="13">
        <f>(Table1346811345671012131415[[#This Row],[PMI]]-B16)</f>
        <v>1.7999999999999972</v>
      </c>
    </row>
    <row r="18" spans="1:3" x14ac:dyDescent="0.2">
      <c r="A18" s="14">
        <v>40817</v>
      </c>
      <c r="B18" s="13">
        <v>51.3</v>
      </c>
      <c r="C18" s="13">
        <f>(Table1346811345671012131415[[#This Row],[PMI]]-B17)</f>
        <v>-1.6000000000000014</v>
      </c>
    </row>
    <row r="19" spans="1:3" x14ac:dyDescent="0.2">
      <c r="A19" s="14">
        <v>40848</v>
      </c>
      <c r="B19" s="13">
        <v>52.1</v>
      </c>
      <c r="C19" s="13">
        <f>(Table1346811345671012131415[[#This Row],[PMI]]-B18)</f>
        <v>0.80000000000000426</v>
      </c>
    </row>
    <row r="20" spans="1:3" x14ac:dyDescent="0.2">
      <c r="A20" s="14">
        <v>40878</v>
      </c>
      <c r="B20" s="13">
        <v>54</v>
      </c>
      <c r="C20" s="13">
        <f>(Table1346811345671012131415[[#This Row],[PMI]]-B19)</f>
        <v>1.8999999999999986</v>
      </c>
    </row>
    <row r="21" spans="1:3" x14ac:dyDescent="0.2">
      <c r="A21" s="14">
        <v>40909</v>
      </c>
      <c r="B21" s="13">
        <v>56</v>
      </c>
      <c r="C21" s="13">
        <f>(Table1346811345671012131415[[#This Row],[PMI]]-B20)</f>
        <v>2</v>
      </c>
    </row>
    <row r="22" spans="1:3" x14ac:dyDescent="0.2">
      <c r="A22" s="14">
        <v>40940</v>
      </c>
      <c r="B22" s="13">
        <v>53.8</v>
      </c>
      <c r="C22" s="13">
        <f>(Table1346811345671012131415[[#This Row],[PMI]]-B21)</f>
        <v>-2.2000000000000028</v>
      </c>
    </row>
    <row r="23" spans="1:3" x14ac:dyDescent="0.2">
      <c r="A23" s="14">
        <v>40969</v>
      </c>
      <c r="B23" s="13">
        <v>55.3</v>
      </c>
      <c r="C23" s="13">
        <f>(Table1346811345671012131415[[#This Row],[PMI]]-B22)</f>
        <v>1.5</v>
      </c>
    </row>
    <row r="24" spans="1:3" x14ac:dyDescent="0.2">
      <c r="A24" s="14">
        <v>41000</v>
      </c>
      <c r="B24" s="13">
        <v>53.3</v>
      </c>
      <c r="C24" s="13">
        <f>(Table1346811345671012131415[[#This Row],[PMI]]-B23)</f>
        <v>-2</v>
      </c>
    </row>
    <row r="25" spans="1:3" x14ac:dyDescent="0.2">
      <c r="A25" s="14">
        <v>41030</v>
      </c>
      <c r="B25" s="13">
        <v>53.3</v>
      </c>
      <c r="C25" s="13">
        <f>(Table1346811345671012131415[[#This Row],[PMI]]-B24)</f>
        <v>0</v>
      </c>
    </row>
    <row r="26" spans="1:3" x14ac:dyDescent="0.2">
      <c r="A26" s="14">
        <v>41061</v>
      </c>
      <c r="B26" s="13">
        <v>51.3</v>
      </c>
      <c r="C26" s="13">
        <f>(Table1346811345671012131415[[#This Row],[PMI]]-B25)</f>
        <v>-2</v>
      </c>
    </row>
    <row r="27" spans="1:3" x14ac:dyDescent="0.2">
      <c r="A27" s="14">
        <v>41091</v>
      </c>
      <c r="B27" s="13">
        <v>51.3</v>
      </c>
      <c r="C27" s="13">
        <f>(Table1346811345671012131415[[#This Row],[PMI]]-B26)</f>
        <v>0</v>
      </c>
    </row>
    <row r="28" spans="1:3" x14ac:dyDescent="0.2">
      <c r="A28" s="14">
        <v>41122</v>
      </c>
      <c r="B28" s="13">
        <v>51</v>
      </c>
      <c r="C28" s="13">
        <f>(Table1346811345671012131415[[#This Row],[PMI]]-B27)</f>
        <v>-0.29999999999999716</v>
      </c>
    </row>
    <row r="29" spans="1:3" x14ac:dyDescent="0.2">
      <c r="A29" s="14">
        <v>41153</v>
      </c>
      <c r="B29" s="13">
        <v>53.7</v>
      </c>
      <c r="C29" s="13">
        <f>(Table1346811345671012131415[[#This Row],[PMI]]-B28)</f>
        <v>2.7000000000000028</v>
      </c>
    </row>
    <row r="30" spans="1:3" x14ac:dyDescent="0.2">
      <c r="A30" s="14">
        <v>41183</v>
      </c>
      <c r="B30" s="13">
        <v>52.2</v>
      </c>
      <c r="C30" s="13">
        <f>(Table1346811345671012131415[[#This Row],[PMI]]-B29)</f>
        <v>-1.5</v>
      </c>
    </row>
    <row r="31" spans="1:3" x14ac:dyDescent="0.2">
      <c r="A31" s="14">
        <v>41214</v>
      </c>
      <c r="B31" s="13">
        <v>50.6</v>
      </c>
      <c r="C31" s="13">
        <f>(Table1346811345671012131415[[#This Row],[PMI]]-B30)</f>
        <v>-1.6000000000000014</v>
      </c>
    </row>
    <row r="32" spans="1:3" x14ac:dyDescent="0.2">
      <c r="A32" s="14">
        <v>41244</v>
      </c>
      <c r="B32" s="13">
        <v>50.2</v>
      </c>
      <c r="C32" s="13">
        <f>(Table1346811345671012131415[[#This Row],[PMI]]-B31)</f>
        <v>-0.39999999999999858</v>
      </c>
    </row>
    <row r="33" spans="1:3" x14ac:dyDescent="0.2">
      <c r="A33" s="14">
        <v>41275</v>
      </c>
      <c r="B33" s="13">
        <v>51.5</v>
      </c>
      <c r="C33" s="13">
        <f>(Table1346811345671012131415[[#This Row],[PMI]]-B32)</f>
        <v>1.2999999999999972</v>
      </c>
    </row>
    <row r="34" spans="1:3" x14ac:dyDescent="0.2">
      <c r="A34" s="14">
        <v>41306</v>
      </c>
      <c r="B34" s="13">
        <v>51.8</v>
      </c>
      <c r="C34" s="13">
        <f>(Table1346811345671012131415[[#This Row],[PMI]]-B33)</f>
        <v>0.29999999999999716</v>
      </c>
    </row>
    <row r="35" spans="1:3" x14ac:dyDescent="0.2">
      <c r="A35" s="14">
        <v>41334</v>
      </c>
      <c r="B35" s="13">
        <v>52.4</v>
      </c>
      <c r="C35" s="13">
        <f>(Table1346811345671012131415[[#This Row],[PMI]]-B34)</f>
        <v>0.60000000000000142</v>
      </c>
    </row>
    <row r="36" spans="1:3" x14ac:dyDescent="0.2">
      <c r="A36" s="14">
        <v>41365</v>
      </c>
      <c r="B36" s="13">
        <v>52.9</v>
      </c>
      <c r="C36" s="13">
        <f>(Table1346811345671012131415[[#This Row],[PMI]]-B35)</f>
        <v>0.5</v>
      </c>
    </row>
    <row r="37" spans="1:3" x14ac:dyDescent="0.2">
      <c r="A37" s="14">
        <v>41395</v>
      </c>
      <c r="B37" s="13">
        <v>54.9</v>
      </c>
      <c r="C37" s="13">
        <f>(Table1346811345671012131415[[#This Row],[PMI]]-B36)</f>
        <v>2</v>
      </c>
    </row>
    <row r="38" spans="1:3" x14ac:dyDescent="0.2">
      <c r="A38" s="14">
        <v>41426</v>
      </c>
      <c r="B38" s="13">
        <v>56.9</v>
      </c>
      <c r="C38" s="13">
        <f>(Table1346811345671012131415[[#This Row],[PMI]]-B37)</f>
        <v>2</v>
      </c>
    </row>
    <row r="39" spans="1:3" x14ac:dyDescent="0.2">
      <c r="A39" s="14">
        <v>41456</v>
      </c>
      <c r="B39" s="13">
        <v>60.2</v>
      </c>
      <c r="C39" s="13">
        <f>(Table1346811345671012131415[[#This Row],[PMI]]-B38)</f>
        <v>3.3000000000000043</v>
      </c>
    </row>
    <row r="40" spans="1:3" x14ac:dyDescent="0.2">
      <c r="A40" s="14">
        <v>41487</v>
      </c>
      <c r="B40" s="13">
        <v>60.5</v>
      </c>
      <c r="C40" s="13">
        <f>(Table1346811345671012131415[[#This Row],[PMI]]-B39)</f>
        <v>0.29999999999999716</v>
      </c>
    </row>
    <row r="41" spans="1:3" x14ac:dyDescent="0.2">
      <c r="A41" s="14">
        <v>41518</v>
      </c>
      <c r="B41" s="13">
        <v>60.3</v>
      </c>
      <c r="C41" s="13">
        <f>(Table1346811345671012131415[[#This Row],[PMI]]-B40)</f>
        <v>-0.20000000000000284</v>
      </c>
    </row>
    <row r="42" spans="1:3" x14ac:dyDescent="0.2">
      <c r="A42" s="14">
        <v>41548</v>
      </c>
      <c r="B42" s="13">
        <v>62.5</v>
      </c>
      <c r="C42" s="13">
        <f>(Table1346811345671012131415[[#This Row],[PMI]]-B41)</f>
        <v>2.2000000000000028</v>
      </c>
    </row>
    <row r="43" spans="1:3" x14ac:dyDescent="0.2">
      <c r="A43" s="14">
        <v>41579</v>
      </c>
      <c r="B43" s="13">
        <v>60</v>
      </c>
      <c r="C43" s="13">
        <f>(Table1346811345671012131415[[#This Row],[PMI]]-B42)</f>
        <v>-2.5</v>
      </c>
    </row>
    <row r="44" spans="1:3" x14ac:dyDescent="0.2">
      <c r="A44" s="14">
        <v>41609</v>
      </c>
      <c r="B44" s="13">
        <v>58.8</v>
      </c>
      <c r="C44" s="13">
        <f>(Table1346811345671012131415[[#This Row],[PMI]]-B43)</f>
        <v>-1.2000000000000028</v>
      </c>
    </row>
    <row r="45" spans="1:3" x14ac:dyDescent="0.2">
      <c r="A45" s="14">
        <v>41640</v>
      </c>
      <c r="B45" s="13">
        <v>58.3</v>
      </c>
      <c r="C45" s="13">
        <f>(Table1346811345671012131415[[#This Row],[PMI]]-B44)</f>
        <v>-0.5</v>
      </c>
    </row>
    <row r="46" spans="1:3" x14ac:dyDescent="0.2">
      <c r="A46" s="14">
        <v>41671</v>
      </c>
      <c r="B46" s="13">
        <v>58.2</v>
      </c>
      <c r="C46" s="13">
        <f>(Table1346811345671012131415[[#This Row],[PMI]]-B45)</f>
        <v>-9.9999999999994316E-2</v>
      </c>
    </row>
    <row r="47" spans="1:3" x14ac:dyDescent="0.2">
      <c r="A47" s="14">
        <v>41699</v>
      </c>
      <c r="B47" s="13">
        <v>57.6</v>
      </c>
      <c r="C47" s="13">
        <f>(Table1346811345671012131415[[#This Row],[PMI]]-B46)</f>
        <v>-0.60000000000000142</v>
      </c>
    </row>
    <row r="48" spans="1:3" x14ac:dyDescent="0.2">
      <c r="A48" s="14">
        <v>41730</v>
      </c>
      <c r="B48" s="13">
        <v>58.7</v>
      </c>
      <c r="C48" s="13">
        <f>(Table1346811345671012131415[[#This Row],[PMI]]-B47)</f>
        <v>1.1000000000000014</v>
      </c>
    </row>
    <row r="49" spans="1:3" x14ac:dyDescent="0.2">
      <c r="A49" s="14">
        <v>41760</v>
      </c>
      <c r="B49" s="13">
        <v>58.6</v>
      </c>
      <c r="C49" s="13">
        <f>(Table1346811345671012131415[[#This Row],[PMI]]-B48)</f>
        <v>-0.10000000000000142</v>
      </c>
    </row>
    <row r="50" spans="1:3" x14ac:dyDescent="0.2">
      <c r="A50" s="14">
        <v>41791</v>
      </c>
      <c r="B50" s="13">
        <v>57.7</v>
      </c>
      <c r="C50" s="13">
        <f>(Table1346811345671012131415[[#This Row],[PMI]]-B49)</f>
        <v>-0.89999999999999858</v>
      </c>
    </row>
    <row r="51" spans="1:3" x14ac:dyDescent="0.2">
      <c r="A51" s="14">
        <v>41821</v>
      </c>
      <c r="B51" s="13">
        <v>59.1</v>
      </c>
      <c r="C51" s="13">
        <f>(Table1346811345671012131415[[#This Row],[PMI]]-B50)</f>
        <v>1.3999999999999986</v>
      </c>
    </row>
    <row r="52" spans="1:3" x14ac:dyDescent="0.2">
      <c r="A52" s="14">
        <v>41852</v>
      </c>
      <c r="B52" s="13">
        <v>60.5</v>
      </c>
      <c r="C52" s="13">
        <f>(Table1346811345671012131415[[#This Row],[PMI]]-B51)</f>
        <v>1.3999999999999986</v>
      </c>
    </row>
    <row r="53" spans="1:3" x14ac:dyDescent="0.2">
      <c r="A53" s="14">
        <v>41883</v>
      </c>
      <c r="B53" s="13">
        <v>58.7</v>
      </c>
      <c r="C53" s="13">
        <f>(Table1346811345671012131415[[#This Row],[PMI]]-B52)</f>
        <v>-1.7999999999999972</v>
      </c>
    </row>
    <row r="54" spans="1:3" x14ac:dyDescent="0.2">
      <c r="A54" s="14">
        <v>41913</v>
      </c>
      <c r="B54" s="13">
        <v>56.2</v>
      </c>
      <c r="C54" s="13">
        <f>(Table1346811345671012131415[[#This Row],[PMI]]-B53)</f>
        <v>-2.5</v>
      </c>
    </row>
    <row r="55" spans="1:3" x14ac:dyDescent="0.2">
      <c r="A55" s="14">
        <v>41944</v>
      </c>
      <c r="B55" s="13">
        <v>58.6</v>
      </c>
      <c r="C55" s="13">
        <f>(Table1346811345671012131415[[#This Row],[PMI]]-B54)</f>
        <v>2.3999999999999986</v>
      </c>
    </row>
    <row r="56" spans="1:3" x14ac:dyDescent="0.2">
      <c r="A56" s="14">
        <v>41974</v>
      </c>
      <c r="B56" s="13">
        <v>55.8</v>
      </c>
      <c r="C56" s="13">
        <f>(Table1346811345671012131415[[#This Row],[PMI]]-B55)</f>
        <v>-2.8000000000000043</v>
      </c>
    </row>
    <row r="57" spans="1:3" x14ac:dyDescent="0.2">
      <c r="A57" s="14">
        <v>42005</v>
      </c>
      <c r="B57" s="13">
        <v>57.2</v>
      </c>
      <c r="C57" s="13">
        <f>(Table1346811345671012131415[[#This Row],[PMI]]-B56)</f>
        <v>1.4000000000000057</v>
      </c>
    </row>
    <row r="58" spans="1:3" x14ac:dyDescent="0.2">
      <c r="A58" s="14">
        <v>42036</v>
      </c>
      <c r="B58" s="13">
        <v>56.7</v>
      </c>
      <c r="C58" s="13">
        <f>(Table1346811345671012131415[[#This Row],[PMI]]-B57)</f>
        <v>-0.5</v>
      </c>
    </row>
    <row r="59" spans="1:3" x14ac:dyDescent="0.2">
      <c r="A59" s="14">
        <v>42064</v>
      </c>
      <c r="B59" s="13">
        <v>58.9</v>
      </c>
      <c r="C59" s="13">
        <f>(Table1346811345671012131415[[#This Row],[PMI]]-B58)</f>
        <v>2.1999999999999957</v>
      </c>
    </row>
    <row r="60" spans="1:3" x14ac:dyDescent="0.2">
      <c r="A60" s="14">
        <v>42095</v>
      </c>
      <c r="B60" s="13">
        <v>59.5</v>
      </c>
      <c r="C60" s="13">
        <f>(Table1346811345671012131415[[#This Row],[PMI]]-B59)</f>
        <v>0.60000000000000142</v>
      </c>
    </row>
    <row r="61" spans="1:3" x14ac:dyDescent="0.2">
      <c r="A61" s="14">
        <v>42125</v>
      </c>
      <c r="B61" s="13">
        <v>56.5</v>
      </c>
      <c r="C61" s="13">
        <f>(Table1346811345671012131415[[#This Row],[PMI]]-B60)</f>
        <v>-3</v>
      </c>
    </row>
    <row r="62" spans="1:3" x14ac:dyDescent="0.2">
      <c r="A62" s="14">
        <v>42156</v>
      </c>
      <c r="B62" s="13">
        <v>58.5</v>
      </c>
      <c r="C62" s="13">
        <f>(Table1346811345671012131415[[#This Row],[PMI]]-B61)</f>
        <v>2</v>
      </c>
    </row>
    <row r="63" spans="1:3" x14ac:dyDescent="0.2">
      <c r="A63" s="14">
        <v>42186</v>
      </c>
      <c r="B63" s="13">
        <v>57.4</v>
      </c>
      <c r="C63" s="13">
        <f>(Table1346811345671012131415[[#This Row],[PMI]]-B62)</f>
        <v>-1.1000000000000014</v>
      </c>
    </row>
    <row r="64" spans="1:3" x14ac:dyDescent="0.2">
      <c r="A64" s="14">
        <v>42217</v>
      </c>
      <c r="B64" s="13">
        <v>55.6</v>
      </c>
      <c r="C64" s="13">
        <f>(Table1346811345671012131415[[#This Row],[PMI]]-B63)</f>
        <v>-1.7999999999999972</v>
      </c>
    </row>
    <row r="65" spans="1:3" x14ac:dyDescent="0.2">
      <c r="A65" s="14">
        <v>42248</v>
      </c>
      <c r="B65" s="13">
        <v>53.3</v>
      </c>
      <c r="C65" s="13">
        <f>(Table1346811345671012131415[[#This Row],[PMI]]-B64)</f>
        <v>-2.3000000000000043</v>
      </c>
    </row>
    <row r="66" spans="1:3" x14ac:dyDescent="0.2">
      <c r="A66" s="14">
        <v>42278</v>
      </c>
      <c r="B66" s="13">
        <v>54.9</v>
      </c>
      <c r="C66" s="13">
        <f>(Table1346811345671012131415[[#This Row],[PMI]]-B65)</f>
        <v>1.6000000000000014</v>
      </c>
    </row>
    <row r="67" spans="1:3" x14ac:dyDescent="0.2">
      <c r="A67" s="14">
        <v>42309</v>
      </c>
      <c r="B67" s="13">
        <v>55.9</v>
      </c>
      <c r="C67" s="13">
        <f>(Table1346811345671012131415[[#This Row],[PMI]]-B66)</f>
        <v>1</v>
      </c>
    </row>
    <row r="68" spans="1:3" x14ac:dyDescent="0.2">
      <c r="A68" s="14">
        <v>42339</v>
      </c>
      <c r="B68" s="13">
        <v>55.5</v>
      </c>
      <c r="C68" s="13">
        <f>(Table1346811345671012131415[[#This Row],[PMI]]-B67)</f>
        <v>-0.39999999999999858</v>
      </c>
    </row>
    <row r="69" spans="1:3" x14ac:dyDescent="0.2">
      <c r="A69" s="14">
        <v>42370</v>
      </c>
      <c r="B69" s="13">
        <v>55.6</v>
      </c>
      <c r="C69" s="13">
        <f>(Table1346811345671012131415[[#This Row],[PMI]]-B68)</f>
        <v>0.10000000000000142</v>
      </c>
    </row>
    <row r="70" spans="1:3" x14ac:dyDescent="0.2">
      <c r="A70" s="14">
        <v>42401</v>
      </c>
      <c r="B70" s="13">
        <v>52.7</v>
      </c>
      <c r="C70" s="13">
        <f>(Table1346811345671012131415[[#This Row],[PMI]]-B69)</f>
        <v>-2.8999999999999986</v>
      </c>
    </row>
    <row r="71" spans="1:3" x14ac:dyDescent="0.2">
      <c r="A71" s="14">
        <v>42430</v>
      </c>
      <c r="B71" s="13">
        <v>53.7</v>
      </c>
      <c r="C71" s="13">
        <f>(Table1346811345671012131415[[#This Row],[PMI]]-B70)</f>
        <v>1</v>
      </c>
    </row>
    <row r="72" spans="1:3" x14ac:dyDescent="0.2">
      <c r="A72" s="14">
        <v>42461</v>
      </c>
      <c r="B72" s="13">
        <v>52.3</v>
      </c>
      <c r="C72" s="13">
        <f>(Table1346811345671012131415[[#This Row],[PMI]]-B71)</f>
        <v>-1.4000000000000057</v>
      </c>
    </row>
    <row r="73" spans="1:3" x14ac:dyDescent="0.2">
      <c r="A73" s="14">
        <v>42491</v>
      </c>
      <c r="B73" s="13">
        <v>53.5</v>
      </c>
      <c r="C73" s="13">
        <f>(Table1346811345671012131415[[#This Row],[PMI]]-B72)</f>
        <v>1.2000000000000028</v>
      </c>
    </row>
    <row r="74" spans="1:3" x14ac:dyDescent="0.2">
      <c r="A74" s="14">
        <v>42522</v>
      </c>
      <c r="B74" s="13">
        <v>52.3</v>
      </c>
      <c r="C74" s="13">
        <f>(Table1346811345671012131415[[#This Row],[PMI]]-B73)</f>
        <v>-1.2000000000000028</v>
      </c>
    </row>
    <row r="75" spans="1:3" x14ac:dyDescent="0.2">
      <c r="A75" s="14">
        <v>42552</v>
      </c>
      <c r="B75" s="13">
        <v>47.4</v>
      </c>
      <c r="C75" s="13">
        <f>(Table1346811345671012131415[[#This Row],[PMI]]-B74)</f>
        <v>-4.8999999999999986</v>
      </c>
    </row>
    <row r="76" spans="1:3" x14ac:dyDescent="0.2">
      <c r="A76" s="14">
        <v>42583</v>
      </c>
      <c r="B76" s="13">
        <v>52.9</v>
      </c>
      <c r="C76" s="13">
        <f>(Table1346811345671012131415[[#This Row],[PMI]]-B75)</f>
        <v>5.5</v>
      </c>
    </row>
    <row r="77" spans="1:3" x14ac:dyDescent="0.2">
      <c r="A77" s="14">
        <v>42614</v>
      </c>
      <c r="B77" s="13">
        <v>52.6</v>
      </c>
      <c r="C77" s="13">
        <f>(Table1346811345671012131415[[#This Row],[PMI]]-B76)</f>
        <v>-0.29999999999999716</v>
      </c>
    </row>
    <row r="78" spans="1:3" x14ac:dyDescent="0.2">
      <c r="A78" s="14">
        <v>42644</v>
      </c>
      <c r="B78" s="13">
        <v>54.5</v>
      </c>
      <c r="C78" s="13">
        <f>(Table1346811345671012131415[[#This Row],[PMI]]-B77)</f>
        <v>1.8999999999999986</v>
      </c>
    </row>
    <row r="79" spans="1:3" x14ac:dyDescent="0.2">
      <c r="A79" s="14">
        <v>42675</v>
      </c>
      <c r="B79" s="13">
        <v>55.2</v>
      </c>
      <c r="C79" s="13">
        <f>(Table1346811345671012131415[[#This Row],[PMI]]-B78)</f>
        <v>0.70000000000000284</v>
      </c>
    </row>
    <row r="80" spans="1:3" x14ac:dyDescent="0.2">
      <c r="A80" s="14">
        <v>42705</v>
      </c>
      <c r="B80" s="13">
        <v>56.2</v>
      </c>
      <c r="C80" s="13">
        <f>(Table1346811345671012131415[[#This Row],[PMI]]-B79)</f>
        <v>1</v>
      </c>
    </row>
    <row r="81" spans="1:3" x14ac:dyDescent="0.2">
      <c r="A81" s="14">
        <v>42736</v>
      </c>
      <c r="B81" s="13">
        <v>54.5</v>
      </c>
      <c r="C81" s="13">
        <f>(Table1346811345671012131415[[#This Row],[PMI]]-B80)</f>
        <v>-1.7000000000000028</v>
      </c>
    </row>
    <row r="82" spans="1:3" x14ac:dyDescent="0.2">
      <c r="A82" s="14">
        <v>42767</v>
      </c>
      <c r="B82" s="13">
        <v>53.3</v>
      </c>
      <c r="C82" s="13">
        <f>(Table1346811345671012131415[[#This Row],[PMI]]-B81)</f>
        <v>-1.2000000000000028</v>
      </c>
    </row>
    <row r="83" spans="1:3" x14ac:dyDescent="0.2">
      <c r="A83" s="14">
        <v>42795</v>
      </c>
      <c r="B83" s="13">
        <v>55</v>
      </c>
      <c r="C83" s="13">
        <f>(Table1346811345671012131415[[#This Row],[PMI]]-B82)</f>
        <v>1.7000000000000028</v>
      </c>
    </row>
    <row r="84" spans="1:3" x14ac:dyDescent="0.2">
      <c r="A84" s="14">
        <v>42826</v>
      </c>
      <c r="B84" s="13">
        <v>55.8</v>
      </c>
      <c r="C84" s="13">
        <f>(Table1346811345671012131415[[#This Row],[PMI]]-B83)</f>
        <v>0.79999999999999716</v>
      </c>
    </row>
    <row r="85" spans="1:3" x14ac:dyDescent="0.2">
      <c r="A85" s="14">
        <v>42856</v>
      </c>
      <c r="B85" s="13">
        <v>53.8</v>
      </c>
      <c r="C85" s="13">
        <f>(Table1346811345671012131415[[#This Row],[PMI]]-B84)</f>
        <v>-2</v>
      </c>
    </row>
    <row r="86" spans="1:3" x14ac:dyDescent="0.2">
      <c r="A86" s="14">
        <v>42887</v>
      </c>
      <c r="B86" s="13">
        <v>53.4</v>
      </c>
      <c r="C86" s="13">
        <f>(Table1346811345671012131415[[#This Row],[PMI]]-B85)</f>
        <v>-0.39999999999999858</v>
      </c>
    </row>
    <row r="87" spans="1:3" x14ac:dyDescent="0.2">
      <c r="A87" s="14">
        <v>42917</v>
      </c>
      <c r="B87" s="13">
        <v>53.8</v>
      </c>
      <c r="C87" s="13">
        <f>(Table1346811345671012131415[[#This Row],[PMI]]-B86)</f>
        <v>0.39999999999999858</v>
      </c>
    </row>
    <row r="88" spans="1:3" x14ac:dyDescent="0.2">
      <c r="A88" s="14">
        <v>42948</v>
      </c>
      <c r="B88" s="13">
        <v>53.2</v>
      </c>
      <c r="C88" s="13">
        <f>(Table1346811345671012131415[[#This Row],[PMI]]-B87)</f>
        <v>-0.59999999999999432</v>
      </c>
    </row>
    <row r="89" spans="1:3" x14ac:dyDescent="0.2">
      <c r="A89" s="14">
        <v>42979</v>
      </c>
      <c r="B89" s="13">
        <v>53.6</v>
      </c>
      <c r="C89" s="13">
        <f>(Table1346811345671012131415[[#This Row],[PMI]]-B88)</f>
        <v>0.39999999999999858</v>
      </c>
    </row>
    <row r="90" spans="1:3" x14ac:dyDescent="0.2">
      <c r="A90" s="14">
        <v>43009</v>
      </c>
      <c r="B90" s="13">
        <v>55.6</v>
      </c>
      <c r="C90" s="13">
        <f>(Table1346811345671012131415[[#This Row],[PMI]]-B89)</f>
        <v>2</v>
      </c>
    </row>
    <row r="91" spans="1:3" x14ac:dyDescent="0.2">
      <c r="A91" s="14">
        <v>43040</v>
      </c>
      <c r="B91" s="13">
        <v>53.8</v>
      </c>
      <c r="C91" s="13">
        <f>(Table1346811345671012131415[[#This Row],[PMI]]-B90)</f>
        <v>-1.8000000000000043</v>
      </c>
    </row>
    <row r="92" spans="1:3" x14ac:dyDescent="0.2">
      <c r="A92" s="14">
        <v>43070</v>
      </c>
      <c r="B92" s="13">
        <v>54.2</v>
      </c>
      <c r="C92" s="13">
        <f>(Table1346811345671012131415[[#This Row],[PMI]]-B91)</f>
        <v>0.40000000000000568</v>
      </c>
    </row>
    <row r="93" spans="1:3" x14ac:dyDescent="0.2">
      <c r="A93" s="14">
        <v>43101</v>
      </c>
      <c r="B93" s="13">
        <v>53</v>
      </c>
      <c r="C93" s="13">
        <f>(Table1346811345671012131415[[#This Row],[PMI]]-B92)</f>
        <v>-1.2000000000000028</v>
      </c>
    </row>
    <row r="94" spans="1:3" x14ac:dyDescent="0.2">
      <c r="A94" s="14">
        <v>43132</v>
      </c>
      <c r="B94" s="13">
        <v>54.5</v>
      </c>
      <c r="C94" s="13">
        <f>(Table1346811345671012131415[[#This Row],[PMI]]-B93)</f>
        <v>1.5</v>
      </c>
    </row>
    <row r="95" spans="1:3" x14ac:dyDescent="0.2">
      <c r="A95" s="14">
        <v>43160</v>
      </c>
      <c r="B95" s="13">
        <v>51.7</v>
      </c>
      <c r="C95" s="13">
        <f>(Table1346811345671012131415[[#This Row],[PMI]]-B94)</f>
        <v>-2.7999999999999972</v>
      </c>
    </row>
    <row r="96" spans="1:3" x14ac:dyDescent="0.2">
      <c r="A96" s="14">
        <v>43191</v>
      </c>
      <c r="B96" s="13">
        <v>52.8</v>
      </c>
      <c r="C96" s="13">
        <f>(Table1346811345671012131415[[#This Row],[PMI]]-B95)</f>
        <v>1.0999999999999943</v>
      </c>
    </row>
    <row r="97" spans="1:3" x14ac:dyDescent="0.2">
      <c r="A97" s="14">
        <v>43221</v>
      </c>
      <c r="B97" s="13">
        <v>54</v>
      </c>
      <c r="C97" s="13">
        <f>(Table1346811345671012131415[[#This Row],[PMI]]-B96)</f>
        <v>1.2000000000000028</v>
      </c>
    </row>
    <row r="98" spans="1:3" x14ac:dyDescent="0.2">
      <c r="A98" s="14">
        <v>43252</v>
      </c>
      <c r="B98" s="13">
        <v>55.1</v>
      </c>
      <c r="C98" s="13">
        <f>(Table1346811345671012131415[[#This Row],[PMI]]-B97)</f>
        <v>1.1000000000000014</v>
      </c>
    </row>
    <row r="99" spans="1:3" x14ac:dyDescent="0.2">
      <c r="A99" s="14">
        <v>43282</v>
      </c>
      <c r="B99" s="13">
        <v>53.5</v>
      </c>
      <c r="C99" s="13">
        <f>(Table1346811345671012131415[[#This Row],[PMI]]-B98)</f>
        <v>-1.6000000000000014</v>
      </c>
    </row>
    <row r="100" spans="1:3" x14ac:dyDescent="0.2">
      <c r="A100" s="14">
        <v>43313</v>
      </c>
      <c r="B100" s="13">
        <v>54.3</v>
      </c>
      <c r="C100" s="13">
        <f>(Table1346811345671012131415[[#This Row],[PMI]]-B99)</f>
        <v>0.79999999999999716</v>
      </c>
    </row>
    <row r="101" spans="1:3" x14ac:dyDescent="0.2">
      <c r="A101" s="14">
        <v>43344</v>
      </c>
      <c r="B101" s="13">
        <v>53.9</v>
      </c>
      <c r="C101" s="13">
        <f>(Table1346811345671012131415[[#This Row],[PMI]]-B100)</f>
        <v>-0.39999999999999858</v>
      </c>
    </row>
    <row r="102" spans="1:3" x14ac:dyDescent="0.2">
      <c r="A102" s="14">
        <v>43374</v>
      </c>
      <c r="B102" s="13">
        <v>52.2</v>
      </c>
      <c r="C102" s="13">
        <f>(Table1346811345671012131415[[#This Row],[PMI]]-B101)</f>
        <v>-1.6999999999999957</v>
      </c>
    </row>
    <row r="103" spans="1:3" x14ac:dyDescent="0.2">
      <c r="A103" s="14">
        <v>43405</v>
      </c>
      <c r="B103" s="13">
        <v>50.4</v>
      </c>
      <c r="C103" s="13">
        <f>(Table1346811345671012131415[[#This Row],[PMI]]-B102)</f>
        <v>-1.8000000000000043</v>
      </c>
    </row>
    <row r="104" spans="1:3" x14ac:dyDescent="0.2">
      <c r="A104" s="14">
        <v>43435</v>
      </c>
      <c r="B104" s="13">
        <v>51.2</v>
      </c>
      <c r="C104" s="13">
        <f>(Table1346811345671012131415[[#This Row],[PMI]]-B103)</f>
        <v>0.80000000000000426</v>
      </c>
    </row>
    <row r="105" spans="1:3" x14ac:dyDescent="0.2">
      <c r="A105" s="14">
        <v>43466</v>
      </c>
      <c r="B105" s="13">
        <v>50.1</v>
      </c>
      <c r="C105" s="13">
        <f>(Table1346811345671012131415[[#This Row],[PMI]]-B104)</f>
        <v>-1.1000000000000014</v>
      </c>
    </row>
    <row r="106" spans="1:3" x14ac:dyDescent="0.2">
      <c r="A106" s="14">
        <v>43497</v>
      </c>
      <c r="B106" s="13">
        <v>51.3</v>
      </c>
      <c r="C106" s="13">
        <f>(Table1346811345671012131415[[#This Row],[PMI]]-B105)</f>
        <v>1.1999999999999957</v>
      </c>
    </row>
    <row r="107" spans="1:3" x14ac:dyDescent="0.2">
      <c r="A107" s="14">
        <v>43525</v>
      </c>
      <c r="B107" s="13">
        <v>48.9</v>
      </c>
      <c r="C107" s="13">
        <f>(Table1346811345671012131415[[#This Row],[PMI]]-B106)</f>
        <v>-2.3999999999999986</v>
      </c>
    </row>
    <row r="108" spans="1:3" x14ac:dyDescent="0.2">
      <c r="A108" s="14">
        <v>43556</v>
      </c>
      <c r="B108" s="13">
        <v>50.4</v>
      </c>
      <c r="C108" s="13">
        <f>(Table1346811345671012131415[[#This Row],[PMI]]-B107)</f>
        <v>1.5</v>
      </c>
    </row>
    <row r="109" spans="1:3" x14ac:dyDescent="0.2">
      <c r="A109" s="14">
        <v>43586</v>
      </c>
      <c r="B109" s="13">
        <v>51</v>
      </c>
      <c r="C109" s="13">
        <f>(Table1346811345671012131415[[#This Row],[PMI]]-B108)</f>
        <v>0.60000000000000142</v>
      </c>
    </row>
    <row r="110" spans="1:3" x14ac:dyDescent="0.2">
      <c r="A110" s="14">
        <v>43617</v>
      </c>
      <c r="B110" s="13">
        <v>50.2</v>
      </c>
      <c r="C110" s="13">
        <f>(Table1346811345671012131415[[#This Row],[PMI]]-B109)</f>
        <v>-0.79999999999999716</v>
      </c>
    </row>
    <row r="111" spans="1:3" x14ac:dyDescent="0.2">
      <c r="A111" s="14">
        <v>43647</v>
      </c>
      <c r="B111" s="13">
        <v>51.4</v>
      </c>
      <c r="C111" s="13">
        <f>(Table1346811345671012131415[[#This Row],[PMI]]-B110)</f>
        <v>1.1999999999999957</v>
      </c>
    </row>
    <row r="112" spans="1:3" x14ac:dyDescent="0.2">
      <c r="A112" s="14">
        <v>43678</v>
      </c>
      <c r="B112" s="13">
        <v>50.6</v>
      </c>
      <c r="C112" s="13">
        <f>(Table1346811345671012131415[[#This Row],[PMI]]-B111)</f>
        <v>-0.79999999999999716</v>
      </c>
    </row>
    <row r="113" spans="1:3" x14ac:dyDescent="0.2">
      <c r="A113" s="14">
        <v>43709</v>
      </c>
      <c r="B113" s="13">
        <v>49.5</v>
      </c>
      <c r="C113" s="13">
        <f>(Table1346811345671012131415[[#This Row],[PMI]]-B112)</f>
        <v>-1.1000000000000014</v>
      </c>
    </row>
    <row r="114" spans="1:3" x14ac:dyDescent="0.2">
      <c r="A114" s="14">
        <v>43739</v>
      </c>
      <c r="B114" s="13">
        <v>50</v>
      </c>
      <c r="C114" s="13">
        <f>(Table1346811345671012131415[[#This Row],[PMI]]-B113)</f>
        <v>0.5</v>
      </c>
    </row>
    <row r="115" spans="1:3" x14ac:dyDescent="0.2">
      <c r="A115" s="14">
        <v>43770</v>
      </c>
      <c r="B115" s="13">
        <v>49.3</v>
      </c>
      <c r="C115" s="13">
        <f>(Table1346811345671012131415[[#This Row],[PMI]]-B114)</f>
        <v>-0.70000000000000284</v>
      </c>
    </row>
    <row r="116" spans="1:3" x14ac:dyDescent="0.2">
      <c r="A116" s="14">
        <v>43800</v>
      </c>
      <c r="B116" s="13">
        <v>50</v>
      </c>
      <c r="C116" s="13">
        <f>(Table1346811345671012131415[[#This Row],[PMI]]-B115)</f>
        <v>0.70000000000000284</v>
      </c>
    </row>
    <row r="117" spans="1:3" x14ac:dyDescent="0.2">
      <c r="A117" s="14">
        <v>43831</v>
      </c>
      <c r="B117" s="13">
        <v>53.9</v>
      </c>
      <c r="C117" s="13">
        <f>(Table1346811345671012131415[[#This Row],[PMI]]-B116)</f>
        <v>3.8999999999999986</v>
      </c>
    </row>
    <row r="118" spans="1:3" x14ac:dyDescent="0.2">
      <c r="A118" s="14">
        <v>43862</v>
      </c>
      <c r="B118" s="13">
        <v>53.2</v>
      </c>
      <c r="C118" s="13">
        <f>(Table1346811345671012131415[[#This Row],[PMI]]-B117)</f>
        <v>-0.69999999999999574</v>
      </c>
    </row>
    <row r="119" spans="1:3" x14ac:dyDescent="0.2">
      <c r="A119" s="14">
        <v>43891</v>
      </c>
      <c r="B119" s="13">
        <v>34.5</v>
      </c>
      <c r="C119" s="13">
        <f>(Table1346811345671012131415[[#This Row],[PMI]]-B118)</f>
        <v>-18.700000000000003</v>
      </c>
    </row>
    <row r="120" spans="1:3" x14ac:dyDescent="0.2">
      <c r="A120" s="14">
        <v>43922</v>
      </c>
      <c r="B120" s="13">
        <v>13.4</v>
      </c>
      <c r="C120" s="13">
        <f>(Table1346811345671012131415[[#This Row],[PMI]]-B119)</f>
        <v>-21.1</v>
      </c>
    </row>
    <row r="121" spans="1:3" x14ac:dyDescent="0.2">
      <c r="A121" s="14">
        <v>43952</v>
      </c>
      <c r="B121" s="13">
        <v>29</v>
      </c>
      <c r="C121" s="13">
        <f>(Table1346811345671012131415[[#This Row],[PMI]]-B120)</f>
        <v>15.6</v>
      </c>
    </row>
    <row r="122" spans="1:3" x14ac:dyDescent="0.2">
      <c r="A122" s="14">
        <v>43983</v>
      </c>
      <c r="B122" s="13">
        <v>47.1</v>
      </c>
      <c r="C122" s="13">
        <f>(Table1346811345671012131415[[#This Row],[PMI]]-B121)</f>
        <v>18.100000000000001</v>
      </c>
    </row>
    <row r="123" spans="1:3" x14ac:dyDescent="0.2">
      <c r="A123" s="14">
        <v>44013</v>
      </c>
      <c r="B123" s="13">
        <v>56.5</v>
      </c>
      <c r="C123" s="13">
        <f>(Table1346811345671012131415[[#This Row],[PMI]]-B122)</f>
        <v>9.3999999999999986</v>
      </c>
    </row>
    <row r="124" spans="1:3" x14ac:dyDescent="0.2">
      <c r="A124" s="14">
        <v>44044</v>
      </c>
      <c r="B124" s="13">
        <v>58.8</v>
      </c>
      <c r="C124" s="13">
        <f>(Table1346811345671012131415[[#This Row],[PMI]]-B123)</f>
        <v>2.2999999999999972</v>
      </c>
    </row>
    <row r="125" spans="1:3" x14ac:dyDescent="0.2">
      <c r="A125" s="14">
        <v>44075</v>
      </c>
      <c r="B125" s="13">
        <v>56.1</v>
      </c>
      <c r="C125" s="13">
        <f>(Table1346811345671012131415[[#This Row],[PMI]]-B124)</f>
        <v>-2.6999999999999957</v>
      </c>
    </row>
    <row r="126" spans="1:3" x14ac:dyDescent="0.2">
      <c r="A126" s="14">
        <v>44105</v>
      </c>
      <c r="B126" s="13">
        <v>51.4</v>
      </c>
      <c r="C126" s="13">
        <f>(Table1346811345671012131415[[#This Row],[PMI]]-B125)</f>
        <v>-4.7000000000000028</v>
      </c>
    </row>
    <row r="127" spans="1:3" x14ac:dyDescent="0.2">
      <c r="A127" s="14">
        <v>44136</v>
      </c>
      <c r="B127" s="13">
        <v>47.6</v>
      </c>
      <c r="C127" s="13">
        <f>(Table1346811345671012131415[[#This Row],[PMI]]-B126)</f>
        <v>-3.7999999999999972</v>
      </c>
    </row>
    <row r="128" spans="1:3" x14ac:dyDescent="0.2">
      <c r="A128" s="14">
        <v>44166</v>
      </c>
      <c r="B128" s="13">
        <v>49.4</v>
      </c>
      <c r="C128" s="13">
        <f>(Table1346811345671012131415[[#This Row],[PMI]]-B127)</f>
        <v>1.7999999999999972</v>
      </c>
    </row>
    <row r="129" spans="1:3" x14ac:dyDescent="0.2">
      <c r="A129" s="14">
        <v>44197</v>
      </c>
      <c r="B129" s="13">
        <v>39.5</v>
      </c>
      <c r="C129" s="13">
        <f>(Table1346811345671012131415[[#This Row],[PMI]]-B128)</f>
        <v>-9.8999999999999986</v>
      </c>
    </row>
    <row r="130" spans="1:3" x14ac:dyDescent="0.2">
      <c r="A130" s="14">
        <v>44228</v>
      </c>
      <c r="B130" s="13">
        <v>49.5</v>
      </c>
      <c r="C130" s="13">
        <f>(Table1346811345671012131415[[#This Row],[PMI]]-B129)</f>
        <v>10</v>
      </c>
    </row>
    <row r="131" spans="1:3" x14ac:dyDescent="0.2">
      <c r="A131" s="14">
        <v>44256</v>
      </c>
      <c r="B131" s="13">
        <v>56.3</v>
      </c>
      <c r="C131" s="13">
        <f>(Table1346811345671012131415[[#This Row],[PMI]]-B130)</f>
        <v>6.7999999999999972</v>
      </c>
    </row>
    <row r="132" spans="1:3" x14ac:dyDescent="0.2">
      <c r="A132" s="14">
        <v>44287</v>
      </c>
      <c r="B132" s="13">
        <v>60.1</v>
      </c>
      <c r="C132" s="13">
        <f>(Table1346811345671012131415[[#This Row],[PMI]]-B131)</f>
        <v>3.8000000000000043</v>
      </c>
    </row>
    <row r="133" spans="1:3" x14ac:dyDescent="0.2">
      <c r="A133" s="14">
        <v>44317</v>
      </c>
      <c r="B133" s="13">
        <v>62.9</v>
      </c>
      <c r="C133" s="13">
        <f>(Table1346811345671012131415[[#This Row],[PMI]]-B132)</f>
        <v>2.7999999999999972</v>
      </c>
    </row>
    <row r="134" spans="1:3" x14ac:dyDescent="0.2">
      <c r="A134" s="14">
        <v>44348</v>
      </c>
      <c r="B134" s="13">
        <v>62.4</v>
      </c>
      <c r="C134" s="13">
        <f>(Table1346811345671012131415[[#This Row],[PMI]]-B133)</f>
        <v>-0.5</v>
      </c>
    </row>
    <row r="135" spans="1:3" x14ac:dyDescent="0.2">
      <c r="A135" s="14">
        <v>44378</v>
      </c>
      <c r="B135" s="13">
        <v>59.6</v>
      </c>
      <c r="C135" s="13">
        <f>(Table1346811345671012131415[[#This Row],[PMI]]-B134)</f>
        <v>-2.7999999999999972</v>
      </c>
    </row>
    <row r="136" spans="1:3" x14ac:dyDescent="0.2">
      <c r="A136" s="14">
        <v>44409</v>
      </c>
      <c r="B136" s="13">
        <v>55</v>
      </c>
      <c r="C136" s="13">
        <f>(Table1346811345671012131415[[#This Row],[PMI]]-B135)</f>
        <v>-4.6000000000000014</v>
      </c>
    </row>
    <row r="137" spans="1:3" x14ac:dyDescent="0.2">
      <c r="A137" s="14">
        <v>44440</v>
      </c>
      <c r="B137" s="13">
        <v>55.4</v>
      </c>
      <c r="C137" s="13">
        <f>(Table1346811345671012131415[[#This Row],[PMI]]-B136)</f>
        <v>0.39999999999999858</v>
      </c>
    </row>
    <row r="138" spans="1:3" x14ac:dyDescent="0.2">
      <c r="A138" s="14">
        <v>44470</v>
      </c>
      <c r="B138" s="13">
        <v>59.1</v>
      </c>
      <c r="C138" s="13">
        <f>(Table1346811345671012131415[[#This Row],[PMI]]-B137)</f>
        <v>3.7000000000000028</v>
      </c>
    </row>
    <row r="139" spans="1:3" x14ac:dyDescent="0.2">
      <c r="A139" s="14">
        <v>44501</v>
      </c>
      <c r="B139" s="13">
        <v>58.5</v>
      </c>
      <c r="C139" s="13">
        <f>(Table1346811345671012131415[[#This Row],[PMI]]-B138)</f>
        <v>-0.60000000000000142</v>
      </c>
    </row>
    <row r="140" spans="1:3" x14ac:dyDescent="0.2">
      <c r="A140" s="14">
        <v>44531</v>
      </c>
      <c r="B140" s="13">
        <v>53.6</v>
      </c>
      <c r="C140" s="13">
        <f>(Table1346811345671012131415[[#This Row],[PMI]]-B139)</f>
        <v>-4.8999999999999986</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049F8-8608-49F8-A703-4B6581F748BC}">
  <dimension ref="A1:J140"/>
  <sheetViews>
    <sheetView zoomScale="160" zoomScaleNormal="160" workbookViewId="0">
      <pane ySplit="5" topLeftCell="A100" activePane="bottomLeft" state="frozen"/>
      <selection pane="bottomLeft" activeCell="A141" sqref="A141"/>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25</v>
      </c>
      <c r="J1" s="25" t="s">
        <v>42</v>
      </c>
    </row>
    <row r="2" spans="1:10" x14ac:dyDescent="0.2">
      <c r="J2" s="25" t="str">
        <f>A1&amp;J1</f>
        <v>India Services PMI</v>
      </c>
    </row>
    <row r="4" spans="1:10" ht="16" thickBot="1" x14ac:dyDescent="0.25"/>
    <row r="5" spans="1:10" ht="16" thickBot="1" x14ac:dyDescent="0.25">
      <c r="A5" s="19" t="s">
        <v>9</v>
      </c>
      <c r="B5" s="20" t="s">
        <v>10</v>
      </c>
      <c r="C5" s="20" t="s">
        <v>11</v>
      </c>
    </row>
    <row r="6" spans="1:10" x14ac:dyDescent="0.2">
      <c r="A6" s="17">
        <v>40452</v>
      </c>
      <c r="B6" s="18">
        <v>58.4</v>
      </c>
      <c r="C6" s="18"/>
    </row>
    <row r="7" spans="1:10" x14ac:dyDescent="0.2">
      <c r="A7" s="14">
        <v>40483</v>
      </c>
      <c r="B7" s="13">
        <v>61.3</v>
      </c>
      <c r="C7" s="13">
        <f>Table134681134567[[#This Row],[PMI]]-B6</f>
        <v>2.8999999999999986</v>
      </c>
    </row>
    <row r="8" spans="1:10" x14ac:dyDescent="0.2">
      <c r="A8" s="14">
        <v>40513</v>
      </c>
      <c r="B8" s="13">
        <v>62.1</v>
      </c>
      <c r="C8" s="13">
        <f>Table134681134567[[#This Row],[PMI]]-B7</f>
        <v>0.80000000000000426</v>
      </c>
    </row>
    <row r="9" spans="1:10" x14ac:dyDescent="0.2">
      <c r="A9" s="14">
        <v>40544</v>
      </c>
      <c r="B9" s="13">
        <v>59.4</v>
      </c>
      <c r="C9" s="13">
        <f>Table134681134567[[#This Row],[PMI]]-B8</f>
        <v>-2.7000000000000028</v>
      </c>
    </row>
    <row r="10" spans="1:10" x14ac:dyDescent="0.2">
      <c r="A10" s="14">
        <v>40575</v>
      </c>
      <c r="B10" s="13">
        <v>61</v>
      </c>
      <c r="C10" s="13">
        <f>Table134681134567[[#This Row],[PMI]]-B9</f>
        <v>1.6000000000000014</v>
      </c>
    </row>
    <row r="11" spans="1:10" x14ac:dyDescent="0.2">
      <c r="A11" s="14">
        <v>40603</v>
      </c>
      <c r="B11" s="13">
        <v>60</v>
      </c>
      <c r="C11" s="13">
        <f>Table134681134567[[#This Row],[PMI]]-B10</f>
        <v>-1</v>
      </c>
    </row>
    <row r="12" spans="1:10" x14ac:dyDescent="0.2">
      <c r="A12" s="14">
        <v>40634</v>
      </c>
      <c r="B12" s="13">
        <v>59.2</v>
      </c>
      <c r="C12" s="13">
        <f>Table134681134567[[#This Row],[PMI]]-B11</f>
        <v>-0.79999999999999716</v>
      </c>
    </row>
    <row r="13" spans="1:10" x14ac:dyDescent="0.2">
      <c r="A13" s="14">
        <v>40664</v>
      </c>
      <c r="B13" s="13">
        <v>57.7</v>
      </c>
      <c r="C13" s="13">
        <f>Table134681134567[[#This Row],[PMI]]-B12</f>
        <v>-1.5</v>
      </c>
    </row>
    <row r="14" spans="1:10" x14ac:dyDescent="0.2">
      <c r="A14" s="14">
        <v>40695</v>
      </c>
      <c r="B14" s="13">
        <v>56.1</v>
      </c>
      <c r="C14" s="13">
        <f>Table134681134567[[#This Row],[PMI]]-B13</f>
        <v>-1.6000000000000014</v>
      </c>
    </row>
    <row r="15" spans="1:10" x14ac:dyDescent="0.2">
      <c r="A15" s="14">
        <v>40725</v>
      </c>
      <c r="B15" s="13">
        <v>58.2</v>
      </c>
      <c r="C15" s="13">
        <f>Table134681134567[[#This Row],[PMI]]-B14</f>
        <v>2.1000000000000014</v>
      </c>
    </row>
    <row r="16" spans="1:10" x14ac:dyDescent="0.2">
      <c r="A16" s="14">
        <v>40756</v>
      </c>
      <c r="B16" s="13">
        <v>56.7</v>
      </c>
      <c r="C16" s="13">
        <f>Table134681134567[[#This Row],[PMI]]-B15</f>
        <v>-1.5</v>
      </c>
    </row>
    <row r="17" spans="1:3" x14ac:dyDescent="0.2">
      <c r="A17" s="14">
        <v>40787</v>
      </c>
      <c r="B17" s="13">
        <v>49.8</v>
      </c>
      <c r="C17" s="13">
        <f>Table134681134567[[#This Row],[PMI]]-B16</f>
        <v>-6.9000000000000057</v>
      </c>
    </row>
    <row r="18" spans="1:3" x14ac:dyDescent="0.2">
      <c r="A18" s="14">
        <v>40817</v>
      </c>
      <c r="B18" s="13">
        <v>49.1</v>
      </c>
      <c r="C18" s="13">
        <f>Table134681134567[[#This Row],[PMI]]-B17</f>
        <v>-0.69999999999999574</v>
      </c>
    </row>
    <row r="19" spans="1:3" x14ac:dyDescent="0.2">
      <c r="A19" s="14">
        <v>40848</v>
      </c>
      <c r="B19" s="13">
        <v>53.2</v>
      </c>
      <c r="C19" s="13">
        <f>Table134681134567[[#This Row],[PMI]]-B18</f>
        <v>4.1000000000000014</v>
      </c>
    </row>
    <row r="20" spans="1:3" x14ac:dyDescent="0.2">
      <c r="A20" s="14">
        <v>40878</v>
      </c>
      <c r="B20" s="13">
        <v>54.2</v>
      </c>
      <c r="C20" s="13">
        <f>Table134681134567[[#This Row],[PMI]]-B19</f>
        <v>1</v>
      </c>
    </row>
    <row r="21" spans="1:3" x14ac:dyDescent="0.2">
      <c r="A21" s="14">
        <v>40909</v>
      </c>
      <c r="B21" s="13">
        <v>55.1</v>
      </c>
      <c r="C21" s="13">
        <f>Table134681134567[[#This Row],[PMI]]-B20</f>
        <v>0.89999999999999858</v>
      </c>
    </row>
    <row r="22" spans="1:3" x14ac:dyDescent="0.2">
      <c r="A22" s="14">
        <v>40940</v>
      </c>
      <c r="B22" s="13">
        <v>53.4</v>
      </c>
      <c r="C22" s="13">
        <f>Table134681134567[[#This Row],[PMI]]-B21</f>
        <v>-1.7000000000000028</v>
      </c>
    </row>
    <row r="23" spans="1:3" x14ac:dyDescent="0.2">
      <c r="A23" s="14">
        <v>40969</v>
      </c>
      <c r="B23" s="13">
        <v>54.1</v>
      </c>
      <c r="C23" s="13">
        <f>Table134681134567[[#This Row],[PMI]]-B22</f>
        <v>0.70000000000000284</v>
      </c>
    </row>
    <row r="24" spans="1:3" x14ac:dyDescent="0.2">
      <c r="A24" s="14">
        <v>41000</v>
      </c>
      <c r="B24" s="13">
        <v>52.3</v>
      </c>
      <c r="C24" s="13">
        <f>Table134681134567[[#This Row],[PMI]]-B23</f>
        <v>-1.8000000000000043</v>
      </c>
    </row>
    <row r="25" spans="1:3" x14ac:dyDescent="0.2">
      <c r="A25" s="14">
        <v>41030</v>
      </c>
      <c r="B25" s="13">
        <v>52.8</v>
      </c>
      <c r="C25" s="13">
        <f>Table134681134567[[#This Row],[PMI]]-B24</f>
        <v>0.5</v>
      </c>
    </row>
    <row r="26" spans="1:3" x14ac:dyDescent="0.2">
      <c r="A26" s="14">
        <v>41061</v>
      </c>
      <c r="B26" s="13">
        <v>54.7</v>
      </c>
      <c r="C26" s="13">
        <f>Table134681134567[[#This Row],[PMI]]-B25</f>
        <v>1.9000000000000057</v>
      </c>
    </row>
    <row r="27" spans="1:3" x14ac:dyDescent="0.2">
      <c r="A27" s="14">
        <v>41091</v>
      </c>
      <c r="B27" s="13">
        <v>54.3</v>
      </c>
      <c r="C27" s="13">
        <f>Table134681134567[[#This Row],[PMI]]-B26</f>
        <v>-0.40000000000000568</v>
      </c>
    </row>
    <row r="28" spans="1:3" x14ac:dyDescent="0.2">
      <c r="A28" s="14">
        <v>41122</v>
      </c>
      <c r="B28" s="13">
        <v>54.2</v>
      </c>
      <c r="C28" s="13">
        <f>Table134681134567[[#This Row],[PMI]]-B27</f>
        <v>-9.9999999999994316E-2</v>
      </c>
    </row>
    <row r="29" spans="1:3" x14ac:dyDescent="0.2">
      <c r="A29" s="14">
        <v>41153</v>
      </c>
      <c r="B29" s="13">
        <v>55</v>
      </c>
      <c r="C29" s="13">
        <f>Table134681134567[[#This Row],[PMI]]-B28</f>
        <v>0.79999999999999716</v>
      </c>
    </row>
    <row r="30" spans="1:3" x14ac:dyDescent="0.2">
      <c r="A30" s="14">
        <v>41183</v>
      </c>
      <c r="B30" s="13">
        <v>55.8</v>
      </c>
      <c r="C30" s="13">
        <f>Table134681134567[[#This Row],[PMI]]-B29</f>
        <v>0.79999999999999716</v>
      </c>
    </row>
    <row r="31" spans="1:3" x14ac:dyDescent="0.2">
      <c r="A31" s="14">
        <v>41214</v>
      </c>
      <c r="B31" s="13">
        <v>53.8</v>
      </c>
      <c r="C31" s="13">
        <f>Table134681134567[[#This Row],[PMI]]-B30</f>
        <v>-2</v>
      </c>
    </row>
    <row r="32" spans="1:3" x14ac:dyDescent="0.2">
      <c r="A32" s="14">
        <v>41244</v>
      </c>
      <c r="B32" s="13">
        <v>52.1</v>
      </c>
      <c r="C32" s="13">
        <f>Table134681134567[[#This Row],[PMI]]-B31</f>
        <v>-1.6999999999999957</v>
      </c>
    </row>
    <row r="33" spans="1:3" x14ac:dyDescent="0.2">
      <c r="A33" s="14">
        <v>41275</v>
      </c>
      <c r="B33" s="13">
        <v>57.5</v>
      </c>
      <c r="C33" s="13">
        <f>Table134681134567[[#This Row],[PMI]]-B32</f>
        <v>5.3999999999999986</v>
      </c>
    </row>
    <row r="34" spans="1:3" x14ac:dyDescent="0.2">
      <c r="A34" s="14">
        <v>41306</v>
      </c>
      <c r="B34" s="13">
        <v>54.2</v>
      </c>
      <c r="C34" s="13">
        <f>Table134681134567[[#This Row],[PMI]]-B33</f>
        <v>-3.2999999999999972</v>
      </c>
    </row>
    <row r="35" spans="1:3" x14ac:dyDescent="0.2">
      <c r="A35" s="14">
        <v>41334</v>
      </c>
      <c r="B35" s="13">
        <v>51.4</v>
      </c>
      <c r="C35" s="13">
        <f>Table134681134567[[#This Row],[PMI]]-B34</f>
        <v>-2.8000000000000043</v>
      </c>
    </row>
    <row r="36" spans="1:3" x14ac:dyDescent="0.2">
      <c r="A36" s="14">
        <v>41365</v>
      </c>
      <c r="B36" s="13">
        <v>50.7</v>
      </c>
      <c r="C36" s="13">
        <f>Table134681134567[[#This Row],[PMI]]-B35</f>
        <v>-0.69999999999999574</v>
      </c>
    </row>
    <row r="37" spans="1:3" x14ac:dyDescent="0.2">
      <c r="A37" s="14">
        <v>41395</v>
      </c>
      <c r="B37" s="13">
        <v>53.6</v>
      </c>
      <c r="C37" s="13">
        <f>Table134681134567[[#This Row],[PMI]]-B36</f>
        <v>2.8999999999999986</v>
      </c>
    </row>
    <row r="38" spans="1:3" x14ac:dyDescent="0.2">
      <c r="A38" s="14">
        <v>41426</v>
      </c>
      <c r="B38" s="13">
        <v>51.7</v>
      </c>
      <c r="C38" s="13">
        <f>Table134681134567[[#This Row],[PMI]]-B37</f>
        <v>-1.8999999999999986</v>
      </c>
    </row>
    <row r="39" spans="1:3" x14ac:dyDescent="0.2">
      <c r="A39" s="14">
        <v>41456</v>
      </c>
      <c r="B39" s="13">
        <v>47.9</v>
      </c>
      <c r="C39" s="13">
        <f>Table134681134567[[#This Row],[PMI]]-B38</f>
        <v>-3.8000000000000043</v>
      </c>
    </row>
    <row r="40" spans="1:3" x14ac:dyDescent="0.2">
      <c r="A40" s="14">
        <v>41487</v>
      </c>
      <c r="B40" s="13">
        <v>47.6</v>
      </c>
      <c r="C40" s="13">
        <f>Table134681134567[[#This Row],[PMI]]-B39</f>
        <v>-0.29999999999999716</v>
      </c>
    </row>
    <row r="41" spans="1:3" x14ac:dyDescent="0.2">
      <c r="A41" s="14">
        <v>41518</v>
      </c>
      <c r="B41" s="13">
        <v>44.6</v>
      </c>
      <c r="C41" s="13">
        <f>Table134681134567[[#This Row],[PMI]]-B40</f>
        <v>-3</v>
      </c>
    </row>
    <row r="42" spans="1:3" x14ac:dyDescent="0.2">
      <c r="A42" s="14">
        <v>41548</v>
      </c>
      <c r="B42" s="13">
        <v>47.1</v>
      </c>
      <c r="C42" s="13">
        <f>Table134681134567[[#This Row],[PMI]]-B41</f>
        <v>2.5</v>
      </c>
    </row>
    <row r="43" spans="1:3" x14ac:dyDescent="0.2">
      <c r="A43" s="14">
        <v>41579</v>
      </c>
      <c r="B43" s="13">
        <v>47.2</v>
      </c>
      <c r="C43" s="13">
        <f>Table134681134567[[#This Row],[PMI]]-B42</f>
        <v>0.10000000000000142</v>
      </c>
    </row>
    <row r="44" spans="1:3" x14ac:dyDescent="0.2">
      <c r="A44" s="14">
        <v>41609</v>
      </c>
      <c r="B44" s="13">
        <v>47.9</v>
      </c>
      <c r="C44" s="13">
        <f>Table134681134567[[#This Row],[PMI]]-B43</f>
        <v>0.69999999999999574</v>
      </c>
    </row>
    <row r="45" spans="1:3" x14ac:dyDescent="0.2">
      <c r="A45" s="14">
        <v>41640</v>
      </c>
      <c r="B45" s="13">
        <v>48.3</v>
      </c>
      <c r="C45" s="13">
        <f>Table134681134567[[#This Row],[PMI]]-B44</f>
        <v>0.39999999999999858</v>
      </c>
    </row>
    <row r="46" spans="1:3" x14ac:dyDescent="0.2">
      <c r="A46" s="14">
        <v>41671</v>
      </c>
      <c r="B46" s="13">
        <v>48.8</v>
      </c>
      <c r="C46" s="13">
        <f>Table134681134567[[#This Row],[PMI]]-B45</f>
        <v>0.5</v>
      </c>
    </row>
    <row r="47" spans="1:3" x14ac:dyDescent="0.2">
      <c r="A47" s="14">
        <v>41699</v>
      </c>
      <c r="B47" s="13">
        <v>47.5</v>
      </c>
      <c r="C47" s="13">
        <f>Table134681134567[[#This Row],[PMI]]-B46</f>
        <v>-1.2999999999999972</v>
      </c>
    </row>
    <row r="48" spans="1:3" x14ac:dyDescent="0.2">
      <c r="A48" s="14">
        <v>41730</v>
      </c>
      <c r="B48" s="13">
        <v>48.5</v>
      </c>
      <c r="C48" s="13">
        <f>Table134681134567[[#This Row],[PMI]]-B47</f>
        <v>1</v>
      </c>
    </row>
    <row r="49" spans="1:3" x14ac:dyDescent="0.2">
      <c r="A49" s="14">
        <v>41760</v>
      </c>
      <c r="B49" s="13">
        <v>50.7</v>
      </c>
      <c r="C49" s="13">
        <f>Table134681134567[[#This Row],[PMI]]-B48</f>
        <v>2.2000000000000028</v>
      </c>
    </row>
    <row r="50" spans="1:3" x14ac:dyDescent="0.2">
      <c r="A50" s="14">
        <v>41791</v>
      </c>
      <c r="B50" s="13">
        <v>54.4</v>
      </c>
      <c r="C50" s="13">
        <f>Table134681134567[[#This Row],[PMI]]-B49</f>
        <v>3.6999999999999957</v>
      </c>
    </row>
    <row r="51" spans="1:3" x14ac:dyDescent="0.2">
      <c r="A51" s="14">
        <v>41821</v>
      </c>
      <c r="B51" s="13">
        <v>52.2</v>
      </c>
      <c r="C51" s="13">
        <f>Table134681134567[[#This Row],[PMI]]-B50</f>
        <v>-2.1999999999999957</v>
      </c>
    </row>
    <row r="52" spans="1:3" x14ac:dyDescent="0.2">
      <c r="A52" s="14">
        <v>41852</v>
      </c>
      <c r="B52" s="13">
        <v>50.6</v>
      </c>
      <c r="C52" s="13">
        <f>Table134681134567[[#This Row],[PMI]]-B51</f>
        <v>-1.6000000000000014</v>
      </c>
    </row>
    <row r="53" spans="1:3" x14ac:dyDescent="0.2">
      <c r="A53" s="14">
        <v>41883</v>
      </c>
      <c r="B53" s="13">
        <v>51.6</v>
      </c>
      <c r="C53" s="13">
        <f>Table134681134567[[#This Row],[PMI]]-B52</f>
        <v>1</v>
      </c>
    </row>
    <row r="54" spans="1:3" x14ac:dyDescent="0.2">
      <c r="A54" s="14">
        <v>41913</v>
      </c>
      <c r="B54" s="13">
        <v>50</v>
      </c>
      <c r="C54" s="13">
        <f>Table134681134567[[#This Row],[PMI]]-B53</f>
        <v>-1.6000000000000014</v>
      </c>
    </row>
    <row r="55" spans="1:3" x14ac:dyDescent="0.2">
      <c r="A55" s="14">
        <v>41944</v>
      </c>
      <c r="B55" s="13">
        <v>52.6</v>
      </c>
      <c r="C55" s="13">
        <f>Table134681134567[[#This Row],[PMI]]-B54</f>
        <v>2.6000000000000014</v>
      </c>
    </row>
    <row r="56" spans="1:3" x14ac:dyDescent="0.2">
      <c r="A56" s="14">
        <v>41974</v>
      </c>
      <c r="B56" s="13">
        <v>51.1</v>
      </c>
      <c r="C56" s="13">
        <f>Table134681134567[[#This Row],[PMI]]-B55</f>
        <v>-1.5</v>
      </c>
    </row>
    <row r="57" spans="1:3" x14ac:dyDescent="0.2">
      <c r="A57" s="14">
        <v>42005</v>
      </c>
      <c r="B57" s="13">
        <v>52.4</v>
      </c>
      <c r="C57" s="13">
        <f>Table134681134567[[#This Row],[PMI]]-B56</f>
        <v>1.2999999999999972</v>
      </c>
    </row>
    <row r="58" spans="1:3" x14ac:dyDescent="0.2">
      <c r="A58" s="14">
        <v>42036</v>
      </c>
      <c r="B58" s="13">
        <v>53.9</v>
      </c>
      <c r="C58" s="13">
        <f>Table134681134567[[#This Row],[PMI]]-B57</f>
        <v>1.5</v>
      </c>
    </row>
    <row r="59" spans="1:3" x14ac:dyDescent="0.2">
      <c r="A59" s="14">
        <v>42064</v>
      </c>
      <c r="B59" s="13">
        <v>53</v>
      </c>
      <c r="C59" s="13">
        <f>Table134681134567[[#This Row],[PMI]]-B58</f>
        <v>-0.89999999999999858</v>
      </c>
    </row>
    <row r="60" spans="1:3" x14ac:dyDescent="0.2">
      <c r="A60" s="14">
        <v>42095</v>
      </c>
      <c r="B60" s="13">
        <v>52.4</v>
      </c>
      <c r="C60" s="13">
        <f>Table134681134567[[#This Row],[PMI]]-B59</f>
        <v>-0.60000000000000142</v>
      </c>
    </row>
    <row r="61" spans="1:3" x14ac:dyDescent="0.2">
      <c r="A61" s="14">
        <v>42125</v>
      </c>
      <c r="B61" s="13">
        <v>49.6</v>
      </c>
      <c r="C61" s="13">
        <f>Table134681134567[[#This Row],[PMI]]-B60</f>
        <v>-2.7999999999999972</v>
      </c>
    </row>
    <row r="62" spans="1:3" x14ac:dyDescent="0.2">
      <c r="A62" s="14">
        <v>42156</v>
      </c>
      <c r="B62" s="13">
        <v>47.7</v>
      </c>
      <c r="C62" s="13">
        <f>Table134681134567[[#This Row],[PMI]]-B61</f>
        <v>-1.8999999999999986</v>
      </c>
    </row>
    <row r="63" spans="1:3" x14ac:dyDescent="0.2">
      <c r="A63" s="14">
        <v>42186</v>
      </c>
      <c r="B63" s="13">
        <v>50.8</v>
      </c>
      <c r="C63" s="13">
        <f>Table134681134567[[#This Row],[PMI]]-B62</f>
        <v>3.0999999999999943</v>
      </c>
    </row>
    <row r="64" spans="1:3" x14ac:dyDescent="0.2">
      <c r="A64" s="14">
        <v>42217</v>
      </c>
      <c r="B64" s="13">
        <v>51.8</v>
      </c>
      <c r="C64" s="13">
        <f>Table134681134567[[#This Row],[PMI]]-B63</f>
        <v>1</v>
      </c>
    </row>
    <row r="65" spans="1:3" x14ac:dyDescent="0.2">
      <c r="A65" s="14">
        <v>42248</v>
      </c>
      <c r="B65" s="13">
        <v>51.3</v>
      </c>
      <c r="C65" s="13">
        <f>Table134681134567[[#This Row],[PMI]]-B64</f>
        <v>-0.5</v>
      </c>
    </row>
    <row r="66" spans="1:3" x14ac:dyDescent="0.2">
      <c r="A66" s="14">
        <v>42278</v>
      </c>
      <c r="B66" s="13">
        <v>53.2</v>
      </c>
      <c r="C66" s="13">
        <f>Table134681134567[[#This Row],[PMI]]-B65</f>
        <v>1.9000000000000057</v>
      </c>
    </row>
    <row r="67" spans="1:3" x14ac:dyDescent="0.2">
      <c r="A67" s="14">
        <v>42309</v>
      </c>
      <c r="B67" s="13">
        <v>50.1</v>
      </c>
      <c r="C67" s="13">
        <f>Table134681134567[[#This Row],[PMI]]-B66</f>
        <v>-3.1000000000000014</v>
      </c>
    </row>
    <row r="68" spans="1:3" x14ac:dyDescent="0.2">
      <c r="A68" s="14">
        <v>42339</v>
      </c>
      <c r="B68" s="13">
        <v>53.6</v>
      </c>
      <c r="C68" s="13">
        <f>Table134681134567[[#This Row],[PMI]]-B67</f>
        <v>3.5</v>
      </c>
    </row>
    <row r="69" spans="1:3" x14ac:dyDescent="0.2">
      <c r="A69" s="14">
        <v>42370</v>
      </c>
      <c r="B69" s="13">
        <v>54.3</v>
      </c>
      <c r="C69" s="13">
        <f>Table134681134567[[#This Row],[PMI]]-B68</f>
        <v>0.69999999999999574</v>
      </c>
    </row>
    <row r="70" spans="1:3" x14ac:dyDescent="0.2">
      <c r="A70" s="14">
        <v>42401</v>
      </c>
      <c r="B70" s="13">
        <v>51.4</v>
      </c>
      <c r="C70" s="13">
        <f>Table134681134567[[#This Row],[PMI]]-B69</f>
        <v>-2.8999999999999986</v>
      </c>
    </row>
    <row r="71" spans="1:3" x14ac:dyDescent="0.2">
      <c r="A71" s="14">
        <v>42430</v>
      </c>
      <c r="B71" s="13">
        <v>54.3</v>
      </c>
      <c r="C71" s="13">
        <f>Table134681134567[[#This Row],[PMI]]-B70</f>
        <v>2.8999999999999986</v>
      </c>
    </row>
    <row r="72" spans="1:3" x14ac:dyDescent="0.2">
      <c r="A72" s="14">
        <v>42461</v>
      </c>
      <c r="B72" s="13">
        <v>53.7</v>
      </c>
      <c r="C72" s="13">
        <f>Table134681134567[[#This Row],[PMI]]-B71</f>
        <v>-0.59999999999999432</v>
      </c>
    </row>
    <row r="73" spans="1:3" x14ac:dyDescent="0.2">
      <c r="A73" s="14">
        <v>42491</v>
      </c>
      <c r="B73" s="13">
        <v>51</v>
      </c>
      <c r="C73" s="13">
        <f>Table134681134567[[#This Row],[PMI]]-B72</f>
        <v>-2.7000000000000028</v>
      </c>
    </row>
    <row r="74" spans="1:3" x14ac:dyDescent="0.2">
      <c r="A74" s="14">
        <v>42522</v>
      </c>
      <c r="B74" s="13">
        <v>50.3</v>
      </c>
      <c r="C74" s="13">
        <f>Table134681134567[[#This Row],[PMI]]-B73</f>
        <v>-0.70000000000000284</v>
      </c>
    </row>
    <row r="75" spans="1:3" x14ac:dyDescent="0.2">
      <c r="A75" s="14">
        <v>42552</v>
      </c>
      <c r="B75" s="13">
        <v>51.9</v>
      </c>
      <c r="C75" s="13">
        <f>Table134681134567[[#This Row],[PMI]]-B74</f>
        <v>1.6000000000000014</v>
      </c>
    </row>
    <row r="76" spans="1:3" x14ac:dyDescent="0.2">
      <c r="A76" s="14">
        <v>42583</v>
      </c>
      <c r="B76" s="13">
        <v>54.7</v>
      </c>
      <c r="C76" s="13">
        <f>Table134681134567[[#This Row],[PMI]]-B75</f>
        <v>2.8000000000000043</v>
      </c>
    </row>
    <row r="77" spans="1:3" x14ac:dyDescent="0.2">
      <c r="A77" s="14">
        <v>42614</v>
      </c>
      <c r="B77" s="13">
        <v>52</v>
      </c>
      <c r="C77" s="21">
        <f>Table134681134567[[#This Row],[PMI]]-B76</f>
        <v>-2.7000000000000028</v>
      </c>
    </row>
    <row r="78" spans="1:3" x14ac:dyDescent="0.2">
      <c r="A78" s="14">
        <v>42644</v>
      </c>
      <c r="B78" s="13">
        <v>54.5</v>
      </c>
      <c r="C78" s="21">
        <f>Table134681134567[[#This Row],[PMI]]-B77</f>
        <v>2.5</v>
      </c>
    </row>
    <row r="79" spans="1:3" x14ac:dyDescent="0.2">
      <c r="A79" s="14">
        <v>42675</v>
      </c>
      <c r="B79" s="13">
        <v>46.7</v>
      </c>
      <c r="C79" s="21">
        <f>Table134681134567[[#This Row],[PMI]]-B78</f>
        <v>-7.7999999999999972</v>
      </c>
    </row>
    <row r="80" spans="1:3" x14ac:dyDescent="0.2">
      <c r="A80" s="14">
        <v>42705</v>
      </c>
      <c r="B80" s="13">
        <v>46.8</v>
      </c>
      <c r="C80" s="21">
        <f>Table134681134567[[#This Row],[PMI]]-B79</f>
        <v>9.9999999999994316E-2</v>
      </c>
    </row>
    <row r="81" spans="1:3" x14ac:dyDescent="0.2">
      <c r="A81" s="14">
        <v>42736</v>
      </c>
      <c r="B81" s="13">
        <v>48.7</v>
      </c>
      <c r="C81" s="21">
        <f>Table134681134567[[#This Row],[PMI]]-B80</f>
        <v>1.9000000000000057</v>
      </c>
    </row>
    <row r="82" spans="1:3" x14ac:dyDescent="0.2">
      <c r="A82" s="14">
        <v>42767</v>
      </c>
      <c r="B82" s="13">
        <v>50.3</v>
      </c>
      <c r="C82" s="21">
        <f>Table134681134567[[#This Row],[PMI]]-B81</f>
        <v>1.5999999999999943</v>
      </c>
    </row>
    <row r="83" spans="1:3" x14ac:dyDescent="0.2">
      <c r="A83" s="14">
        <v>42795</v>
      </c>
      <c r="B83" s="13">
        <v>51.5</v>
      </c>
      <c r="C83" s="21">
        <f>Table134681134567[[#This Row],[PMI]]-B82</f>
        <v>1.2000000000000028</v>
      </c>
    </row>
    <row r="84" spans="1:3" x14ac:dyDescent="0.2">
      <c r="A84" s="14">
        <v>42826</v>
      </c>
      <c r="B84" s="13">
        <v>50.2</v>
      </c>
      <c r="C84" s="21">
        <f>Table134681134567[[#This Row],[PMI]]-B83</f>
        <v>-1.2999999999999972</v>
      </c>
    </row>
    <row r="85" spans="1:3" x14ac:dyDescent="0.2">
      <c r="A85" s="14">
        <v>42856</v>
      </c>
      <c r="B85" s="13">
        <v>52.2</v>
      </c>
      <c r="C85" s="21">
        <f>Table134681134567[[#This Row],[PMI]]-B84</f>
        <v>2</v>
      </c>
    </row>
    <row r="86" spans="1:3" x14ac:dyDescent="0.2">
      <c r="A86" s="14">
        <v>42887</v>
      </c>
      <c r="B86" s="13">
        <v>53.1</v>
      </c>
      <c r="C86" s="21">
        <f>Table134681134567[[#This Row],[PMI]]-B85</f>
        <v>0.89999999999999858</v>
      </c>
    </row>
    <row r="87" spans="1:3" x14ac:dyDescent="0.2">
      <c r="A87" s="14">
        <v>42917</v>
      </c>
      <c r="B87" s="13">
        <v>45.9</v>
      </c>
      <c r="C87" s="21">
        <f>Table134681134567[[#This Row],[PMI]]-B86</f>
        <v>-7.2000000000000028</v>
      </c>
    </row>
    <row r="88" spans="1:3" x14ac:dyDescent="0.2">
      <c r="A88" s="14">
        <v>42948</v>
      </c>
      <c r="B88" s="13">
        <v>47.5</v>
      </c>
      <c r="C88" s="21">
        <f>Table134681134567[[#This Row],[PMI]]-B87</f>
        <v>1.6000000000000014</v>
      </c>
    </row>
    <row r="89" spans="1:3" x14ac:dyDescent="0.2">
      <c r="A89" s="14">
        <v>42979</v>
      </c>
      <c r="B89" s="13">
        <v>50.7</v>
      </c>
      <c r="C89" s="21">
        <f>Table134681134567[[#This Row],[PMI]]-B88</f>
        <v>3.2000000000000028</v>
      </c>
    </row>
    <row r="90" spans="1:3" x14ac:dyDescent="0.2">
      <c r="A90" s="14">
        <v>43009</v>
      </c>
      <c r="B90" s="13">
        <v>51.7</v>
      </c>
      <c r="C90" s="21">
        <f>Table134681134567[[#This Row],[PMI]]-B89</f>
        <v>1</v>
      </c>
    </row>
    <row r="91" spans="1:3" x14ac:dyDescent="0.2">
      <c r="A91" s="14">
        <v>43040</v>
      </c>
      <c r="B91" s="13">
        <v>48.5</v>
      </c>
      <c r="C91" s="21">
        <f>Table134681134567[[#This Row],[PMI]]-B90</f>
        <v>-3.2000000000000028</v>
      </c>
    </row>
    <row r="92" spans="1:3" x14ac:dyDescent="0.2">
      <c r="A92" s="14">
        <v>43070</v>
      </c>
      <c r="B92" s="13">
        <v>50.9</v>
      </c>
      <c r="C92" s="21">
        <f>Table134681134567[[#This Row],[PMI]]-B91</f>
        <v>2.3999999999999986</v>
      </c>
    </row>
    <row r="93" spans="1:3" x14ac:dyDescent="0.2">
      <c r="A93" s="14">
        <v>43101</v>
      </c>
      <c r="B93" s="13">
        <v>51.7</v>
      </c>
      <c r="C93" s="21">
        <f>Table134681134567[[#This Row],[PMI]]-B92</f>
        <v>0.80000000000000426</v>
      </c>
    </row>
    <row r="94" spans="1:3" x14ac:dyDescent="0.2">
      <c r="A94" s="14">
        <v>43132</v>
      </c>
      <c r="B94" s="13">
        <v>47.8</v>
      </c>
      <c r="C94" s="21">
        <f>Table134681134567[[#This Row],[PMI]]-B93</f>
        <v>-3.9000000000000057</v>
      </c>
    </row>
    <row r="95" spans="1:3" x14ac:dyDescent="0.2">
      <c r="A95" s="14">
        <v>43160</v>
      </c>
      <c r="B95" s="13">
        <v>50.3</v>
      </c>
      <c r="C95" s="21">
        <f>Table134681134567[[#This Row],[PMI]]-B94</f>
        <v>2.5</v>
      </c>
    </row>
    <row r="96" spans="1:3" x14ac:dyDescent="0.2">
      <c r="A96" s="14">
        <v>43191</v>
      </c>
      <c r="B96" s="13">
        <v>51.4</v>
      </c>
      <c r="C96" s="21">
        <f>Table134681134567[[#This Row],[PMI]]-B95</f>
        <v>1.1000000000000014</v>
      </c>
    </row>
    <row r="97" spans="1:3" x14ac:dyDescent="0.2">
      <c r="A97" s="14">
        <v>43221</v>
      </c>
      <c r="B97" s="13">
        <v>49.6</v>
      </c>
      <c r="C97" s="21">
        <f>Table134681134567[[#This Row],[PMI]]-B96</f>
        <v>-1.7999999999999972</v>
      </c>
    </row>
    <row r="98" spans="1:3" x14ac:dyDescent="0.2">
      <c r="A98" s="14">
        <v>43252</v>
      </c>
      <c r="B98" s="13">
        <v>52.6</v>
      </c>
      <c r="C98" s="21">
        <f>Table134681134567[[#This Row],[PMI]]-B97</f>
        <v>3</v>
      </c>
    </row>
    <row r="99" spans="1:3" x14ac:dyDescent="0.2">
      <c r="A99" s="14">
        <v>43282</v>
      </c>
      <c r="B99" s="13">
        <v>54.2</v>
      </c>
      <c r="C99" s="21">
        <f>Table134681134567[[#This Row],[PMI]]-B98</f>
        <v>1.6000000000000014</v>
      </c>
    </row>
    <row r="100" spans="1:3" x14ac:dyDescent="0.2">
      <c r="A100" s="14">
        <v>43313</v>
      </c>
      <c r="B100" s="13">
        <v>51.5</v>
      </c>
      <c r="C100" s="21">
        <f>Table134681134567[[#This Row],[PMI]]-B99</f>
        <v>-2.7000000000000028</v>
      </c>
    </row>
    <row r="101" spans="1:3" x14ac:dyDescent="0.2">
      <c r="A101" s="14">
        <v>43344</v>
      </c>
      <c r="B101" s="13">
        <v>50.9</v>
      </c>
      <c r="C101" s="21">
        <f>Table134681134567[[#This Row],[PMI]]-B100</f>
        <v>-0.60000000000000142</v>
      </c>
    </row>
    <row r="102" spans="1:3" x14ac:dyDescent="0.2">
      <c r="A102" s="14">
        <v>43374</v>
      </c>
      <c r="B102" s="13">
        <v>52.2</v>
      </c>
      <c r="C102" s="21">
        <f>Table134681134567[[#This Row],[PMI]]-B101</f>
        <v>1.3000000000000043</v>
      </c>
    </row>
    <row r="103" spans="1:3" x14ac:dyDescent="0.2">
      <c r="A103" s="14">
        <v>43405</v>
      </c>
      <c r="B103" s="13">
        <v>53.7</v>
      </c>
      <c r="C103" s="21">
        <f>Table134681134567[[#This Row],[PMI]]-B102</f>
        <v>1.5</v>
      </c>
    </row>
    <row r="104" spans="1:3" x14ac:dyDescent="0.2">
      <c r="A104" s="14">
        <v>43435</v>
      </c>
      <c r="B104" s="13">
        <v>53.2</v>
      </c>
      <c r="C104" s="21">
        <f>Table134681134567[[#This Row],[PMI]]-B103</f>
        <v>-0.5</v>
      </c>
    </row>
    <row r="105" spans="1:3" x14ac:dyDescent="0.2">
      <c r="A105" s="14">
        <v>43466</v>
      </c>
      <c r="B105" s="13">
        <v>52.2</v>
      </c>
      <c r="C105" s="21">
        <f>Table134681134567[[#This Row],[PMI]]-B104</f>
        <v>-1</v>
      </c>
    </row>
    <row r="106" spans="1:3" x14ac:dyDescent="0.2">
      <c r="A106" s="14">
        <v>43497</v>
      </c>
      <c r="B106" s="13">
        <v>52.5</v>
      </c>
      <c r="C106" s="21">
        <f>Table134681134567[[#This Row],[PMI]]-B105</f>
        <v>0.29999999999999716</v>
      </c>
    </row>
    <row r="107" spans="1:3" x14ac:dyDescent="0.2">
      <c r="A107" s="14">
        <v>43525</v>
      </c>
      <c r="B107" s="13">
        <v>52</v>
      </c>
      <c r="C107" s="21">
        <f>Table134681134567[[#This Row],[PMI]]-B106</f>
        <v>-0.5</v>
      </c>
    </row>
    <row r="108" spans="1:3" x14ac:dyDescent="0.2">
      <c r="A108" s="14">
        <v>43556</v>
      </c>
      <c r="B108" s="13">
        <v>51</v>
      </c>
      <c r="C108" s="21">
        <f>Table134681134567[[#This Row],[PMI]]-B107</f>
        <v>-1</v>
      </c>
    </row>
    <row r="109" spans="1:3" x14ac:dyDescent="0.2">
      <c r="A109" s="14">
        <v>43586</v>
      </c>
      <c r="B109" s="13">
        <v>50.2</v>
      </c>
      <c r="C109" s="21">
        <f>Table134681134567[[#This Row],[PMI]]-B108</f>
        <v>-0.79999999999999716</v>
      </c>
    </row>
    <row r="110" spans="1:3" x14ac:dyDescent="0.2">
      <c r="A110" s="14">
        <v>43617</v>
      </c>
      <c r="B110" s="13">
        <v>49.6</v>
      </c>
      <c r="C110" s="21">
        <f>Table134681134567[[#This Row],[PMI]]-B109</f>
        <v>-0.60000000000000142</v>
      </c>
    </row>
    <row r="111" spans="1:3" x14ac:dyDescent="0.2">
      <c r="A111" s="14">
        <v>43647</v>
      </c>
      <c r="B111" s="13">
        <v>53.8</v>
      </c>
      <c r="C111" s="21">
        <f>Table134681134567[[#This Row],[PMI]]-B110</f>
        <v>4.1999999999999957</v>
      </c>
    </row>
    <row r="112" spans="1:3" x14ac:dyDescent="0.2">
      <c r="A112" s="14">
        <v>43678</v>
      </c>
      <c r="B112" s="13">
        <v>52.4</v>
      </c>
      <c r="C112" s="21">
        <f>Table134681134567[[#This Row],[PMI]]-B111</f>
        <v>-1.3999999999999986</v>
      </c>
    </row>
    <row r="113" spans="1:3" x14ac:dyDescent="0.2">
      <c r="A113" s="14">
        <v>43709</v>
      </c>
      <c r="B113" s="13">
        <v>48.7</v>
      </c>
      <c r="C113" s="21">
        <f>Table134681134567[[#This Row],[PMI]]-B112</f>
        <v>-3.6999999999999957</v>
      </c>
    </row>
    <row r="114" spans="1:3" x14ac:dyDescent="0.2">
      <c r="A114" s="14">
        <v>43739</v>
      </c>
      <c r="B114" s="13">
        <v>49.2</v>
      </c>
      <c r="C114" s="21">
        <f>Table134681134567[[#This Row],[PMI]]-B113</f>
        <v>0.5</v>
      </c>
    </row>
    <row r="115" spans="1:3" x14ac:dyDescent="0.2">
      <c r="A115" s="14">
        <v>43770</v>
      </c>
      <c r="B115" s="13">
        <v>52.7</v>
      </c>
      <c r="C115" s="21">
        <f>Table134681134567[[#This Row],[PMI]]-B114</f>
        <v>3.5</v>
      </c>
    </row>
    <row r="116" spans="1:3" x14ac:dyDescent="0.2">
      <c r="A116" s="14">
        <v>43800</v>
      </c>
      <c r="B116" s="13">
        <v>53.3</v>
      </c>
      <c r="C116" s="21">
        <f>Table134681134567[[#This Row],[PMI]]-B115</f>
        <v>0.59999999999999432</v>
      </c>
    </row>
    <row r="117" spans="1:3" x14ac:dyDescent="0.2">
      <c r="A117" s="14">
        <v>43831</v>
      </c>
      <c r="B117" s="13">
        <v>55.5</v>
      </c>
      <c r="C117" s="21">
        <f>Table134681134567[[#This Row],[PMI]]-B116</f>
        <v>2.2000000000000028</v>
      </c>
    </row>
    <row r="118" spans="1:3" x14ac:dyDescent="0.2">
      <c r="A118" s="14">
        <v>43862</v>
      </c>
      <c r="B118" s="13">
        <v>57.5</v>
      </c>
      <c r="C118" s="21">
        <f>Table134681134567[[#This Row],[PMI]]-B117</f>
        <v>2</v>
      </c>
    </row>
    <row r="119" spans="1:3" x14ac:dyDescent="0.2">
      <c r="A119" s="14">
        <v>43891</v>
      </c>
      <c r="B119" s="13">
        <v>49.3</v>
      </c>
      <c r="C119" s="21">
        <f>Table134681134567[[#This Row],[PMI]]-B118</f>
        <v>-8.2000000000000028</v>
      </c>
    </row>
    <row r="120" spans="1:3" x14ac:dyDescent="0.2">
      <c r="A120" s="14">
        <v>43922</v>
      </c>
      <c r="B120" s="13">
        <v>49.3</v>
      </c>
      <c r="C120" s="21">
        <f>Table134681134567[[#This Row],[PMI]]-B119</f>
        <v>0</v>
      </c>
    </row>
    <row r="121" spans="1:3" x14ac:dyDescent="0.2">
      <c r="A121" s="14">
        <v>43952</v>
      </c>
      <c r="B121" s="13">
        <v>12.6</v>
      </c>
      <c r="C121" s="21">
        <f>Table134681134567[[#This Row],[PMI]]-B120</f>
        <v>-36.699999999999996</v>
      </c>
    </row>
    <row r="122" spans="1:3" x14ac:dyDescent="0.2">
      <c r="A122" s="14">
        <v>43983</v>
      </c>
      <c r="B122" s="13">
        <v>33.700000000000003</v>
      </c>
      <c r="C122" s="21">
        <f>Table134681134567[[#This Row],[PMI]]-B121</f>
        <v>21.1</v>
      </c>
    </row>
    <row r="123" spans="1:3" x14ac:dyDescent="0.2">
      <c r="A123" s="14">
        <v>44013</v>
      </c>
      <c r="B123" s="13">
        <v>34.200000000000003</v>
      </c>
      <c r="C123" s="21">
        <f>Table134681134567[[#This Row],[PMI]]-B122</f>
        <v>0.5</v>
      </c>
    </row>
    <row r="124" spans="1:3" x14ac:dyDescent="0.2">
      <c r="A124" s="14">
        <v>44044</v>
      </c>
      <c r="B124" s="13">
        <v>41.8</v>
      </c>
      <c r="C124" s="21">
        <f>Table134681134567[[#This Row],[PMI]]-B123</f>
        <v>7.5999999999999943</v>
      </c>
    </row>
    <row r="125" spans="1:3" x14ac:dyDescent="0.2">
      <c r="A125" s="14">
        <v>44075</v>
      </c>
      <c r="B125" s="13">
        <v>49.8</v>
      </c>
      <c r="C125" s="21">
        <f>Table134681134567[[#This Row],[PMI]]-B124</f>
        <v>8</v>
      </c>
    </row>
    <row r="126" spans="1:3" x14ac:dyDescent="0.2">
      <c r="A126" s="14">
        <v>44105</v>
      </c>
      <c r="B126" s="13">
        <v>54.1</v>
      </c>
      <c r="C126" s="21">
        <f>Table134681134567[[#This Row],[PMI]]-B125</f>
        <v>4.3000000000000043</v>
      </c>
    </row>
    <row r="127" spans="1:3" x14ac:dyDescent="0.2">
      <c r="A127" s="14">
        <v>44136</v>
      </c>
      <c r="B127" s="13">
        <v>53.7</v>
      </c>
      <c r="C127" s="21">
        <f>Table134681134567[[#This Row],[PMI]]-B126</f>
        <v>-0.39999999999999858</v>
      </c>
    </row>
    <row r="128" spans="1:3" x14ac:dyDescent="0.2">
      <c r="A128" s="14">
        <v>44166</v>
      </c>
      <c r="B128" s="13">
        <v>52.3</v>
      </c>
      <c r="C128" s="21">
        <f>Table134681134567[[#This Row],[PMI]]-B127</f>
        <v>-1.4000000000000057</v>
      </c>
    </row>
    <row r="129" spans="1:3" x14ac:dyDescent="0.2">
      <c r="A129" s="14">
        <v>44197</v>
      </c>
      <c r="B129" s="13">
        <v>52.8</v>
      </c>
      <c r="C129" s="21">
        <f>Table134681134567[[#This Row],[PMI]]-B128</f>
        <v>0.5</v>
      </c>
    </row>
    <row r="130" spans="1:3" x14ac:dyDescent="0.2">
      <c r="A130" s="14">
        <v>44228</v>
      </c>
      <c r="B130" s="13">
        <v>55.3</v>
      </c>
      <c r="C130" s="21">
        <f>Table134681134567[[#This Row],[PMI]]-B129</f>
        <v>2.5</v>
      </c>
    </row>
    <row r="131" spans="1:3" x14ac:dyDescent="0.2">
      <c r="A131" s="14">
        <v>44256</v>
      </c>
      <c r="B131" s="13">
        <v>54.6</v>
      </c>
      <c r="C131" s="21">
        <f>Table134681134567[[#This Row],[PMI]]-B130</f>
        <v>-0.69999999999999574</v>
      </c>
    </row>
    <row r="132" spans="1:3" x14ac:dyDescent="0.2">
      <c r="A132" s="14">
        <v>44287</v>
      </c>
      <c r="B132" s="13">
        <v>54</v>
      </c>
      <c r="C132" s="21">
        <f>Table134681134567[[#This Row],[PMI]]-B131</f>
        <v>-0.60000000000000142</v>
      </c>
    </row>
    <row r="133" spans="1:3" x14ac:dyDescent="0.2">
      <c r="A133" s="14">
        <v>44317</v>
      </c>
      <c r="B133" s="13">
        <v>46.4</v>
      </c>
      <c r="C133" s="21">
        <f>Table134681134567[[#This Row],[PMI]]-B132</f>
        <v>-7.6000000000000014</v>
      </c>
    </row>
    <row r="134" spans="1:3" x14ac:dyDescent="0.2">
      <c r="A134" s="14">
        <v>44348</v>
      </c>
      <c r="B134" s="13">
        <v>41.2</v>
      </c>
      <c r="C134" s="21">
        <f>Table134681134567[[#This Row],[PMI]]-B133</f>
        <v>-5.1999999999999957</v>
      </c>
    </row>
    <row r="135" spans="1:3" x14ac:dyDescent="0.2">
      <c r="A135" s="14">
        <v>44378</v>
      </c>
      <c r="B135" s="13">
        <v>45.4</v>
      </c>
      <c r="C135" s="21">
        <f>Table134681134567[[#This Row],[PMI]]-B134</f>
        <v>4.1999999999999957</v>
      </c>
    </row>
    <row r="136" spans="1:3" x14ac:dyDescent="0.2">
      <c r="A136" s="14">
        <v>44409</v>
      </c>
      <c r="B136" s="13">
        <v>56.7</v>
      </c>
      <c r="C136" s="21">
        <f>Table134681134567[[#This Row],[PMI]]-B135</f>
        <v>11.300000000000004</v>
      </c>
    </row>
    <row r="137" spans="1:3" x14ac:dyDescent="0.2">
      <c r="A137" s="14">
        <v>44440</v>
      </c>
      <c r="B137" s="13">
        <v>55.2</v>
      </c>
      <c r="C137" s="21">
        <f>Table134681134567[[#This Row],[PMI]]-B136</f>
        <v>-1.5</v>
      </c>
    </row>
    <row r="138" spans="1:3" x14ac:dyDescent="0.2">
      <c r="A138" s="14">
        <v>44470</v>
      </c>
      <c r="B138" s="13">
        <v>58.4</v>
      </c>
      <c r="C138" s="21">
        <f>Table134681134567[[#This Row],[PMI]]-B137</f>
        <v>3.1999999999999957</v>
      </c>
    </row>
    <row r="139" spans="1:3" x14ac:dyDescent="0.2">
      <c r="A139" s="14">
        <v>44501</v>
      </c>
      <c r="B139" s="13">
        <v>58.1</v>
      </c>
      <c r="C139" s="21">
        <f>Table134681134567[[#This Row],[PMI]]-B138</f>
        <v>-0.29999999999999716</v>
      </c>
    </row>
    <row r="140" spans="1:3" x14ac:dyDescent="0.2">
      <c r="A140" s="14">
        <v>44531</v>
      </c>
      <c r="B140" s="13">
        <v>55.5</v>
      </c>
      <c r="C140" s="21">
        <f>Table134681134567[[#This Row],[PMI]]-B139</f>
        <v>-2.6000000000000014</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BA0136-40AB-4C5F-9303-E62A8A08EF4E}">
  <dimension ref="A1:J140"/>
  <sheetViews>
    <sheetView topLeftCell="A94" zoomScale="150" zoomScaleNormal="150" workbookViewId="0">
      <selection activeCell="M109" sqref="M109"/>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27</v>
      </c>
      <c r="J1" s="25" t="s">
        <v>42</v>
      </c>
    </row>
    <row r="2" spans="1:10" x14ac:dyDescent="0.2">
      <c r="J2" s="25" t="str">
        <f>A1&amp;J1</f>
        <v>Australia Services PMI</v>
      </c>
    </row>
    <row r="4" spans="1:10" ht="16" thickBot="1" x14ac:dyDescent="0.25"/>
    <row r="5" spans="1:10" ht="16" thickBot="1" x14ac:dyDescent="0.25">
      <c r="A5" s="19" t="s">
        <v>9</v>
      </c>
      <c r="B5" s="20" t="s">
        <v>10</v>
      </c>
      <c r="C5" s="20" t="s">
        <v>11</v>
      </c>
    </row>
    <row r="6" spans="1:10" x14ac:dyDescent="0.2">
      <c r="A6" s="17">
        <v>40452</v>
      </c>
      <c r="B6" s="18">
        <v>50.7</v>
      </c>
      <c r="C6" s="18"/>
    </row>
    <row r="7" spans="1:10" x14ac:dyDescent="0.2">
      <c r="A7" s="14">
        <v>40483</v>
      </c>
      <c r="B7" s="13">
        <v>46.2</v>
      </c>
      <c r="C7" s="13">
        <f>Table13468113456716[[#This Row],[PMI]]-B6</f>
        <v>-4.5</v>
      </c>
    </row>
    <row r="8" spans="1:10" x14ac:dyDescent="0.2">
      <c r="A8" s="14">
        <v>40513</v>
      </c>
      <c r="B8" s="13">
        <v>47.1</v>
      </c>
      <c r="C8" s="13">
        <f>Table13468113456716[[#This Row],[PMI]]-B7</f>
        <v>0.89999999999999858</v>
      </c>
    </row>
    <row r="9" spans="1:10" x14ac:dyDescent="0.2">
      <c r="A9" s="14">
        <v>40544</v>
      </c>
      <c r="B9" s="13">
        <v>45.5</v>
      </c>
      <c r="C9" s="13">
        <f>Table13468113456716[[#This Row],[PMI]]-B8</f>
        <v>-1.6000000000000014</v>
      </c>
    </row>
    <row r="10" spans="1:10" x14ac:dyDescent="0.2">
      <c r="A10" s="14">
        <v>40575</v>
      </c>
      <c r="B10" s="13">
        <v>48.7</v>
      </c>
      <c r="C10" s="13">
        <f>Table13468113456716[[#This Row],[PMI]]-B9</f>
        <v>3.2000000000000028</v>
      </c>
    </row>
    <row r="11" spans="1:10" x14ac:dyDescent="0.2">
      <c r="A11" s="14">
        <v>40603</v>
      </c>
      <c r="B11" s="13">
        <v>46.5</v>
      </c>
      <c r="C11" s="13">
        <f>Table13468113456716[[#This Row],[PMI]]-B10</f>
        <v>-2.2000000000000028</v>
      </c>
    </row>
    <row r="12" spans="1:10" x14ac:dyDescent="0.2">
      <c r="A12" s="14">
        <v>40634</v>
      </c>
      <c r="B12" s="13">
        <v>51.5</v>
      </c>
      <c r="C12" s="13">
        <f>Table13468113456716[[#This Row],[PMI]]-B11</f>
        <v>5</v>
      </c>
    </row>
    <row r="13" spans="1:10" x14ac:dyDescent="0.2">
      <c r="A13" s="14">
        <v>40664</v>
      </c>
      <c r="B13" s="13">
        <v>49.9</v>
      </c>
      <c r="C13" s="13">
        <f>Table13468113456716[[#This Row],[PMI]]-B12</f>
        <v>-1.6000000000000014</v>
      </c>
    </row>
    <row r="14" spans="1:10" x14ac:dyDescent="0.2">
      <c r="A14" s="14">
        <v>40695</v>
      </c>
      <c r="B14" s="13">
        <v>48.5</v>
      </c>
      <c r="C14" s="13">
        <f>Table13468113456716[[#This Row],[PMI]]-B13</f>
        <v>-1.3999999999999986</v>
      </c>
    </row>
    <row r="15" spans="1:10" x14ac:dyDescent="0.2">
      <c r="A15" s="14">
        <v>40725</v>
      </c>
      <c r="B15" s="13">
        <v>48.8</v>
      </c>
      <c r="C15" s="13">
        <f>Table13468113456716[[#This Row],[PMI]]-B14</f>
        <v>0.29999999999999716</v>
      </c>
    </row>
    <row r="16" spans="1:10" x14ac:dyDescent="0.2">
      <c r="A16" s="14">
        <v>40756</v>
      </c>
      <c r="B16" s="13">
        <v>52.1</v>
      </c>
      <c r="C16" s="13">
        <f>Table13468113456716[[#This Row],[PMI]]-B15</f>
        <v>3.3000000000000043</v>
      </c>
    </row>
    <row r="17" spans="1:3" x14ac:dyDescent="0.2">
      <c r="A17" s="14">
        <v>40787</v>
      </c>
      <c r="B17" s="13">
        <v>50.3</v>
      </c>
      <c r="C17" s="13">
        <f>Table13468113456716[[#This Row],[PMI]]-B16</f>
        <v>-1.8000000000000043</v>
      </c>
    </row>
    <row r="18" spans="1:3" x14ac:dyDescent="0.2">
      <c r="A18" s="14">
        <v>40817</v>
      </c>
      <c r="B18" s="13">
        <v>48.8</v>
      </c>
      <c r="C18" s="13">
        <f>Table13468113456716[[#This Row],[PMI]]-B17</f>
        <v>-1.5</v>
      </c>
    </row>
    <row r="19" spans="1:3" x14ac:dyDescent="0.2">
      <c r="A19" s="14">
        <v>40848</v>
      </c>
      <c r="B19" s="13">
        <v>47.7</v>
      </c>
      <c r="C19" s="13">
        <f>Table13468113456716[[#This Row],[PMI]]-B18</f>
        <v>-1.0999999999999943</v>
      </c>
    </row>
    <row r="20" spans="1:3" x14ac:dyDescent="0.2">
      <c r="A20" s="14">
        <v>40878</v>
      </c>
      <c r="B20" s="13">
        <v>49</v>
      </c>
      <c r="C20" s="13">
        <f>Table13468113456716[[#This Row],[PMI]]-B19</f>
        <v>1.2999999999999972</v>
      </c>
    </row>
    <row r="21" spans="1:3" x14ac:dyDescent="0.2">
      <c r="A21" s="14">
        <v>40909</v>
      </c>
      <c r="B21" s="13">
        <v>51.9</v>
      </c>
      <c r="C21" s="13">
        <f>Table13468113456716[[#This Row],[PMI]]-B20</f>
        <v>2.8999999999999986</v>
      </c>
    </row>
    <row r="22" spans="1:3" x14ac:dyDescent="0.2">
      <c r="A22" s="14">
        <v>40940</v>
      </c>
      <c r="B22" s="13">
        <v>46.7</v>
      </c>
      <c r="C22" s="13">
        <f>Table13468113456716[[#This Row],[PMI]]-B21</f>
        <v>-5.1999999999999957</v>
      </c>
    </row>
    <row r="23" spans="1:3" x14ac:dyDescent="0.2">
      <c r="A23" s="14">
        <v>40969</v>
      </c>
      <c r="B23" s="13">
        <v>47</v>
      </c>
      <c r="C23" s="13">
        <f>Table13468113456716[[#This Row],[PMI]]-B22</f>
        <v>0.29999999999999716</v>
      </c>
    </row>
    <row r="24" spans="1:3" x14ac:dyDescent="0.2">
      <c r="A24" s="14">
        <v>41000</v>
      </c>
      <c r="B24" s="13">
        <v>39.6</v>
      </c>
      <c r="C24" s="13">
        <f>Table13468113456716[[#This Row],[PMI]]-B23</f>
        <v>-7.3999999999999986</v>
      </c>
    </row>
    <row r="25" spans="1:3" x14ac:dyDescent="0.2">
      <c r="A25" s="14">
        <v>41030</v>
      </c>
      <c r="B25" s="13">
        <v>43.5</v>
      </c>
      <c r="C25" s="13">
        <f>Table13468113456716[[#This Row],[PMI]]-B24</f>
        <v>3.8999999999999986</v>
      </c>
    </row>
    <row r="26" spans="1:3" x14ac:dyDescent="0.2">
      <c r="A26" s="14">
        <v>41061</v>
      </c>
      <c r="B26" s="13">
        <v>48.8</v>
      </c>
      <c r="C26" s="13">
        <f>Table13468113456716[[#This Row],[PMI]]-B25</f>
        <v>5.2999999999999972</v>
      </c>
    </row>
    <row r="27" spans="1:3" x14ac:dyDescent="0.2">
      <c r="A27" s="14">
        <v>41091</v>
      </c>
      <c r="B27" s="13">
        <v>46.5</v>
      </c>
      <c r="C27" s="13">
        <f>Table13468113456716[[#This Row],[PMI]]-B26</f>
        <v>-2.2999999999999972</v>
      </c>
    </row>
    <row r="28" spans="1:3" x14ac:dyDescent="0.2">
      <c r="A28" s="14">
        <v>41122</v>
      </c>
      <c r="B28" s="13">
        <v>42.4</v>
      </c>
      <c r="C28" s="13">
        <f>Table13468113456716[[#This Row],[PMI]]-B27</f>
        <v>-4.1000000000000014</v>
      </c>
    </row>
    <row r="29" spans="1:3" x14ac:dyDescent="0.2">
      <c r="A29" s="14">
        <v>41153</v>
      </c>
      <c r="B29" s="13">
        <v>41.9</v>
      </c>
      <c r="C29" s="13">
        <f>Table13468113456716[[#This Row],[PMI]]-B28</f>
        <v>-0.5</v>
      </c>
    </row>
    <row r="30" spans="1:3" x14ac:dyDescent="0.2">
      <c r="A30" s="14">
        <v>41183</v>
      </c>
      <c r="B30" s="13">
        <v>42.8</v>
      </c>
      <c r="C30" s="13">
        <f>Table13468113456716[[#This Row],[PMI]]-B29</f>
        <v>0.89999999999999858</v>
      </c>
    </row>
    <row r="31" spans="1:3" x14ac:dyDescent="0.2">
      <c r="A31" s="14">
        <v>41214</v>
      </c>
      <c r="B31" s="13">
        <v>47.1</v>
      </c>
      <c r="C31" s="13">
        <f>Table13468113456716[[#This Row],[PMI]]-B30</f>
        <v>4.3000000000000043</v>
      </c>
    </row>
    <row r="32" spans="1:3" x14ac:dyDescent="0.2">
      <c r="A32" s="14">
        <v>41244</v>
      </c>
      <c r="B32" s="13">
        <v>46.3</v>
      </c>
      <c r="C32" s="13">
        <f>Table13468113456716[[#This Row],[PMI]]-B31</f>
        <v>-0.80000000000000426</v>
      </c>
    </row>
    <row r="33" spans="1:3" x14ac:dyDescent="0.2">
      <c r="A33" s="14">
        <v>41275</v>
      </c>
      <c r="B33" s="13">
        <v>45.4</v>
      </c>
      <c r="C33" s="13">
        <f>Table13468113456716[[#This Row],[PMI]]-B32</f>
        <v>-0.89999999999999858</v>
      </c>
    </row>
    <row r="34" spans="1:3" x14ac:dyDescent="0.2">
      <c r="A34" s="14">
        <v>41306</v>
      </c>
      <c r="B34" s="13">
        <v>48.5</v>
      </c>
      <c r="C34" s="13">
        <f>Table13468113456716[[#This Row],[PMI]]-B33</f>
        <v>3.1000000000000014</v>
      </c>
    </row>
    <row r="35" spans="1:3" x14ac:dyDescent="0.2">
      <c r="A35" s="14">
        <v>41334</v>
      </c>
      <c r="B35" s="13">
        <v>49.6</v>
      </c>
      <c r="C35" s="13">
        <f>Table13468113456716[[#This Row],[PMI]]-B34</f>
        <v>1.1000000000000014</v>
      </c>
    </row>
    <row r="36" spans="1:3" x14ac:dyDescent="0.2">
      <c r="A36" s="14">
        <v>41365</v>
      </c>
      <c r="B36" s="13">
        <v>44.1</v>
      </c>
      <c r="C36" s="13">
        <f>Table13468113456716[[#This Row],[PMI]]-B35</f>
        <v>-5.5</v>
      </c>
    </row>
    <row r="37" spans="1:3" x14ac:dyDescent="0.2">
      <c r="A37" s="14">
        <v>41395</v>
      </c>
      <c r="B37" s="13">
        <v>40.6</v>
      </c>
      <c r="C37" s="13">
        <f>Table13468113456716[[#This Row],[PMI]]-B36</f>
        <v>-3.5</v>
      </c>
    </row>
    <row r="38" spans="1:3" x14ac:dyDescent="0.2">
      <c r="A38" s="14">
        <v>41426</v>
      </c>
      <c r="B38" s="13">
        <v>41.5</v>
      </c>
      <c r="C38" s="13">
        <f>Table13468113456716[[#This Row],[PMI]]-B37</f>
        <v>0.89999999999999858</v>
      </c>
    </row>
    <row r="39" spans="1:3" x14ac:dyDescent="0.2">
      <c r="A39" s="14">
        <v>41456</v>
      </c>
      <c r="B39" s="13">
        <v>39.4</v>
      </c>
      <c r="C39" s="13">
        <f>Table13468113456716[[#This Row],[PMI]]-B38</f>
        <v>-2.1000000000000014</v>
      </c>
    </row>
    <row r="40" spans="1:3" x14ac:dyDescent="0.2">
      <c r="A40" s="14">
        <v>41487</v>
      </c>
      <c r="B40" s="13">
        <v>39</v>
      </c>
      <c r="C40" s="13">
        <f>Table13468113456716[[#This Row],[PMI]]-B39</f>
        <v>-0.39999999999999858</v>
      </c>
    </row>
    <row r="41" spans="1:3" x14ac:dyDescent="0.2">
      <c r="A41" s="14">
        <v>41518</v>
      </c>
      <c r="B41" s="13">
        <v>47.1</v>
      </c>
      <c r="C41" s="13">
        <f>Table13468113456716[[#This Row],[PMI]]-B40</f>
        <v>8.1000000000000014</v>
      </c>
    </row>
    <row r="42" spans="1:3" x14ac:dyDescent="0.2">
      <c r="A42" s="14">
        <v>41548</v>
      </c>
      <c r="B42" s="13">
        <v>47.9</v>
      </c>
      <c r="C42" s="13">
        <f>Table13468113456716[[#This Row],[PMI]]-B41</f>
        <v>0.79999999999999716</v>
      </c>
    </row>
    <row r="43" spans="1:3" x14ac:dyDescent="0.2">
      <c r="A43" s="14">
        <v>41579</v>
      </c>
      <c r="B43" s="13">
        <v>48.9</v>
      </c>
      <c r="C43" s="13">
        <f>Table13468113456716[[#This Row],[PMI]]-B42</f>
        <v>1</v>
      </c>
    </row>
    <row r="44" spans="1:3" x14ac:dyDescent="0.2">
      <c r="A44" s="14">
        <v>41609</v>
      </c>
      <c r="B44" s="13">
        <v>46.1</v>
      </c>
      <c r="C44" s="13">
        <f>Table13468113456716[[#This Row],[PMI]]-B43</f>
        <v>-2.7999999999999972</v>
      </c>
    </row>
    <row r="45" spans="1:3" x14ac:dyDescent="0.2">
      <c r="A45" s="14">
        <v>41640</v>
      </c>
      <c r="B45" s="13">
        <v>49.3</v>
      </c>
      <c r="C45" s="13">
        <f>Table13468113456716[[#This Row],[PMI]]-B44</f>
        <v>3.1999999999999957</v>
      </c>
    </row>
    <row r="46" spans="1:3" x14ac:dyDescent="0.2">
      <c r="A46" s="14">
        <v>41671</v>
      </c>
      <c r="B46" s="13">
        <v>55.2</v>
      </c>
      <c r="C46" s="13">
        <f>Table13468113456716[[#This Row],[PMI]]-B45</f>
        <v>5.9000000000000057</v>
      </c>
    </row>
    <row r="47" spans="1:3" x14ac:dyDescent="0.2">
      <c r="A47" s="14">
        <v>41699</v>
      </c>
      <c r="B47" s="13">
        <v>48.9</v>
      </c>
      <c r="C47" s="13">
        <f>Table13468113456716[[#This Row],[PMI]]-B46</f>
        <v>-6.3000000000000043</v>
      </c>
    </row>
    <row r="48" spans="1:3" x14ac:dyDescent="0.2">
      <c r="A48" s="14">
        <v>41730</v>
      </c>
      <c r="B48" s="13">
        <v>48.6</v>
      </c>
      <c r="C48" s="13">
        <f>Table13468113456716[[#This Row],[PMI]]-B47</f>
        <v>-0.29999999999999716</v>
      </c>
    </row>
    <row r="49" spans="1:3" x14ac:dyDescent="0.2">
      <c r="A49" s="14">
        <v>41760</v>
      </c>
      <c r="B49" s="13">
        <v>49.9</v>
      </c>
      <c r="C49" s="13">
        <f>Table13468113456716[[#This Row],[PMI]]-B48</f>
        <v>1.2999999999999972</v>
      </c>
    </row>
    <row r="50" spans="1:3" x14ac:dyDescent="0.2">
      <c r="A50" s="14">
        <v>41791</v>
      </c>
      <c r="B50" s="13">
        <v>47.6</v>
      </c>
      <c r="C50" s="13">
        <f>Table13468113456716[[#This Row],[PMI]]-B49</f>
        <v>-2.2999999999999972</v>
      </c>
    </row>
    <row r="51" spans="1:3" x14ac:dyDescent="0.2">
      <c r="A51" s="14">
        <v>41821</v>
      </c>
      <c r="B51" s="13">
        <v>49.3</v>
      </c>
      <c r="C51" s="13">
        <f>Table13468113456716[[#This Row],[PMI]]-B50</f>
        <v>1.6999999999999957</v>
      </c>
    </row>
    <row r="52" spans="1:3" x14ac:dyDescent="0.2">
      <c r="A52" s="14">
        <v>41852</v>
      </c>
      <c r="B52" s="13">
        <v>49.4</v>
      </c>
      <c r="C52" s="13">
        <f>Table13468113456716[[#This Row],[PMI]]-B51</f>
        <v>0.10000000000000142</v>
      </c>
    </row>
    <row r="53" spans="1:3" x14ac:dyDescent="0.2">
      <c r="A53" s="14">
        <v>41883</v>
      </c>
      <c r="B53" s="13">
        <v>45.5</v>
      </c>
      <c r="C53" s="13">
        <f>Table13468113456716[[#This Row],[PMI]]-B52</f>
        <v>-3.8999999999999986</v>
      </c>
    </row>
    <row r="54" spans="1:3" x14ac:dyDescent="0.2">
      <c r="A54" s="14">
        <v>41913</v>
      </c>
      <c r="B54" s="13">
        <v>43.6</v>
      </c>
      <c r="C54" s="13">
        <f>Table13468113456716[[#This Row],[PMI]]-B53</f>
        <v>-1.8999999999999986</v>
      </c>
    </row>
    <row r="55" spans="1:3" x14ac:dyDescent="0.2">
      <c r="A55" s="14">
        <v>41944</v>
      </c>
      <c r="B55" s="13">
        <v>43.8</v>
      </c>
      <c r="C55" s="13">
        <f>Table13468113456716[[#This Row],[PMI]]-B54</f>
        <v>0.19999999999999574</v>
      </c>
    </row>
    <row r="56" spans="1:3" x14ac:dyDescent="0.2">
      <c r="A56" s="14">
        <v>41974</v>
      </c>
      <c r="B56" s="13">
        <v>47.5</v>
      </c>
      <c r="C56" s="13">
        <f>Table13468113456716[[#This Row],[PMI]]-B55</f>
        <v>3.7000000000000028</v>
      </c>
    </row>
    <row r="57" spans="1:3" x14ac:dyDescent="0.2">
      <c r="A57" s="14">
        <v>42005</v>
      </c>
      <c r="B57" s="13">
        <v>49.5</v>
      </c>
      <c r="C57" s="13">
        <f>Table13468113456716[[#This Row],[PMI]]-B56</f>
        <v>2</v>
      </c>
    </row>
    <row r="58" spans="1:3" x14ac:dyDescent="0.2">
      <c r="A58" s="14">
        <v>42036</v>
      </c>
      <c r="B58" s="13">
        <v>51.7</v>
      </c>
      <c r="C58" s="13">
        <f>Table13468113456716[[#This Row],[PMI]]-B57</f>
        <v>2.2000000000000028</v>
      </c>
    </row>
    <row r="59" spans="1:3" x14ac:dyDescent="0.2">
      <c r="A59" s="14">
        <v>42064</v>
      </c>
      <c r="B59" s="13">
        <v>50.2</v>
      </c>
      <c r="C59" s="13">
        <f>Table13468113456716[[#This Row],[PMI]]-B58</f>
        <v>-1.5</v>
      </c>
    </row>
    <row r="60" spans="1:3" x14ac:dyDescent="0.2">
      <c r="A60" s="14">
        <v>42095</v>
      </c>
      <c r="B60" s="13">
        <v>49.7</v>
      </c>
      <c r="C60" s="13">
        <f>Table13468113456716[[#This Row],[PMI]]-B59</f>
        <v>-0.5</v>
      </c>
    </row>
    <row r="61" spans="1:3" x14ac:dyDescent="0.2">
      <c r="A61" s="14">
        <v>42125</v>
      </c>
      <c r="B61" s="13">
        <v>49.6</v>
      </c>
      <c r="C61" s="13">
        <f>Table13468113456716[[#This Row],[PMI]]-B60</f>
        <v>-0.10000000000000142</v>
      </c>
    </row>
    <row r="62" spans="1:3" x14ac:dyDescent="0.2">
      <c r="A62" s="14">
        <v>42156</v>
      </c>
      <c r="B62" s="13">
        <v>51.2</v>
      </c>
      <c r="C62" s="13">
        <f>Table13468113456716[[#This Row],[PMI]]-B61</f>
        <v>1.6000000000000014</v>
      </c>
    </row>
    <row r="63" spans="1:3" x14ac:dyDescent="0.2">
      <c r="A63" s="14">
        <v>42186</v>
      </c>
      <c r="B63" s="13">
        <v>54.1</v>
      </c>
      <c r="C63" s="13">
        <f>Table13468113456716[[#This Row],[PMI]]-B62</f>
        <v>2.8999999999999986</v>
      </c>
    </row>
    <row r="64" spans="1:3" x14ac:dyDescent="0.2">
      <c r="A64" s="14">
        <v>42217</v>
      </c>
      <c r="B64" s="13">
        <v>55.6</v>
      </c>
      <c r="C64" s="13">
        <f>Table13468113456716[[#This Row],[PMI]]-B63</f>
        <v>1.5</v>
      </c>
    </row>
    <row r="65" spans="1:3" x14ac:dyDescent="0.2">
      <c r="A65" s="14">
        <v>42248</v>
      </c>
      <c r="B65" s="13">
        <v>52.3</v>
      </c>
      <c r="C65" s="13">
        <f>Table13468113456716[[#This Row],[PMI]]-B64</f>
        <v>-3.3000000000000043</v>
      </c>
    </row>
    <row r="66" spans="1:3" x14ac:dyDescent="0.2">
      <c r="A66" s="14">
        <v>42278</v>
      </c>
      <c r="B66" s="13">
        <v>48.9</v>
      </c>
      <c r="C66" s="13">
        <f>Table13468113456716[[#This Row],[PMI]]-B65</f>
        <v>-3.3999999999999986</v>
      </c>
    </row>
    <row r="67" spans="1:3" x14ac:dyDescent="0.2">
      <c r="A67" s="14">
        <v>42309</v>
      </c>
      <c r="B67" s="13">
        <v>48.2</v>
      </c>
      <c r="C67" s="13">
        <f>Table13468113456716[[#This Row],[PMI]]-B66</f>
        <v>-0.69999999999999574</v>
      </c>
    </row>
    <row r="68" spans="1:3" x14ac:dyDescent="0.2">
      <c r="A68" s="14">
        <v>42339</v>
      </c>
      <c r="B68" s="13">
        <v>46.3</v>
      </c>
      <c r="C68" s="13">
        <f>Table13468113456716[[#This Row],[PMI]]-B67</f>
        <v>-1.9000000000000057</v>
      </c>
    </row>
    <row r="69" spans="1:3" x14ac:dyDescent="0.2">
      <c r="A69" s="14">
        <v>42370</v>
      </c>
      <c r="B69" s="13">
        <v>48.4</v>
      </c>
      <c r="C69" s="13">
        <f>Table13468113456716[[#This Row],[PMI]]-B68</f>
        <v>2.1000000000000014</v>
      </c>
    </row>
    <row r="70" spans="1:3" x14ac:dyDescent="0.2">
      <c r="A70" s="14">
        <v>42401</v>
      </c>
      <c r="B70" s="13">
        <v>51.8</v>
      </c>
      <c r="C70" s="13">
        <f>Table13468113456716[[#This Row],[PMI]]-B69</f>
        <v>3.3999999999999986</v>
      </c>
    </row>
    <row r="71" spans="1:3" x14ac:dyDescent="0.2">
      <c r="A71" s="14">
        <v>42430</v>
      </c>
      <c r="B71" s="13">
        <v>49.5</v>
      </c>
      <c r="C71" s="13">
        <f>Table13468113456716[[#This Row],[PMI]]-B70</f>
        <v>-2.2999999999999972</v>
      </c>
    </row>
    <row r="72" spans="1:3" x14ac:dyDescent="0.2">
      <c r="A72" s="14">
        <v>42461</v>
      </c>
      <c r="B72" s="13">
        <v>49.7</v>
      </c>
      <c r="C72" s="13">
        <f>Table13468113456716[[#This Row],[PMI]]-B71</f>
        <v>0.20000000000000284</v>
      </c>
    </row>
    <row r="73" spans="1:3" x14ac:dyDescent="0.2">
      <c r="A73" s="14">
        <v>42491</v>
      </c>
      <c r="B73" s="13">
        <v>51.5</v>
      </c>
      <c r="C73" s="13">
        <f>Table13468113456716[[#This Row],[PMI]]-B72</f>
        <v>1.7999999999999972</v>
      </c>
    </row>
    <row r="74" spans="1:3" x14ac:dyDescent="0.2">
      <c r="A74" s="14">
        <v>42522</v>
      </c>
      <c r="B74" s="13">
        <v>51.3</v>
      </c>
      <c r="C74" s="13">
        <f>Table13468113456716[[#This Row],[PMI]]-B73</f>
        <v>-0.20000000000000284</v>
      </c>
    </row>
    <row r="75" spans="1:3" x14ac:dyDescent="0.2">
      <c r="A75" s="14">
        <v>42552</v>
      </c>
      <c r="B75" s="13">
        <v>53.9</v>
      </c>
      <c r="C75" s="13">
        <f>Table13468113456716[[#This Row],[PMI]]-B74</f>
        <v>2.6000000000000014</v>
      </c>
    </row>
    <row r="76" spans="1:3" x14ac:dyDescent="0.2">
      <c r="A76" s="14">
        <v>42583</v>
      </c>
      <c r="B76" s="13">
        <v>45</v>
      </c>
      <c r="C76" s="13">
        <f>Table13468113456716[[#This Row],[PMI]]-B75</f>
        <v>-8.8999999999999986</v>
      </c>
    </row>
    <row r="77" spans="1:3" x14ac:dyDescent="0.2">
      <c r="A77" s="14">
        <v>42614</v>
      </c>
      <c r="B77" s="13">
        <v>48.9</v>
      </c>
      <c r="C77" s="21">
        <f>Table13468113456716[[#This Row],[PMI]]-B76</f>
        <v>3.8999999999999986</v>
      </c>
    </row>
    <row r="78" spans="1:3" x14ac:dyDescent="0.2">
      <c r="A78" s="14">
        <v>42644</v>
      </c>
      <c r="B78" s="13">
        <v>50.5</v>
      </c>
      <c r="C78" s="21">
        <f>Table13468113456716[[#This Row],[PMI]]-B77</f>
        <v>1.6000000000000014</v>
      </c>
    </row>
    <row r="79" spans="1:3" x14ac:dyDescent="0.2">
      <c r="A79" s="14">
        <v>42675</v>
      </c>
      <c r="B79" s="13">
        <v>51.1</v>
      </c>
      <c r="C79" s="21">
        <f>Table13468113456716[[#This Row],[PMI]]-B78</f>
        <v>0.60000000000000142</v>
      </c>
    </row>
    <row r="80" spans="1:3" x14ac:dyDescent="0.2">
      <c r="A80" s="14">
        <v>42705</v>
      </c>
      <c r="B80" s="13">
        <v>57.7</v>
      </c>
      <c r="C80" s="21">
        <f>Table13468113456716[[#This Row],[PMI]]-B79</f>
        <v>6.6000000000000014</v>
      </c>
    </row>
    <row r="81" spans="1:3" x14ac:dyDescent="0.2">
      <c r="A81" s="14">
        <v>42736</v>
      </c>
      <c r="B81" s="13">
        <v>54.5</v>
      </c>
      <c r="C81" s="21">
        <f>Table13468113456716[[#This Row],[PMI]]-B80</f>
        <v>-3.2000000000000028</v>
      </c>
    </row>
    <row r="82" spans="1:3" x14ac:dyDescent="0.2">
      <c r="A82" s="14">
        <v>42767</v>
      </c>
      <c r="B82" s="13">
        <v>49</v>
      </c>
      <c r="C82" s="21">
        <f>Table13468113456716[[#This Row],[PMI]]-B81</f>
        <v>-5.5</v>
      </c>
    </row>
    <row r="83" spans="1:3" x14ac:dyDescent="0.2">
      <c r="A83" s="14">
        <v>42795</v>
      </c>
      <c r="B83" s="13">
        <v>51.7</v>
      </c>
      <c r="C83" s="21">
        <f>Table13468113456716[[#This Row],[PMI]]-B82</f>
        <v>2.7000000000000028</v>
      </c>
    </row>
    <row r="84" spans="1:3" x14ac:dyDescent="0.2">
      <c r="A84" s="14">
        <v>42826</v>
      </c>
      <c r="B84" s="13">
        <v>53</v>
      </c>
      <c r="C84" s="21">
        <f>Table13468113456716[[#This Row],[PMI]]-B83</f>
        <v>1.2999999999999972</v>
      </c>
    </row>
    <row r="85" spans="1:3" x14ac:dyDescent="0.2">
      <c r="A85" s="14">
        <v>42856</v>
      </c>
      <c r="B85" s="13">
        <v>51.5</v>
      </c>
      <c r="C85" s="21">
        <f>Table13468113456716[[#This Row],[PMI]]-B84</f>
        <v>-1.5</v>
      </c>
    </row>
    <row r="86" spans="1:3" x14ac:dyDescent="0.2">
      <c r="A86" s="14">
        <v>42887</v>
      </c>
      <c r="B86" s="13">
        <v>54.8</v>
      </c>
      <c r="C86" s="21">
        <f>Table13468113456716[[#This Row],[PMI]]-B85</f>
        <v>3.2999999999999972</v>
      </c>
    </row>
    <row r="87" spans="1:3" x14ac:dyDescent="0.2">
      <c r="A87" s="14">
        <v>42917</v>
      </c>
      <c r="B87" s="13">
        <v>56.4</v>
      </c>
      <c r="C87" s="21">
        <f>Table13468113456716[[#This Row],[PMI]]-B86</f>
        <v>1.6000000000000014</v>
      </c>
    </row>
    <row r="88" spans="1:3" x14ac:dyDescent="0.2">
      <c r="A88" s="14">
        <v>42948</v>
      </c>
      <c r="B88" s="13">
        <v>53</v>
      </c>
      <c r="C88" s="21">
        <f>Table13468113456716[[#This Row],[PMI]]-B87</f>
        <v>-3.3999999999999986</v>
      </c>
    </row>
    <row r="89" spans="1:3" x14ac:dyDescent="0.2">
      <c r="A89" s="14">
        <v>42979</v>
      </c>
      <c r="B89" s="13">
        <v>52.1</v>
      </c>
      <c r="C89" s="21">
        <f>Table13468113456716[[#This Row],[PMI]]-B88</f>
        <v>-0.89999999999999858</v>
      </c>
    </row>
    <row r="90" spans="1:3" x14ac:dyDescent="0.2">
      <c r="A90" s="14">
        <v>43009</v>
      </c>
      <c r="B90" s="13">
        <v>51.4</v>
      </c>
      <c r="C90" s="21">
        <f>Table13468113456716[[#This Row],[PMI]]-B89</f>
        <v>-0.70000000000000284</v>
      </c>
    </row>
    <row r="91" spans="1:3" x14ac:dyDescent="0.2">
      <c r="A91" s="14">
        <v>43040</v>
      </c>
      <c r="B91" s="13">
        <v>51.7</v>
      </c>
      <c r="C91" s="21">
        <f>Table13468113456716[[#This Row],[PMI]]-B90</f>
        <v>0.30000000000000426</v>
      </c>
    </row>
    <row r="92" spans="1:3" x14ac:dyDescent="0.2">
      <c r="A92" s="14">
        <v>43070</v>
      </c>
      <c r="B92" s="13">
        <v>52</v>
      </c>
      <c r="C92" s="21">
        <f>Table13468113456716[[#This Row],[PMI]]-B91</f>
        <v>0.29999999999999716</v>
      </c>
    </row>
    <row r="93" spans="1:3" x14ac:dyDescent="0.2">
      <c r="A93" s="14">
        <v>43101</v>
      </c>
      <c r="B93" s="13">
        <v>54.9</v>
      </c>
      <c r="C93" s="21">
        <f>Table13468113456716[[#This Row],[PMI]]-B92</f>
        <v>2.8999999999999986</v>
      </c>
    </row>
    <row r="94" spans="1:3" x14ac:dyDescent="0.2">
      <c r="A94" s="14">
        <v>43132</v>
      </c>
      <c r="B94" s="13">
        <v>54</v>
      </c>
      <c r="C94" s="21">
        <f>Table13468113456716[[#This Row],[PMI]]-B93</f>
        <v>-0.89999999999999858</v>
      </c>
    </row>
    <row r="95" spans="1:3" x14ac:dyDescent="0.2">
      <c r="A95" s="14">
        <v>43160</v>
      </c>
      <c r="B95" s="13">
        <v>56.9</v>
      </c>
      <c r="C95" s="21">
        <f>Table13468113456716[[#This Row],[PMI]]-B94</f>
        <v>2.8999999999999986</v>
      </c>
    </row>
    <row r="96" spans="1:3" x14ac:dyDescent="0.2">
      <c r="A96" s="14">
        <v>43191</v>
      </c>
      <c r="B96" s="13">
        <v>55.2</v>
      </c>
      <c r="C96" s="21">
        <f>Table13468113456716[[#This Row],[PMI]]-B95</f>
        <v>-1.6999999999999957</v>
      </c>
    </row>
    <row r="97" spans="1:3" x14ac:dyDescent="0.2">
      <c r="A97" s="14">
        <v>43221</v>
      </c>
      <c r="B97" s="13">
        <v>59</v>
      </c>
      <c r="C97" s="21">
        <f>Table13468113456716[[#This Row],[PMI]]-B96</f>
        <v>3.7999999999999972</v>
      </c>
    </row>
    <row r="98" spans="1:3" x14ac:dyDescent="0.2">
      <c r="A98" s="14">
        <v>43252</v>
      </c>
      <c r="B98" s="13">
        <v>63</v>
      </c>
      <c r="C98" s="21">
        <f>Table13468113456716[[#This Row],[PMI]]-B97</f>
        <v>4</v>
      </c>
    </row>
    <row r="99" spans="1:3" x14ac:dyDescent="0.2">
      <c r="A99" s="14">
        <v>43282</v>
      </c>
      <c r="B99" s="13">
        <v>53.6</v>
      </c>
      <c r="C99" s="21">
        <f>Table13468113456716[[#This Row],[PMI]]-B98</f>
        <v>-9.3999999999999986</v>
      </c>
    </row>
    <row r="100" spans="1:3" x14ac:dyDescent="0.2">
      <c r="A100" s="14">
        <v>43313</v>
      </c>
      <c r="B100" s="13">
        <v>52.2</v>
      </c>
      <c r="C100" s="21">
        <f>Table13468113456716[[#This Row],[PMI]]-B99</f>
        <v>-1.3999999999999986</v>
      </c>
    </row>
    <row r="101" spans="1:3" x14ac:dyDescent="0.2">
      <c r="A101" s="14">
        <v>43344</v>
      </c>
      <c r="B101" s="13">
        <v>52.5</v>
      </c>
      <c r="C101" s="21">
        <f>Table13468113456716[[#This Row],[PMI]]-B100</f>
        <v>0.29999999999999716</v>
      </c>
    </row>
    <row r="102" spans="1:3" x14ac:dyDescent="0.2">
      <c r="A102" s="14">
        <v>43374</v>
      </c>
      <c r="B102" s="13">
        <v>51.1</v>
      </c>
      <c r="C102" s="21">
        <f>Table13468113456716[[#This Row],[PMI]]-B101</f>
        <v>-1.3999999999999986</v>
      </c>
    </row>
    <row r="103" spans="1:3" x14ac:dyDescent="0.2">
      <c r="A103" s="14">
        <v>43405</v>
      </c>
      <c r="B103" s="13">
        <v>55.1</v>
      </c>
      <c r="C103" s="21">
        <f>Table13468113456716[[#This Row],[PMI]]-B102</f>
        <v>4</v>
      </c>
    </row>
    <row r="104" spans="1:3" x14ac:dyDescent="0.2">
      <c r="A104" s="14">
        <v>43435</v>
      </c>
      <c r="B104" s="13">
        <v>52.1</v>
      </c>
      <c r="C104" s="21">
        <f>Table13468113456716[[#This Row],[PMI]]-B103</f>
        <v>-3</v>
      </c>
    </row>
    <row r="105" spans="1:3" x14ac:dyDescent="0.2">
      <c r="A105" s="14">
        <v>43466</v>
      </c>
      <c r="B105" s="13">
        <v>44.3</v>
      </c>
      <c r="C105" s="21">
        <f>Table13468113456716[[#This Row],[PMI]]-B104</f>
        <v>-7.8000000000000043</v>
      </c>
    </row>
    <row r="106" spans="1:3" x14ac:dyDescent="0.2">
      <c r="A106" s="14">
        <v>43497</v>
      </c>
      <c r="B106" s="13">
        <v>44.5</v>
      </c>
      <c r="C106" s="21">
        <f>Table13468113456716[[#This Row],[PMI]]-B105</f>
        <v>0.20000000000000284</v>
      </c>
    </row>
    <row r="107" spans="1:3" x14ac:dyDescent="0.2">
      <c r="A107" s="14">
        <v>43525</v>
      </c>
      <c r="B107" s="13">
        <v>44.8</v>
      </c>
      <c r="C107" s="21">
        <f>Table13468113456716[[#This Row],[PMI]]-B106</f>
        <v>0.29999999999999716</v>
      </c>
    </row>
    <row r="108" spans="1:3" x14ac:dyDescent="0.2">
      <c r="A108" s="14">
        <v>43556</v>
      </c>
      <c r="B108" s="13">
        <v>46.5</v>
      </c>
      <c r="C108" s="21">
        <f>Table13468113456716[[#This Row],[PMI]]-B107</f>
        <v>1.7000000000000028</v>
      </c>
    </row>
    <row r="109" spans="1:3" x14ac:dyDescent="0.2">
      <c r="A109" s="14">
        <v>43586</v>
      </c>
      <c r="B109" s="13">
        <v>52.5</v>
      </c>
      <c r="C109" s="21">
        <f>Table13468113456716[[#This Row],[PMI]]-B108</f>
        <v>6</v>
      </c>
    </row>
    <row r="110" spans="1:3" x14ac:dyDescent="0.2">
      <c r="A110" s="14">
        <v>43617</v>
      </c>
      <c r="B110" s="13">
        <v>52.2</v>
      </c>
      <c r="C110" s="21">
        <f>Table13468113456716[[#This Row],[PMI]]-B109</f>
        <v>-0.29999999999999716</v>
      </c>
    </row>
    <row r="111" spans="1:3" x14ac:dyDescent="0.2">
      <c r="A111" s="14">
        <v>43647</v>
      </c>
      <c r="B111" s="13">
        <v>43.9</v>
      </c>
      <c r="C111" s="21">
        <f>Table13468113456716[[#This Row],[PMI]]-B110</f>
        <v>-8.3000000000000043</v>
      </c>
    </row>
    <row r="112" spans="1:3" x14ac:dyDescent="0.2">
      <c r="A112" s="14">
        <v>43678</v>
      </c>
      <c r="B112" s="13">
        <v>51.4</v>
      </c>
      <c r="C112" s="21">
        <f>Table13468113456716[[#This Row],[PMI]]-B111</f>
        <v>7.5</v>
      </c>
    </row>
    <row r="113" spans="1:3" x14ac:dyDescent="0.2">
      <c r="A113" s="14">
        <v>43709</v>
      </c>
      <c r="B113" s="13">
        <v>51.5</v>
      </c>
      <c r="C113" s="21">
        <f>Table13468113456716[[#This Row],[PMI]]-B112</f>
        <v>0.10000000000000142</v>
      </c>
    </row>
    <row r="114" spans="1:3" x14ac:dyDescent="0.2">
      <c r="A114" s="14">
        <v>43739</v>
      </c>
      <c r="B114" s="13">
        <v>54.2</v>
      </c>
      <c r="C114" s="21">
        <f>Table13468113456716[[#This Row],[PMI]]-B113</f>
        <v>2.7000000000000028</v>
      </c>
    </row>
    <row r="115" spans="1:3" x14ac:dyDescent="0.2">
      <c r="A115" s="14">
        <v>43770</v>
      </c>
      <c r="B115" s="13">
        <v>53.7</v>
      </c>
      <c r="C115" s="21">
        <f>Table13468113456716[[#This Row],[PMI]]-B114</f>
        <v>-0.5</v>
      </c>
    </row>
    <row r="116" spans="1:3" x14ac:dyDescent="0.2">
      <c r="A116" s="14">
        <v>43800</v>
      </c>
      <c r="B116" s="13">
        <v>48.7</v>
      </c>
      <c r="C116" s="21">
        <f>Table13468113456716[[#This Row],[PMI]]-B115</f>
        <v>-5</v>
      </c>
    </row>
    <row r="117" spans="1:3" x14ac:dyDescent="0.2">
      <c r="A117" s="14">
        <v>43831</v>
      </c>
      <c r="B117" s="13">
        <v>46.6</v>
      </c>
      <c r="C117" s="21">
        <f>Table13468113456716[[#This Row],[PMI]]-B116</f>
        <v>-2.1000000000000014</v>
      </c>
    </row>
    <row r="118" spans="1:3" x14ac:dyDescent="0.2">
      <c r="A118" s="14">
        <v>43862</v>
      </c>
      <c r="B118" s="13">
        <v>47</v>
      </c>
      <c r="C118" s="21">
        <f>Table13468113456716[[#This Row],[PMI]]-B117</f>
        <v>0.39999999999999858</v>
      </c>
    </row>
    <row r="119" spans="1:3" x14ac:dyDescent="0.2">
      <c r="A119" s="14">
        <v>43891</v>
      </c>
      <c r="B119" s="13">
        <v>38.700000000000003</v>
      </c>
      <c r="C119" s="21">
        <f>Table13468113456716[[#This Row],[PMI]]-B118</f>
        <v>-8.2999999999999972</v>
      </c>
    </row>
    <row r="120" spans="1:3" x14ac:dyDescent="0.2">
      <c r="A120" s="14">
        <v>43922</v>
      </c>
      <c r="B120" s="13">
        <v>27.1</v>
      </c>
      <c r="C120" s="21">
        <f>Table13468113456716[[#This Row],[PMI]]-B119</f>
        <v>-11.600000000000001</v>
      </c>
    </row>
    <row r="121" spans="1:3" x14ac:dyDescent="0.2">
      <c r="A121" s="14">
        <v>43952</v>
      </c>
      <c r="B121" s="13">
        <v>31.6</v>
      </c>
      <c r="C121" s="21">
        <f>Table13468113456716[[#This Row],[PMI]]-B120</f>
        <v>4.5</v>
      </c>
    </row>
    <row r="122" spans="1:3" x14ac:dyDescent="0.2">
      <c r="A122" s="14">
        <v>43983</v>
      </c>
      <c r="B122" s="13">
        <v>31.5</v>
      </c>
      <c r="C122" s="21">
        <f>Table13468113456716[[#This Row],[PMI]]-B121</f>
        <v>-0.10000000000000142</v>
      </c>
    </row>
    <row r="123" spans="1:3" x14ac:dyDescent="0.2">
      <c r="A123" s="14">
        <v>44013</v>
      </c>
      <c r="B123" s="13">
        <v>44</v>
      </c>
      <c r="C123" s="21">
        <f>Table13468113456716[[#This Row],[PMI]]-B122</f>
        <v>12.5</v>
      </c>
    </row>
    <row r="124" spans="1:3" x14ac:dyDescent="0.2">
      <c r="A124" s="14">
        <v>44044</v>
      </c>
      <c r="B124" s="13">
        <v>43.5</v>
      </c>
      <c r="C124" s="21">
        <f>Table13468113456716[[#This Row],[PMI]]-B123</f>
        <v>-0.5</v>
      </c>
    </row>
    <row r="125" spans="1:3" x14ac:dyDescent="0.2">
      <c r="A125" s="14">
        <v>44075</v>
      </c>
      <c r="B125" s="13">
        <v>36.200000000000003</v>
      </c>
      <c r="C125" s="21">
        <f>Table13468113456716[[#This Row],[PMI]]-B124</f>
        <v>-7.2999999999999972</v>
      </c>
    </row>
    <row r="126" spans="1:3" x14ac:dyDescent="0.2">
      <c r="A126" s="14">
        <v>44105</v>
      </c>
      <c r="B126" s="13">
        <v>51.4</v>
      </c>
      <c r="C126" s="21">
        <f>Table13468113456716[[#This Row],[PMI]]-B125</f>
        <v>15.199999999999996</v>
      </c>
    </row>
    <row r="127" spans="1:3" x14ac:dyDescent="0.2">
      <c r="A127" s="14">
        <v>44136</v>
      </c>
      <c r="B127" s="13">
        <v>52.9</v>
      </c>
      <c r="C127" s="21">
        <f>Table13468113456716[[#This Row],[PMI]]-B126</f>
        <v>1.5</v>
      </c>
    </row>
    <row r="128" spans="1:3" x14ac:dyDescent="0.2">
      <c r="A128" s="14">
        <v>44166</v>
      </c>
      <c r="B128" s="13">
        <v>54.3</v>
      </c>
      <c r="C128" s="21">
        <f>Table13468113456716[[#This Row],[PMI]]-B127</f>
        <v>1.3999999999999986</v>
      </c>
    </row>
    <row r="129" spans="1:3" x14ac:dyDescent="0.2">
      <c r="A129" s="14">
        <v>44197</v>
      </c>
      <c r="B129" s="13">
        <v>54.3</v>
      </c>
      <c r="C129" s="21">
        <f>Table13468113456716[[#This Row],[PMI]]-B128</f>
        <v>0</v>
      </c>
    </row>
    <row r="130" spans="1:3" x14ac:dyDescent="0.2">
      <c r="A130" s="14">
        <v>44228</v>
      </c>
      <c r="B130" s="13">
        <v>55.8</v>
      </c>
      <c r="C130" s="21">
        <f>Table13468113456716[[#This Row],[PMI]]-B129</f>
        <v>1.5</v>
      </c>
    </row>
    <row r="131" spans="1:3" x14ac:dyDescent="0.2">
      <c r="A131" s="14">
        <v>44256</v>
      </c>
      <c r="B131" s="13">
        <v>58.7</v>
      </c>
      <c r="C131" s="21">
        <f>Table13468113456716[[#This Row],[PMI]]-B130</f>
        <v>2.9000000000000057</v>
      </c>
    </row>
    <row r="132" spans="1:3" x14ac:dyDescent="0.2">
      <c r="A132" s="14">
        <v>44287</v>
      </c>
      <c r="B132" s="13">
        <v>61</v>
      </c>
      <c r="C132" s="21">
        <f>Table13468113456716[[#This Row],[PMI]]-B131</f>
        <v>2.2999999999999972</v>
      </c>
    </row>
    <row r="133" spans="1:3" x14ac:dyDescent="0.2">
      <c r="A133" s="14">
        <v>44317</v>
      </c>
      <c r="B133" s="13">
        <v>61.2</v>
      </c>
      <c r="C133" s="21">
        <f>Table13468113456716[[#This Row],[PMI]]-B132</f>
        <v>0.20000000000000284</v>
      </c>
    </row>
    <row r="134" spans="1:3" x14ac:dyDescent="0.2">
      <c r="A134" s="14">
        <v>44348</v>
      </c>
      <c r="B134" s="13">
        <v>57.8</v>
      </c>
      <c r="C134" s="21">
        <f>Table13468113456716[[#This Row],[PMI]]-B133</f>
        <v>-3.4000000000000057</v>
      </c>
    </row>
    <row r="135" spans="1:3" x14ac:dyDescent="0.2">
      <c r="A135" s="14">
        <v>44378</v>
      </c>
      <c r="B135" s="13">
        <v>51.7</v>
      </c>
      <c r="C135" s="21">
        <f>Table13468113456716[[#This Row],[PMI]]-B134</f>
        <v>-6.0999999999999943</v>
      </c>
    </row>
    <row r="136" spans="1:3" x14ac:dyDescent="0.2">
      <c r="A136" s="14">
        <v>44409</v>
      </c>
      <c r="B136" s="13">
        <v>45.6</v>
      </c>
      <c r="C136" s="21">
        <f>Table13468113456716[[#This Row],[PMI]]-B135</f>
        <v>-6.1000000000000014</v>
      </c>
    </row>
    <row r="137" spans="1:3" x14ac:dyDescent="0.2">
      <c r="A137" s="14">
        <v>44440</v>
      </c>
      <c r="B137" s="13">
        <v>45.7</v>
      </c>
      <c r="C137" s="21">
        <f>Table13468113456716[[#This Row],[PMI]]-B136</f>
        <v>0.10000000000000142</v>
      </c>
    </row>
    <row r="138" spans="1:3" x14ac:dyDescent="0.2">
      <c r="A138" s="14">
        <v>44470</v>
      </c>
      <c r="B138" s="13">
        <v>47.6</v>
      </c>
      <c r="C138" s="21">
        <f>Table13468113456716[[#This Row],[PMI]]-B137</f>
        <v>1.8999999999999986</v>
      </c>
    </row>
    <row r="139" spans="1:3" x14ac:dyDescent="0.2">
      <c r="A139" s="14">
        <v>44501</v>
      </c>
      <c r="B139" s="13">
        <v>47.6</v>
      </c>
      <c r="C139" s="21">
        <f>Table13468113456716[[#This Row],[PMI]]-B138</f>
        <v>0</v>
      </c>
    </row>
    <row r="140" spans="1:3" x14ac:dyDescent="0.2">
      <c r="A140" s="14">
        <v>44531</v>
      </c>
      <c r="B140" s="13">
        <v>49.6</v>
      </c>
      <c r="C140" s="21">
        <f>Table13468113456716[[#This Row],[PMI]]-B139</f>
        <v>2</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0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551B5-B49E-491E-9404-C17CCDF53DF9}">
  <dimension ref="A1:J140"/>
  <sheetViews>
    <sheetView topLeftCell="A96" zoomScale="160" zoomScaleNormal="160" workbookViewId="0">
      <selection activeCell="A143" sqref="A143"/>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21</v>
      </c>
      <c r="J1" s="25" t="s">
        <v>42</v>
      </c>
    </row>
    <row r="2" spans="1:10" x14ac:dyDescent="0.2">
      <c r="J2" s="25" t="str">
        <f>A1&amp;J1</f>
        <v>Ireland Services PMI</v>
      </c>
    </row>
    <row r="4" spans="1:10" ht="16" thickBot="1" x14ac:dyDescent="0.25"/>
    <row r="5" spans="1:10" ht="16" thickBot="1" x14ac:dyDescent="0.25">
      <c r="A5" s="19" t="s">
        <v>9</v>
      </c>
      <c r="B5" s="20" t="s">
        <v>10</v>
      </c>
      <c r="C5" s="20" t="s">
        <v>11</v>
      </c>
    </row>
    <row r="6" spans="1:10" x14ac:dyDescent="0.2">
      <c r="A6" s="17">
        <v>40452</v>
      </c>
      <c r="B6" s="18">
        <v>50.9</v>
      </c>
      <c r="C6" s="18"/>
    </row>
    <row r="7" spans="1:10" x14ac:dyDescent="0.2">
      <c r="A7" s="14">
        <v>40483</v>
      </c>
      <c r="B7" s="13">
        <v>50.8</v>
      </c>
      <c r="C7" s="13">
        <f>Table1346811345678[[#This Row],[PMI]]-B6</f>
        <v>-0.10000000000000142</v>
      </c>
    </row>
    <row r="8" spans="1:10" x14ac:dyDescent="0.2">
      <c r="A8" s="14">
        <v>40513</v>
      </c>
      <c r="B8" s="13">
        <v>52.1</v>
      </c>
      <c r="C8" s="13">
        <f>Table1346811345678[[#This Row],[PMI]]-B7</f>
        <v>1.3000000000000043</v>
      </c>
    </row>
    <row r="9" spans="1:10" x14ac:dyDescent="0.2">
      <c r="A9" s="14">
        <v>40544</v>
      </c>
      <c r="B9" s="13">
        <v>53.6</v>
      </c>
      <c r="C9" s="13">
        <f>Table1346811345678[[#This Row],[PMI]]-B8</f>
        <v>1.5</v>
      </c>
    </row>
    <row r="10" spans="1:10" x14ac:dyDescent="0.2">
      <c r="A10" s="14">
        <v>40575</v>
      </c>
      <c r="B10" s="13">
        <v>55.1</v>
      </c>
      <c r="C10" s="13">
        <f>Table1346811345678[[#This Row],[PMI]]-B9</f>
        <v>1.5</v>
      </c>
    </row>
    <row r="11" spans="1:10" x14ac:dyDescent="0.2">
      <c r="A11" s="14">
        <v>40603</v>
      </c>
      <c r="B11" s="13">
        <v>51.1</v>
      </c>
      <c r="C11" s="13">
        <f>Table1346811345678[[#This Row],[PMI]]-B10</f>
        <v>-4</v>
      </c>
    </row>
    <row r="12" spans="1:10" x14ac:dyDescent="0.2">
      <c r="A12" s="14">
        <v>40634</v>
      </c>
      <c r="B12" s="13">
        <v>50.2</v>
      </c>
      <c r="C12" s="13">
        <f>Table1346811345678[[#This Row],[PMI]]-B11</f>
        <v>-0.89999999999999858</v>
      </c>
    </row>
    <row r="13" spans="1:10" x14ac:dyDescent="0.2">
      <c r="A13" s="14">
        <v>40664</v>
      </c>
      <c r="B13" s="13">
        <v>50.5</v>
      </c>
      <c r="C13" s="13">
        <f>Table1346811345678[[#This Row],[PMI]]-B12</f>
        <v>0.29999999999999716</v>
      </c>
    </row>
    <row r="14" spans="1:10" x14ac:dyDescent="0.2">
      <c r="A14" s="14">
        <v>40695</v>
      </c>
      <c r="B14" s="13">
        <v>52.4</v>
      </c>
      <c r="C14" s="13">
        <f>Table1346811345678[[#This Row],[PMI]]-B13</f>
        <v>1.8999999999999986</v>
      </c>
    </row>
    <row r="15" spans="1:10" x14ac:dyDescent="0.2">
      <c r="A15" s="14">
        <v>40725</v>
      </c>
      <c r="B15" s="13">
        <v>51.7</v>
      </c>
      <c r="C15" s="13">
        <f>Table1346811345678[[#This Row],[PMI]]-B14</f>
        <v>-0.69999999999999574</v>
      </c>
    </row>
    <row r="16" spans="1:10" x14ac:dyDescent="0.2">
      <c r="A16" s="14">
        <v>40756</v>
      </c>
      <c r="B16" s="13">
        <v>51.1</v>
      </c>
      <c r="C16" s="13">
        <f>Table1346811345678[[#This Row],[PMI]]-B15</f>
        <v>-0.60000000000000142</v>
      </c>
    </row>
    <row r="17" spans="1:3" x14ac:dyDescent="0.2">
      <c r="A17" s="14">
        <v>40787</v>
      </c>
      <c r="B17" s="13">
        <v>51.3</v>
      </c>
      <c r="C17" s="13">
        <f>Table1346811345678[[#This Row],[PMI]]-B16</f>
        <v>0.19999999999999574</v>
      </c>
    </row>
    <row r="18" spans="1:3" x14ac:dyDescent="0.2">
      <c r="A18" s="14">
        <v>40817</v>
      </c>
      <c r="B18" s="13">
        <v>51.5</v>
      </c>
      <c r="C18" s="13">
        <f>Table1346811345678[[#This Row],[PMI]]-B17</f>
        <v>0.20000000000000284</v>
      </c>
    </row>
    <row r="19" spans="1:3" x14ac:dyDescent="0.2">
      <c r="A19" s="14">
        <v>40848</v>
      </c>
      <c r="B19" s="13">
        <v>52.7</v>
      </c>
      <c r="C19" s="13">
        <f>Table1346811345678[[#This Row],[PMI]]-B18</f>
        <v>1.2000000000000028</v>
      </c>
    </row>
    <row r="20" spans="1:3" x14ac:dyDescent="0.2">
      <c r="A20" s="14">
        <v>40878</v>
      </c>
      <c r="B20" s="13">
        <v>48.4</v>
      </c>
      <c r="C20" s="13">
        <f>Table1346811345678[[#This Row],[PMI]]-B19</f>
        <v>-4.3000000000000043</v>
      </c>
    </row>
    <row r="21" spans="1:3" x14ac:dyDescent="0.2">
      <c r="A21" s="14">
        <v>40909</v>
      </c>
      <c r="B21" s="13">
        <v>48.3</v>
      </c>
      <c r="C21" s="13">
        <f>Table1346811345678[[#This Row],[PMI]]-B20</f>
        <v>-0.10000000000000142</v>
      </c>
    </row>
    <row r="22" spans="1:3" x14ac:dyDescent="0.2">
      <c r="A22" s="14">
        <v>40940</v>
      </c>
      <c r="B22" s="13">
        <v>53.3</v>
      </c>
      <c r="C22" s="13">
        <f>Table1346811345678[[#This Row],[PMI]]-B21</f>
        <v>5</v>
      </c>
    </row>
    <row r="23" spans="1:3" x14ac:dyDescent="0.2">
      <c r="A23" s="14">
        <v>40969</v>
      </c>
      <c r="B23" s="13">
        <v>52.1</v>
      </c>
      <c r="C23" s="13">
        <f>Table1346811345678[[#This Row],[PMI]]-B22</f>
        <v>-1.1999999999999957</v>
      </c>
    </row>
    <row r="24" spans="1:3" x14ac:dyDescent="0.2">
      <c r="A24" s="14">
        <v>41000</v>
      </c>
      <c r="B24" s="13">
        <v>52.2</v>
      </c>
      <c r="C24" s="13">
        <f>Table1346811345678[[#This Row],[PMI]]-B23</f>
        <v>0.10000000000000142</v>
      </c>
    </row>
    <row r="25" spans="1:3" x14ac:dyDescent="0.2">
      <c r="A25" s="14">
        <v>41030</v>
      </c>
      <c r="B25" s="13">
        <v>48.9</v>
      </c>
      <c r="C25" s="13">
        <f>Table1346811345678[[#This Row],[PMI]]-B24</f>
        <v>-3.3000000000000043</v>
      </c>
    </row>
    <row r="26" spans="1:3" x14ac:dyDescent="0.2">
      <c r="A26" s="14">
        <v>41061</v>
      </c>
      <c r="B26" s="13">
        <v>49.7</v>
      </c>
      <c r="C26" s="13">
        <f>Table1346811345678[[#This Row],[PMI]]-B25</f>
        <v>0.80000000000000426</v>
      </c>
    </row>
    <row r="27" spans="1:3" x14ac:dyDescent="0.2">
      <c r="A27" s="14">
        <v>41091</v>
      </c>
      <c r="B27" s="13">
        <v>49.1</v>
      </c>
      <c r="C27" s="13">
        <f>Table1346811345678[[#This Row],[PMI]]-B26</f>
        <v>-0.60000000000000142</v>
      </c>
    </row>
    <row r="28" spans="1:3" x14ac:dyDescent="0.2">
      <c r="A28" s="14">
        <v>41122</v>
      </c>
      <c r="B28" s="13">
        <v>51.7</v>
      </c>
      <c r="C28" s="13">
        <f>Table1346811345678[[#This Row],[PMI]]-B27</f>
        <v>2.6000000000000014</v>
      </c>
    </row>
    <row r="29" spans="1:3" x14ac:dyDescent="0.2">
      <c r="A29" s="14">
        <v>41153</v>
      </c>
      <c r="B29" s="13">
        <v>53.9</v>
      </c>
      <c r="C29" s="13">
        <f>Table1346811345678[[#This Row],[PMI]]-B28</f>
        <v>2.1999999999999957</v>
      </c>
    </row>
    <row r="30" spans="1:3" x14ac:dyDescent="0.2">
      <c r="A30" s="14">
        <v>41183</v>
      </c>
      <c r="B30" s="13">
        <v>56.1</v>
      </c>
      <c r="C30" s="13">
        <f>Table1346811345678[[#This Row],[PMI]]-B29</f>
        <v>2.2000000000000028</v>
      </c>
    </row>
    <row r="31" spans="1:3" x14ac:dyDescent="0.2">
      <c r="A31" s="14">
        <v>41214</v>
      </c>
      <c r="B31" s="13">
        <v>56.1</v>
      </c>
      <c r="C31" s="13">
        <f>Table1346811345678[[#This Row],[PMI]]-B30</f>
        <v>0</v>
      </c>
    </row>
    <row r="32" spans="1:3" x14ac:dyDescent="0.2">
      <c r="A32" s="14">
        <v>41244</v>
      </c>
      <c r="B32" s="13">
        <v>56.5</v>
      </c>
      <c r="C32" s="13">
        <f>Table1346811345678[[#This Row],[PMI]]-B31</f>
        <v>0.39999999999999858</v>
      </c>
    </row>
    <row r="33" spans="1:3" x14ac:dyDescent="0.2">
      <c r="A33" s="14">
        <v>41275</v>
      </c>
      <c r="B33" s="13">
        <v>56.8</v>
      </c>
      <c r="C33" s="13">
        <f>Table1346811345678[[#This Row],[PMI]]-B32</f>
        <v>0.29999999999999716</v>
      </c>
    </row>
    <row r="34" spans="1:3" x14ac:dyDescent="0.2">
      <c r="A34" s="14">
        <v>41306</v>
      </c>
      <c r="B34" s="13">
        <v>53.6</v>
      </c>
      <c r="C34" s="13">
        <f>Table1346811345678[[#This Row],[PMI]]-B33</f>
        <v>-3.1999999999999957</v>
      </c>
    </row>
    <row r="35" spans="1:3" x14ac:dyDescent="0.2">
      <c r="A35" s="14">
        <v>41334</v>
      </c>
      <c r="B35" s="13">
        <v>52.3</v>
      </c>
      <c r="C35" s="13">
        <f>Table1346811345678[[#This Row],[PMI]]-B34</f>
        <v>-1.3000000000000043</v>
      </c>
    </row>
    <row r="36" spans="1:3" x14ac:dyDescent="0.2">
      <c r="A36" s="14">
        <v>41365</v>
      </c>
      <c r="B36" s="13">
        <v>55.2</v>
      </c>
      <c r="C36" s="13">
        <f>Table1346811345678[[#This Row],[PMI]]-B35</f>
        <v>2.9000000000000057</v>
      </c>
    </row>
    <row r="37" spans="1:3" x14ac:dyDescent="0.2">
      <c r="A37" s="14">
        <v>41395</v>
      </c>
      <c r="B37" s="13">
        <v>52.7</v>
      </c>
      <c r="C37" s="13">
        <f>Table1346811345678[[#This Row],[PMI]]-B36</f>
        <v>-2.5</v>
      </c>
    </row>
    <row r="38" spans="1:3" x14ac:dyDescent="0.2">
      <c r="A38" s="14">
        <v>41426</v>
      </c>
      <c r="B38" s="13">
        <v>61.6</v>
      </c>
      <c r="C38" s="13">
        <f>Table1346811345678[[#This Row],[PMI]]-B37</f>
        <v>8.8999999999999986</v>
      </c>
    </row>
    <row r="39" spans="1:3" x14ac:dyDescent="0.2">
      <c r="A39" s="14">
        <v>41456</v>
      </c>
      <c r="B39" s="13">
        <v>59.6</v>
      </c>
      <c r="C39" s="13">
        <f>Table1346811345678[[#This Row],[PMI]]-B38</f>
        <v>-2</v>
      </c>
    </row>
    <row r="40" spans="1:3" x14ac:dyDescent="0.2">
      <c r="A40" s="14">
        <v>41487</v>
      </c>
      <c r="B40" s="13">
        <v>57.2</v>
      </c>
      <c r="C40" s="13">
        <f>Table1346811345678[[#This Row],[PMI]]-B39</f>
        <v>-2.3999999999999986</v>
      </c>
    </row>
    <row r="41" spans="1:3" x14ac:dyDescent="0.2">
      <c r="A41" s="14">
        <v>41518</v>
      </c>
      <c r="B41" s="13">
        <v>56.8</v>
      </c>
      <c r="C41" s="13">
        <f>Table1346811345678[[#This Row],[PMI]]-B40</f>
        <v>-0.40000000000000568</v>
      </c>
    </row>
    <row r="42" spans="1:3" x14ac:dyDescent="0.2">
      <c r="A42" s="14">
        <v>41548</v>
      </c>
      <c r="B42" s="13">
        <v>60.1</v>
      </c>
      <c r="C42" s="13">
        <f>Table1346811345678[[#This Row],[PMI]]-B41</f>
        <v>3.3000000000000043</v>
      </c>
    </row>
    <row r="43" spans="1:3" x14ac:dyDescent="0.2">
      <c r="A43" s="14">
        <v>41579</v>
      </c>
      <c r="B43" s="13">
        <v>57.1</v>
      </c>
      <c r="C43" s="13">
        <f>Table1346811345678[[#This Row],[PMI]]-B42</f>
        <v>-3</v>
      </c>
    </row>
    <row r="44" spans="1:3" x14ac:dyDescent="0.2">
      <c r="A44" s="14">
        <v>41609</v>
      </c>
      <c r="B44" s="13">
        <v>59.3</v>
      </c>
      <c r="C44" s="13">
        <f>Table1346811345678[[#This Row],[PMI]]-B43</f>
        <v>2.1999999999999957</v>
      </c>
    </row>
    <row r="45" spans="1:3" x14ac:dyDescent="0.2">
      <c r="A45" s="14">
        <v>41640</v>
      </c>
      <c r="B45" s="13">
        <v>61.5</v>
      </c>
      <c r="C45" s="13">
        <f>Table1346811345678[[#This Row],[PMI]]-B44</f>
        <v>2.2000000000000028</v>
      </c>
    </row>
    <row r="46" spans="1:3" x14ac:dyDescent="0.2">
      <c r="A46" s="14">
        <v>41671</v>
      </c>
      <c r="B46" s="13">
        <v>57.5</v>
      </c>
      <c r="C46" s="13">
        <f>Table1346811345678[[#This Row],[PMI]]-B45</f>
        <v>-4</v>
      </c>
    </row>
    <row r="47" spans="1:3" x14ac:dyDescent="0.2">
      <c r="A47" s="14">
        <v>41699</v>
      </c>
      <c r="B47" s="13">
        <v>60.7</v>
      </c>
      <c r="C47" s="13">
        <f>Table1346811345678[[#This Row],[PMI]]-B46</f>
        <v>3.2000000000000028</v>
      </c>
    </row>
    <row r="48" spans="1:3" x14ac:dyDescent="0.2">
      <c r="A48" s="14">
        <v>41730</v>
      </c>
      <c r="B48" s="13">
        <v>61.9</v>
      </c>
      <c r="C48" s="13">
        <f>Table1346811345678[[#This Row],[PMI]]-B47</f>
        <v>1.1999999999999957</v>
      </c>
    </row>
    <row r="49" spans="1:3" x14ac:dyDescent="0.2">
      <c r="A49" s="14">
        <v>41760</v>
      </c>
      <c r="B49" s="13">
        <v>61.7</v>
      </c>
      <c r="C49" s="13">
        <f>Table1346811345678[[#This Row],[PMI]]-B48</f>
        <v>-0.19999999999999574</v>
      </c>
    </row>
    <row r="50" spans="1:3" x14ac:dyDescent="0.2">
      <c r="A50" s="14">
        <v>41791</v>
      </c>
      <c r="B50" s="13">
        <v>62.6</v>
      </c>
      <c r="C50" s="13">
        <f>Table1346811345678[[#This Row],[PMI]]-B49</f>
        <v>0.89999999999999858</v>
      </c>
    </row>
    <row r="51" spans="1:3" x14ac:dyDescent="0.2">
      <c r="A51" s="14">
        <v>41821</v>
      </c>
      <c r="B51" s="13">
        <v>61.3</v>
      </c>
      <c r="C51" s="13">
        <f>Table1346811345678[[#This Row],[PMI]]-B50</f>
        <v>-1.3000000000000043</v>
      </c>
    </row>
    <row r="52" spans="1:3" x14ac:dyDescent="0.2">
      <c r="A52" s="14">
        <v>41852</v>
      </c>
      <c r="B52" s="13">
        <v>62.4</v>
      </c>
      <c r="C52" s="13">
        <f>Table1346811345678[[#This Row],[PMI]]-B51</f>
        <v>1.1000000000000014</v>
      </c>
    </row>
    <row r="53" spans="1:3" x14ac:dyDescent="0.2">
      <c r="A53" s="14">
        <v>41883</v>
      </c>
      <c r="B53" s="13">
        <v>62.5</v>
      </c>
      <c r="C53" s="13">
        <f>Table1346811345678[[#This Row],[PMI]]-B52</f>
        <v>0.10000000000000142</v>
      </c>
    </row>
    <row r="54" spans="1:3" x14ac:dyDescent="0.2">
      <c r="A54" s="14">
        <v>41913</v>
      </c>
      <c r="B54" s="13">
        <v>61.5</v>
      </c>
      <c r="C54" s="13">
        <f>Table1346811345678[[#This Row],[PMI]]-B53</f>
        <v>-1</v>
      </c>
    </row>
    <row r="55" spans="1:3" x14ac:dyDescent="0.2">
      <c r="A55" s="14">
        <v>41944</v>
      </c>
      <c r="B55" s="13">
        <v>61.6</v>
      </c>
      <c r="C55" s="13">
        <f>Table1346811345678[[#This Row],[PMI]]-B54</f>
        <v>0.10000000000000142</v>
      </c>
    </row>
    <row r="56" spans="1:3" x14ac:dyDescent="0.2">
      <c r="A56" s="14">
        <v>41974</v>
      </c>
      <c r="B56" s="13">
        <v>62.6</v>
      </c>
      <c r="C56" s="13">
        <f>Table1346811345678[[#This Row],[PMI]]-B55</f>
        <v>1</v>
      </c>
    </row>
    <row r="57" spans="1:3" x14ac:dyDescent="0.2">
      <c r="A57" s="14">
        <v>42005</v>
      </c>
      <c r="B57" s="13">
        <v>62.5</v>
      </c>
      <c r="C57" s="13">
        <f>Table1346811345678[[#This Row],[PMI]]-B56</f>
        <v>-0.10000000000000142</v>
      </c>
    </row>
    <row r="58" spans="1:3" x14ac:dyDescent="0.2">
      <c r="A58" s="14">
        <v>42036</v>
      </c>
      <c r="B58" s="13">
        <v>61.4</v>
      </c>
      <c r="C58" s="13">
        <f>Table1346811345678[[#This Row],[PMI]]-B57</f>
        <v>-1.1000000000000014</v>
      </c>
    </row>
    <row r="59" spans="1:3" x14ac:dyDescent="0.2">
      <c r="A59" s="14">
        <v>42064</v>
      </c>
      <c r="B59" s="13">
        <v>60.9</v>
      </c>
      <c r="C59" s="13">
        <f>Table1346811345678[[#This Row],[PMI]]-B58</f>
        <v>-0.5</v>
      </c>
    </row>
    <row r="60" spans="1:3" x14ac:dyDescent="0.2">
      <c r="A60" s="14">
        <v>42095</v>
      </c>
      <c r="B60" s="13">
        <v>60.6</v>
      </c>
      <c r="C60" s="13">
        <f>Table1346811345678[[#This Row],[PMI]]-B59</f>
        <v>-0.29999999999999716</v>
      </c>
    </row>
    <row r="61" spans="1:3" x14ac:dyDescent="0.2">
      <c r="A61" s="14">
        <v>42125</v>
      </c>
      <c r="B61" s="13">
        <v>61.4</v>
      </c>
      <c r="C61" s="13">
        <f>Table1346811345678[[#This Row],[PMI]]-B60</f>
        <v>0.79999999999999716</v>
      </c>
    </row>
    <row r="62" spans="1:3" x14ac:dyDescent="0.2">
      <c r="A62" s="14">
        <v>42156</v>
      </c>
      <c r="B62" s="13">
        <v>63.3</v>
      </c>
      <c r="C62" s="13">
        <f>Table1346811345678[[#This Row],[PMI]]-B61</f>
        <v>1.8999999999999986</v>
      </c>
    </row>
    <row r="63" spans="1:3" x14ac:dyDescent="0.2">
      <c r="A63" s="14">
        <v>42186</v>
      </c>
      <c r="B63" s="13">
        <v>63.4</v>
      </c>
      <c r="C63" s="13">
        <f>Table1346811345678[[#This Row],[PMI]]-B62</f>
        <v>0.10000000000000142</v>
      </c>
    </row>
    <row r="64" spans="1:3" x14ac:dyDescent="0.2">
      <c r="A64" s="14">
        <v>42217</v>
      </c>
      <c r="B64" s="13">
        <v>62.1</v>
      </c>
      <c r="C64" s="13">
        <f>Table1346811345678[[#This Row],[PMI]]-B63</f>
        <v>-1.2999999999999972</v>
      </c>
    </row>
    <row r="65" spans="1:3" x14ac:dyDescent="0.2">
      <c r="A65" s="14">
        <v>42248</v>
      </c>
      <c r="B65" s="13">
        <v>62.4</v>
      </c>
      <c r="C65" s="13">
        <f>Table1346811345678[[#This Row],[PMI]]-B64</f>
        <v>0.29999999999999716</v>
      </c>
    </row>
    <row r="66" spans="1:3" x14ac:dyDescent="0.2">
      <c r="A66" s="14">
        <v>42278</v>
      </c>
      <c r="B66" s="13">
        <v>60.1</v>
      </c>
      <c r="C66" s="13">
        <f>Table1346811345678[[#This Row],[PMI]]-B65</f>
        <v>-2.2999999999999972</v>
      </c>
    </row>
    <row r="67" spans="1:3" x14ac:dyDescent="0.2">
      <c r="A67" s="14">
        <v>42309</v>
      </c>
      <c r="B67" s="13">
        <v>63.6</v>
      </c>
      <c r="C67" s="13">
        <f>Table1346811345678[[#This Row],[PMI]]-B66</f>
        <v>3.5</v>
      </c>
    </row>
    <row r="68" spans="1:3" x14ac:dyDescent="0.2">
      <c r="A68" s="14">
        <v>42339</v>
      </c>
      <c r="B68" s="13">
        <v>61.8</v>
      </c>
      <c r="C68" s="13">
        <f>Table1346811345678[[#This Row],[PMI]]-B67</f>
        <v>-1.8000000000000043</v>
      </c>
    </row>
    <row r="69" spans="1:3" x14ac:dyDescent="0.2">
      <c r="A69" s="14">
        <v>42370</v>
      </c>
      <c r="B69" s="13">
        <v>64</v>
      </c>
      <c r="C69" s="13">
        <f>Table1346811345678[[#This Row],[PMI]]-B68</f>
        <v>2.2000000000000028</v>
      </c>
    </row>
    <row r="70" spans="1:3" x14ac:dyDescent="0.2">
      <c r="A70" s="14">
        <v>42401</v>
      </c>
      <c r="B70" s="13">
        <v>62.1</v>
      </c>
      <c r="C70" s="13">
        <f>Table1346811345678[[#This Row],[PMI]]-B69</f>
        <v>-1.8999999999999986</v>
      </c>
    </row>
    <row r="71" spans="1:3" x14ac:dyDescent="0.2">
      <c r="A71" s="14">
        <v>42430</v>
      </c>
      <c r="B71" s="13">
        <v>62.8</v>
      </c>
      <c r="C71" s="13">
        <f>Table1346811345678[[#This Row],[PMI]]-B70</f>
        <v>0.69999999999999574</v>
      </c>
    </row>
    <row r="72" spans="1:3" x14ac:dyDescent="0.2">
      <c r="A72" s="14">
        <v>42461</v>
      </c>
      <c r="B72" s="13">
        <v>59.8</v>
      </c>
      <c r="C72" s="13">
        <f>Table1346811345678[[#This Row],[PMI]]-B71</f>
        <v>-3</v>
      </c>
    </row>
    <row r="73" spans="1:3" x14ac:dyDescent="0.2">
      <c r="A73" s="14">
        <v>42491</v>
      </c>
      <c r="B73" s="13">
        <v>61.7</v>
      </c>
      <c r="C73" s="13">
        <f>Table1346811345678[[#This Row],[PMI]]-B72</f>
        <v>1.9000000000000057</v>
      </c>
    </row>
    <row r="74" spans="1:3" x14ac:dyDescent="0.2">
      <c r="A74" s="14">
        <v>42522</v>
      </c>
      <c r="B74" s="13">
        <v>61.2</v>
      </c>
      <c r="C74" s="13">
        <f>Table1346811345678[[#This Row],[PMI]]-B73</f>
        <v>-0.5</v>
      </c>
    </row>
    <row r="75" spans="1:3" x14ac:dyDescent="0.2">
      <c r="A75" s="14">
        <v>42552</v>
      </c>
      <c r="B75" s="13">
        <v>59.5</v>
      </c>
      <c r="C75" s="13">
        <f>Table1346811345678[[#This Row],[PMI]]-B74</f>
        <v>-1.7000000000000028</v>
      </c>
    </row>
    <row r="76" spans="1:3" x14ac:dyDescent="0.2">
      <c r="A76" s="14">
        <v>42583</v>
      </c>
      <c r="B76" s="13">
        <v>59.7</v>
      </c>
      <c r="C76" s="13">
        <f>Table1346811345678[[#This Row],[PMI]]-B75</f>
        <v>0.20000000000000284</v>
      </c>
    </row>
    <row r="77" spans="1:3" x14ac:dyDescent="0.2">
      <c r="A77" s="14">
        <v>42614</v>
      </c>
      <c r="B77" s="13">
        <v>56.2</v>
      </c>
      <c r="C77" s="21">
        <f>Table1346811345678[[#This Row],[PMI]]-B76</f>
        <v>-3.5</v>
      </c>
    </row>
    <row r="78" spans="1:3" x14ac:dyDescent="0.2">
      <c r="A78" s="14">
        <v>42644</v>
      </c>
      <c r="B78" s="13">
        <v>54.6</v>
      </c>
      <c r="C78" s="21">
        <f>Table1346811345678[[#This Row],[PMI]]-B77</f>
        <v>-1.6000000000000014</v>
      </c>
    </row>
    <row r="79" spans="1:3" x14ac:dyDescent="0.2">
      <c r="A79" s="14">
        <v>42675</v>
      </c>
      <c r="B79" s="13">
        <v>56</v>
      </c>
      <c r="C79" s="21">
        <f>Table1346811345678[[#This Row],[PMI]]-B78</f>
        <v>1.3999999999999986</v>
      </c>
    </row>
    <row r="80" spans="1:3" x14ac:dyDescent="0.2">
      <c r="A80" s="14">
        <v>42705</v>
      </c>
      <c r="B80" s="13">
        <v>59.1</v>
      </c>
      <c r="C80" s="21">
        <f>Table1346811345678[[#This Row],[PMI]]-B79</f>
        <v>3.1000000000000014</v>
      </c>
    </row>
    <row r="81" spans="1:3" x14ac:dyDescent="0.2">
      <c r="A81" s="14">
        <v>42736</v>
      </c>
      <c r="B81" s="13">
        <v>61</v>
      </c>
      <c r="C81" s="21">
        <f>Table1346811345678[[#This Row],[PMI]]-B80</f>
        <v>1.8999999999999986</v>
      </c>
    </row>
    <row r="82" spans="1:3" x14ac:dyDescent="0.2">
      <c r="A82" s="14">
        <v>42767</v>
      </c>
      <c r="B82" s="13">
        <v>60.6</v>
      </c>
      <c r="C82" s="21">
        <f>Table1346811345678[[#This Row],[PMI]]-B81</f>
        <v>-0.39999999999999858</v>
      </c>
    </row>
    <row r="83" spans="1:3" x14ac:dyDescent="0.2">
      <c r="A83" s="14">
        <v>42795</v>
      </c>
      <c r="B83" s="13">
        <v>59.1</v>
      </c>
      <c r="C83" s="21">
        <f>Table1346811345678[[#This Row],[PMI]]-B82</f>
        <v>-1.5</v>
      </c>
    </row>
    <row r="84" spans="1:3" x14ac:dyDescent="0.2">
      <c r="A84" s="14">
        <v>42826</v>
      </c>
      <c r="B84" s="13">
        <v>61.1</v>
      </c>
      <c r="C84" s="21">
        <f>Table1346811345678[[#This Row],[PMI]]-B83</f>
        <v>2</v>
      </c>
    </row>
    <row r="85" spans="1:3" x14ac:dyDescent="0.2">
      <c r="A85" s="14">
        <v>42856</v>
      </c>
      <c r="B85" s="13">
        <v>59.5</v>
      </c>
      <c r="C85" s="21">
        <f>Table1346811345678[[#This Row],[PMI]]-B84</f>
        <v>-1.6000000000000014</v>
      </c>
    </row>
    <row r="86" spans="1:3" x14ac:dyDescent="0.2">
      <c r="A86" s="14">
        <v>42887</v>
      </c>
      <c r="B86" s="13">
        <v>57.6</v>
      </c>
      <c r="C86" s="21">
        <f>Table1346811345678[[#This Row],[PMI]]-B85</f>
        <v>-1.8999999999999986</v>
      </c>
    </row>
    <row r="87" spans="1:3" x14ac:dyDescent="0.2">
      <c r="A87" s="14">
        <v>42917</v>
      </c>
      <c r="B87" s="13">
        <v>58.3</v>
      </c>
      <c r="C87" s="21">
        <f>Table1346811345678[[#This Row],[PMI]]-B86</f>
        <v>0.69999999999999574</v>
      </c>
    </row>
    <row r="88" spans="1:3" x14ac:dyDescent="0.2">
      <c r="A88" s="14">
        <v>42948</v>
      </c>
      <c r="B88" s="13">
        <v>58.4</v>
      </c>
      <c r="C88" s="21">
        <f>Table1346811345678[[#This Row],[PMI]]-B87</f>
        <v>0.10000000000000142</v>
      </c>
    </row>
    <row r="89" spans="1:3" x14ac:dyDescent="0.2">
      <c r="A89" s="14">
        <v>42979</v>
      </c>
      <c r="B89" s="13">
        <v>58.7</v>
      </c>
      <c r="C89" s="21">
        <f>Table1346811345678[[#This Row],[PMI]]-B88</f>
        <v>0.30000000000000426</v>
      </c>
    </row>
    <row r="90" spans="1:3" x14ac:dyDescent="0.2">
      <c r="A90" s="14">
        <v>43009</v>
      </c>
      <c r="B90" s="13">
        <v>57.5</v>
      </c>
      <c r="C90" s="21">
        <f>Table1346811345678[[#This Row],[PMI]]-B89</f>
        <v>-1.2000000000000028</v>
      </c>
    </row>
    <row r="91" spans="1:3" x14ac:dyDescent="0.2">
      <c r="A91" s="14">
        <v>43040</v>
      </c>
      <c r="B91" s="13">
        <v>56</v>
      </c>
      <c r="C91" s="21">
        <f>Table1346811345678[[#This Row],[PMI]]-B90</f>
        <v>-1.5</v>
      </c>
    </row>
    <row r="92" spans="1:3" x14ac:dyDescent="0.2">
      <c r="A92" s="14">
        <v>43070</v>
      </c>
      <c r="B92" s="13">
        <v>60.4</v>
      </c>
      <c r="C92" s="21">
        <f>Table1346811345678[[#This Row],[PMI]]-B91</f>
        <v>4.3999999999999986</v>
      </c>
    </row>
    <row r="93" spans="1:3" x14ac:dyDescent="0.2">
      <c r="A93" s="14">
        <v>43101</v>
      </c>
      <c r="B93" s="13">
        <v>59.8</v>
      </c>
      <c r="C93" s="21">
        <f>Table1346811345678[[#This Row],[PMI]]-B92</f>
        <v>-0.60000000000000142</v>
      </c>
    </row>
    <row r="94" spans="1:3" x14ac:dyDescent="0.2">
      <c r="A94" s="14">
        <v>43132</v>
      </c>
      <c r="B94" s="13">
        <v>57.2</v>
      </c>
      <c r="C94" s="21">
        <f>Table1346811345678[[#This Row],[PMI]]-B93</f>
        <v>-2.5999999999999943</v>
      </c>
    </row>
    <row r="95" spans="1:3" x14ac:dyDescent="0.2">
      <c r="A95" s="14">
        <v>43160</v>
      </c>
      <c r="B95" s="13">
        <v>56.5</v>
      </c>
      <c r="C95" s="21">
        <f>Table1346811345678[[#This Row],[PMI]]-B94</f>
        <v>-0.70000000000000284</v>
      </c>
    </row>
    <row r="96" spans="1:3" x14ac:dyDescent="0.2">
      <c r="A96" s="14">
        <v>43191</v>
      </c>
      <c r="B96" s="13">
        <v>58.3</v>
      </c>
      <c r="C96" s="21">
        <f>Table1346811345678[[#This Row],[PMI]]-B95</f>
        <v>1.7999999999999972</v>
      </c>
    </row>
    <row r="97" spans="1:3" x14ac:dyDescent="0.2">
      <c r="A97" s="14">
        <v>43221</v>
      </c>
      <c r="B97" s="13">
        <v>59.3</v>
      </c>
      <c r="C97" s="21">
        <f>Table1346811345678[[#This Row],[PMI]]-B96</f>
        <v>1</v>
      </c>
    </row>
    <row r="98" spans="1:3" x14ac:dyDescent="0.2">
      <c r="A98" s="14">
        <v>43252</v>
      </c>
      <c r="B98" s="13">
        <v>59.5</v>
      </c>
      <c r="C98" s="21">
        <f>Table1346811345678[[#This Row],[PMI]]-B97</f>
        <v>0.20000000000000284</v>
      </c>
    </row>
    <row r="99" spans="1:3" x14ac:dyDescent="0.2">
      <c r="A99" s="14">
        <v>43282</v>
      </c>
      <c r="B99" s="13">
        <v>57.4</v>
      </c>
      <c r="C99" s="21">
        <f>Table1346811345678[[#This Row],[PMI]]-B98</f>
        <v>-2.1000000000000014</v>
      </c>
    </row>
    <row r="100" spans="1:3" x14ac:dyDescent="0.2">
      <c r="A100" s="14">
        <v>43313</v>
      </c>
      <c r="B100" s="13">
        <v>58</v>
      </c>
      <c r="C100" s="21">
        <f>Table1346811345678[[#This Row],[PMI]]-B99</f>
        <v>0.60000000000000142</v>
      </c>
    </row>
    <row r="101" spans="1:3" x14ac:dyDescent="0.2">
      <c r="A101" s="14">
        <v>43344</v>
      </c>
      <c r="B101" s="13">
        <v>58.7</v>
      </c>
      <c r="C101" s="21">
        <f>Table1346811345678[[#This Row],[PMI]]-B100</f>
        <v>0.70000000000000284</v>
      </c>
    </row>
    <row r="102" spans="1:3" x14ac:dyDescent="0.2">
      <c r="A102" s="14">
        <v>43374</v>
      </c>
      <c r="B102" s="13">
        <v>57.2</v>
      </c>
      <c r="C102" s="21">
        <f>Table1346811345678[[#This Row],[PMI]]-B101</f>
        <v>-1.5</v>
      </c>
    </row>
    <row r="103" spans="1:3" x14ac:dyDescent="0.2">
      <c r="A103" s="14">
        <v>43405</v>
      </c>
      <c r="B103" s="13">
        <v>57.1</v>
      </c>
      <c r="C103" s="21">
        <f>Table1346811345678[[#This Row],[PMI]]-B102</f>
        <v>-0.10000000000000142</v>
      </c>
    </row>
    <row r="104" spans="1:3" x14ac:dyDescent="0.2">
      <c r="A104" s="14">
        <v>43435</v>
      </c>
      <c r="B104" s="13">
        <v>56.3</v>
      </c>
      <c r="C104" s="21">
        <f>Table1346811345678[[#This Row],[PMI]]-B103</f>
        <v>-0.80000000000000426</v>
      </c>
    </row>
    <row r="105" spans="1:3" x14ac:dyDescent="0.2">
      <c r="A105" s="14">
        <v>43466</v>
      </c>
      <c r="B105" s="13">
        <v>54.2</v>
      </c>
      <c r="C105" s="21">
        <f>Table1346811345678[[#This Row],[PMI]]-B104</f>
        <v>-2.0999999999999943</v>
      </c>
    </row>
    <row r="106" spans="1:3" x14ac:dyDescent="0.2">
      <c r="A106" s="14">
        <v>43497</v>
      </c>
      <c r="B106" s="13">
        <v>55.9</v>
      </c>
      <c r="C106" s="21">
        <f>Table1346811345678[[#This Row],[PMI]]-B105</f>
        <v>1.6999999999999957</v>
      </c>
    </row>
    <row r="107" spans="1:3" x14ac:dyDescent="0.2">
      <c r="A107" s="14">
        <v>43525</v>
      </c>
      <c r="B107" s="13">
        <v>55.3</v>
      </c>
      <c r="C107" s="21">
        <f>Table1346811345678[[#This Row],[PMI]]-B106</f>
        <v>-0.60000000000000142</v>
      </c>
    </row>
    <row r="108" spans="1:3" x14ac:dyDescent="0.2">
      <c r="A108" s="14">
        <v>43556</v>
      </c>
      <c r="B108" s="13">
        <v>54.7</v>
      </c>
      <c r="C108" s="21">
        <f>Table1346811345678[[#This Row],[PMI]]-B107</f>
        <v>-0.59999999999999432</v>
      </c>
    </row>
    <row r="109" spans="1:3" x14ac:dyDescent="0.2">
      <c r="A109" s="14">
        <v>43586</v>
      </c>
      <c r="B109" s="13">
        <v>57</v>
      </c>
      <c r="C109" s="21">
        <f>Table1346811345678[[#This Row],[PMI]]-B108</f>
        <v>2.2999999999999972</v>
      </c>
    </row>
    <row r="110" spans="1:3" x14ac:dyDescent="0.2">
      <c r="A110" s="14">
        <v>43617</v>
      </c>
      <c r="B110" s="13">
        <v>56.9</v>
      </c>
      <c r="C110" s="21">
        <f>Table1346811345678[[#This Row],[PMI]]-B109</f>
        <v>-0.10000000000000142</v>
      </c>
    </row>
    <row r="111" spans="1:3" x14ac:dyDescent="0.2">
      <c r="A111" s="14">
        <v>43647</v>
      </c>
      <c r="B111" s="13">
        <v>55</v>
      </c>
      <c r="C111" s="21">
        <f>Table1346811345678[[#This Row],[PMI]]-B110</f>
        <v>-1.8999999999999986</v>
      </c>
    </row>
    <row r="112" spans="1:3" x14ac:dyDescent="0.2">
      <c r="A112" s="14">
        <v>43678</v>
      </c>
      <c r="B112" s="13">
        <v>54.6</v>
      </c>
      <c r="C112" s="21">
        <f>Table1346811345678[[#This Row],[PMI]]-B111</f>
        <v>-0.39999999999999858</v>
      </c>
    </row>
    <row r="113" spans="1:3" x14ac:dyDescent="0.2">
      <c r="A113" s="14">
        <v>43709</v>
      </c>
      <c r="B113" s="13">
        <v>53.1</v>
      </c>
      <c r="C113" s="21">
        <f>Table1346811345678[[#This Row],[PMI]]-B112</f>
        <v>-1.5</v>
      </c>
    </row>
    <row r="114" spans="1:3" x14ac:dyDescent="0.2">
      <c r="A114" s="14">
        <v>43739</v>
      </c>
      <c r="B114" s="13">
        <v>50.6</v>
      </c>
      <c r="C114" s="21">
        <f>Table1346811345678[[#This Row],[PMI]]-B113</f>
        <v>-2.5</v>
      </c>
    </row>
    <row r="115" spans="1:3" x14ac:dyDescent="0.2">
      <c r="A115" s="14">
        <v>43770</v>
      </c>
      <c r="B115" s="13">
        <v>52</v>
      </c>
      <c r="C115" s="21">
        <f>Table1346811345678[[#This Row],[PMI]]-B114</f>
        <v>1.3999999999999986</v>
      </c>
    </row>
    <row r="116" spans="1:3" x14ac:dyDescent="0.2">
      <c r="A116" s="14">
        <v>43800</v>
      </c>
      <c r="B116" s="13">
        <v>55.9</v>
      </c>
      <c r="C116" s="21">
        <f>Table1346811345678[[#This Row],[PMI]]-B115</f>
        <v>3.8999999999999986</v>
      </c>
    </row>
    <row r="117" spans="1:3" x14ac:dyDescent="0.2">
      <c r="A117" s="14">
        <v>43831</v>
      </c>
      <c r="B117" s="13">
        <v>56.9</v>
      </c>
      <c r="C117" s="21">
        <f>Table1346811345678[[#This Row],[PMI]]-B116</f>
        <v>1</v>
      </c>
    </row>
    <row r="118" spans="1:3" x14ac:dyDescent="0.2">
      <c r="A118" s="14">
        <v>43862</v>
      </c>
      <c r="B118" s="13">
        <v>59.9</v>
      </c>
      <c r="C118" s="21">
        <f>Table1346811345678[[#This Row],[PMI]]-B117</f>
        <v>3</v>
      </c>
    </row>
    <row r="119" spans="1:3" x14ac:dyDescent="0.2">
      <c r="A119" s="14">
        <v>43891</v>
      </c>
      <c r="B119" s="13">
        <v>32.5</v>
      </c>
      <c r="C119" s="21">
        <f>Table1346811345678[[#This Row],[PMI]]-B118</f>
        <v>-27.4</v>
      </c>
    </row>
    <row r="120" spans="1:3" x14ac:dyDescent="0.2">
      <c r="A120" s="14">
        <v>43922</v>
      </c>
      <c r="B120" s="13">
        <v>13.9</v>
      </c>
      <c r="C120" s="21">
        <f>Table1346811345678[[#This Row],[PMI]]-B119</f>
        <v>-18.600000000000001</v>
      </c>
    </row>
    <row r="121" spans="1:3" x14ac:dyDescent="0.2">
      <c r="A121" s="14">
        <v>43952</v>
      </c>
      <c r="B121" s="13">
        <v>23.4</v>
      </c>
      <c r="C121" s="21">
        <f>Table1346811345678[[#This Row],[PMI]]-B120</f>
        <v>9.4999999999999982</v>
      </c>
    </row>
    <row r="122" spans="1:3" x14ac:dyDescent="0.2">
      <c r="A122" s="14">
        <v>43983</v>
      </c>
      <c r="B122" s="13">
        <v>39.700000000000003</v>
      </c>
      <c r="C122" s="21">
        <f>Table1346811345678[[#This Row],[PMI]]-B121</f>
        <v>16.300000000000004</v>
      </c>
    </row>
    <row r="123" spans="1:3" x14ac:dyDescent="0.2">
      <c r="A123" s="14">
        <v>44013</v>
      </c>
      <c r="B123" s="13">
        <v>51.9</v>
      </c>
      <c r="C123" s="21">
        <f>Table1346811345678[[#This Row],[PMI]]-B122</f>
        <v>12.199999999999996</v>
      </c>
    </row>
    <row r="124" spans="1:3" x14ac:dyDescent="0.2">
      <c r="A124" s="14">
        <v>44044</v>
      </c>
      <c r="B124" s="13">
        <v>52.4</v>
      </c>
      <c r="C124" s="21">
        <f>Table1346811345678[[#This Row],[PMI]]-B123</f>
        <v>0.5</v>
      </c>
    </row>
    <row r="125" spans="1:3" x14ac:dyDescent="0.2">
      <c r="A125" s="14">
        <v>44075</v>
      </c>
      <c r="B125" s="13">
        <v>45.8</v>
      </c>
      <c r="C125" s="21">
        <f>Table1346811345678[[#This Row],[PMI]]-B124</f>
        <v>-6.6000000000000014</v>
      </c>
    </row>
    <row r="126" spans="1:3" x14ac:dyDescent="0.2">
      <c r="A126" s="14">
        <v>44105</v>
      </c>
      <c r="B126" s="13">
        <v>48.3</v>
      </c>
      <c r="C126" s="21">
        <f>Table1346811345678[[#This Row],[PMI]]-B125</f>
        <v>2.5</v>
      </c>
    </row>
    <row r="127" spans="1:3" x14ac:dyDescent="0.2">
      <c r="A127" s="14">
        <v>44136</v>
      </c>
      <c r="B127" s="13">
        <v>45.4</v>
      </c>
      <c r="C127" s="21">
        <f>Table1346811345678[[#This Row],[PMI]]-B126</f>
        <v>-2.8999999999999986</v>
      </c>
    </row>
    <row r="128" spans="1:3" x14ac:dyDescent="0.2">
      <c r="A128" s="14">
        <v>44166</v>
      </c>
      <c r="B128" s="13">
        <v>50.1</v>
      </c>
      <c r="C128" s="21">
        <f>Table1346811345678[[#This Row],[PMI]]-B127</f>
        <v>4.7000000000000028</v>
      </c>
    </row>
    <row r="129" spans="1:3" x14ac:dyDescent="0.2">
      <c r="A129" s="14">
        <v>44197</v>
      </c>
      <c r="B129" s="13">
        <v>36.200000000000003</v>
      </c>
      <c r="C129" s="21">
        <f>Table1346811345678[[#This Row],[PMI]]-B128</f>
        <v>-13.899999999999999</v>
      </c>
    </row>
    <row r="130" spans="1:3" x14ac:dyDescent="0.2">
      <c r="A130" s="14">
        <v>44228</v>
      </c>
      <c r="B130" s="13">
        <v>41.2</v>
      </c>
      <c r="C130" s="21">
        <f>Table1346811345678[[#This Row],[PMI]]-B129</f>
        <v>5</v>
      </c>
    </row>
    <row r="131" spans="1:3" x14ac:dyDescent="0.2">
      <c r="A131" s="14">
        <v>44256</v>
      </c>
      <c r="B131" s="13">
        <v>54.6</v>
      </c>
      <c r="C131" s="21">
        <f>Table1346811345678[[#This Row],[PMI]]-B130</f>
        <v>13.399999999999999</v>
      </c>
    </row>
    <row r="132" spans="1:3" x14ac:dyDescent="0.2">
      <c r="A132" s="14">
        <v>44287</v>
      </c>
      <c r="B132" s="13">
        <v>57.7</v>
      </c>
      <c r="C132" s="21">
        <f>Table1346811345678[[#This Row],[PMI]]-B131</f>
        <v>3.1000000000000014</v>
      </c>
    </row>
    <row r="133" spans="1:3" x14ac:dyDescent="0.2">
      <c r="A133" s="14">
        <v>44317</v>
      </c>
      <c r="B133" s="13">
        <v>62.1</v>
      </c>
      <c r="C133" s="21">
        <f>Table1346811345678[[#This Row],[PMI]]-B132</f>
        <v>4.3999999999999986</v>
      </c>
    </row>
    <row r="134" spans="1:3" x14ac:dyDescent="0.2">
      <c r="A134" s="14">
        <v>44348</v>
      </c>
      <c r="B134" s="13">
        <v>63.1</v>
      </c>
      <c r="C134" s="21">
        <f>Table1346811345678[[#This Row],[PMI]]-B133</f>
        <v>1</v>
      </c>
    </row>
    <row r="135" spans="1:3" x14ac:dyDescent="0.2">
      <c r="A135" s="14">
        <v>44378</v>
      </c>
      <c r="B135" s="13">
        <v>66.599999999999994</v>
      </c>
      <c r="C135" s="21">
        <f>Table1346811345678[[#This Row],[PMI]]-B134</f>
        <v>3.4999999999999929</v>
      </c>
    </row>
    <row r="136" spans="1:3" x14ac:dyDescent="0.2">
      <c r="A136" s="14">
        <v>44409</v>
      </c>
      <c r="B136" s="13">
        <v>63.7</v>
      </c>
      <c r="C136" s="21">
        <f>Table1346811345678[[#This Row],[PMI]]-B135</f>
        <v>-2.8999999999999915</v>
      </c>
    </row>
    <row r="137" spans="1:3" x14ac:dyDescent="0.2">
      <c r="A137" s="14">
        <v>44440</v>
      </c>
      <c r="B137" s="13">
        <v>63.7</v>
      </c>
      <c r="C137" s="21">
        <f>Table1346811345678[[#This Row],[PMI]]-B136</f>
        <v>0</v>
      </c>
    </row>
    <row r="138" spans="1:3" x14ac:dyDescent="0.2">
      <c r="A138" s="14">
        <v>44470</v>
      </c>
      <c r="B138" s="13">
        <v>63.4</v>
      </c>
      <c r="C138" s="21">
        <f>Table1346811345678[[#This Row],[PMI]]-B137</f>
        <v>-0.30000000000000426</v>
      </c>
    </row>
    <row r="139" spans="1:3" x14ac:dyDescent="0.2">
      <c r="A139" s="14">
        <v>44501</v>
      </c>
      <c r="B139" s="13">
        <v>59.3</v>
      </c>
      <c r="C139" s="21">
        <f>Table1346811345678[[#This Row],[PMI]]-B138</f>
        <v>-4.1000000000000014</v>
      </c>
    </row>
    <row r="140" spans="1:3" x14ac:dyDescent="0.2">
      <c r="A140" s="14">
        <v>44531</v>
      </c>
      <c r="B140" s="13">
        <v>55.4</v>
      </c>
      <c r="C140" s="21">
        <f>Table1346811345678[[#This Row],[PMI]]-B139</f>
        <v>-3.8999999999999986</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BEC59-19D0-41BA-9DAA-84612710CD70}">
  <dimension ref="A1:J140"/>
  <sheetViews>
    <sheetView topLeftCell="A95" zoomScale="160" zoomScaleNormal="160" workbookViewId="0">
      <selection activeCell="B140" sqref="B140"/>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19</v>
      </c>
      <c r="J1" s="25" t="s">
        <v>42</v>
      </c>
    </row>
    <row r="2" spans="1:10" x14ac:dyDescent="0.2">
      <c r="J2" s="25" t="str">
        <f>A1&amp;J1</f>
        <v>Italy Services PMI</v>
      </c>
    </row>
    <row r="4" spans="1:10" ht="16" thickBot="1" x14ac:dyDescent="0.25"/>
    <row r="5" spans="1:10" ht="16" thickBot="1" x14ac:dyDescent="0.25">
      <c r="A5" s="19" t="s">
        <v>9</v>
      </c>
      <c r="B5" s="20" t="s">
        <v>10</v>
      </c>
      <c r="C5" s="20" t="s">
        <v>11</v>
      </c>
    </row>
    <row r="6" spans="1:10" x14ac:dyDescent="0.2">
      <c r="A6" s="17">
        <v>40452</v>
      </c>
      <c r="B6" s="18">
        <v>51</v>
      </c>
      <c r="C6" s="18"/>
    </row>
    <row r="7" spans="1:10" x14ac:dyDescent="0.2">
      <c r="A7" s="14">
        <v>40483</v>
      </c>
      <c r="B7" s="13">
        <v>54.4</v>
      </c>
      <c r="C7" s="13">
        <f>Table13468113456789[[#This Row],[PMI]]-B6</f>
        <v>3.3999999999999986</v>
      </c>
    </row>
    <row r="8" spans="1:10" x14ac:dyDescent="0.2">
      <c r="A8" s="14">
        <v>40513</v>
      </c>
      <c r="B8" s="13">
        <v>52.1</v>
      </c>
      <c r="C8" s="13">
        <f>Table13468113456789[[#This Row],[PMI]]-B7</f>
        <v>-2.2999999999999972</v>
      </c>
    </row>
    <row r="9" spans="1:10" x14ac:dyDescent="0.2">
      <c r="A9" s="14">
        <v>40544</v>
      </c>
      <c r="B9" s="13">
        <v>53.5</v>
      </c>
      <c r="C9" s="13">
        <f>Table13468113456789[[#This Row],[PMI]]-B8</f>
        <v>1.3999999999999986</v>
      </c>
    </row>
    <row r="10" spans="1:10" x14ac:dyDescent="0.2">
      <c r="A10" s="14">
        <v>40575</v>
      </c>
      <c r="B10" s="13">
        <v>53.1</v>
      </c>
      <c r="C10" s="13">
        <f>Table13468113456789[[#This Row],[PMI]]-B9</f>
        <v>-0.39999999999999858</v>
      </c>
    </row>
    <row r="11" spans="1:10" x14ac:dyDescent="0.2">
      <c r="A11" s="14">
        <v>40603</v>
      </c>
      <c r="B11" s="13">
        <v>53.3</v>
      </c>
      <c r="C11" s="13">
        <f>Table13468113456789[[#This Row],[PMI]]-B10</f>
        <v>0.19999999999999574</v>
      </c>
    </row>
    <row r="12" spans="1:10" x14ac:dyDescent="0.2">
      <c r="A12" s="14">
        <v>40634</v>
      </c>
      <c r="B12" s="13">
        <v>52.2</v>
      </c>
      <c r="C12" s="13">
        <f>Table13468113456789[[#This Row],[PMI]]-B11</f>
        <v>-1.0999999999999943</v>
      </c>
    </row>
    <row r="13" spans="1:10" x14ac:dyDescent="0.2">
      <c r="A13" s="14">
        <v>40664</v>
      </c>
      <c r="B13" s="13">
        <v>50.1</v>
      </c>
      <c r="C13" s="13">
        <f>Table13468113456789[[#This Row],[PMI]]-B12</f>
        <v>-2.1000000000000014</v>
      </c>
    </row>
    <row r="14" spans="1:10" x14ac:dyDescent="0.2">
      <c r="A14" s="14">
        <v>40695</v>
      </c>
      <c r="B14" s="13">
        <v>47.4</v>
      </c>
      <c r="C14" s="13">
        <f>Table13468113456789[[#This Row],[PMI]]-B13</f>
        <v>-2.7000000000000028</v>
      </c>
    </row>
    <row r="15" spans="1:10" x14ac:dyDescent="0.2">
      <c r="A15" s="14">
        <v>40725</v>
      </c>
      <c r="B15" s="13">
        <v>48.6</v>
      </c>
      <c r="C15" s="13">
        <f>Table13468113456789[[#This Row],[PMI]]-B14</f>
        <v>1.2000000000000028</v>
      </c>
    </row>
    <row r="16" spans="1:10" x14ac:dyDescent="0.2">
      <c r="A16" s="14">
        <v>40756</v>
      </c>
      <c r="B16" s="13">
        <v>48.4</v>
      </c>
      <c r="C16" s="13">
        <f>Table13468113456789[[#This Row],[PMI]]-B15</f>
        <v>-0.20000000000000284</v>
      </c>
    </row>
    <row r="17" spans="1:3" x14ac:dyDescent="0.2">
      <c r="A17" s="14">
        <v>40787</v>
      </c>
      <c r="B17" s="13">
        <v>45.8</v>
      </c>
      <c r="C17" s="13">
        <f>Table13468113456789[[#This Row],[PMI]]-B16</f>
        <v>-2.6000000000000014</v>
      </c>
    </row>
    <row r="18" spans="1:3" x14ac:dyDescent="0.2">
      <c r="A18" s="14">
        <v>40817</v>
      </c>
      <c r="B18" s="13">
        <v>43.9</v>
      </c>
      <c r="C18" s="13">
        <f>Table13468113456789[[#This Row],[PMI]]-B17</f>
        <v>-1.8999999999999986</v>
      </c>
    </row>
    <row r="19" spans="1:3" x14ac:dyDescent="0.2">
      <c r="A19" s="14">
        <v>40848</v>
      </c>
      <c r="B19" s="13">
        <v>45.8</v>
      </c>
      <c r="C19" s="13">
        <f>Table13468113456789[[#This Row],[PMI]]-B18</f>
        <v>1.8999999999999986</v>
      </c>
    </row>
    <row r="20" spans="1:3" x14ac:dyDescent="0.2">
      <c r="A20" s="14">
        <v>40878</v>
      </c>
      <c r="B20" s="13">
        <v>44.5</v>
      </c>
      <c r="C20" s="13">
        <f>Table13468113456789[[#This Row],[PMI]]-B19</f>
        <v>-1.2999999999999972</v>
      </c>
    </row>
    <row r="21" spans="1:3" x14ac:dyDescent="0.2">
      <c r="A21" s="14">
        <v>40909</v>
      </c>
      <c r="B21" s="13">
        <v>44.8</v>
      </c>
      <c r="C21" s="13">
        <f>Table13468113456789[[#This Row],[PMI]]-B20</f>
        <v>0.29999999999999716</v>
      </c>
    </row>
    <row r="22" spans="1:3" x14ac:dyDescent="0.2">
      <c r="A22" s="14">
        <v>40940</v>
      </c>
      <c r="B22" s="13">
        <v>44.1</v>
      </c>
      <c r="C22" s="13">
        <f>Table13468113456789[[#This Row],[PMI]]-B21</f>
        <v>-0.69999999999999574</v>
      </c>
    </row>
    <row r="23" spans="1:3" x14ac:dyDescent="0.2">
      <c r="A23" s="14">
        <v>40969</v>
      </c>
      <c r="B23" s="13">
        <v>44.3</v>
      </c>
      <c r="C23" s="13">
        <f>Table13468113456789[[#This Row],[PMI]]-B22</f>
        <v>0.19999999999999574</v>
      </c>
    </row>
    <row r="24" spans="1:3" x14ac:dyDescent="0.2">
      <c r="A24" s="14">
        <v>41000</v>
      </c>
      <c r="B24" s="13">
        <v>42.3</v>
      </c>
      <c r="C24" s="13">
        <f>Table13468113456789[[#This Row],[PMI]]-B23</f>
        <v>-2</v>
      </c>
    </row>
    <row r="25" spans="1:3" x14ac:dyDescent="0.2">
      <c r="A25" s="14">
        <v>41030</v>
      </c>
      <c r="B25" s="13">
        <v>42.8</v>
      </c>
      <c r="C25" s="13">
        <f>Table13468113456789[[#This Row],[PMI]]-B24</f>
        <v>0.5</v>
      </c>
    </row>
    <row r="26" spans="1:3" x14ac:dyDescent="0.2">
      <c r="A26" s="14">
        <v>41061</v>
      </c>
      <c r="B26" s="13">
        <v>43.1</v>
      </c>
      <c r="C26" s="13">
        <f>Table13468113456789[[#This Row],[PMI]]-B25</f>
        <v>0.30000000000000426</v>
      </c>
    </row>
    <row r="27" spans="1:3" x14ac:dyDescent="0.2">
      <c r="A27" s="14">
        <v>41091</v>
      </c>
      <c r="B27" s="13">
        <v>43</v>
      </c>
      <c r="C27" s="13">
        <f>Table13468113456789[[#This Row],[PMI]]-B26</f>
        <v>-0.10000000000000142</v>
      </c>
    </row>
    <row r="28" spans="1:3" x14ac:dyDescent="0.2">
      <c r="A28" s="14">
        <v>41122</v>
      </c>
      <c r="B28" s="13">
        <v>44</v>
      </c>
      <c r="C28" s="13">
        <f>Table13468113456789[[#This Row],[PMI]]-B27</f>
        <v>1</v>
      </c>
    </row>
    <row r="29" spans="1:3" x14ac:dyDescent="0.2">
      <c r="A29" s="14">
        <v>41153</v>
      </c>
      <c r="B29" s="13">
        <v>44.5</v>
      </c>
      <c r="C29" s="13">
        <f>Table13468113456789[[#This Row],[PMI]]-B28</f>
        <v>0.5</v>
      </c>
    </row>
    <row r="30" spans="1:3" x14ac:dyDescent="0.2">
      <c r="A30" s="14">
        <v>41183</v>
      </c>
      <c r="B30" s="13">
        <v>46</v>
      </c>
      <c r="C30" s="13">
        <f>Table13468113456789[[#This Row],[PMI]]-B29</f>
        <v>1.5</v>
      </c>
    </row>
    <row r="31" spans="1:3" x14ac:dyDescent="0.2">
      <c r="A31" s="14">
        <v>41214</v>
      </c>
      <c r="B31" s="13">
        <v>44.6</v>
      </c>
      <c r="C31" s="13">
        <f>Table13468113456789[[#This Row],[PMI]]-B30</f>
        <v>-1.3999999999999986</v>
      </c>
    </row>
    <row r="32" spans="1:3" x14ac:dyDescent="0.2">
      <c r="A32" s="14">
        <v>41244</v>
      </c>
      <c r="B32" s="13">
        <v>43.1</v>
      </c>
      <c r="C32" s="13">
        <f>Table13468113456789[[#This Row],[PMI]]-B31</f>
        <v>-1.5</v>
      </c>
    </row>
    <row r="33" spans="1:3" x14ac:dyDescent="0.2">
      <c r="A33" s="14">
        <v>41275</v>
      </c>
      <c r="B33" s="13">
        <v>43.9</v>
      </c>
      <c r="C33" s="13">
        <f>Table13468113456789[[#This Row],[PMI]]-B32</f>
        <v>0.79999999999999716</v>
      </c>
    </row>
    <row r="34" spans="1:3" x14ac:dyDescent="0.2">
      <c r="A34" s="14">
        <v>41306</v>
      </c>
      <c r="B34" s="13">
        <v>43.6</v>
      </c>
      <c r="C34" s="13">
        <f>Table13468113456789[[#This Row],[PMI]]-B33</f>
        <v>-0.29999999999999716</v>
      </c>
    </row>
    <row r="35" spans="1:3" x14ac:dyDescent="0.2">
      <c r="A35" s="14">
        <v>41334</v>
      </c>
      <c r="B35" s="13">
        <v>45.5</v>
      </c>
      <c r="C35" s="13">
        <f>Table13468113456789[[#This Row],[PMI]]-B34</f>
        <v>1.8999999999999986</v>
      </c>
    </row>
    <row r="36" spans="1:3" x14ac:dyDescent="0.2">
      <c r="A36" s="14">
        <v>41365</v>
      </c>
      <c r="B36" s="13">
        <v>47</v>
      </c>
      <c r="C36" s="13">
        <f>Table13468113456789[[#This Row],[PMI]]-B35</f>
        <v>1.5</v>
      </c>
    </row>
    <row r="37" spans="1:3" x14ac:dyDescent="0.2">
      <c r="A37" s="14">
        <v>41395</v>
      </c>
      <c r="B37" s="13">
        <v>46.5</v>
      </c>
      <c r="C37" s="13">
        <f>Table13468113456789[[#This Row],[PMI]]-B36</f>
        <v>-0.5</v>
      </c>
    </row>
    <row r="38" spans="1:3" x14ac:dyDescent="0.2">
      <c r="A38" s="14">
        <v>41426</v>
      </c>
      <c r="B38" s="13">
        <v>45.8</v>
      </c>
      <c r="C38" s="13">
        <f>Table13468113456789[[#This Row],[PMI]]-B37</f>
        <v>-0.70000000000000284</v>
      </c>
    </row>
    <row r="39" spans="1:3" x14ac:dyDescent="0.2">
      <c r="A39" s="14">
        <v>41456</v>
      </c>
      <c r="B39" s="13">
        <v>48.7</v>
      </c>
      <c r="C39" s="13">
        <f>Table13468113456789[[#This Row],[PMI]]-B38</f>
        <v>2.9000000000000057</v>
      </c>
    </row>
    <row r="40" spans="1:3" x14ac:dyDescent="0.2">
      <c r="A40" s="14">
        <v>41487</v>
      </c>
      <c r="B40" s="13">
        <v>48.8</v>
      </c>
      <c r="C40" s="13">
        <f>Table13468113456789[[#This Row],[PMI]]-B39</f>
        <v>9.9999999999994316E-2</v>
      </c>
    </row>
    <row r="41" spans="1:3" x14ac:dyDescent="0.2">
      <c r="A41" s="14">
        <v>41518</v>
      </c>
      <c r="B41" s="13">
        <v>52.7</v>
      </c>
      <c r="C41" s="13">
        <f>Table13468113456789[[#This Row],[PMI]]-B40</f>
        <v>3.9000000000000057</v>
      </c>
    </row>
    <row r="42" spans="1:3" x14ac:dyDescent="0.2">
      <c r="A42" s="14">
        <v>41548</v>
      </c>
      <c r="B42" s="13">
        <v>50.5</v>
      </c>
      <c r="C42" s="13">
        <f>Table13468113456789[[#This Row],[PMI]]-B41</f>
        <v>-2.2000000000000028</v>
      </c>
    </row>
    <row r="43" spans="1:3" x14ac:dyDescent="0.2">
      <c r="A43" s="14">
        <v>41579</v>
      </c>
      <c r="B43" s="13">
        <v>47.2</v>
      </c>
      <c r="C43" s="13">
        <f>Table13468113456789[[#This Row],[PMI]]-B42</f>
        <v>-3.2999999999999972</v>
      </c>
    </row>
    <row r="44" spans="1:3" x14ac:dyDescent="0.2">
      <c r="A44" s="14">
        <v>41609</v>
      </c>
      <c r="B44" s="13">
        <v>48.6</v>
      </c>
      <c r="C44" s="13">
        <f>Table13468113456789[[#This Row],[PMI]]-B43</f>
        <v>1.3999999999999986</v>
      </c>
    </row>
    <row r="45" spans="1:3" x14ac:dyDescent="0.2">
      <c r="A45" s="14">
        <v>41640</v>
      </c>
      <c r="B45" s="13">
        <v>49.4</v>
      </c>
      <c r="C45" s="13">
        <f>Table13468113456789[[#This Row],[PMI]]-B44</f>
        <v>0.79999999999999716</v>
      </c>
    </row>
    <row r="46" spans="1:3" x14ac:dyDescent="0.2">
      <c r="A46" s="14">
        <v>41671</v>
      </c>
      <c r="B46" s="13">
        <v>52.9</v>
      </c>
      <c r="C46" s="13">
        <f>Table13468113456789[[#This Row],[PMI]]-B45</f>
        <v>3.5</v>
      </c>
    </row>
    <row r="47" spans="1:3" x14ac:dyDescent="0.2">
      <c r="A47" s="14">
        <v>41699</v>
      </c>
      <c r="B47" s="13">
        <v>49.5</v>
      </c>
      <c r="C47" s="13">
        <f>Table13468113456789[[#This Row],[PMI]]-B46</f>
        <v>-3.3999999999999986</v>
      </c>
    </row>
    <row r="48" spans="1:3" x14ac:dyDescent="0.2">
      <c r="A48" s="14">
        <v>41730</v>
      </c>
      <c r="B48" s="13">
        <v>51.1</v>
      </c>
      <c r="C48" s="13">
        <f>Table13468113456789[[#This Row],[PMI]]-B47</f>
        <v>1.6000000000000014</v>
      </c>
    </row>
    <row r="49" spans="1:3" x14ac:dyDescent="0.2">
      <c r="A49" s="14">
        <v>41760</v>
      </c>
      <c r="B49" s="13">
        <v>51.6</v>
      </c>
      <c r="C49" s="13">
        <f>Table13468113456789[[#This Row],[PMI]]-B48</f>
        <v>0.5</v>
      </c>
    </row>
    <row r="50" spans="1:3" x14ac:dyDescent="0.2">
      <c r="A50" s="14">
        <v>41791</v>
      </c>
      <c r="B50" s="13">
        <v>53.6</v>
      </c>
      <c r="C50" s="13">
        <f>Table13468113456789[[#This Row],[PMI]]-B49</f>
        <v>2</v>
      </c>
    </row>
    <row r="51" spans="1:3" x14ac:dyDescent="0.2">
      <c r="A51" s="14">
        <v>41821</v>
      </c>
      <c r="B51" s="13">
        <v>52.8</v>
      </c>
      <c r="C51" s="13">
        <f>Table13468113456789[[#This Row],[PMI]]-B50</f>
        <v>-0.80000000000000426</v>
      </c>
    </row>
    <row r="52" spans="1:3" x14ac:dyDescent="0.2">
      <c r="A52" s="14">
        <v>41852</v>
      </c>
      <c r="B52" s="13">
        <v>49.8</v>
      </c>
      <c r="C52" s="13">
        <f>Table13468113456789[[#This Row],[PMI]]-B51</f>
        <v>-3</v>
      </c>
    </row>
    <row r="53" spans="1:3" x14ac:dyDescent="0.2">
      <c r="A53" s="14">
        <v>41883</v>
      </c>
      <c r="B53" s="13">
        <v>48.8</v>
      </c>
      <c r="C53" s="13">
        <f>Table13468113456789[[#This Row],[PMI]]-B52</f>
        <v>-1</v>
      </c>
    </row>
    <row r="54" spans="1:3" x14ac:dyDescent="0.2">
      <c r="A54" s="14">
        <v>41913</v>
      </c>
      <c r="B54" s="13">
        <v>50.8</v>
      </c>
      <c r="C54" s="13">
        <f>Table13468113456789[[#This Row],[PMI]]-B53</f>
        <v>2</v>
      </c>
    </row>
    <row r="55" spans="1:3" x14ac:dyDescent="0.2">
      <c r="A55" s="14">
        <v>41944</v>
      </c>
      <c r="B55" s="13">
        <v>51.8</v>
      </c>
      <c r="C55" s="13">
        <f>Table13468113456789[[#This Row],[PMI]]-B54</f>
        <v>1</v>
      </c>
    </row>
    <row r="56" spans="1:3" x14ac:dyDescent="0.2">
      <c r="A56" s="14">
        <v>41974</v>
      </c>
      <c r="B56" s="13">
        <v>49.4</v>
      </c>
      <c r="C56" s="13">
        <f>Table13468113456789[[#This Row],[PMI]]-B55</f>
        <v>-2.3999999999999986</v>
      </c>
    </row>
    <row r="57" spans="1:3" x14ac:dyDescent="0.2">
      <c r="A57" s="14">
        <v>42005</v>
      </c>
      <c r="B57" s="13">
        <v>51.2</v>
      </c>
      <c r="C57" s="13">
        <f>Table13468113456789[[#This Row],[PMI]]-B56</f>
        <v>1.8000000000000043</v>
      </c>
    </row>
    <row r="58" spans="1:3" x14ac:dyDescent="0.2">
      <c r="A58" s="14">
        <v>42036</v>
      </c>
      <c r="B58" s="13">
        <v>50</v>
      </c>
      <c r="C58" s="13">
        <f>Table13468113456789[[#This Row],[PMI]]-B57</f>
        <v>-1.2000000000000028</v>
      </c>
    </row>
    <row r="59" spans="1:3" x14ac:dyDescent="0.2">
      <c r="A59" s="14">
        <v>42064</v>
      </c>
      <c r="B59" s="13">
        <v>51.6</v>
      </c>
      <c r="C59" s="13">
        <f>Table13468113456789[[#This Row],[PMI]]-B58</f>
        <v>1.6000000000000014</v>
      </c>
    </row>
    <row r="60" spans="1:3" x14ac:dyDescent="0.2">
      <c r="A60" s="14">
        <v>42095</v>
      </c>
      <c r="B60" s="13">
        <v>53.1</v>
      </c>
      <c r="C60" s="13">
        <f>Table13468113456789[[#This Row],[PMI]]-B59</f>
        <v>1.5</v>
      </c>
    </row>
    <row r="61" spans="1:3" x14ac:dyDescent="0.2">
      <c r="A61" s="14">
        <v>42125</v>
      </c>
      <c r="B61" s="13">
        <v>52.5</v>
      </c>
      <c r="C61" s="13">
        <f>Table13468113456789[[#This Row],[PMI]]-B60</f>
        <v>-0.60000000000000142</v>
      </c>
    </row>
    <row r="62" spans="1:3" x14ac:dyDescent="0.2">
      <c r="A62" s="14">
        <v>42156</v>
      </c>
      <c r="B62" s="13">
        <v>53.4</v>
      </c>
      <c r="C62" s="13">
        <f>Table13468113456789[[#This Row],[PMI]]-B61</f>
        <v>0.89999999999999858</v>
      </c>
    </row>
    <row r="63" spans="1:3" x14ac:dyDescent="0.2">
      <c r="A63" s="14">
        <v>42186</v>
      </c>
      <c r="B63" s="13">
        <v>52</v>
      </c>
      <c r="C63" s="13">
        <f>Table13468113456789[[#This Row],[PMI]]-B62</f>
        <v>-1.3999999999999986</v>
      </c>
    </row>
    <row r="64" spans="1:3" x14ac:dyDescent="0.2">
      <c r="A64" s="14">
        <v>42217</v>
      </c>
      <c r="B64" s="13">
        <v>54.6</v>
      </c>
      <c r="C64" s="13">
        <f>Table13468113456789[[#This Row],[PMI]]-B63</f>
        <v>2.6000000000000014</v>
      </c>
    </row>
    <row r="65" spans="1:3" x14ac:dyDescent="0.2">
      <c r="A65" s="14">
        <v>42248</v>
      </c>
      <c r="B65" s="13">
        <v>53.3</v>
      </c>
      <c r="C65" s="13">
        <f>Table13468113456789[[#This Row],[PMI]]-B64</f>
        <v>-1.3000000000000043</v>
      </c>
    </row>
    <row r="66" spans="1:3" x14ac:dyDescent="0.2">
      <c r="A66" s="14">
        <v>42278</v>
      </c>
      <c r="B66" s="13">
        <v>53.4</v>
      </c>
      <c r="C66" s="13">
        <f>Table13468113456789[[#This Row],[PMI]]-B65</f>
        <v>0.10000000000000142</v>
      </c>
    </row>
    <row r="67" spans="1:3" x14ac:dyDescent="0.2">
      <c r="A67" s="14">
        <v>42309</v>
      </c>
      <c r="B67" s="13">
        <v>53.4</v>
      </c>
      <c r="C67" s="13">
        <f>Table13468113456789[[#This Row],[PMI]]-B66</f>
        <v>0</v>
      </c>
    </row>
    <row r="68" spans="1:3" x14ac:dyDescent="0.2">
      <c r="A68" s="14">
        <v>42339</v>
      </c>
      <c r="B68" s="13">
        <v>55.3</v>
      </c>
      <c r="C68" s="13">
        <f>Table13468113456789[[#This Row],[PMI]]-B67</f>
        <v>1.8999999999999986</v>
      </c>
    </row>
    <row r="69" spans="1:3" x14ac:dyDescent="0.2">
      <c r="A69" s="14">
        <v>42370</v>
      </c>
      <c r="B69" s="13">
        <v>53.6</v>
      </c>
      <c r="C69" s="13">
        <f>Table13468113456789[[#This Row],[PMI]]-B68</f>
        <v>-1.6999999999999957</v>
      </c>
    </row>
    <row r="70" spans="1:3" x14ac:dyDescent="0.2">
      <c r="A70" s="14">
        <v>42401</v>
      </c>
      <c r="B70" s="13">
        <v>53.8</v>
      </c>
      <c r="C70" s="13">
        <f>Table13468113456789[[#This Row],[PMI]]-B69</f>
        <v>0.19999999999999574</v>
      </c>
    </row>
    <row r="71" spans="1:3" x14ac:dyDescent="0.2">
      <c r="A71" s="14">
        <v>42430</v>
      </c>
      <c r="B71" s="13">
        <v>51.2</v>
      </c>
      <c r="C71" s="13">
        <f>Table13468113456789[[#This Row],[PMI]]-B70</f>
        <v>-2.5999999999999943</v>
      </c>
    </row>
    <row r="72" spans="1:3" x14ac:dyDescent="0.2">
      <c r="A72" s="14">
        <v>42461</v>
      </c>
      <c r="B72" s="13">
        <v>52.1</v>
      </c>
      <c r="C72" s="13">
        <f>Table13468113456789[[#This Row],[PMI]]-B71</f>
        <v>0.89999999999999858</v>
      </c>
    </row>
    <row r="73" spans="1:3" x14ac:dyDescent="0.2">
      <c r="A73" s="14">
        <v>42491</v>
      </c>
      <c r="B73" s="13">
        <v>49.8</v>
      </c>
      <c r="C73" s="13">
        <f>Table13468113456789[[#This Row],[PMI]]-B72</f>
        <v>-2.3000000000000043</v>
      </c>
    </row>
    <row r="74" spans="1:3" x14ac:dyDescent="0.2">
      <c r="A74" s="14">
        <v>42522</v>
      </c>
      <c r="B74" s="13">
        <v>51.9</v>
      </c>
      <c r="C74" s="13">
        <f>Table13468113456789[[#This Row],[PMI]]-B73</f>
        <v>2.1000000000000014</v>
      </c>
    </row>
    <row r="75" spans="1:3" x14ac:dyDescent="0.2">
      <c r="A75" s="14">
        <v>42552</v>
      </c>
      <c r="B75" s="13">
        <v>52</v>
      </c>
      <c r="C75" s="13">
        <f>Table13468113456789[[#This Row],[PMI]]-B74</f>
        <v>0.10000000000000142</v>
      </c>
    </row>
    <row r="76" spans="1:3" x14ac:dyDescent="0.2">
      <c r="A76" s="14">
        <v>42583</v>
      </c>
      <c r="B76" s="13">
        <v>52.3</v>
      </c>
      <c r="C76" s="13">
        <f>Table13468113456789[[#This Row],[PMI]]-B75</f>
        <v>0.29999999999999716</v>
      </c>
    </row>
    <row r="77" spans="1:3" x14ac:dyDescent="0.2">
      <c r="A77" s="14">
        <v>42614</v>
      </c>
      <c r="B77" s="13">
        <v>50.7</v>
      </c>
      <c r="C77" s="21">
        <f>Table13468113456789[[#This Row],[PMI]]-B76</f>
        <v>-1.5999999999999943</v>
      </c>
    </row>
    <row r="78" spans="1:3" x14ac:dyDescent="0.2">
      <c r="A78" s="14">
        <v>42644</v>
      </c>
      <c r="B78" s="13">
        <v>51</v>
      </c>
      <c r="C78" s="21">
        <f>Table13468113456789[[#This Row],[PMI]]-B77</f>
        <v>0.29999999999999716</v>
      </c>
    </row>
    <row r="79" spans="1:3" x14ac:dyDescent="0.2">
      <c r="A79" s="14">
        <v>42675</v>
      </c>
      <c r="B79" s="13">
        <v>53.3</v>
      </c>
      <c r="C79" s="21">
        <f>Table13468113456789[[#This Row],[PMI]]-B78</f>
        <v>2.2999999999999972</v>
      </c>
    </row>
    <row r="80" spans="1:3" x14ac:dyDescent="0.2">
      <c r="A80" s="14">
        <v>42705</v>
      </c>
      <c r="B80" s="13">
        <v>52.3</v>
      </c>
      <c r="C80" s="21">
        <f>Table13468113456789[[#This Row],[PMI]]-B79</f>
        <v>-1</v>
      </c>
    </row>
    <row r="81" spans="1:3" x14ac:dyDescent="0.2">
      <c r="A81" s="14">
        <v>42736</v>
      </c>
      <c r="B81" s="13">
        <v>52.4</v>
      </c>
      <c r="C81" s="21">
        <f>Table13468113456789[[#This Row],[PMI]]-B80</f>
        <v>0.10000000000000142</v>
      </c>
    </row>
    <row r="82" spans="1:3" x14ac:dyDescent="0.2">
      <c r="A82" s="14">
        <v>42767</v>
      </c>
      <c r="B82" s="13">
        <v>54.1</v>
      </c>
      <c r="C82" s="21">
        <f>Table13468113456789[[#This Row],[PMI]]-B81</f>
        <v>1.7000000000000028</v>
      </c>
    </row>
    <row r="83" spans="1:3" x14ac:dyDescent="0.2">
      <c r="A83" s="14">
        <v>42795</v>
      </c>
      <c r="B83" s="13">
        <v>52.9</v>
      </c>
      <c r="C83" s="21">
        <f>Table13468113456789[[#This Row],[PMI]]-B82</f>
        <v>-1.2000000000000028</v>
      </c>
    </row>
    <row r="84" spans="1:3" x14ac:dyDescent="0.2">
      <c r="A84" s="14">
        <v>42826</v>
      </c>
      <c r="B84" s="13">
        <v>56.2</v>
      </c>
      <c r="C84" s="21">
        <f>Table13468113456789[[#This Row],[PMI]]-B83</f>
        <v>3.3000000000000043</v>
      </c>
    </row>
    <row r="85" spans="1:3" x14ac:dyDescent="0.2">
      <c r="A85" s="14">
        <v>42856</v>
      </c>
      <c r="B85" s="13">
        <v>55.1</v>
      </c>
      <c r="C85" s="21">
        <f>Table13468113456789[[#This Row],[PMI]]-B84</f>
        <v>-1.1000000000000014</v>
      </c>
    </row>
    <row r="86" spans="1:3" x14ac:dyDescent="0.2">
      <c r="A86" s="14">
        <v>42887</v>
      </c>
      <c r="B86" s="13">
        <v>53.6</v>
      </c>
      <c r="C86" s="21">
        <f>Table13468113456789[[#This Row],[PMI]]-B85</f>
        <v>-1.5</v>
      </c>
    </row>
    <row r="87" spans="1:3" x14ac:dyDescent="0.2">
      <c r="A87" s="14">
        <v>42917</v>
      </c>
      <c r="B87" s="13">
        <v>56.3</v>
      </c>
      <c r="C87" s="21">
        <f>Table13468113456789[[#This Row],[PMI]]-B86</f>
        <v>2.6999999999999957</v>
      </c>
    </row>
    <row r="88" spans="1:3" x14ac:dyDescent="0.2">
      <c r="A88" s="14">
        <v>42948</v>
      </c>
      <c r="B88" s="13">
        <v>55.1</v>
      </c>
      <c r="C88" s="21">
        <f>Table13468113456789[[#This Row],[PMI]]-B87</f>
        <v>-1.1999999999999957</v>
      </c>
    </row>
    <row r="89" spans="1:3" x14ac:dyDescent="0.2">
      <c r="A89" s="14">
        <v>42979</v>
      </c>
      <c r="B89" s="13">
        <v>53.2</v>
      </c>
      <c r="C89" s="21">
        <f>Table13468113456789[[#This Row],[PMI]]-B88</f>
        <v>-1.8999999999999986</v>
      </c>
    </row>
    <row r="90" spans="1:3" x14ac:dyDescent="0.2">
      <c r="A90" s="14">
        <v>43009</v>
      </c>
      <c r="B90" s="13">
        <v>52.1</v>
      </c>
      <c r="C90" s="21">
        <f>Table13468113456789[[#This Row],[PMI]]-B89</f>
        <v>-1.1000000000000014</v>
      </c>
    </row>
    <row r="91" spans="1:3" x14ac:dyDescent="0.2">
      <c r="A91" s="14">
        <v>43040</v>
      </c>
      <c r="B91" s="13">
        <v>54.7</v>
      </c>
      <c r="C91" s="21">
        <f>Table13468113456789[[#This Row],[PMI]]-B90</f>
        <v>2.6000000000000014</v>
      </c>
    </row>
    <row r="92" spans="1:3" x14ac:dyDescent="0.2">
      <c r="A92" s="14">
        <v>43070</v>
      </c>
      <c r="B92" s="13">
        <v>55.4</v>
      </c>
      <c r="C92" s="21">
        <f>Table13468113456789[[#This Row],[PMI]]-B91</f>
        <v>0.69999999999999574</v>
      </c>
    </row>
    <row r="93" spans="1:3" x14ac:dyDescent="0.2">
      <c r="A93" s="14">
        <v>43101</v>
      </c>
      <c r="B93" s="13">
        <v>57.7</v>
      </c>
      <c r="C93" s="21">
        <f>Table13468113456789[[#This Row],[PMI]]-B92</f>
        <v>2.3000000000000043</v>
      </c>
    </row>
    <row r="94" spans="1:3" x14ac:dyDescent="0.2">
      <c r="A94" s="14">
        <v>43132</v>
      </c>
      <c r="B94" s="13">
        <v>55</v>
      </c>
      <c r="C94" s="21">
        <f>Table13468113456789[[#This Row],[PMI]]-B93</f>
        <v>-2.7000000000000028</v>
      </c>
    </row>
    <row r="95" spans="1:3" x14ac:dyDescent="0.2">
      <c r="A95" s="14">
        <v>43160</v>
      </c>
      <c r="B95" s="13">
        <v>52.6</v>
      </c>
      <c r="C95" s="21">
        <f>Table13468113456789[[#This Row],[PMI]]-B94</f>
        <v>-2.3999999999999986</v>
      </c>
    </row>
    <row r="96" spans="1:3" x14ac:dyDescent="0.2">
      <c r="A96" s="14">
        <v>43191</v>
      </c>
      <c r="B96" s="13">
        <v>52.6</v>
      </c>
      <c r="C96" s="21">
        <f>Table13468113456789[[#This Row],[PMI]]-B95</f>
        <v>0</v>
      </c>
    </row>
    <row r="97" spans="1:3" x14ac:dyDescent="0.2">
      <c r="A97" s="14">
        <v>43221</v>
      </c>
      <c r="B97" s="13">
        <v>53.1</v>
      </c>
      <c r="C97" s="21">
        <f>Table13468113456789[[#This Row],[PMI]]-B96</f>
        <v>0.5</v>
      </c>
    </row>
    <row r="98" spans="1:3" x14ac:dyDescent="0.2">
      <c r="A98" s="14">
        <v>43252</v>
      </c>
      <c r="B98" s="13">
        <v>54.3</v>
      </c>
      <c r="C98" s="21">
        <f>Table13468113456789[[#This Row],[PMI]]-B97</f>
        <v>1.1999999999999957</v>
      </c>
    </row>
    <row r="99" spans="1:3" x14ac:dyDescent="0.2">
      <c r="A99" s="14">
        <v>43282</v>
      </c>
      <c r="B99" s="13">
        <v>54</v>
      </c>
      <c r="C99" s="21">
        <f>Table13468113456789[[#This Row],[PMI]]-B98</f>
        <v>-0.29999999999999716</v>
      </c>
    </row>
    <row r="100" spans="1:3" x14ac:dyDescent="0.2">
      <c r="A100" s="14">
        <v>43313</v>
      </c>
      <c r="B100" s="13">
        <v>52.6</v>
      </c>
      <c r="C100" s="21">
        <f>Table13468113456789[[#This Row],[PMI]]-B99</f>
        <v>-1.3999999999999986</v>
      </c>
    </row>
    <row r="101" spans="1:3" x14ac:dyDescent="0.2">
      <c r="A101" s="14">
        <v>43344</v>
      </c>
      <c r="B101" s="13">
        <v>53.3</v>
      </c>
      <c r="C101" s="21">
        <f>Table13468113456789[[#This Row],[PMI]]-B100</f>
        <v>0.69999999999999574</v>
      </c>
    </row>
    <row r="102" spans="1:3" x14ac:dyDescent="0.2">
      <c r="A102" s="14">
        <v>43374</v>
      </c>
      <c r="B102" s="13">
        <v>49.2</v>
      </c>
      <c r="C102" s="21">
        <f>Table13468113456789[[#This Row],[PMI]]-B101</f>
        <v>-4.0999999999999943</v>
      </c>
    </row>
    <row r="103" spans="1:3" x14ac:dyDescent="0.2">
      <c r="A103" s="14">
        <v>43405</v>
      </c>
      <c r="B103" s="13">
        <v>50.3</v>
      </c>
      <c r="C103" s="21">
        <f>Table13468113456789[[#This Row],[PMI]]-B102</f>
        <v>1.0999999999999943</v>
      </c>
    </row>
    <row r="104" spans="1:3" x14ac:dyDescent="0.2">
      <c r="A104" s="14">
        <v>43435</v>
      </c>
      <c r="B104" s="13">
        <v>50.5</v>
      </c>
      <c r="C104" s="21">
        <f>Table13468113456789[[#This Row],[PMI]]-B103</f>
        <v>0.20000000000000284</v>
      </c>
    </row>
    <row r="105" spans="1:3" x14ac:dyDescent="0.2">
      <c r="A105" s="14">
        <v>43466</v>
      </c>
      <c r="B105" s="13">
        <v>49.7</v>
      </c>
      <c r="C105" s="21">
        <f>Table13468113456789[[#This Row],[PMI]]-B104</f>
        <v>-0.79999999999999716</v>
      </c>
    </row>
    <row r="106" spans="1:3" x14ac:dyDescent="0.2">
      <c r="A106" s="14">
        <v>43497</v>
      </c>
      <c r="B106" s="13">
        <v>50.4</v>
      </c>
      <c r="C106" s="21">
        <f>Table13468113456789[[#This Row],[PMI]]-B105</f>
        <v>0.69999999999999574</v>
      </c>
    </row>
    <row r="107" spans="1:3" x14ac:dyDescent="0.2">
      <c r="A107" s="14">
        <v>43525</v>
      </c>
      <c r="B107" s="13">
        <v>53.1</v>
      </c>
      <c r="C107" s="21">
        <f>Table13468113456789[[#This Row],[PMI]]-B106</f>
        <v>2.7000000000000028</v>
      </c>
    </row>
    <row r="108" spans="1:3" x14ac:dyDescent="0.2">
      <c r="A108" s="14">
        <v>43556</v>
      </c>
      <c r="B108" s="13">
        <v>50.4</v>
      </c>
      <c r="C108" s="21">
        <f>Table13468113456789[[#This Row],[PMI]]-B107</f>
        <v>-2.7000000000000028</v>
      </c>
    </row>
    <row r="109" spans="1:3" x14ac:dyDescent="0.2">
      <c r="A109" s="14">
        <v>43586</v>
      </c>
      <c r="B109" s="13">
        <v>50</v>
      </c>
      <c r="C109" s="21">
        <f>Table13468113456789[[#This Row],[PMI]]-B108</f>
        <v>-0.39999999999999858</v>
      </c>
    </row>
    <row r="110" spans="1:3" x14ac:dyDescent="0.2">
      <c r="A110" s="14">
        <v>43617</v>
      </c>
      <c r="B110" s="13">
        <v>50.5</v>
      </c>
      <c r="C110" s="21">
        <f>Table13468113456789[[#This Row],[PMI]]-B109</f>
        <v>0.5</v>
      </c>
    </row>
    <row r="111" spans="1:3" x14ac:dyDescent="0.2">
      <c r="A111" s="14">
        <v>43647</v>
      </c>
      <c r="B111" s="13">
        <v>51.7</v>
      </c>
      <c r="C111" s="21">
        <f>Table13468113456789[[#This Row],[PMI]]-B110</f>
        <v>1.2000000000000028</v>
      </c>
    </row>
    <row r="112" spans="1:3" x14ac:dyDescent="0.2">
      <c r="A112" s="14">
        <v>43678</v>
      </c>
      <c r="B112" s="13">
        <v>50.6</v>
      </c>
      <c r="C112" s="21">
        <f>Table13468113456789[[#This Row],[PMI]]-B111</f>
        <v>-1.1000000000000014</v>
      </c>
    </row>
    <row r="113" spans="1:3" x14ac:dyDescent="0.2">
      <c r="A113" s="14">
        <v>43709</v>
      </c>
      <c r="B113" s="13">
        <v>51.4</v>
      </c>
      <c r="C113" s="21">
        <f>Table13468113456789[[#This Row],[PMI]]-B112</f>
        <v>0.79999999999999716</v>
      </c>
    </row>
    <row r="114" spans="1:3" x14ac:dyDescent="0.2">
      <c r="A114" s="14">
        <v>43739</v>
      </c>
      <c r="B114" s="13">
        <v>52.2</v>
      </c>
      <c r="C114" s="21">
        <f>Table13468113456789[[#This Row],[PMI]]-B113</f>
        <v>0.80000000000000426</v>
      </c>
    </row>
    <row r="115" spans="1:3" x14ac:dyDescent="0.2">
      <c r="A115" s="14">
        <v>43770</v>
      </c>
      <c r="B115" s="13">
        <v>50.4</v>
      </c>
      <c r="C115" s="21">
        <f>Table13468113456789[[#This Row],[PMI]]-B114</f>
        <v>-1.8000000000000043</v>
      </c>
    </row>
    <row r="116" spans="1:3" x14ac:dyDescent="0.2">
      <c r="A116" s="14">
        <v>43800</v>
      </c>
      <c r="B116" s="13">
        <v>51.1</v>
      </c>
      <c r="C116" s="21">
        <f>Table13468113456789[[#This Row],[PMI]]-B115</f>
        <v>0.70000000000000284</v>
      </c>
    </row>
    <row r="117" spans="1:3" x14ac:dyDescent="0.2">
      <c r="A117" s="14">
        <v>43831</v>
      </c>
      <c r="B117" s="13">
        <v>51.4</v>
      </c>
      <c r="C117" s="21">
        <f>Table13468113456789[[#This Row],[PMI]]-B116</f>
        <v>0.29999999999999716</v>
      </c>
    </row>
    <row r="118" spans="1:3" x14ac:dyDescent="0.2">
      <c r="A118" s="14">
        <v>43862</v>
      </c>
      <c r="B118" s="13">
        <v>52.1</v>
      </c>
      <c r="C118" s="21">
        <f>Table13468113456789[[#This Row],[PMI]]-B117</f>
        <v>0.70000000000000284</v>
      </c>
    </row>
    <row r="119" spans="1:3" x14ac:dyDescent="0.2">
      <c r="A119" s="14">
        <v>43891</v>
      </c>
      <c r="B119" s="13">
        <v>17.399999999999999</v>
      </c>
      <c r="C119" s="21">
        <f>Table13468113456789[[#This Row],[PMI]]-B118</f>
        <v>-34.700000000000003</v>
      </c>
    </row>
    <row r="120" spans="1:3" x14ac:dyDescent="0.2">
      <c r="A120" s="14">
        <v>43922</v>
      </c>
      <c r="B120" s="13">
        <v>10.8</v>
      </c>
      <c r="C120" s="21">
        <f>Table13468113456789[[#This Row],[PMI]]-B119</f>
        <v>-6.5999999999999979</v>
      </c>
    </row>
    <row r="121" spans="1:3" x14ac:dyDescent="0.2">
      <c r="A121" s="14">
        <v>43952</v>
      </c>
      <c r="B121" s="13">
        <v>28.9</v>
      </c>
      <c r="C121" s="21">
        <f>Table13468113456789[[#This Row],[PMI]]-B120</f>
        <v>18.099999999999998</v>
      </c>
    </row>
    <row r="122" spans="1:3" x14ac:dyDescent="0.2">
      <c r="A122" s="14">
        <v>43983</v>
      </c>
      <c r="B122" s="13">
        <v>46.4</v>
      </c>
      <c r="C122" s="21">
        <f>Table13468113456789[[#This Row],[PMI]]-B121</f>
        <v>17.5</v>
      </c>
    </row>
    <row r="123" spans="1:3" x14ac:dyDescent="0.2">
      <c r="A123" s="14">
        <v>44013</v>
      </c>
      <c r="B123" s="13">
        <v>51.6</v>
      </c>
      <c r="C123" s="21">
        <f>Table13468113456789[[#This Row],[PMI]]-B122</f>
        <v>5.2000000000000028</v>
      </c>
    </row>
    <row r="124" spans="1:3" x14ac:dyDescent="0.2">
      <c r="A124" s="14">
        <v>44044</v>
      </c>
      <c r="B124" s="13">
        <v>47.1</v>
      </c>
      <c r="C124" s="21">
        <f>Table13468113456789[[#This Row],[PMI]]-B123</f>
        <v>-4.5</v>
      </c>
    </row>
    <row r="125" spans="1:3" x14ac:dyDescent="0.2">
      <c r="A125" s="14">
        <v>44075</v>
      </c>
      <c r="B125" s="13">
        <v>48.8</v>
      </c>
      <c r="C125" s="21">
        <f>Table13468113456789[[#This Row],[PMI]]-B124</f>
        <v>1.6999999999999957</v>
      </c>
    </row>
    <row r="126" spans="1:3" x14ac:dyDescent="0.2">
      <c r="A126" s="14">
        <v>44105</v>
      </c>
      <c r="B126" s="13">
        <v>46.7</v>
      </c>
      <c r="C126" s="21">
        <f>Table13468113456789[[#This Row],[PMI]]-B125</f>
        <v>-2.0999999999999943</v>
      </c>
    </row>
    <row r="127" spans="1:3" x14ac:dyDescent="0.2">
      <c r="A127" s="14">
        <v>44136</v>
      </c>
      <c r="B127" s="13">
        <v>39.4</v>
      </c>
      <c r="C127" s="21">
        <f>Table13468113456789[[#This Row],[PMI]]-B126</f>
        <v>-7.3000000000000043</v>
      </c>
    </row>
    <row r="128" spans="1:3" x14ac:dyDescent="0.2">
      <c r="A128" s="14">
        <v>44166</v>
      </c>
      <c r="B128" s="13">
        <v>39.700000000000003</v>
      </c>
      <c r="C128" s="21">
        <f>Table13468113456789[[#This Row],[PMI]]-B127</f>
        <v>0.30000000000000426</v>
      </c>
    </row>
    <row r="129" spans="1:3" x14ac:dyDescent="0.2">
      <c r="A129" s="14">
        <v>44197</v>
      </c>
      <c r="B129" s="13">
        <v>44.7</v>
      </c>
      <c r="C129" s="21">
        <f>Table13468113456789[[#This Row],[PMI]]-B128</f>
        <v>5</v>
      </c>
    </row>
    <row r="130" spans="1:3" x14ac:dyDescent="0.2">
      <c r="A130" s="14">
        <v>44228</v>
      </c>
      <c r="B130" s="13">
        <v>48.8</v>
      </c>
      <c r="C130" s="21">
        <f>Table13468113456789[[#This Row],[PMI]]-B129</f>
        <v>4.0999999999999943</v>
      </c>
    </row>
    <row r="131" spans="1:3" x14ac:dyDescent="0.2">
      <c r="A131" s="14">
        <v>44256</v>
      </c>
      <c r="B131" s="13">
        <v>48.6</v>
      </c>
      <c r="C131" s="21">
        <f>Table13468113456789[[#This Row],[PMI]]-B130</f>
        <v>-0.19999999999999574</v>
      </c>
    </row>
    <row r="132" spans="1:3" x14ac:dyDescent="0.2">
      <c r="A132" s="14">
        <v>44287</v>
      </c>
      <c r="B132" s="13">
        <v>47.3</v>
      </c>
      <c r="C132" s="21">
        <f>Table13468113456789[[#This Row],[PMI]]-B131</f>
        <v>-1.3000000000000043</v>
      </c>
    </row>
    <row r="133" spans="1:3" x14ac:dyDescent="0.2">
      <c r="A133" s="14">
        <v>44317</v>
      </c>
      <c r="B133" s="13">
        <v>53.1</v>
      </c>
      <c r="C133" s="21">
        <f>Table13468113456789[[#This Row],[PMI]]-B132</f>
        <v>5.8000000000000043</v>
      </c>
    </row>
    <row r="134" spans="1:3" x14ac:dyDescent="0.2">
      <c r="A134" s="14">
        <v>44348</v>
      </c>
      <c r="B134" s="13">
        <v>56.8</v>
      </c>
      <c r="C134" s="21">
        <f>Table13468113456789[[#This Row],[PMI]]-B133</f>
        <v>3.6999999999999957</v>
      </c>
    </row>
    <row r="135" spans="1:3" x14ac:dyDescent="0.2">
      <c r="A135" s="14">
        <v>44378</v>
      </c>
      <c r="B135" s="13">
        <v>58</v>
      </c>
      <c r="C135" s="21">
        <f>Table13468113456789[[#This Row],[PMI]]-B134</f>
        <v>1.2000000000000028</v>
      </c>
    </row>
    <row r="136" spans="1:3" x14ac:dyDescent="0.2">
      <c r="A136" s="14">
        <v>44409</v>
      </c>
      <c r="B136" s="13">
        <v>58</v>
      </c>
      <c r="C136" s="21">
        <f>Table13468113456789[[#This Row],[PMI]]-B135</f>
        <v>0</v>
      </c>
    </row>
    <row r="137" spans="1:3" x14ac:dyDescent="0.2">
      <c r="A137" s="14">
        <v>44440</v>
      </c>
      <c r="B137" s="13">
        <v>55.5</v>
      </c>
      <c r="C137" s="21">
        <f>Table13468113456789[[#This Row],[PMI]]-B136</f>
        <v>-2.5</v>
      </c>
    </row>
    <row r="138" spans="1:3" x14ac:dyDescent="0.2">
      <c r="A138" s="14">
        <v>44470</v>
      </c>
      <c r="B138" s="13">
        <v>52.4</v>
      </c>
      <c r="C138" s="21">
        <f>Table13468113456789[[#This Row],[PMI]]-B137</f>
        <v>-3.1000000000000014</v>
      </c>
    </row>
    <row r="139" spans="1:3" x14ac:dyDescent="0.2">
      <c r="A139" s="14">
        <v>44501</v>
      </c>
      <c r="B139" s="13">
        <v>55.9</v>
      </c>
      <c r="C139" s="21">
        <f>Table13468113456789[[#This Row],[PMI]]-B138</f>
        <v>3.5</v>
      </c>
    </row>
    <row r="140" spans="1:3" x14ac:dyDescent="0.2">
      <c r="A140" s="14">
        <v>44531</v>
      </c>
      <c r="B140" s="13">
        <v>53</v>
      </c>
      <c r="C140" s="21">
        <f>Table13468113456789[[#This Row],[PMI]]-B139</f>
        <v>-2.8999999999999986</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F4BCB-2EDD-40E8-A2A5-EB4A5B73B323}">
  <dimension ref="A1:J140"/>
  <sheetViews>
    <sheetView topLeftCell="A93" zoomScale="150" zoomScaleNormal="150" workbookViewId="0">
      <selection activeCell="A141" sqref="A141"/>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23</v>
      </c>
      <c r="J1" s="25" t="s">
        <v>42</v>
      </c>
    </row>
    <row r="2" spans="1:10" x14ac:dyDescent="0.2">
      <c r="J2" s="25" t="str">
        <f>A1&amp;J1</f>
        <v>Japan Services PMI</v>
      </c>
    </row>
    <row r="4" spans="1:10" ht="16" thickBot="1" x14ac:dyDescent="0.25"/>
    <row r="5" spans="1:10" ht="16" thickBot="1" x14ac:dyDescent="0.25">
      <c r="A5" s="19" t="s">
        <v>9</v>
      </c>
      <c r="B5" s="20" t="s">
        <v>10</v>
      </c>
      <c r="C5" s="20" t="s">
        <v>11</v>
      </c>
    </row>
    <row r="6" spans="1:10" x14ac:dyDescent="0.2">
      <c r="A6" s="17">
        <v>40452</v>
      </c>
      <c r="B6" s="18">
        <v>47.2</v>
      </c>
      <c r="C6" s="18"/>
    </row>
    <row r="7" spans="1:10" x14ac:dyDescent="0.2">
      <c r="A7" s="14">
        <v>40483</v>
      </c>
      <c r="B7" s="13">
        <v>49.5</v>
      </c>
      <c r="C7" s="13">
        <f>Table13468113456710[[#This Row],[PMI]]-B6</f>
        <v>2.2999999999999972</v>
      </c>
    </row>
    <row r="8" spans="1:10" x14ac:dyDescent="0.2">
      <c r="A8" s="14">
        <v>40513</v>
      </c>
      <c r="B8" s="13">
        <v>50.1</v>
      </c>
      <c r="C8" s="13">
        <f>Table13468113456710[[#This Row],[PMI]]-B7</f>
        <v>0.60000000000000142</v>
      </c>
    </row>
    <row r="9" spans="1:10" x14ac:dyDescent="0.2">
      <c r="A9" s="14">
        <v>40544</v>
      </c>
      <c r="B9" s="13">
        <v>48.1</v>
      </c>
      <c r="C9" s="13">
        <f>Table13468113456710[[#This Row],[PMI]]-B8</f>
        <v>-2</v>
      </c>
    </row>
    <row r="10" spans="1:10" x14ac:dyDescent="0.2">
      <c r="A10" s="14">
        <v>40575</v>
      </c>
      <c r="B10" s="13">
        <v>49.8</v>
      </c>
      <c r="C10" s="13">
        <f>Table13468113456710[[#This Row],[PMI]]-B9</f>
        <v>1.6999999999999957</v>
      </c>
    </row>
    <row r="11" spans="1:10" x14ac:dyDescent="0.2">
      <c r="A11" s="14">
        <v>40603</v>
      </c>
      <c r="B11" s="13">
        <v>35.299999999999997</v>
      </c>
      <c r="C11" s="13">
        <f>Table13468113456710[[#This Row],[PMI]]-B10</f>
        <v>-14.5</v>
      </c>
    </row>
    <row r="12" spans="1:10" x14ac:dyDescent="0.2">
      <c r="A12" s="14">
        <v>40634</v>
      </c>
      <c r="B12" s="13">
        <v>35</v>
      </c>
      <c r="C12" s="13">
        <f>Table13468113456710[[#This Row],[PMI]]-B11</f>
        <v>-0.29999999999999716</v>
      </c>
    </row>
    <row r="13" spans="1:10" x14ac:dyDescent="0.2">
      <c r="A13" s="14">
        <v>40664</v>
      </c>
      <c r="B13" s="13">
        <v>43.8</v>
      </c>
      <c r="C13" s="13">
        <f>Table13468113456710[[#This Row],[PMI]]-B12</f>
        <v>8.7999999999999972</v>
      </c>
    </row>
    <row r="14" spans="1:10" x14ac:dyDescent="0.2">
      <c r="A14" s="14">
        <v>40695</v>
      </c>
      <c r="B14" s="13">
        <v>45.4</v>
      </c>
      <c r="C14" s="13">
        <f>Table13468113456710[[#This Row],[PMI]]-B13</f>
        <v>1.6000000000000014</v>
      </c>
    </row>
    <row r="15" spans="1:10" x14ac:dyDescent="0.2">
      <c r="A15" s="14">
        <v>40725</v>
      </c>
      <c r="B15" s="13">
        <v>45.3</v>
      </c>
      <c r="C15" s="13">
        <f>Table13468113456710[[#This Row],[PMI]]-B14</f>
        <v>-0.10000000000000142</v>
      </c>
    </row>
    <row r="16" spans="1:10" x14ac:dyDescent="0.2">
      <c r="A16" s="14">
        <v>40756</v>
      </c>
      <c r="B16" s="13">
        <v>44.1</v>
      </c>
      <c r="C16" s="13">
        <f>Table13468113456710[[#This Row],[PMI]]-B15</f>
        <v>-1.1999999999999957</v>
      </c>
    </row>
    <row r="17" spans="1:3" x14ac:dyDescent="0.2">
      <c r="A17" s="14">
        <v>40787</v>
      </c>
      <c r="B17" s="13">
        <v>46.4</v>
      </c>
      <c r="C17" s="13">
        <f>Table13468113456710[[#This Row],[PMI]]-B16</f>
        <v>2.2999999999999972</v>
      </c>
    </row>
    <row r="18" spans="1:3" x14ac:dyDescent="0.2">
      <c r="A18" s="14">
        <v>40817</v>
      </c>
      <c r="B18" s="13">
        <v>52.3</v>
      </c>
      <c r="C18" s="13">
        <f>Table13468113456710[[#This Row],[PMI]]-B17</f>
        <v>5.8999999999999986</v>
      </c>
    </row>
    <row r="19" spans="1:3" x14ac:dyDescent="0.2">
      <c r="A19" s="14">
        <v>40848</v>
      </c>
      <c r="B19" s="13">
        <v>49.5</v>
      </c>
      <c r="C19" s="13">
        <f>Table13468113456710[[#This Row],[PMI]]-B18</f>
        <v>-2.7999999999999972</v>
      </c>
    </row>
    <row r="20" spans="1:3" x14ac:dyDescent="0.2">
      <c r="A20" s="14">
        <v>40878</v>
      </c>
      <c r="B20" s="13">
        <v>50.4</v>
      </c>
      <c r="C20" s="13">
        <f>Table13468113456710[[#This Row],[PMI]]-B19</f>
        <v>0.89999999999999858</v>
      </c>
    </row>
    <row r="21" spans="1:3" x14ac:dyDescent="0.2">
      <c r="A21" s="14">
        <v>40909</v>
      </c>
      <c r="B21" s="13">
        <v>51</v>
      </c>
      <c r="C21" s="13">
        <f>Table13468113456710[[#This Row],[PMI]]-B20</f>
        <v>0.60000000000000142</v>
      </c>
    </row>
    <row r="22" spans="1:3" x14ac:dyDescent="0.2">
      <c r="A22" s="14">
        <v>40940</v>
      </c>
      <c r="B22" s="13">
        <v>51.2</v>
      </c>
      <c r="C22" s="13">
        <f>Table13468113456710[[#This Row],[PMI]]-B21</f>
        <v>0.20000000000000284</v>
      </c>
    </row>
    <row r="23" spans="1:3" x14ac:dyDescent="0.2">
      <c r="A23" s="14">
        <v>40969</v>
      </c>
      <c r="B23" s="13">
        <v>53.7</v>
      </c>
      <c r="C23" s="13">
        <f>Table13468113456710[[#This Row],[PMI]]-B22</f>
        <v>2.5</v>
      </c>
    </row>
    <row r="24" spans="1:3" x14ac:dyDescent="0.2">
      <c r="A24" s="14">
        <v>41000</v>
      </c>
      <c r="B24" s="13">
        <v>51</v>
      </c>
      <c r="C24" s="13">
        <f>Table13468113456710[[#This Row],[PMI]]-B23</f>
        <v>-2.7000000000000028</v>
      </c>
    </row>
    <row r="25" spans="1:3" x14ac:dyDescent="0.2">
      <c r="A25" s="14">
        <v>41030</v>
      </c>
      <c r="B25" s="13">
        <v>50.5</v>
      </c>
      <c r="C25" s="13">
        <f>Table13468113456710[[#This Row],[PMI]]-B24</f>
        <v>-0.5</v>
      </c>
    </row>
    <row r="26" spans="1:3" x14ac:dyDescent="0.2">
      <c r="A26" s="14">
        <v>41061</v>
      </c>
      <c r="B26" s="13">
        <v>49.5</v>
      </c>
      <c r="C26" s="13">
        <f>Table13468113456710[[#This Row],[PMI]]-B25</f>
        <v>-1</v>
      </c>
    </row>
    <row r="27" spans="1:3" x14ac:dyDescent="0.2">
      <c r="A27" s="14">
        <v>41091</v>
      </c>
      <c r="B27" s="13">
        <v>48.7</v>
      </c>
      <c r="C27" s="13">
        <f>Table13468113456710[[#This Row],[PMI]]-B26</f>
        <v>-0.79999999999999716</v>
      </c>
    </row>
    <row r="28" spans="1:3" x14ac:dyDescent="0.2">
      <c r="A28" s="14">
        <v>41122</v>
      </c>
      <c r="B28" s="13">
        <v>47.5</v>
      </c>
      <c r="C28" s="13">
        <f>Table13468113456710[[#This Row],[PMI]]-B27</f>
        <v>-1.2000000000000028</v>
      </c>
    </row>
    <row r="29" spans="1:3" x14ac:dyDescent="0.2">
      <c r="A29" s="14">
        <v>41153</v>
      </c>
      <c r="B29" s="13">
        <v>48.8</v>
      </c>
      <c r="C29" s="13">
        <f>Table13468113456710[[#This Row],[PMI]]-B28</f>
        <v>1.2999999999999972</v>
      </c>
    </row>
    <row r="30" spans="1:3" x14ac:dyDescent="0.2">
      <c r="A30" s="14">
        <v>41183</v>
      </c>
      <c r="B30" s="13">
        <v>49.7</v>
      </c>
      <c r="C30" s="13">
        <f>Table13468113456710[[#This Row],[PMI]]-B29</f>
        <v>0.90000000000000568</v>
      </c>
    </row>
    <row r="31" spans="1:3" x14ac:dyDescent="0.2">
      <c r="A31" s="14">
        <v>41214</v>
      </c>
      <c r="B31" s="13">
        <v>49.1</v>
      </c>
      <c r="C31" s="13">
        <f>Table13468113456710[[#This Row],[PMI]]-B30</f>
        <v>-0.60000000000000142</v>
      </c>
    </row>
    <row r="32" spans="1:3" x14ac:dyDescent="0.2">
      <c r="A32" s="14">
        <v>41244</v>
      </c>
      <c r="B32" s="13">
        <v>50.1</v>
      </c>
      <c r="C32" s="13">
        <f>Table13468113456710[[#This Row],[PMI]]-B31</f>
        <v>1</v>
      </c>
    </row>
    <row r="33" spans="1:3" x14ac:dyDescent="0.2">
      <c r="A33" s="14">
        <v>41275</v>
      </c>
      <c r="B33" s="13">
        <v>50.4</v>
      </c>
      <c r="C33" s="13">
        <f>Table13468113456710[[#This Row],[PMI]]-B32</f>
        <v>0.29999999999999716</v>
      </c>
    </row>
    <row r="34" spans="1:3" x14ac:dyDescent="0.2">
      <c r="A34" s="14">
        <v>41306</v>
      </c>
      <c r="B34" s="13">
        <v>51.3</v>
      </c>
      <c r="C34" s="13">
        <f>Table13468113456710[[#This Row],[PMI]]-B33</f>
        <v>0.89999999999999858</v>
      </c>
    </row>
    <row r="35" spans="1:3" x14ac:dyDescent="0.2">
      <c r="A35" s="14">
        <v>41334</v>
      </c>
      <c r="B35" s="13">
        <v>53.4</v>
      </c>
      <c r="C35" s="13">
        <f>Table13468113456710[[#This Row],[PMI]]-B34</f>
        <v>2.1000000000000014</v>
      </c>
    </row>
    <row r="36" spans="1:3" x14ac:dyDescent="0.2">
      <c r="A36" s="14">
        <v>41365</v>
      </c>
      <c r="B36" s="13">
        <v>52.5</v>
      </c>
      <c r="C36" s="13">
        <f>Table13468113456710[[#This Row],[PMI]]-B35</f>
        <v>-0.89999999999999858</v>
      </c>
    </row>
    <row r="37" spans="1:3" x14ac:dyDescent="0.2">
      <c r="A37" s="14">
        <v>41395</v>
      </c>
      <c r="B37" s="13">
        <v>54.8</v>
      </c>
      <c r="C37" s="13">
        <f>Table13468113456710[[#This Row],[PMI]]-B36</f>
        <v>2.2999999999999972</v>
      </c>
    </row>
    <row r="38" spans="1:3" x14ac:dyDescent="0.2">
      <c r="A38" s="14">
        <v>41426</v>
      </c>
      <c r="B38" s="13">
        <v>52.1</v>
      </c>
      <c r="C38" s="13">
        <f>Table13468113456710[[#This Row],[PMI]]-B37</f>
        <v>-2.6999999999999957</v>
      </c>
    </row>
    <row r="39" spans="1:3" x14ac:dyDescent="0.2">
      <c r="A39" s="14">
        <v>41456</v>
      </c>
      <c r="B39" s="13">
        <v>50.6</v>
      </c>
      <c r="C39" s="13">
        <f>Table13468113456710[[#This Row],[PMI]]-B38</f>
        <v>-1.5</v>
      </c>
    </row>
    <row r="40" spans="1:3" x14ac:dyDescent="0.2">
      <c r="A40" s="14">
        <v>41487</v>
      </c>
      <c r="B40" s="13">
        <v>51.2</v>
      </c>
      <c r="C40" s="13">
        <f>Table13468113456710[[#This Row],[PMI]]-B39</f>
        <v>0.60000000000000142</v>
      </c>
    </row>
    <row r="41" spans="1:3" x14ac:dyDescent="0.2">
      <c r="A41" s="14">
        <v>41518</v>
      </c>
      <c r="B41" s="13">
        <v>53</v>
      </c>
      <c r="C41" s="13">
        <f>Table13468113456710[[#This Row],[PMI]]-B40</f>
        <v>1.7999999999999972</v>
      </c>
    </row>
    <row r="42" spans="1:3" x14ac:dyDescent="0.2">
      <c r="A42" s="14">
        <v>41548</v>
      </c>
      <c r="B42" s="13">
        <v>55.3</v>
      </c>
      <c r="C42" s="13">
        <f>Table13468113456710[[#This Row],[PMI]]-B41</f>
        <v>2.2999999999999972</v>
      </c>
    </row>
    <row r="43" spans="1:3" x14ac:dyDescent="0.2">
      <c r="A43" s="14">
        <v>41579</v>
      </c>
      <c r="B43" s="13">
        <v>51.8</v>
      </c>
      <c r="C43" s="13">
        <f>Table13468113456710[[#This Row],[PMI]]-B42</f>
        <v>-3.5</v>
      </c>
    </row>
    <row r="44" spans="1:3" x14ac:dyDescent="0.2">
      <c r="A44" s="14">
        <v>41609</v>
      </c>
      <c r="B44" s="13">
        <v>52.1</v>
      </c>
      <c r="C44" s="13">
        <f>Table13468113456710[[#This Row],[PMI]]-B43</f>
        <v>0.30000000000000426</v>
      </c>
    </row>
    <row r="45" spans="1:3" x14ac:dyDescent="0.2">
      <c r="A45" s="14">
        <v>41640</v>
      </c>
      <c r="B45" s="13">
        <v>51.2</v>
      </c>
      <c r="C45" s="13">
        <f>Table13468113456710[[#This Row],[PMI]]-B44</f>
        <v>-0.89999999999999858</v>
      </c>
    </row>
    <row r="46" spans="1:3" x14ac:dyDescent="0.2">
      <c r="A46" s="14">
        <v>41671</v>
      </c>
      <c r="B46" s="13">
        <v>49.3</v>
      </c>
      <c r="C46" s="13">
        <f>Table13468113456710[[#This Row],[PMI]]-B45</f>
        <v>-1.9000000000000057</v>
      </c>
    </row>
    <row r="47" spans="1:3" x14ac:dyDescent="0.2">
      <c r="A47" s="14">
        <v>41699</v>
      </c>
      <c r="B47" s="13">
        <v>52.2</v>
      </c>
      <c r="C47" s="13">
        <f>Table13468113456710[[#This Row],[PMI]]-B46</f>
        <v>2.9000000000000057</v>
      </c>
    </row>
    <row r="48" spans="1:3" x14ac:dyDescent="0.2">
      <c r="A48" s="14">
        <v>41730</v>
      </c>
      <c r="B48" s="13">
        <v>46.4</v>
      </c>
      <c r="C48" s="13">
        <f>Table13468113456710[[#This Row],[PMI]]-B47</f>
        <v>-5.8000000000000043</v>
      </c>
    </row>
    <row r="49" spans="1:3" x14ac:dyDescent="0.2">
      <c r="A49" s="14">
        <v>41760</v>
      </c>
      <c r="B49" s="13">
        <v>49.3</v>
      </c>
      <c r="C49" s="13">
        <f>Table13468113456710[[#This Row],[PMI]]-B48</f>
        <v>2.8999999999999986</v>
      </c>
    </row>
    <row r="50" spans="1:3" x14ac:dyDescent="0.2">
      <c r="A50" s="14">
        <v>41791</v>
      </c>
      <c r="B50" s="13">
        <v>49</v>
      </c>
      <c r="C50" s="13">
        <f>Table13468113456710[[#This Row],[PMI]]-B49</f>
        <v>-0.29999999999999716</v>
      </c>
    </row>
    <row r="51" spans="1:3" x14ac:dyDescent="0.2">
      <c r="A51" s="14">
        <v>41821</v>
      </c>
      <c r="B51" s="13">
        <v>50.4</v>
      </c>
      <c r="C51" s="13">
        <f>Table13468113456710[[#This Row],[PMI]]-B50</f>
        <v>1.3999999999999986</v>
      </c>
    </row>
    <row r="52" spans="1:3" x14ac:dyDescent="0.2">
      <c r="A52" s="14">
        <v>41852</v>
      </c>
      <c r="B52" s="13">
        <v>49.9</v>
      </c>
      <c r="C52" s="13">
        <f>Table13468113456710[[#This Row],[PMI]]-B51</f>
        <v>-0.5</v>
      </c>
    </row>
    <row r="53" spans="1:3" x14ac:dyDescent="0.2">
      <c r="A53" s="14">
        <v>41883</v>
      </c>
      <c r="B53" s="13">
        <v>52.5</v>
      </c>
      <c r="C53" s="13">
        <f>Table13468113456710[[#This Row],[PMI]]-B52</f>
        <v>2.6000000000000014</v>
      </c>
    </row>
    <row r="54" spans="1:3" x14ac:dyDescent="0.2">
      <c r="A54" s="14">
        <v>41913</v>
      </c>
      <c r="B54" s="13">
        <v>48.7</v>
      </c>
      <c r="C54" s="13">
        <f>Table13468113456710[[#This Row],[PMI]]-B53</f>
        <v>-3.7999999999999972</v>
      </c>
    </row>
    <row r="55" spans="1:3" x14ac:dyDescent="0.2">
      <c r="A55" s="14">
        <v>41944</v>
      </c>
      <c r="B55" s="13">
        <v>50.6</v>
      </c>
      <c r="C55" s="13">
        <f>Table13468113456710[[#This Row],[PMI]]-B54</f>
        <v>1.8999999999999986</v>
      </c>
    </row>
    <row r="56" spans="1:3" x14ac:dyDescent="0.2">
      <c r="A56" s="14">
        <v>41974</v>
      </c>
      <c r="B56" s="13">
        <v>51.7</v>
      </c>
      <c r="C56" s="13">
        <f>Table13468113456710[[#This Row],[PMI]]-B55</f>
        <v>1.1000000000000014</v>
      </c>
    </row>
    <row r="57" spans="1:3" x14ac:dyDescent="0.2">
      <c r="A57" s="14">
        <v>42005</v>
      </c>
      <c r="B57" s="13">
        <v>51.3</v>
      </c>
      <c r="C57" s="13">
        <f>Table13468113456710[[#This Row],[PMI]]-B56</f>
        <v>-0.40000000000000568</v>
      </c>
    </row>
    <row r="58" spans="1:3" x14ac:dyDescent="0.2">
      <c r="A58" s="14">
        <v>42036</v>
      </c>
      <c r="B58" s="13">
        <v>48.5</v>
      </c>
      <c r="C58" s="13">
        <f>Table13468113456710[[#This Row],[PMI]]-B57</f>
        <v>-2.7999999999999972</v>
      </c>
    </row>
    <row r="59" spans="1:3" x14ac:dyDescent="0.2">
      <c r="A59" s="14">
        <v>42064</v>
      </c>
      <c r="B59" s="13">
        <v>48.4</v>
      </c>
      <c r="C59" s="13">
        <f>Table13468113456710[[#This Row],[PMI]]-B58</f>
        <v>-0.10000000000000142</v>
      </c>
    </row>
    <row r="60" spans="1:3" x14ac:dyDescent="0.2">
      <c r="A60" s="14">
        <v>42095</v>
      </c>
      <c r="B60" s="13">
        <v>51.3</v>
      </c>
      <c r="C60" s="13">
        <f>Table13468113456710[[#This Row],[PMI]]-B59</f>
        <v>2.8999999999999986</v>
      </c>
    </row>
    <row r="61" spans="1:3" x14ac:dyDescent="0.2">
      <c r="A61" s="14">
        <v>42125</v>
      </c>
      <c r="B61" s="13">
        <v>51.5</v>
      </c>
      <c r="C61" s="13">
        <f>Table13468113456710[[#This Row],[PMI]]-B60</f>
        <v>0.20000000000000284</v>
      </c>
    </row>
    <row r="62" spans="1:3" x14ac:dyDescent="0.2">
      <c r="A62" s="14">
        <v>42156</v>
      </c>
      <c r="B62" s="13">
        <v>51.8</v>
      </c>
      <c r="C62" s="13">
        <f>Table13468113456710[[#This Row],[PMI]]-B61</f>
        <v>0.29999999999999716</v>
      </c>
    </row>
    <row r="63" spans="1:3" x14ac:dyDescent="0.2">
      <c r="A63" s="14">
        <v>42186</v>
      </c>
      <c r="B63" s="13">
        <v>51.2</v>
      </c>
      <c r="C63" s="13">
        <f>Table13468113456710[[#This Row],[PMI]]-B62</f>
        <v>-0.59999999999999432</v>
      </c>
    </row>
    <row r="64" spans="1:3" x14ac:dyDescent="0.2">
      <c r="A64" s="14">
        <v>42217</v>
      </c>
      <c r="B64" s="13">
        <v>53.7</v>
      </c>
      <c r="C64" s="13">
        <f>Table13468113456710[[#This Row],[PMI]]-B63</f>
        <v>2.5</v>
      </c>
    </row>
    <row r="65" spans="1:3" x14ac:dyDescent="0.2">
      <c r="A65" s="14">
        <v>42248</v>
      </c>
      <c r="B65" s="13">
        <v>51.4</v>
      </c>
      <c r="C65" s="13">
        <f>Table13468113456710[[#This Row],[PMI]]-B64</f>
        <v>-2.3000000000000043</v>
      </c>
    </row>
    <row r="66" spans="1:3" x14ac:dyDescent="0.2">
      <c r="A66" s="14">
        <v>42278</v>
      </c>
      <c r="B66" s="13">
        <v>52.2</v>
      </c>
      <c r="C66" s="13">
        <f>Table13468113456710[[#This Row],[PMI]]-B65</f>
        <v>0.80000000000000426</v>
      </c>
    </row>
    <row r="67" spans="1:3" x14ac:dyDescent="0.2">
      <c r="A67" s="14">
        <v>42309</v>
      </c>
      <c r="B67" s="13">
        <v>51.6</v>
      </c>
      <c r="C67" s="13">
        <f>Table13468113456710[[#This Row],[PMI]]-B66</f>
        <v>-0.60000000000000142</v>
      </c>
    </row>
    <row r="68" spans="1:3" x14ac:dyDescent="0.2">
      <c r="A68" s="14">
        <v>42339</v>
      </c>
      <c r="B68" s="13">
        <v>51.5</v>
      </c>
      <c r="C68" s="13">
        <f>Table13468113456710[[#This Row],[PMI]]-B67</f>
        <v>-0.10000000000000142</v>
      </c>
    </row>
    <row r="69" spans="1:3" x14ac:dyDescent="0.2">
      <c r="A69" s="14">
        <v>42370</v>
      </c>
      <c r="B69" s="13">
        <v>52.4</v>
      </c>
      <c r="C69" s="13">
        <f>Table13468113456710[[#This Row],[PMI]]-B68</f>
        <v>0.89999999999999858</v>
      </c>
    </row>
    <row r="70" spans="1:3" x14ac:dyDescent="0.2">
      <c r="A70" s="14">
        <v>42401</v>
      </c>
      <c r="B70" s="13">
        <v>51.2</v>
      </c>
      <c r="C70" s="13">
        <f>Table13468113456710[[#This Row],[PMI]]-B69</f>
        <v>-1.1999999999999957</v>
      </c>
    </row>
    <row r="71" spans="1:3" x14ac:dyDescent="0.2">
      <c r="A71" s="14">
        <v>42430</v>
      </c>
      <c r="B71" s="13">
        <v>50</v>
      </c>
      <c r="C71" s="13">
        <f>Table13468113456710[[#This Row],[PMI]]-B70</f>
        <v>-1.2000000000000028</v>
      </c>
    </row>
    <row r="72" spans="1:3" x14ac:dyDescent="0.2">
      <c r="A72" s="14">
        <v>42461</v>
      </c>
      <c r="B72" s="13">
        <v>49.3</v>
      </c>
      <c r="C72" s="13">
        <f>Table13468113456710[[#This Row],[PMI]]-B71</f>
        <v>-0.70000000000000284</v>
      </c>
    </row>
    <row r="73" spans="1:3" x14ac:dyDescent="0.2">
      <c r="A73" s="14">
        <v>42491</v>
      </c>
      <c r="B73" s="13">
        <v>50.4</v>
      </c>
      <c r="C73" s="13">
        <f>Table13468113456710[[#This Row],[PMI]]-B72</f>
        <v>1.1000000000000014</v>
      </c>
    </row>
    <row r="74" spans="1:3" x14ac:dyDescent="0.2">
      <c r="A74" s="14">
        <v>42522</v>
      </c>
      <c r="B74" s="13">
        <v>49.4</v>
      </c>
      <c r="C74" s="13">
        <f>Table13468113456710[[#This Row],[PMI]]-B73</f>
        <v>-1</v>
      </c>
    </row>
    <row r="75" spans="1:3" x14ac:dyDescent="0.2">
      <c r="A75" s="14">
        <v>42552</v>
      </c>
      <c r="B75" s="13">
        <v>50.4</v>
      </c>
      <c r="C75" s="13">
        <f>Table13468113456710[[#This Row],[PMI]]-B74</f>
        <v>1</v>
      </c>
    </row>
    <row r="76" spans="1:3" x14ac:dyDescent="0.2">
      <c r="A76" s="14">
        <v>42583</v>
      </c>
      <c r="B76" s="13">
        <v>49.6</v>
      </c>
      <c r="C76" s="13">
        <f>Table13468113456710[[#This Row],[PMI]]-B75</f>
        <v>-0.79999999999999716</v>
      </c>
    </row>
    <row r="77" spans="1:3" x14ac:dyDescent="0.2">
      <c r="A77" s="14">
        <v>42614</v>
      </c>
      <c r="B77" s="13">
        <v>48.2</v>
      </c>
      <c r="C77" s="21">
        <f>Table13468113456710[[#This Row],[PMI]]-B76</f>
        <v>-1.3999999999999986</v>
      </c>
    </row>
    <row r="78" spans="1:3" x14ac:dyDescent="0.2">
      <c r="A78" s="14">
        <v>42644</v>
      </c>
      <c r="B78" s="13">
        <v>50.5</v>
      </c>
      <c r="C78" s="21">
        <f>Table13468113456710[[#This Row],[PMI]]-B77</f>
        <v>2.2999999999999972</v>
      </c>
    </row>
    <row r="79" spans="1:3" x14ac:dyDescent="0.2">
      <c r="A79" s="14">
        <v>42675</v>
      </c>
      <c r="B79" s="13">
        <v>51.8</v>
      </c>
      <c r="C79" s="21">
        <f>Table13468113456710[[#This Row],[PMI]]-B78</f>
        <v>1.2999999999999972</v>
      </c>
    </row>
    <row r="80" spans="1:3" x14ac:dyDescent="0.2">
      <c r="A80" s="14">
        <v>42705</v>
      </c>
      <c r="B80" s="13">
        <v>52.3</v>
      </c>
      <c r="C80" s="21">
        <f>Table13468113456710[[#This Row],[PMI]]-B79</f>
        <v>0.5</v>
      </c>
    </row>
    <row r="81" spans="1:3" x14ac:dyDescent="0.2">
      <c r="A81" s="14">
        <v>42736</v>
      </c>
      <c r="B81" s="13">
        <v>51.9</v>
      </c>
      <c r="C81" s="21">
        <f>Table13468113456710[[#This Row],[PMI]]-B80</f>
        <v>-0.39999999999999858</v>
      </c>
    </row>
    <row r="82" spans="1:3" x14ac:dyDescent="0.2">
      <c r="A82" s="14">
        <v>42767</v>
      </c>
      <c r="B82" s="13">
        <v>51.3</v>
      </c>
      <c r="C82" s="21">
        <f>Table13468113456710[[#This Row],[PMI]]-B81</f>
        <v>-0.60000000000000142</v>
      </c>
    </row>
    <row r="83" spans="1:3" x14ac:dyDescent="0.2">
      <c r="A83" s="14">
        <v>42795</v>
      </c>
      <c r="B83" s="13">
        <v>52.9</v>
      </c>
      <c r="C83" s="21">
        <f>Table13468113456710[[#This Row],[PMI]]-B82</f>
        <v>1.6000000000000014</v>
      </c>
    </row>
    <row r="84" spans="1:3" x14ac:dyDescent="0.2">
      <c r="A84" s="14">
        <v>42826</v>
      </c>
      <c r="B84" s="13">
        <v>52.2</v>
      </c>
      <c r="C84" s="21">
        <f>Table13468113456710[[#This Row],[PMI]]-B83</f>
        <v>-0.69999999999999574</v>
      </c>
    </row>
    <row r="85" spans="1:3" x14ac:dyDescent="0.2">
      <c r="A85" s="14">
        <v>42856</v>
      </c>
      <c r="B85" s="13">
        <v>53</v>
      </c>
      <c r="C85" s="21">
        <f>Table13468113456710[[#This Row],[PMI]]-B84</f>
        <v>0.79999999999999716</v>
      </c>
    </row>
    <row r="86" spans="1:3" x14ac:dyDescent="0.2">
      <c r="A86" s="14">
        <v>42887</v>
      </c>
      <c r="B86" s="13">
        <v>53.3</v>
      </c>
      <c r="C86" s="21">
        <f>Table13468113456710[[#This Row],[PMI]]-B85</f>
        <v>0.29999999999999716</v>
      </c>
    </row>
    <row r="87" spans="1:3" x14ac:dyDescent="0.2">
      <c r="A87" s="14">
        <v>42917</v>
      </c>
      <c r="B87" s="13">
        <v>52</v>
      </c>
      <c r="C87" s="21">
        <f>Table13468113456710[[#This Row],[PMI]]-B86</f>
        <v>-1.2999999999999972</v>
      </c>
    </row>
    <row r="88" spans="1:3" x14ac:dyDescent="0.2">
      <c r="A88" s="14">
        <v>42948</v>
      </c>
      <c r="B88" s="13">
        <v>51.6</v>
      </c>
      <c r="C88" s="21">
        <f>Table13468113456710[[#This Row],[PMI]]-B87</f>
        <v>-0.39999999999999858</v>
      </c>
    </row>
    <row r="89" spans="1:3" x14ac:dyDescent="0.2">
      <c r="A89" s="14">
        <v>42979</v>
      </c>
      <c r="B89" s="13">
        <v>51</v>
      </c>
      <c r="C89" s="21">
        <f>Table13468113456710[[#This Row],[PMI]]-B88</f>
        <v>-0.60000000000000142</v>
      </c>
    </row>
    <row r="90" spans="1:3" x14ac:dyDescent="0.2">
      <c r="A90" s="14">
        <v>43009</v>
      </c>
      <c r="B90" s="13">
        <v>53.4</v>
      </c>
      <c r="C90" s="21">
        <f>Table13468113456710[[#This Row],[PMI]]-B89</f>
        <v>2.3999999999999986</v>
      </c>
    </row>
    <row r="91" spans="1:3" x14ac:dyDescent="0.2">
      <c r="A91" s="14">
        <v>43040</v>
      </c>
      <c r="B91" s="13">
        <v>51.2</v>
      </c>
      <c r="C91" s="21">
        <f>Table13468113456710[[#This Row],[PMI]]-B90</f>
        <v>-2.1999999999999957</v>
      </c>
    </row>
    <row r="92" spans="1:3" x14ac:dyDescent="0.2">
      <c r="A92" s="14">
        <v>43070</v>
      </c>
      <c r="B92" s="13">
        <v>51.1</v>
      </c>
      <c r="C92" s="21">
        <f>Table13468113456710[[#This Row],[PMI]]-B91</f>
        <v>-0.10000000000000142</v>
      </c>
    </row>
    <row r="93" spans="1:3" x14ac:dyDescent="0.2">
      <c r="A93" s="14">
        <v>43101</v>
      </c>
      <c r="B93" s="13">
        <v>51.9</v>
      </c>
      <c r="C93" s="21">
        <f>Table13468113456710[[#This Row],[PMI]]-B92</f>
        <v>0.79999999999999716</v>
      </c>
    </row>
    <row r="94" spans="1:3" x14ac:dyDescent="0.2">
      <c r="A94" s="14">
        <v>43132</v>
      </c>
      <c r="B94" s="13">
        <v>51.7</v>
      </c>
      <c r="C94" s="21">
        <f>Table13468113456710[[#This Row],[PMI]]-B93</f>
        <v>-0.19999999999999574</v>
      </c>
    </row>
    <row r="95" spans="1:3" x14ac:dyDescent="0.2">
      <c r="A95" s="14">
        <v>43160</v>
      </c>
      <c r="B95" s="13">
        <v>50.9</v>
      </c>
      <c r="C95" s="21">
        <f>Table13468113456710[[#This Row],[PMI]]-B94</f>
        <v>-0.80000000000000426</v>
      </c>
    </row>
    <row r="96" spans="1:3" x14ac:dyDescent="0.2">
      <c r="A96" s="14">
        <v>43191</v>
      </c>
      <c r="B96" s="13">
        <v>52.5</v>
      </c>
      <c r="C96" s="21">
        <f>Table13468113456710[[#This Row],[PMI]]-B95</f>
        <v>1.6000000000000014</v>
      </c>
    </row>
    <row r="97" spans="1:3" x14ac:dyDescent="0.2">
      <c r="A97" s="14">
        <v>43221</v>
      </c>
      <c r="B97" s="13">
        <v>51</v>
      </c>
      <c r="C97" s="21">
        <f>Table13468113456710[[#This Row],[PMI]]-B96</f>
        <v>-1.5</v>
      </c>
    </row>
    <row r="98" spans="1:3" x14ac:dyDescent="0.2">
      <c r="A98" s="14">
        <v>43252</v>
      </c>
      <c r="B98" s="13">
        <v>51.4</v>
      </c>
      <c r="C98" s="21">
        <f>Table13468113456710[[#This Row],[PMI]]-B97</f>
        <v>0.39999999999999858</v>
      </c>
    </row>
    <row r="99" spans="1:3" x14ac:dyDescent="0.2">
      <c r="A99" s="14">
        <v>43282</v>
      </c>
      <c r="B99" s="13">
        <v>51.3</v>
      </c>
      <c r="C99" s="21">
        <f>Table13468113456710[[#This Row],[PMI]]-B98</f>
        <v>-0.10000000000000142</v>
      </c>
    </row>
    <row r="100" spans="1:3" x14ac:dyDescent="0.2">
      <c r="A100" s="14">
        <v>43313</v>
      </c>
      <c r="B100" s="13">
        <v>51.5</v>
      </c>
      <c r="C100" s="21">
        <f>Table13468113456710[[#This Row],[PMI]]-B99</f>
        <v>0.20000000000000284</v>
      </c>
    </row>
    <row r="101" spans="1:3" x14ac:dyDescent="0.2">
      <c r="A101" s="14">
        <v>43344</v>
      </c>
      <c r="B101" s="13">
        <v>50.2</v>
      </c>
      <c r="C101" s="21">
        <f>Table13468113456710[[#This Row],[PMI]]-B100</f>
        <v>-1.2999999999999972</v>
      </c>
    </row>
    <row r="102" spans="1:3" x14ac:dyDescent="0.2">
      <c r="A102" s="14">
        <v>43374</v>
      </c>
      <c r="B102" s="13">
        <v>52.4</v>
      </c>
      <c r="C102" s="21">
        <f>Table13468113456710[[#This Row],[PMI]]-B101</f>
        <v>2.1999999999999957</v>
      </c>
    </row>
    <row r="103" spans="1:3" x14ac:dyDescent="0.2">
      <c r="A103" s="14">
        <v>43405</v>
      </c>
      <c r="B103" s="13">
        <v>52.3</v>
      </c>
      <c r="C103" s="21">
        <f>Table13468113456710[[#This Row],[PMI]]-B102</f>
        <v>-0.10000000000000142</v>
      </c>
    </row>
    <row r="104" spans="1:3" x14ac:dyDescent="0.2">
      <c r="A104" s="14">
        <v>43435</v>
      </c>
      <c r="B104" s="13">
        <v>51</v>
      </c>
      <c r="C104" s="21">
        <f>Table13468113456710[[#This Row],[PMI]]-B103</f>
        <v>-1.2999999999999972</v>
      </c>
    </row>
    <row r="105" spans="1:3" x14ac:dyDescent="0.2">
      <c r="A105" s="14">
        <v>43466</v>
      </c>
      <c r="B105" s="13">
        <v>51.6</v>
      </c>
      <c r="C105" s="21">
        <f>Table13468113456710[[#This Row],[PMI]]-B104</f>
        <v>0.60000000000000142</v>
      </c>
    </row>
    <row r="106" spans="1:3" x14ac:dyDescent="0.2">
      <c r="A106" s="14">
        <v>43497</v>
      </c>
      <c r="B106" s="13">
        <v>52.3</v>
      </c>
      <c r="C106" s="21">
        <f>Table13468113456710[[#This Row],[PMI]]-B105</f>
        <v>0.69999999999999574</v>
      </c>
    </row>
    <row r="107" spans="1:3" x14ac:dyDescent="0.2">
      <c r="A107" s="14">
        <v>43525</v>
      </c>
      <c r="B107" s="13">
        <v>52</v>
      </c>
      <c r="C107" s="21">
        <f>Table13468113456710[[#This Row],[PMI]]-B106</f>
        <v>-0.29999999999999716</v>
      </c>
    </row>
    <row r="108" spans="1:3" x14ac:dyDescent="0.2">
      <c r="A108" s="14">
        <v>43556</v>
      </c>
      <c r="B108" s="13">
        <v>51.8</v>
      </c>
      <c r="C108" s="21">
        <f>Table13468113456710[[#This Row],[PMI]]-B107</f>
        <v>-0.20000000000000284</v>
      </c>
    </row>
    <row r="109" spans="1:3" x14ac:dyDescent="0.2">
      <c r="A109" s="14">
        <v>43586</v>
      </c>
      <c r="B109" s="13">
        <v>51.7</v>
      </c>
      <c r="C109" s="21">
        <f>Table13468113456710[[#This Row],[PMI]]-B108</f>
        <v>-9.9999999999994316E-2</v>
      </c>
    </row>
    <row r="110" spans="1:3" x14ac:dyDescent="0.2">
      <c r="A110" s="14">
        <v>43617</v>
      </c>
      <c r="B110" s="13">
        <v>51.9</v>
      </c>
      <c r="C110" s="21">
        <f>Table13468113456710[[#This Row],[PMI]]-B109</f>
        <v>0.19999999999999574</v>
      </c>
    </row>
    <row r="111" spans="1:3" x14ac:dyDescent="0.2">
      <c r="A111" s="14">
        <v>43647</v>
      </c>
      <c r="B111" s="13">
        <v>51.8</v>
      </c>
      <c r="C111" s="21">
        <f>Table13468113456710[[#This Row],[PMI]]-B110</f>
        <v>-0.10000000000000142</v>
      </c>
    </row>
    <row r="112" spans="1:3" x14ac:dyDescent="0.2">
      <c r="A112" s="14">
        <v>43678</v>
      </c>
      <c r="B112" s="13">
        <v>53.3</v>
      </c>
      <c r="C112" s="21">
        <f>Table13468113456710[[#This Row],[PMI]]-B111</f>
        <v>1.5</v>
      </c>
    </row>
    <row r="113" spans="1:3" x14ac:dyDescent="0.2">
      <c r="A113" s="14">
        <v>43709</v>
      </c>
      <c r="B113" s="13">
        <v>52.8</v>
      </c>
      <c r="C113" s="21">
        <f>Table13468113456710[[#This Row],[PMI]]-B112</f>
        <v>-0.5</v>
      </c>
    </row>
    <row r="114" spans="1:3" x14ac:dyDescent="0.2">
      <c r="A114" s="14">
        <v>43739</v>
      </c>
      <c r="B114" s="13">
        <v>49.7</v>
      </c>
      <c r="C114" s="21">
        <f>Table13468113456710[[#This Row],[PMI]]-B113</f>
        <v>-3.0999999999999943</v>
      </c>
    </row>
    <row r="115" spans="1:3" x14ac:dyDescent="0.2">
      <c r="A115" s="14">
        <v>43770</v>
      </c>
      <c r="B115" s="13">
        <v>50.3</v>
      </c>
      <c r="C115" s="21">
        <f>Table13468113456710[[#This Row],[PMI]]-B114</f>
        <v>0.59999999999999432</v>
      </c>
    </row>
    <row r="116" spans="1:3" x14ac:dyDescent="0.2">
      <c r="A116" s="14">
        <v>43800</v>
      </c>
      <c r="B116" s="13">
        <v>49.4</v>
      </c>
      <c r="C116" s="21">
        <f>Table13468113456710[[#This Row],[PMI]]-B115</f>
        <v>-0.89999999999999858</v>
      </c>
    </row>
    <row r="117" spans="1:3" x14ac:dyDescent="0.2">
      <c r="A117" s="14">
        <v>43831</v>
      </c>
      <c r="B117" s="13">
        <v>51</v>
      </c>
      <c r="C117" s="21">
        <f>Table13468113456710[[#This Row],[PMI]]-B116</f>
        <v>1.6000000000000014</v>
      </c>
    </row>
    <row r="118" spans="1:3" x14ac:dyDescent="0.2">
      <c r="A118" s="14">
        <v>43862</v>
      </c>
      <c r="B118" s="13">
        <v>46.8</v>
      </c>
      <c r="C118" s="21">
        <f>Table13468113456710[[#This Row],[PMI]]-B117</f>
        <v>-4.2000000000000028</v>
      </c>
    </row>
    <row r="119" spans="1:3" x14ac:dyDescent="0.2">
      <c r="A119" s="14">
        <v>43891</v>
      </c>
      <c r="B119" s="13">
        <v>33.799999999999997</v>
      </c>
      <c r="C119" s="21">
        <f>Table13468113456710[[#This Row],[PMI]]-B118</f>
        <v>-13</v>
      </c>
    </row>
    <row r="120" spans="1:3" x14ac:dyDescent="0.2">
      <c r="A120" s="14">
        <v>43922</v>
      </c>
      <c r="B120" s="13">
        <v>22.8</v>
      </c>
      <c r="C120" s="21">
        <f>Table13468113456710[[#This Row],[PMI]]-B119</f>
        <v>-10.999999999999996</v>
      </c>
    </row>
    <row r="121" spans="1:3" x14ac:dyDescent="0.2">
      <c r="A121" s="14">
        <v>43952</v>
      </c>
      <c r="B121" s="13">
        <v>26.5</v>
      </c>
      <c r="C121" s="21">
        <f>Table13468113456710[[#This Row],[PMI]]-B120</f>
        <v>3.6999999999999993</v>
      </c>
    </row>
    <row r="122" spans="1:3" x14ac:dyDescent="0.2">
      <c r="A122" s="14">
        <v>43983</v>
      </c>
      <c r="B122" s="13">
        <v>45</v>
      </c>
      <c r="C122" s="21">
        <f>Table13468113456710[[#This Row],[PMI]]-B121</f>
        <v>18.5</v>
      </c>
    </row>
    <row r="123" spans="1:3" x14ac:dyDescent="0.2">
      <c r="A123" s="14">
        <v>44013</v>
      </c>
      <c r="B123" s="13">
        <v>45.4</v>
      </c>
      <c r="C123" s="21">
        <f>Table13468113456710[[#This Row],[PMI]]-B122</f>
        <v>0.39999999999999858</v>
      </c>
    </row>
    <row r="124" spans="1:3" x14ac:dyDescent="0.2">
      <c r="A124" s="14">
        <v>44044</v>
      </c>
      <c r="B124" s="13">
        <v>45</v>
      </c>
      <c r="C124" s="21">
        <f>Table13468113456710[[#This Row],[PMI]]-B123</f>
        <v>-0.39999999999999858</v>
      </c>
    </row>
    <row r="125" spans="1:3" x14ac:dyDescent="0.2">
      <c r="A125" s="14">
        <v>44075</v>
      </c>
      <c r="B125" s="13">
        <v>46.9</v>
      </c>
      <c r="C125" s="21">
        <f>Table13468113456710[[#This Row],[PMI]]-B124</f>
        <v>1.8999999999999986</v>
      </c>
    </row>
    <row r="126" spans="1:3" x14ac:dyDescent="0.2">
      <c r="A126" s="14">
        <v>44105</v>
      </c>
      <c r="B126" s="13">
        <v>47.7</v>
      </c>
      <c r="C126" s="21">
        <f>Table13468113456710[[#This Row],[PMI]]-B125</f>
        <v>0.80000000000000426</v>
      </c>
    </row>
    <row r="127" spans="1:3" x14ac:dyDescent="0.2">
      <c r="A127" s="14">
        <v>44136</v>
      </c>
      <c r="B127" s="13">
        <v>47.8</v>
      </c>
      <c r="C127" s="21">
        <f>Table13468113456710[[#This Row],[PMI]]-B126</f>
        <v>9.9999999999994316E-2</v>
      </c>
    </row>
    <row r="128" spans="1:3" x14ac:dyDescent="0.2">
      <c r="A128" s="14">
        <v>44166</v>
      </c>
      <c r="B128" s="13">
        <v>47.2</v>
      </c>
      <c r="C128" s="21">
        <f>Table13468113456710[[#This Row],[PMI]]-B127</f>
        <v>-0.59999999999999432</v>
      </c>
    </row>
    <row r="129" spans="1:3" x14ac:dyDescent="0.2">
      <c r="A129" s="14">
        <v>44197</v>
      </c>
      <c r="B129" s="13">
        <v>46.1</v>
      </c>
      <c r="C129" s="21">
        <f>Table13468113456710[[#This Row],[PMI]]-B128</f>
        <v>-1.1000000000000014</v>
      </c>
    </row>
    <row r="130" spans="1:3" x14ac:dyDescent="0.2">
      <c r="A130" s="14">
        <v>44228</v>
      </c>
      <c r="B130" s="13">
        <v>46.3</v>
      </c>
      <c r="C130" s="21">
        <f>Table13468113456710[[#This Row],[PMI]]-B129</f>
        <v>0.19999999999999574</v>
      </c>
    </row>
    <row r="131" spans="1:3" x14ac:dyDescent="0.2">
      <c r="A131" s="14">
        <v>44256</v>
      </c>
      <c r="B131" s="13">
        <v>48.3</v>
      </c>
      <c r="C131" s="21">
        <f>Table13468113456710[[#This Row],[PMI]]-B130</f>
        <v>2</v>
      </c>
    </row>
    <row r="132" spans="1:3" x14ac:dyDescent="0.2">
      <c r="A132" s="14">
        <v>44287</v>
      </c>
      <c r="B132" s="13">
        <v>49.5</v>
      </c>
      <c r="C132" s="21">
        <f>Table13468113456710[[#This Row],[PMI]]-B131</f>
        <v>1.2000000000000028</v>
      </c>
    </row>
    <row r="133" spans="1:3" x14ac:dyDescent="0.2">
      <c r="A133" s="14">
        <v>44317</v>
      </c>
      <c r="B133" s="13">
        <v>46.5</v>
      </c>
      <c r="C133" s="21">
        <f>Table13468113456710[[#This Row],[PMI]]-B132</f>
        <v>-3</v>
      </c>
    </row>
    <row r="134" spans="1:3" x14ac:dyDescent="0.2">
      <c r="A134" s="14">
        <v>44348</v>
      </c>
      <c r="B134" s="13">
        <v>48</v>
      </c>
      <c r="C134" s="21">
        <f>Table13468113456710[[#This Row],[PMI]]-B133</f>
        <v>1.5</v>
      </c>
    </row>
    <row r="135" spans="1:3" x14ac:dyDescent="0.2">
      <c r="A135" s="14">
        <v>44378</v>
      </c>
      <c r="B135" s="13">
        <v>47.4</v>
      </c>
      <c r="C135" s="21">
        <f>Table13468113456710[[#This Row],[PMI]]-B134</f>
        <v>-0.60000000000000142</v>
      </c>
    </row>
    <row r="136" spans="1:3" x14ac:dyDescent="0.2">
      <c r="A136" s="14">
        <v>44409</v>
      </c>
      <c r="B136" s="13">
        <v>42.9</v>
      </c>
      <c r="C136" s="21">
        <f>Table13468113456710[[#This Row],[PMI]]-B135</f>
        <v>-4.5</v>
      </c>
    </row>
    <row r="137" spans="1:3" x14ac:dyDescent="0.2">
      <c r="A137" s="14">
        <v>44440</v>
      </c>
      <c r="B137" s="13">
        <v>47.8</v>
      </c>
      <c r="C137" s="21">
        <f>Table13468113456710[[#This Row],[PMI]]-B136</f>
        <v>4.8999999999999986</v>
      </c>
    </row>
    <row r="138" spans="1:3" x14ac:dyDescent="0.2">
      <c r="A138" s="14">
        <v>44470</v>
      </c>
      <c r="B138" s="13">
        <v>50.7</v>
      </c>
      <c r="C138" s="21">
        <f>Table13468113456710[[#This Row],[PMI]]-B137</f>
        <v>2.9000000000000057</v>
      </c>
    </row>
    <row r="139" spans="1:3" x14ac:dyDescent="0.2">
      <c r="A139" s="14">
        <v>44501</v>
      </c>
      <c r="B139" s="13">
        <v>53</v>
      </c>
      <c r="C139" s="21">
        <f>Table13468113456710[[#This Row],[PMI]]-B138</f>
        <v>2.2999999999999972</v>
      </c>
    </row>
    <row r="140" spans="1:3" x14ac:dyDescent="0.2">
      <c r="A140" s="14">
        <v>44531</v>
      </c>
      <c r="B140" s="13">
        <v>52.1</v>
      </c>
      <c r="C140" s="21">
        <f>Table13468113456710[[#This Row],[PMI]]-B139</f>
        <v>-0.89999999999999858</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E79DD4-FFC9-40AB-B846-856EEFFB95AC}">
  <dimension ref="A1:J140"/>
  <sheetViews>
    <sheetView topLeftCell="A97" zoomScale="160" zoomScaleNormal="160" workbookViewId="0">
      <selection activeCell="A142" sqref="A142"/>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24</v>
      </c>
      <c r="J1" s="25" t="s">
        <v>42</v>
      </c>
    </row>
    <row r="2" spans="1:10" x14ac:dyDescent="0.2">
      <c r="J2" s="25" t="str">
        <f>A1&amp;J1</f>
        <v>Brazil Services PMI</v>
      </c>
    </row>
    <row r="4" spans="1:10" ht="16" thickBot="1" x14ac:dyDescent="0.25"/>
    <row r="5" spans="1:10" ht="16" thickBot="1" x14ac:dyDescent="0.25">
      <c r="A5" s="19" t="s">
        <v>9</v>
      </c>
      <c r="B5" s="20" t="s">
        <v>10</v>
      </c>
      <c r="C5" s="20" t="s">
        <v>11</v>
      </c>
    </row>
    <row r="6" spans="1:10" x14ac:dyDescent="0.2">
      <c r="A6" s="17">
        <v>40452</v>
      </c>
      <c r="B6" s="18">
        <v>51.8</v>
      </c>
      <c r="C6" s="18"/>
    </row>
    <row r="7" spans="1:10" x14ac:dyDescent="0.2">
      <c r="A7" s="14">
        <v>40483</v>
      </c>
      <c r="B7" s="13">
        <v>52.1</v>
      </c>
      <c r="C7" s="13">
        <f>Table1346811345671012[[#This Row],[PMI]]-B6</f>
        <v>0.30000000000000426</v>
      </c>
    </row>
    <row r="8" spans="1:10" x14ac:dyDescent="0.2">
      <c r="A8" s="14">
        <v>40513</v>
      </c>
      <c r="B8" s="13">
        <v>50.2</v>
      </c>
      <c r="C8" s="13">
        <f>Table1346811345671012[[#This Row],[PMI]]-B7</f>
        <v>-1.8999999999999986</v>
      </c>
    </row>
    <row r="9" spans="1:10" x14ac:dyDescent="0.2">
      <c r="A9" s="14">
        <v>40544</v>
      </c>
      <c r="B9" s="13">
        <v>51.2</v>
      </c>
      <c r="C9" s="13">
        <f>Table1346811345671012[[#This Row],[PMI]]-B8</f>
        <v>1</v>
      </c>
    </row>
    <row r="10" spans="1:10" x14ac:dyDescent="0.2">
      <c r="A10" s="14">
        <v>40575</v>
      </c>
      <c r="B10" s="13">
        <v>52.7</v>
      </c>
      <c r="C10" s="13">
        <f>Table1346811345671012[[#This Row],[PMI]]-B9</f>
        <v>1.5</v>
      </c>
    </row>
    <row r="11" spans="1:10" x14ac:dyDescent="0.2">
      <c r="A11" s="14">
        <v>40603</v>
      </c>
      <c r="B11" s="13">
        <v>53.5</v>
      </c>
      <c r="C11" s="13">
        <f>Table1346811345671012[[#This Row],[PMI]]-B10</f>
        <v>0.79999999999999716</v>
      </c>
    </row>
    <row r="12" spans="1:10" x14ac:dyDescent="0.2">
      <c r="A12" s="14">
        <v>40634</v>
      </c>
      <c r="B12" s="13">
        <v>53.2</v>
      </c>
      <c r="C12" s="13">
        <f>Table1346811345671012[[#This Row],[PMI]]-B11</f>
        <v>-0.29999999999999716</v>
      </c>
    </row>
    <row r="13" spans="1:10" x14ac:dyDescent="0.2">
      <c r="A13" s="14">
        <v>40664</v>
      </c>
      <c r="B13" s="13">
        <v>53.3</v>
      </c>
      <c r="C13" s="13">
        <f>Table1346811345671012[[#This Row],[PMI]]-B12</f>
        <v>9.9999999999994316E-2</v>
      </c>
    </row>
    <row r="14" spans="1:10" x14ac:dyDescent="0.2">
      <c r="A14" s="14">
        <v>40695</v>
      </c>
      <c r="B14" s="13">
        <v>52.1</v>
      </c>
      <c r="C14" s="13">
        <f>Table1346811345671012[[#This Row],[PMI]]-B13</f>
        <v>-1.1999999999999957</v>
      </c>
    </row>
    <row r="15" spans="1:10" x14ac:dyDescent="0.2">
      <c r="A15" s="14">
        <v>40725</v>
      </c>
      <c r="B15" s="13">
        <v>53.7</v>
      </c>
      <c r="C15" s="13">
        <f>Table1346811345671012[[#This Row],[PMI]]-B14</f>
        <v>1.6000000000000014</v>
      </c>
    </row>
    <row r="16" spans="1:10" x14ac:dyDescent="0.2">
      <c r="A16" s="14">
        <v>40756</v>
      </c>
      <c r="B16" s="13">
        <v>52.1</v>
      </c>
      <c r="C16" s="13">
        <f>Table1346811345671012[[#This Row],[PMI]]-B15</f>
        <v>-1.6000000000000014</v>
      </c>
    </row>
    <row r="17" spans="1:3" x14ac:dyDescent="0.2">
      <c r="A17" s="14">
        <v>40787</v>
      </c>
      <c r="B17" s="13">
        <v>50.5</v>
      </c>
      <c r="C17" s="13">
        <f>Table1346811345671012[[#This Row],[PMI]]-B16</f>
        <v>-1.6000000000000014</v>
      </c>
    </row>
    <row r="18" spans="1:3" x14ac:dyDescent="0.2">
      <c r="A18" s="14">
        <v>40817</v>
      </c>
      <c r="B18" s="13">
        <v>53.6</v>
      </c>
      <c r="C18" s="13">
        <f>Table1346811345671012[[#This Row],[PMI]]-B17</f>
        <v>3.1000000000000014</v>
      </c>
    </row>
    <row r="19" spans="1:3" x14ac:dyDescent="0.2">
      <c r="A19" s="14">
        <v>40848</v>
      </c>
      <c r="B19" s="13">
        <v>52.6</v>
      </c>
      <c r="C19" s="13">
        <f>Table1346811345671012[[#This Row],[PMI]]-B18</f>
        <v>-1</v>
      </c>
    </row>
    <row r="20" spans="1:3" x14ac:dyDescent="0.2">
      <c r="A20" s="14">
        <v>40878</v>
      </c>
      <c r="B20" s="13">
        <v>54.8</v>
      </c>
      <c r="C20" s="13">
        <f>Table1346811345671012[[#This Row],[PMI]]-B19</f>
        <v>2.1999999999999957</v>
      </c>
    </row>
    <row r="21" spans="1:3" x14ac:dyDescent="0.2">
      <c r="A21" s="14">
        <v>40909</v>
      </c>
      <c r="B21" s="13">
        <v>55</v>
      </c>
      <c r="C21" s="13">
        <f>Table1346811345671012[[#This Row],[PMI]]-B20</f>
        <v>0.20000000000000284</v>
      </c>
    </row>
    <row r="22" spans="1:3" x14ac:dyDescent="0.2">
      <c r="A22" s="14">
        <v>40940</v>
      </c>
      <c r="B22" s="13">
        <v>57.1</v>
      </c>
      <c r="C22" s="13">
        <f>Table1346811345671012[[#This Row],[PMI]]-B21</f>
        <v>2.1000000000000014</v>
      </c>
    </row>
    <row r="23" spans="1:3" x14ac:dyDescent="0.2">
      <c r="A23" s="14">
        <v>40969</v>
      </c>
      <c r="B23" s="13">
        <v>53.8</v>
      </c>
      <c r="C23" s="13">
        <f>Table1346811345671012[[#This Row],[PMI]]-B22</f>
        <v>-3.3000000000000043</v>
      </c>
    </row>
    <row r="24" spans="1:3" x14ac:dyDescent="0.2">
      <c r="A24" s="14">
        <v>41000</v>
      </c>
      <c r="B24" s="13">
        <v>54.4</v>
      </c>
      <c r="C24" s="13">
        <f>Table1346811345671012[[#This Row],[PMI]]-B23</f>
        <v>0.60000000000000142</v>
      </c>
    </row>
    <row r="25" spans="1:3" x14ac:dyDescent="0.2">
      <c r="A25" s="14">
        <v>41030</v>
      </c>
      <c r="B25" s="13">
        <v>49.7</v>
      </c>
      <c r="C25" s="13">
        <f>Table1346811345671012[[#This Row],[PMI]]-B24</f>
        <v>-4.6999999999999957</v>
      </c>
    </row>
    <row r="26" spans="1:3" x14ac:dyDescent="0.2">
      <c r="A26" s="14">
        <v>41061</v>
      </c>
      <c r="B26" s="13">
        <v>53</v>
      </c>
      <c r="C26" s="13">
        <f>Table1346811345671012[[#This Row],[PMI]]-B25</f>
        <v>3.2999999999999972</v>
      </c>
    </row>
    <row r="27" spans="1:3" x14ac:dyDescent="0.2">
      <c r="A27" s="14">
        <v>41091</v>
      </c>
      <c r="B27" s="13">
        <v>48.9</v>
      </c>
      <c r="C27" s="13">
        <f>Table1346811345671012[[#This Row],[PMI]]-B26</f>
        <v>-4.1000000000000014</v>
      </c>
    </row>
    <row r="28" spans="1:3" x14ac:dyDescent="0.2">
      <c r="A28" s="14">
        <v>41122</v>
      </c>
      <c r="B28" s="13">
        <v>48.1</v>
      </c>
      <c r="C28" s="13">
        <f>Table1346811345671012[[#This Row],[PMI]]-B27</f>
        <v>-0.79999999999999716</v>
      </c>
    </row>
    <row r="29" spans="1:3" x14ac:dyDescent="0.2">
      <c r="A29" s="14">
        <v>41153</v>
      </c>
      <c r="B29" s="13">
        <v>52.8</v>
      </c>
      <c r="C29" s="13">
        <f>Table1346811345671012[[#This Row],[PMI]]-B28</f>
        <v>4.6999999999999957</v>
      </c>
    </row>
    <row r="30" spans="1:3" x14ac:dyDescent="0.2">
      <c r="A30" s="14">
        <v>41183</v>
      </c>
      <c r="B30" s="13">
        <v>50.4</v>
      </c>
      <c r="C30" s="13">
        <f>Table1346811345671012[[#This Row],[PMI]]-B29</f>
        <v>-2.3999999999999986</v>
      </c>
    </row>
    <row r="31" spans="1:3" x14ac:dyDescent="0.2">
      <c r="A31" s="14">
        <v>41214</v>
      </c>
      <c r="B31" s="13">
        <v>52.5</v>
      </c>
      <c r="C31" s="13">
        <f>Table1346811345671012[[#This Row],[PMI]]-B30</f>
        <v>2.1000000000000014</v>
      </c>
    </row>
    <row r="32" spans="1:3" x14ac:dyDescent="0.2">
      <c r="A32" s="14">
        <v>41244</v>
      </c>
      <c r="B32" s="13">
        <v>53.2</v>
      </c>
      <c r="C32" s="13">
        <f>Table1346811345671012[[#This Row],[PMI]]-B31</f>
        <v>0.70000000000000284</v>
      </c>
    </row>
    <row r="33" spans="1:3" x14ac:dyDescent="0.2">
      <c r="A33" s="14">
        <v>41275</v>
      </c>
      <c r="B33" s="13">
        <v>54.5</v>
      </c>
      <c r="C33" s="13">
        <f>Table1346811345671012[[#This Row],[PMI]]-B32</f>
        <v>1.2999999999999972</v>
      </c>
    </row>
    <row r="34" spans="1:3" x14ac:dyDescent="0.2">
      <c r="A34" s="14">
        <v>41306</v>
      </c>
      <c r="B34" s="13">
        <v>52.1</v>
      </c>
      <c r="C34" s="13">
        <f>Table1346811345671012[[#This Row],[PMI]]-B33</f>
        <v>-2.3999999999999986</v>
      </c>
    </row>
    <row r="35" spans="1:3" x14ac:dyDescent="0.2">
      <c r="A35" s="14">
        <v>41334</v>
      </c>
      <c r="B35" s="13">
        <v>50.3</v>
      </c>
      <c r="C35" s="13">
        <f>Table1346811345671012[[#This Row],[PMI]]-B34</f>
        <v>-1.8000000000000043</v>
      </c>
    </row>
    <row r="36" spans="1:3" x14ac:dyDescent="0.2">
      <c r="A36" s="14">
        <v>41365</v>
      </c>
      <c r="B36" s="13">
        <v>51</v>
      </c>
      <c r="C36" s="13">
        <f>Table1346811345671012[[#This Row],[PMI]]-B35</f>
        <v>0.70000000000000284</v>
      </c>
    </row>
    <row r="37" spans="1:3" x14ac:dyDescent="0.2">
      <c r="A37" s="14">
        <v>41395</v>
      </c>
      <c r="B37" s="13">
        <v>51</v>
      </c>
      <c r="C37" s="13">
        <f>Table1346811345671012[[#This Row],[PMI]]-B36</f>
        <v>0</v>
      </c>
    </row>
    <row r="38" spans="1:3" x14ac:dyDescent="0.2">
      <c r="A38" s="14">
        <v>41426</v>
      </c>
      <c r="B38" s="13">
        <v>50.3</v>
      </c>
      <c r="C38" s="13">
        <f>Table1346811345671012[[#This Row],[PMI]]-B37</f>
        <v>-0.70000000000000284</v>
      </c>
    </row>
    <row r="39" spans="1:3" x14ac:dyDescent="0.2">
      <c r="A39" s="14">
        <v>41456</v>
      </c>
      <c r="B39" s="13">
        <v>49.7</v>
      </c>
      <c r="C39" s="13">
        <f>Table1346811345671012[[#This Row],[PMI]]-B38</f>
        <v>-0.59999999999999432</v>
      </c>
    </row>
    <row r="40" spans="1:3" x14ac:dyDescent="0.2">
      <c r="A40" s="14">
        <v>41487</v>
      </c>
      <c r="B40" s="13">
        <v>50.7</v>
      </c>
      <c r="C40" s="13">
        <f>Table1346811345671012[[#This Row],[PMI]]-B39</f>
        <v>1</v>
      </c>
    </row>
    <row r="41" spans="1:3" x14ac:dyDescent="0.2">
      <c r="A41" s="14">
        <v>41518</v>
      </c>
      <c r="B41" s="13">
        <v>52.1</v>
      </c>
      <c r="C41" s="13">
        <f>Table1346811345671012[[#This Row],[PMI]]-B40</f>
        <v>1.3999999999999986</v>
      </c>
    </row>
    <row r="42" spans="1:3" x14ac:dyDescent="0.2">
      <c r="A42" s="14">
        <v>41548</v>
      </c>
      <c r="B42" s="13">
        <v>52.3</v>
      </c>
      <c r="C42" s="13">
        <f>Table1346811345671012[[#This Row],[PMI]]-B41</f>
        <v>0.19999999999999574</v>
      </c>
    </row>
    <row r="43" spans="1:3" x14ac:dyDescent="0.2">
      <c r="A43" s="14">
        <v>41579</v>
      </c>
      <c r="B43" s="13">
        <v>51.7</v>
      </c>
      <c r="C43" s="13">
        <f>Table1346811345671012[[#This Row],[PMI]]-B42</f>
        <v>-0.59999999999999432</v>
      </c>
    </row>
    <row r="44" spans="1:3" x14ac:dyDescent="0.2">
      <c r="A44" s="14">
        <v>41609</v>
      </c>
      <c r="B44" s="13">
        <v>50.5</v>
      </c>
      <c r="C44" s="13">
        <f>Table1346811345671012[[#This Row],[PMI]]-B43</f>
        <v>-1.2000000000000028</v>
      </c>
    </row>
    <row r="45" spans="1:3" x14ac:dyDescent="0.2">
      <c r="A45" s="14">
        <v>41640</v>
      </c>
      <c r="B45" s="13">
        <v>49.6</v>
      </c>
      <c r="C45" s="13">
        <f>Table1346811345671012[[#This Row],[PMI]]-B44</f>
        <v>-0.89999999999999858</v>
      </c>
    </row>
    <row r="46" spans="1:3" x14ac:dyDescent="0.2">
      <c r="A46" s="14">
        <v>41671</v>
      </c>
      <c r="B46" s="13">
        <v>50.8</v>
      </c>
      <c r="C46" s="13">
        <f>Table1346811345671012[[#This Row],[PMI]]-B45</f>
        <v>1.1999999999999957</v>
      </c>
    </row>
    <row r="47" spans="1:3" x14ac:dyDescent="0.2">
      <c r="A47" s="14">
        <v>41699</v>
      </c>
      <c r="B47" s="13">
        <v>51</v>
      </c>
      <c r="C47" s="13">
        <f>Table1346811345671012[[#This Row],[PMI]]-B46</f>
        <v>0.20000000000000284</v>
      </c>
    </row>
    <row r="48" spans="1:3" x14ac:dyDescent="0.2">
      <c r="A48" s="14">
        <v>41730</v>
      </c>
      <c r="B48" s="13">
        <v>48.6</v>
      </c>
      <c r="C48" s="13">
        <f>Table1346811345671012[[#This Row],[PMI]]-B47</f>
        <v>-2.3999999999999986</v>
      </c>
    </row>
    <row r="49" spans="1:3" x14ac:dyDescent="0.2">
      <c r="A49" s="14">
        <v>41760</v>
      </c>
      <c r="B49" s="13">
        <v>50.6</v>
      </c>
      <c r="C49" s="13">
        <f>Table1346811345671012[[#This Row],[PMI]]-B48</f>
        <v>2</v>
      </c>
    </row>
    <row r="50" spans="1:3" x14ac:dyDescent="0.2">
      <c r="A50" s="14">
        <v>41791</v>
      </c>
      <c r="B50" s="13">
        <v>51.4</v>
      </c>
      <c r="C50" s="13">
        <f>Table1346811345671012[[#This Row],[PMI]]-B49</f>
        <v>0.79999999999999716</v>
      </c>
    </row>
    <row r="51" spans="1:3" x14ac:dyDescent="0.2">
      <c r="A51" s="14">
        <v>41821</v>
      </c>
      <c r="B51" s="13">
        <v>50.2</v>
      </c>
      <c r="C51" s="13">
        <f>Table1346811345671012[[#This Row],[PMI]]-B50</f>
        <v>-1.1999999999999957</v>
      </c>
    </row>
    <row r="52" spans="1:3" x14ac:dyDescent="0.2">
      <c r="A52" s="14">
        <v>41852</v>
      </c>
      <c r="B52" s="13">
        <v>49.2</v>
      </c>
      <c r="C52" s="13">
        <f>Table1346811345671012[[#This Row],[PMI]]-B51</f>
        <v>-1</v>
      </c>
    </row>
    <row r="53" spans="1:3" x14ac:dyDescent="0.2">
      <c r="A53" s="14">
        <v>41883</v>
      </c>
      <c r="B53" s="13">
        <v>51.2</v>
      </c>
      <c r="C53" s="13">
        <f>Table1346811345671012[[#This Row],[PMI]]-B52</f>
        <v>2</v>
      </c>
    </row>
    <row r="54" spans="1:3" x14ac:dyDescent="0.2">
      <c r="A54" s="14">
        <v>41913</v>
      </c>
      <c r="B54" s="13">
        <v>48.2</v>
      </c>
      <c r="C54" s="13">
        <f>Table1346811345671012[[#This Row],[PMI]]-B53</f>
        <v>-3</v>
      </c>
    </row>
    <row r="55" spans="1:3" x14ac:dyDescent="0.2">
      <c r="A55" s="14">
        <v>41944</v>
      </c>
      <c r="B55" s="13">
        <v>48.5</v>
      </c>
      <c r="C55" s="13">
        <f>Table1346811345671012[[#This Row],[PMI]]-B54</f>
        <v>0.29999999999999716</v>
      </c>
    </row>
    <row r="56" spans="1:3" x14ac:dyDescent="0.2">
      <c r="A56" s="14">
        <v>41974</v>
      </c>
      <c r="B56" s="13">
        <v>49.1</v>
      </c>
      <c r="C56" s="13">
        <f>Table1346811345671012[[#This Row],[PMI]]-B55</f>
        <v>0.60000000000000142</v>
      </c>
    </row>
    <row r="57" spans="1:3" x14ac:dyDescent="0.2">
      <c r="A57" s="14">
        <v>42005</v>
      </c>
      <c r="B57" s="13">
        <v>48.4</v>
      </c>
      <c r="C57" s="13">
        <f>Table1346811345671012[[#This Row],[PMI]]-B56</f>
        <v>-0.70000000000000284</v>
      </c>
    </row>
    <row r="58" spans="1:3" x14ac:dyDescent="0.2">
      <c r="A58" s="14">
        <v>42036</v>
      </c>
      <c r="B58" s="13">
        <v>52.3</v>
      </c>
      <c r="C58" s="13">
        <f>Table1346811345671012[[#This Row],[PMI]]-B57</f>
        <v>3.8999999999999986</v>
      </c>
    </row>
    <row r="59" spans="1:3" x14ac:dyDescent="0.2">
      <c r="A59" s="14">
        <v>42064</v>
      </c>
      <c r="B59" s="13">
        <v>47.9</v>
      </c>
      <c r="C59" s="13">
        <f>Table1346811345671012[[#This Row],[PMI]]-B58</f>
        <v>-4.3999999999999986</v>
      </c>
    </row>
    <row r="60" spans="1:3" x14ac:dyDescent="0.2">
      <c r="A60" s="14">
        <v>42095</v>
      </c>
      <c r="B60" s="13">
        <v>44.6</v>
      </c>
      <c r="C60" s="13">
        <f>Table1346811345671012[[#This Row],[PMI]]-B59</f>
        <v>-3.2999999999999972</v>
      </c>
    </row>
    <row r="61" spans="1:3" x14ac:dyDescent="0.2">
      <c r="A61" s="14">
        <v>42125</v>
      </c>
      <c r="B61" s="13">
        <v>42.5</v>
      </c>
      <c r="C61" s="13">
        <f>Table1346811345671012[[#This Row],[PMI]]-B60</f>
        <v>-2.1000000000000014</v>
      </c>
    </row>
    <row r="62" spans="1:3" x14ac:dyDescent="0.2">
      <c r="A62" s="14">
        <v>42156</v>
      </c>
      <c r="B62" s="13">
        <v>39.9</v>
      </c>
      <c r="C62" s="13">
        <f>Table1346811345671012[[#This Row],[PMI]]-B61</f>
        <v>-2.6000000000000014</v>
      </c>
    </row>
    <row r="63" spans="1:3" x14ac:dyDescent="0.2">
      <c r="A63" s="14">
        <v>42186</v>
      </c>
      <c r="B63" s="13">
        <v>39.1</v>
      </c>
      <c r="C63" s="13">
        <f>Table1346811345671012[[#This Row],[PMI]]-B62</f>
        <v>-0.79999999999999716</v>
      </c>
    </row>
    <row r="64" spans="1:3" x14ac:dyDescent="0.2">
      <c r="A64" s="14">
        <v>42217</v>
      </c>
      <c r="B64" s="13">
        <v>44.8</v>
      </c>
      <c r="C64" s="13">
        <f>Table1346811345671012[[#This Row],[PMI]]-B63</f>
        <v>5.6999999999999957</v>
      </c>
    </row>
    <row r="65" spans="1:3" x14ac:dyDescent="0.2">
      <c r="A65" s="14">
        <v>42248</v>
      </c>
      <c r="B65" s="13">
        <v>41.7</v>
      </c>
      <c r="C65" s="13">
        <f>Table1346811345671012[[#This Row],[PMI]]-B64</f>
        <v>-3.0999999999999943</v>
      </c>
    </row>
    <row r="66" spans="1:3" x14ac:dyDescent="0.2">
      <c r="A66" s="14">
        <v>42278</v>
      </c>
      <c r="B66" s="13">
        <v>43</v>
      </c>
      <c r="C66" s="13">
        <f>Table1346811345671012[[#This Row],[PMI]]-B65</f>
        <v>1.2999999999999972</v>
      </c>
    </row>
    <row r="67" spans="1:3" x14ac:dyDescent="0.2">
      <c r="A67" s="14">
        <v>42309</v>
      </c>
      <c r="B67" s="13">
        <v>45.5</v>
      </c>
      <c r="C67" s="13">
        <f>Table1346811345671012[[#This Row],[PMI]]-B66</f>
        <v>2.5</v>
      </c>
    </row>
    <row r="68" spans="1:3" x14ac:dyDescent="0.2">
      <c r="A68" s="14">
        <v>42339</v>
      </c>
      <c r="B68" s="13">
        <v>43.5</v>
      </c>
      <c r="C68" s="13">
        <f>Table1346811345671012[[#This Row],[PMI]]-B67</f>
        <v>-2</v>
      </c>
    </row>
    <row r="69" spans="1:3" x14ac:dyDescent="0.2">
      <c r="A69" s="14">
        <v>42370</v>
      </c>
      <c r="B69" s="13">
        <v>44.4</v>
      </c>
      <c r="C69" s="13">
        <f>Table1346811345671012[[#This Row],[PMI]]-B68</f>
        <v>0.89999999999999858</v>
      </c>
    </row>
    <row r="70" spans="1:3" x14ac:dyDescent="0.2">
      <c r="A70" s="14">
        <v>42401</v>
      </c>
      <c r="B70" s="13">
        <v>36.9</v>
      </c>
      <c r="C70" s="13">
        <f>Table1346811345671012[[#This Row],[PMI]]-B69</f>
        <v>-7.5</v>
      </c>
    </row>
    <row r="71" spans="1:3" x14ac:dyDescent="0.2">
      <c r="A71" s="14">
        <v>42430</v>
      </c>
      <c r="B71" s="13">
        <v>38.6</v>
      </c>
      <c r="C71" s="13">
        <f>Table1346811345671012[[#This Row],[PMI]]-B70</f>
        <v>1.7000000000000028</v>
      </c>
    </row>
    <row r="72" spans="1:3" x14ac:dyDescent="0.2">
      <c r="A72" s="14">
        <v>42461</v>
      </c>
      <c r="B72" s="13">
        <v>37.4</v>
      </c>
      <c r="C72" s="13">
        <f>Table1346811345671012[[#This Row],[PMI]]-B71</f>
        <v>-1.2000000000000028</v>
      </c>
    </row>
    <row r="73" spans="1:3" x14ac:dyDescent="0.2">
      <c r="A73" s="14">
        <v>42491</v>
      </c>
      <c r="B73" s="13">
        <v>37.299999999999997</v>
      </c>
      <c r="C73" s="13">
        <f>Table1346811345671012[[#This Row],[PMI]]-B72</f>
        <v>-0.10000000000000142</v>
      </c>
    </row>
    <row r="74" spans="1:3" x14ac:dyDescent="0.2">
      <c r="A74" s="14">
        <v>42522</v>
      </c>
      <c r="B74" s="13">
        <v>41.4</v>
      </c>
      <c r="C74" s="13">
        <f>Table1346811345671012[[#This Row],[PMI]]-B73</f>
        <v>4.1000000000000014</v>
      </c>
    </row>
    <row r="75" spans="1:3" x14ac:dyDescent="0.2">
      <c r="A75" s="14">
        <v>42552</v>
      </c>
      <c r="B75" s="13">
        <v>45.6</v>
      </c>
      <c r="C75" s="13">
        <f>Table1346811345671012[[#This Row],[PMI]]-B74</f>
        <v>4.2000000000000028</v>
      </c>
    </row>
    <row r="76" spans="1:3" x14ac:dyDescent="0.2">
      <c r="A76" s="14">
        <v>42583</v>
      </c>
      <c r="B76" s="13">
        <v>42.7</v>
      </c>
      <c r="C76" s="13">
        <f>Table1346811345671012[[#This Row],[PMI]]-B75</f>
        <v>-2.8999999999999986</v>
      </c>
    </row>
    <row r="77" spans="1:3" x14ac:dyDescent="0.2">
      <c r="A77" s="14">
        <v>42614</v>
      </c>
      <c r="B77" s="13">
        <v>45.3</v>
      </c>
      <c r="C77" s="21">
        <f>Table1346811345671012[[#This Row],[PMI]]-B76</f>
        <v>2.5999999999999943</v>
      </c>
    </row>
    <row r="78" spans="1:3" x14ac:dyDescent="0.2">
      <c r="A78" s="14">
        <v>42644</v>
      </c>
      <c r="B78" s="13">
        <v>43.9</v>
      </c>
      <c r="C78" s="21">
        <f>Table1346811345671012[[#This Row],[PMI]]-B77</f>
        <v>-1.3999999999999986</v>
      </c>
    </row>
    <row r="79" spans="1:3" x14ac:dyDescent="0.2">
      <c r="A79" s="14">
        <v>42675</v>
      </c>
      <c r="B79" s="13">
        <v>44.4</v>
      </c>
      <c r="C79" s="21">
        <f>Table1346811345671012[[#This Row],[PMI]]-B78</f>
        <v>0.5</v>
      </c>
    </row>
    <row r="80" spans="1:3" x14ac:dyDescent="0.2">
      <c r="A80" s="14">
        <v>42705</v>
      </c>
      <c r="B80" s="13">
        <v>45.1</v>
      </c>
      <c r="C80" s="21">
        <f>Table1346811345671012[[#This Row],[PMI]]-B79</f>
        <v>0.70000000000000284</v>
      </c>
    </row>
    <row r="81" spans="1:3" x14ac:dyDescent="0.2">
      <c r="A81" s="14">
        <v>42736</v>
      </c>
      <c r="B81" s="13">
        <v>45.1</v>
      </c>
      <c r="C81" s="21">
        <f>Table1346811345671012[[#This Row],[PMI]]-B80</f>
        <v>0</v>
      </c>
    </row>
    <row r="82" spans="1:3" x14ac:dyDescent="0.2">
      <c r="A82" s="14">
        <v>42767</v>
      </c>
      <c r="B82" s="13">
        <v>46.4</v>
      </c>
      <c r="C82" s="21">
        <f>Table1346811345671012[[#This Row],[PMI]]-B81</f>
        <v>1.2999999999999972</v>
      </c>
    </row>
    <row r="83" spans="1:3" x14ac:dyDescent="0.2">
      <c r="A83" s="14">
        <v>42795</v>
      </c>
      <c r="B83" s="13">
        <v>47.7</v>
      </c>
      <c r="C83" s="21">
        <f>Table1346811345671012[[#This Row],[PMI]]-B82</f>
        <v>1.3000000000000043</v>
      </c>
    </row>
    <row r="84" spans="1:3" x14ac:dyDescent="0.2">
      <c r="A84" s="14">
        <v>42826</v>
      </c>
      <c r="B84" s="13">
        <v>50.3</v>
      </c>
      <c r="C84" s="21">
        <f>Table1346811345671012[[#This Row],[PMI]]-B83</f>
        <v>2.5999999999999943</v>
      </c>
    </row>
    <row r="85" spans="1:3" x14ac:dyDescent="0.2">
      <c r="A85" s="14">
        <v>42856</v>
      </c>
      <c r="B85" s="13">
        <v>49.2</v>
      </c>
      <c r="C85" s="21">
        <f>Table1346811345671012[[#This Row],[PMI]]-B84</f>
        <v>-1.0999999999999943</v>
      </c>
    </row>
    <row r="86" spans="1:3" x14ac:dyDescent="0.2">
      <c r="A86" s="14">
        <v>42887</v>
      </c>
      <c r="B86" s="13">
        <v>47.4</v>
      </c>
      <c r="C86" s="21">
        <f>Table1346811345671012[[#This Row],[PMI]]-B85</f>
        <v>-1.8000000000000043</v>
      </c>
    </row>
    <row r="87" spans="1:3" x14ac:dyDescent="0.2">
      <c r="A87" s="14">
        <v>42917</v>
      </c>
      <c r="B87" s="13">
        <v>48.8</v>
      </c>
      <c r="C87" s="21">
        <f>Table1346811345671012[[#This Row],[PMI]]-B86</f>
        <v>1.3999999999999986</v>
      </c>
    </row>
    <row r="88" spans="1:3" x14ac:dyDescent="0.2">
      <c r="A88" s="14">
        <v>42948</v>
      </c>
      <c r="B88" s="13">
        <v>49</v>
      </c>
      <c r="C88" s="21">
        <f>Table1346811345671012[[#This Row],[PMI]]-B87</f>
        <v>0.20000000000000284</v>
      </c>
    </row>
    <row r="89" spans="1:3" x14ac:dyDescent="0.2">
      <c r="A89" s="14">
        <v>42979</v>
      </c>
      <c r="B89" s="13">
        <v>50.7</v>
      </c>
      <c r="C89" s="21">
        <f>Table1346811345671012[[#This Row],[PMI]]-B88</f>
        <v>1.7000000000000028</v>
      </c>
    </row>
    <row r="90" spans="1:3" x14ac:dyDescent="0.2">
      <c r="A90" s="14">
        <v>43009</v>
      </c>
      <c r="B90" s="13">
        <v>48.8</v>
      </c>
      <c r="C90" s="21">
        <f>Table1346811345671012[[#This Row],[PMI]]-B89</f>
        <v>-1.9000000000000057</v>
      </c>
    </row>
    <row r="91" spans="1:3" x14ac:dyDescent="0.2">
      <c r="A91" s="14">
        <v>43040</v>
      </c>
      <c r="B91" s="13">
        <v>46.9</v>
      </c>
      <c r="C91" s="21">
        <f>Table1346811345671012[[#This Row],[PMI]]-B90</f>
        <v>-1.8999999999999986</v>
      </c>
    </row>
    <row r="92" spans="1:3" x14ac:dyDescent="0.2">
      <c r="A92" s="14">
        <v>43070</v>
      </c>
      <c r="B92" s="13">
        <v>47.4</v>
      </c>
      <c r="C92" s="21">
        <f>Table1346811345671012[[#This Row],[PMI]]-B91</f>
        <v>0.5</v>
      </c>
    </row>
    <row r="93" spans="1:3" x14ac:dyDescent="0.2">
      <c r="A93" s="14">
        <v>43101</v>
      </c>
      <c r="B93" s="13">
        <v>50</v>
      </c>
      <c r="C93" s="21">
        <f>Table1346811345671012[[#This Row],[PMI]]-B92</f>
        <v>2.6000000000000014</v>
      </c>
    </row>
    <row r="94" spans="1:3" x14ac:dyDescent="0.2">
      <c r="A94" s="14">
        <v>43132</v>
      </c>
      <c r="B94" s="13">
        <v>52.7</v>
      </c>
      <c r="C94" s="21">
        <f>Table1346811345671012[[#This Row],[PMI]]-B93</f>
        <v>2.7000000000000028</v>
      </c>
    </row>
    <row r="95" spans="1:3" x14ac:dyDescent="0.2">
      <c r="A95" s="14">
        <v>43160</v>
      </c>
      <c r="B95" s="13">
        <v>50.4</v>
      </c>
      <c r="C95" s="21">
        <f>Table1346811345671012[[#This Row],[PMI]]-B94</f>
        <v>-2.3000000000000043</v>
      </c>
    </row>
    <row r="96" spans="1:3" x14ac:dyDescent="0.2">
      <c r="A96" s="14">
        <v>43191</v>
      </c>
      <c r="B96" s="13">
        <v>50</v>
      </c>
      <c r="C96" s="21">
        <f>Table1346811345671012[[#This Row],[PMI]]-B95</f>
        <v>-0.39999999999999858</v>
      </c>
    </row>
    <row r="97" spans="1:3" x14ac:dyDescent="0.2">
      <c r="A97" s="14">
        <v>43221</v>
      </c>
      <c r="B97" s="13">
        <v>49.5</v>
      </c>
      <c r="C97" s="21">
        <f>Table1346811345671012[[#This Row],[PMI]]-B96</f>
        <v>-0.5</v>
      </c>
    </row>
    <row r="98" spans="1:3" x14ac:dyDescent="0.2">
      <c r="A98" s="14">
        <v>43252</v>
      </c>
      <c r="B98" s="13">
        <v>47</v>
      </c>
      <c r="C98" s="21">
        <f>Table1346811345671012[[#This Row],[PMI]]-B97</f>
        <v>-2.5</v>
      </c>
    </row>
    <row r="99" spans="1:3" x14ac:dyDescent="0.2">
      <c r="A99" s="14">
        <v>43282</v>
      </c>
      <c r="B99" s="13">
        <v>50.4</v>
      </c>
      <c r="C99" s="21">
        <f>Table1346811345671012[[#This Row],[PMI]]-B98</f>
        <v>3.3999999999999986</v>
      </c>
    </row>
    <row r="100" spans="1:3" x14ac:dyDescent="0.2">
      <c r="A100" s="14">
        <v>43313</v>
      </c>
      <c r="B100" s="13">
        <v>46.8</v>
      </c>
      <c r="C100" s="21">
        <f>Table1346811345671012[[#This Row],[PMI]]-B99</f>
        <v>-3.6000000000000014</v>
      </c>
    </row>
    <row r="101" spans="1:3" x14ac:dyDescent="0.2">
      <c r="A101" s="14">
        <v>43344</v>
      </c>
      <c r="B101" s="13">
        <v>46.4</v>
      </c>
      <c r="C101" s="21">
        <f>Table1346811345671012[[#This Row],[PMI]]-B100</f>
        <v>-0.39999999999999858</v>
      </c>
    </row>
    <row r="102" spans="1:3" x14ac:dyDescent="0.2">
      <c r="A102" s="14">
        <v>43374</v>
      </c>
      <c r="B102" s="13">
        <v>50.5</v>
      </c>
      <c r="C102" s="21">
        <f>Table1346811345671012[[#This Row],[PMI]]-B101</f>
        <v>4.1000000000000014</v>
      </c>
    </row>
    <row r="103" spans="1:3" x14ac:dyDescent="0.2">
      <c r="A103" s="14">
        <v>43405</v>
      </c>
      <c r="B103" s="13">
        <v>51.3</v>
      </c>
      <c r="C103" s="21">
        <f>Table1346811345671012[[#This Row],[PMI]]-B102</f>
        <v>0.79999999999999716</v>
      </c>
    </row>
    <row r="104" spans="1:3" x14ac:dyDescent="0.2">
      <c r="A104" s="14">
        <v>43435</v>
      </c>
      <c r="B104" s="13">
        <v>51.9</v>
      </c>
      <c r="C104" s="21">
        <f>Table1346811345671012[[#This Row],[PMI]]-B103</f>
        <v>0.60000000000000142</v>
      </c>
    </row>
    <row r="105" spans="1:3" x14ac:dyDescent="0.2">
      <c r="A105" s="14">
        <v>43466</v>
      </c>
      <c r="B105" s="13">
        <v>52</v>
      </c>
      <c r="C105" s="21">
        <f>Table1346811345671012[[#This Row],[PMI]]-B104</f>
        <v>0.10000000000000142</v>
      </c>
    </row>
    <row r="106" spans="1:3" x14ac:dyDescent="0.2">
      <c r="A106" s="14">
        <v>43497</v>
      </c>
      <c r="B106" s="13">
        <v>52.2</v>
      </c>
      <c r="C106" s="21">
        <f>Table1346811345671012[[#This Row],[PMI]]-B105</f>
        <v>0.20000000000000284</v>
      </c>
    </row>
    <row r="107" spans="1:3" x14ac:dyDescent="0.2">
      <c r="A107" s="14">
        <v>43525</v>
      </c>
      <c r="B107" s="13">
        <v>52.7</v>
      </c>
      <c r="C107" s="21">
        <f>Table1346811345671012[[#This Row],[PMI]]-B106</f>
        <v>0.5</v>
      </c>
    </row>
    <row r="108" spans="1:3" x14ac:dyDescent="0.2">
      <c r="A108" s="14">
        <v>43556</v>
      </c>
      <c r="B108" s="13">
        <v>49.9</v>
      </c>
      <c r="C108" s="21">
        <f>Table1346811345671012[[#This Row],[PMI]]-B107</f>
        <v>-2.8000000000000043</v>
      </c>
    </row>
    <row r="109" spans="1:3" x14ac:dyDescent="0.2">
      <c r="A109" s="14">
        <v>43586</v>
      </c>
      <c r="B109" s="13">
        <v>47.8</v>
      </c>
      <c r="C109" s="21">
        <f>Table1346811345671012[[#This Row],[PMI]]-B108</f>
        <v>-2.1000000000000014</v>
      </c>
    </row>
    <row r="110" spans="1:3" x14ac:dyDescent="0.2">
      <c r="A110" s="14">
        <v>43617</v>
      </c>
      <c r="B110" s="13">
        <v>48.2</v>
      </c>
      <c r="C110" s="21">
        <f>Table1346811345671012[[#This Row],[PMI]]-B109</f>
        <v>0.40000000000000568</v>
      </c>
    </row>
    <row r="111" spans="1:3" x14ac:dyDescent="0.2">
      <c r="A111" s="14">
        <v>43647</v>
      </c>
      <c r="B111" s="13">
        <v>52.2</v>
      </c>
      <c r="C111" s="21">
        <f>Table1346811345671012[[#This Row],[PMI]]-B110</f>
        <v>4</v>
      </c>
    </row>
    <row r="112" spans="1:3" x14ac:dyDescent="0.2">
      <c r="A112" s="14">
        <v>43678</v>
      </c>
      <c r="B112" s="13">
        <v>51.4</v>
      </c>
      <c r="C112" s="21">
        <f>Table1346811345671012[[#This Row],[PMI]]-B111</f>
        <v>-0.80000000000000426</v>
      </c>
    </row>
    <row r="113" spans="1:3" x14ac:dyDescent="0.2">
      <c r="A113" s="14">
        <v>43709</v>
      </c>
      <c r="B113" s="13">
        <v>51.8</v>
      </c>
      <c r="C113" s="21">
        <f>Table1346811345671012[[#This Row],[PMI]]-B112</f>
        <v>0.39999999999999858</v>
      </c>
    </row>
    <row r="114" spans="1:3" x14ac:dyDescent="0.2">
      <c r="A114" s="14">
        <v>43739</v>
      </c>
      <c r="B114" s="13">
        <v>51.2</v>
      </c>
      <c r="C114" s="21">
        <f>Table1346811345671012[[#This Row],[PMI]]-B113</f>
        <v>-0.59999999999999432</v>
      </c>
    </row>
    <row r="115" spans="1:3" x14ac:dyDescent="0.2">
      <c r="A115" s="14">
        <v>43770</v>
      </c>
      <c r="B115" s="13">
        <v>50.9</v>
      </c>
      <c r="C115" s="21">
        <f>Table1346811345671012[[#This Row],[PMI]]-B114</f>
        <v>-0.30000000000000426</v>
      </c>
    </row>
    <row r="116" spans="1:3" x14ac:dyDescent="0.2">
      <c r="A116" s="14">
        <v>43800</v>
      </c>
      <c r="B116" s="13">
        <v>51</v>
      </c>
      <c r="C116" s="21">
        <f>Table1346811345671012[[#This Row],[PMI]]-B115</f>
        <v>0.10000000000000142</v>
      </c>
    </row>
    <row r="117" spans="1:3" x14ac:dyDescent="0.2">
      <c r="A117" s="14">
        <v>43831</v>
      </c>
      <c r="B117" s="13">
        <v>52.7</v>
      </c>
      <c r="C117" s="21">
        <f>Table1346811345671012[[#This Row],[PMI]]-B116</f>
        <v>1.7000000000000028</v>
      </c>
    </row>
    <row r="118" spans="1:3" x14ac:dyDescent="0.2">
      <c r="A118" s="14">
        <v>43862</v>
      </c>
      <c r="B118" s="13">
        <v>50.4</v>
      </c>
      <c r="C118" s="21">
        <f>Table1346811345671012[[#This Row],[PMI]]-B117</f>
        <v>-2.3000000000000043</v>
      </c>
    </row>
    <row r="119" spans="1:3" x14ac:dyDescent="0.2">
      <c r="A119" s="14">
        <v>43891</v>
      </c>
      <c r="B119" s="13">
        <v>34.5</v>
      </c>
      <c r="C119" s="21">
        <f>Table1346811345671012[[#This Row],[PMI]]-B118</f>
        <v>-15.899999999999999</v>
      </c>
    </row>
    <row r="120" spans="1:3" x14ac:dyDescent="0.2">
      <c r="A120" s="14">
        <v>43922</v>
      </c>
      <c r="B120" s="13">
        <v>27.4</v>
      </c>
      <c r="C120" s="21">
        <f>Table1346811345671012[[#This Row],[PMI]]-B119</f>
        <v>-7.1000000000000014</v>
      </c>
    </row>
    <row r="121" spans="1:3" x14ac:dyDescent="0.2">
      <c r="A121" s="14">
        <v>43952</v>
      </c>
      <c r="B121" s="13">
        <v>27.6</v>
      </c>
      <c r="C121" s="21">
        <f>Table1346811345671012[[#This Row],[PMI]]-B120</f>
        <v>0.20000000000000284</v>
      </c>
    </row>
    <row r="122" spans="1:3" x14ac:dyDescent="0.2">
      <c r="A122" s="14">
        <v>43983</v>
      </c>
      <c r="B122" s="13">
        <v>35.9</v>
      </c>
      <c r="C122" s="21">
        <f>Table1346811345671012[[#This Row],[PMI]]-B121</f>
        <v>8.2999999999999972</v>
      </c>
    </row>
    <row r="123" spans="1:3" x14ac:dyDescent="0.2">
      <c r="A123" s="14">
        <v>44013</v>
      </c>
      <c r="B123" s="13">
        <v>42.5</v>
      </c>
      <c r="C123" s="21">
        <f>Table1346811345671012[[#This Row],[PMI]]-B122</f>
        <v>6.6000000000000014</v>
      </c>
    </row>
    <row r="124" spans="1:3" x14ac:dyDescent="0.2">
      <c r="A124" s="14">
        <v>44044</v>
      </c>
      <c r="B124" s="13">
        <v>49.5</v>
      </c>
      <c r="C124" s="21">
        <f>Table1346811345671012[[#This Row],[PMI]]-B123</f>
        <v>7</v>
      </c>
    </row>
    <row r="125" spans="1:3" x14ac:dyDescent="0.2">
      <c r="A125" s="14">
        <v>44075</v>
      </c>
      <c r="B125" s="13">
        <v>50.4</v>
      </c>
      <c r="C125" s="21">
        <f>Table1346811345671012[[#This Row],[PMI]]-B124</f>
        <v>0.89999999999999858</v>
      </c>
    </row>
    <row r="126" spans="1:3" x14ac:dyDescent="0.2">
      <c r="A126" s="14">
        <v>44105</v>
      </c>
      <c r="B126" s="13">
        <v>52.3</v>
      </c>
      <c r="C126" s="21">
        <f>Table1346811345671012[[#This Row],[PMI]]-B125</f>
        <v>1.8999999999999986</v>
      </c>
    </row>
    <row r="127" spans="1:3" x14ac:dyDescent="0.2">
      <c r="A127" s="14">
        <v>44136</v>
      </c>
      <c r="B127" s="13">
        <v>50.9</v>
      </c>
      <c r="C127" s="21">
        <f>Table1346811345671012[[#This Row],[PMI]]-B126</f>
        <v>-1.3999999999999986</v>
      </c>
    </row>
    <row r="128" spans="1:3" x14ac:dyDescent="0.2">
      <c r="A128" s="14">
        <v>44166</v>
      </c>
      <c r="B128" s="13">
        <v>51.1</v>
      </c>
      <c r="C128" s="21">
        <f>Table1346811345671012[[#This Row],[PMI]]-B127</f>
        <v>0.20000000000000284</v>
      </c>
    </row>
    <row r="129" spans="1:3" x14ac:dyDescent="0.2">
      <c r="A129" s="14">
        <v>44197</v>
      </c>
      <c r="B129" s="13">
        <v>47</v>
      </c>
      <c r="C129" s="21">
        <f>Table1346811345671012[[#This Row],[PMI]]-B128</f>
        <v>-4.1000000000000014</v>
      </c>
    </row>
    <row r="130" spans="1:3" x14ac:dyDescent="0.2">
      <c r="A130" s="14">
        <v>44228</v>
      </c>
      <c r="B130" s="13">
        <v>47.1</v>
      </c>
      <c r="C130" s="21">
        <f>Table1346811345671012[[#This Row],[PMI]]-B129</f>
        <v>0.10000000000000142</v>
      </c>
    </row>
    <row r="131" spans="1:3" x14ac:dyDescent="0.2">
      <c r="A131" s="14">
        <v>44256</v>
      </c>
      <c r="B131" s="13">
        <v>44.1</v>
      </c>
      <c r="C131" s="21">
        <f>Table1346811345671012[[#This Row],[PMI]]-B130</f>
        <v>-3</v>
      </c>
    </row>
    <row r="132" spans="1:3" x14ac:dyDescent="0.2">
      <c r="A132" s="14">
        <v>44287</v>
      </c>
      <c r="B132" s="13">
        <v>42.9</v>
      </c>
      <c r="C132" s="21">
        <f>Table1346811345671012[[#This Row],[PMI]]-B131</f>
        <v>-1.2000000000000028</v>
      </c>
    </row>
    <row r="133" spans="1:3" x14ac:dyDescent="0.2">
      <c r="A133" s="14">
        <v>44317</v>
      </c>
      <c r="B133" s="13">
        <v>48.3</v>
      </c>
      <c r="C133" s="21">
        <f>Table1346811345671012[[#This Row],[PMI]]-B132</f>
        <v>5.3999999999999986</v>
      </c>
    </row>
    <row r="134" spans="1:3" x14ac:dyDescent="0.2">
      <c r="A134" s="14">
        <v>44348</v>
      </c>
      <c r="B134" s="13">
        <v>53.9</v>
      </c>
      <c r="C134" s="21">
        <f>Table1346811345671012[[#This Row],[PMI]]-B133</f>
        <v>5.6000000000000014</v>
      </c>
    </row>
    <row r="135" spans="1:3" x14ac:dyDescent="0.2">
      <c r="A135" s="14">
        <v>44378</v>
      </c>
      <c r="B135" s="13">
        <v>54.4</v>
      </c>
      <c r="C135" s="21">
        <f>Table1346811345671012[[#This Row],[PMI]]-B134</f>
        <v>0.5</v>
      </c>
    </row>
    <row r="136" spans="1:3" x14ac:dyDescent="0.2">
      <c r="A136" s="14">
        <v>44409</v>
      </c>
      <c r="B136" s="13">
        <v>55.1</v>
      </c>
      <c r="C136" s="21">
        <f>Table1346811345671012[[#This Row],[PMI]]-B135</f>
        <v>0.70000000000000284</v>
      </c>
    </row>
    <row r="137" spans="1:3" x14ac:dyDescent="0.2">
      <c r="A137" s="14">
        <v>44440</v>
      </c>
      <c r="B137" s="13">
        <v>54.6</v>
      </c>
      <c r="C137" s="21">
        <f>Table1346811345671012[[#This Row],[PMI]]-B136</f>
        <v>-0.5</v>
      </c>
    </row>
    <row r="138" spans="1:3" x14ac:dyDescent="0.2">
      <c r="A138" s="14">
        <v>44470</v>
      </c>
      <c r="B138" s="13">
        <v>54.9</v>
      </c>
      <c r="C138" s="21">
        <f>Table1346811345671012[[#This Row],[PMI]]-B137</f>
        <v>0.29999999999999716</v>
      </c>
    </row>
    <row r="139" spans="1:3" x14ac:dyDescent="0.2">
      <c r="A139" s="14">
        <v>44501</v>
      </c>
      <c r="B139" s="13">
        <v>53.6</v>
      </c>
      <c r="C139" s="21">
        <f>Table1346811345671012[[#This Row],[PMI]]-B138</f>
        <v>-1.2999999999999972</v>
      </c>
    </row>
    <row r="140" spans="1:3" x14ac:dyDescent="0.2">
      <c r="A140" s="14">
        <v>44531</v>
      </c>
      <c r="B140" s="13">
        <v>53.6</v>
      </c>
      <c r="C140" s="21">
        <f>Table1346811345671012[[#This Row],[PMI]]-B139</f>
        <v>0</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DEE75-C131-40CF-A850-E865010E5596}">
  <dimension ref="A1:J140"/>
  <sheetViews>
    <sheetView topLeftCell="A96" zoomScale="160" zoomScaleNormal="160" workbookViewId="0">
      <selection activeCell="A142" sqref="A142"/>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26</v>
      </c>
      <c r="J1" s="25" t="s">
        <v>42</v>
      </c>
    </row>
    <row r="2" spans="1:10" x14ac:dyDescent="0.2">
      <c r="J2" s="25" t="str">
        <f>A1&amp;J1</f>
        <v>Russia Services PMI</v>
      </c>
    </row>
    <row r="4" spans="1:10" ht="16" thickBot="1" x14ac:dyDescent="0.25"/>
    <row r="5" spans="1:10" ht="16" thickBot="1" x14ac:dyDescent="0.25">
      <c r="A5" s="19" t="s">
        <v>9</v>
      </c>
      <c r="B5" s="20" t="s">
        <v>10</v>
      </c>
      <c r="C5" s="20" t="s">
        <v>11</v>
      </c>
    </row>
    <row r="6" spans="1:10" x14ac:dyDescent="0.2">
      <c r="A6" s="17">
        <v>40452</v>
      </c>
      <c r="B6" s="18">
        <v>54.7</v>
      </c>
      <c r="C6" s="18"/>
    </row>
    <row r="7" spans="1:10" x14ac:dyDescent="0.2">
      <c r="A7" s="14">
        <v>40483</v>
      </c>
      <c r="B7" s="13">
        <v>54.1</v>
      </c>
      <c r="C7" s="13">
        <f>Table134681134567101213[[#This Row],[PMI]]-B6</f>
        <v>-0.60000000000000142</v>
      </c>
    </row>
    <row r="8" spans="1:10" x14ac:dyDescent="0.2">
      <c r="A8" s="14">
        <v>40513</v>
      </c>
      <c r="B8" s="13">
        <v>53.4</v>
      </c>
      <c r="C8" s="13">
        <f>Table134681134567101213[[#This Row],[PMI]]-B7</f>
        <v>-0.70000000000000284</v>
      </c>
    </row>
    <row r="9" spans="1:10" x14ac:dyDescent="0.2">
      <c r="A9" s="14">
        <v>40544</v>
      </c>
      <c r="B9" s="13">
        <v>52.4</v>
      </c>
      <c r="C9" s="13">
        <f>Table134681134567101213[[#This Row],[PMI]]-B8</f>
        <v>-1</v>
      </c>
    </row>
    <row r="10" spans="1:10" x14ac:dyDescent="0.2">
      <c r="A10" s="14">
        <v>40575</v>
      </c>
      <c r="B10" s="13">
        <v>53.4</v>
      </c>
      <c r="C10" s="13">
        <f>Table134681134567101213[[#This Row],[PMI]]-B9</f>
        <v>1</v>
      </c>
    </row>
    <row r="11" spans="1:10" x14ac:dyDescent="0.2">
      <c r="A11" s="14">
        <v>40603</v>
      </c>
      <c r="B11" s="13">
        <v>53.3</v>
      </c>
      <c r="C11" s="13">
        <f>Table134681134567101213[[#This Row],[PMI]]-B10</f>
        <v>-0.10000000000000142</v>
      </c>
    </row>
    <row r="12" spans="1:10" x14ac:dyDescent="0.2">
      <c r="A12" s="14">
        <v>40634</v>
      </c>
      <c r="B12" s="13">
        <v>55.8</v>
      </c>
      <c r="C12" s="13">
        <f>Table134681134567101213[[#This Row],[PMI]]-B11</f>
        <v>2.5</v>
      </c>
    </row>
    <row r="13" spans="1:10" x14ac:dyDescent="0.2">
      <c r="A13" s="14">
        <v>40664</v>
      </c>
      <c r="B13" s="13">
        <v>57.6</v>
      </c>
      <c r="C13" s="13">
        <f>Table134681134567101213[[#This Row],[PMI]]-B12</f>
        <v>1.8000000000000043</v>
      </c>
    </row>
    <row r="14" spans="1:10" x14ac:dyDescent="0.2">
      <c r="A14" s="14">
        <v>40695</v>
      </c>
      <c r="B14" s="13">
        <v>55.1</v>
      </c>
      <c r="C14" s="13">
        <f>Table134681134567101213[[#This Row],[PMI]]-B13</f>
        <v>-2.5</v>
      </c>
    </row>
    <row r="15" spans="1:10" x14ac:dyDescent="0.2">
      <c r="A15" s="14">
        <v>40725</v>
      </c>
      <c r="B15" s="13">
        <v>56.9</v>
      </c>
      <c r="C15" s="13">
        <f>Table134681134567101213[[#This Row],[PMI]]-B14</f>
        <v>1.7999999999999972</v>
      </c>
    </row>
    <row r="16" spans="1:10" x14ac:dyDescent="0.2">
      <c r="A16" s="14">
        <v>40756</v>
      </c>
      <c r="B16" s="13">
        <v>55.1</v>
      </c>
      <c r="C16" s="13">
        <f>Table134681134567101213[[#This Row],[PMI]]-B15</f>
        <v>-1.7999999999999972</v>
      </c>
    </row>
    <row r="17" spans="1:3" x14ac:dyDescent="0.2">
      <c r="A17" s="14">
        <v>40787</v>
      </c>
      <c r="B17" s="13">
        <v>53.3</v>
      </c>
      <c r="C17" s="13">
        <f>Table134681134567101213[[#This Row],[PMI]]-B16</f>
        <v>-1.8000000000000043</v>
      </c>
    </row>
    <row r="18" spans="1:3" x14ac:dyDescent="0.2">
      <c r="A18" s="14">
        <v>40817</v>
      </c>
      <c r="B18" s="13">
        <v>53.5</v>
      </c>
      <c r="C18" s="13">
        <f>Table134681134567101213[[#This Row],[PMI]]-B17</f>
        <v>0.20000000000000284</v>
      </c>
    </row>
    <row r="19" spans="1:3" x14ac:dyDescent="0.2">
      <c r="A19" s="14">
        <v>40848</v>
      </c>
      <c r="B19" s="13">
        <v>54.8</v>
      </c>
      <c r="C19" s="13">
        <f>Table134681134567101213[[#This Row],[PMI]]-B18</f>
        <v>1.2999999999999972</v>
      </c>
    </row>
    <row r="20" spans="1:3" x14ac:dyDescent="0.2">
      <c r="A20" s="14">
        <v>40878</v>
      </c>
      <c r="B20" s="13">
        <v>53.8</v>
      </c>
      <c r="C20" s="13">
        <f>Table134681134567101213[[#This Row],[PMI]]-B19</f>
        <v>-1</v>
      </c>
    </row>
    <row r="21" spans="1:3" x14ac:dyDescent="0.2">
      <c r="A21" s="14">
        <v>40909</v>
      </c>
      <c r="B21" s="13">
        <v>56.5</v>
      </c>
      <c r="C21" s="13">
        <f>Table134681134567101213[[#This Row],[PMI]]-B20</f>
        <v>2.7000000000000028</v>
      </c>
    </row>
    <row r="22" spans="1:3" x14ac:dyDescent="0.2">
      <c r="A22" s="14">
        <v>40940</v>
      </c>
      <c r="B22" s="13">
        <v>55.3</v>
      </c>
      <c r="C22" s="13">
        <f>Table134681134567101213[[#This Row],[PMI]]-B21</f>
        <v>-1.2000000000000028</v>
      </c>
    </row>
    <row r="23" spans="1:3" x14ac:dyDescent="0.2">
      <c r="A23" s="14">
        <v>40969</v>
      </c>
      <c r="B23" s="13">
        <v>54.4</v>
      </c>
      <c r="C23" s="13">
        <f>Table134681134567101213[[#This Row],[PMI]]-B22</f>
        <v>-0.89999999999999858</v>
      </c>
    </row>
    <row r="24" spans="1:3" x14ac:dyDescent="0.2">
      <c r="A24" s="14">
        <v>41000</v>
      </c>
      <c r="B24" s="13">
        <v>52.6</v>
      </c>
      <c r="C24" s="13">
        <f>Table134681134567101213[[#This Row],[PMI]]-B23</f>
        <v>-1.7999999999999972</v>
      </c>
    </row>
    <row r="25" spans="1:3" x14ac:dyDescent="0.2">
      <c r="A25" s="14">
        <v>41030</v>
      </c>
      <c r="B25" s="13">
        <v>54.9</v>
      </c>
      <c r="C25" s="13">
        <f>Table134681134567101213[[#This Row],[PMI]]-B24</f>
        <v>2.2999999999999972</v>
      </c>
    </row>
    <row r="26" spans="1:3" x14ac:dyDescent="0.2">
      <c r="A26" s="14">
        <v>41061</v>
      </c>
      <c r="B26" s="13">
        <v>53.2</v>
      </c>
      <c r="C26" s="13">
        <f>Table134681134567101213[[#This Row],[PMI]]-B25</f>
        <v>-1.6999999999999957</v>
      </c>
    </row>
    <row r="27" spans="1:3" x14ac:dyDescent="0.2">
      <c r="A27" s="14">
        <v>41091</v>
      </c>
      <c r="B27" s="13">
        <v>52</v>
      </c>
      <c r="C27" s="13">
        <f>Table134681134567101213[[#This Row],[PMI]]-B26</f>
        <v>-1.2000000000000028</v>
      </c>
    </row>
    <row r="28" spans="1:3" x14ac:dyDescent="0.2">
      <c r="A28" s="14">
        <v>41122</v>
      </c>
      <c r="B28" s="13">
        <v>52.6</v>
      </c>
      <c r="C28" s="13">
        <f>Table134681134567101213[[#This Row],[PMI]]-B27</f>
        <v>0.60000000000000142</v>
      </c>
    </row>
    <row r="29" spans="1:3" x14ac:dyDescent="0.2">
      <c r="A29" s="14">
        <v>41153</v>
      </c>
      <c r="B29" s="13">
        <v>54.5</v>
      </c>
      <c r="C29" s="13">
        <f>Table134681134567101213[[#This Row],[PMI]]-B28</f>
        <v>1.8999999999999986</v>
      </c>
    </row>
    <row r="30" spans="1:3" x14ac:dyDescent="0.2">
      <c r="A30" s="14">
        <v>41183</v>
      </c>
      <c r="B30" s="13">
        <v>57.3</v>
      </c>
      <c r="C30" s="13">
        <f>Table134681134567101213[[#This Row],[PMI]]-B29</f>
        <v>2.7999999999999972</v>
      </c>
    </row>
    <row r="31" spans="1:3" x14ac:dyDescent="0.2">
      <c r="A31" s="14">
        <v>41214</v>
      </c>
      <c r="B31" s="13">
        <v>57.1</v>
      </c>
      <c r="C31" s="13">
        <f>Table134681134567101213[[#This Row],[PMI]]-B30</f>
        <v>-0.19999999999999574</v>
      </c>
    </row>
    <row r="32" spans="1:3" x14ac:dyDescent="0.2">
      <c r="A32" s="14">
        <v>41244</v>
      </c>
      <c r="B32" s="13">
        <v>56.1</v>
      </c>
      <c r="C32" s="13">
        <f>Table134681134567101213[[#This Row],[PMI]]-B31</f>
        <v>-1</v>
      </c>
    </row>
    <row r="33" spans="1:3" x14ac:dyDescent="0.2">
      <c r="A33" s="14">
        <v>41275</v>
      </c>
      <c r="B33" s="13">
        <v>55.7</v>
      </c>
      <c r="C33" s="13">
        <f>Table134681134567101213[[#This Row],[PMI]]-B32</f>
        <v>-0.39999999999999858</v>
      </c>
    </row>
    <row r="34" spans="1:3" x14ac:dyDescent="0.2">
      <c r="A34" s="14">
        <v>41306</v>
      </c>
      <c r="B34" s="13">
        <v>56.1</v>
      </c>
      <c r="C34" s="13">
        <f>Table134681134567101213[[#This Row],[PMI]]-B33</f>
        <v>0.39999999999999858</v>
      </c>
    </row>
    <row r="35" spans="1:3" x14ac:dyDescent="0.2">
      <c r="A35" s="14">
        <v>41334</v>
      </c>
      <c r="B35" s="13">
        <v>54.6</v>
      </c>
      <c r="C35" s="13">
        <f>Table134681134567101213[[#This Row],[PMI]]-B34</f>
        <v>-1.5</v>
      </c>
    </row>
    <row r="36" spans="1:3" x14ac:dyDescent="0.2">
      <c r="A36" s="14">
        <v>41365</v>
      </c>
      <c r="B36" s="13">
        <v>53</v>
      </c>
      <c r="C36" s="13">
        <f>Table134681134567101213[[#This Row],[PMI]]-B35</f>
        <v>-1.6000000000000014</v>
      </c>
    </row>
    <row r="37" spans="1:3" x14ac:dyDescent="0.2">
      <c r="A37" s="14">
        <v>41395</v>
      </c>
      <c r="B37" s="13">
        <v>51.4</v>
      </c>
      <c r="C37" s="13">
        <f>Table134681134567101213[[#This Row],[PMI]]-B36</f>
        <v>-1.6000000000000014</v>
      </c>
    </row>
    <row r="38" spans="1:3" x14ac:dyDescent="0.2">
      <c r="A38" s="14">
        <v>41426</v>
      </c>
      <c r="B38" s="13">
        <v>48.8</v>
      </c>
      <c r="C38" s="13">
        <f>Table134681134567101213[[#This Row],[PMI]]-B37</f>
        <v>-2.6000000000000014</v>
      </c>
    </row>
    <row r="39" spans="1:3" x14ac:dyDescent="0.2">
      <c r="A39" s="14">
        <v>41456</v>
      </c>
      <c r="B39" s="13">
        <v>48.7</v>
      </c>
      <c r="C39" s="13">
        <f>Table134681134567101213[[#This Row],[PMI]]-B38</f>
        <v>-9.9999999999994316E-2</v>
      </c>
    </row>
    <row r="40" spans="1:3" x14ac:dyDescent="0.2">
      <c r="A40" s="14">
        <v>41487</v>
      </c>
      <c r="B40" s="13">
        <v>51.8</v>
      </c>
      <c r="C40" s="13">
        <f>Table134681134567101213[[#This Row],[PMI]]-B39</f>
        <v>3.0999999999999943</v>
      </c>
    </row>
    <row r="41" spans="1:3" x14ac:dyDescent="0.2">
      <c r="A41" s="14">
        <v>41518</v>
      </c>
      <c r="B41" s="13">
        <v>51.5</v>
      </c>
      <c r="C41" s="13">
        <f>Table134681134567101213[[#This Row],[PMI]]-B40</f>
        <v>-0.29999999999999716</v>
      </c>
    </row>
    <row r="42" spans="1:3" x14ac:dyDescent="0.2">
      <c r="A42" s="14">
        <v>41548</v>
      </c>
      <c r="B42" s="13">
        <v>52.5</v>
      </c>
      <c r="C42" s="13">
        <f>Table134681134567101213[[#This Row],[PMI]]-B41</f>
        <v>1</v>
      </c>
    </row>
    <row r="43" spans="1:3" x14ac:dyDescent="0.2">
      <c r="A43" s="14">
        <v>41579</v>
      </c>
      <c r="B43" s="13">
        <v>52.9</v>
      </c>
      <c r="C43" s="13">
        <f>Table134681134567101213[[#This Row],[PMI]]-B42</f>
        <v>0.39999999999999858</v>
      </c>
    </row>
    <row r="44" spans="1:3" x14ac:dyDescent="0.2">
      <c r="A44" s="14">
        <v>41609</v>
      </c>
      <c r="B44" s="13">
        <v>51.4</v>
      </c>
      <c r="C44" s="13">
        <f>Table134681134567101213[[#This Row],[PMI]]-B43</f>
        <v>-1.5</v>
      </c>
    </row>
    <row r="45" spans="1:3" x14ac:dyDescent="0.2">
      <c r="A45" s="14">
        <v>41640</v>
      </c>
      <c r="B45" s="13">
        <v>50.2</v>
      </c>
      <c r="C45" s="13">
        <f>Table134681134567101213[[#This Row],[PMI]]-B44</f>
        <v>-1.1999999999999957</v>
      </c>
    </row>
    <row r="46" spans="1:3" x14ac:dyDescent="0.2">
      <c r="A46" s="14">
        <v>41671</v>
      </c>
      <c r="B46" s="13">
        <v>50.8</v>
      </c>
      <c r="C46" s="13">
        <f>Table134681134567101213[[#This Row],[PMI]]-B45</f>
        <v>0.59999999999999432</v>
      </c>
    </row>
    <row r="47" spans="1:3" x14ac:dyDescent="0.2">
      <c r="A47" s="14">
        <v>41699</v>
      </c>
      <c r="B47" s="13">
        <v>47.7</v>
      </c>
      <c r="C47" s="13">
        <f>Table134681134567101213[[#This Row],[PMI]]-B46</f>
        <v>-3.0999999999999943</v>
      </c>
    </row>
    <row r="48" spans="1:3" x14ac:dyDescent="0.2">
      <c r="A48" s="14">
        <v>41730</v>
      </c>
      <c r="B48" s="13">
        <v>46.8</v>
      </c>
      <c r="C48" s="13">
        <f>Table134681134567101213[[#This Row],[PMI]]-B47</f>
        <v>-0.90000000000000568</v>
      </c>
    </row>
    <row r="49" spans="1:3" x14ac:dyDescent="0.2">
      <c r="A49" s="14">
        <v>41760</v>
      </c>
      <c r="B49" s="13">
        <v>46.1</v>
      </c>
      <c r="C49" s="13">
        <f>Table134681134567101213[[#This Row],[PMI]]-B48</f>
        <v>-0.69999999999999574</v>
      </c>
    </row>
    <row r="50" spans="1:3" x14ac:dyDescent="0.2">
      <c r="A50" s="14">
        <v>41791</v>
      </c>
      <c r="B50" s="13">
        <v>49.8</v>
      </c>
      <c r="C50" s="13">
        <f>Table134681134567101213[[#This Row],[PMI]]-B49</f>
        <v>3.6999999999999957</v>
      </c>
    </row>
    <row r="51" spans="1:3" x14ac:dyDescent="0.2">
      <c r="A51" s="14">
        <v>41821</v>
      </c>
      <c r="B51" s="13">
        <v>49.7</v>
      </c>
      <c r="C51" s="13">
        <f>Table134681134567101213[[#This Row],[PMI]]-B50</f>
        <v>-9.9999999999994316E-2</v>
      </c>
    </row>
    <row r="52" spans="1:3" x14ac:dyDescent="0.2">
      <c r="A52" s="14">
        <v>41852</v>
      </c>
      <c r="B52" s="13">
        <v>50.3</v>
      </c>
      <c r="C52" s="13">
        <f>Table134681134567101213[[#This Row],[PMI]]-B51</f>
        <v>0.59999999999999432</v>
      </c>
    </row>
    <row r="53" spans="1:3" x14ac:dyDescent="0.2">
      <c r="A53" s="14">
        <v>41883</v>
      </c>
      <c r="B53" s="13">
        <v>50.5</v>
      </c>
      <c r="C53" s="13">
        <f>Table134681134567101213[[#This Row],[PMI]]-B52</f>
        <v>0.20000000000000284</v>
      </c>
    </row>
    <row r="54" spans="1:3" x14ac:dyDescent="0.2">
      <c r="A54" s="14">
        <v>41913</v>
      </c>
      <c r="B54" s="13">
        <v>47.4</v>
      </c>
      <c r="C54" s="13">
        <f>Table134681134567101213[[#This Row],[PMI]]-B53</f>
        <v>-3.1000000000000014</v>
      </c>
    </row>
    <row r="55" spans="1:3" x14ac:dyDescent="0.2">
      <c r="A55" s="14">
        <v>41944</v>
      </c>
      <c r="B55" s="13">
        <v>44.5</v>
      </c>
      <c r="C55" s="13">
        <f>Table134681134567101213[[#This Row],[PMI]]-B54</f>
        <v>-2.8999999999999986</v>
      </c>
    </row>
    <row r="56" spans="1:3" x14ac:dyDescent="0.2">
      <c r="A56" s="14">
        <v>41974</v>
      </c>
      <c r="B56" s="13">
        <v>45.8</v>
      </c>
      <c r="C56" s="13">
        <f>Table134681134567101213[[#This Row],[PMI]]-B55</f>
        <v>1.2999999999999972</v>
      </c>
    </row>
    <row r="57" spans="1:3" x14ac:dyDescent="0.2">
      <c r="A57" s="14">
        <v>42005</v>
      </c>
      <c r="B57" s="13">
        <v>43.9</v>
      </c>
      <c r="C57" s="13">
        <f>Table134681134567101213[[#This Row],[PMI]]-B56</f>
        <v>-1.8999999999999986</v>
      </c>
    </row>
    <row r="58" spans="1:3" x14ac:dyDescent="0.2">
      <c r="A58" s="14">
        <v>42036</v>
      </c>
      <c r="B58" s="13">
        <v>41.3</v>
      </c>
      <c r="C58" s="13">
        <f>Table134681134567101213[[#This Row],[PMI]]-B57</f>
        <v>-2.6000000000000014</v>
      </c>
    </row>
    <row r="59" spans="1:3" x14ac:dyDescent="0.2">
      <c r="A59" s="14">
        <v>42064</v>
      </c>
      <c r="B59" s="13">
        <v>46.1</v>
      </c>
      <c r="C59" s="13">
        <f>Table134681134567101213[[#This Row],[PMI]]-B58</f>
        <v>4.8000000000000043</v>
      </c>
    </row>
    <row r="60" spans="1:3" x14ac:dyDescent="0.2">
      <c r="A60" s="14">
        <v>42095</v>
      </c>
      <c r="B60" s="13">
        <v>50.7</v>
      </c>
      <c r="C60" s="13">
        <f>Table134681134567101213[[#This Row],[PMI]]-B59</f>
        <v>4.6000000000000014</v>
      </c>
    </row>
    <row r="61" spans="1:3" x14ac:dyDescent="0.2">
      <c r="A61" s="14">
        <v>42125</v>
      </c>
      <c r="B61" s="13">
        <v>52.8</v>
      </c>
      <c r="C61" s="13">
        <f>Table134681134567101213[[#This Row],[PMI]]-B60</f>
        <v>2.0999999999999943</v>
      </c>
    </row>
    <row r="62" spans="1:3" x14ac:dyDescent="0.2">
      <c r="A62" s="14">
        <v>42156</v>
      </c>
      <c r="B62" s="13">
        <v>49.5</v>
      </c>
      <c r="C62" s="13">
        <f>Table134681134567101213[[#This Row],[PMI]]-B61</f>
        <v>-3.2999999999999972</v>
      </c>
    </row>
    <row r="63" spans="1:3" x14ac:dyDescent="0.2">
      <c r="A63" s="14">
        <v>42186</v>
      </c>
      <c r="B63" s="13">
        <v>51.6</v>
      </c>
      <c r="C63" s="13">
        <f>Table134681134567101213[[#This Row],[PMI]]-B62</f>
        <v>2.1000000000000014</v>
      </c>
    </row>
    <row r="64" spans="1:3" x14ac:dyDescent="0.2">
      <c r="A64" s="14">
        <v>42217</v>
      </c>
      <c r="B64" s="13">
        <v>49.1</v>
      </c>
      <c r="C64" s="13">
        <f>Table134681134567101213[[#This Row],[PMI]]-B63</f>
        <v>-2.5</v>
      </c>
    </row>
    <row r="65" spans="1:3" x14ac:dyDescent="0.2">
      <c r="A65" s="14">
        <v>42248</v>
      </c>
      <c r="B65" s="13">
        <v>51.3</v>
      </c>
      <c r="C65" s="13">
        <f>Table134681134567101213[[#This Row],[PMI]]-B64</f>
        <v>2.1999999999999957</v>
      </c>
    </row>
    <row r="66" spans="1:3" x14ac:dyDescent="0.2">
      <c r="A66" s="14">
        <v>42278</v>
      </c>
      <c r="B66" s="13">
        <v>47.8</v>
      </c>
      <c r="C66" s="13">
        <f>Table134681134567101213[[#This Row],[PMI]]-B65</f>
        <v>-3.5</v>
      </c>
    </row>
    <row r="67" spans="1:3" x14ac:dyDescent="0.2">
      <c r="A67" s="14">
        <v>42309</v>
      </c>
      <c r="B67" s="13">
        <v>49.8</v>
      </c>
      <c r="C67" s="13">
        <f>Table134681134567101213[[#This Row],[PMI]]-B66</f>
        <v>2</v>
      </c>
    </row>
    <row r="68" spans="1:3" x14ac:dyDescent="0.2">
      <c r="A68" s="14">
        <v>42339</v>
      </c>
      <c r="B68" s="13">
        <v>47.8</v>
      </c>
      <c r="C68" s="13">
        <f>Table134681134567101213[[#This Row],[PMI]]-B67</f>
        <v>-2</v>
      </c>
    </row>
    <row r="69" spans="1:3" x14ac:dyDescent="0.2">
      <c r="A69" s="14">
        <v>42370</v>
      </c>
      <c r="B69" s="13">
        <v>47.1</v>
      </c>
      <c r="C69" s="13">
        <f>Table134681134567101213[[#This Row],[PMI]]-B68</f>
        <v>-0.69999999999999574</v>
      </c>
    </row>
    <row r="70" spans="1:3" x14ac:dyDescent="0.2">
      <c r="A70" s="14">
        <v>42401</v>
      </c>
      <c r="B70" s="13">
        <v>50.9</v>
      </c>
      <c r="C70" s="13">
        <f>Table134681134567101213[[#This Row],[PMI]]-B69</f>
        <v>3.7999999999999972</v>
      </c>
    </row>
    <row r="71" spans="1:3" x14ac:dyDescent="0.2">
      <c r="A71" s="14">
        <v>42430</v>
      </c>
      <c r="B71" s="13">
        <v>52</v>
      </c>
      <c r="C71" s="13">
        <f>Table134681134567101213[[#This Row],[PMI]]-B70</f>
        <v>1.1000000000000014</v>
      </c>
    </row>
    <row r="72" spans="1:3" x14ac:dyDescent="0.2">
      <c r="A72" s="14">
        <v>42461</v>
      </c>
      <c r="B72" s="13">
        <v>54.2</v>
      </c>
      <c r="C72" s="13">
        <f>Table134681134567101213[[#This Row],[PMI]]-B71</f>
        <v>2.2000000000000028</v>
      </c>
    </row>
    <row r="73" spans="1:3" x14ac:dyDescent="0.2">
      <c r="A73" s="14">
        <v>42491</v>
      </c>
      <c r="B73" s="13">
        <v>51.8</v>
      </c>
      <c r="C73" s="13">
        <f>Table134681134567101213[[#This Row],[PMI]]-B72</f>
        <v>-2.4000000000000057</v>
      </c>
    </row>
    <row r="74" spans="1:3" x14ac:dyDescent="0.2">
      <c r="A74" s="14">
        <v>42522</v>
      </c>
      <c r="B74" s="13">
        <v>53.8</v>
      </c>
      <c r="C74" s="13">
        <f>Table134681134567101213[[#This Row],[PMI]]-B73</f>
        <v>2</v>
      </c>
    </row>
    <row r="75" spans="1:3" x14ac:dyDescent="0.2">
      <c r="A75" s="14">
        <v>42552</v>
      </c>
      <c r="B75" s="13">
        <v>55</v>
      </c>
      <c r="C75" s="13">
        <f>Table134681134567101213[[#This Row],[PMI]]-B74</f>
        <v>1.2000000000000028</v>
      </c>
    </row>
    <row r="76" spans="1:3" x14ac:dyDescent="0.2">
      <c r="A76" s="14">
        <v>42583</v>
      </c>
      <c r="B76" s="13">
        <v>53.5</v>
      </c>
      <c r="C76" s="13">
        <f>Table134681134567101213[[#This Row],[PMI]]-B75</f>
        <v>-1.5</v>
      </c>
    </row>
    <row r="77" spans="1:3" x14ac:dyDescent="0.2">
      <c r="A77" s="14">
        <v>42614</v>
      </c>
      <c r="B77" s="13">
        <v>53</v>
      </c>
      <c r="C77" s="21">
        <f>Table134681134567101213[[#This Row],[PMI]]-B76</f>
        <v>-0.5</v>
      </c>
    </row>
    <row r="78" spans="1:3" x14ac:dyDescent="0.2">
      <c r="A78" s="14">
        <v>42644</v>
      </c>
      <c r="B78" s="13">
        <v>52.7</v>
      </c>
      <c r="C78" s="21">
        <f>Table134681134567101213[[#This Row],[PMI]]-B77</f>
        <v>-0.29999999999999716</v>
      </c>
    </row>
    <row r="79" spans="1:3" x14ac:dyDescent="0.2">
      <c r="A79" s="14">
        <v>42675</v>
      </c>
      <c r="B79" s="13">
        <v>54.7</v>
      </c>
      <c r="C79" s="21">
        <f>Table134681134567101213[[#This Row],[PMI]]-B78</f>
        <v>2</v>
      </c>
    </row>
    <row r="80" spans="1:3" x14ac:dyDescent="0.2">
      <c r="A80" s="14">
        <v>42705</v>
      </c>
      <c r="B80" s="13">
        <v>56.5</v>
      </c>
      <c r="C80" s="21">
        <f>Table134681134567101213[[#This Row],[PMI]]-B79</f>
        <v>1.7999999999999972</v>
      </c>
    </row>
    <row r="81" spans="1:3" x14ac:dyDescent="0.2">
      <c r="A81" s="14">
        <v>42736</v>
      </c>
      <c r="B81" s="13">
        <v>58.4</v>
      </c>
      <c r="C81" s="21">
        <f>Table134681134567101213[[#This Row],[PMI]]-B80</f>
        <v>1.8999999999999986</v>
      </c>
    </row>
    <row r="82" spans="1:3" x14ac:dyDescent="0.2">
      <c r="A82" s="14">
        <v>42767</v>
      </c>
      <c r="B82" s="13">
        <v>55.5</v>
      </c>
      <c r="C82" s="21">
        <f>Table134681134567101213[[#This Row],[PMI]]-B81</f>
        <v>-2.8999999999999986</v>
      </c>
    </row>
    <row r="83" spans="1:3" x14ac:dyDescent="0.2">
      <c r="A83" s="14">
        <v>42795</v>
      </c>
      <c r="B83" s="13">
        <v>56.6</v>
      </c>
      <c r="C83" s="21">
        <f>Table134681134567101213[[#This Row],[PMI]]-B82</f>
        <v>1.1000000000000014</v>
      </c>
    </row>
    <row r="84" spans="1:3" x14ac:dyDescent="0.2">
      <c r="A84" s="14">
        <v>42826</v>
      </c>
      <c r="B84" s="13">
        <v>56.1</v>
      </c>
      <c r="C84" s="21">
        <f>Table134681134567101213[[#This Row],[PMI]]-B83</f>
        <v>-0.5</v>
      </c>
    </row>
    <row r="85" spans="1:3" x14ac:dyDescent="0.2">
      <c r="A85" s="14">
        <v>42856</v>
      </c>
      <c r="B85" s="13">
        <v>56.3</v>
      </c>
      <c r="C85" s="21">
        <f>Table134681134567101213[[#This Row],[PMI]]-B84</f>
        <v>0.19999999999999574</v>
      </c>
    </row>
    <row r="86" spans="1:3" x14ac:dyDescent="0.2">
      <c r="A86" s="14">
        <v>42887</v>
      </c>
      <c r="B86" s="13">
        <v>55.5</v>
      </c>
      <c r="C86" s="21">
        <f>Table134681134567101213[[#This Row],[PMI]]-B85</f>
        <v>-0.79999999999999716</v>
      </c>
    </row>
    <row r="87" spans="1:3" x14ac:dyDescent="0.2">
      <c r="A87" s="14">
        <v>42917</v>
      </c>
      <c r="B87" s="13">
        <v>52.6</v>
      </c>
      <c r="C87" s="21">
        <f>Table134681134567101213[[#This Row],[PMI]]-B86</f>
        <v>-2.8999999999999986</v>
      </c>
    </row>
    <row r="88" spans="1:3" x14ac:dyDescent="0.2">
      <c r="A88" s="14">
        <v>42948</v>
      </c>
      <c r="B88" s="13">
        <v>54.2</v>
      </c>
      <c r="C88" s="21">
        <f>Table134681134567101213[[#This Row],[PMI]]-B87</f>
        <v>1.6000000000000014</v>
      </c>
    </row>
    <row r="89" spans="1:3" x14ac:dyDescent="0.2">
      <c r="A89" s="14">
        <v>42979</v>
      </c>
      <c r="B89" s="13">
        <v>55.2</v>
      </c>
      <c r="C89" s="21">
        <f>Table134681134567101213[[#This Row],[PMI]]-B88</f>
        <v>1</v>
      </c>
    </row>
    <row r="90" spans="1:3" x14ac:dyDescent="0.2">
      <c r="A90" s="14">
        <v>43009</v>
      </c>
      <c r="B90" s="13">
        <v>53.9</v>
      </c>
      <c r="C90" s="21">
        <f>Table134681134567101213[[#This Row],[PMI]]-B89</f>
        <v>-1.3000000000000043</v>
      </c>
    </row>
    <row r="91" spans="1:3" x14ac:dyDescent="0.2">
      <c r="A91" s="14">
        <v>43040</v>
      </c>
      <c r="B91" s="13">
        <v>57.4</v>
      </c>
      <c r="C91" s="21">
        <f>Table134681134567101213[[#This Row],[PMI]]-B90</f>
        <v>3.5</v>
      </c>
    </row>
    <row r="92" spans="1:3" x14ac:dyDescent="0.2">
      <c r="A92" s="14">
        <v>43070</v>
      </c>
      <c r="B92" s="13">
        <v>56.8</v>
      </c>
      <c r="C92" s="21">
        <f>Table134681134567101213[[#This Row],[PMI]]-B91</f>
        <v>-0.60000000000000142</v>
      </c>
    </row>
    <row r="93" spans="1:3" x14ac:dyDescent="0.2">
      <c r="A93" s="14">
        <v>43101</v>
      </c>
      <c r="B93" s="13">
        <v>55.1</v>
      </c>
      <c r="C93" s="21">
        <f>Table134681134567101213[[#This Row],[PMI]]-B92</f>
        <v>-1.6999999999999957</v>
      </c>
    </row>
    <row r="94" spans="1:3" x14ac:dyDescent="0.2">
      <c r="A94" s="14">
        <v>43132</v>
      </c>
      <c r="B94" s="13">
        <v>56.5</v>
      </c>
      <c r="C94" s="21">
        <f>Table134681134567101213[[#This Row],[PMI]]-B93</f>
        <v>1.3999999999999986</v>
      </c>
    </row>
    <row r="95" spans="1:3" x14ac:dyDescent="0.2">
      <c r="A95" s="14">
        <v>43160</v>
      </c>
      <c r="B95" s="13">
        <v>53.7</v>
      </c>
      <c r="C95" s="21">
        <f>Table134681134567101213[[#This Row],[PMI]]-B94</f>
        <v>-2.7999999999999972</v>
      </c>
    </row>
    <row r="96" spans="1:3" x14ac:dyDescent="0.2">
      <c r="A96" s="14">
        <v>43191</v>
      </c>
      <c r="B96" s="13">
        <v>55.5</v>
      </c>
      <c r="C96" s="21">
        <f>Table134681134567101213[[#This Row],[PMI]]-B95</f>
        <v>1.7999999999999972</v>
      </c>
    </row>
    <row r="97" spans="1:3" x14ac:dyDescent="0.2">
      <c r="A97" s="14">
        <v>43221</v>
      </c>
      <c r="B97" s="13">
        <v>54.1</v>
      </c>
      <c r="C97" s="21">
        <f>Table134681134567101213[[#This Row],[PMI]]-B96</f>
        <v>-1.3999999999999986</v>
      </c>
    </row>
    <row r="98" spans="1:3" x14ac:dyDescent="0.2">
      <c r="A98" s="14">
        <v>43252</v>
      </c>
      <c r="B98" s="13">
        <v>52.3</v>
      </c>
      <c r="C98" s="21">
        <f>Table134681134567101213[[#This Row],[PMI]]-B97</f>
        <v>-1.8000000000000043</v>
      </c>
    </row>
    <row r="99" spans="1:3" x14ac:dyDescent="0.2">
      <c r="A99" s="14">
        <v>43282</v>
      </c>
      <c r="B99" s="13">
        <v>52.8</v>
      </c>
      <c r="C99" s="21">
        <f>Table134681134567101213[[#This Row],[PMI]]-B98</f>
        <v>0.5</v>
      </c>
    </row>
    <row r="100" spans="1:3" x14ac:dyDescent="0.2">
      <c r="A100" s="14">
        <v>43313</v>
      </c>
      <c r="B100" s="13">
        <v>53.3</v>
      </c>
      <c r="C100" s="21">
        <f>Table134681134567101213[[#This Row],[PMI]]-B99</f>
        <v>0.5</v>
      </c>
    </row>
    <row r="101" spans="1:3" x14ac:dyDescent="0.2">
      <c r="A101" s="14">
        <v>43344</v>
      </c>
      <c r="B101" s="13">
        <v>54.7</v>
      </c>
      <c r="C101" s="21">
        <f>Table134681134567101213[[#This Row],[PMI]]-B100</f>
        <v>1.4000000000000057</v>
      </c>
    </row>
    <row r="102" spans="1:3" x14ac:dyDescent="0.2">
      <c r="A102" s="14">
        <v>43374</v>
      </c>
      <c r="B102" s="13">
        <v>56.9</v>
      </c>
      <c r="C102" s="21">
        <f>Table134681134567101213[[#This Row],[PMI]]-B101</f>
        <v>2.1999999999999957</v>
      </c>
    </row>
    <row r="103" spans="1:3" x14ac:dyDescent="0.2">
      <c r="A103" s="14">
        <v>43405</v>
      </c>
      <c r="B103" s="13">
        <v>55.6</v>
      </c>
      <c r="C103" s="21">
        <f>Table134681134567101213[[#This Row],[PMI]]-B102</f>
        <v>-1.2999999999999972</v>
      </c>
    </row>
    <row r="104" spans="1:3" x14ac:dyDescent="0.2">
      <c r="A104" s="14">
        <v>43435</v>
      </c>
      <c r="B104" s="13">
        <v>54.4</v>
      </c>
      <c r="C104" s="21">
        <f>Table134681134567101213[[#This Row],[PMI]]-B103</f>
        <v>-1.2000000000000028</v>
      </c>
    </row>
    <row r="105" spans="1:3" x14ac:dyDescent="0.2">
      <c r="A105" s="14">
        <v>43466</v>
      </c>
      <c r="B105" s="13">
        <v>54.9</v>
      </c>
      <c r="C105" s="21">
        <f>Table134681134567101213[[#This Row],[PMI]]-B104</f>
        <v>0.5</v>
      </c>
    </row>
    <row r="106" spans="1:3" x14ac:dyDescent="0.2">
      <c r="A106" s="14">
        <v>43497</v>
      </c>
      <c r="B106" s="13">
        <v>55.3</v>
      </c>
      <c r="C106" s="21">
        <f>Table134681134567101213[[#This Row],[PMI]]-B105</f>
        <v>0.39999999999999858</v>
      </c>
    </row>
    <row r="107" spans="1:3" x14ac:dyDescent="0.2">
      <c r="A107" s="14">
        <v>43525</v>
      </c>
      <c r="B107" s="13">
        <v>54.4</v>
      </c>
      <c r="C107" s="21">
        <f>Table134681134567101213[[#This Row],[PMI]]-B106</f>
        <v>-0.89999999999999858</v>
      </c>
    </row>
    <row r="108" spans="1:3" x14ac:dyDescent="0.2">
      <c r="A108" s="14">
        <v>43556</v>
      </c>
      <c r="B108" s="13">
        <v>52.6</v>
      </c>
      <c r="C108" s="21">
        <f>Table134681134567101213[[#This Row],[PMI]]-B107</f>
        <v>-1.7999999999999972</v>
      </c>
    </row>
    <row r="109" spans="1:3" x14ac:dyDescent="0.2">
      <c r="A109" s="14">
        <v>43586</v>
      </c>
      <c r="B109" s="13">
        <v>52</v>
      </c>
      <c r="C109" s="21">
        <f>Table134681134567101213[[#This Row],[PMI]]-B108</f>
        <v>-0.60000000000000142</v>
      </c>
    </row>
    <row r="110" spans="1:3" x14ac:dyDescent="0.2">
      <c r="A110" s="14">
        <v>43617</v>
      </c>
      <c r="B110" s="13">
        <v>49.7</v>
      </c>
      <c r="C110" s="21">
        <f>Table134681134567101213[[#This Row],[PMI]]-B109</f>
        <v>-2.2999999999999972</v>
      </c>
    </row>
    <row r="111" spans="1:3" x14ac:dyDescent="0.2">
      <c r="A111" s="14">
        <v>43647</v>
      </c>
      <c r="B111" s="13">
        <v>50.4</v>
      </c>
      <c r="C111" s="21">
        <f>Table134681134567101213[[#This Row],[PMI]]-B110</f>
        <v>0.69999999999999574</v>
      </c>
    </row>
    <row r="112" spans="1:3" x14ac:dyDescent="0.2">
      <c r="A112" s="14">
        <v>43678</v>
      </c>
      <c r="B112" s="13">
        <v>52.1</v>
      </c>
      <c r="C112" s="21">
        <f>Table134681134567101213[[#This Row],[PMI]]-B111</f>
        <v>1.7000000000000028</v>
      </c>
    </row>
    <row r="113" spans="1:3" x14ac:dyDescent="0.2">
      <c r="A113" s="14">
        <v>43709</v>
      </c>
      <c r="B113" s="13">
        <v>53.6</v>
      </c>
      <c r="C113" s="21">
        <f>Table134681134567101213[[#This Row],[PMI]]-B112</f>
        <v>1.5</v>
      </c>
    </row>
    <row r="114" spans="1:3" x14ac:dyDescent="0.2">
      <c r="A114" s="14">
        <v>43739</v>
      </c>
      <c r="B114" s="13">
        <v>55.8</v>
      </c>
      <c r="C114" s="21">
        <f>Table134681134567101213[[#This Row],[PMI]]-B113</f>
        <v>2.1999999999999957</v>
      </c>
    </row>
    <row r="115" spans="1:3" x14ac:dyDescent="0.2">
      <c r="A115" s="14">
        <v>43770</v>
      </c>
      <c r="B115" s="13">
        <v>55.6</v>
      </c>
      <c r="C115" s="21">
        <f>Table134681134567101213[[#This Row],[PMI]]-B114</f>
        <v>-0.19999999999999574</v>
      </c>
    </row>
    <row r="116" spans="1:3" x14ac:dyDescent="0.2">
      <c r="A116" s="14">
        <v>43800</v>
      </c>
      <c r="B116" s="13">
        <v>53.1</v>
      </c>
      <c r="C116" s="21">
        <f>Table134681134567101213[[#This Row],[PMI]]-B115</f>
        <v>-2.5</v>
      </c>
    </row>
    <row r="117" spans="1:3" x14ac:dyDescent="0.2">
      <c r="A117" s="14">
        <v>43831</v>
      </c>
      <c r="B117" s="13">
        <v>54.1</v>
      </c>
      <c r="C117" s="21">
        <f>Table134681134567101213[[#This Row],[PMI]]-B116</f>
        <v>1</v>
      </c>
    </row>
    <row r="118" spans="1:3" x14ac:dyDescent="0.2">
      <c r="A118" s="14">
        <v>43862</v>
      </c>
      <c r="B118" s="13">
        <v>52</v>
      </c>
      <c r="C118" s="21">
        <f>Table134681134567101213[[#This Row],[PMI]]-B117</f>
        <v>-2.1000000000000014</v>
      </c>
    </row>
    <row r="119" spans="1:3" x14ac:dyDescent="0.2">
      <c r="A119" s="14">
        <v>43891</v>
      </c>
      <c r="B119" s="13">
        <v>37.1</v>
      </c>
      <c r="C119" s="21">
        <f>Table134681134567101213[[#This Row],[PMI]]-B118</f>
        <v>-14.899999999999999</v>
      </c>
    </row>
    <row r="120" spans="1:3" x14ac:dyDescent="0.2">
      <c r="A120" s="14">
        <v>43922</v>
      </c>
      <c r="B120" s="13">
        <v>12.2</v>
      </c>
      <c r="C120" s="21">
        <f>Table134681134567101213[[#This Row],[PMI]]-B119</f>
        <v>-24.900000000000002</v>
      </c>
    </row>
    <row r="121" spans="1:3" x14ac:dyDescent="0.2">
      <c r="A121" s="14">
        <v>43952</v>
      </c>
      <c r="B121" s="13">
        <v>35.9</v>
      </c>
      <c r="C121" s="21">
        <f>Table134681134567101213[[#This Row],[PMI]]-B120</f>
        <v>23.7</v>
      </c>
    </row>
    <row r="122" spans="1:3" x14ac:dyDescent="0.2">
      <c r="A122" s="14">
        <v>43983</v>
      </c>
      <c r="B122" s="13">
        <v>47.8</v>
      </c>
      <c r="C122" s="21">
        <f>Table134681134567101213[[#This Row],[PMI]]-B121</f>
        <v>11.899999999999999</v>
      </c>
    </row>
    <row r="123" spans="1:3" x14ac:dyDescent="0.2">
      <c r="A123" s="14">
        <v>44013</v>
      </c>
      <c r="B123" s="13">
        <v>58.5</v>
      </c>
      <c r="C123" s="21">
        <f>Table134681134567101213[[#This Row],[PMI]]-B122</f>
        <v>10.700000000000003</v>
      </c>
    </row>
    <row r="124" spans="1:3" x14ac:dyDescent="0.2">
      <c r="A124" s="14">
        <v>44044</v>
      </c>
      <c r="B124" s="13">
        <v>58.2</v>
      </c>
      <c r="C124" s="21">
        <f>Table134681134567101213[[#This Row],[PMI]]-B123</f>
        <v>-0.29999999999999716</v>
      </c>
    </row>
    <row r="125" spans="1:3" x14ac:dyDescent="0.2">
      <c r="A125" s="14">
        <v>44075</v>
      </c>
      <c r="B125" s="13">
        <v>53.7</v>
      </c>
      <c r="C125" s="21">
        <f>Table134681134567101213[[#This Row],[PMI]]-B124</f>
        <v>-4.5</v>
      </c>
    </row>
    <row r="126" spans="1:3" x14ac:dyDescent="0.2">
      <c r="A126" s="14">
        <v>44105</v>
      </c>
      <c r="B126" s="13">
        <v>46.9</v>
      </c>
      <c r="C126" s="21">
        <f>Table134681134567101213[[#This Row],[PMI]]-B125</f>
        <v>-6.8000000000000043</v>
      </c>
    </row>
    <row r="127" spans="1:3" x14ac:dyDescent="0.2">
      <c r="A127" s="14">
        <v>44136</v>
      </c>
      <c r="B127" s="13">
        <v>48.2</v>
      </c>
      <c r="C127" s="21">
        <f>Table134681134567101213[[#This Row],[PMI]]-B126</f>
        <v>1.3000000000000043</v>
      </c>
    </row>
    <row r="128" spans="1:3" x14ac:dyDescent="0.2">
      <c r="A128" s="14">
        <v>44166</v>
      </c>
      <c r="B128" s="13">
        <v>48</v>
      </c>
      <c r="C128" s="21">
        <f>Table134681134567101213[[#This Row],[PMI]]-B127</f>
        <v>-0.20000000000000284</v>
      </c>
    </row>
    <row r="129" spans="1:3" x14ac:dyDescent="0.2">
      <c r="A129" s="14">
        <v>44197</v>
      </c>
      <c r="B129" s="13">
        <v>52.7</v>
      </c>
      <c r="C129" s="21">
        <f>Table134681134567101213[[#This Row],[PMI]]-B128</f>
        <v>4.7000000000000028</v>
      </c>
    </row>
    <row r="130" spans="1:3" x14ac:dyDescent="0.2">
      <c r="A130" s="14">
        <v>44228</v>
      </c>
      <c r="B130" s="13">
        <v>52.2</v>
      </c>
      <c r="C130" s="21">
        <f>Table134681134567101213[[#This Row],[PMI]]-B129</f>
        <v>-0.5</v>
      </c>
    </row>
    <row r="131" spans="1:3" x14ac:dyDescent="0.2">
      <c r="A131" s="14">
        <v>44256</v>
      </c>
      <c r="B131" s="13">
        <v>55.8</v>
      </c>
      <c r="C131" s="21">
        <f>Table134681134567101213[[#This Row],[PMI]]-B130</f>
        <v>3.5999999999999943</v>
      </c>
    </row>
    <row r="132" spans="1:3" x14ac:dyDescent="0.2">
      <c r="A132" s="14">
        <v>44287</v>
      </c>
      <c r="B132" s="13">
        <v>55.2</v>
      </c>
      <c r="C132" s="21">
        <f>Table134681134567101213[[#This Row],[PMI]]-B131</f>
        <v>-0.59999999999999432</v>
      </c>
    </row>
    <row r="133" spans="1:3" x14ac:dyDescent="0.2">
      <c r="A133" s="14">
        <v>44317</v>
      </c>
      <c r="B133" s="13">
        <v>57.5</v>
      </c>
      <c r="C133" s="21">
        <f>Table134681134567101213[[#This Row],[PMI]]-B132</f>
        <v>2.2999999999999972</v>
      </c>
    </row>
    <row r="134" spans="1:3" x14ac:dyDescent="0.2">
      <c r="A134" s="14">
        <v>44348</v>
      </c>
      <c r="B134" s="13">
        <v>56.5</v>
      </c>
      <c r="C134" s="21">
        <f>Table134681134567101213[[#This Row],[PMI]]-B133</f>
        <v>-1</v>
      </c>
    </row>
    <row r="135" spans="1:3" x14ac:dyDescent="0.2">
      <c r="A135" s="14">
        <v>44378</v>
      </c>
      <c r="B135" s="13">
        <v>53.5</v>
      </c>
      <c r="C135" s="21">
        <f>Table134681134567101213[[#This Row],[PMI]]-B134</f>
        <v>-3</v>
      </c>
    </row>
    <row r="136" spans="1:3" x14ac:dyDescent="0.2">
      <c r="A136" s="14">
        <v>44409</v>
      </c>
      <c r="B136" s="13">
        <v>49.3</v>
      </c>
      <c r="C136" s="21">
        <f>Table134681134567101213[[#This Row],[PMI]]-B135</f>
        <v>-4.2000000000000028</v>
      </c>
    </row>
    <row r="137" spans="1:3" x14ac:dyDescent="0.2">
      <c r="A137" s="14">
        <v>44440</v>
      </c>
      <c r="B137" s="13">
        <v>50.5</v>
      </c>
      <c r="C137" s="21">
        <f>Table134681134567101213[[#This Row],[PMI]]-B136</f>
        <v>1.2000000000000028</v>
      </c>
    </row>
    <row r="138" spans="1:3" x14ac:dyDescent="0.2">
      <c r="A138" s="14">
        <v>44470</v>
      </c>
      <c r="B138" s="13">
        <v>58.8</v>
      </c>
      <c r="C138" s="21">
        <f>Table134681134567101213[[#This Row],[PMI]]-B137</f>
        <v>8.2999999999999972</v>
      </c>
    </row>
    <row r="139" spans="1:3" x14ac:dyDescent="0.2">
      <c r="A139" s="14">
        <v>44501</v>
      </c>
      <c r="B139" s="13">
        <v>47.1</v>
      </c>
      <c r="C139" s="21">
        <f>Table134681134567101213[[#This Row],[PMI]]-B138</f>
        <v>-11.699999999999996</v>
      </c>
    </row>
    <row r="140" spans="1:3" x14ac:dyDescent="0.2">
      <c r="A140" s="14">
        <v>44531</v>
      </c>
      <c r="B140" s="13">
        <v>49.5</v>
      </c>
      <c r="C140" s="21">
        <f>Table134681134567101213[[#This Row],[PMI]]-B139</f>
        <v>2.3999999999999986</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9E263-0A0E-48EF-9402-9EDCE9540C33}">
  <dimension ref="A1:J140"/>
  <sheetViews>
    <sheetView topLeftCell="A99" zoomScale="170" zoomScaleNormal="170" workbookViewId="0">
      <selection activeCell="S121" sqref="S121"/>
    </sheetView>
  </sheetViews>
  <sheetFormatPr baseColWidth="10" defaultColWidth="9.1640625" defaultRowHeight="15" x14ac:dyDescent="0.2"/>
  <cols>
    <col min="1" max="1" width="13.5" style="25" customWidth="1"/>
    <col min="2" max="2" width="11.33203125" style="25" customWidth="1"/>
    <col min="3" max="16384" width="9.1640625" style="25"/>
  </cols>
  <sheetData>
    <row r="1" spans="1:10" x14ac:dyDescent="0.2">
      <c r="A1" s="25" t="s">
        <v>20</v>
      </c>
      <c r="J1" s="25" t="s">
        <v>42</v>
      </c>
    </row>
    <row r="2" spans="1:10" x14ac:dyDescent="0.2">
      <c r="J2" s="25" t="str">
        <f>A1&amp;J1</f>
        <v>Spain Services PMI</v>
      </c>
    </row>
    <row r="4" spans="1:10" ht="16" thickBot="1" x14ac:dyDescent="0.25"/>
    <row r="5" spans="1:10" ht="16" thickBot="1" x14ac:dyDescent="0.25">
      <c r="A5" s="19" t="s">
        <v>9</v>
      </c>
      <c r="B5" s="20" t="s">
        <v>10</v>
      </c>
      <c r="C5" s="20" t="s">
        <v>11</v>
      </c>
    </row>
    <row r="6" spans="1:10" x14ac:dyDescent="0.2">
      <c r="A6" s="17">
        <v>40452</v>
      </c>
      <c r="B6" s="18">
        <v>46.5</v>
      </c>
      <c r="C6" s="18"/>
    </row>
    <row r="7" spans="1:10" x14ac:dyDescent="0.2">
      <c r="A7" s="14">
        <v>40483</v>
      </c>
      <c r="B7" s="13">
        <v>48.3</v>
      </c>
      <c r="C7" s="13">
        <f>Table13468113456710121314[[#This Row],[PMI]]-B6</f>
        <v>1.7999999999999972</v>
      </c>
    </row>
    <row r="8" spans="1:10" x14ac:dyDescent="0.2">
      <c r="A8" s="14">
        <v>40513</v>
      </c>
      <c r="B8" s="13">
        <v>49.1</v>
      </c>
      <c r="C8" s="13">
        <f>Table13468113456710121314[[#This Row],[PMI]]-B7</f>
        <v>0.80000000000000426</v>
      </c>
    </row>
    <row r="9" spans="1:10" x14ac:dyDescent="0.2">
      <c r="A9" s="14">
        <v>40544</v>
      </c>
      <c r="B9" s="13">
        <v>50.1</v>
      </c>
      <c r="C9" s="13">
        <f>Table13468113456710121314[[#This Row],[PMI]]-B8</f>
        <v>1</v>
      </c>
    </row>
    <row r="10" spans="1:10" x14ac:dyDescent="0.2">
      <c r="A10" s="14">
        <v>40575</v>
      </c>
      <c r="B10" s="13">
        <v>50.8</v>
      </c>
      <c r="C10" s="13">
        <f>Table13468113456710121314[[#This Row],[PMI]]-B9</f>
        <v>0.69999999999999574</v>
      </c>
    </row>
    <row r="11" spans="1:10" x14ac:dyDescent="0.2">
      <c r="A11" s="14">
        <v>40603</v>
      </c>
      <c r="B11" s="13">
        <v>48.7</v>
      </c>
      <c r="C11" s="13">
        <f>Table13468113456710121314[[#This Row],[PMI]]-B10</f>
        <v>-2.0999999999999943</v>
      </c>
    </row>
    <row r="12" spans="1:10" x14ac:dyDescent="0.2">
      <c r="A12" s="14">
        <v>40634</v>
      </c>
      <c r="B12" s="13">
        <v>50.4</v>
      </c>
      <c r="C12" s="13">
        <f>Table13468113456710121314[[#This Row],[PMI]]-B11</f>
        <v>1.6999999999999957</v>
      </c>
    </row>
    <row r="13" spans="1:10" x14ac:dyDescent="0.2">
      <c r="A13" s="14">
        <v>40664</v>
      </c>
      <c r="B13" s="13">
        <v>50.9</v>
      </c>
      <c r="C13" s="13">
        <f>Table13468113456710121314[[#This Row],[PMI]]-B12</f>
        <v>0.5</v>
      </c>
    </row>
    <row r="14" spans="1:10" x14ac:dyDescent="0.2">
      <c r="A14" s="14">
        <v>40695</v>
      </c>
      <c r="B14" s="13">
        <v>50.2</v>
      </c>
      <c r="C14" s="13">
        <f>Table13468113456710121314[[#This Row],[PMI]]-B13</f>
        <v>-0.69999999999999574</v>
      </c>
    </row>
    <row r="15" spans="1:10" x14ac:dyDescent="0.2">
      <c r="A15" s="14">
        <v>40725</v>
      </c>
      <c r="B15" s="13">
        <v>46.5</v>
      </c>
      <c r="C15" s="13">
        <f>Table13468113456710121314[[#This Row],[PMI]]-B14</f>
        <v>-3.7000000000000028</v>
      </c>
    </row>
    <row r="16" spans="1:10" x14ac:dyDescent="0.2">
      <c r="A16" s="14">
        <v>40756</v>
      </c>
      <c r="B16" s="13">
        <v>45.2</v>
      </c>
      <c r="C16" s="13">
        <f>Table13468113456710121314[[#This Row],[PMI]]-B15</f>
        <v>-1.2999999999999972</v>
      </c>
    </row>
    <row r="17" spans="1:3" x14ac:dyDescent="0.2">
      <c r="A17" s="14">
        <v>40787</v>
      </c>
      <c r="B17" s="13">
        <v>44.8</v>
      </c>
      <c r="C17" s="13">
        <f>Table13468113456710121314[[#This Row],[PMI]]-B16</f>
        <v>-0.40000000000000568</v>
      </c>
    </row>
    <row r="18" spans="1:3" x14ac:dyDescent="0.2">
      <c r="A18" s="14">
        <v>40817</v>
      </c>
      <c r="B18" s="13">
        <v>41.8</v>
      </c>
      <c r="C18" s="13">
        <f>Table13468113456710121314[[#This Row],[PMI]]-B17</f>
        <v>-3</v>
      </c>
    </row>
    <row r="19" spans="1:3" x14ac:dyDescent="0.2">
      <c r="A19" s="14">
        <v>40848</v>
      </c>
      <c r="B19" s="13">
        <v>36.799999999999997</v>
      </c>
      <c r="C19" s="13">
        <f>Table13468113456710121314[[#This Row],[PMI]]-B18</f>
        <v>-5</v>
      </c>
    </row>
    <row r="20" spans="1:3" x14ac:dyDescent="0.2">
      <c r="A20" s="14">
        <v>40878</v>
      </c>
      <c r="B20" s="13">
        <v>42.1</v>
      </c>
      <c r="C20" s="13">
        <f>Table13468113456710121314[[#This Row],[PMI]]-B19</f>
        <v>5.3000000000000043</v>
      </c>
    </row>
    <row r="21" spans="1:3" x14ac:dyDescent="0.2">
      <c r="A21" s="14">
        <v>40909</v>
      </c>
      <c r="B21" s="13">
        <v>46.1</v>
      </c>
      <c r="C21" s="13">
        <f>Table13468113456710121314[[#This Row],[PMI]]-B20</f>
        <v>4</v>
      </c>
    </row>
    <row r="22" spans="1:3" x14ac:dyDescent="0.2">
      <c r="A22" s="14">
        <v>40940</v>
      </c>
      <c r="B22" s="13">
        <v>41.9</v>
      </c>
      <c r="C22" s="13">
        <f>Table13468113456710121314[[#This Row],[PMI]]-B21</f>
        <v>-4.2000000000000028</v>
      </c>
    </row>
    <row r="23" spans="1:3" x14ac:dyDescent="0.2">
      <c r="A23" s="14">
        <v>40969</v>
      </c>
      <c r="B23" s="13">
        <v>46.3</v>
      </c>
      <c r="C23" s="13">
        <f>Table13468113456710121314[[#This Row],[PMI]]-B22</f>
        <v>4.3999999999999986</v>
      </c>
    </row>
    <row r="24" spans="1:3" x14ac:dyDescent="0.2">
      <c r="A24" s="14">
        <v>41000</v>
      </c>
      <c r="B24" s="13">
        <v>42.1</v>
      </c>
      <c r="C24" s="13">
        <f>Table13468113456710121314[[#This Row],[PMI]]-B23</f>
        <v>-4.1999999999999957</v>
      </c>
    </row>
    <row r="25" spans="1:3" x14ac:dyDescent="0.2">
      <c r="A25" s="14">
        <v>41030</v>
      </c>
      <c r="B25" s="13">
        <v>41.8</v>
      </c>
      <c r="C25" s="13">
        <f>Table13468113456710121314[[#This Row],[PMI]]-B24</f>
        <v>-0.30000000000000426</v>
      </c>
    </row>
    <row r="26" spans="1:3" x14ac:dyDescent="0.2">
      <c r="A26" s="14">
        <v>41061</v>
      </c>
      <c r="B26" s="13">
        <v>43.4</v>
      </c>
      <c r="C26" s="13">
        <f>Table13468113456710121314[[#This Row],[PMI]]-B25</f>
        <v>1.6000000000000014</v>
      </c>
    </row>
    <row r="27" spans="1:3" x14ac:dyDescent="0.2">
      <c r="A27" s="14">
        <v>41091</v>
      </c>
      <c r="B27" s="13">
        <v>43.7</v>
      </c>
      <c r="C27" s="13">
        <f>Table13468113456710121314[[#This Row],[PMI]]-B26</f>
        <v>0.30000000000000426</v>
      </c>
    </row>
    <row r="28" spans="1:3" x14ac:dyDescent="0.2">
      <c r="A28" s="14">
        <v>41122</v>
      </c>
      <c r="B28" s="13">
        <v>44</v>
      </c>
      <c r="C28" s="13">
        <f>Table13468113456710121314[[#This Row],[PMI]]-B27</f>
        <v>0.29999999999999716</v>
      </c>
    </row>
    <row r="29" spans="1:3" x14ac:dyDescent="0.2">
      <c r="A29" s="14">
        <v>41153</v>
      </c>
      <c r="B29" s="13">
        <v>40.200000000000003</v>
      </c>
      <c r="C29" s="13">
        <f>Table13468113456710121314[[#This Row],[PMI]]-B28</f>
        <v>-3.7999999999999972</v>
      </c>
    </row>
    <row r="30" spans="1:3" x14ac:dyDescent="0.2">
      <c r="A30" s="14">
        <v>41183</v>
      </c>
      <c r="B30" s="13">
        <v>41.2</v>
      </c>
      <c r="C30" s="13">
        <f>Table13468113456710121314[[#This Row],[PMI]]-B29</f>
        <v>1</v>
      </c>
    </row>
    <row r="31" spans="1:3" x14ac:dyDescent="0.2">
      <c r="A31" s="14">
        <v>41214</v>
      </c>
      <c r="B31" s="13">
        <v>42.4</v>
      </c>
      <c r="C31" s="13">
        <f>Table13468113456710121314[[#This Row],[PMI]]-B30</f>
        <v>1.1999999999999957</v>
      </c>
    </row>
    <row r="32" spans="1:3" x14ac:dyDescent="0.2">
      <c r="A32" s="14">
        <v>41244</v>
      </c>
      <c r="B32" s="13">
        <v>44.1</v>
      </c>
      <c r="C32" s="13">
        <f>Table13468113456710121314[[#This Row],[PMI]]-B31</f>
        <v>1.7000000000000028</v>
      </c>
    </row>
    <row r="33" spans="1:3" x14ac:dyDescent="0.2">
      <c r="A33" s="14">
        <v>41275</v>
      </c>
      <c r="B33" s="13">
        <v>47</v>
      </c>
      <c r="C33" s="13">
        <f>Table13468113456710121314[[#This Row],[PMI]]-B32</f>
        <v>2.8999999999999986</v>
      </c>
    </row>
    <row r="34" spans="1:3" x14ac:dyDescent="0.2">
      <c r="A34" s="14">
        <v>41306</v>
      </c>
      <c r="B34" s="13">
        <v>44.7</v>
      </c>
      <c r="C34" s="13">
        <f>Table13468113456710121314[[#This Row],[PMI]]-B33</f>
        <v>-2.2999999999999972</v>
      </c>
    </row>
    <row r="35" spans="1:3" x14ac:dyDescent="0.2">
      <c r="A35" s="14">
        <v>41334</v>
      </c>
      <c r="B35" s="13">
        <v>45.3</v>
      </c>
      <c r="C35" s="13">
        <f>Table13468113456710121314[[#This Row],[PMI]]-B34</f>
        <v>0.59999999999999432</v>
      </c>
    </row>
    <row r="36" spans="1:3" x14ac:dyDescent="0.2">
      <c r="A36" s="14">
        <v>41365</v>
      </c>
      <c r="B36" s="13">
        <v>44.4</v>
      </c>
      <c r="C36" s="13">
        <f>Table13468113456710121314[[#This Row],[PMI]]-B35</f>
        <v>-0.89999999999999858</v>
      </c>
    </row>
    <row r="37" spans="1:3" x14ac:dyDescent="0.2">
      <c r="A37" s="14">
        <v>41395</v>
      </c>
      <c r="B37" s="13">
        <v>47.3</v>
      </c>
      <c r="C37" s="13">
        <f>Table13468113456710121314[[#This Row],[PMI]]-B36</f>
        <v>2.8999999999999986</v>
      </c>
    </row>
    <row r="38" spans="1:3" x14ac:dyDescent="0.2">
      <c r="A38" s="14">
        <v>41426</v>
      </c>
      <c r="B38" s="13">
        <v>47.8</v>
      </c>
      <c r="C38" s="13">
        <f>Table13468113456710121314[[#This Row],[PMI]]-B37</f>
        <v>0.5</v>
      </c>
    </row>
    <row r="39" spans="1:3" x14ac:dyDescent="0.2">
      <c r="A39" s="14">
        <v>41456</v>
      </c>
      <c r="B39" s="13">
        <v>48.5</v>
      </c>
      <c r="C39" s="13">
        <f>Table13468113456710121314[[#This Row],[PMI]]-B38</f>
        <v>0.70000000000000284</v>
      </c>
    </row>
    <row r="40" spans="1:3" x14ac:dyDescent="0.2">
      <c r="A40" s="14">
        <v>41487</v>
      </c>
      <c r="B40" s="13">
        <v>50.5</v>
      </c>
      <c r="C40" s="13">
        <f>Table13468113456710121314[[#This Row],[PMI]]-B39</f>
        <v>2</v>
      </c>
    </row>
    <row r="41" spans="1:3" x14ac:dyDescent="0.2">
      <c r="A41" s="14">
        <v>41518</v>
      </c>
      <c r="B41" s="13">
        <v>49</v>
      </c>
      <c r="C41" s="13">
        <f>Table13468113456710121314[[#This Row],[PMI]]-B40</f>
        <v>-1.5</v>
      </c>
    </row>
    <row r="42" spans="1:3" x14ac:dyDescent="0.2">
      <c r="A42" s="14">
        <v>41548</v>
      </c>
      <c r="B42" s="13">
        <v>49.6</v>
      </c>
      <c r="C42" s="13">
        <f>Table13468113456710121314[[#This Row],[PMI]]-B41</f>
        <v>0.60000000000000142</v>
      </c>
    </row>
    <row r="43" spans="1:3" x14ac:dyDescent="0.2">
      <c r="A43" s="14">
        <v>41579</v>
      </c>
      <c r="B43" s="13">
        <v>51.5</v>
      </c>
      <c r="C43" s="13">
        <f>Table13468113456710121314[[#This Row],[PMI]]-B42</f>
        <v>1.8999999999999986</v>
      </c>
    </row>
    <row r="44" spans="1:3" x14ac:dyDescent="0.2">
      <c r="A44" s="14">
        <v>41609</v>
      </c>
      <c r="B44" s="13">
        <v>53.2</v>
      </c>
      <c r="C44" s="13">
        <f>Table13468113456710121314[[#This Row],[PMI]]-B43</f>
        <v>1.7000000000000028</v>
      </c>
    </row>
    <row r="45" spans="1:3" x14ac:dyDescent="0.2">
      <c r="A45" s="14">
        <v>41640</v>
      </c>
      <c r="B45" s="13">
        <v>54.9</v>
      </c>
      <c r="C45" s="13">
        <f>Table13468113456710121314[[#This Row],[PMI]]-B44</f>
        <v>1.6999999999999957</v>
      </c>
    </row>
    <row r="46" spans="1:3" x14ac:dyDescent="0.2">
      <c r="A46" s="14">
        <v>41671</v>
      </c>
      <c r="B46" s="13">
        <v>53.7</v>
      </c>
      <c r="C46" s="13">
        <f>Table13468113456710121314[[#This Row],[PMI]]-B45</f>
        <v>-1.1999999999999957</v>
      </c>
    </row>
    <row r="47" spans="1:3" x14ac:dyDescent="0.2">
      <c r="A47" s="14">
        <v>41699</v>
      </c>
      <c r="B47" s="13">
        <v>54</v>
      </c>
      <c r="C47" s="13">
        <f>Table13468113456710121314[[#This Row],[PMI]]-B46</f>
        <v>0.29999999999999716</v>
      </c>
    </row>
    <row r="48" spans="1:3" x14ac:dyDescent="0.2">
      <c r="A48" s="14">
        <v>41730</v>
      </c>
      <c r="B48" s="13">
        <v>56.5</v>
      </c>
      <c r="C48" s="13">
        <f>Table13468113456710121314[[#This Row],[PMI]]-B47</f>
        <v>2.5</v>
      </c>
    </row>
    <row r="49" spans="1:3" x14ac:dyDescent="0.2">
      <c r="A49" s="14">
        <v>41760</v>
      </c>
      <c r="B49" s="13">
        <v>55.7</v>
      </c>
      <c r="C49" s="13">
        <f>Table13468113456710121314[[#This Row],[PMI]]-B48</f>
        <v>-0.79999999999999716</v>
      </c>
    </row>
    <row r="50" spans="1:3" x14ac:dyDescent="0.2">
      <c r="A50" s="14">
        <v>41791</v>
      </c>
      <c r="B50" s="13">
        <v>54.8</v>
      </c>
      <c r="C50" s="13">
        <f>Table13468113456710121314[[#This Row],[PMI]]-B49</f>
        <v>-0.90000000000000568</v>
      </c>
    </row>
    <row r="51" spans="1:3" x14ac:dyDescent="0.2">
      <c r="A51" s="14">
        <v>41821</v>
      </c>
      <c r="B51" s="13">
        <v>56.2</v>
      </c>
      <c r="C51" s="13">
        <f>Table13468113456710121314[[#This Row],[PMI]]-B50</f>
        <v>1.4000000000000057</v>
      </c>
    </row>
    <row r="52" spans="1:3" x14ac:dyDescent="0.2">
      <c r="A52" s="14">
        <v>41852</v>
      </c>
      <c r="B52" s="13">
        <v>58.1</v>
      </c>
      <c r="C52" s="13">
        <f>Table13468113456710121314[[#This Row],[PMI]]-B51</f>
        <v>1.8999999999999986</v>
      </c>
    </row>
    <row r="53" spans="1:3" x14ac:dyDescent="0.2">
      <c r="A53" s="14">
        <v>41883</v>
      </c>
      <c r="B53" s="13">
        <v>55.8</v>
      </c>
      <c r="C53" s="13">
        <f>Table13468113456710121314[[#This Row],[PMI]]-B52</f>
        <v>-2.3000000000000043</v>
      </c>
    </row>
    <row r="54" spans="1:3" x14ac:dyDescent="0.2">
      <c r="A54" s="14">
        <v>41913</v>
      </c>
      <c r="B54" s="13">
        <v>55.9</v>
      </c>
      <c r="C54" s="13">
        <f>Table13468113456710121314[[#This Row],[PMI]]-B53</f>
        <v>0.10000000000000142</v>
      </c>
    </row>
    <row r="55" spans="1:3" x14ac:dyDescent="0.2">
      <c r="A55" s="14">
        <v>41944</v>
      </c>
      <c r="B55" s="13">
        <v>52.7</v>
      </c>
      <c r="C55" s="13">
        <f>Table13468113456710121314[[#This Row],[PMI]]-B54</f>
        <v>-3.1999999999999957</v>
      </c>
    </row>
    <row r="56" spans="1:3" x14ac:dyDescent="0.2">
      <c r="A56" s="14">
        <v>41974</v>
      </c>
      <c r="B56" s="13">
        <v>54.3</v>
      </c>
      <c r="C56" s="13">
        <f>Table13468113456710121314[[#This Row],[PMI]]-B55</f>
        <v>1.5999999999999943</v>
      </c>
    </row>
    <row r="57" spans="1:3" x14ac:dyDescent="0.2">
      <c r="A57" s="14">
        <v>42005</v>
      </c>
      <c r="B57" s="13">
        <v>56.7</v>
      </c>
      <c r="C57" s="13">
        <f>Table13468113456710121314[[#This Row],[PMI]]-B56</f>
        <v>2.4000000000000057</v>
      </c>
    </row>
    <row r="58" spans="1:3" x14ac:dyDescent="0.2">
      <c r="A58" s="14">
        <v>42036</v>
      </c>
      <c r="B58" s="13">
        <v>56.2</v>
      </c>
      <c r="C58" s="13">
        <f>Table13468113456710121314[[#This Row],[PMI]]-B57</f>
        <v>-0.5</v>
      </c>
    </row>
    <row r="59" spans="1:3" x14ac:dyDescent="0.2">
      <c r="A59" s="14">
        <v>42064</v>
      </c>
      <c r="B59" s="13">
        <v>57.3</v>
      </c>
      <c r="C59" s="13">
        <f>Table13468113456710121314[[#This Row],[PMI]]-B58</f>
        <v>1.0999999999999943</v>
      </c>
    </row>
    <row r="60" spans="1:3" x14ac:dyDescent="0.2">
      <c r="A60" s="14">
        <v>42095</v>
      </c>
      <c r="B60" s="13">
        <v>60.3</v>
      </c>
      <c r="C60" s="13">
        <f>Table13468113456710121314[[#This Row],[PMI]]-B59</f>
        <v>3</v>
      </c>
    </row>
    <row r="61" spans="1:3" x14ac:dyDescent="0.2">
      <c r="A61" s="14">
        <v>42125</v>
      </c>
      <c r="B61" s="13">
        <v>58.4</v>
      </c>
      <c r="C61" s="13">
        <f>Table13468113456710121314[[#This Row],[PMI]]-B60</f>
        <v>-1.8999999999999986</v>
      </c>
    </row>
    <row r="62" spans="1:3" x14ac:dyDescent="0.2">
      <c r="A62" s="14">
        <v>42156</v>
      </c>
      <c r="B62" s="13">
        <v>56.1</v>
      </c>
      <c r="C62" s="13">
        <f>Table13468113456710121314[[#This Row],[PMI]]-B61</f>
        <v>-2.2999999999999972</v>
      </c>
    </row>
    <row r="63" spans="1:3" x14ac:dyDescent="0.2">
      <c r="A63" s="14">
        <v>42186</v>
      </c>
      <c r="B63" s="13">
        <v>59.7</v>
      </c>
      <c r="C63" s="13">
        <f>Table13468113456710121314[[#This Row],[PMI]]-B62</f>
        <v>3.6000000000000014</v>
      </c>
    </row>
    <row r="64" spans="1:3" x14ac:dyDescent="0.2">
      <c r="A64" s="14">
        <v>42217</v>
      </c>
      <c r="B64" s="13">
        <v>59.6</v>
      </c>
      <c r="C64" s="13">
        <f>Table13468113456710121314[[#This Row],[PMI]]-B63</f>
        <v>-0.10000000000000142</v>
      </c>
    </row>
    <row r="65" spans="1:3" x14ac:dyDescent="0.2">
      <c r="A65" s="14">
        <v>42248</v>
      </c>
      <c r="B65" s="13">
        <v>55.1</v>
      </c>
      <c r="C65" s="13">
        <f>Table13468113456710121314[[#This Row],[PMI]]-B64</f>
        <v>-4.5</v>
      </c>
    </row>
    <row r="66" spans="1:3" x14ac:dyDescent="0.2">
      <c r="A66" s="14">
        <v>42278</v>
      </c>
      <c r="B66" s="13">
        <v>55.9</v>
      </c>
      <c r="C66" s="13">
        <f>Table13468113456710121314[[#This Row],[PMI]]-B65</f>
        <v>0.79999999999999716</v>
      </c>
    </row>
    <row r="67" spans="1:3" x14ac:dyDescent="0.2">
      <c r="A67" s="14">
        <v>42309</v>
      </c>
      <c r="B67" s="13">
        <v>56.7</v>
      </c>
      <c r="C67" s="13">
        <f>Table13468113456710121314[[#This Row],[PMI]]-B66</f>
        <v>0.80000000000000426</v>
      </c>
    </row>
    <row r="68" spans="1:3" x14ac:dyDescent="0.2">
      <c r="A68" s="14">
        <v>42339</v>
      </c>
      <c r="B68" s="13">
        <v>55.1</v>
      </c>
      <c r="C68" s="13">
        <f>Table13468113456710121314[[#This Row],[PMI]]-B67</f>
        <v>-1.6000000000000014</v>
      </c>
    </row>
    <row r="69" spans="1:3" x14ac:dyDescent="0.2">
      <c r="A69" s="14">
        <v>42370</v>
      </c>
      <c r="B69" s="13">
        <v>54.6</v>
      </c>
      <c r="C69" s="13">
        <f>Table13468113456710121314[[#This Row],[PMI]]-B68</f>
        <v>-0.5</v>
      </c>
    </row>
    <row r="70" spans="1:3" x14ac:dyDescent="0.2">
      <c r="A70" s="14">
        <v>42401</v>
      </c>
      <c r="B70" s="13">
        <v>54.1</v>
      </c>
      <c r="C70" s="13">
        <f>Table13468113456710121314[[#This Row],[PMI]]-B69</f>
        <v>-0.5</v>
      </c>
    </row>
    <row r="71" spans="1:3" x14ac:dyDescent="0.2">
      <c r="A71" s="14">
        <v>42430</v>
      </c>
      <c r="B71" s="13">
        <v>55.3</v>
      </c>
      <c r="C71" s="13">
        <f>Table13468113456710121314[[#This Row],[PMI]]-B70</f>
        <v>1.1999999999999957</v>
      </c>
    </row>
    <row r="72" spans="1:3" x14ac:dyDescent="0.2">
      <c r="A72" s="14">
        <v>42461</v>
      </c>
      <c r="B72" s="13">
        <v>55.1</v>
      </c>
      <c r="C72" s="13">
        <f>Table13468113456710121314[[#This Row],[PMI]]-B71</f>
        <v>-0.19999999999999574</v>
      </c>
    </row>
    <row r="73" spans="1:3" x14ac:dyDescent="0.2">
      <c r="A73" s="14">
        <v>42491</v>
      </c>
      <c r="B73" s="13">
        <v>55.4</v>
      </c>
      <c r="C73" s="13">
        <f>Table13468113456710121314[[#This Row],[PMI]]-B72</f>
        <v>0.29999999999999716</v>
      </c>
    </row>
    <row r="74" spans="1:3" x14ac:dyDescent="0.2">
      <c r="A74" s="14">
        <v>42522</v>
      </c>
      <c r="B74" s="13">
        <v>56</v>
      </c>
      <c r="C74" s="13">
        <f>Table13468113456710121314[[#This Row],[PMI]]-B73</f>
        <v>0.60000000000000142</v>
      </c>
    </row>
    <row r="75" spans="1:3" x14ac:dyDescent="0.2">
      <c r="A75" s="14">
        <v>42552</v>
      </c>
      <c r="B75" s="13">
        <v>54.1</v>
      </c>
      <c r="C75" s="13">
        <f>Table13468113456710121314[[#This Row],[PMI]]-B74</f>
        <v>-1.8999999999999986</v>
      </c>
    </row>
    <row r="76" spans="1:3" x14ac:dyDescent="0.2">
      <c r="A76" s="14">
        <v>42583</v>
      </c>
      <c r="B76" s="13">
        <v>56</v>
      </c>
      <c r="C76" s="13">
        <f>Table13468113456710121314[[#This Row],[PMI]]-B75</f>
        <v>1.8999999999999986</v>
      </c>
    </row>
    <row r="77" spans="1:3" x14ac:dyDescent="0.2">
      <c r="A77" s="14">
        <v>42614</v>
      </c>
      <c r="B77" s="13">
        <v>54.7</v>
      </c>
      <c r="C77" s="21">
        <f>Table13468113456710121314[[#This Row],[PMI]]-B76</f>
        <v>-1.2999999999999972</v>
      </c>
    </row>
    <row r="78" spans="1:3" x14ac:dyDescent="0.2">
      <c r="A78" s="14">
        <v>42644</v>
      </c>
      <c r="B78" s="13">
        <v>54.6</v>
      </c>
      <c r="C78" s="21">
        <f>Table13468113456710121314[[#This Row],[PMI]]-B77</f>
        <v>-0.10000000000000142</v>
      </c>
    </row>
    <row r="79" spans="1:3" x14ac:dyDescent="0.2">
      <c r="A79" s="14">
        <v>42675</v>
      </c>
      <c r="B79" s="13">
        <v>55.1</v>
      </c>
      <c r="C79" s="21">
        <f>Table13468113456710121314[[#This Row],[PMI]]-B78</f>
        <v>0.5</v>
      </c>
    </row>
    <row r="80" spans="1:3" x14ac:dyDescent="0.2">
      <c r="A80" s="14">
        <v>42705</v>
      </c>
      <c r="B80" s="13">
        <v>55</v>
      </c>
      <c r="C80" s="21">
        <f>Table13468113456710121314[[#This Row],[PMI]]-B79</f>
        <v>-0.10000000000000142</v>
      </c>
    </row>
    <row r="81" spans="1:3" x14ac:dyDescent="0.2">
      <c r="A81" s="14">
        <v>42736</v>
      </c>
      <c r="B81" s="13">
        <v>54.2</v>
      </c>
      <c r="C81" s="21">
        <f>Table13468113456710121314[[#This Row],[PMI]]-B80</f>
        <v>-0.79999999999999716</v>
      </c>
    </row>
    <row r="82" spans="1:3" x14ac:dyDescent="0.2">
      <c r="A82" s="14">
        <v>42767</v>
      </c>
      <c r="B82" s="13">
        <v>57</v>
      </c>
      <c r="C82" s="21">
        <f>Table13468113456710121314[[#This Row],[PMI]]-B81</f>
        <v>2.7999999999999972</v>
      </c>
    </row>
    <row r="83" spans="1:3" x14ac:dyDescent="0.2">
      <c r="A83" s="14">
        <v>42795</v>
      </c>
      <c r="B83" s="13">
        <v>57.4</v>
      </c>
      <c r="C83" s="21">
        <f>Table13468113456710121314[[#This Row],[PMI]]-B82</f>
        <v>0.39999999999999858</v>
      </c>
    </row>
    <row r="84" spans="1:3" x14ac:dyDescent="0.2">
      <c r="A84" s="14">
        <v>42826</v>
      </c>
      <c r="B84" s="13">
        <v>57.8</v>
      </c>
      <c r="C84" s="21">
        <f>Table13468113456710121314[[#This Row],[PMI]]-B83</f>
        <v>0.39999999999999858</v>
      </c>
    </row>
    <row r="85" spans="1:3" x14ac:dyDescent="0.2">
      <c r="A85" s="14">
        <v>42856</v>
      </c>
      <c r="B85" s="13">
        <v>57.3</v>
      </c>
      <c r="C85" s="21">
        <f>Table13468113456710121314[[#This Row],[PMI]]-B84</f>
        <v>-0.5</v>
      </c>
    </row>
    <row r="86" spans="1:3" x14ac:dyDescent="0.2">
      <c r="A86" s="14">
        <v>42887</v>
      </c>
      <c r="B86" s="13">
        <v>58.3</v>
      </c>
      <c r="C86" s="21">
        <f>Table13468113456710121314[[#This Row],[PMI]]-B85</f>
        <v>1</v>
      </c>
    </row>
    <row r="87" spans="1:3" x14ac:dyDescent="0.2">
      <c r="A87" s="14">
        <v>42917</v>
      </c>
      <c r="B87" s="13">
        <v>57.6</v>
      </c>
      <c r="C87" s="21">
        <f>Table13468113456710121314[[#This Row],[PMI]]-B86</f>
        <v>-0.69999999999999574</v>
      </c>
    </row>
    <row r="88" spans="1:3" x14ac:dyDescent="0.2">
      <c r="A88" s="14">
        <v>42948</v>
      </c>
      <c r="B88" s="13">
        <v>56</v>
      </c>
      <c r="C88" s="21">
        <f>Table13468113456710121314[[#This Row],[PMI]]-B87</f>
        <v>-1.6000000000000014</v>
      </c>
    </row>
    <row r="89" spans="1:3" x14ac:dyDescent="0.2">
      <c r="A89" s="14">
        <v>42979</v>
      </c>
      <c r="B89" s="13">
        <v>56.7</v>
      </c>
      <c r="C89" s="21">
        <f>Table13468113456710121314[[#This Row],[PMI]]-B88</f>
        <v>0.70000000000000284</v>
      </c>
    </row>
    <row r="90" spans="1:3" x14ac:dyDescent="0.2">
      <c r="A90" s="14">
        <v>43009</v>
      </c>
      <c r="B90" s="13">
        <v>54.6</v>
      </c>
      <c r="C90" s="21">
        <f>Table13468113456710121314[[#This Row],[PMI]]-B89</f>
        <v>-2.1000000000000014</v>
      </c>
    </row>
    <row r="91" spans="1:3" x14ac:dyDescent="0.2">
      <c r="A91" s="14">
        <v>43040</v>
      </c>
      <c r="B91" s="13">
        <v>54.4</v>
      </c>
      <c r="C91" s="21">
        <f>Table13468113456710121314[[#This Row],[PMI]]-B90</f>
        <v>-0.20000000000000284</v>
      </c>
    </row>
    <row r="92" spans="1:3" x14ac:dyDescent="0.2">
      <c r="A92" s="14">
        <v>43070</v>
      </c>
      <c r="B92" s="13">
        <v>54.6</v>
      </c>
      <c r="C92" s="21">
        <f>Table13468113456710121314[[#This Row],[PMI]]-B91</f>
        <v>0.20000000000000284</v>
      </c>
    </row>
    <row r="93" spans="1:3" x14ac:dyDescent="0.2">
      <c r="A93" s="14">
        <v>43101</v>
      </c>
      <c r="B93" s="13">
        <v>56.9</v>
      </c>
      <c r="C93" s="21">
        <f>Table13468113456710121314[[#This Row],[PMI]]-B92</f>
        <v>2.2999999999999972</v>
      </c>
    </row>
    <row r="94" spans="1:3" x14ac:dyDescent="0.2">
      <c r="A94" s="14">
        <v>43132</v>
      </c>
      <c r="B94" s="13">
        <v>57.3</v>
      </c>
      <c r="C94" s="21">
        <f>Table13468113456710121314[[#This Row],[PMI]]-B93</f>
        <v>0.39999999999999858</v>
      </c>
    </row>
    <row r="95" spans="1:3" x14ac:dyDescent="0.2">
      <c r="A95" s="14">
        <v>43160</v>
      </c>
      <c r="B95" s="13">
        <v>56.2</v>
      </c>
      <c r="C95" s="21">
        <f>Table13468113456710121314[[#This Row],[PMI]]-B94</f>
        <v>-1.0999999999999943</v>
      </c>
    </row>
    <row r="96" spans="1:3" x14ac:dyDescent="0.2">
      <c r="A96" s="14">
        <v>43191</v>
      </c>
      <c r="B96" s="13">
        <v>55.6</v>
      </c>
      <c r="C96" s="21">
        <f>Table13468113456710121314[[#This Row],[PMI]]-B95</f>
        <v>-0.60000000000000142</v>
      </c>
    </row>
    <row r="97" spans="1:3" x14ac:dyDescent="0.2">
      <c r="A97" s="14">
        <v>43221</v>
      </c>
      <c r="B97" s="13">
        <v>56.4</v>
      </c>
      <c r="C97" s="21">
        <f>Table13468113456710121314[[#This Row],[PMI]]-B96</f>
        <v>0.79999999999999716</v>
      </c>
    </row>
    <row r="98" spans="1:3" x14ac:dyDescent="0.2">
      <c r="A98" s="14">
        <v>43252</v>
      </c>
      <c r="B98" s="13">
        <v>55.4</v>
      </c>
      <c r="C98" s="21">
        <f>Table13468113456710121314[[#This Row],[PMI]]-B97</f>
        <v>-1</v>
      </c>
    </row>
    <row r="99" spans="1:3" x14ac:dyDescent="0.2">
      <c r="A99" s="14">
        <v>43282</v>
      </c>
      <c r="B99" s="13">
        <v>52.6</v>
      </c>
      <c r="C99" s="21">
        <f>Table13468113456710121314[[#This Row],[PMI]]-B98</f>
        <v>-2.7999999999999972</v>
      </c>
    </row>
    <row r="100" spans="1:3" x14ac:dyDescent="0.2">
      <c r="A100" s="14">
        <v>43313</v>
      </c>
      <c r="B100" s="13">
        <v>52.7</v>
      </c>
      <c r="C100" s="21">
        <f>Table13468113456710121314[[#This Row],[PMI]]-B99</f>
        <v>0.10000000000000142</v>
      </c>
    </row>
    <row r="101" spans="1:3" x14ac:dyDescent="0.2">
      <c r="A101" s="14">
        <v>43344</v>
      </c>
      <c r="B101" s="13">
        <v>52.5</v>
      </c>
      <c r="C101" s="21">
        <f>Table13468113456710121314[[#This Row],[PMI]]-B100</f>
        <v>-0.20000000000000284</v>
      </c>
    </row>
    <row r="102" spans="1:3" x14ac:dyDescent="0.2">
      <c r="A102" s="14">
        <v>43374</v>
      </c>
      <c r="B102" s="13">
        <v>54</v>
      </c>
      <c r="C102" s="21">
        <f>Table13468113456710121314[[#This Row],[PMI]]-B101</f>
        <v>1.5</v>
      </c>
    </row>
    <row r="103" spans="1:3" x14ac:dyDescent="0.2">
      <c r="A103" s="14">
        <v>43405</v>
      </c>
      <c r="B103" s="13">
        <v>54</v>
      </c>
      <c r="C103" s="21">
        <f>Table13468113456710121314[[#This Row],[PMI]]-B102</f>
        <v>0</v>
      </c>
    </row>
    <row r="104" spans="1:3" x14ac:dyDescent="0.2">
      <c r="A104" s="14">
        <v>43435</v>
      </c>
      <c r="B104" s="13">
        <v>54</v>
      </c>
      <c r="C104" s="21">
        <f>Table13468113456710121314[[#This Row],[PMI]]-B103</f>
        <v>0</v>
      </c>
    </row>
    <row r="105" spans="1:3" x14ac:dyDescent="0.2">
      <c r="A105" s="14">
        <v>43466</v>
      </c>
      <c r="B105" s="13">
        <v>54.7</v>
      </c>
      <c r="C105" s="21">
        <f>Table13468113456710121314[[#This Row],[PMI]]-B104</f>
        <v>0.70000000000000284</v>
      </c>
    </row>
    <row r="106" spans="1:3" x14ac:dyDescent="0.2">
      <c r="A106" s="14">
        <v>43497</v>
      </c>
      <c r="B106" s="13">
        <v>54.5</v>
      </c>
      <c r="C106" s="21">
        <f>Table13468113456710121314[[#This Row],[PMI]]-B105</f>
        <v>-0.20000000000000284</v>
      </c>
    </row>
    <row r="107" spans="1:3" x14ac:dyDescent="0.2">
      <c r="A107" s="14">
        <v>43525</v>
      </c>
      <c r="B107" s="13">
        <v>56.8</v>
      </c>
      <c r="C107" s="21">
        <f>Table13468113456710121314[[#This Row],[PMI]]-B106</f>
        <v>2.2999999999999972</v>
      </c>
    </row>
    <row r="108" spans="1:3" x14ac:dyDescent="0.2">
      <c r="A108" s="14">
        <v>43556</v>
      </c>
      <c r="B108" s="13">
        <v>53.1</v>
      </c>
      <c r="C108" s="21">
        <f>Table13468113456710121314[[#This Row],[PMI]]-B107</f>
        <v>-3.6999999999999957</v>
      </c>
    </row>
    <row r="109" spans="1:3" x14ac:dyDescent="0.2">
      <c r="A109" s="14">
        <v>43586</v>
      </c>
      <c r="B109" s="13">
        <v>52.8</v>
      </c>
      <c r="C109" s="21">
        <f>Table13468113456710121314[[#This Row],[PMI]]-B108</f>
        <v>-0.30000000000000426</v>
      </c>
    </row>
    <row r="110" spans="1:3" x14ac:dyDescent="0.2">
      <c r="A110" s="14">
        <v>43617</v>
      </c>
      <c r="B110" s="13">
        <v>53.6</v>
      </c>
      <c r="C110" s="21">
        <f>Table13468113456710121314[[#This Row],[PMI]]-B109</f>
        <v>0.80000000000000426</v>
      </c>
    </row>
    <row r="111" spans="1:3" x14ac:dyDescent="0.2">
      <c r="A111" s="14">
        <v>43647</v>
      </c>
      <c r="B111" s="13">
        <v>52.9</v>
      </c>
      <c r="C111" s="21">
        <f>Table13468113456710121314[[#This Row],[PMI]]-B110</f>
        <v>-0.70000000000000284</v>
      </c>
    </row>
    <row r="112" spans="1:3" x14ac:dyDescent="0.2">
      <c r="A112" s="14">
        <v>43678</v>
      </c>
      <c r="B112" s="13">
        <v>54.3</v>
      </c>
      <c r="C112" s="21">
        <f>Table13468113456710121314[[#This Row],[PMI]]-B111</f>
        <v>1.3999999999999986</v>
      </c>
    </row>
    <row r="113" spans="1:3" x14ac:dyDescent="0.2">
      <c r="A113" s="14">
        <v>43709</v>
      </c>
      <c r="B113" s="13">
        <v>53.3</v>
      </c>
      <c r="C113" s="21">
        <f>Table13468113456710121314[[#This Row],[PMI]]-B112</f>
        <v>-1</v>
      </c>
    </row>
    <row r="114" spans="1:3" x14ac:dyDescent="0.2">
      <c r="A114" s="14">
        <v>43739</v>
      </c>
      <c r="B114" s="13">
        <v>52.7</v>
      </c>
      <c r="C114" s="21">
        <f>Table13468113456710121314[[#This Row],[PMI]]-B113</f>
        <v>-0.59999999999999432</v>
      </c>
    </row>
    <row r="115" spans="1:3" x14ac:dyDescent="0.2">
      <c r="A115" s="14">
        <v>43770</v>
      </c>
      <c r="B115" s="13">
        <v>53.2</v>
      </c>
      <c r="C115" s="21">
        <f>Table13468113456710121314[[#This Row],[PMI]]-B114</f>
        <v>0.5</v>
      </c>
    </row>
    <row r="116" spans="1:3" x14ac:dyDescent="0.2">
      <c r="A116" s="14">
        <v>43800</v>
      </c>
      <c r="B116" s="13">
        <v>54.9</v>
      </c>
      <c r="C116" s="21">
        <f>Table13468113456710121314[[#This Row],[PMI]]-B115</f>
        <v>1.6999999999999957</v>
      </c>
    </row>
    <row r="117" spans="1:3" x14ac:dyDescent="0.2">
      <c r="A117" s="14">
        <v>43831</v>
      </c>
      <c r="B117" s="13">
        <v>52.3</v>
      </c>
      <c r="C117" s="21">
        <f>Table13468113456710121314[[#This Row],[PMI]]-B116</f>
        <v>-2.6000000000000014</v>
      </c>
    </row>
    <row r="118" spans="1:3" x14ac:dyDescent="0.2">
      <c r="A118" s="14">
        <v>43862</v>
      </c>
      <c r="B118" s="13">
        <v>52.1</v>
      </c>
      <c r="C118" s="21">
        <f>Table13468113456710121314[[#This Row],[PMI]]-B117</f>
        <v>-0.19999999999999574</v>
      </c>
    </row>
    <row r="119" spans="1:3" x14ac:dyDescent="0.2">
      <c r="A119" s="14">
        <v>43891</v>
      </c>
      <c r="B119" s="13">
        <v>23</v>
      </c>
      <c r="C119" s="21">
        <f>Table13468113456710121314[[#This Row],[PMI]]-B118</f>
        <v>-29.1</v>
      </c>
    </row>
    <row r="120" spans="1:3" x14ac:dyDescent="0.2">
      <c r="A120" s="14">
        <v>43922</v>
      </c>
      <c r="B120" s="13">
        <v>7.1</v>
      </c>
      <c r="C120" s="21">
        <f>Table13468113456710121314[[#This Row],[PMI]]-B119</f>
        <v>-15.9</v>
      </c>
    </row>
    <row r="121" spans="1:3" x14ac:dyDescent="0.2">
      <c r="A121" s="14">
        <v>43952</v>
      </c>
      <c r="B121" s="13">
        <v>27.9</v>
      </c>
      <c r="C121" s="21">
        <f>Table13468113456710121314[[#This Row],[PMI]]-B120</f>
        <v>20.799999999999997</v>
      </c>
    </row>
    <row r="122" spans="1:3" x14ac:dyDescent="0.2">
      <c r="A122" s="14">
        <v>43983</v>
      </c>
      <c r="B122" s="13">
        <v>50.2</v>
      </c>
      <c r="C122" s="21">
        <f>Table13468113456710121314[[#This Row],[PMI]]-B121</f>
        <v>22.300000000000004</v>
      </c>
    </row>
    <row r="123" spans="1:3" x14ac:dyDescent="0.2">
      <c r="A123" s="14">
        <v>44013</v>
      </c>
      <c r="B123" s="13">
        <v>51.9</v>
      </c>
      <c r="C123" s="21">
        <f>Table13468113456710121314[[#This Row],[PMI]]-B122</f>
        <v>1.6999999999999957</v>
      </c>
    </row>
    <row r="124" spans="1:3" x14ac:dyDescent="0.2">
      <c r="A124" s="14">
        <v>44044</v>
      </c>
      <c r="B124" s="13">
        <v>47.7</v>
      </c>
      <c r="C124" s="21">
        <f>Table13468113456710121314[[#This Row],[PMI]]-B123</f>
        <v>-4.1999999999999957</v>
      </c>
    </row>
    <row r="125" spans="1:3" x14ac:dyDescent="0.2">
      <c r="A125" s="14">
        <v>44075</v>
      </c>
      <c r="B125" s="13">
        <v>42.4</v>
      </c>
      <c r="C125" s="21">
        <f>Table13468113456710121314[[#This Row],[PMI]]-B124</f>
        <v>-5.3000000000000043</v>
      </c>
    </row>
    <row r="126" spans="1:3" x14ac:dyDescent="0.2">
      <c r="A126" s="14">
        <v>44105</v>
      </c>
      <c r="B126" s="13">
        <v>41.4</v>
      </c>
      <c r="C126" s="21">
        <f>Table13468113456710121314[[#This Row],[PMI]]-B125</f>
        <v>-1</v>
      </c>
    </row>
    <row r="127" spans="1:3" x14ac:dyDescent="0.2">
      <c r="A127" s="14">
        <v>44136</v>
      </c>
      <c r="B127" s="13">
        <v>39.5</v>
      </c>
      <c r="C127" s="21">
        <f>Table13468113456710121314[[#This Row],[PMI]]-B126</f>
        <v>-1.8999999999999986</v>
      </c>
    </row>
    <row r="128" spans="1:3" x14ac:dyDescent="0.2">
      <c r="A128" s="14">
        <v>44166</v>
      </c>
      <c r="B128" s="13">
        <v>48</v>
      </c>
      <c r="C128" s="21">
        <f>Table13468113456710121314[[#This Row],[PMI]]-B127</f>
        <v>8.5</v>
      </c>
    </row>
    <row r="129" spans="1:3" x14ac:dyDescent="0.2">
      <c r="A129" s="14">
        <v>44197</v>
      </c>
      <c r="B129" s="13">
        <v>41.7</v>
      </c>
      <c r="C129" s="21">
        <f>Table13468113456710121314[[#This Row],[PMI]]-B128</f>
        <v>-6.2999999999999972</v>
      </c>
    </row>
    <row r="130" spans="1:3" x14ac:dyDescent="0.2">
      <c r="A130" s="14">
        <v>44228</v>
      </c>
      <c r="B130" s="13">
        <v>43.1</v>
      </c>
      <c r="C130" s="21">
        <f>Table13468113456710121314[[#This Row],[PMI]]-B129</f>
        <v>1.3999999999999986</v>
      </c>
    </row>
    <row r="131" spans="1:3" x14ac:dyDescent="0.2">
      <c r="A131" s="14">
        <v>44256</v>
      </c>
      <c r="B131" s="13">
        <v>48.1</v>
      </c>
      <c r="C131" s="21">
        <f>Table13468113456710121314[[#This Row],[PMI]]-B130</f>
        <v>5</v>
      </c>
    </row>
    <row r="132" spans="1:3" x14ac:dyDescent="0.2">
      <c r="A132" s="14">
        <v>44287</v>
      </c>
      <c r="B132" s="13">
        <v>54.6</v>
      </c>
      <c r="C132" s="21">
        <f>Table13468113456710121314[[#This Row],[PMI]]-B131</f>
        <v>6.5</v>
      </c>
    </row>
    <row r="133" spans="1:3" x14ac:dyDescent="0.2">
      <c r="A133" s="14">
        <v>44317</v>
      </c>
      <c r="B133" s="13">
        <v>59.4</v>
      </c>
      <c r="C133" s="21">
        <f>Table13468113456710121314[[#This Row],[PMI]]-B132</f>
        <v>4.7999999999999972</v>
      </c>
    </row>
    <row r="134" spans="1:3" x14ac:dyDescent="0.2">
      <c r="A134" s="14">
        <v>44348</v>
      </c>
      <c r="B134" s="13">
        <v>62.5</v>
      </c>
      <c r="C134" s="21">
        <f>Table13468113456710121314[[#This Row],[PMI]]-B133</f>
        <v>3.1000000000000014</v>
      </c>
    </row>
    <row r="135" spans="1:3" x14ac:dyDescent="0.2">
      <c r="A135" s="14">
        <v>44378</v>
      </c>
      <c r="B135" s="13">
        <v>61.9</v>
      </c>
      <c r="C135" s="21">
        <f>Table13468113456710121314[[#This Row],[PMI]]-B134</f>
        <v>-0.60000000000000142</v>
      </c>
    </row>
    <row r="136" spans="1:3" x14ac:dyDescent="0.2">
      <c r="A136" s="14">
        <v>44409</v>
      </c>
      <c r="B136" s="13">
        <v>60.1</v>
      </c>
      <c r="C136" s="21">
        <f>Table13468113456710121314[[#This Row],[PMI]]-B135</f>
        <v>-1.7999999999999972</v>
      </c>
    </row>
    <row r="137" spans="1:3" x14ac:dyDescent="0.2">
      <c r="A137" s="14">
        <v>44440</v>
      </c>
      <c r="B137" s="13">
        <v>56.9</v>
      </c>
      <c r="C137" s="21">
        <f>Table13468113456710121314[[#This Row],[PMI]]-B136</f>
        <v>-3.2000000000000028</v>
      </c>
    </row>
    <row r="138" spans="1:3" x14ac:dyDescent="0.2">
      <c r="A138" s="14">
        <v>44470</v>
      </c>
      <c r="B138" s="13">
        <v>56.6</v>
      </c>
      <c r="C138" s="21">
        <f>Table13468113456710121314[[#This Row],[PMI]]-B137</f>
        <v>-0.29999999999999716</v>
      </c>
    </row>
    <row r="139" spans="1:3" x14ac:dyDescent="0.2">
      <c r="A139" s="14">
        <v>44501</v>
      </c>
      <c r="B139" s="13">
        <v>59.8</v>
      </c>
      <c r="C139" s="21">
        <f>Table13468113456710121314[[#This Row],[PMI]]-B138</f>
        <v>3.1999999999999957</v>
      </c>
    </row>
    <row r="140" spans="1:3" x14ac:dyDescent="0.2">
      <c r="A140" s="14">
        <v>44531</v>
      </c>
      <c r="B140" s="13">
        <v>55.8</v>
      </c>
      <c r="C140" s="21">
        <f>Table13468113456710121314[[#This Row],[PMI]]-B139</f>
        <v>-4</v>
      </c>
    </row>
  </sheetData>
  <conditionalFormatting sqref="C7:C7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Note</vt:lpstr>
      <vt:lpstr>Database</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2022-02-03T11:07:17Z</dcterms:modified>
</cp:coreProperties>
</file>