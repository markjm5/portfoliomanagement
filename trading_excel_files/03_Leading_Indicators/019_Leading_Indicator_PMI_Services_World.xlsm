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22695" yWindow="-21720" windowWidth="51840" windowHeight="2112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2">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21" applyAlignment="1" pivotButton="0" quotePrefix="0" xfId="0">
      <alignment horizontal="center"/>
    </xf>
    <xf numFmtId="0" fontId="0" fillId="0" borderId="5"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28" pivotButton="0" quotePrefix="0" xfId="0"/>
    <xf numFmtId="0" fontId="3" fillId="4" borderId="8" applyAlignment="1" pivotButton="0" quotePrefix="0" xfId="0">
      <alignment horizontal="center"/>
    </xf>
    <xf numFmtId="0" fontId="0" fillId="0" borderId="4"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29" pivotButton="0" quotePrefix="0" xfId="0"/>
    <xf numFmtId="168" fontId="0" fillId="0" borderId="0" pivotButton="0" quotePrefix="0" xfId="0"/>
  </cellXfs>
  <cellStyles count="4">
    <cellStyle name="Normal" xfId="0" builtinId="0"/>
    <cellStyle name="Percent" xfId="1" builtinId="5"/>
    <cellStyle name="Hyperlink" xfId="2" builtinId="8"/>
    <cellStyle name="Normal 3" xfId="3"/>
  </cellStyles>
  <dxfs count="130">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ax val="44440"/>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Global!$A$6:$A$152</f>
              <numCache>
                <formatCode>m/d/yyyy</formatCode>
                <ptCount val="14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Global!$B$6:$B$152</f>
              <numCache>
                <formatCode>General</formatCode>
                <ptCount val="147"/>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pt idx="141">
                  <v>#N/A</v>
                </pt>
                <pt idx="142">
                  <v>#N/A</v>
                </pt>
                <pt idx="143">
                  <v>#N/A</v>
                </pt>
                <pt idx="144">
                  <v>#N/A</v>
                </pt>
                <pt idx="14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US!$A$6:$A$115</f>
              <numCache>
                <formatCode>m/d/yyyy</formatCode>
                <ptCount val="110"/>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pt idx="105">
                  <v>44743</v>
                </pt>
                <pt idx="106">
                  <v>44774</v>
                </pt>
                <pt idx="107">
                  <v>44805</v>
                </pt>
                <pt idx="108">
                  <v>44835</v>
                </pt>
                <pt idx="109">
                  <v>44866</v>
                </pt>
              </numCache>
            </numRef>
          </cat>
          <val>
            <numRef>
              <f>US!$B$6:$B$115</f>
              <numCache>
                <formatCode>General</formatCode>
                <ptCount val="110"/>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pt idx="105">
                  <v>47.3</v>
                </pt>
                <pt idx="106">
                  <v>43.7</v>
                </pt>
                <pt idx="107">
                  <v>49.3</v>
                </pt>
                <pt idx="108">
                  <v>47.8</v>
                </pt>
                <pt idx="109">
                  <v>46.2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EuroArea!$A$6:$A$190</f>
              <numCache>
                <formatCode>m/d/yyyy</formatCode>
                <ptCount val="185"/>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pt idx="184">
                  <v>44866</v>
                </pt>
              </numCache>
            </numRef>
          </cat>
          <val>
            <numRef>
              <f>EuroArea!$B$6:$B$190</f>
              <numCache>
                <formatCode>General</formatCode>
                <ptCount val="185"/>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pt idx="180">
                  <v>51.2</v>
                </pt>
                <pt idx="181">
                  <v>49.8</v>
                </pt>
                <pt idx="182">
                  <v>48.8</v>
                </pt>
                <pt idx="183">
                  <v>48.6</v>
                </pt>
                <pt idx="184">
                  <v>48.5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China!$B$6:$B$151</f>
              <numCache>
                <formatCode>General</formatCode>
                <ptCount val="146"/>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pt idx="141">
                  <v>55.5</v>
                </pt>
                <pt idx="142">
                  <v>55</v>
                </pt>
                <pt idx="143">
                  <v>49.3</v>
                </pt>
                <pt idx="144">
                  <v>48.4</v>
                </pt>
                <pt idx="145">
                  <v>46.7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France!$A$6:$A$177</f>
              <numCache>
                <formatCode>m/d/yyyy</formatCode>
                <ptCount val="172"/>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numCache>
            </numRef>
          </cat>
          <val>
            <numRef>
              <f>France!$B$6:$B$177</f>
              <numCache>
                <formatCode>General</formatCode>
                <ptCount val="172"/>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pt idx="167">
                  <v>53.2</v>
                </pt>
                <pt idx="168">
                  <v>51.2</v>
                </pt>
                <pt idx="169">
                  <v>52.9</v>
                </pt>
                <pt idx="170">
                  <v>51.7</v>
                </pt>
                <pt idx="171">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Germany!$A$6:$A$190</f>
              <numCache>
                <formatCode>m/d/yyyy</formatCode>
                <ptCount val="185"/>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pt idx="184">
                  <v>44866</v>
                </pt>
              </numCache>
            </numRef>
          </cat>
          <val>
            <numRef>
              <f>Germany!$B$6:$B$190</f>
              <numCache>
                <formatCode>General</formatCode>
                <ptCount val="185"/>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pt idx="180">
                  <v>49.7</v>
                </pt>
                <pt idx="181">
                  <v>47.7</v>
                </pt>
                <pt idx="182">
                  <v>45</v>
                </pt>
                <pt idx="183">
                  <v>46.5</v>
                </pt>
                <pt idx="184">
                  <v>46.1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UK!$B$6:$B$151</f>
              <numCache>
                <formatCode>General</formatCode>
                <ptCount val="146"/>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pt idx="141">
                  <v>52.6</v>
                </pt>
                <pt idx="142">
                  <v>50.9</v>
                </pt>
                <pt idx="143">
                  <v>50</v>
                </pt>
                <pt idx="144">
                  <v>48.8</v>
                </pt>
                <pt idx="145">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India!$B$6:$B$151</f>
              <numCache>
                <formatCode>General</formatCode>
                <ptCount val="146"/>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pt idx="141">
                  <v>55.5</v>
                </pt>
                <pt idx="142">
                  <v>57.2</v>
                </pt>
                <pt idx="143">
                  <v>54.3</v>
                </pt>
                <pt idx="144">
                  <v>55.1</v>
                </pt>
                <pt idx="145">
                  <v>56.4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Australia!$B$6:$B$151</f>
              <numCache>
                <formatCode>General</formatCode>
                <ptCount val="146"/>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pt idx="141">
                  <v>51.7</v>
                </pt>
                <pt idx="142">
                  <v>53.3</v>
                </pt>
                <pt idx="143">
                  <v>48</v>
                </pt>
                <pt idx="144">
                  <v>47.7</v>
                </pt>
                <pt idx="145">
                  <v>45.6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Ireland!$B$6:$B$151</f>
              <numCache>
                <formatCode>General</formatCode>
                <ptCount val="146"/>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pt idx="141">
                  <v>56.3</v>
                </pt>
                <pt idx="142">
                  <v>54.7</v>
                </pt>
                <pt idx="143">
                  <v>54.1</v>
                </pt>
                <pt idx="144">
                  <v>53.2</v>
                </pt>
                <pt idx="145">
                  <v>50.8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Italy!$B$6:$B$151</f>
              <numCache>
                <formatCode>General</formatCode>
                <ptCount val="146"/>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pt idx="141">
                  <v>48.4</v>
                </pt>
                <pt idx="142">
                  <v>50.5</v>
                </pt>
                <pt idx="143">
                  <v>48.8</v>
                </pt>
                <pt idx="144">
                  <v>46.4</v>
                </pt>
                <pt idx="145">
                  <v>49.5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Japan!$B$6:$B$151</f>
              <numCache>
                <formatCode>General</formatCode>
                <ptCount val="146"/>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pt idx="141">
                  <v>50.3</v>
                </pt>
                <pt idx="142">
                  <v>49.5</v>
                </pt>
                <pt idx="143">
                  <v>52.2</v>
                </pt>
                <pt idx="144">
                  <v>53.2</v>
                </pt>
                <pt idx="145">
                  <v>50.3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Brazil!$B$6:$B$151</f>
              <numCache>
                <formatCode>General</formatCode>
                <ptCount val="146"/>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pt idx="141">
                  <v>55.8</v>
                </pt>
                <pt idx="142">
                  <v>53.9</v>
                </pt>
                <pt idx="143">
                  <v>51.9</v>
                </pt>
                <pt idx="144">
                  <v>54</v>
                </pt>
                <pt idx="145">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Russia!$B$6:$B$151</f>
              <numCache>
                <formatCode>General</formatCode>
                <ptCount val="146"/>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pt idx="141">
                  <v>54.7</v>
                </pt>
                <pt idx="142">
                  <v>49.9</v>
                </pt>
                <pt idx="143">
                  <v>51.1</v>
                </pt>
                <pt idx="144">
                  <v>43.7</v>
                </pt>
                <pt idx="145">
                  <v>48.3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Spain!$B$6:$B$151</f>
              <numCache>
                <formatCode>General</formatCode>
                <ptCount val="146"/>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pt idx="141">
                  <v>53.8</v>
                </pt>
                <pt idx="142">
                  <v>50.6</v>
                </pt>
                <pt idx="143">
                  <v>48.5</v>
                </pt>
                <pt idx="144">
                  <v>49.7</v>
                </pt>
                <pt idx="145">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304401</colOff>
      <row>92</row>
      <rowOff>170258</rowOff>
    </from>
    <to>
      <col>12</col>
      <colOff>423464</colOff>
      <row>116</row>
      <rowOff>88502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195541</colOff>
      <row>173</row>
      <rowOff>149410</rowOff>
    </from>
    <to>
      <col>12</col>
      <colOff>371662</colOff>
      <row>194</row>
      <rowOff>101039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352027</colOff>
      <row>136</row>
      <rowOff>124222</rowOff>
    </from>
    <to>
      <col>11</col>
      <colOff>413940</colOff>
      <row>157</row>
      <rowOff>17859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258764</colOff>
      <row>161</row>
      <rowOff>136128</rowOff>
    </from>
    <to>
      <col>12</col>
      <colOff>352424</colOff>
      <row>185</row>
      <rowOff>15479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225425</colOff>
      <row>173</row>
      <rowOff>50801</rowOff>
    </from>
    <to>
      <col>12</col>
      <colOff>303741</colOff>
      <row>195</row>
      <rowOff>141817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267757</colOff>
      <row>134</row>
      <rowOff>9524</rowOff>
    </from>
    <to>
      <col>12</col>
      <colOff>548215</colOff>
      <row>156</row>
      <rowOff>26457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280590</colOff>
      <row>140</row>
      <rowOff>149623</rowOff>
    </from>
    <to>
      <col>12</col>
      <colOff>550465</colOff>
      <row>162</row>
      <rowOff>28178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259293</colOff>
      <row>133</row>
      <rowOff>106890</rowOff>
    </from>
    <to>
      <col>12</col>
      <colOff>393700</colOff>
      <row>155</row>
      <rowOff>177799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162720</colOff>
      <row>139</row>
      <rowOff>66676</rowOff>
    </from>
    <to>
      <col>12</col>
      <colOff>459581</colOff>
      <row>160</row>
      <rowOff>73820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288923</colOff>
      <row>136</row>
      <rowOff>149622</rowOff>
    </from>
    <to>
      <col>12</col>
      <colOff>125016</colOff>
      <row>158</row>
      <rowOff>172640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238126</colOff>
      <row>135</row>
      <rowOff>184149</rowOff>
    </from>
    <to>
      <col>13</col>
      <colOff>335492</colOff>
      <row>159</row>
      <rowOff>119592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238125</colOff>
      <row>137</row>
      <rowOff>58341</rowOff>
    </from>
    <to>
      <col>12</col>
      <colOff>571499</colOff>
      <row>160</row>
      <rowOff>83344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187326</colOff>
      <row>136</row>
      <rowOff>64691</rowOff>
    </from>
    <to>
      <col>13</col>
      <colOff>178593</colOff>
      <row>160</row>
      <rowOff>47625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179293</colOff>
      <row>136</row>
      <rowOff>163791</rowOff>
    </from>
    <to>
      <col>12</col>
      <colOff>546660</colOff>
      <row>158</row>
      <rowOff>105896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51" headerRowCount="1" totalsRowShown="0" headerRowDxfId="119" dataDxfId="117" headerRowBorderDxfId="118" tableBorderDxfId="116" totalsRowBorderDxfId="115">
  <autoFilter ref="A5:C151"/>
  <tableColumns count="3">
    <tableColumn id="1" name="Date" dataDxfId="114"/>
    <tableColumn id="2" name="PMI" dataDxfId="113">
      <calculatedColumnFormula>IF(VLOOKUP(A6,'DB Country PMI'!$A:$V,MATCH($A$1,'DB Country PMI'!$A$1:$V$1,),)=0,#N/A,VLOOKUP(A6,'DB Country PMI'!$A:$V,MATCH($A$1,'DB Country PMI'!$A$1:$V$1,),))</calculatedColumnFormula>
    </tableColumn>
    <tableColumn id="3" name="mom" dataDxfId="11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5" headerRowCount="1" totalsRowShown="0" headerRowDxfId="111" dataDxfId="109" headerRowBorderDxfId="110" tableBorderDxfId="108" totalsRowBorderDxfId="107">
  <autoFilter ref="A5:C115"/>
  <tableColumns count="3">
    <tableColumn id="1" name="Date" dataDxfId="106"/>
    <tableColumn id="2" name="PMI" dataDxfId="105">
      <calculatedColumnFormula>IF(VLOOKUP(A6,'DB Country PMI'!$A:$V,MATCH($A$1,'DB Country PMI'!$A$1:$V$1,),)=0,#N/A,VLOOKUP(A6,'DB Country PMI'!$A:$V,MATCH($A$1,'DB Country PMI'!$A$1:$V$1,),))</calculatedColumnFormula>
    </tableColumn>
    <tableColumn id="3" name="mom" dataDxfId="10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90" headerRowCount="1" totalsRowShown="0" headerRowDxfId="103" dataDxfId="101" headerRowBorderDxfId="102" tableBorderDxfId="100" totalsRowBorderDxfId="99">
  <autoFilter ref="A5:C190"/>
  <tableColumns count="3">
    <tableColumn id="1" name="Date" dataDxfId="98"/>
    <tableColumn id="2" name="PMI" dataDxfId="97">
      <calculatedColumnFormula>IF(VLOOKUP(A6,'DB Country PMI'!$A:$V,MATCH($A$1,'DB Country PMI'!$A$1:$V$1,),)=0,#N/A,VLOOKUP(A6,'DB Country PMI'!$A:$V,MATCH($A$1,'DB Country PMI'!$A$1:$V$1,),))</calculatedColumnFormula>
    </tableColumn>
    <tableColumn id="3" name="mom" dataDxfId="9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51" headerRowCount="1" totalsRowShown="0" headerRowDxfId="95" dataDxfId="93" headerRowBorderDxfId="94" tableBorderDxfId="92" totalsRowBorderDxfId="91">
  <autoFilter ref="A5:C151"/>
  <tableColumns count="3">
    <tableColumn id="1" name="Date" dataDxfId="90"/>
    <tableColumn id="2" name="PMI" dataDxfId="89">
      <calculatedColumnFormula>IF(VLOOKUP(A6,'DB Country PMI'!$A:$W,MATCH($A$1,'DB Country PMI'!$A$1:$W$1,),)=0,#N/A,VLOOKUP(A6,'DB Country PMI'!$A:$W,MATCH($A$1,'DB Country PMI'!$A$1:$W$1,),))</calculatedColumnFormula>
    </tableColumn>
    <tableColumn id="3" name="mom" dataDxfId="8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77" headerRowCount="1" totalsRowShown="0" headerRowDxfId="87" dataDxfId="85" headerRowBorderDxfId="86" tableBorderDxfId="84" totalsRowBorderDxfId="83">
  <autoFilter ref="A5:C177"/>
  <tableColumns count="3">
    <tableColumn id="1" name="Date" dataDxfId="82"/>
    <tableColumn id="2" name="PMI" dataDxfId="81">
      <calculatedColumnFormula>IF(VLOOKUP(A6,'DB Country PMI'!$A:$W,MATCH($A$1,'DB Country PMI'!$A$1:$W$1,),)=0,#N/A,VLOOKUP(A6,'DB Country PMI'!$A:$W,MATCH($A$1,'DB Country PMI'!$A$1:$W$1,),))</calculatedColumnFormula>
    </tableColumn>
    <tableColumn id="3" name="mom" dataDxfId="8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90" headerRowCount="1" totalsRowShown="0" headerRowDxfId="79" dataDxfId="77" headerRowBorderDxfId="78" tableBorderDxfId="76" totalsRowBorderDxfId="75">
  <autoFilter ref="A5:C190"/>
  <tableColumns count="3">
    <tableColumn id="1" name="Date" dataDxfId="74"/>
    <tableColumn id="2" name="PMI" dataDxfId="73">
      <calculatedColumnFormula>IF(VLOOKUP(A6,'DB Country PMI'!$A:$W,MATCH($A$1,'DB Country PMI'!$A$1:$W$1,),)=0,#N/A,VLOOKUP(A6,'DB Country PMI'!$A:$W,MATCH($A$1,'DB Country PMI'!$A$1:$W$1,),))</calculatedColumnFormula>
    </tableColumn>
    <tableColumn id="3" name="mom" dataDxfId="7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51" headerRowCount="1" totalsRowShown="0" headerRowDxfId="71" dataDxfId="69" headerRowBorderDxfId="70" tableBorderDxfId="68" totalsRowBorderDxfId="67">
  <autoFilter ref="A5:C151"/>
  <tableColumns count="3">
    <tableColumn id="1" name="Date" dataDxfId="66"/>
    <tableColumn id="2" name="PMI" dataDxfId="65">
      <calculatedColumnFormula>IF(VLOOKUP(A6,'DB Country PMI'!$A:$W,MATCH($A$1,'DB Country PMI'!$A$1:$W$1,),)=0,#N/A,VLOOKUP(A6,'DB Country PMI'!$A:$W,MATCH($A$1,'DB Country PMI'!$A$1:$W$1,),))</calculatedColumnFormula>
    </tableColumn>
    <tableColumn id="3" name="mom" dataDxfId="6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51" headerRowCount="1" totalsRowShown="0" headerRowDxfId="63" dataDxfId="61" headerRowBorderDxfId="62" tableBorderDxfId="60" totalsRowBorderDxfId="59">
  <autoFilter ref="A5:C151"/>
  <tableColumns count="3">
    <tableColumn id="1" name="Date" dataDxfId="58"/>
    <tableColumn id="2" name="PMI" dataDxfId="57">
      <calculatedColumnFormula>IF(VLOOKUP(A6,'DB Country PMI'!$A:$W,MATCH($A$1,'DB Country PMI'!$A$1:$W$1,),)=0,#N/A,VLOOKUP(A6,'DB Country PMI'!$A:$W,MATCH($A$1,'DB Country PMI'!$A$1:$W$1,),))</calculatedColumnFormula>
    </tableColumn>
    <tableColumn id="3" name="mom" dataDxfId="5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51" headerRowCount="1" totalsRowShown="0" headerRowDxfId="55" dataDxfId="53" headerRowBorderDxfId="54" tableBorderDxfId="52" totalsRowBorderDxfId="51">
  <autoFilter ref="A5:C151"/>
  <tableColumns count="3">
    <tableColumn id="1" name="Date" dataDxfId="50"/>
    <tableColumn id="2" name="PMI" dataDxfId="49">
      <calculatedColumnFormula>IF(VLOOKUP(A6,'DB Country PMI'!$A:$W,MATCH($A$1,'DB Country PMI'!$A$1:$W$1,),)=0,#N/A,VLOOKUP(A6,'DB Country PMI'!$A:$W,MATCH($A$1,'DB Country PMI'!$A$1:$W$1,),))</calculatedColumnFormula>
    </tableColumn>
    <tableColumn id="3" name="mom" dataDxfId="4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51" headerRowCount="1" totalsRowShown="0" headerRowDxfId="47" dataDxfId="45" headerRowBorderDxfId="46" tableBorderDxfId="44" totalsRowBorderDxfId="43">
  <autoFilter ref="A5:C151"/>
  <tableColumns count="3">
    <tableColumn id="1" name="Date" dataDxfId="42"/>
    <tableColumn id="2" name="PMI" dataDxfId="41">
      <calculatedColumnFormula>IF(VLOOKUP(A6,'DB Country PMI'!$A:$W,MATCH($A$1,'DB Country PMI'!$A$1:$W$1,),)=0,#N/A,VLOOKUP(A6,'DB Country PMI'!$A:$W,MATCH($A$1,'DB Country PMI'!$A$1:$W$1,),))</calculatedColumnFormula>
    </tableColumn>
    <tableColumn id="3" name="mom" dataDxfId="4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51" headerRowCount="1" totalsRowShown="0" headerRowDxfId="39" dataDxfId="37" headerRowBorderDxfId="38" tableBorderDxfId="36" totalsRowBorderDxfId="35">
  <autoFilter ref="A5:C151"/>
  <tableColumns count="3">
    <tableColumn id="1" name="Date" dataDxfId="34"/>
    <tableColumn id="2" name="PMI" dataDxfId="33">
      <calculatedColumnFormula>IF(VLOOKUP(A6,'DB Country PMI'!$A:$W,MATCH($A$1,'DB Country PMI'!$A$1:$W$1,),)=0,#N/A,VLOOKUP(A6,'DB Country PMI'!$A:$W,MATCH($A$1,'DB Country PMI'!$A$1:$W$1,),))</calculatedColumnFormula>
    </tableColumn>
    <tableColumn id="3" name="mom" dataDxfId="3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51" headerRowCount="1" totalsRowShown="0" headerRowDxfId="31" dataDxfId="29" headerRowBorderDxfId="30" tableBorderDxfId="28" totalsRowBorderDxfId="27">
  <autoFilter ref="A5:C151"/>
  <tableColumns count="3">
    <tableColumn id="1" name="Date" dataDxfId="26"/>
    <tableColumn id="2" name="PMI" dataDxfId="25">
      <calculatedColumnFormula>IF(VLOOKUP(A6,'DB Country PMI'!$A:$W,MATCH($A$1,'DB Country PMI'!$A$1:$W$1,),)=0,#N/A,VLOOKUP(A6,'DB Country PMI'!$A:$W,MATCH($A$1,'DB Country PMI'!$A$1:$W$1,),))</calculatedColumnFormula>
    </tableColumn>
    <tableColumn id="3" name="mom" dataDxfId="2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51" headerRowCount="1" totalsRowShown="0" headerRowDxfId="23" dataDxfId="21" headerRowBorderDxfId="22" tableBorderDxfId="20" totalsRowBorderDxfId="19">
  <autoFilter ref="A5:C151"/>
  <tableColumns count="3">
    <tableColumn id="1" name="Date" dataDxfId="18"/>
    <tableColumn id="2" name="PMI" dataDxfId="17"/>
    <tableColumn id="3" name="mom" dataDxfId="1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51" headerRowCount="1" totalsRowShown="0" headerRowDxfId="15" dataDxfId="13" headerRowBorderDxfId="14" tableBorderDxfId="12" totalsRowBorderDxfId="11">
  <autoFilter ref="A5:C151"/>
  <tableColumns count="3">
    <tableColumn id="1" name="Date" dataDxfId="10"/>
    <tableColumn id="2" name="PMI" dataDxfId="9">
      <calculatedColumnFormula>IF(VLOOKUP(A6,'DB Country PMI'!$A:$W,MATCH($A$1,'DB Country PMI'!$A$1:$W$1,),)=0,#N/A,VLOOKUP(A6,'DB Country PMI'!$A:$W,MATCH($A$1,'DB Country PMI'!$A$1:$W$1,),))</calculatedColumnFormula>
    </tableColumn>
    <tableColumn id="3" name="mom" dataDxfId="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51" headerRowCount="1" totalsRowShown="0" headerRowDxfId="7" dataDxfId="5" headerRowBorderDxfId="6" tableBorderDxfId="4" totalsRowBorderDxfId="3">
  <autoFilter ref="A5:C151"/>
  <tableColumns count="3">
    <tableColumn id="1" name="Date" dataDxfId="2"/>
    <tableColumn id="2" name="PMI" dataDxfId="1">
      <calculatedColumnFormula>IF(VLOOKUP(A6,'DB Country PMI'!$A:$W,MATCH($A$1,'DB Country PMI'!$A$1:$W$1,),)=0,#N/A,VLOOKUP(A6,'DB Country PMI'!$A:$W,MATCH($A$1,'DB Country PMI'!$A$1:$W$1,),))</calculatedColumnFormula>
    </tableColumn>
    <tableColumn id="3" name="mom" dataDxfId="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topLeftCell="A7" zoomScale="150" zoomScaleNormal="150" workbookViewId="0">
      <selection activeCell="B33" sqref="B33:S33"/>
    </sheetView>
  </sheetViews>
  <sheetFormatPr baseColWidth="8" defaultColWidth="9.1796875" defaultRowHeight="14.5"/>
  <cols>
    <col width="4" customWidth="1" style="54" min="1" max="1"/>
    <col width="12.81640625" customWidth="1" style="54" min="2" max="5"/>
    <col width="13.6328125" customWidth="1" style="54" min="6" max="6"/>
    <col width="12.81640625" customWidth="1" style="54" min="7" max="10"/>
    <col width="2" customWidth="1" style="54" min="11" max="13"/>
    <col width="9.1796875" customWidth="1" style="54" min="14" max="14"/>
    <col width="15.453125" customWidth="1" style="54" min="15" max="15"/>
    <col width="12.6328125" customWidth="1" style="54" min="16" max="18"/>
    <col width="11.6328125" customWidth="1" style="54" min="19" max="19"/>
    <col width="9.1796875" customWidth="1" style="54" min="20" max="31"/>
    <col width="9.1796875" customWidth="1" style="54" min="32" max="16384"/>
  </cols>
  <sheetData>
    <row r="1">
      <c r="B1" s="62" t="n"/>
    </row>
    <row r="2" ht="16" customHeight="1" thickBot="1">
      <c r="B2" s="63" t="n"/>
      <c r="C2" s="63" t="n"/>
      <c r="D2" s="63" t="n"/>
      <c r="E2" s="63" t="n"/>
      <c r="F2" s="63" t="n"/>
      <c r="G2" s="63" t="n"/>
      <c r="H2" s="63" t="n"/>
      <c r="I2" s="63" t="n"/>
      <c r="J2" s="63" t="n"/>
    </row>
    <row r="3" ht="16" customHeight="1" thickBot="1">
      <c r="B3" s="64" t="inlineStr">
        <is>
          <t>PMI Services World</t>
        </is>
      </c>
      <c r="C3" s="65" t="n"/>
      <c r="D3" s="65" t="n"/>
      <c r="E3" s="65" t="n"/>
      <c r="F3" s="65" t="n"/>
      <c r="G3" s="65" t="n"/>
      <c r="H3" s="65" t="n"/>
      <c r="I3" s="65" t="n"/>
      <c r="J3" s="66" t="n"/>
    </row>
    <row r="5">
      <c r="B5" s="59" t="inlineStr">
        <is>
          <t>Definition</t>
        </is>
      </c>
      <c r="C5" s="60" t="n"/>
      <c r="D5" s="60" t="n"/>
      <c r="E5" s="60" t="n"/>
      <c r="F5" s="60" t="n"/>
      <c r="G5" s="60" t="n"/>
      <c r="H5" s="60" t="n"/>
      <c r="I5" s="60" t="n"/>
      <c r="J5" s="52" t="n"/>
    </row>
    <row r="7" ht="225.75" customHeight="1">
      <c r="B7" s="67"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37" t="n"/>
      <c r="C8" s="56" t="n"/>
      <c r="D8" s="56" t="n"/>
      <c r="E8" s="56" t="n"/>
      <c r="F8" s="56" t="n"/>
      <c r="G8" s="56" t="n"/>
      <c r="H8" s="56" t="n"/>
      <c r="I8" s="56" t="n"/>
      <c r="J8" s="56" t="n"/>
    </row>
    <row r="9" ht="16" customHeight="1" thickBot="1">
      <c r="B9" s="1" t="n"/>
      <c r="C9" s="2" t="n"/>
      <c r="D9" s="2" t="n"/>
      <c r="E9" s="2" t="n"/>
    </row>
    <row r="10" ht="16" customHeight="1" thickBot="1">
      <c r="B10" s="59" t="inlineStr">
        <is>
          <t>Process / TO DO LIST</t>
        </is>
      </c>
      <c r="C10" s="60" t="n"/>
      <c r="D10" s="60" t="n"/>
      <c r="E10" s="60" t="n"/>
      <c r="F10" s="60" t="n"/>
      <c r="G10" s="60" t="n"/>
      <c r="H10" s="60" t="n"/>
      <c r="I10" s="60" t="n"/>
      <c r="J10" s="52" t="n"/>
      <c r="N10" s="68" t="inlineStr">
        <is>
          <t>Summary</t>
        </is>
      </c>
      <c r="O10" s="65" t="n"/>
      <c r="P10" s="65" t="n"/>
      <c r="Q10" s="65" t="n"/>
      <c r="R10" s="65" t="n"/>
      <c r="S10" s="66" t="n"/>
    </row>
    <row r="11">
      <c r="N11" s="3" t="inlineStr">
        <is>
          <t>* input new month</t>
        </is>
      </c>
    </row>
    <row r="12" ht="16" customHeight="1" thickBot="1">
      <c r="B12" s="59" t="inlineStr">
        <is>
          <t>TO DO LIST</t>
        </is>
      </c>
      <c r="C12" s="60" t="n"/>
      <c r="D12" s="60" t="n"/>
      <c r="E12" s="60" t="n"/>
      <c r="F12" s="52" t="n"/>
      <c r="G12" s="59" t="inlineStr">
        <is>
          <t>Comments</t>
        </is>
      </c>
      <c r="H12" s="60" t="n"/>
      <c r="I12" s="60" t="n"/>
      <c r="J12" s="52" t="n"/>
    </row>
    <row r="13">
      <c r="P13" s="4" t="n">
        <v>44866</v>
      </c>
      <c r="Q13" s="5">
        <f>DATE(YEAR(P13),MONTH(P13)-1,DAY(P13))</f>
        <v/>
      </c>
      <c r="R13" s="6" t="n"/>
      <c r="S13" s="15" t="inlineStr">
        <is>
          <t>%</t>
        </is>
      </c>
    </row>
    <row r="14" ht="16" customHeight="1" thickBot="1">
      <c r="B14" s="54" t="inlineStr">
        <is>
          <t>Global</t>
        </is>
      </c>
      <c r="G14" s="54" t="inlineStr">
        <is>
          <t>https://www.markiteconomics.com/Survey/Page.mvc/PressReleases</t>
        </is>
      </c>
      <c r="O14" s="54" t="inlineStr">
        <is>
          <t>Country</t>
        </is>
      </c>
      <c r="P14" s="38" t="inlineStr">
        <is>
          <t>ISM</t>
        </is>
      </c>
      <c r="Q14" s="38" t="inlineStr">
        <is>
          <t>ISM</t>
        </is>
      </c>
      <c r="R14" s="7" t="inlineStr">
        <is>
          <t>Change %</t>
        </is>
      </c>
      <c r="S14" s="32" t="inlineStr">
        <is>
          <t>World GDP</t>
        </is>
      </c>
    </row>
    <row r="15" ht="30.75" customHeight="1">
      <c r="G15" s="56" t="inlineStr">
        <is>
          <t>JPMorgan Global Services PMI</t>
        </is>
      </c>
      <c r="N15" s="69" t="inlineStr">
        <is>
          <t>Global</t>
        </is>
      </c>
      <c r="O15" s="70" t="n"/>
      <c r="P15" s="39">
        <f>VLOOKUP($P$13,Summary!$B:$AB,MATCH(Note!N15,Summary!$B$2:$AB$2,),)</f>
        <v/>
      </c>
      <c r="Q15" s="11">
        <f>VLOOKUP($Q$13,Summary!$B:$AB,MATCH(Note!N15,Summary!$B$2:$AB$2,),)</f>
        <v/>
      </c>
      <c r="R15" s="42" t="n">
        <v>-1</v>
      </c>
      <c r="S15" s="33" t="n"/>
    </row>
    <row r="16">
      <c r="B16" s="61" t="inlineStr">
        <is>
          <t>https://tradingeconomics.com/country-list/services-pmi</t>
        </is>
      </c>
      <c r="G16" s="54" t="inlineStr">
        <is>
          <t>Database</t>
        </is>
      </c>
      <c r="N16" s="51" t="inlineStr">
        <is>
          <t>US</t>
        </is>
      </c>
      <c r="O16" s="52" t="n"/>
      <c r="P16" s="40">
        <f>VLOOKUP($P$13,Summary!$B:$AB,MATCH(Note!N16,Summary!$B$2:$AB$2,),)</f>
        <v/>
      </c>
      <c r="Q16" s="14">
        <f>VLOOKUP($Q$13,Summary!$B:$AB,MATCH(Note!N16,Summary!$B$2:$AB$2,),)</f>
        <v/>
      </c>
      <c r="R16" s="43" t="n">
        <v>-0.3999999999999986</v>
      </c>
      <c r="S16" s="34" t="n">
        <v>0.241</v>
      </c>
    </row>
    <row r="17">
      <c r="B17" s="54" t="n"/>
      <c r="G17" s="54" t="inlineStr">
        <is>
          <t>Update each month for each country</t>
        </is>
      </c>
      <c r="N17" s="51" t="inlineStr">
        <is>
          <t xml:space="preserve">China </t>
        </is>
      </c>
      <c r="O17" s="52" t="n"/>
      <c r="P17" s="40">
        <f>VLOOKUP($P$13,Summary!$B:$AB,MATCH(Note!N17,Summary!$B$2:$AB$2,),)</f>
        <v/>
      </c>
      <c r="Q17" s="14">
        <f>VLOOKUP($Q$13,Summary!$B:$AB,MATCH(Note!N17,Summary!$B$2:$AB$2,),)</f>
        <v/>
      </c>
      <c r="R17" s="43" t="n">
        <v>1</v>
      </c>
      <c r="S17" s="34" t="n">
        <v>0.152</v>
      </c>
    </row>
    <row r="18">
      <c r="B18" s="54" t="n"/>
      <c r="N18" s="51" t="inlineStr">
        <is>
          <t>Eurozone</t>
        </is>
      </c>
      <c r="O18" s="52" t="n"/>
      <c r="P18" s="40">
        <f>VLOOKUP($P$13,Summary!$B:$AB,MATCH(Note!N18,Summary!$B$2:$AB$2,),)</f>
        <v/>
      </c>
      <c r="Q18" s="14">
        <f>VLOOKUP($Q$13,Summary!$B:$AB,MATCH(Note!N18,Summary!$B$2:$AB$2,),)</f>
        <v/>
      </c>
      <c r="R18" s="43" t="n">
        <v>-2.799999999999997</v>
      </c>
      <c r="S18" s="34" t="n">
        <v>0.156</v>
      </c>
    </row>
    <row r="19">
      <c r="N19" s="51" t="inlineStr">
        <is>
          <t xml:space="preserve">Japan </t>
        </is>
      </c>
      <c r="O19" s="52" t="n"/>
      <c r="P19" s="40">
        <f>VLOOKUP($P$13,Summary!$B:$AB,MATCH(Note!N19,Summary!$B$2:$AB$2,),)</f>
        <v/>
      </c>
      <c r="Q19" s="14">
        <f>VLOOKUP($Q$13,Summary!$B:$AB,MATCH(Note!N19,Summary!$B$2:$AB$2,),)</f>
        <v/>
      </c>
      <c r="R19" s="43" t="n">
        <v>-0.8999999999999986</v>
      </c>
      <c r="S19" s="34" t="n">
        <v>0.06</v>
      </c>
    </row>
    <row r="20">
      <c r="B20" s="54" t="n"/>
      <c r="G20" s="54" t="n"/>
      <c r="N20" s="51" t="inlineStr">
        <is>
          <t>Germany</t>
        </is>
      </c>
      <c r="O20" s="52" t="n"/>
      <c r="P20" s="40">
        <f>VLOOKUP($P$13,Summary!$B:$AB,MATCH(Note!N20,Summary!$B$2:$AB$2,),)</f>
        <v/>
      </c>
      <c r="Q20" s="14">
        <f>VLOOKUP($Q$13,Summary!$B:$AB,MATCH(Note!N20,Summary!$B$2:$AB$2,),)</f>
        <v/>
      </c>
      <c r="R20" s="43" t="n">
        <v>-4</v>
      </c>
      <c r="S20" s="34" t="n">
        <v>0.04564243244249699</v>
      </c>
    </row>
    <row r="21">
      <c r="B21" s="54" t="n"/>
      <c r="G21" s="54" t="n"/>
      <c r="N21" s="51" t="inlineStr">
        <is>
          <t>France</t>
        </is>
      </c>
      <c r="O21" s="52" t="n"/>
      <c r="P21" s="40">
        <f>VLOOKUP($P$13,Summary!$B:$AB,MATCH(Note!N21,Summary!$B$2:$AB$2,),)</f>
        <v/>
      </c>
      <c r="Q21" s="14">
        <f>VLOOKUP($Q$13,Summary!$B:$AB,MATCH(Note!N21,Summary!$B$2:$AB$2,),)</f>
        <v/>
      </c>
      <c r="R21" s="43" t="n">
        <v>-0.3999999999999986</v>
      </c>
      <c r="S21" s="34" t="n">
        <v>0.03206266059259443</v>
      </c>
    </row>
    <row r="22">
      <c r="B22" s="54" t="n"/>
      <c r="G22" s="54" t="n"/>
      <c r="N22" s="51" t="inlineStr">
        <is>
          <t>UK</t>
        </is>
      </c>
      <c r="O22" s="52" t="n"/>
      <c r="P22" s="40">
        <f>VLOOKUP($P$13,Summary!$B:$AB,MATCH(Note!N22,Summary!$B$2:$AB$2,),)</f>
        <v/>
      </c>
      <c r="Q22" s="14">
        <f>VLOOKUP($Q$13,Summary!$B:$AB,MATCH(Note!N22,Summary!$B$2:$AB$2,),)</f>
        <v/>
      </c>
      <c r="R22" s="43" t="n">
        <v>-4.899999999999999</v>
      </c>
      <c r="S22" s="34" t="n">
        <v>0.033</v>
      </c>
    </row>
    <row r="23">
      <c r="B23" s="54" t="n"/>
      <c r="N23" s="51" t="inlineStr">
        <is>
          <t xml:space="preserve">Italy </t>
        </is>
      </c>
      <c r="O23" s="52" t="n"/>
      <c r="P23" s="40">
        <f>VLOOKUP($P$13,Summary!$B:$AB,MATCH(Note!N23,Summary!$B$2:$AB$2,),)</f>
        <v/>
      </c>
      <c r="Q23" s="14">
        <f>VLOOKUP($Q$13,Summary!$B:$AB,MATCH(Note!N23,Summary!$B$2:$AB$2,),)</f>
        <v/>
      </c>
      <c r="R23" s="43" t="n">
        <v>-2.899999999999999</v>
      </c>
      <c r="S23" s="34" t="n">
        <v>0.024</v>
      </c>
    </row>
    <row r="24">
      <c r="B24" s="54" t="n"/>
      <c r="N24" s="51" t="inlineStr">
        <is>
          <t>Spain</t>
        </is>
      </c>
      <c r="O24" s="52" t="n"/>
      <c r="P24" s="40">
        <f>VLOOKUP($P$13,Summary!$B:$AB,MATCH(Note!N24,Summary!$B$2:$AB$2,),)</f>
        <v/>
      </c>
      <c r="Q24" s="14">
        <f>VLOOKUP($Q$13,Summary!$B:$AB,MATCH(Note!N24,Summary!$B$2:$AB$2,),)</f>
        <v/>
      </c>
      <c r="R24" s="43" t="n">
        <v>-4</v>
      </c>
      <c r="S24" s="34" t="n">
        <v>0.01627338290239694</v>
      </c>
    </row>
    <row r="25">
      <c r="N25" s="51" t="inlineStr">
        <is>
          <t>Brazil</t>
        </is>
      </c>
      <c r="O25" s="52" t="n"/>
      <c r="P25" s="40">
        <f>VLOOKUP($P$13,Summary!$B:$AB,MATCH(Note!N25,Summary!$B$2:$AB$2,),)</f>
        <v/>
      </c>
      <c r="Q25" s="14">
        <f>VLOOKUP($Q$13,Summary!$B:$AB,MATCH(Note!N25,Summary!$B$2:$AB$2,),)</f>
        <v/>
      </c>
      <c r="R25" s="43" t="n">
        <v>0</v>
      </c>
      <c r="S25" s="34" t="n">
        <v>0.02552103375082236</v>
      </c>
    </row>
    <row r="26">
      <c r="N26" s="51" t="inlineStr">
        <is>
          <t>Russia</t>
        </is>
      </c>
      <c r="O26" s="52" t="n"/>
      <c r="P26" s="40">
        <f>VLOOKUP($P$13,Summary!$B:$AB,MATCH(Note!N26,Summary!$B$2:$AB$2,),)</f>
        <v/>
      </c>
      <c r="Q26" s="14">
        <f>VLOOKUP($Q$13,Summary!$B:$AB,MATCH(Note!N26,Summary!$B$2:$AB$2,),)</f>
        <v/>
      </c>
      <c r="R26" s="43" t="n">
        <v>2.399999999999999</v>
      </c>
      <c r="S26" s="34" t="n">
        <v>0.01958764166283934</v>
      </c>
    </row>
    <row r="27">
      <c r="N27" s="51" t="inlineStr">
        <is>
          <t>India</t>
        </is>
      </c>
      <c r="O27" s="52" t="n"/>
      <c r="P27" s="40">
        <f>VLOOKUP($P$13,Summary!$B:$AB,MATCH(Note!N27,Summary!$B$2:$AB$2,),)</f>
        <v/>
      </c>
      <c r="Q27" s="14">
        <f>VLOOKUP($Q$13,Summary!$B:$AB,MATCH(Note!N27,Summary!$B$2:$AB$2,),)</f>
        <v/>
      </c>
      <c r="R27" s="43" t="n">
        <v>-2.600000000000001</v>
      </c>
      <c r="S27" s="34" t="n">
        <v>0.03228609376745572</v>
      </c>
    </row>
    <row r="28">
      <c r="N28" s="51" t="inlineStr">
        <is>
          <t>Australia</t>
        </is>
      </c>
      <c r="O28" s="52" t="n"/>
      <c r="P28" s="40">
        <f>VLOOKUP($P$13,Summary!$B:$AB,MATCH(Note!N28,Summary!$B$2:$AB$2,),)</f>
        <v/>
      </c>
      <c r="Q28" s="14">
        <f>VLOOKUP($Q$13,Summary!$B:$AB,MATCH(Note!N28,Summary!$B$2:$AB$2,),)</f>
        <v/>
      </c>
      <c r="R28" s="43" t="n">
        <v>2</v>
      </c>
      <c r="S28" s="34" t="n">
        <v>0.01642233835230446</v>
      </c>
    </row>
    <row r="29" ht="16" customHeight="1" thickBot="1">
      <c r="N29" s="57" t="inlineStr">
        <is>
          <t>Ireland</t>
        </is>
      </c>
      <c r="O29" s="58" t="n"/>
      <c r="P29" s="41">
        <f>VLOOKUP($P$13,Summary!$B:$AB,MATCH(Note!N29,Summary!$B$2:$AB$2,),)</f>
        <v/>
      </c>
      <c r="Q29" s="35">
        <f>VLOOKUP($Q$13,Summary!$B:$AB,MATCH(Note!N29,Summary!$B$2:$AB$2,),)</f>
        <v/>
      </c>
      <c r="R29" s="44" t="n">
        <v>-3.899999999999999</v>
      </c>
      <c r="S29" s="36" t="n">
        <v>0.004145926689092737</v>
      </c>
    </row>
    <row r="32">
      <c r="B32" s="53" t="n"/>
    </row>
    <row r="33">
      <c r="B33" s="56" t="n"/>
    </row>
    <row r="34">
      <c r="B34" s="55"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120">
      <formula>0</formula>
    </cfRule>
    <cfRule type="cellIs" priority="8" operator="greaterThan" dxfId="12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7"/>
  <sheetViews>
    <sheetView zoomScale="170" zoomScaleNormal="170" workbookViewId="0">
      <pane ySplit="1" topLeftCell="A172" activePane="bottomLeft" state="frozen"/>
      <selection activeCell="AD109" sqref="AD109"/>
      <selection pane="bottomLeft" activeCell="AD109" sqref="AD109"/>
    </sheetView>
  </sheetViews>
  <sheetFormatPr baseColWidth="8" defaultColWidth="10.81640625" defaultRowHeight="14.5"/>
  <cols>
    <col width="10.81640625" customWidth="1" min="1" max="11"/>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1"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1"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1"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1"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1"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1"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1"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1"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1"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1"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1"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1"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1"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1"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1"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1"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1"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1"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1"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1"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1"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1"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1"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1"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1"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1"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1"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1"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1"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1"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1"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1"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1"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1"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1"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1"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1"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1"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1"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1"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1"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1"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1"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1"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1"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1"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1"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1"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1"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1"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1"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1"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1"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1"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1"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1"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1"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1"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1"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1"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1"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1"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1"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1"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1"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1"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1"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1"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1"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1"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1"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1"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1"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1"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1"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1"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1"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1"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1"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1"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1"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1"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1"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1"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1"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1"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1"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1"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1"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1"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1"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1"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1"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1"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1"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1"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1"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1"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1"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1"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1"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1"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1"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1"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1"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1"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1"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1"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1"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1"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1"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1"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1"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1"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1"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1"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1"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1"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1"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1"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1"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1"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1"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1"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1"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1"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1"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1"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1"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1"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1"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1"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1"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1"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1"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1"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1"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1"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1"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1"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1"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1"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1"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1"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1"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1"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1"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1"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1"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1"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1"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1"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1"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1"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1"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1"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1"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1"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1"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1"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1"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1"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1"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1"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1"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1"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1"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1"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1"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1"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1"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1"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1"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1"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1"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1"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1"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1"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1" t="n">
        <v>44682</v>
      </c>
      <c r="B180" t="n">
        <v>49.2</v>
      </c>
      <c r="C180" t="n">
        <v>58.6</v>
      </c>
      <c r="D180" t="n">
        <v>41.4</v>
      </c>
      <c r="E180" t="n">
        <v>56.3</v>
      </c>
      <c r="F180" t="n">
        <v>58.4</v>
      </c>
      <c r="G180" t="n">
        <v>56.3</v>
      </c>
      <c r="H180" t="n">
        <v>51.3</v>
      </c>
      <c r="I180" t="n">
        <v>58.9</v>
      </c>
      <c r="J180" t="n">
        <v>60.2</v>
      </c>
      <c r="K180" t="n">
        <v>53.7</v>
      </c>
      <c r="L180" t="n">
        <v>51.7</v>
      </c>
      <c r="M180" t="n">
        <v>54.4</v>
      </c>
      <c r="N180" t="n">
        <v>55.2</v>
      </c>
      <c r="O180" t="n">
        <v>49.8</v>
      </c>
      <c r="P180" t="n">
        <v>48.5</v>
      </c>
      <c r="Q180" t="n">
        <v>56.5</v>
      </c>
      <c r="R180" t="n">
        <v>42.4</v>
      </c>
      <c r="S180" t="n">
        <v>68.2</v>
      </c>
      <c r="T180" t="n">
        <v>60.15</v>
      </c>
      <c r="U180" t="n">
        <v>51.8</v>
      </c>
      <c r="V180" t="n">
        <v>53.5</v>
      </c>
    </row>
    <row r="181">
      <c r="A181" s="71"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1" t="n">
        <v>44743</v>
      </c>
      <c r="B182" t="n">
        <v>51.7</v>
      </c>
      <c r="C182" t="n">
        <v>55.8</v>
      </c>
      <c r="D182" t="n">
        <v>55.5</v>
      </c>
      <c r="E182" t="n">
        <v>51.2</v>
      </c>
      <c r="F182" t="n">
        <v>53.2</v>
      </c>
      <c r="G182" t="n">
        <v>49.7</v>
      </c>
      <c r="H182" t="n">
        <v/>
      </c>
      <c r="I182" t="n">
        <v>55.5</v>
      </c>
      <c r="J182" t="n">
        <v>56.3</v>
      </c>
      <c r="K182" t="n">
        <v>48.4</v>
      </c>
      <c r="L182" t="n">
        <v>50.3</v>
      </c>
      <c r="M182" t="n">
        <v>54.6</v>
      </c>
      <c r="N182" t="n">
        <v>51.2</v>
      </c>
      <c r="O182" t="n">
        <v>50.4</v>
      </c>
      <c r="P182" t="n">
        <v>54.7</v>
      </c>
      <c r="Q182" t="n">
        <v>53.8</v>
      </c>
      <c r="R182" t="n">
        <v>43</v>
      </c>
      <c r="S182" t="n">
        <v>58.8</v>
      </c>
      <c r="T182" t="n">
        <v>55.17</v>
      </c>
      <c r="U182" t="n">
        <v>52.6</v>
      </c>
      <c r="V182" t="n">
        <v>47.3</v>
      </c>
    </row>
    <row r="183">
      <c r="A183" s="71" t="n">
        <v>44774</v>
      </c>
      <c r="B183" t="n">
        <v>53.3</v>
      </c>
      <c r="C183" t="n">
        <v>53.9</v>
      </c>
      <c r="D183" t="n">
        <v>55</v>
      </c>
      <c r="E183" t="n">
        <v>49.8</v>
      </c>
      <c r="F183" t="n">
        <v>51.2</v>
      </c>
      <c r="G183" t="n">
        <v>47.7</v>
      </c>
      <c r="H183" t="n">
        <v/>
      </c>
      <c r="I183" t="n">
        <v>57.2</v>
      </c>
      <c r="J183" t="n">
        <v>54.7</v>
      </c>
      <c r="K183" t="n">
        <v>50.5</v>
      </c>
      <c r="L183" t="n">
        <v>49.5</v>
      </c>
      <c r="M183" t="n">
        <v>52.7</v>
      </c>
      <c r="N183" t="n">
        <v>58.6</v>
      </c>
      <c r="O183" t="n">
        <v>47.2</v>
      </c>
      <c r="P183" t="n">
        <v>49.9</v>
      </c>
      <c r="Q183" t="n">
        <v>50.6</v>
      </c>
      <c r="R183" t="n">
        <v>51.7</v>
      </c>
      <c r="S183" t="n">
        <v>59.4</v>
      </c>
      <c r="T183" t="n">
        <v>56.88</v>
      </c>
      <c r="U183" t="n">
        <v>50.9</v>
      </c>
      <c r="V183" t="n">
        <v>43.7</v>
      </c>
    </row>
    <row r="184">
      <c r="A184" s="71" t="n">
        <v>44805</v>
      </c>
      <c r="B184" t="n">
        <v>48</v>
      </c>
      <c r="C184" t="n">
        <v>51.9</v>
      </c>
      <c r="D184" t="n">
        <v>49.3</v>
      </c>
      <c r="E184" t="n">
        <v>48.8</v>
      </c>
      <c r="F184" t="n">
        <v>52.9</v>
      </c>
      <c r="G184" t="n">
        <v>45</v>
      </c>
      <c r="H184" t="n">
        <v/>
      </c>
      <c r="I184" t="n">
        <v>54.3</v>
      </c>
      <c r="J184" t="n">
        <v>54.1</v>
      </c>
      <c r="K184" t="n">
        <v>48.8</v>
      </c>
      <c r="L184" t="n">
        <v>52.2</v>
      </c>
      <c r="M184" t="n">
        <v>49.1</v>
      </c>
      <c r="N184" t="n">
        <v>55.8</v>
      </c>
      <c r="O184" t="n">
        <v/>
      </c>
      <c r="P184" t="n">
        <v>51.1</v>
      </c>
      <c r="Q184" t="n">
        <v>48.5</v>
      </c>
      <c r="R184" t="n">
        <v>51.2</v>
      </c>
      <c r="S184" t="n">
        <v>55.1</v>
      </c>
      <c r="T184" t="n">
        <v>52.27</v>
      </c>
      <c r="U184" t="n">
        <v>50</v>
      </c>
      <c r="V184" t="n">
        <v>49.3</v>
      </c>
    </row>
    <row r="185">
      <c r="A185" s="71" t="n">
        <v>44835</v>
      </c>
      <c r="B185" t="n">
        <v>47.7</v>
      </c>
      <c r="C185" t="n">
        <v>54</v>
      </c>
      <c r="D185" t="n">
        <v>48.4</v>
      </c>
      <c r="E185" t="n">
        <v>48.6</v>
      </c>
      <c r="F185" t="n">
        <v>51.7</v>
      </c>
      <c r="G185" t="n">
        <v>46.5</v>
      </c>
      <c r="H185" t="n">
        <v/>
      </c>
      <c r="I185" t="n">
        <v>55.1</v>
      </c>
      <c r="J185" t="n">
        <v>53.2</v>
      </c>
      <c r="K185" t="n">
        <v>46.4</v>
      </c>
      <c r="L185" t="n">
        <v>53.2</v>
      </c>
      <c r="M185" t="n">
        <v>50.3</v>
      </c>
      <c r="N185" t="n">
        <v>57.4</v>
      </c>
      <c r="O185" t="n">
        <v/>
      </c>
      <c r="P185" t="n">
        <v>43.7</v>
      </c>
      <c r="Q185" t="n">
        <v>49.7</v>
      </c>
      <c r="R185" t="n">
        <v>47.9</v>
      </c>
      <c r="S185" t="n">
        <v>56.9</v>
      </c>
      <c r="T185" t="n">
        <v>53.55</v>
      </c>
      <c r="U185" t="n">
        <v>48.8</v>
      </c>
      <c r="V185" t="n">
        <v>47.8</v>
      </c>
    </row>
    <row r="186">
      <c r="A186" s="71" t="n">
        <v>44866</v>
      </c>
      <c r="B186" t="n">
        <v>45.6</v>
      </c>
      <c r="C186" t="n">
        <v>51.6</v>
      </c>
      <c r="D186" t="n">
        <v>46.7</v>
      </c>
      <c r="E186" t="n">
        <v>48.5</v>
      </c>
      <c r="F186" t="n">
        <v>49.3</v>
      </c>
      <c r="G186" t="n">
        <v>46.1</v>
      </c>
      <c r="H186" t="n">
        <v/>
      </c>
      <c r="I186" t="n">
        <v>56.4</v>
      </c>
      <c r="J186" t="n">
        <v>50.8</v>
      </c>
      <c r="K186" t="n">
        <v>49.5</v>
      </c>
      <c r="L186" t="n">
        <v>50.3</v>
      </c>
      <c r="M186" t="n">
        <v>49.1</v>
      </c>
      <c r="N186" t="n">
        <v>53.7</v>
      </c>
      <c r="O186" t="n">
        <v/>
      </c>
      <c r="P186" t="n">
        <v>48.3</v>
      </c>
      <c r="Q186" t="n">
        <v>51.2</v>
      </c>
      <c r="R186" t="n">
        <v>49</v>
      </c>
      <c r="S186" t="n">
        <v>54.3</v>
      </c>
      <c r="T186" t="n">
        <v>53.54</v>
      </c>
      <c r="U186" t="n">
        <v>48.8</v>
      </c>
      <c r="V186" t="n">
        <v>46.2</v>
      </c>
    </row>
    <row r="187">
      <c r="A187" s="71" t="n">
        <v>44896</v>
      </c>
      <c r="B187" t="n">
        <v/>
      </c>
      <c r="C187" t="n">
        <v/>
      </c>
      <c r="D187" t="n">
        <v/>
      </c>
      <c r="E187" t="n">
        <v>49.1</v>
      </c>
      <c r="F187" t="n">
        <v>48.1</v>
      </c>
      <c r="G187" t="n">
        <v>49</v>
      </c>
      <c r="H187" t="n">
        <v/>
      </c>
      <c r="I187" t="n">
        <v/>
      </c>
      <c r="J187" t="n">
        <v/>
      </c>
      <c r="K187" t="n">
        <v/>
      </c>
      <c r="L187" t="n">
        <v>51.7</v>
      </c>
      <c r="M187" t="n">
        <v/>
      </c>
      <c r="N187" t="n">
        <v/>
      </c>
      <c r="O187" t="n">
        <v/>
      </c>
      <c r="P187" t="n">
        <v>45.9</v>
      </c>
      <c r="Q187" t="n">
        <v/>
      </c>
      <c r="R187" t="n">
        <v/>
      </c>
      <c r="S187" t="n">
        <v/>
      </c>
      <c r="T187" t="n">
        <v/>
      </c>
      <c r="U187" t="n">
        <v>50</v>
      </c>
      <c r="V187" t="n">
        <v>44.4</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104"/>
  <sheetViews>
    <sheetView zoomScale="150" zoomScaleNormal="150" workbookViewId="0">
      <pane xSplit="2" ySplit="11" topLeftCell="C89" activePane="bottomRight" state="frozen"/>
      <selection activeCell="AD109" sqref="AD109"/>
      <selection pane="topRight" activeCell="AD109" sqref="AD109"/>
      <selection pane="bottomLeft" activeCell="AD109" sqref="AD109"/>
      <selection pane="bottomRight" activeCell="V102" sqref="V102"/>
    </sheetView>
  </sheetViews>
  <sheetFormatPr baseColWidth="8" defaultColWidth="9.1796875" defaultRowHeight="14.5"/>
  <cols>
    <col width="9.1796875" customWidth="1" style="54" min="1" max="1"/>
    <col width="17.81640625" customWidth="1" min="2" max="2"/>
    <col width="6.1796875" customWidth="1" min="3" max="17"/>
    <col width="9.1796875" customWidth="1" style="54" min="18" max="18"/>
    <col width="12.36328125" customWidth="1" style="54" min="19" max="19"/>
    <col width="9.1796875" customWidth="1" style="54" min="20" max="20"/>
    <col width="10.453125" customWidth="1" style="54" min="21" max="21"/>
    <col width="10.6328125" bestFit="1" customWidth="1" style="54" min="22" max="22"/>
    <col width="9.1796875" customWidth="1" style="54" min="23" max="63"/>
    <col width="9.1796875" customWidth="1" min="64" max="74"/>
  </cols>
  <sheetData>
    <row r="1" ht="16" customFormat="1" customHeight="1" s="54" thickBot="1">
      <c r="S1" s="16" t="inlineStr">
        <is>
          <t>*to update</t>
        </is>
      </c>
      <c r="T1" s="54" t="inlineStr">
        <is>
          <t>Last month</t>
        </is>
      </c>
      <c r="V1" s="46" t="n">
        <v>44866</v>
      </c>
      <c r="Y1" s="3" t="inlineStr">
        <is>
          <t>*modify max/min/avg</t>
        </is>
      </c>
    </row>
    <row r="2" ht="72.75" customHeight="1"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4" t="inlineStr">
        <is>
          <t>Previous Month</t>
        </is>
      </c>
      <c r="V3" s="19">
        <f>DATE(YEAR(V1),MONTH(V1)-1,DAY(V1))</f>
        <v/>
      </c>
    </row>
    <row r="4" hidden="1">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4" t="inlineStr">
        <is>
          <t>12 months</t>
        </is>
      </c>
      <c r="V4" s="19">
        <f>DATE(YEAR(V1),MONTH(V1)-12,DAY(V1))</f>
        <v/>
      </c>
    </row>
    <row r="5" hidden="1" ht="16" customHeight="1"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5"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c r="B11" s="54" t="n"/>
      <c r="C11" s="54" t="n"/>
      <c r="D11" s="54" t="n"/>
      <c r="E11" s="54" t="n"/>
      <c r="F11" s="54" t="n"/>
      <c r="G11" s="54" t="n"/>
      <c r="H11" s="54" t="n"/>
      <c r="I11" s="54" t="n"/>
      <c r="J11" s="54" t="n"/>
      <c r="K11" s="54" t="n"/>
      <c r="L11" s="54" t="n"/>
      <c r="M11" s="54" t="n"/>
      <c r="N11" s="54" t="n"/>
      <c r="O11" s="54" t="n"/>
      <c r="P11" s="54" t="n"/>
      <c r="Q11" s="54"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4">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4">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4">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4">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4">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4">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4">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4">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4">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4">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4">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4">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4">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4">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4">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4">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4">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4">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4">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4">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4">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4">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4">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4">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4">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4">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4">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4">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4">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4">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4">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4">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4">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4">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4">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4">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4">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4">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4">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4">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4">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4">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4">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4">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4">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4">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4">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4">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4">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4">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4">
      <c r="B100" s="30" t="n">
        <v>44743</v>
      </c>
      <c r="C100" s="31">
        <f>VLOOKUP(B100,Global!$A:$B,2,)</f>
        <v/>
      </c>
      <c r="D100" s="31">
        <f>VLOOKUP(B100,US!$A:$B,2,)</f>
        <v/>
      </c>
      <c r="E100" s="31">
        <f>VLOOKUP(B100,China!$A:$B,2,)</f>
        <v/>
      </c>
      <c r="F100" s="31">
        <f>VLOOKUP(B100,EuroArea!$A:$B,2,)</f>
        <v/>
      </c>
      <c r="G100" s="31">
        <f>VLOOKUP(B100,Japan!$A:$B,2,)</f>
        <v/>
      </c>
      <c r="H100" s="31">
        <f>VLOOKUP(B100,Germany!$A:$B,2,)</f>
        <v/>
      </c>
      <c r="I100" s="31">
        <f>VLOOKUP(B100,France!$A:$B,2,)</f>
        <v/>
      </c>
      <c r="J100" s="31">
        <f>VLOOKUP(B100,UK!$A:$B,2,)</f>
        <v/>
      </c>
      <c r="K100" s="31">
        <f>VLOOKUP(B100,Italy!$A:$B,2,)</f>
        <v/>
      </c>
      <c r="L100" s="31">
        <f>VLOOKUP(B100,Spain!$A:$B,2,)</f>
        <v/>
      </c>
      <c r="M100" s="31">
        <f>VLOOKUP(B100,Brazil!$A:$B,2,)</f>
        <v/>
      </c>
      <c r="N100" s="31">
        <f>VLOOKUP(B100,Russia!$A:$B,2,)</f>
        <v/>
      </c>
      <c r="O100" s="31">
        <f>VLOOKUP(B100,India!$A:$B,2,)</f>
        <v/>
      </c>
      <c r="P100" s="31">
        <f>VLOOKUP(B100,Australia!$A:$B,2,)</f>
        <v/>
      </c>
      <c r="Q100" s="31">
        <f>VLOOKUP(B100,Ireland!$A:$B,2,)</f>
        <v/>
      </c>
    </row>
    <row r="101" customFormat="1" s="54">
      <c r="B101" s="30" t="n">
        <v>44774</v>
      </c>
      <c r="C101" s="31">
        <f>VLOOKUP(B101,Global!$A:$B,2,)</f>
        <v/>
      </c>
      <c r="D101" s="31">
        <f>VLOOKUP(B101,US!$A:$B,2,)</f>
        <v/>
      </c>
      <c r="E101" s="31">
        <f>VLOOKUP(B101,China!$A:$B,2,)</f>
        <v/>
      </c>
      <c r="F101" s="31">
        <f>VLOOKUP(B101,EuroArea!$A:$B,2,)</f>
        <v/>
      </c>
      <c r="G101" s="31">
        <f>VLOOKUP(B101,Japan!$A:$B,2,)</f>
        <v/>
      </c>
      <c r="H101" s="31">
        <f>VLOOKUP(B101,Germany!$A:$B,2,)</f>
        <v/>
      </c>
      <c r="I101" s="31">
        <f>VLOOKUP(B101,France!$A:$B,2,)</f>
        <v/>
      </c>
      <c r="J101" s="31">
        <f>VLOOKUP(B101,UK!$A:$B,2,)</f>
        <v/>
      </c>
      <c r="K101" s="31">
        <f>VLOOKUP(B101,Italy!$A:$B,2,)</f>
        <v/>
      </c>
      <c r="L101" s="31">
        <f>VLOOKUP(B101,Spain!$A:$B,2,)</f>
        <v/>
      </c>
      <c r="M101" s="31">
        <f>VLOOKUP(B101,Brazil!$A:$B,2,)</f>
        <v/>
      </c>
      <c r="N101" s="31">
        <f>VLOOKUP(B101,Russia!$A:$B,2,)</f>
        <v/>
      </c>
      <c r="O101" s="31">
        <f>VLOOKUP(B101,India!$A:$B,2,)</f>
        <v/>
      </c>
      <c r="P101" s="31">
        <f>VLOOKUP(B101,Australia!$A:$B,2,)</f>
        <v/>
      </c>
      <c r="Q101" s="31">
        <f>VLOOKUP(B101,Ireland!$A:$B,2,)</f>
        <v/>
      </c>
    </row>
    <row r="102" customFormat="1" s="54">
      <c r="B102" s="30" t="n">
        <v>44805</v>
      </c>
      <c r="C102" s="31">
        <f>VLOOKUP(B102,Global!$A:$B,2,)</f>
        <v/>
      </c>
      <c r="D102" s="31">
        <f>VLOOKUP(B102,US!$A:$B,2,)</f>
        <v/>
      </c>
      <c r="E102" s="31">
        <f>VLOOKUP(B102,China!$A:$B,2,)</f>
        <v/>
      </c>
      <c r="F102" s="31">
        <f>VLOOKUP(B102,EuroArea!$A:$B,2,)</f>
        <v/>
      </c>
      <c r="G102" s="31">
        <f>VLOOKUP(B102,Japan!$A:$B,2,)</f>
        <v/>
      </c>
      <c r="H102" s="31">
        <f>VLOOKUP(B102,Germany!$A:$B,2,)</f>
        <v/>
      </c>
      <c r="I102" s="31">
        <f>VLOOKUP(B102,France!$A:$B,2,)</f>
        <v/>
      </c>
      <c r="J102" s="31">
        <f>VLOOKUP(B102,UK!$A:$B,2,)</f>
        <v/>
      </c>
      <c r="K102" s="31">
        <f>VLOOKUP(B102,Italy!$A:$B,2,)</f>
        <v/>
      </c>
      <c r="L102" s="31">
        <f>VLOOKUP(B102,Spain!$A:$B,2,)</f>
        <v/>
      </c>
      <c r="M102" s="31">
        <f>VLOOKUP(B102,Brazil!$A:$B,2,)</f>
        <v/>
      </c>
      <c r="N102" s="31">
        <f>VLOOKUP(B102,Russia!$A:$B,2,)</f>
        <v/>
      </c>
      <c r="O102" s="31">
        <f>VLOOKUP(B102,India!$A:$B,2,)</f>
        <v/>
      </c>
      <c r="P102" s="31">
        <f>VLOOKUP(B102,Australia!$A:$B,2,)</f>
        <v/>
      </c>
      <c r="Q102" s="31">
        <f>VLOOKUP(B102,Ireland!$A:$B,2,)</f>
        <v/>
      </c>
    </row>
    <row r="103" customFormat="1" s="54">
      <c r="B103" s="30" t="n">
        <v>44835</v>
      </c>
      <c r="C103" s="31">
        <f>VLOOKUP(B103,Global!$A:$B,2,)</f>
        <v/>
      </c>
      <c r="D103" s="31">
        <f>VLOOKUP(B103,US!$A:$B,2,)</f>
        <v/>
      </c>
      <c r="E103" s="31">
        <f>VLOOKUP(B103,China!$A:$B,2,)</f>
        <v/>
      </c>
      <c r="F103" s="31">
        <f>VLOOKUP(B103,EuroArea!$A:$B,2,)</f>
        <v/>
      </c>
      <c r="G103" s="31">
        <f>VLOOKUP(B103,Japan!$A:$B,2,)</f>
        <v/>
      </c>
      <c r="H103" s="31">
        <f>VLOOKUP(B103,Germany!$A:$B,2,)</f>
        <v/>
      </c>
      <c r="I103" s="31">
        <f>VLOOKUP(B103,France!$A:$B,2,)</f>
        <v/>
      </c>
      <c r="J103" s="31">
        <f>VLOOKUP(B103,UK!$A:$B,2,)</f>
        <v/>
      </c>
      <c r="K103" s="31">
        <f>VLOOKUP(B103,Italy!$A:$B,2,)</f>
        <v/>
      </c>
      <c r="L103" s="31">
        <f>VLOOKUP(B103,Spain!$A:$B,2,)</f>
        <v/>
      </c>
      <c r="M103" s="31">
        <f>VLOOKUP(B103,Brazil!$A:$B,2,)</f>
        <v/>
      </c>
      <c r="N103" s="31">
        <f>VLOOKUP(B103,Russia!$A:$B,2,)</f>
        <v/>
      </c>
      <c r="O103" s="31">
        <f>VLOOKUP(B103,India!$A:$B,2,)</f>
        <v/>
      </c>
      <c r="P103" s="31">
        <f>VLOOKUP(B103,Australia!$A:$B,2,)</f>
        <v/>
      </c>
      <c r="Q103" s="31">
        <f>VLOOKUP(B103,Ireland!$A:$B,2,)</f>
        <v/>
      </c>
    </row>
    <row r="104" customFormat="1" s="54">
      <c r="B104" s="30" t="n">
        <v>44866</v>
      </c>
      <c r="C104" s="31">
        <f>VLOOKUP(B104,Global!$A:$B,2,)</f>
        <v/>
      </c>
      <c r="D104" s="31">
        <f>VLOOKUP(B104,US!$A:$B,2,)</f>
        <v/>
      </c>
      <c r="E104" s="31">
        <f>VLOOKUP(B104,China!$A:$B,2,)</f>
        <v/>
      </c>
      <c r="F104" s="31">
        <f>VLOOKUP(B104,EuroArea!$A:$B,2,)</f>
        <v/>
      </c>
      <c r="G104" s="31">
        <f>VLOOKUP(B104,Japan!$A:$B,2,)</f>
        <v/>
      </c>
      <c r="H104" s="31">
        <f>VLOOKUP(B104,Germany!$A:$B,2,)</f>
        <v/>
      </c>
      <c r="I104" s="31">
        <f>VLOOKUP(B104,France!$A:$B,2,)</f>
        <v/>
      </c>
      <c r="J104" s="31">
        <f>VLOOKUP(B104,UK!$A:$B,2,)</f>
        <v/>
      </c>
      <c r="K104" s="31">
        <f>VLOOKUP(B104,Italy!$A:$B,2,)</f>
        <v/>
      </c>
      <c r="L104" s="31">
        <f>VLOOKUP(B104,Spain!$A:$B,2,)</f>
        <v/>
      </c>
      <c r="M104" s="31">
        <f>VLOOKUP(B104,Brazil!$A:$B,2,)</f>
        <v/>
      </c>
      <c r="N104" s="31">
        <f>VLOOKUP(B104,Russia!$A:$B,2,)</f>
        <v/>
      </c>
      <c r="O104" s="31">
        <f>VLOOKUP(B104,India!$A:$B,2,)</f>
        <v/>
      </c>
      <c r="P104" s="31">
        <f>VLOOKUP(B104,Australia!$A:$B,2,)</f>
        <v/>
      </c>
      <c r="Q104" s="31">
        <f>VLOOKUP(B104,Ireland!$A:$B,2,)</f>
        <v/>
      </c>
    </row>
    <row r="105" customFormat="1" s="54"/>
    <row r="106" customFormat="1" s="54"/>
    <row r="107" customFormat="1" s="54"/>
    <row r="108" customFormat="1" s="54"/>
    <row r="109" customFormat="1" s="54"/>
    <row r="110" customFormat="1" s="54"/>
    <row r="111" customFormat="1" s="54"/>
    <row r="112" customFormat="1" s="54"/>
    <row r="113" customFormat="1" s="54"/>
    <row r="114" customFormat="1" s="54"/>
    <row r="115" customFormat="1" s="54"/>
    <row r="116" customFormat="1" s="54"/>
    <row r="117" customFormat="1" s="54"/>
    <row r="118" customFormat="1" s="54"/>
    <row r="119" customFormat="1" s="54"/>
    <row r="120" customFormat="1" s="54"/>
    <row r="121" customFormat="1" s="54"/>
    <row r="122" customFormat="1" s="54"/>
    <row r="123" customFormat="1" s="54"/>
    <row r="124" customFormat="1" s="54"/>
    <row r="125" customFormat="1" s="54"/>
    <row r="126" customFormat="1" s="54"/>
    <row r="127" customFormat="1" s="54"/>
    <row r="128" customFormat="1" s="54"/>
    <row r="129" customFormat="1" s="54"/>
    <row r="130" customFormat="1" s="54"/>
    <row r="131" customFormat="1" s="54"/>
    <row r="132" customFormat="1" s="54"/>
    <row r="133" customFormat="1" s="54"/>
    <row r="134" customFormat="1" s="54"/>
    <row r="135" customFormat="1" s="54"/>
    <row r="136" customFormat="1" s="54"/>
    <row r="137" customFormat="1" s="54"/>
    <row r="138" customFormat="1" s="54"/>
    <row r="139" customFormat="1" s="54"/>
    <row r="140" customFormat="1" s="54"/>
    <row r="141" customFormat="1" s="54"/>
    <row r="142" customFormat="1" s="54"/>
    <row r="143" customFormat="1" s="54"/>
    <row r="144" customFormat="1" s="54"/>
    <row r="145" customFormat="1" s="54"/>
    <row r="146" customFormat="1" s="54"/>
    <row r="147" customFormat="1" s="54"/>
    <row r="148" customFormat="1" s="54"/>
    <row r="149" customFormat="1" s="54"/>
    <row r="150" customFormat="1" s="54"/>
    <row r="151" customFormat="1" s="54"/>
    <row r="152" customFormat="1" s="54"/>
    <row r="153" customFormat="1" s="54"/>
    <row r="154" customFormat="1" s="54"/>
    <row r="155" customFormat="1" s="54"/>
    <row r="156" customFormat="1" s="54"/>
    <row r="157" customFormat="1" s="54"/>
    <row r="158" customFormat="1" s="54"/>
    <row r="159" customFormat="1" s="54"/>
    <row r="160" customFormat="1" s="54"/>
    <row r="161" customFormat="1" s="54"/>
    <row r="162" customFormat="1" s="54"/>
    <row r="163" customFormat="1" s="54"/>
    <row r="164" customFormat="1" s="54"/>
    <row r="165" customFormat="1" s="54"/>
    <row r="166" customFormat="1" s="54"/>
    <row r="167" customFormat="1" s="54"/>
    <row r="168" customFormat="1" s="54"/>
    <row r="169" customFormat="1" s="54"/>
    <row r="170" customFormat="1" s="54"/>
    <row r="171" customFormat="1" s="54"/>
    <row r="172" customFormat="1" s="54"/>
    <row r="173" customFormat="1" s="54"/>
    <row r="174" customFormat="1" s="54"/>
    <row r="175" customFormat="1" s="54"/>
    <row r="176" customFormat="1" s="54"/>
    <row r="177" customFormat="1" s="54"/>
    <row r="178" customFormat="1" s="54"/>
    <row r="179" customFormat="1" s="54"/>
    <row r="180" customFormat="1" s="54"/>
    <row r="181" customFormat="1" s="54"/>
    <row r="182" customFormat="1" s="54"/>
    <row r="183" customFormat="1" s="54"/>
    <row r="184" customFormat="1" s="54"/>
    <row r="185" customFormat="1" s="54"/>
    <row r="186" customFormat="1" s="54"/>
    <row r="187" customFormat="1" s="54"/>
    <row r="188" customFormat="1" s="54"/>
    <row r="189" customFormat="1" s="54"/>
    <row r="190" customFormat="1" s="54"/>
    <row r="191" customFormat="1" s="54"/>
    <row r="192" customFormat="1" s="54"/>
    <row r="193" customFormat="1" s="54"/>
    <row r="194" customFormat="1" s="54"/>
    <row r="195" customFormat="1" s="54"/>
    <row r="196" customFormat="1" s="54"/>
    <row r="197" customFormat="1" s="54"/>
    <row r="198" customFormat="1" s="54"/>
    <row r="199" customFormat="1" s="54"/>
    <row r="200" customFormat="1" s="54"/>
    <row r="201" customFormat="1" s="54"/>
    <row r="202" customFormat="1" s="54"/>
    <row r="203" customFormat="1" s="54"/>
    <row r="204" customFormat="1" s="54"/>
    <row r="205" customFormat="1" s="54"/>
    <row r="206" customFormat="1" s="54"/>
    <row r="207" customFormat="1" s="54"/>
    <row r="208" customFormat="1" s="54"/>
    <row r="209" customFormat="1" s="54"/>
    <row r="210" customFormat="1" s="54"/>
    <row r="211" customFormat="1" s="54"/>
    <row r="212" customFormat="1" s="54"/>
    <row r="213" customFormat="1" s="54"/>
    <row r="214" customFormat="1" s="54"/>
    <row r="215" customFormat="1" s="54"/>
    <row r="216" customFormat="1" s="54"/>
    <row r="217" customFormat="1" s="54"/>
    <row r="218" customFormat="1" s="54"/>
    <row r="219" customFormat="1" s="54"/>
    <row r="220" customFormat="1" s="54"/>
    <row r="221" customFormat="1" s="54"/>
    <row r="222" customFormat="1" s="54"/>
    <row r="223" customFormat="1" s="54"/>
    <row r="224" customFormat="1" s="54"/>
    <row r="225" customFormat="1" s="54"/>
    <row r="226" customFormat="1" s="54"/>
    <row r="227" customFormat="1" s="54"/>
    <row r="228" customFormat="1" s="54"/>
    <row r="229" customFormat="1" s="54"/>
    <row r="230" customFormat="1" s="54"/>
    <row r="231" customFormat="1" s="54"/>
    <row r="232" customFormat="1" s="54"/>
    <row r="233" customFormat="1" s="54"/>
    <row r="234" customFormat="1" s="54"/>
    <row r="235" customFormat="1" s="54"/>
    <row r="236" customFormat="1" s="54"/>
    <row r="237" customFormat="1" s="54"/>
    <row r="238" customFormat="1" s="54"/>
    <row r="239" customFormat="1" s="54"/>
    <row r="240" customFormat="1" s="54"/>
    <row r="241" customFormat="1" s="54"/>
    <row r="242" customFormat="1" s="54"/>
    <row r="243" customFormat="1" s="54"/>
    <row r="244" customFormat="1" s="54"/>
    <row r="245" customFormat="1" s="54"/>
    <row r="246" customFormat="1" s="54"/>
    <row r="247" customFormat="1" s="54"/>
    <row r="248" customFormat="1" s="54"/>
    <row r="249" customFormat="1" s="54"/>
    <row r="250" customFormat="1" s="54"/>
    <row r="251" customFormat="1" s="54"/>
    <row r="252" customFormat="1" s="54"/>
    <row r="253" customFormat="1" s="54"/>
    <row r="254" customFormat="1" s="54"/>
    <row r="255" customFormat="1" s="54"/>
    <row r="256" customFormat="1" s="54"/>
    <row r="257" customFormat="1" s="54"/>
    <row r="258" customFormat="1" s="54"/>
    <row r="259" customFormat="1" s="54"/>
    <row r="260" customFormat="1" s="54"/>
    <row r="261" customFormat="1" s="54"/>
    <row r="262" customFormat="1" s="54"/>
    <row r="263" customFormat="1" s="54"/>
    <row r="264" customFormat="1" s="54"/>
    <row r="265" customFormat="1" s="54"/>
    <row r="266" customFormat="1" s="54"/>
    <row r="267" customFormat="1" s="54"/>
    <row r="268" customFormat="1" s="54"/>
    <row r="269" customFormat="1" s="54"/>
    <row r="270" customFormat="1" s="54"/>
    <row r="271" customFormat="1" s="54"/>
    <row r="272" customFormat="1" s="54"/>
    <row r="273" customFormat="1" s="54"/>
    <row r="274" customFormat="1" s="54"/>
    <row r="275" customFormat="1" s="54"/>
    <row r="276" customFormat="1" s="54"/>
    <row r="277" customFormat="1" s="54"/>
    <row r="278" customFormat="1" s="54"/>
    <row r="279" customFormat="1" s="54"/>
    <row r="280" customFormat="1" s="54"/>
    <row r="281" customFormat="1" s="54"/>
    <row r="282" customFormat="1" s="54"/>
    <row r="283" customFormat="1" s="54"/>
    <row r="284" customFormat="1" s="54"/>
    <row r="285" customFormat="1" s="54"/>
    <row r="286" customFormat="1" s="54"/>
    <row r="287" customFormat="1" s="54"/>
    <row r="288" customFormat="1" s="54"/>
    <row r="289" customFormat="1" s="54"/>
    <row r="290" customFormat="1" s="54"/>
    <row r="291" customFormat="1" s="54"/>
    <row r="292" customFormat="1" s="54"/>
    <row r="293" customFormat="1" s="54"/>
    <row r="294" customFormat="1" s="54"/>
    <row r="295" customFormat="1" s="54"/>
    <row r="296" customFormat="1" s="54"/>
    <row r="297" customFormat="1" s="54"/>
    <row r="298" customFormat="1" s="54"/>
    <row r="299" customFormat="1" s="54"/>
    <row r="300" customFormat="1" s="54"/>
    <row r="301" customFormat="1" s="54"/>
    <row r="302" customFormat="1" s="54"/>
    <row r="303" customFormat="1" s="54"/>
    <row r="304" customFormat="1" s="54"/>
    <row r="305" customFormat="1" s="54"/>
    <row r="306" customFormat="1" s="54"/>
    <row r="307" customFormat="1" s="54"/>
    <row r="308" customFormat="1" s="54"/>
    <row r="309" customFormat="1" s="54"/>
    <row r="310" customFormat="1" s="54"/>
    <row r="311" customFormat="1" s="54"/>
    <row r="312" customFormat="1" s="54"/>
    <row r="313" customFormat="1" s="54"/>
    <row r="314" customFormat="1" s="54"/>
    <row r="315" customFormat="1" s="54"/>
    <row r="316" customFormat="1" s="54"/>
    <row r="317" customFormat="1" s="54"/>
    <row r="318" customFormat="1" s="54"/>
    <row r="319" customFormat="1" s="54"/>
    <row r="320" customFormat="1" s="54"/>
    <row r="321" customFormat="1" s="54"/>
    <row r="322" customFormat="1" s="54"/>
    <row r="323" customFormat="1" s="54"/>
    <row r="324" customFormat="1" s="54"/>
    <row r="325" customFormat="1" s="54"/>
    <row r="326" customFormat="1" s="54"/>
    <row r="327" customFormat="1" s="54"/>
    <row r="328" customFormat="1" s="54"/>
    <row r="329" customFormat="1" s="54"/>
    <row r="330" customFormat="1" s="54"/>
    <row r="331" customFormat="1" s="54"/>
    <row r="332" customFormat="1" s="54"/>
    <row r="333" customFormat="1" s="54"/>
    <row r="334" customFormat="1" s="54"/>
    <row r="335" customFormat="1" s="54"/>
    <row r="336" customFormat="1" s="54"/>
    <row r="337" customFormat="1" s="54"/>
    <row r="338" customFormat="1" s="54"/>
    <row r="339" customFormat="1" s="54"/>
    <row r="340" customFormat="1" s="54"/>
    <row r="341" customFormat="1" s="54"/>
    <row r="342" customFormat="1" s="54"/>
    <row r="343" customFormat="1" s="54"/>
    <row r="344" customFormat="1" s="54"/>
    <row r="345" customFormat="1" s="54"/>
    <row r="346" customFormat="1" s="54"/>
    <row r="347" customFormat="1" s="54"/>
  </sheetData>
  <conditionalFormatting sqref="C12:Q104">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127" text="below">
      <formula>NOT(ISERROR(SEARCH("below",C6)))</formula>
    </cfRule>
    <cfRule type="containsText" priority="12" operator="containsText" dxfId="126" text="above">
      <formula>NOT(ISERROR(SEARCH("above",C6)))</formula>
    </cfRule>
  </conditionalFormatting>
  <conditionalFormatting sqref="C8:Q8">
    <cfRule type="cellIs" priority="9" operator="lessThan" dxfId="125">
      <formula>0</formula>
    </cfRule>
    <cfRule type="cellIs" priority="10" operator="greaterThan" dxfId="124">
      <formula>0</formula>
    </cfRule>
  </conditionalFormatting>
  <conditionalFormatting sqref="C9:Q9">
    <cfRule type="cellIs" priority="3" operator="equal" dxfId="123">
      <formula>"Growth"</formula>
    </cfRule>
    <cfRule type="cellIs" priority="4" operator="equal" dxfId="122">
      <formula>"Contraction"</formula>
    </cfRule>
  </conditionalFormatting>
  <conditionalFormatting sqref="C10:Q10">
    <cfRule type="cellIs" priority="1" operator="equal" dxfId="121">
      <formula>"+"</formula>
    </cfRule>
    <cfRule type="cellIs" priority="2" operator="equal" dxfId="12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51"/>
  <sheetViews>
    <sheetView zoomScale="160" zoomScaleNormal="160" workbookViewId="0">
      <pane ySplit="5" topLeftCell="A132" activePane="bottomLeft" state="frozen"/>
      <selection activeCell="V1" sqref="V1"/>
      <selection pane="bottomLeft" activeCell="A140" sqref="A140:C151"/>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Global</t>
        </is>
      </c>
    </row>
    <row r="2">
      <c r="H2" s="54" t="inlineStr">
        <is>
          <t>Global Services PMI</t>
        </is>
      </c>
    </row>
    <row r="4" ht="16" customHeight="1" thickBot="1"/>
    <row r="5" ht="16" customHeight="1"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row r="147">
      <c r="A147" s="9" t="n">
        <v>44743</v>
      </c>
      <c r="B147" s="11">
        <f>IF(VLOOKUP(A147,'DB Country PMI'!$A:$V,MATCH($A$1,'DB Country PMI'!$A$1:$V$1,),)=0,#N/A,VLOOKUP(A147,'DB Country PMI'!$A:$V,MATCH($A$1,'DB Country PMI'!$A$1:$V$1,),))</f>
        <v/>
      </c>
      <c r="C147" s="14">
        <f>Table1[[#This Row],[PMI]]-B146</f>
        <v/>
      </c>
    </row>
    <row r="148">
      <c r="A148" s="9" t="n">
        <v>44774</v>
      </c>
      <c r="B148" s="11">
        <f>IF(VLOOKUP(A148,'DB Country PMI'!$A:$V,MATCH($A$1,'DB Country PMI'!$A$1:$V$1,),)=0,#N/A,VLOOKUP(A148,'DB Country PMI'!$A:$V,MATCH($A$1,'DB Country PMI'!$A$1:$V$1,),))</f>
        <v/>
      </c>
      <c r="C148" s="14">
        <f>Table1[[#This Row],[PMI]]-B147</f>
        <v/>
      </c>
    </row>
    <row r="149">
      <c r="A149" s="9" t="n">
        <v>44805</v>
      </c>
      <c r="B149" s="11">
        <f>IF(VLOOKUP(A149,'DB Country PMI'!$A:$V,MATCH($A$1,'DB Country PMI'!$A$1:$V$1,),)=0,#N/A,VLOOKUP(A149,'DB Country PMI'!$A:$V,MATCH($A$1,'DB Country PMI'!$A$1:$V$1,),))</f>
        <v/>
      </c>
      <c r="C149" s="14">
        <f>Table1[[#This Row],[PMI]]-B148</f>
        <v/>
      </c>
    </row>
    <row r="150">
      <c r="A150" s="9" t="n">
        <v>44835</v>
      </c>
      <c r="B150" s="11">
        <f>IF(VLOOKUP(A150,'DB Country PMI'!$A:$V,MATCH($A$1,'DB Country PMI'!$A$1:$V$1,),)=0,#N/A,VLOOKUP(A150,'DB Country PMI'!$A:$V,MATCH($A$1,'DB Country PMI'!$A$1:$V$1,),))</f>
        <v/>
      </c>
      <c r="C150" s="14">
        <f>Table1[[#This Row],[PMI]]-B149</f>
        <v/>
      </c>
    </row>
    <row r="151">
      <c r="A151" s="9" t="n">
        <v>44866</v>
      </c>
      <c r="B151" s="11">
        <f>IF(VLOOKUP(A151,'DB Country PMI'!$A:$V,MATCH($A$1,'DB Country PMI'!$A$1:$V$1,),)=0,#N/A,VLOOKUP(A151,'DB Country PMI'!$A:$V,MATCH($A$1,'DB Country PMI'!$A$1:$V$1,),))</f>
        <v/>
      </c>
      <c r="C151" s="14">
        <f>Table1[[#This Row],[PMI]]-B150</f>
        <v/>
      </c>
    </row>
  </sheetData>
  <conditionalFormatting sqref="B6:B151">
    <cfRule type="colorScale" priority="203">
      <colorScale>
        <cfvo type="min"/>
        <cfvo type="percentile" val="50"/>
        <cfvo type="max"/>
        <color rgb="FFF8696B"/>
        <color rgb="FFFFEB84"/>
        <color rgb="FF63BE7B"/>
      </colorScale>
    </cfRule>
  </conditionalFormatting>
  <conditionalFormatting sqref="C7:C151">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5"/>
  <sheetViews>
    <sheetView zoomScale="160" zoomScaleNormal="160" workbookViewId="0">
      <pane ySplit="5" topLeftCell="A89" activePane="bottomLeft" state="frozen"/>
      <selection pane="bottomLeft" activeCell="R112" sqref="R112"/>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United States</t>
        </is>
      </c>
      <c r="J1" s="54" t="inlineStr">
        <is>
          <t xml:space="preserve"> Services PMI</t>
        </is>
      </c>
    </row>
    <row r="2">
      <c r="J2" s="54" t="inlineStr">
        <is>
          <t>U.S. Services PMI</t>
        </is>
      </c>
    </row>
    <row r="4" ht="16" customHeight="1" thickBot="1"/>
    <row r="5" ht="16" customHeight="1"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row r="111">
      <c r="A111" s="8" t="n">
        <v>44743</v>
      </c>
      <c r="B111" s="11">
        <f>IF(VLOOKUP(A111,'DB Country PMI'!$A:$V,MATCH($A$1,'DB Country PMI'!$A$1:$V$1,),)=0,#N/A,VLOOKUP(A111,'DB Country PMI'!$A:$V,MATCH($A$1,'DB Country PMI'!$A$1:$V$1,),))</f>
        <v/>
      </c>
      <c r="C111" s="14">
        <f>Table1346811[[#This Row],[PMI]]-B110</f>
        <v/>
      </c>
    </row>
    <row r="112">
      <c r="A112" s="8" t="n">
        <v>44774</v>
      </c>
      <c r="B112" s="11">
        <f>IF(VLOOKUP(A112,'DB Country PMI'!$A:$V,MATCH($A$1,'DB Country PMI'!$A$1:$V$1,),)=0,#N/A,VLOOKUP(A112,'DB Country PMI'!$A:$V,MATCH($A$1,'DB Country PMI'!$A$1:$V$1,),))</f>
        <v/>
      </c>
      <c r="C112" s="14">
        <f>Table1346811[[#This Row],[PMI]]-B111</f>
        <v/>
      </c>
    </row>
    <row r="113">
      <c r="A113" s="8" t="n">
        <v>44805</v>
      </c>
      <c r="B113" s="11">
        <f>IF(VLOOKUP(A113,'DB Country PMI'!$A:$V,MATCH($A$1,'DB Country PMI'!$A$1:$V$1,),)=0,#N/A,VLOOKUP(A113,'DB Country PMI'!$A:$V,MATCH($A$1,'DB Country PMI'!$A$1:$V$1,),))</f>
        <v/>
      </c>
      <c r="C113" s="14">
        <f>Table1346811[[#This Row],[PMI]]-B112</f>
        <v/>
      </c>
    </row>
    <row r="114">
      <c r="A114" s="8" t="n">
        <v>44835</v>
      </c>
      <c r="B114" s="11">
        <f>IF(VLOOKUP(A114,'DB Country PMI'!$A:$V,MATCH($A$1,'DB Country PMI'!$A$1:$V$1,),)=0,#N/A,VLOOKUP(A114,'DB Country PMI'!$A:$V,MATCH($A$1,'DB Country PMI'!$A$1:$V$1,),))</f>
        <v/>
      </c>
      <c r="C114" s="14">
        <f>Table1346811[[#This Row],[PMI]]-B113</f>
        <v/>
      </c>
    </row>
    <row r="115">
      <c r="A115" s="8" t="n">
        <v>44866</v>
      </c>
      <c r="B115" s="11">
        <f>IF(VLOOKUP(A115,'DB Country PMI'!$A:$V,MATCH($A$1,'DB Country PMI'!$A$1:$V$1,),)=0,#N/A,VLOOKUP(A115,'DB Country PMI'!$A:$V,MATCH($A$1,'DB Country PMI'!$A$1:$V$1,),))</f>
        <v/>
      </c>
      <c r="C115" s="14">
        <f>Table1346811[[#This Row],[PMI]]-B114</f>
        <v/>
      </c>
    </row>
  </sheetData>
  <conditionalFormatting sqref="B6:B115">
    <cfRule type="colorScale" priority="46">
      <colorScale>
        <cfvo type="min"/>
        <cfvo type="percentile" val="50"/>
        <cfvo type="max"/>
        <color rgb="FFF8696B"/>
        <color rgb="FFFFEB84"/>
        <color rgb="FF63BE7B"/>
      </colorScale>
    </cfRule>
  </conditionalFormatting>
  <conditionalFormatting sqref="C7:C115">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90"/>
  <sheetViews>
    <sheetView zoomScale="170" zoomScaleNormal="170" workbookViewId="0">
      <pane ySplit="5" topLeftCell="A170" activePane="bottomLeft" state="frozen"/>
      <selection pane="bottomLeft" activeCell="F193" sqref="F193"/>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Euro Area</t>
        </is>
      </c>
      <c r="J1" s="54" t="inlineStr">
        <is>
          <t xml:space="preserve"> Services PMI</t>
        </is>
      </c>
    </row>
    <row r="2">
      <c r="J2" s="54" t="inlineStr">
        <is>
          <t>Euro Area Services PMI</t>
        </is>
      </c>
    </row>
    <row r="4" ht="16" customHeight="1" thickBot="1"/>
    <row r="5" ht="16" customHeight="1"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row r="186">
      <c r="A186" s="8" t="n">
        <v>44743</v>
      </c>
      <c r="B186" s="11">
        <f>IF(VLOOKUP(A186,'DB Country PMI'!$A:$V,MATCH($A$1,'DB Country PMI'!$A$1:$V$1,),)=0,#N/A,VLOOKUP(A186,'DB Country PMI'!$A:$V,MATCH($A$1,'DB Country PMI'!$A$1:$V$1,),))</f>
        <v/>
      </c>
      <c r="C186" s="14">
        <f>Table13468113[[#This Row],[PMI]]-B185</f>
        <v/>
      </c>
    </row>
    <row r="187">
      <c r="A187" s="8" t="n">
        <v>44774</v>
      </c>
      <c r="B187" s="11">
        <f>IF(VLOOKUP(A187,'DB Country PMI'!$A:$V,MATCH($A$1,'DB Country PMI'!$A$1:$V$1,),)=0,#N/A,VLOOKUP(A187,'DB Country PMI'!$A:$V,MATCH($A$1,'DB Country PMI'!$A$1:$V$1,),))</f>
        <v/>
      </c>
      <c r="C187" s="14">
        <f>Table13468113[[#This Row],[PMI]]-B186</f>
        <v/>
      </c>
    </row>
    <row r="188">
      <c r="A188" s="8" t="n">
        <v>44805</v>
      </c>
      <c r="B188" s="11">
        <f>IF(VLOOKUP(A188,'DB Country PMI'!$A:$V,MATCH($A$1,'DB Country PMI'!$A$1:$V$1,),)=0,#N/A,VLOOKUP(A188,'DB Country PMI'!$A:$V,MATCH($A$1,'DB Country PMI'!$A$1:$V$1,),))</f>
        <v/>
      </c>
      <c r="C188" s="14">
        <f>Table13468113[[#This Row],[PMI]]-B187</f>
        <v/>
      </c>
    </row>
    <row r="189">
      <c r="A189" s="8" t="n">
        <v>44835</v>
      </c>
      <c r="B189" s="11">
        <f>IF(VLOOKUP(A189,'DB Country PMI'!$A:$V,MATCH($A$1,'DB Country PMI'!$A$1:$V$1,),)=0,#N/A,VLOOKUP(A189,'DB Country PMI'!$A:$V,MATCH($A$1,'DB Country PMI'!$A$1:$V$1,),))</f>
        <v/>
      </c>
      <c r="C189" s="14">
        <f>Table13468113[[#This Row],[PMI]]-B188</f>
        <v/>
      </c>
    </row>
    <row r="190">
      <c r="A190" s="8" t="n">
        <v>44866</v>
      </c>
      <c r="B190" s="11">
        <f>IF(VLOOKUP(A190,'DB Country PMI'!$A:$V,MATCH($A$1,'DB Country PMI'!$A$1:$V$1,),)=0,#N/A,VLOOKUP(A190,'DB Country PMI'!$A:$V,MATCH($A$1,'DB Country PMI'!$A$1:$V$1,),))</f>
        <v/>
      </c>
      <c r="C190" s="14">
        <f>Table13468113[[#This Row],[PMI]]-B189</f>
        <v/>
      </c>
    </row>
  </sheetData>
  <conditionalFormatting sqref="B6:B190">
    <cfRule type="colorScale" priority="3">
      <colorScale>
        <cfvo type="min"/>
        <cfvo type="percentile" val="50"/>
        <cfvo type="max"/>
        <color rgb="FFF8696B"/>
        <color rgb="FFFFEB84"/>
        <color rgb="FF63BE7B"/>
      </colorScale>
    </cfRule>
  </conditionalFormatting>
  <conditionalFormatting sqref="C7:C19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51"/>
  <sheetViews>
    <sheetView zoomScale="160" zoomScaleNormal="160" workbookViewId="0">
      <pane ySplit="5" topLeftCell="A139" activePane="bottomLeft" state="frozen"/>
      <selection pane="bottomLeft" activeCell="O155" sqref="O155"/>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China</t>
        </is>
      </c>
      <c r="J1" s="54" t="inlineStr">
        <is>
          <t xml:space="preserve"> Services PMI</t>
        </is>
      </c>
    </row>
    <row r="2">
      <c r="J2" s="54" t="inlineStr">
        <is>
          <t>China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3"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row r="147">
      <c r="A147" s="8" t="n">
        <v>44743</v>
      </c>
      <c r="B147" s="11">
        <f>IF(VLOOKUP(A147,'DB Country PMI'!$A:$W,MATCH($A$1,'DB Country PMI'!$A$1:$W$1,),)=0,#N/A,VLOOKUP(A147,'DB Country PMI'!$A:$W,MATCH($A$1,'DB Country PMI'!$A$1:$W$1,),))</f>
        <v/>
      </c>
      <c r="C147" s="14">
        <f>Table134681134[[#This Row],[PMI]]-B146</f>
        <v/>
      </c>
    </row>
    <row r="148">
      <c r="A148" s="8" t="n">
        <v>44774</v>
      </c>
      <c r="B148" s="11">
        <f>IF(VLOOKUP(A148,'DB Country PMI'!$A:$W,MATCH($A$1,'DB Country PMI'!$A$1:$W$1,),)=0,#N/A,VLOOKUP(A148,'DB Country PMI'!$A:$W,MATCH($A$1,'DB Country PMI'!$A$1:$W$1,),))</f>
        <v/>
      </c>
      <c r="C148" s="14">
        <f>Table134681134[[#This Row],[PMI]]-B147</f>
        <v/>
      </c>
    </row>
    <row r="149">
      <c r="A149" s="8" t="n">
        <v>44805</v>
      </c>
      <c r="B149" s="11">
        <f>IF(VLOOKUP(A149,'DB Country PMI'!$A:$W,MATCH($A$1,'DB Country PMI'!$A$1:$W$1,),)=0,#N/A,VLOOKUP(A149,'DB Country PMI'!$A:$W,MATCH($A$1,'DB Country PMI'!$A$1:$W$1,),))</f>
        <v/>
      </c>
      <c r="C149" s="14">
        <f>Table134681134[[#This Row],[PMI]]-B148</f>
        <v/>
      </c>
    </row>
    <row r="150">
      <c r="A150" s="8" t="n">
        <v>44835</v>
      </c>
      <c r="B150" s="11">
        <f>IF(VLOOKUP(A150,'DB Country PMI'!$A:$W,MATCH($A$1,'DB Country PMI'!$A$1:$W$1,),)=0,#N/A,VLOOKUP(A150,'DB Country PMI'!$A:$W,MATCH($A$1,'DB Country PMI'!$A$1:$W$1,),))</f>
        <v/>
      </c>
      <c r="C150" s="14">
        <f>Table134681134[[#This Row],[PMI]]-B149</f>
        <v/>
      </c>
    </row>
    <row r="151">
      <c r="A151" s="8" t="n">
        <v>44866</v>
      </c>
      <c r="B151" s="11">
        <f>IF(VLOOKUP(A151,'DB Country PMI'!$A:$W,MATCH($A$1,'DB Country PMI'!$A$1:$W$1,),)=0,#N/A,VLOOKUP(A151,'DB Country PMI'!$A:$W,MATCH($A$1,'DB Country PMI'!$A$1:$W$1,),))</f>
        <v/>
      </c>
      <c r="C151" s="14">
        <f>Table134681134[[#This Row],[PMI]]-B150</f>
        <v/>
      </c>
    </row>
  </sheetData>
  <conditionalFormatting sqref="C7:C151">
    <cfRule type="colorScale" priority="205">
      <colorScale>
        <cfvo type="min"/>
        <cfvo type="percentile" val="50"/>
        <cfvo type="max"/>
        <color rgb="FFF8696B"/>
        <color rgb="FFFCFCFF"/>
        <color rgb="FF5A8AC6"/>
      </colorScale>
    </cfRule>
  </conditionalFormatting>
  <conditionalFormatting sqref="B6:B151">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77"/>
  <sheetViews>
    <sheetView zoomScale="160" zoomScaleNormal="160" workbookViewId="0">
      <pane ySplit="5" topLeftCell="A163" activePane="bottomLeft" state="frozen"/>
      <selection pane="bottomLeft" activeCell="Q179" sqref="Q179"/>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France</t>
        </is>
      </c>
      <c r="J1" s="54" t="inlineStr">
        <is>
          <t xml:space="preserve"> Services PMI</t>
        </is>
      </c>
    </row>
    <row r="2">
      <c r="J2" s="54" t="inlineStr">
        <is>
          <t>France Services PMI</t>
        </is>
      </c>
    </row>
    <row r="4" ht="16" customHeight="1" thickBot="1"/>
    <row r="5" ht="16" customHeight="1"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row r="173">
      <c r="A173" s="8" t="n">
        <v>44743</v>
      </c>
      <c r="B173" s="11">
        <f>IF(VLOOKUP(A173,'DB Country PMI'!$A:$W,MATCH($A$1,'DB Country PMI'!$A$1:$W$1,),)=0,#N/A,VLOOKUP(A173,'DB Country PMI'!$A:$W,MATCH($A$1,'DB Country PMI'!$A$1:$W$1,),))</f>
        <v/>
      </c>
      <c r="C173" s="14">
        <f>Table1346811345[[#This Row],[PMI]]-B172</f>
        <v/>
      </c>
    </row>
    <row r="174">
      <c r="A174" s="8" t="n">
        <v>44774</v>
      </c>
      <c r="B174" s="11">
        <f>IF(VLOOKUP(A174,'DB Country PMI'!$A:$W,MATCH($A$1,'DB Country PMI'!$A$1:$W$1,),)=0,#N/A,VLOOKUP(A174,'DB Country PMI'!$A:$W,MATCH($A$1,'DB Country PMI'!$A$1:$W$1,),))</f>
        <v/>
      </c>
      <c r="C174" s="14">
        <f>Table1346811345[[#This Row],[PMI]]-B173</f>
        <v/>
      </c>
    </row>
    <row r="175">
      <c r="A175" s="8" t="n">
        <v>44805</v>
      </c>
      <c r="B175" s="11">
        <f>IF(VLOOKUP(A175,'DB Country PMI'!$A:$W,MATCH($A$1,'DB Country PMI'!$A$1:$W$1,),)=0,#N/A,VLOOKUP(A175,'DB Country PMI'!$A:$W,MATCH($A$1,'DB Country PMI'!$A$1:$W$1,),))</f>
        <v/>
      </c>
      <c r="C175" s="14">
        <f>Table1346811345[[#This Row],[PMI]]-B174</f>
        <v/>
      </c>
    </row>
    <row r="176">
      <c r="A176" s="8" t="n">
        <v>44835</v>
      </c>
      <c r="B176" s="11">
        <f>IF(VLOOKUP(A176,'DB Country PMI'!$A:$W,MATCH($A$1,'DB Country PMI'!$A$1:$W$1,),)=0,#N/A,VLOOKUP(A176,'DB Country PMI'!$A:$W,MATCH($A$1,'DB Country PMI'!$A$1:$W$1,),))</f>
        <v/>
      </c>
      <c r="C176" s="14">
        <f>Table1346811345[[#This Row],[PMI]]-B175</f>
        <v/>
      </c>
    </row>
    <row r="177">
      <c r="A177" s="8" t="n">
        <v>44866</v>
      </c>
      <c r="B177" s="11">
        <f>IF(VLOOKUP(A177,'DB Country PMI'!$A:$W,MATCH($A$1,'DB Country PMI'!$A$1:$W$1,),)=0,#N/A,VLOOKUP(A177,'DB Country PMI'!$A:$W,MATCH($A$1,'DB Country PMI'!$A$1:$W$1,),))</f>
        <v/>
      </c>
      <c r="C177" s="14">
        <f>Table1346811345[[#This Row],[PMI]]-B176</f>
        <v/>
      </c>
    </row>
  </sheetData>
  <conditionalFormatting sqref="C7:C177">
    <cfRule type="colorScale" priority="1">
      <colorScale>
        <cfvo type="min"/>
        <cfvo type="percentile" val="50"/>
        <cfvo type="max"/>
        <color rgb="FFF8696B"/>
        <color rgb="FFFCFCFF"/>
        <color rgb="FF5A8AC6"/>
      </colorScale>
    </cfRule>
  </conditionalFormatting>
  <conditionalFormatting sqref="B6:B17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90"/>
  <sheetViews>
    <sheetView zoomScale="150" zoomScaleNormal="150" workbookViewId="0">
      <pane ySplit="5" topLeftCell="A169" activePane="bottomLeft" state="frozen"/>
      <selection pane="bottomLeft" activeCell="A178" sqref="A178:C190"/>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Germany</t>
        </is>
      </c>
      <c r="J1" s="54" t="inlineStr">
        <is>
          <t xml:space="preserve"> Services PMI</t>
        </is>
      </c>
    </row>
    <row r="2">
      <c r="J2" s="54" t="inlineStr">
        <is>
          <t>Germany Services PMI</t>
        </is>
      </c>
    </row>
    <row r="4" ht="16" customHeight="1" thickBot="1"/>
    <row r="5" ht="16" customHeight="1"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row r="186">
      <c r="A186" s="8" t="n">
        <v>44743</v>
      </c>
      <c r="B186" s="11">
        <f>IF(VLOOKUP(A186,'DB Country PMI'!$A:$W,MATCH($A$1,'DB Country PMI'!$A$1:$W$1,),)=0,#N/A,VLOOKUP(A186,'DB Country PMI'!$A:$W,MATCH($A$1,'DB Country PMI'!$A$1:$W$1,),))</f>
        <v/>
      </c>
      <c r="C186" s="14">
        <f>Table13468113456[[#This Row],[PMI]]-B185</f>
        <v/>
      </c>
    </row>
    <row r="187">
      <c r="A187" s="8" t="n">
        <v>44774</v>
      </c>
      <c r="B187" s="11">
        <f>IF(VLOOKUP(A187,'DB Country PMI'!$A:$W,MATCH($A$1,'DB Country PMI'!$A$1:$W$1,),)=0,#N/A,VLOOKUP(A187,'DB Country PMI'!$A:$W,MATCH($A$1,'DB Country PMI'!$A$1:$W$1,),))</f>
        <v/>
      </c>
      <c r="C187" s="14">
        <f>Table13468113456[[#This Row],[PMI]]-B186</f>
        <v/>
      </c>
    </row>
    <row r="188">
      <c r="A188" s="8" t="n">
        <v>44805</v>
      </c>
      <c r="B188" s="11">
        <f>IF(VLOOKUP(A188,'DB Country PMI'!$A:$W,MATCH($A$1,'DB Country PMI'!$A$1:$W$1,),)=0,#N/A,VLOOKUP(A188,'DB Country PMI'!$A:$W,MATCH($A$1,'DB Country PMI'!$A$1:$W$1,),))</f>
        <v/>
      </c>
      <c r="C188" s="14">
        <f>Table13468113456[[#This Row],[PMI]]-B187</f>
        <v/>
      </c>
    </row>
    <row r="189">
      <c r="A189" s="8" t="n">
        <v>44835</v>
      </c>
      <c r="B189" s="11">
        <f>IF(VLOOKUP(A189,'DB Country PMI'!$A:$W,MATCH($A$1,'DB Country PMI'!$A$1:$W$1,),)=0,#N/A,VLOOKUP(A189,'DB Country PMI'!$A:$W,MATCH($A$1,'DB Country PMI'!$A$1:$W$1,),))</f>
        <v/>
      </c>
      <c r="C189" s="14">
        <f>Table13468113456[[#This Row],[PMI]]-B188</f>
        <v/>
      </c>
    </row>
    <row r="190">
      <c r="A190" s="8" t="n">
        <v>44866</v>
      </c>
      <c r="B190" s="11">
        <f>IF(VLOOKUP(A190,'DB Country PMI'!$A:$W,MATCH($A$1,'DB Country PMI'!$A$1:$W$1,),)=0,#N/A,VLOOKUP(A190,'DB Country PMI'!$A:$W,MATCH($A$1,'DB Country PMI'!$A$1:$W$1,),))</f>
        <v/>
      </c>
      <c r="C190" s="14">
        <f>Table13468113456[[#This Row],[PMI]]-B189</f>
        <v/>
      </c>
    </row>
  </sheetData>
  <conditionalFormatting sqref="C7:C190">
    <cfRule type="colorScale" priority="1">
      <colorScale>
        <cfvo type="min"/>
        <cfvo type="percentile" val="50"/>
        <cfvo type="max"/>
        <color rgb="FFF8696B"/>
        <color rgb="FFFCFCFF"/>
        <color rgb="FF5A8AC6"/>
      </colorScale>
    </cfRule>
  </conditionalFormatting>
  <conditionalFormatting sqref="B6:B19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51"/>
  <sheetViews>
    <sheetView zoomScale="150" zoomScaleNormal="150" workbookViewId="0">
      <pane ySplit="5" topLeftCell="A131" activePane="bottomLeft" state="frozen"/>
      <selection pane="bottomLeft" activeCell="A139" sqref="A139:C151"/>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United Kingdom</t>
        </is>
      </c>
      <c r="J1" s="54" t="inlineStr">
        <is>
          <t xml:space="preserve"> Services PMI</t>
        </is>
      </c>
    </row>
    <row r="2">
      <c r="J2" s="54" t="inlineStr">
        <is>
          <t>U.K.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row r="147">
      <c r="A147" s="8" t="n">
        <v>44743</v>
      </c>
      <c r="B147" s="11">
        <f>IF(VLOOKUP(A147,'DB Country PMI'!$A:$W,MATCH($A$1,'DB Country PMI'!$A$1:$W$1,),)=0,#N/A,VLOOKUP(A147,'DB Country PMI'!$A:$W,MATCH($A$1,'DB Country PMI'!$A$1:$W$1,),))</f>
        <v/>
      </c>
      <c r="C147" s="14">
        <f>Table1346811345671012131415[[#This Row],[PMI]]-B146</f>
        <v/>
      </c>
    </row>
    <row r="148">
      <c r="A148" s="8" t="n">
        <v>44774</v>
      </c>
      <c r="B148" s="11">
        <f>IF(VLOOKUP(A148,'DB Country PMI'!$A:$W,MATCH($A$1,'DB Country PMI'!$A$1:$W$1,),)=0,#N/A,VLOOKUP(A148,'DB Country PMI'!$A:$W,MATCH($A$1,'DB Country PMI'!$A$1:$W$1,),))</f>
        <v/>
      </c>
      <c r="C148" s="14">
        <f>Table1346811345671012131415[[#This Row],[PMI]]-B147</f>
        <v/>
      </c>
    </row>
    <row r="149">
      <c r="A149" s="8" t="n">
        <v>44805</v>
      </c>
      <c r="B149" s="11">
        <f>IF(VLOOKUP(A149,'DB Country PMI'!$A:$W,MATCH($A$1,'DB Country PMI'!$A$1:$W$1,),)=0,#N/A,VLOOKUP(A149,'DB Country PMI'!$A:$W,MATCH($A$1,'DB Country PMI'!$A$1:$W$1,),))</f>
        <v/>
      </c>
      <c r="C149" s="14">
        <f>Table1346811345671012131415[[#This Row],[PMI]]-B148</f>
        <v/>
      </c>
    </row>
    <row r="150">
      <c r="A150" s="8" t="n">
        <v>44835</v>
      </c>
      <c r="B150" s="11">
        <f>IF(VLOOKUP(A150,'DB Country PMI'!$A:$W,MATCH($A$1,'DB Country PMI'!$A$1:$W$1,),)=0,#N/A,VLOOKUP(A150,'DB Country PMI'!$A:$W,MATCH($A$1,'DB Country PMI'!$A$1:$W$1,),))</f>
        <v/>
      </c>
      <c r="C150" s="14">
        <f>Table1346811345671012131415[[#This Row],[PMI]]-B149</f>
        <v/>
      </c>
    </row>
    <row r="151">
      <c r="A151" s="8" t="n">
        <v>44866</v>
      </c>
      <c r="B151" s="11">
        <f>IF(VLOOKUP(A151,'DB Country PMI'!$A:$W,MATCH($A$1,'DB Country PMI'!$A$1:$W$1,),)=0,#N/A,VLOOKUP(A151,'DB Country PMI'!$A:$W,MATCH($A$1,'DB Country PMI'!$A$1:$W$1,),))</f>
        <v/>
      </c>
      <c r="C151" s="14">
        <f>Table1346811345671012131415[[#This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51"/>
  <sheetViews>
    <sheetView zoomScale="160" zoomScaleNormal="160" workbookViewId="0">
      <pane ySplit="5" topLeftCell="A141" activePane="bottomLeft" state="frozen"/>
      <selection pane="bottomLeft" activeCell="A135" sqref="A135:C151"/>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India</t>
        </is>
      </c>
      <c r="J1" s="54" t="inlineStr">
        <is>
          <t xml:space="preserve"> Services PMI</t>
        </is>
      </c>
    </row>
    <row r="2">
      <c r="J2" s="54" t="inlineStr">
        <is>
          <t>India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row r="147">
      <c r="A147" s="8" t="n">
        <v>44743</v>
      </c>
      <c r="B147" s="11">
        <f>IF(VLOOKUP(A147,'DB Country PMI'!$A:$W,MATCH($A$1,'DB Country PMI'!$A$1:$W$1,),)=0,#N/A,VLOOKUP(A147,'DB Country PMI'!$A:$W,MATCH($A$1,'DB Country PMI'!$A$1:$W$1,),))</f>
        <v/>
      </c>
      <c r="C147" s="14">
        <f>Table134681134567[[#This Row],[PMI]]-B146</f>
        <v/>
      </c>
    </row>
    <row r="148">
      <c r="A148" s="8" t="n">
        <v>44774</v>
      </c>
      <c r="B148" s="11">
        <f>IF(VLOOKUP(A148,'DB Country PMI'!$A:$W,MATCH($A$1,'DB Country PMI'!$A$1:$W$1,),)=0,#N/A,VLOOKUP(A148,'DB Country PMI'!$A:$W,MATCH($A$1,'DB Country PMI'!$A$1:$W$1,),))</f>
        <v/>
      </c>
      <c r="C148" s="14">
        <f>Table134681134567[[#This Row],[PMI]]-B147</f>
        <v/>
      </c>
    </row>
    <row r="149">
      <c r="A149" s="8" t="n">
        <v>44805</v>
      </c>
      <c r="B149" s="11">
        <f>IF(VLOOKUP(A149,'DB Country PMI'!$A:$W,MATCH($A$1,'DB Country PMI'!$A$1:$W$1,),)=0,#N/A,VLOOKUP(A149,'DB Country PMI'!$A:$W,MATCH($A$1,'DB Country PMI'!$A$1:$W$1,),))</f>
        <v/>
      </c>
      <c r="C149" s="14">
        <f>Table134681134567[[#This Row],[PMI]]-B148</f>
        <v/>
      </c>
    </row>
    <row r="150">
      <c r="A150" s="8" t="n">
        <v>44835</v>
      </c>
      <c r="B150" s="11">
        <f>IF(VLOOKUP(A150,'DB Country PMI'!$A:$W,MATCH($A$1,'DB Country PMI'!$A$1:$W$1,),)=0,#N/A,VLOOKUP(A150,'DB Country PMI'!$A:$W,MATCH($A$1,'DB Country PMI'!$A$1:$W$1,),))</f>
        <v/>
      </c>
      <c r="C150" s="14">
        <f>Table134681134567[[#This Row],[PMI]]-B149</f>
        <v/>
      </c>
    </row>
    <row r="151">
      <c r="A151" s="8" t="n">
        <v>44866</v>
      </c>
      <c r="B151" s="11">
        <f>IF(VLOOKUP(A151,'DB Country PMI'!$A:$W,MATCH($A$1,'DB Country PMI'!$A$1:$W$1,),)=0,#N/A,VLOOKUP(A151,'DB Country PMI'!$A:$W,MATCH($A$1,'DB Country PMI'!$A$1:$W$1,),))</f>
        <v/>
      </c>
      <c r="C151" s="14">
        <f>Table134681134567[[#This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51"/>
  <sheetViews>
    <sheetView zoomScale="150" zoomScaleNormal="150" workbookViewId="0">
      <pane ySplit="5" topLeftCell="A132" activePane="bottomLeft" state="frozen"/>
      <selection pane="bottomLeft" activeCell="A139" sqref="A139:C151"/>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Australia</t>
        </is>
      </c>
      <c r="J1" s="54" t="inlineStr">
        <is>
          <t xml:space="preserve"> Services PMI</t>
        </is>
      </c>
    </row>
    <row r="2">
      <c r="J2" s="54" t="inlineStr">
        <is>
          <t>Australia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row r="147">
      <c r="A147" s="8" t="n">
        <v>44743</v>
      </c>
      <c r="B147" s="11">
        <f>IF(VLOOKUP(A147,'DB Country PMI'!$A:$W,MATCH($A$1,'DB Country PMI'!$A$1:$W$1,),)=0,#N/A,VLOOKUP(A147,'DB Country PMI'!$A:$W,MATCH($A$1,'DB Country PMI'!$A$1:$W$1,),))</f>
        <v/>
      </c>
      <c r="C147" s="14">
        <f>Table13468113456716[[#This Row],[PMI]]-B146</f>
        <v/>
      </c>
    </row>
    <row r="148">
      <c r="A148" s="8" t="n">
        <v>44774</v>
      </c>
      <c r="B148" s="11">
        <f>IF(VLOOKUP(A148,'DB Country PMI'!$A:$W,MATCH($A$1,'DB Country PMI'!$A$1:$W$1,),)=0,#N/A,VLOOKUP(A148,'DB Country PMI'!$A:$W,MATCH($A$1,'DB Country PMI'!$A$1:$W$1,),))</f>
        <v/>
      </c>
      <c r="C148" s="14">
        <f>Table13468113456716[[#This Row],[PMI]]-B147</f>
        <v/>
      </c>
    </row>
    <row r="149">
      <c r="A149" s="8" t="n">
        <v>44805</v>
      </c>
      <c r="B149" s="11">
        <f>IF(VLOOKUP(A149,'DB Country PMI'!$A:$W,MATCH($A$1,'DB Country PMI'!$A$1:$W$1,),)=0,#N/A,VLOOKUP(A149,'DB Country PMI'!$A:$W,MATCH($A$1,'DB Country PMI'!$A$1:$W$1,),))</f>
        <v/>
      </c>
      <c r="C149" s="14">
        <f>Table13468113456716[[#This Row],[PMI]]-B148</f>
        <v/>
      </c>
    </row>
    <row r="150">
      <c r="A150" s="8" t="n">
        <v>44835</v>
      </c>
      <c r="B150" s="11">
        <f>IF(VLOOKUP(A150,'DB Country PMI'!$A:$W,MATCH($A$1,'DB Country PMI'!$A$1:$W$1,),)=0,#N/A,VLOOKUP(A150,'DB Country PMI'!$A:$W,MATCH($A$1,'DB Country PMI'!$A$1:$W$1,),))</f>
        <v/>
      </c>
      <c r="C150" s="14">
        <f>Table13468113456716[[#This Row],[PMI]]-B149</f>
        <v/>
      </c>
    </row>
    <row r="151">
      <c r="A151" s="8" t="n">
        <v>44866</v>
      </c>
      <c r="B151" s="11">
        <f>IF(VLOOKUP(A151,'DB Country PMI'!$A:$W,MATCH($A$1,'DB Country PMI'!$A$1:$W$1,),)=0,#N/A,VLOOKUP(A151,'DB Country PMI'!$A:$W,MATCH($A$1,'DB Country PMI'!$A$1:$W$1,),))</f>
        <v/>
      </c>
      <c r="C151" s="14">
        <f>Table13468113456716[[#This Row],[PMI]]-B150</f>
        <v/>
      </c>
    </row>
  </sheetData>
  <conditionalFormatting sqref="C7:C151">
    <cfRule type="colorScale" priority="207">
      <colorScale>
        <cfvo type="min"/>
        <cfvo type="percentile" val="50"/>
        <cfvo type="max"/>
        <color rgb="FFF8696B"/>
        <color rgb="FFFCFCFF"/>
        <color rgb="FF5A8AC6"/>
      </colorScale>
    </cfRule>
  </conditionalFormatting>
  <conditionalFormatting sqref="B6:B151">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51"/>
  <sheetViews>
    <sheetView zoomScale="160" zoomScaleNormal="160" workbookViewId="0">
      <pane ySplit="5" topLeftCell="A139" activePane="bottomLeft" state="frozen"/>
      <selection pane="bottomLeft" activeCell="A138" sqref="A138:C151"/>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Ireland</t>
        </is>
      </c>
      <c r="J1" s="54" t="inlineStr">
        <is>
          <t xml:space="preserve"> Services PMI</t>
        </is>
      </c>
    </row>
    <row r="2">
      <c r="J2" s="54" t="inlineStr">
        <is>
          <t>Ireland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row r="147">
      <c r="A147" s="8" t="n">
        <v>44743</v>
      </c>
      <c r="B147" s="11">
        <f>IF(VLOOKUP(A147,'DB Country PMI'!$A:$W,MATCH($A$1,'DB Country PMI'!$A$1:$W$1,),)=0,#N/A,VLOOKUP(A147,'DB Country PMI'!$A:$W,MATCH($A$1,'DB Country PMI'!$A$1:$W$1,),))</f>
        <v/>
      </c>
      <c r="C147" s="14">
        <f>Table1346811345678[[#This Row],[PMI]]-B146</f>
        <v/>
      </c>
    </row>
    <row r="148">
      <c r="A148" s="8" t="n">
        <v>44774</v>
      </c>
      <c r="B148" s="11">
        <f>IF(VLOOKUP(A148,'DB Country PMI'!$A:$W,MATCH($A$1,'DB Country PMI'!$A$1:$W$1,),)=0,#N/A,VLOOKUP(A148,'DB Country PMI'!$A:$W,MATCH($A$1,'DB Country PMI'!$A$1:$W$1,),))</f>
        <v/>
      </c>
      <c r="C148" s="14">
        <f>Table1346811345678[[#This Row],[PMI]]-B147</f>
        <v/>
      </c>
    </row>
    <row r="149">
      <c r="A149" s="8" t="n">
        <v>44805</v>
      </c>
      <c r="B149" s="11">
        <f>IF(VLOOKUP(A149,'DB Country PMI'!$A:$W,MATCH($A$1,'DB Country PMI'!$A$1:$W$1,),)=0,#N/A,VLOOKUP(A149,'DB Country PMI'!$A:$W,MATCH($A$1,'DB Country PMI'!$A$1:$W$1,),))</f>
        <v/>
      </c>
      <c r="C149" s="14">
        <f>Table1346811345678[[#This Row],[PMI]]-B148</f>
        <v/>
      </c>
    </row>
    <row r="150">
      <c r="A150" s="8" t="n">
        <v>44835</v>
      </c>
      <c r="B150" s="11">
        <f>IF(VLOOKUP(A150,'DB Country PMI'!$A:$W,MATCH($A$1,'DB Country PMI'!$A$1:$W$1,),)=0,#N/A,VLOOKUP(A150,'DB Country PMI'!$A:$W,MATCH($A$1,'DB Country PMI'!$A$1:$W$1,),))</f>
        <v/>
      </c>
      <c r="C150" s="14">
        <f>Table1346811345678[[#This Row],[PMI]]-B149</f>
        <v/>
      </c>
    </row>
    <row r="151">
      <c r="A151" s="8" t="n">
        <v>44866</v>
      </c>
      <c r="B151" s="11">
        <f>IF(VLOOKUP(A151,'DB Country PMI'!$A:$W,MATCH($A$1,'DB Country PMI'!$A$1:$W$1,),)=0,#N/A,VLOOKUP(A151,'DB Country PMI'!$A:$W,MATCH($A$1,'DB Country PMI'!$A$1:$W$1,),))</f>
        <v/>
      </c>
      <c r="C151" s="14">
        <f>Table1346811345678[[#This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51"/>
  <sheetViews>
    <sheetView zoomScale="160" zoomScaleNormal="160" workbookViewId="0">
      <pane ySplit="5" topLeftCell="A136" activePane="bottomLeft" state="frozen"/>
      <selection pane="bottomLeft" activeCell="A135" sqref="A135:C151"/>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Italy</t>
        </is>
      </c>
      <c r="J1" s="54" t="inlineStr">
        <is>
          <t xml:space="preserve"> Services PMI</t>
        </is>
      </c>
    </row>
    <row r="2">
      <c r="J2" s="54" t="inlineStr">
        <is>
          <t>Italy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row r="147">
      <c r="A147" s="8" t="n">
        <v>44743</v>
      </c>
      <c r="B147" s="11">
        <f>IF(VLOOKUP(A147,'DB Country PMI'!$A:$W,MATCH($A$1,'DB Country PMI'!$A$1:$W$1,),)=0,#N/A,VLOOKUP(A147,'DB Country PMI'!$A:$W,MATCH($A$1,'DB Country PMI'!$A$1:$W$1,),))</f>
        <v/>
      </c>
      <c r="C147" s="14">
        <f>Table13468113456789[[#This Row],[PMI]]-B146</f>
        <v/>
      </c>
    </row>
    <row r="148">
      <c r="A148" s="8" t="n">
        <v>44774</v>
      </c>
      <c r="B148" s="11">
        <f>IF(VLOOKUP(A148,'DB Country PMI'!$A:$W,MATCH($A$1,'DB Country PMI'!$A$1:$W$1,),)=0,#N/A,VLOOKUP(A148,'DB Country PMI'!$A:$W,MATCH($A$1,'DB Country PMI'!$A$1:$W$1,),))</f>
        <v/>
      </c>
      <c r="C148" s="14">
        <f>Table13468113456789[[#This Row],[PMI]]-B147</f>
        <v/>
      </c>
    </row>
    <row r="149">
      <c r="A149" s="8" t="n">
        <v>44805</v>
      </c>
      <c r="B149" s="11">
        <f>IF(VLOOKUP(A149,'DB Country PMI'!$A:$W,MATCH($A$1,'DB Country PMI'!$A$1:$W$1,),)=0,#N/A,VLOOKUP(A149,'DB Country PMI'!$A:$W,MATCH($A$1,'DB Country PMI'!$A$1:$W$1,),))</f>
        <v/>
      </c>
      <c r="C149" s="14">
        <f>Table13468113456789[[#This Row],[PMI]]-B148</f>
        <v/>
      </c>
    </row>
    <row r="150">
      <c r="A150" s="8" t="n">
        <v>44835</v>
      </c>
      <c r="B150" s="11">
        <f>IF(VLOOKUP(A150,'DB Country PMI'!$A:$W,MATCH($A$1,'DB Country PMI'!$A$1:$W$1,),)=0,#N/A,VLOOKUP(A150,'DB Country PMI'!$A:$W,MATCH($A$1,'DB Country PMI'!$A$1:$W$1,),))</f>
        <v/>
      </c>
      <c r="C150" s="14">
        <f>Table13468113456789[[#This Row],[PMI]]-B149</f>
        <v/>
      </c>
    </row>
    <row r="151">
      <c r="A151" s="8" t="n">
        <v>44866</v>
      </c>
      <c r="B151" s="11">
        <f>IF(VLOOKUP(A151,'DB Country PMI'!$A:$W,MATCH($A$1,'DB Country PMI'!$A$1:$W$1,),)=0,#N/A,VLOOKUP(A151,'DB Country PMI'!$A:$W,MATCH($A$1,'DB Country PMI'!$A$1:$W$1,),))</f>
        <v/>
      </c>
      <c r="C151" s="14">
        <f>Table13468113456789[[#This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51"/>
  <sheetViews>
    <sheetView zoomScale="150" zoomScaleNormal="150" workbookViewId="0">
      <pane ySplit="5" topLeftCell="A134" activePane="bottomLeft" state="frozen"/>
      <selection pane="bottomLeft" activeCell="A140" sqref="A140:C151"/>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Japan</t>
        </is>
      </c>
      <c r="J1" s="54" t="inlineStr">
        <is>
          <t xml:space="preserve"> Services PMI</t>
        </is>
      </c>
    </row>
    <row r="2">
      <c r="J2" s="54" t="inlineStr">
        <is>
          <t>Japan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row r="147">
      <c r="A147" s="8" t="n">
        <v>44743</v>
      </c>
      <c r="B147" s="11">
        <f>IF(VLOOKUP(A147,'DB Country PMI'!$A:$W,MATCH($A$1,'DB Country PMI'!$A$1:$W$1,),)=0,#N/A,VLOOKUP(A147,'DB Country PMI'!$A:$W,MATCH($A$1,'DB Country PMI'!$A$1:$W$1,),))</f>
        <v/>
      </c>
      <c r="C147" s="14">
        <f>Table13468113456710[[#This Row],[PMI]]-B146</f>
        <v/>
      </c>
    </row>
    <row r="148">
      <c r="A148" s="8" t="n">
        <v>44774</v>
      </c>
      <c r="B148" s="11">
        <f>IF(VLOOKUP(A148,'DB Country PMI'!$A:$W,MATCH($A$1,'DB Country PMI'!$A$1:$W$1,),)=0,#N/A,VLOOKUP(A148,'DB Country PMI'!$A:$W,MATCH($A$1,'DB Country PMI'!$A$1:$W$1,),))</f>
        <v/>
      </c>
      <c r="C148" s="14">
        <f>Table13468113456710[[#This Row],[PMI]]-B147</f>
        <v/>
      </c>
    </row>
    <row r="149">
      <c r="A149" s="8" t="n">
        <v>44805</v>
      </c>
      <c r="B149" s="11">
        <f>IF(VLOOKUP(A149,'DB Country PMI'!$A:$W,MATCH($A$1,'DB Country PMI'!$A$1:$W$1,),)=0,#N/A,VLOOKUP(A149,'DB Country PMI'!$A:$W,MATCH($A$1,'DB Country PMI'!$A$1:$W$1,),))</f>
        <v/>
      </c>
      <c r="C149" s="14">
        <f>Table13468113456710[[#This Row],[PMI]]-B148</f>
        <v/>
      </c>
    </row>
    <row r="150">
      <c r="A150" s="8" t="n">
        <v>44835</v>
      </c>
      <c r="B150" s="11">
        <f>IF(VLOOKUP(A150,'DB Country PMI'!$A:$W,MATCH($A$1,'DB Country PMI'!$A$1:$W$1,),)=0,#N/A,VLOOKUP(A150,'DB Country PMI'!$A:$W,MATCH($A$1,'DB Country PMI'!$A$1:$W$1,),))</f>
        <v/>
      </c>
      <c r="C150" s="14">
        <f>Table13468113456710[[#This Row],[PMI]]-B149</f>
        <v/>
      </c>
    </row>
    <row r="151">
      <c r="A151" s="8" t="n">
        <v>44866</v>
      </c>
      <c r="B151" s="11">
        <f>IF(VLOOKUP(A151,'DB Country PMI'!$A:$W,MATCH($A$1,'DB Country PMI'!$A$1:$W$1,),)=0,#N/A,VLOOKUP(A151,'DB Country PMI'!$A:$W,MATCH($A$1,'DB Country PMI'!$A$1:$W$1,),))</f>
        <v/>
      </c>
      <c r="C151" s="14">
        <f>Table13468113456710[[#This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51"/>
  <sheetViews>
    <sheetView zoomScale="160" zoomScaleNormal="160" workbookViewId="0">
      <pane ySplit="5" topLeftCell="A137" activePane="bottomLeft" state="frozen"/>
      <selection pane="bottomLeft" activeCell="A139" sqref="A139:C151"/>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Brazil</t>
        </is>
      </c>
      <c r="J1" s="54" t="inlineStr">
        <is>
          <t xml:space="preserve"> Services PMI</t>
        </is>
      </c>
    </row>
    <row r="2">
      <c r="J2" s="54" t="inlineStr">
        <is>
          <t>Brazil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row r="147">
      <c r="A147" s="8" t="n">
        <v>44743</v>
      </c>
      <c r="B147" s="11">
        <f>IF(VLOOKUP(A147,'DB Country PMI'!$A:$W,MATCH($A$1,'DB Country PMI'!$A$1:$W$1,),)=0,#N/A,VLOOKUP(A147,'DB Country PMI'!$A:$W,MATCH($A$1,'DB Country PMI'!$A$1:$W$1,),))</f>
        <v/>
      </c>
      <c r="C147" s="14">
        <f>Table1346811345671012[[#This Row],[PMI]]-B146</f>
        <v/>
      </c>
    </row>
    <row r="148">
      <c r="A148" s="8" t="n">
        <v>44774</v>
      </c>
      <c r="B148" s="11">
        <f>IF(VLOOKUP(A148,'DB Country PMI'!$A:$W,MATCH($A$1,'DB Country PMI'!$A$1:$W$1,),)=0,#N/A,VLOOKUP(A148,'DB Country PMI'!$A:$W,MATCH($A$1,'DB Country PMI'!$A$1:$W$1,),))</f>
        <v/>
      </c>
      <c r="C148" s="14">
        <f>Table1346811345671012[[#This Row],[PMI]]-B147</f>
        <v/>
      </c>
    </row>
    <row r="149">
      <c r="A149" s="8" t="n">
        <v>44805</v>
      </c>
      <c r="B149" s="11">
        <f>IF(VLOOKUP(A149,'DB Country PMI'!$A:$W,MATCH($A$1,'DB Country PMI'!$A$1:$W$1,),)=0,#N/A,VLOOKUP(A149,'DB Country PMI'!$A:$W,MATCH($A$1,'DB Country PMI'!$A$1:$W$1,),))</f>
        <v/>
      </c>
      <c r="C149" s="14">
        <f>Table1346811345671012[[#This Row],[PMI]]-B148</f>
        <v/>
      </c>
    </row>
    <row r="150">
      <c r="A150" s="8" t="n">
        <v>44835</v>
      </c>
      <c r="B150" s="11">
        <f>IF(VLOOKUP(A150,'DB Country PMI'!$A:$W,MATCH($A$1,'DB Country PMI'!$A$1:$W$1,),)=0,#N/A,VLOOKUP(A150,'DB Country PMI'!$A:$W,MATCH($A$1,'DB Country PMI'!$A$1:$W$1,),))</f>
        <v/>
      </c>
      <c r="C150" s="14">
        <f>Table1346811345671012[[#This Row],[PMI]]-B149</f>
        <v/>
      </c>
    </row>
    <row r="151">
      <c r="A151" s="8" t="n">
        <v>44866</v>
      </c>
      <c r="B151" s="11">
        <f>IF(VLOOKUP(A151,'DB Country PMI'!$A:$W,MATCH($A$1,'DB Country PMI'!$A$1:$W$1,),)=0,#N/A,VLOOKUP(A151,'DB Country PMI'!$A:$W,MATCH($A$1,'DB Country PMI'!$A$1:$W$1,),))</f>
        <v/>
      </c>
      <c r="C151" s="14">
        <f>Table1346811345671012[[#This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51"/>
  <sheetViews>
    <sheetView zoomScale="160" zoomScaleNormal="160" workbookViewId="0">
      <pane ySplit="5" topLeftCell="A135" activePane="bottomLeft" state="frozen"/>
      <selection pane="bottomLeft" activeCell="A138" sqref="A138:C151"/>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Russia</t>
        </is>
      </c>
      <c r="J1" s="54" t="inlineStr">
        <is>
          <t xml:space="preserve"> Services PMI</t>
        </is>
      </c>
    </row>
    <row r="2">
      <c r="J2" s="54" t="inlineStr">
        <is>
          <t>Russia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row r="147">
      <c r="A147" s="8" t="n">
        <v>44743</v>
      </c>
      <c r="B147" s="11">
        <f>IF(VLOOKUP(A147,'DB Country PMI'!$A:$W,MATCH($A$1,'DB Country PMI'!$A$1:$W$1,),)=0,#N/A,VLOOKUP(A147,'DB Country PMI'!$A:$W,MATCH($A$1,'DB Country PMI'!$A$1:$W$1,),))</f>
        <v/>
      </c>
      <c r="C147" s="14">
        <f>Table134681134567101213[[#This Row],[PMI]]-B146</f>
        <v/>
      </c>
    </row>
    <row r="148">
      <c r="A148" s="8" t="n">
        <v>44774</v>
      </c>
      <c r="B148" s="11">
        <f>IF(VLOOKUP(A148,'DB Country PMI'!$A:$W,MATCH($A$1,'DB Country PMI'!$A$1:$W$1,),)=0,#N/A,VLOOKUP(A148,'DB Country PMI'!$A:$W,MATCH($A$1,'DB Country PMI'!$A$1:$W$1,),))</f>
        <v/>
      </c>
      <c r="C148" s="14">
        <f>Table134681134567101213[[#This Row],[PMI]]-B147</f>
        <v/>
      </c>
    </row>
    <row r="149">
      <c r="A149" s="8" t="n">
        <v>44805</v>
      </c>
      <c r="B149" s="11">
        <f>IF(VLOOKUP(A149,'DB Country PMI'!$A:$W,MATCH($A$1,'DB Country PMI'!$A$1:$W$1,),)=0,#N/A,VLOOKUP(A149,'DB Country PMI'!$A:$W,MATCH($A$1,'DB Country PMI'!$A$1:$W$1,),))</f>
        <v/>
      </c>
      <c r="C149" s="14">
        <f>Table134681134567101213[[#This Row],[PMI]]-B148</f>
        <v/>
      </c>
    </row>
    <row r="150">
      <c r="A150" s="8" t="n">
        <v>44835</v>
      </c>
      <c r="B150" s="11">
        <f>IF(VLOOKUP(A150,'DB Country PMI'!$A:$W,MATCH($A$1,'DB Country PMI'!$A$1:$W$1,),)=0,#N/A,VLOOKUP(A150,'DB Country PMI'!$A:$W,MATCH($A$1,'DB Country PMI'!$A$1:$W$1,),))</f>
        <v/>
      </c>
      <c r="C150" s="14">
        <f>Table134681134567101213[[#This Row],[PMI]]-B149</f>
        <v/>
      </c>
    </row>
    <row r="151">
      <c r="A151" s="8" t="n">
        <v>44866</v>
      </c>
      <c r="B151" s="11">
        <f>IF(VLOOKUP(A151,'DB Country PMI'!$A:$W,MATCH($A$1,'DB Country PMI'!$A$1:$W$1,),)=0,#N/A,VLOOKUP(A151,'DB Country PMI'!$A:$W,MATCH($A$1,'DB Country PMI'!$A$1:$W$1,),))</f>
        <v/>
      </c>
      <c r="C151" s="14">
        <f>Table134681134567101213[[#This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51"/>
  <sheetViews>
    <sheetView zoomScale="170" zoomScaleNormal="170" workbookViewId="0">
      <pane ySplit="5" topLeftCell="A136" activePane="bottomLeft" state="frozen"/>
      <selection pane="bottomLeft" activeCell="R155" sqref="R155"/>
    </sheetView>
  </sheetViews>
  <sheetFormatPr baseColWidth="8" defaultColWidth="9.1796875" defaultRowHeight="14.5"/>
  <cols>
    <col width="13.453125" customWidth="1" style="54" min="1" max="1"/>
    <col width="11.36328125" customWidth="1" style="54" min="2" max="2"/>
    <col width="9.1796875" customWidth="1" style="54" min="3" max="14"/>
    <col width="9.1796875" customWidth="1" style="54" min="15" max="16384"/>
  </cols>
  <sheetData>
    <row r="1">
      <c r="A1" s="54" t="inlineStr">
        <is>
          <t>Spain</t>
        </is>
      </c>
      <c r="J1" s="54" t="inlineStr">
        <is>
          <t xml:space="preserve"> Services PMI</t>
        </is>
      </c>
    </row>
    <row r="2">
      <c r="J2" s="54" t="inlineStr">
        <is>
          <t>Spain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row r="147">
      <c r="A147" s="8" t="n">
        <v>44743</v>
      </c>
      <c r="B147" s="11">
        <f>IF(VLOOKUP(A147,'DB Country PMI'!$A:$W,MATCH($A$1,'DB Country PMI'!$A$1:$W$1,),)=0,#N/A,VLOOKUP(A147,'DB Country PMI'!$A:$W,MATCH($A$1,'DB Country PMI'!$A$1:$W$1,),))</f>
        <v/>
      </c>
      <c r="C147" s="14">
        <f>Table13468113456710121314[[#This Row],[PMI]]-B146</f>
        <v/>
      </c>
    </row>
    <row r="148">
      <c r="A148" s="8" t="n">
        <v>44774</v>
      </c>
      <c r="B148" s="11">
        <f>IF(VLOOKUP(A148,'DB Country PMI'!$A:$W,MATCH($A$1,'DB Country PMI'!$A$1:$W$1,),)=0,#N/A,VLOOKUP(A148,'DB Country PMI'!$A:$W,MATCH($A$1,'DB Country PMI'!$A$1:$W$1,),))</f>
        <v/>
      </c>
      <c r="C148" s="14">
        <f>Table13468113456710121314[[#This Row],[PMI]]-B147</f>
        <v/>
      </c>
    </row>
    <row r="149">
      <c r="A149" s="8" t="n">
        <v>44805</v>
      </c>
      <c r="B149" s="11">
        <f>IF(VLOOKUP(A149,'DB Country PMI'!$A:$W,MATCH($A$1,'DB Country PMI'!$A$1:$W$1,),)=0,#N/A,VLOOKUP(A149,'DB Country PMI'!$A:$W,MATCH($A$1,'DB Country PMI'!$A$1:$W$1,),))</f>
        <v/>
      </c>
      <c r="C149" s="14">
        <f>Table13468113456710121314[[#This Row],[PMI]]-B148</f>
        <v/>
      </c>
    </row>
    <row r="150">
      <c r="A150" s="8" t="n">
        <v>44835</v>
      </c>
      <c r="B150" s="11">
        <f>IF(VLOOKUP(A150,'DB Country PMI'!$A:$W,MATCH($A$1,'DB Country PMI'!$A$1:$W$1,),)=0,#N/A,VLOOKUP(A150,'DB Country PMI'!$A:$W,MATCH($A$1,'DB Country PMI'!$A$1:$W$1,),))</f>
        <v/>
      </c>
      <c r="C150" s="14">
        <f>Table13468113456710121314[[#This Row],[PMI]]-B149</f>
        <v/>
      </c>
    </row>
    <row r="151">
      <c r="A151" s="8" t="n">
        <v>44866</v>
      </c>
      <c r="B151" s="11">
        <f>IF(VLOOKUP(A151,'DB Country PMI'!$A:$W,MATCH($A$1,'DB Country PMI'!$A$1:$W$1,),)=0,#N/A,VLOOKUP(A151,'DB Country PMI'!$A:$W,MATCH($A$1,'DB Country PMI'!$A$1:$W$1,),))</f>
        <v/>
      </c>
      <c r="C151" s="14">
        <f>Table13468113456710121314[[#This Row],[PMI]]-B150</f>
        <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2022-12-27T12:46:08Z</dcterms:modified>
  <cp:lastModifiedBy>Mark Mukherjee</cp:lastModifiedBy>
</cp:coreProperties>
</file>