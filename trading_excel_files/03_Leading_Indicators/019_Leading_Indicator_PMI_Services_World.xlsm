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7520" yWindow="464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Global!$B$6:$B$150</f>
              <numCache>
                <formatCode>General</formatCode>
                <ptCount val="145"/>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US!$A$6:$A$113</f>
              <numCache>
                <formatCode>m/d/yy</formatCode>
                <ptCount val="108"/>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numCache>
            </numRef>
          </cat>
          <val>
            <numRef>
              <f>US!$B$6:$B$113</f>
              <numCache>
                <formatCode>General</formatCode>
                <ptCount val="108"/>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EuroArea!$A$6:$A$188</f>
              <numCache>
                <formatCode>m/d/yy</formatCode>
                <ptCount val="183"/>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numCache>
            </numRef>
          </cat>
          <val>
            <numRef>
              <f>EuroArea!$B$6:$B$188</f>
              <numCache>
                <formatCode>General</formatCode>
                <ptCount val="183"/>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China!$B$6:$B$149</f>
              <numCache>
                <formatCode>General</formatCode>
                <ptCount val="144"/>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France!$A$6:$A$175</f>
              <numCache>
                <formatCode>m/d/yy</formatCode>
                <ptCount val="170"/>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numCache>
            </numRef>
          </cat>
          <val>
            <numRef>
              <f>France!$B$6:$B$175</f>
              <numCache>
                <formatCode>General</formatCode>
                <ptCount val="170"/>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Germany!$A$6:$A$188</f>
              <numCache>
                <formatCode>m/d/yy</formatCode>
                <ptCount val="183"/>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numCache>
            </numRef>
          </cat>
          <val>
            <numRef>
              <f>Germany!$B$6:$B$188</f>
              <numCache>
                <formatCode>General</formatCode>
                <ptCount val="183"/>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UK!$B$6:$B$149</f>
              <numCache>
                <formatCode>General</formatCode>
                <ptCount val="144"/>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India!$B$6:$B$149</f>
              <numCache>
                <formatCode>General</formatCode>
                <ptCount val="144"/>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Australia!$B$6:$B$149</f>
              <numCache>
                <formatCode>General</formatCode>
                <ptCount val="144"/>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Ireland!$B$6:$B$149</f>
              <numCache>
                <formatCode>General</formatCode>
                <ptCount val="144"/>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Italy!$B$6:$B$149</f>
              <numCache>
                <formatCode>General</formatCode>
                <ptCount val="144"/>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Japan!$B$6:$B$149</f>
              <numCache>
                <formatCode>General</formatCode>
                <ptCount val="144"/>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Brazil!$B$6:$B$149</f>
              <numCache>
                <formatCode>General</formatCode>
                <ptCount val="144"/>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Russia!$B$6:$B$149</f>
              <numCache>
                <formatCode>General</formatCode>
                <ptCount val="144"/>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Spain!$B$6:$B$149</f>
              <numCache>
                <formatCode>General</formatCode>
                <ptCount val="144"/>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9" headerRowCount="1" totalsRowShown="0" headerRowDxfId="129" dataDxfId="127" headerRowBorderDxfId="128" tableBorderDxfId="126" totalsRowBorderDxfId="125">
  <autoFilter ref="A5:C149"/>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3" headerRowCount="1" totalsRowShown="0" headerRowDxfId="121" dataDxfId="119" headerRowBorderDxfId="120" tableBorderDxfId="118" totalsRowBorderDxfId="117">
  <autoFilter ref="A5:C113"/>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8" headerRowCount="1" totalsRowShown="0" headerRowDxfId="113" dataDxfId="111" headerRowBorderDxfId="112" tableBorderDxfId="110" totalsRowBorderDxfId="109">
  <autoFilter ref="A5:C188"/>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9" headerRowCount="1" totalsRowShown="0" headerRowDxfId="105" dataDxfId="103" headerRowBorderDxfId="104" tableBorderDxfId="102" totalsRowBorderDxfId="101">
  <autoFilter ref="A5:C149"/>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5" headerRowCount="1" totalsRowShown="0" headerRowDxfId="97" dataDxfId="95" headerRowBorderDxfId="96" tableBorderDxfId="94" totalsRowBorderDxfId="93">
  <autoFilter ref="A5:C175"/>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8" headerRowCount="1" totalsRowShown="0" headerRowDxfId="89" dataDxfId="87" headerRowBorderDxfId="88" tableBorderDxfId="86" totalsRowBorderDxfId="85">
  <autoFilter ref="A5:C188"/>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9" headerRowCount="1" totalsRowShown="0" headerRowDxfId="81" dataDxfId="79" headerRowBorderDxfId="80" tableBorderDxfId="78" totalsRowBorderDxfId="77">
  <autoFilter ref="A5:C149"/>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9" headerRowCount="1" totalsRowShown="0" headerRowDxfId="73" dataDxfId="71" headerRowBorderDxfId="72" tableBorderDxfId="70" totalsRowBorderDxfId="69">
  <autoFilter ref="A5:C149"/>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9" headerRowCount="1" totalsRowShown="0" headerRowDxfId="65" dataDxfId="63" headerRowBorderDxfId="64" tableBorderDxfId="62" totalsRowBorderDxfId="61">
  <autoFilter ref="A5:C149"/>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9" headerRowCount="1" totalsRowShown="0" headerRowDxfId="57" dataDxfId="55" headerRowBorderDxfId="56" tableBorderDxfId="54" totalsRowBorderDxfId="53">
  <autoFilter ref="A5:C149"/>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9" headerRowCount="1" totalsRowShown="0" headerRowDxfId="49" dataDxfId="47" headerRowBorderDxfId="48" tableBorderDxfId="46" totalsRowBorderDxfId="45">
  <autoFilter ref="A5:C149"/>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9" headerRowCount="1" totalsRowShown="0" headerRowDxfId="41" dataDxfId="39" headerRowBorderDxfId="40" tableBorderDxfId="38" totalsRowBorderDxfId="37">
  <autoFilter ref="A5:C149"/>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9" headerRowCount="1" totalsRowShown="0" headerRowDxfId="33" dataDxfId="31" headerRowBorderDxfId="32" tableBorderDxfId="30" totalsRowBorderDxfId="29">
  <autoFilter ref="A5:C149"/>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9" headerRowCount="1" totalsRowShown="0" headerRowDxfId="25" dataDxfId="23" headerRowBorderDxfId="24" tableBorderDxfId="22" totalsRowBorderDxfId="21">
  <autoFilter ref="A5:C149"/>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9" headerRowCount="1" totalsRowShown="0" headerRowDxfId="17" dataDxfId="15" headerRowBorderDxfId="16" tableBorderDxfId="14" totalsRowBorderDxfId="13">
  <autoFilter ref="A5:C149"/>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H181" sqref="H181"/>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7"/>
    <col width="9.1640625" customWidth="1" style="55" min="28"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44805</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5"/>
  <sheetViews>
    <sheetView zoomScale="170" zoomScaleNormal="170" workbookViewId="0">
      <pane ySplit="1" topLeftCell="A172" activePane="bottomLeft" state="frozen"/>
      <selection activeCell="V1" sqref="V1"/>
      <selection pane="bottomLeft" activeCell="H181" sqref="H181"/>
    </sheetView>
  </sheetViews>
  <sheetFormatPr baseColWidth="10" defaultRowHeight="15"/>
  <cols>
    <col width="10.83203125" customWidth="1" style="38" min="1" max="8"/>
    <col width="10.83203125" customWidth="1" style="38" min="9"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row r="183">
      <c r="A183" s="73" t="n">
        <v>44774</v>
      </c>
      <c r="B183" t="n">
        <v>53.3</v>
      </c>
      <c r="C183" t="n">
        <v>53.9</v>
      </c>
      <c r="D183" t="n">
        <v>55</v>
      </c>
      <c r="E183" t="n">
        <v>49.8</v>
      </c>
      <c r="F183" t="n">
        <v>51.2</v>
      </c>
      <c r="G183" t="n">
        <v>47.7</v>
      </c>
      <c r="H183" t="n">
        <v/>
      </c>
      <c r="I183" t="n">
        <v>57.2</v>
      </c>
      <c r="J183" t="n">
        <v>54.7</v>
      </c>
      <c r="K183" t="n">
        <v>50.5</v>
      </c>
      <c r="L183" t="n">
        <v>49.5</v>
      </c>
      <c r="M183" t="n">
        <v>52.7</v>
      </c>
      <c r="N183" t="n">
        <v>58.6</v>
      </c>
      <c r="O183" t="n">
        <v/>
      </c>
      <c r="P183" t="n">
        <v>49.9</v>
      </c>
      <c r="Q183" t="n">
        <v>50.6</v>
      </c>
      <c r="R183" t="n">
        <v>51.7</v>
      </c>
      <c r="S183" t="n">
        <v>59.4</v>
      </c>
      <c r="T183" t="n">
        <v>56.88</v>
      </c>
      <c r="U183" t="n">
        <v>50.9</v>
      </c>
      <c r="V183" t="n">
        <v>43.7</v>
      </c>
    </row>
    <row r="184">
      <c r="A184" s="73"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3" t="n">
        <v>44835</v>
      </c>
      <c r="B185" t="n">
        <v/>
      </c>
      <c r="C185" t="n">
        <v>54</v>
      </c>
      <c r="D185" t="n">
        <v>48.4</v>
      </c>
      <c r="E185" t="n">
        <v>48.6</v>
      </c>
      <c r="F185" t="n">
        <v>51.7</v>
      </c>
      <c r="G185" t="n">
        <v>46.5</v>
      </c>
      <c r="H185" t="n">
        <v/>
      </c>
      <c r="I185" t="n">
        <v>55.1</v>
      </c>
      <c r="J185" t="n">
        <v>53.2</v>
      </c>
      <c r="K185" t="n">
        <v>46.4</v>
      </c>
      <c r="L185" t="n">
        <v>53.2</v>
      </c>
      <c r="M185" t="n">
        <v>50.3</v>
      </c>
      <c r="N185" t="n">
        <v/>
      </c>
      <c r="O185" t="n">
        <v/>
      </c>
      <c r="P185" t="n">
        <v>43.7</v>
      </c>
      <c r="Q185" t="n">
        <v>49.7</v>
      </c>
      <c r="R185" t="n">
        <v/>
      </c>
      <c r="S185" t="n">
        <v>56.9</v>
      </c>
      <c r="T185" t="n">
        <v/>
      </c>
      <c r="U185" t="n">
        <v>48.8</v>
      </c>
      <c r="V185" t="n">
        <v>47.8</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2"/>
  <sheetViews>
    <sheetView tabSelected="1" zoomScale="130" zoomScaleNormal="130" workbookViewId="0">
      <pane xSplit="2" ySplit="11" topLeftCell="C91" activePane="bottomRight" state="frozen"/>
      <selection activeCell="V1" sqref="V1"/>
      <selection pane="topRight" activeCell="V1" sqref="V1"/>
      <selection pane="bottomLeft" activeCell="V1" sqref="V1"/>
      <selection pane="bottomRight" activeCell="S103" sqref="S103"/>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71"/>
    <col width="9.1640625" customWidth="1" style="38" min="72" max="16384"/>
  </cols>
  <sheetData>
    <row r="1" ht="16" customFormat="1" customHeight="1" s="55" thickBot="1">
      <c r="S1" s="16" t="inlineStr">
        <is>
          <t>*to update</t>
        </is>
      </c>
      <c r="T1" s="55" t="inlineStr">
        <is>
          <t>Last month</t>
        </is>
      </c>
      <c r="V1" s="47" t="n">
        <v>44805</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5">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5">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102">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9"/>
  <sheetViews>
    <sheetView zoomScale="160" zoomScaleNormal="160" workbookViewId="0">
      <pane ySplit="5" topLeftCell="A132" activePane="bottomLeft" state="frozen"/>
      <selection activeCell="V1" sqref="V1"/>
      <selection pane="bottomLeft" activeCell="A140" sqref="A140: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sheetData>
  <conditionalFormatting sqref="B6:B149">
    <cfRule type="colorScale" priority="203">
      <colorScale>
        <cfvo type="min"/>
        <cfvo type="percentile" val="50"/>
        <cfvo type="max"/>
        <color rgb="FFF8696B"/>
        <color rgb="FFFFEB84"/>
        <color rgb="FF63BE7B"/>
      </colorScale>
    </cfRule>
  </conditionalFormatting>
  <conditionalFormatting sqref="C7:C149">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3"/>
  <sheetViews>
    <sheetView zoomScale="160" zoomScaleNormal="160" workbookViewId="0">
      <pane ySplit="5" topLeftCell="A102" activePane="bottomLeft" state="frozen"/>
      <selection pane="bottomLeft" activeCell="A102" sqref="A102:C113"/>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sheetData>
  <conditionalFormatting sqref="B6:B113">
    <cfRule type="colorScale" priority="46">
      <colorScale>
        <cfvo type="min"/>
        <cfvo type="percentile" val="50"/>
        <cfvo type="max"/>
        <color rgb="FFF8696B"/>
        <color rgb="FFFFEB84"/>
        <color rgb="FF63BE7B"/>
      </colorScale>
    </cfRule>
  </conditionalFormatting>
  <conditionalFormatting sqref="C7:C113">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8"/>
  <sheetViews>
    <sheetView zoomScale="170" zoomScaleNormal="170" workbookViewId="0">
      <pane ySplit="5" topLeftCell="A173" activePane="bottomLeft" state="frozen"/>
      <selection pane="bottomLeft" activeCell="A178" sqref="A178:C188"/>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sheetData>
  <conditionalFormatting sqref="B6:B188">
    <cfRule type="colorScale" priority="3">
      <colorScale>
        <cfvo type="min"/>
        <cfvo type="percentile" val="50"/>
        <cfvo type="max"/>
        <color rgb="FFF8696B"/>
        <color rgb="FFFFEB84"/>
        <color rgb="FF63BE7B"/>
      </colorScale>
    </cfRule>
  </conditionalFormatting>
  <conditionalFormatting sqref="C7:C188">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9"/>
  <sheetViews>
    <sheetView zoomScale="160" zoomScaleNormal="160" workbookViewId="0">
      <pane ySplit="5" topLeftCell="A133" activePane="bottomLeft" state="frozen"/>
      <selection pane="bottomLeft" activeCell="A134" sqref="A134: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sheetData>
  <conditionalFormatting sqref="C7:C149">
    <cfRule type="colorScale" priority="205">
      <colorScale>
        <cfvo type="min"/>
        <cfvo type="percentile" val="50"/>
        <cfvo type="max"/>
        <color rgb="FFF8696B"/>
        <color rgb="FFFCFCFF"/>
        <color rgb="FF5A8AC6"/>
      </colorScale>
    </cfRule>
  </conditionalFormatting>
  <conditionalFormatting sqref="B6:B149">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5"/>
  <sheetViews>
    <sheetView zoomScale="160" zoomScaleNormal="160" workbookViewId="0">
      <pane ySplit="5" topLeftCell="A163" activePane="bottomLeft" state="frozen"/>
      <selection pane="bottomLeft" activeCell="A163" sqref="A163:C175"/>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sheetData>
  <conditionalFormatting sqref="C7:C175">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8"/>
  <sheetViews>
    <sheetView zoomScale="150" zoomScaleNormal="150" workbookViewId="0">
      <pane ySplit="5" topLeftCell="A179" activePane="bottomLeft" state="frozen"/>
      <selection pane="bottomLeft" activeCell="A178" sqref="A178:C188"/>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sheetData>
  <conditionalFormatting sqref="C7:C188">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9"/>
  <sheetViews>
    <sheetView zoomScale="150" zoomScaleNormal="150" workbookViewId="0">
      <pane ySplit="5" topLeftCell="A140" activePane="bottomLeft" state="frozen"/>
      <selection pane="bottomLeft" activeCell="A139" sqref="A139: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9"/>
  <sheetViews>
    <sheetView zoomScale="160" zoomScaleNormal="160" workbookViewId="0">
      <pane ySplit="5" topLeftCell="A141" activePane="bottomLeft" state="frozen"/>
      <selection pane="bottomLeft" activeCell="A135" sqref="A135: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9"/>
  <sheetViews>
    <sheetView zoomScale="150" zoomScaleNormal="150" workbookViewId="0">
      <pane ySplit="5" topLeftCell="A132" activePane="bottomLeft" state="frozen"/>
      <selection pane="bottomLeft" activeCell="A139" sqref="A139: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sheetData>
  <conditionalFormatting sqref="C7:C149">
    <cfRule type="colorScale" priority="207">
      <colorScale>
        <cfvo type="min"/>
        <cfvo type="percentile" val="50"/>
        <cfvo type="max"/>
        <color rgb="FFF8696B"/>
        <color rgb="FFFCFCFF"/>
        <color rgb="FF5A8AC6"/>
      </colorScale>
    </cfRule>
  </conditionalFormatting>
  <conditionalFormatting sqref="B6:B149">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9"/>
  <sheetViews>
    <sheetView zoomScale="160" zoomScaleNormal="160" workbookViewId="0">
      <pane ySplit="5" topLeftCell="A139" activePane="bottomLeft" state="frozen"/>
      <selection pane="bottomLeft" activeCell="A138" sqref="A138: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9"/>
  <sheetViews>
    <sheetView zoomScale="160" zoomScaleNormal="160" workbookViewId="0">
      <pane ySplit="5" topLeftCell="A136" activePane="bottomLeft" state="frozen"/>
      <selection pane="bottomLeft" activeCell="A135" sqref="A135: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9"/>
  <sheetViews>
    <sheetView zoomScale="150" zoomScaleNormal="150" workbookViewId="0">
      <pane ySplit="5" topLeftCell="A134" activePane="bottomLeft" state="frozen"/>
      <selection pane="bottomLeft" activeCell="A140" sqref="A140: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9"/>
  <sheetViews>
    <sheetView zoomScale="160" zoomScaleNormal="160" workbookViewId="0">
      <pane ySplit="5" topLeftCell="A137" activePane="bottomLeft" state="frozen"/>
      <selection pane="bottomLeft" activeCell="A139" sqref="A139: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9"/>
  <sheetViews>
    <sheetView zoomScale="160" zoomScaleNormal="160" workbookViewId="0">
      <pane ySplit="5" topLeftCell="A135" activePane="bottomLeft" state="frozen"/>
      <selection pane="bottomLeft" activeCell="A138" sqref="A138: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9"/>
  <sheetViews>
    <sheetView zoomScale="170" zoomScaleNormal="170" workbookViewId="0">
      <pane ySplit="5" topLeftCell="A136" activePane="bottomLeft" state="frozen"/>
      <selection pane="bottomLeft" activeCell="A137" sqref="A137:C149"/>
    </sheetView>
  </sheetViews>
  <sheetFormatPr baseColWidth="10" defaultColWidth="9.1640625" defaultRowHeight="15"/>
  <cols>
    <col width="13.5" customWidth="1" style="55" min="1" max="1"/>
    <col width="11.33203125" customWidth="1" style="55" min="2" max="2"/>
    <col width="9.1640625" customWidth="1" style="55" min="3" max="10"/>
    <col width="9.1640625" customWidth="1" style="55" min="11"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sheetData>
  <conditionalFormatting sqref="C7:C149">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2022-10-15T03:42:24Z</dcterms:modified>
  <cp:lastModifiedBy>Mark Mukherjee</cp:lastModifiedBy>
</cp:coreProperties>
</file>