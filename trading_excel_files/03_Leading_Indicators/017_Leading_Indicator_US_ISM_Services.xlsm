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drawings/drawing4.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tables/table1.xml" ContentType="application/vnd.openxmlformats-officedocument.spreadsheetml.table+xml"/>
  <Override PartName="/xl/worksheets/sheet10.xml" ContentType="application/vnd.openxmlformats-officedocument.spreadsheetml.worksheet+xml"/>
  <Override PartName="/xl/drawings/drawing5.xml" ContentType="application/vnd.openxmlformats-officedocument.drawing+xml"/>
  <Override PartName="/xl/worksheets/sheet11.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2.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7480" yWindow="520" windowWidth="38860" windowHeight="26900" tabRatio="600" firstSheet="0" activeTab="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SectorsBusinessActivity" sheetId="5" state="visible" r:id="rId5"/>
    <sheet xmlns:r="http://schemas.openxmlformats.org/officeDocument/2006/relationships" name="SectorsNewOrders" sheetId="6" state="visible" r:id="rId6"/>
    <sheet xmlns:r="http://schemas.openxmlformats.org/officeDocument/2006/relationships" name="Sectors" sheetId="7" state="visible" r:id="rId7"/>
    <sheet xmlns:r="http://schemas.openxmlformats.org/officeDocument/2006/relationships" name="Sectors Trend" sheetId="8" state="visible" r:id="rId8"/>
    <sheet xmlns:r="http://schemas.openxmlformats.org/officeDocument/2006/relationships" name="Details" sheetId="9" state="visible" r:id="rId9"/>
    <sheet xmlns:r="http://schemas.openxmlformats.org/officeDocument/2006/relationships" name="Graphs" sheetId="10" state="visible" r:id="rId10"/>
    <sheet xmlns:r="http://schemas.openxmlformats.org/officeDocument/2006/relationships" name="ISM Services vs GDP" sheetId="11" state="visible" r:id="rId11"/>
    <sheet xmlns:r="http://schemas.openxmlformats.org/officeDocument/2006/relationships" name="ISM Services" sheetId="12" state="visible" r:id="rId12"/>
    <sheet xmlns:r="http://schemas.openxmlformats.org/officeDocument/2006/relationships" name="Industry Comments" sheetId="13" state="visible" r:id="rId13"/>
  </sheets>
  <definedNames>
    <definedName name="_xlnm._FilterDatabase" localSheetId="12" hidden="1">'Industry Comments'!$B$2:$D$363</definedName>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7">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Arial"/>
      <family val="2"/>
      <color rgb="FF000000"/>
      <sz val="11"/>
    </font>
    <font>
      <name val="Calibri"/>
      <family val="2"/>
      <color theme="10"/>
      <sz val="11"/>
      <u val="single"/>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
      <name val="Arial"/>
      <family val="2"/>
      <b val="1"/>
      <color theme="0"/>
      <sz val="11"/>
    </font>
    <font>
      <name val="Arial"/>
      <family val="2"/>
      <b val="1"/>
      <color theme="1"/>
      <sz val="11"/>
    </font>
    <font>
      <name val="Arial"/>
      <family val="2"/>
      <color theme="1"/>
      <sz val="11"/>
    </font>
    <font>
      <name val="Arial"/>
      <family val="2"/>
      <sz val="11"/>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thin">
        <color indexed="64"/>
      </left>
      <right/>
      <top/>
      <bottom/>
      <diagonal/>
    </border>
  </borders>
  <cellStyleXfs count="4">
    <xf numFmtId="0" fontId="11" fillId="0" borderId="0"/>
    <xf numFmtId="0" fontId="7" fillId="0" borderId="0"/>
    <xf numFmtId="0" fontId="10" fillId="0" borderId="0"/>
    <xf numFmtId="9" fontId="11" fillId="0" borderId="0"/>
  </cellStyleXfs>
  <cellXfs count="117">
    <xf numFmtId="0" fontId="0" fillId="0" borderId="0" pivotButton="0" quotePrefix="0" xfId="0"/>
    <xf numFmtId="0" fontId="6" fillId="0" borderId="0" pivotButton="0" quotePrefix="0" xfId="1"/>
    <xf numFmtId="0" fontId="3" fillId="4" borderId="1" pivotButton="0" quotePrefix="0" xfId="1"/>
    <xf numFmtId="0" fontId="3" fillId="3" borderId="6" pivotButton="0" quotePrefix="0" xfId="0"/>
    <xf numFmtId="0" fontId="3" fillId="3" borderId="8"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10" fillId="0" borderId="0" pivotButton="0" quotePrefix="0" xfId="2"/>
    <xf numFmtId="0" fontId="5" fillId="2" borderId="0" pivotButton="0" quotePrefix="0" xfId="0"/>
    <xf numFmtId="0" fontId="0" fillId="2" borderId="0" applyAlignment="1" pivotButton="0" quotePrefix="0" xfId="0">
      <alignment horizontal="center"/>
    </xf>
    <xf numFmtId="0" fontId="15" fillId="0" borderId="0" pivotButton="0" quotePrefix="0" xfId="0"/>
    <xf numFmtId="0" fontId="0" fillId="2" borderId="0" applyAlignment="1" pivotButton="0" quotePrefix="0" xfId="0">
      <alignment vertical="center"/>
    </xf>
    <xf numFmtId="0" fontId="16" fillId="2" borderId="0" pivotButton="0" quotePrefix="0" xfId="0"/>
    <xf numFmtId="14" fontId="17" fillId="2" borderId="20" applyAlignment="1" pivotButton="0" quotePrefix="0" xfId="0">
      <alignment horizontal="center"/>
    </xf>
    <xf numFmtId="14" fontId="13" fillId="2" borderId="20" applyAlignment="1" pivotButton="0" quotePrefix="0" xfId="0">
      <alignment horizontal="center"/>
    </xf>
    <xf numFmtId="0" fontId="13" fillId="2" borderId="14" applyAlignment="1" pivotButton="0" quotePrefix="0" xfId="0">
      <alignment horizontal="center"/>
    </xf>
    <xf numFmtId="0" fontId="13" fillId="5" borderId="1" pivotButton="0" quotePrefix="0" xfId="0"/>
    <xf numFmtId="0" fontId="13" fillId="2" borderId="4" applyAlignment="1" pivotButton="0" quotePrefix="0" xfId="0">
      <alignment horizontal="center"/>
    </xf>
    <xf numFmtId="0" fontId="13" fillId="2" borderId="15"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22" applyAlignment="1" pivotButton="0" quotePrefix="0" xfId="0">
      <alignment horizontal="center"/>
    </xf>
    <xf numFmtId="164" fontId="0" fillId="2" borderId="23" applyAlignment="1" pivotButton="0" quotePrefix="0" xfId="3">
      <alignment horizontal="center"/>
    </xf>
    <xf numFmtId="164" fontId="0" fillId="2" borderId="25" applyAlignment="1" pivotButton="0" quotePrefix="0" xfId="3">
      <alignment horizontal="center"/>
    </xf>
    <xf numFmtId="0" fontId="0" fillId="2" borderId="27" applyAlignment="1" pivotButton="0" quotePrefix="0" xfId="0">
      <alignment horizontal="center"/>
    </xf>
    <xf numFmtId="164" fontId="0" fillId="2" borderId="28" applyAlignment="1" pivotButton="0" quotePrefix="0" xfId="3">
      <alignment horizontal="center"/>
    </xf>
    <xf numFmtId="0" fontId="13" fillId="2" borderId="0" pivotButton="0" quotePrefix="0" xfId="0"/>
    <xf numFmtId="0" fontId="3" fillId="2" borderId="0" applyAlignment="1" pivotButton="0" quotePrefix="0" xfId="0">
      <alignment horizontal="center"/>
    </xf>
    <xf numFmtId="0" fontId="4" fillId="2" borderId="0" pivotButton="0" quotePrefix="0" xfId="0"/>
    <xf numFmtId="17" fontId="19" fillId="2" borderId="5" applyAlignment="1" pivotButton="0" quotePrefix="0" xfId="0">
      <alignment horizontal="center" vertical="center"/>
    </xf>
    <xf numFmtId="17" fontId="19" fillId="2" borderId="7"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22" pivotButton="0" quotePrefix="0" xfId="0"/>
    <xf numFmtId="0" fontId="0" fillId="2" borderId="23" pivotButton="0" quotePrefix="0" xfId="0"/>
    <xf numFmtId="0" fontId="0" fillId="2" borderId="25" pivotButton="0" quotePrefix="0" xfId="0"/>
    <xf numFmtId="0" fontId="0" fillId="2" borderId="27" pivotButton="0" quotePrefix="0" xfId="0"/>
    <xf numFmtId="0" fontId="0" fillId="2" borderId="28" pivotButton="0" quotePrefix="0" xfId="0"/>
    <xf numFmtId="17" fontId="16" fillId="2" borderId="0" pivotButton="0" quotePrefix="0" xfId="0"/>
    <xf numFmtId="0" fontId="21" fillId="6" borderId="1" applyAlignment="1" pivotButton="0" quotePrefix="0" xfId="0">
      <alignment wrapText="1"/>
    </xf>
    <xf numFmtId="0" fontId="10" fillId="2" borderId="0" pivotButton="0" quotePrefix="0" xfId="2"/>
    <xf numFmtId="0" fontId="13" fillId="6" borderId="2" applyAlignment="1" pivotButton="0" quotePrefix="0" xfId="0">
      <alignment horizontal="center" wrapText="1"/>
    </xf>
    <xf numFmtId="0" fontId="13" fillId="6" borderId="18" applyAlignment="1" pivotButton="0" quotePrefix="0" xfId="0">
      <alignment horizontal="center" wrapText="1"/>
    </xf>
    <xf numFmtId="0" fontId="13" fillId="6" borderId="19" applyAlignment="1" pivotButton="0" quotePrefix="0" xfId="0">
      <alignment horizontal="center" wrapText="1"/>
    </xf>
    <xf numFmtId="14" fontId="1" fillId="2" borderId="8" applyAlignment="1" pivotButton="0" quotePrefix="0" xfId="0">
      <alignment horizontal="center"/>
    </xf>
    <xf numFmtId="2" fontId="1" fillId="2" borderId="8" applyAlignment="1" pivotButton="0" quotePrefix="0" xfId="0">
      <alignment horizontal="center"/>
    </xf>
    <xf numFmtId="0" fontId="1" fillId="2" borderId="8" applyAlignment="1" pivotButton="0" quotePrefix="0" xfId="0">
      <alignment horizontal="center"/>
    </xf>
    <xf numFmtId="0" fontId="0" fillId="2" borderId="8" applyAlignment="1" pivotButton="0" quotePrefix="0" xfId="0">
      <alignment horizontal="center"/>
    </xf>
    <xf numFmtId="14" fontId="1" fillId="2" borderId="1" applyAlignment="1" pivotButton="0" quotePrefix="0" xfId="0">
      <alignment horizontal="center"/>
    </xf>
    <xf numFmtId="2" fontId="1" fillId="2" borderId="1" applyAlignment="1" pivotButton="0" quotePrefix="0" xfId="0">
      <alignment horizontal="center"/>
    </xf>
    <xf numFmtId="0" fontId="1" fillId="2" borderId="1" applyAlignment="1" pivotButton="0" quotePrefix="0" xfId="0">
      <alignment horizontal="center"/>
    </xf>
    <xf numFmtId="0" fontId="20" fillId="6" borderId="30" applyAlignment="1" pivotButton="0" quotePrefix="0" xfId="0">
      <alignment horizontal="center" vertical="center"/>
    </xf>
    <xf numFmtId="164" fontId="22" fillId="6" borderId="31" applyAlignment="1" pivotButton="0" quotePrefix="0" xfId="0">
      <alignment horizontal="center" vertical="center" wrapText="1"/>
    </xf>
    <xf numFmtId="10" fontId="22" fillId="6" borderId="32" applyAlignment="1" pivotButton="0" quotePrefix="0" xfId="0">
      <alignment horizontal="center" vertical="center" wrapText="1"/>
    </xf>
    <xf numFmtId="164" fontId="22" fillId="6" borderId="32" applyAlignment="1" pivotButton="0" quotePrefix="0" xfId="0">
      <alignment horizontal="center" vertical="center" wrapText="1"/>
    </xf>
    <xf numFmtId="2" fontId="22" fillId="6" borderId="33"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24" fillId="2" borderId="0" pivotButton="0" quotePrefix="0" xfId="0"/>
    <xf numFmtId="14" fontId="25" fillId="2" borderId="0" applyAlignment="1" pivotButton="0" quotePrefix="0" xfId="0">
      <alignment horizontal="center"/>
    </xf>
    <xf numFmtId="0" fontId="25" fillId="2" borderId="0" pivotButton="0" quotePrefix="0" xfId="0"/>
    <xf numFmtId="0" fontId="23" fillId="6" borderId="2" applyAlignment="1" pivotButton="0" quotePrefix="0" xfId="0">
      <alignment horizontal="center"/>
    </xf>
    <xf numFmtId="14" fontId="23" fillId="6" borderId="18" applyAlignment="1" pivotButton="0" quotePrefix="0" xfId="0">
      <alignment horizontal="center"/>
    </xf>
    <xf numFmtId="0" fontId="23" fillId="6" borderId="19" applyAlignment="1" pivotButton="0" quotePrefix="0" xfId="0">
      <alignment horizontal="center"/>
    </xf>
    <xf numFmtId="0" fontId="26" fillId="2" borderId="12" applyAlignment="1" pivotButton="0" quotePrefix="0" xfId="0">
      <alignment horizontal="center" vertical="center" wrapText="1"/>
    </xf>
    <xf numFmtId="14" fontId="26" fillId="2" borderId="13" applyAlignment="1" pivotButton="0" quotePrefix="0" xfId="0">
      <alignment horizontal="center"/>
    </xf>
    <xf numFmtId="0" fontId="9" fillId="2" borderId="14" pivotButton="0" quotePrefix="0" xfId="0"/>
    <xf numFmtId="0" fontId="26" fillId="2" borderId="3" applyAlignment="1" pivotButton="0" quotePrefix="0" xfId="0">
      <alignment horizontal="center" vertical="center" wrapText="1"/>
    </xf>
    <xf numFmtId="14" fontId="26" fillId="2" borderId="0" applyAlignment="1" pivotButton="0" quotePrefix="0" xfId="0">
      <alignment horizontal="center"/>
    </xf>
    <xf numFmtId="0" fontId="9" fillId="2" borderId="15" pivotButton="0" quotePrefix="0" xfId="0"/>
    <xf numFmtId="0" fontId="9" fillId="2" borderId="15" applyAlignment="1" pivotButton="0" quotePrefix="0" xfId="0">
      <alignment horizontal="left" vertical="center" indent="2"/>
    </xf>
    <xf numFmtId="0" fontId="26" fillId="2" borderId="16" applyAlignment="1" pivotButton="0" quotePrefix="0" xfId="0">
      <alignment horizontal="center" vertical="center" wrapText="1"/>
    </xf>
    <xf numFmtId="14" fontId="26" fillId="2" borderId="11" applyAlignment="1" pivotButton="0" quotePrefix="0" xfId="0">
      <alignment horizontal="center"/>
    </xf>
    <xf numFmtId="0" fontId="9" fillId="2" borderId="17" pivotButton="0" quotePrefix="0" xfId="0"/>
    <xf numFmtId="14" fontId="26" fillId="2" borderId="13" applyAlignment="1" pivotButton="0" quotePrefix="0" xfId="0">
      <alignment horizontal="center" vertical="center"/>
    </xf>
    <xf numFmtId="14" fontId="26" fillId="2" borderId="0" applyAlignment="1" pivotButton="0" quotePrefix="0" xfId="0">
      <alignment horizontal="center" vertical="center"/>
    </xf>
    <xf numFmtId="14" fontId="26" fillId="2" borderId="11" applyAlignment="1" pivotButton="0" quotePrefix="0" xfId="0">
      <alignment horizontal="center" vertical="center"/>
    </xf>
    <xf numFmtId="0" fontId="9" fillId="2" borderId="17" applyAlignment="1" pivotButton="0" quotePrefix="0" xfId="0">
      <alignment horizontal="left" vertical="center" indent="2"/>
    </xf>
    <xf numFmtId="0" fontId="13" fillId="6" borderId="12" applyAlignment="1" pivotButton="0" quotePrefix="0" xfId="0">
      <alignment horizontal="center"/>
    </xf>
    <xf numFmtId="0" fontId="13" fillId="6" borderId="13" applyAlignment="1" pivotButton="0" quotePrefix="0" xfId="0">
      <alignment horizontal="center"/>
    </xf>
    <xf numFmtId="0" fontId="13" fillId="6" borderId="14" applyAlignment="1" pivotButton="0" quotePrefix="0" xfId="0">
      <alignment horizontal="center"/>
    </xf>
    <xf numFmtId="0" fontId="9" fillId="2" borderId="14" applyAlignment="1" pivotButton="0" quotePrefix="0" xfId="0">
      <alignment horizontal="left" vertical="center" indent="2"/>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3" fillId="5" borderId="34" applyAlignment="1" pivotButton="0" quotePrefix="0" xfId="0">
      <alignment horizontal="center"/>
    </xf>
    <xf numFmtId="0" fontId="0" fillId="0" borderId="18" pivotButton="0" quotePrefix="0" xfId="0"/>
    <xf numFmtId="0" fontId="0" fillId="0" borderId="19" pivotButton="0" quotePrefix="0" xfId="0"/>
    <xf numFmtId="0" fontId="13" fillId="2" borderId="11" applyAlignment="1" pivotButton="0" quotePrefix="0" xfId="0">
      <alignment horizontal="center" vertical="center"/>
    </xf>
    <xf numFmtId="0" fontId="0" fillId="2" borderId="0" pivotButton="0" quotePrefix="0" xfId="0"/>
    <xf numFmtId="0" fontId="0" fillId="0" borderId="11" pivotButton="0" quotePrefix="0" xfId="0"/>
    <xf numFmtId="0" fontId="12" fillId="6" borderId="34" applyAlignment="1" pivotButton="0" quotePrefix="0" xfId="0">
      <alignment horizontal="center"/>
    </xf>
    <xf numFmtId="0" fontId="13" fillId="5" borderId="1" applyAlignment="1" pivotButton="0" quotePrefix="0" xfId="0">
      <alignment horizontal="center"/>
    </xf>
    <xf numFmtId="0" fontId="0" fillId="0" borderId="9" pivotButton="0" quotePrefix="0" xfId="0"/>
    <xf numFmtId="0" fontId="0" fillId="0" borderId="10" pivotButton="0" quotePrefix="0" xfId="0"/>
    <xf numFmtId="0" fontId="14" fillId="2" borderId="0" applyAlignment="1" pivotButton="0" quotePrefix="0" xfId="0">
      <alignment wrapText="1"/>
    </xf>
    <xf numFmtId="0" fontId="13" fillId="5" borderId="24" applyAlignment="1" pivotButton="0" quotePrefix="0" xfId="0">
      <alignment horizontal="center" wrapText="1"/>
    </xf>
    <xf numFmtId="0" fontId="0" fillId="2" borderId="0" applyAlignment="1" pivotButton="0" quotePrefix="0" xfId="0">
      <alignment wrapText="1"/>
    </xf>
    <xf numFmtId="0" fontId="13" fillId="5" borderId="21" applyAlignment="1" pivotButton="0" quotePrefix="0" xfId="0">
      <alignment horizontal="center" wrapText="1"/>
    </xf>
    <xf numFmtId="0" fontId="0" fillId="0" borderId="35" pivotButton="0" quotePrefix="0" xfId="0"/>
    <xf numFmtId="0" fontId="13" fillId="5" borderId="26" applyAlignment="1" pivotButton="0" quotePrefix="0" xfId="0">
      <alignment horizontal="center" wrapText="1"/>
    </xf>
    <xf numFmtId="0" fontId="0" fillId="0" borderId="36" pivotButton="0" quotePrefix="0" xfId="0"/>
    <xf numFmtId="0" fontId="18" fillId="6" borderId="34" applyAlignment="1" pivotButton="0" quotePrefix="0" xfId="0">
      <alignment horizontal="center" vertical="center"/>
    </xf>
    <xf numFmtId="0" fontId="0" fillId="0" borderId="29" pivotButton="0" quotePrefix="0" xfId="0"/>
    <xf numFmtId="0" fontId="19" fillId="2" borderId="5" applyAlignment="1" pivotButton="0" quotePrefix="0" xfId="0">
      <alignment horizontal="center" vertical="center"/>
    </xf>
    <xf numFmtId="0" fontId="0" fillId="0" borderId="6" pivotButton="0" quotePrefix="0" xfId="0"/>
    <xf numFmtId="0" fontId="16"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styles" Target="styles.xml" Id="rId14"/><Relationship Type="http://schemas.openxmlformats.org/officeDocument/2006/relationships/theme" Target="theme/theme1.xml" Id="rId15"/><Relationship Type="http://schemas.microsoft.com/office/2006/relationships/vbaProject" Target="vbaProject.bin" Id="rId16"/></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Services'!$B$6:$B$299</f>
              <numCache>
                <formatCode>General</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1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1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1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1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2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2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2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2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2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2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3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3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3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3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3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3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3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3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13</v>
                </pt>
                <pt idx="1">
                  <v>16</v>
                </pt>
                <pt idx="2">
                  <v>17</v>
                </pt>
                <pt idx="3">
                  <v>18</v>
                </pt>
                <pt idx="4">
                  <v>16</v>
                </pt>
                <pt idx="5">
                  <v>11</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5</v>
                </pt>
                <pt idx="1">
                  <v>10</v>
                </pt>
                <pt idx="2">
                  <v>4</v>
                </pt>
                <pt idx="3">
                  <v>13</v>
                </pt>
                <pt idx="4">
                  <v>13</v>
                </pt>
                <pt idx="5">
                  <v>7</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4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17</v>
                </pt>
                <pt idx="1">
                  <v>-1</v>
                </pt>
                <pt idx="2">
                  <v>16</v>
                </pt>
                <pt idx="3">
                  <v>15</v>
                </pt>
                <pt idx="4">
                  <v>7</v>
                </pt>
                <pt idx="5">
                  <v>8</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4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9</v>
                </pt>
                <pt idx="1">
                  <v>11</v>
                </pt>
                <pt idx="2">
                  <v>7</v>
                </pt>
                <pt idx="3">
                  <v>14</v>
                </pt>
                <pt idx="4">
                  <v>6</v>
                </pt>
                <pt idx="5">
                  <v>10</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4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6</v>
                </pt>
                <pt idx="1">
                  <v>7</v>
                </pt>
                <pt idx="2">
                  <v>5</v>
                </pt>
                <pt idx="3">
                  <v>7</v>
                </pt>
                <pt idx="4">
                  <v>8</v>
                </pt>
                <pt idx="5">
                  <v>9</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4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15</v>
                </pt>
                <pt idx="1">
                  <v>17</v>
                </pt>
                <pt idx="2">
                  <v>11</v>
                </pt>
                <pt idx="3">
                  <v>8</v>
                </pt>
                <pt idx="4">
                  <v>1</v>
                </pt>
                <pt idx="5">
                  <v>16</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4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4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12</v>
                </pt>
                <pt idx="1">
                  <v>2</v>
                </pt>
                <pt idx="2">
                  <v>12</v>
                </pt>
                <pt idx="3">
                  <v>16</v>
                </pt>
                <pt idx="4">
                  <v>18</v>
                </pt>
                <pt idx="5">
                  <v>2</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4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11</v>
                </pt>
                <pt idx="1">
                  <v>8</v>
                </pt>
                <pt idx="2">
                  <v>13</v>
                </pt>
                <pt idx="3">
                  <v>17</v>
                </pt>
                <pt idx="4">
                  <v>17</v>
                </pt>
                <pt idx="5">
                  <v>13</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4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v>
                </pt>
                <pt idx="1">
                  <v>12</v>
                </pt>
                <pt idx="2">
                  <v>9</v>
                </pt>
                <pt idx="3">
                  <v>1</v>
                </pt>
                <pt idx="4">
                  <v>11</v>
                </pt>
                <pt idx="5">
                  <v>-1</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4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15</v>
                </pt>
                <pt idx="2">
                  <v>10</v>
                </pt>
                <pt idx="3">
                  <v>12</v>
                </pt>
                <pt idx="4">
                  <v>9</v>
                </pt>
                <pt idx="5">
                  <v>14</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5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16</v>
                </pt>
                <pt idx="1">
                  <v>6</v>
                </pt>
                <pt idx="2">
                  <v>2</v>
                </pt>
                <pt idx="3">
                  <v>9</v>
                </pt>
                <pt idx="4">
                  <v>12</v>
                </pt>
                <pt idx="5">
                  <v>15</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5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8</v>
                </pt>
                <pt idx="1">
                  <v>9</v>
                </pt>
                <pt idx="2">
                  <v>3</v>
                </pt>
                <pt idx="3">
                  <v>2</v>
                </pt>
                <pt idx="4">
                  <v>10</v>
                </pt>
                <pt idx="5">
                  <v>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5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4</v>
                </pt>
                <pt idx="1">
                  <v>1</v>
                </pt>
                <pt idx="2">
                  <v>8</v>
                </pt>
                <pt idx="3">
                  <v>3</v>
                </pt>
                <pt idx="4">
                  <v>5</v>
                </pt>
                <pt idx="5">
                  <v>6</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5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0</v>
                </pt>
                <pt idx="1">
                  <v>4</v>
                </pt>
                <pt idx="2">
                  <v>-1</v>
                </pt>
                <pt idx="3">
                  <v>6</v>
                </pt>
                <pt idx="4">
                  <v>15</v>
                </pt>
                <pt idx="5">
                  <v>0</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5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10</v>
                </pt>
                <pt idx="1">
                  <v>13</v>
                </pt>
                <pt idx="2">
                  <v>6</v>
                </pt>
                <pt idx="3">
                  <v>11</v>
                </pt>
                <pt idx="4">
                  <v>3</v>
                </pt>
                <pt idx="5">
                  <v>3</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5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3</v>
                </pt>
                <pt idx="1">
                  <v>14</v>
                </pt>
                <pt idx="2">
                  <v>14</v>
                </pt>
                <pt idx="3">
                  <v>10</v>
                </pt>
                <pt idx="4">
                  <v>2</v>
                </pt>
                <pt idx="5">
                  <v>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5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14</v>
                </pt>
                <pt idx="1">
                  <v>5</v>
                </pt>
                <pt idx="2">
                  <v>15</v>
                </pt>
                <pt idx="3">
                  <v>5</v>
                </pt>
                <pt idx="4">
                  <v>14</v>
                </pt>
                <pt idx="5">
                  <v>12</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Details!$C$6:$C$299</f>
              <numCache>
                <formatCode>General</formatCode>
                <ptCount val="294"/>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Details!$C$6:$C$299</f>
              <numCache>
                <formatCode>General</formatCode>
                <ptCount val="294"/>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Details!$D$6:$D$299</f>
              <numCache>
                <formatCode>General</formatCode>
                <ptCount val="294"/>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Details!$D$6:$D$299</f>
              <numCache>
                <formatCode>General</formatCode>
                <ptCount val="294"/>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Details!$E$6:$E$299</f>
              <numCache>
                <formatCode>General</formatCode>
                <ptCount val="294"/>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Details!$E$6:$E$299</f>
              <numCache>
                <formatCode>General</formatCode>
                <ptCount val="294"/>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Details!$F$6:$F$299</f>
              <numCache>
                <formatCode>General</formatCode>
                <ptCount val="294"/>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Details!$F$6:$F$299</f>
              <numCache>
                <formatCode>General</formatCode>
                <ptCount val="294"/>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Details!$G$6:$G$299</f>
              <numCache>
                <formatCode>General</formatCode>
                <ptCount val="294"/>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Details!$G$6:$G$299</f>
              <numCache>
                <formatCode>General</formatCode>
                <ptCount val="294"/>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Details!$H$6:$H$299</f>
              <numCache>
                <formatCode>General</formatCode>
                <ptCount val="294"/>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Details!$H$6:$H$299</f>
              <numCache>
                <formatCode>General</formatCode>
                <ptCount val="294"/>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Details!$I$6:$I$299</f>
              <numCache>
                <formatCode>General</formatCode>
                <ptCount val="294"/>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Details!$I$6:$I$299</f>
              <numCache>
                <formatCode>General</formatCode>
                <ptCount val="294"/>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Details!$J$6:$J$299</f>
              <numCache>
                <formatCode>General</formatCode>
                <ptCount val="294"/>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Details!$J$6:$J$299</f>
              <numCache>
                <formatCode>General</formatCode>
                <ptCount val="294"/>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Details!$K$6:$K$299</f>
              <numCache>
                <formatCode>General</formatCode>
                <ptCount val="294"/>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Details!$K$6:$K$299</f>
              <numCache>
                <formatCode>General</formatCode>
                <ptCount val="294"/>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GDP'!$C$6:$C$299</f>
              <numCache>
                <formatCode>0.00%</formatCode>
                <ptCount val="294"/>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0.1218200270537983</v>
                </pt>
                <pt idx="286">
                  <v>0.1218200270537983</v>
                </pt>
                <pt idx="287">
                  <v>0.1218200270537983</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GDP'!$B$6:$B$299</f>
              <numCache>
                <formatCode>0.00</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GDP'!$E$6:$E$299</f>
              <numCache>
                <formatCode>0.00%</formatCode>
                <ptCount val="294"/>
                <pt idx="0">
                  <v>0.05097766273852433</v>
                </pt>
                <pt idx="1">
                  <v>0.05097766273852433</v>
                </pt>
                <pt idx="2">
                  <v>0.05097766273852433</v>
                </pt>
                <pt idx="3">
                  <v>0.03479474533539206</v>
                </pt>
                <pt idx="4">
                  <v>0.03479474533539206</v>
                </pt>
                <pt idx="5">
                  <v>0.03479474533539206</v>
                </pt>
                <pt idx="6">
                  <v>0.04057826924134766</v>
                </pt>
                <pt idx="7">
                  <v>0.04057826924134766</v>
                </pt>
                <pt idx="8">
                  <v>0.04057826924134766</v>
                </pt>
                <pt idx="9">
                  <v>0.03755028803424176</v>
                </pt>
                <pt idx="10">
                  <v>0.03755028803424176</v>
                </pt>
                <pt idx="11">
                  <v>0.03755028803424176</v>
                </pt>
                <pt idx="12">
                  <v>0.05106012260225712</v>
                </pt>
                <pt idx="13">
                  <v>0.05106012260225712</v>
                </pt>
                <pt idx="14">
                  <v>0.05106012260225712</v>
                </pt>
                <pt idx="15">
                  <v>0.06623182618291357</v>
                </pt>
                <pt idx="16">
                  <v>0.06623182618291357</v>
                </pt>
                <pt idx="17">
                  <v>0.06623182618291357</v>
                </pt>
                <pt idx="18">
                  <v>0.03829092080185514</v>
                </pt>
                <pt idx="19">
                  <v>0.03829092080185514</v>
                </pt>
                <pt idx="20">
                  <v>0.03829092080185514</v>
                </pt>
                <pt idx="21">
                  <v>0.03382066981536114</v>
                </pt>
                <pt idx="22">
                  <v>0.03382066981536114</v>
                </pt>
                <pt idx="23">
                  <v>0.03382066981536114</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0.003996942030330297</v>
                </pt>
                <pt idx="37">
                  <v>0.003996942030330297</v>
                </pt>
                <pt idx="38">
                  <v>0.003996942030330297</v>
                </pt>
                <pt idx="39">
                  <v>0.02398727086218799</v>
                </pt>
                <pt idx="40">
                  <v>0.02398727086218799</v>
                </pt>
                <pt idx="41">
                  <v>0.02398727086218799</v>
                </pt>
                <pt idx="42">
                  <v>-0.01290590479056453</v>
                </pt>
                <pt idx="43">
                  <v>-0.01290590479056453</v>
                </pt>
                <pt idx="44">
                  <v>-0.01290590479056453</v>
                </pt>
                <pt idx="45">
                  <v>0.02508820455389182</v>
                </pt>
                <pt idx="46">
                  <v>0.02508820455389182</v>
                </pt>
                <pt idx="47">
                  <v>0.02508820455389182</v>
                </pt>
                <pt idx="48">
                  <v>-0.01591804945502973</v>
                </pt>
                <pt idx="49">
                  <v>-0.01591804945502973</v>
                </pt>
                <pt idx="50">
                  <v>-0.01591804945502973</v>
                </pt>
                <pt idx="51">
                  <v>0.01113880165656145</v>
                </pt>
                <pt idx="52">
                  <v>0.01113880165656145</v>
                </pt>
                <pt idx="53">
                  <v>0.01113880165656145</v>
                </pt>
                <pt idx="54">
                  <v>0.03354294204519781</v>
                </pt>
                <pt idx="55">
                  <v>0.03354294204519781</v>
                </pt>
                <pt idx="56">
                  <v>0.03354294204519781</v>
                </pt>
                <pt idx="57">
                  <v>0.02484833834627032</v>
                </pt>
                <pt idx="58">
                  <v>0.02484833834627032</v>
                </pt>
                <pt idx="59">
                  <v>0.02484833834627032</v>
                </pt>
                <pt idx="60">
                  <v>0.0162391125091006</v>
                </pt>
                <pt idx="61">
                  <v>0.0162391125091006</v>
                </pt>
                <pt idx="62">
                  <v>0.0162391125091006</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0.06836158006885573</v>
                </pt>
                <pt idx="73">
                  <v>0.06836158006885573</v>
                </pt>
                <pt idx="74">
                  <v>0.06836158006885573</v>
                </pt>
                <pt idx="75">
                  <v>0.0469670876988979</v>
                </pt>
                <pt idx="76">
                  <v>0.0469670876988979</v>
                </pt>
                <pt idx="77">
                  <v>0.0469670876988979</v>
                </pt>
                <pt idx="78">
                  <v>0.0231143527012434</v>
                </pt>
                <pt idx="79">
                  <v>0.0231143527012434</v>
                </pt>
                <pt idx="80">
                  <v>0.0231143527012434</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0.04518123508687411</v>
                </pt>
                <pt idx="91">
                  <v>0.04518123508687411</v>
                </pt>
                <pt idx="92">
                  <v>0.04518123508687411</v>
                </pt>
                <pt idx="93">
                  <v>0.01960671092838173</v>
                </pt>
                <pt idx="94">
                  <v>0.01960671092838173</v>
                </pt>
                <pt idx="95">
                  <v>0.01960671092838173</v>
                </pt>
                <pt idx="96">
                  <v>0.03179714370730702</v>
                </pt>
                <pt idx="97">
                  <v>0.03179714370730702</v>
                </pt>
                <pt idx="98">
                  <v>0.03179714370730702</v>
                </pt>
                <pt idx="99">
                  <v>0.02291138878895094</v>
                </pt>
                <pt idx="100">
                  <v>0.02291138878895094</v>
                </pt>
                <pt idx="101">
                  <v>0.02291138878895094</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0.03417798496028146</v>
                </pt>
                <pt idx="112">
                  <v>0.03417798496028146</v>
                </pt>
                <pt idx="113">
                  <v>0.03417798496028146</v>
                </pt>
                <pt idx="114">
                  <v>0.01179577590686653</v>
                </pt>
                <pt idx="115">
                  <v>0.01179577590686653</v>
                </pt>
                <pt idx="116">
                  <v>0.01179577590686653</v>
                </pt>
                <pt idx="117">
                  <v>0.02578298295432324</v>
                </pt>
                <pt idx="118">
                  <v>0.02578298295432324</v>
                </pt>
                <pt idx="119">
                  <v>0.02578298295432324</v>
                </pt>
                <pt idx="120">
                  <v>0.02431080560296794</v>
                </pt>
                <pt idx="121">
                  <v>0.02431080560296794</v>
                </pt>
                <pt idx="122">
                  <v>0.02431080560296794</v>
                </pt>
                <pt idx="123">
                  <v>0.02460966730827407</v>
                </pt>
                <pt idx="124">
                  <v>0.02460966730827407</v>
                </pt>
                <pt idx="125">
                  <v>0.02460966730827407</v>
                </pt>
                <pt idx="126">
                  <v>-0.01619784994668927</v>
                </pt>
                <pt idx="127">
                  <v>-0.01619784994668927</v>
                </pt>
                <pt idx="128">
                  <v>-0.01619784994668927</v>
                </pt>
                <pt idx="129">
                  <v>0.02308907778947766</v>
                </pt>
                <pt idx="130">
                  <v>0.02308907778947766</v>
                </pt>
                <pt idx="131">
                  <v>0.02308907778947766</v>
                </pt>
                <pt idx="132">
                  <v>-0.0209097307355427</v>
                </pt>
                <pt idx="133">
                  <v>-0.0209097307355427</v>
                </pt>
                <pt idx="134">
                  <v>-0.0209097307355427</v>
                </pt>
                <pt idx="135">
                  <v>-0.08450572869534734</v>
                </pt>
                <pt idx="136">
                  <v>-0.08450572869534734</v>
                </pt>
                <pt idx="137">
                  <v>-0.08450572869534734</v>
                </pt>
                <pt idx="138">
                  <v>-0.04581987379316932</v>
                </pt>
                <pt idx="139">
                  <v>-0.04581987379316932</v>
                </pt>
                <pt idx="140">
                  <v>-0.04581987379316932</v>
                </pt>
                <pt idx="141">
                  <v>-0.006752359998762336</v>
                </pt>
                <pt idx="142">
                  <v>-0.006752359998762336</v>
                </pt>
                <pt idx="143">
                  <v>-0.006752359998762336</v>
                </pt>
                <pt idx="144">
                  <v>0.01455598543492065</v>
                </pt>
                <pt idx="145">
                  <v>0.01455598543492065</v>
                </pt>
                <pt idx="146">
                  <v>0.01455598543492065</v>
                </pt>
                <pt idx="147">
                  <v>0.0434076888622974</v>
                </pt>
                <pt idx="148">
                  <v>0.0434076888622974</v>
                </pt>
                <pt idx="149">
                  <v>0.0434076888622974</v>
                </pt>
                <pt idx="150">
                  <v>0.02015267213561045</v>
                </pt>
                <pt idx="151">
                  <v>0.02015267213561045</v>
                </pt>
                <pt idx="152">
                  <v>0.02015267213561045</v>
                </pt>
                <pt idx="153">
                  <v>0.03927369054068341</v>
                </pt>
                <pt idx="154">
                  <v>0.03927369054068341</v>
                </pt>
                <pt idx="155">
                  <v>0.03927369054068341</v>
                </pt>
                <pt idx="156">
                  <v>0.03128626930493783</v>
                </pt>
                <pt idx="157">
                  <v>0.03128626930493783</v>
                </pt>
                <pt idx="158">
                  <v>0.03128626930493783</v>
                </pt>
                <pt idx="159">
                  <v>0.02094635569547521</v>
                </pt>
                <pt idx="160">
                  <v>0.02094635569547521</v>
                </pt>
                <pt idx="161">
                  <v>0.02094635569547521</v>
                </pt>
                <pt idx="162">
                  <v>-0.009601874290937507</v>
                </pt>
                <pt idx="163">
                  <v>-0.009601874290937507</v>
                </pt>
                <pt idx="164">
                  <v>-0.009601874290937507</v>
                </pt>
                <pt idx="165">
                  <v>0.02739913079767176</v>
                </pt>
                <pt idx="166">
                  <v>0.02739913079767176</v>
                </pt>
                <pt idx="167">
                  <v>0.02739913079767176</v>
                </pt>
                <pt idx="168">
                  <v>-0.001549785003588933</v>
                </pt>
                <pt idx="169">
                  <v>-0.001549785003588933</v>
                </pt>
                <pt idx="170">
                  <v>-0.001549785003588933</v>
                </pt>
                <pt idx="171">
                  <v>0.04562768534929051</v>
                </pt>
                <pt idx="172">
                  <v>0.04562768534929051</v>
                </pt>
                <pt idx="173">
                  <v>0.04562768534929051</v>
                </pt>
                <pt idx="174">
                  <v>0.03312050570216885</v>
                </pt>
                <pt idx="175">
                  <v>0.03312050570216885</v>
                </pt>
                <pt idx="176">
                  <v>0.03312050570216885</v>
                </pt>
                <pt idx="177">
                  <v>0.01835946382913356</v>
                </pt>
                <pt idx="178">
                  <v>0.01835946382913356</v>
                </pt>
                <pt idx="179">
                  <v>0.01835946382913356</v>
                </pt>
                <pt idx="180">
                  <v>0.007013690941451767</v>
                </pt>
                <pt idx="181">
                  <v>0.007013690941451767</v>
                </pt>
                <pt idx="182">
                  <v>0.007013690941451767</v>
                </pt>
                <pt idx="183">
                  <v>0.004400766641183607</v>
                </pt>
                <pt idx="184">
                  <v>0.004400766641183607</v>
                </pt>
                <pt idx="185">
                  <v>0.004400766641183607</v>
                </pt>
                <pt idx="186">
                  <v>0.03516603678394081</v>
                </pt>
                <pt idx="187">
                  <v>0.03516603678394081</v>
                </pt>
                <pt idx="188">
                  <v>0.03516603678394081</v>
                </pt>
                <pt idx="189">
                  <v>0.00558707657013402</v>
                </pt>
                <pt idx="190">
                  <v>0.00558707657013402</v>
                </pt>
                <pt idx="191">
                  <v>0.00558707657013402</v>
                </pt>
                <pt idx="192">
                  <v>0.0320441539978702</v>
                </pt>
                <pt idx="193">
                  <v>0.0320441539978702</v>
                </pt>
                <pt idx="194">
                  <v>0.0320441539978702</v>
                </pt>
                <pt idx="195">
                  <v>0.02875173987590829</v>
                </pt>
                <pt idx="196">
                  <v>0.02875173987590829</v>
                </pt>
                <pt idx="197">
                  <v>0.02875173987590829</v>
                </pt>
                <pt idx="198">
                  <v>-0.01393101487505954</v>
                </pt>
                <pt idx="199">
                  <v>-0.01393101487505954</v>
                </pt>
                <pt idx="200">
                  <v>-0.01393101487505954</v>
                </pt>
                <pt idx="201">
                  <v>0.0523630457566524</v>
                </pt>
                <pt idx="202">
                  <v>0.0523630457566524</v>
                </pt>
                <pt idx="203">
                  <v>0.0523630457566524</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0.01299778420271602</v>
                </pt>
                <pt idx="217">
                  <v>0.01299778420271602</v>
                </pt>
                <pt idx="218">
                  <v>0.01299778420271602</v>
                </pt>
                <pt idx="219">
                  <v>0.005862217066683106</v>
                </pt>
                <pt idx="220">
                  <v>0.005862217066683106</v>
                </pt>
                <pt idx="221">
                  <v>0.005862217066683106</v>
                </pt>
                <pt idx="222">
                  <v>0.02377629379297197</v>
                </pt>
                <pt idx="223">
                  <v>0.02377629379297197</v>
                </pt>
                <pt idx="224">
                  <v>0.02377629379297197</v>
                </pt>
                <pt idx="225">
                  <v>0.01215052634526592</v>
                </pt>
                <pt idx="226">
                  <v>0.01215052634526592</v>
                </pt>
                <pt idx="227">
                  <v>0.01215052634526592</v>
                </pt>
                <pt idx="228">
                  <v>0.02426228912334971</v>
                </pt>
                <pt idx="229">
                  <v>0.02426228912334971</v>
                </pt>
                <pt idx="230">
                  <v>0.02426228912334971</v>
                </pt>
                <pt idx="231">
                  <v>0.02002418226175018</v>
                </pt>
                <pt idx="232">
                  <v>0.02002418226175018</v>
                </pt>
                <pt idx="233">
                  <v>0.02002418226175018</v>
                </pt>
                <pt idx="234">
                  <v>0.01901129394955658</v>
                </pt>
                <pt idx="235">
                  <v>0.01901129394955658</v>
                </pt>
                <pt idx="236">
                  <v>0.01901129394955658</v>
                </pt>
                <pt idx="237">
                  <v>0.0225792974619996</v>
                </pt>
                <pt idx="238">
                  <v>0.0225792974619996</v>
                </pt>
                <pt idx="239">
                  <v>0.0225792974619996</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0.03377600526305335</v>
                </pt>
                <pt idx="250">
                  <v>0.03377600526305335</v>
                </pt>
                <pt idx="251">
                  <v>0.03377600526305335</v>
                </pt>
                <pt idx="252">
                  <v>0.01941791765026113</v>
                </pt>
                <pt idx="253">
                  <v>0.01941791765026113</v>
                </pt>
                <pt idx="254">
                  <v>0.01941791765026113</v>
                </pt>
                <pt idx="255">
                  <v>0.008955593239345916</v>
                </pt>
                <pt idx="256">
                  <v>0.008955593239345916</v>
                </pt>
                <pt idx="257">
                  <v>0.008955593239345916</v>
                </pt>
                <pt idx="258">
                  <v>0.02412687930866952</v>
                </pt>
                <pt idx="259">
                  <v>0.02412687930866952</v>
                </pt>
                <pt idx="260">
                  <v>0.02412687930866952</v>
                </pt>
                <pt idx="261">
                  <v>0.03209621189016554</v>
                </pt>
                <pt idx="262">
                  <v>0.03209621189016554</v>
                </pt>
                <pt idx="263">
                  <v>0.03209621189016554</v>
                </pt>
                <pt idx="264">
                  <v>0.02770318750334533</v>
                </pt>
                <pt idx="265">
                  <v>0.02770318750334533</v>
                </pt>
                <pt idx="266">
                  <v>0.02770318750334533</v>
                </pt>
                <pt idx="267">
                  <v>0.01889634966248921</v>
                </pt>
                <pt idx="268">
                  <v>0.01889634966248921</v>
                </pt>
                <pt idx="269">
                  <v>0.01889634966248921</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0.0627817667277657</v>
                </pt>
                <pt idx="283">
                  <v>0.0627817667277657</v>
                </pt>
                <pt idx="284">
                  <v>0.0627817667277657</v>
                </pt>
                <pt idx="285">
                  <v>0.06556445212446005</v>
                </pt>
                <pt idx="286">
                  <v>0.06556445212446005</v>
                </pt>
                <pt idx="287">
                  <v>0.06556445212446005</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GDP'!$B$6:$B$299</f>
              <numCache>
                <formatCode>0.00</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Services'!$B$6:$B$299</f>
              <numCache>
                <formatCode>General</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6</col>
      <colOff>276226</colOff>
      <row>234</row>
      <rowOff>76200</rowOff>
    </from>
    <to>
      <col>14</col>
      <colOff>438150</colOff>
      <row>253</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152400</colOff>
      <row>255</row>
      <rowOff>9525</rowOff>
    </from>
    <to>
      <col>14</col>
      <colOff>266700</colOff>
      <row>270</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561975</colOff>
      <row>280</row>
      <rowOff>38100</rowOff>
    </from>
    <to>
      <col>9</col>
      <colOff>876300</colOff>
      <row>294</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299" headerRowCount="1" totalsRowShown="0" headerRowDxfId="134" dataDxfId="132" headerRowBorderDxfId="133">
  <autoFilter ref="A5:L299"/>
  <tableColumns count="12">
    <tableColumn id="1" name="Date" dataDxfId="131"/>
    <tableColumn id="5" name="New Orders" dataDxfId="130"/>
    <tableColumn id="3" name="Imports" dataDxfId="129"/>
    <tableColumn id="2" name="Backlog Of Orders" dataDxfId="128"/>
    <tableColumn id="4" name="Prices" dataDxfId="127"/>
    <tableColumn id="6" name="Business Activity" dataDxfId="126"/>
    <tableColumn id="7" name="Inventory Sentiment" dataDxfId="125"/>
    <tableColumn id="8" name="Inventories" dataDxfId="124"/>
    <tableColumn id="9" name="Deliveries" dataDxfId="123"/>
    <tableColumn id="10" name="Employment" dataDxfId="122"/>
    <tableColumn id="11" name="Exports" dataDxfId="121"/>
    <tableColumn id="13" name="ISM Services" dataDxfId="120"/>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299" headerRowCount="1" totalsRowShown="0" headerRowDxfId="119" dataDxfId="117" headerRowBorderDxfId="118" tableBorderDxfId="116" totalsRowBorderDxfId="115">
  <autoFilter ref="A5:E299"/>
  <tableColumns count="5">
    <tableColumn id="1" name="Date" dataDxfId="114"/>
    <tableColumn id="2" name="ISM Services" dataDxfId="113"/>
    <tableColumn id="6" name="GDP growth yoy %" dataDxfId="112"/>
    <tableColumn id="5" name="GDP growth qoq %" dataDxfId="111"/>
    <tableColumn id="4" name="GDP growth q/q % (annualised)" dataDxfId="110"/>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299" headerRowCount="1" totalsRowShown="0" headerRowDxfId="109" dataDxfId="107" headerRowBorderDxfId="108">
  <autoFilter ref="A5:C299"/>
  <tableColumns count="3">
    <tableColumn id="1" name="Date" dataDxfId="106"/>
    <tableColumn id="3" name="ISM Services" dataDxfId="105"/>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_rels/sheet6.xml.rels><Relationships xmlns="http://schemas.openxmlformats.org/package/2006/relationships"><Relationship Type="http://schemas.openxmlformats.org/officeDocument/2006/relationships/drawing" Target="/xl/drawings/drawing3.xml" Id="rId1"/></Relationships>
</file>

<file path=xl/worksheets/_rels/sheet7.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table" Target="/xl/tables/table1.xml" Id="rId1"/></Relationships>
</file>

<file path=xl/worksheets/_rels/sheet10.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2.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32"/>
  <sheetViews>
    <sheetView workbookViewId="0">
      <selection activeCell="L55" sqref="L55"/>
    </sheetView>
  </sheetViews>
  <sheetFormatPr baseColWidth="10" defaultColWidth="9.1640625" defaultRowHeight="15"/>
  <cols>
    <col width="4" customWidth="1" style="96" min="1" max="1"/>
    <col width="12.83203125" customWidth="1" style="96" min="2" max="5"/>
    <col width="13.6640625" customWidth="1" style="96" min="6" max="6"/>
    <col width="12.83203125" customWidth="1" style="96" min="7" max="10"/>
    <col width="2" customWidth="1" style="96" min="11" max="13"/>
    <col width="9.1640625" customWidth="1" style="96" min="14" max="14"/>
    <col width="15.5" customWidth="1" style="96" min="15" max="15"/>
    <col width="12.6640625" customWidth="1" style="96" min="16" max="18"/>
    <col width="5.5" customWidth="1" style="96" min="19" max="19"/>
    <col width="16.6640625" customWidth="1" style="96" min="20" max="20"/>
    <col width="9.1640625" customWidth="1" style="96" min="21" max="23"/>
    <col width="9.1640625" customWidth="1" style="96" min="24" max="16384"/>
  </cols>
  <sheetData>
    <row r="1">
      <c r="B1" s="95" t="n"/>
    </row>
    <row r="2" ht="16" customHeight="1" s="87" thickBot="1">
      <c r="B2" s="97" t="n"/>
      <c r="C2" s="97" t="n"/>
      <c r="D2" s="97" t="n"/>
      <c r="E2" s="97" t="n"/>
      <c r="F2" s="97" t="n"/>
      <c r="G2" s="97" t="n"/>
      <c r="H2" s="97" t="n"/>
      <c r="I2" s="97" t="n"/>
      <c r="J2" s="97" t="n"/>
    </row>
    <row r="3" ht="16" customHeight="1" s="87" thickBot="1">
      <c r="B3" s="98" t="inlineStr">
        <is>
          <t>ISM Services</t>
        </is>
      </c>
      <c r="C3" s="93" t="n"/>
      <c r="D3" s="93" t="n"/>
      <c r="E3" s="93" t="n"/>
      <c r="F3" s="93" t="n"/>
      <c r="G3" s="93" t="n"/>
      <c r="H3" s="93" t="n"/>
      <c r="I3" s="93" t="n"/>
      <c r="J3" s="94" t="n"/>
    </row>
    <row r="5">
      <c r="B5" s="99" t="inlineStr">
        <is>
          <t>Definition</t>
        </is>
      </c>
      <c r="C5" s="100" t="n"/>
      <c r="D5" s="100" t="n"/>
      <c r="E5" s="100" t="n"/>
      <c r="F5" s="100" t="n"/>
      <c r="G5" s="100" t="n"/>
      <c r="H5" s="100" t="n"/>
      <c r="I5" s="100" t="n"/>
      <c r="J5" s="101" t="n"/>
    </row>
    <row r="7" ht="227.25" customHeight="1" s="87">
      <c r="B7" s="102"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8" ht="24" customHeight="1" s="87">
      <c r="B8" s="9" t="inlineStr">
        <is>
          <t>https://www.ismworld.org/</t>
        </is>
      </c>
      <c r="C8" s="104" t="n"/>
      <c r="D8" s="104" t="n"/>
      <c r="E8" s="104" t="n"/>
      <c r="F8" s="104" t="n"/>
      <c r="G8" s="104" t="n"/>
      <c r="H8" s="104" t="n"/>
      <c r="I8" s="104" t="n"/>
      <c r="J8" s="104" t="n"/>
    </row>
    <row r="9" ht="24" customHeight="1" s="87">
      <c r="B9" s="9" t="inlineStr">
        <is>
          <t>https://www.prnewswire.com/news/institute-for-supply-management/</t>
        </is>
      </c>
      <c r="C9" s="104" t="n"/>
      <c r="D9" s="104" t="n"/>
      <c r="E9" s="104" t="n"/>
      <c r="F9" s="104" t="n"/>
      <c r="G9" s="104" t="n"/>
      <c r="H9" s="104" t="n"/>
      <c r="I9" s="104" t="n"/>
      <c r="J9" s="104" t="n"/>
    </row>
    <row r="10" ht="16" customHeight="1" s="87" thickBot="1">
      <c r="B10" s="12" t="n"/>
      <c r="C10" s="13" t="n"/>
      <c r="D10" s="13" t="n"/>
      <c r="E10" s="13" t="n"/>
    </row>
    <row r="11" ht="16" customHeight="1" s="87" thickBot="1">
      <c r="B11" s="99" t="inlineStr">
        <is>
          <t>Process / TO DO LIST</t>
        </is>
      </c>
      <c r="C11" s="100" t="n"/>
      <c r="D11" s="100" t="n"/>
      <c r="E11" s="100" t="n"/>
      <c r="F11" s="100" t="n"/>
      <c r="G11" s="100" t="n"/>
      <c r="H11" s="100" t="n"/>
      <c r="I11" s="100" t="n"/>
      <c r="J11" s="101" t="n"/>
      <c r="N11" s="92" t="inlineStr">
        <is>
          <t>Summary</t>
        </is>
      </c>
      <c r="O11" s="93" t="n"/>
      <c r="P11" s="93" t="n"/>
      <c r="Q11" s="93" t="n"/>
      <c r="R11" s="93" t="n"/>
      <c r="S11" s="93" t="n"/>
      <c r="T11" s="93" t="n"/>
      <c r="U11" s="94" t="n"/>
    </row>
    <row r="12">
      <c r="N12" s="14" t="inlineStr">
        <is>
          <t>* input new month</t>
        </is>
      </c>
      <c r="T12" s="14" t="inlineStr">
        <is>
          <t>Modify new month</t>
        </is>
      </c>
    </row>
    <row r="13" ht="16" customHeight="1" s="87" thickBot="1">
      <c r="B13" s="99" t="inlineStr">
        <is>
          <t>TO DO LIST</t>
        </is>
      </c>
      <c r="C13" s="100" t="n"/>
      <c r="D13" s="100" t="n"/>
      <c r="E13" s="100" t="n"/>
      <c r="F13" s="101" t="n"/>
      <c r="G13" s="99" t="inlineStr">
        <is>
          <t>Comments</t>
        </is>
      </c>
      <c r="H13" s="100" t="n"/>
      <c r="I13" s="100" t="n"/>
      <c r="J13" s="101" t="n"/>
    </row>
    <row r="14">
      <c r="P14" s="15" t="n">
        <v>44531</v>
      </c>
      <c r="Q14" s="16">
        <f>DATE(YEAR(P14),MONTH(P14)-1,DAY(P14))</f>
        <v/>
      </c>
      <c r="R14" s="17" t="n"/>
      <c r="T14" s="18" t="inlineStr">
        <is>
          <t>Sector</t>
        </is>
      </c>
      <c r="U14" s="18" t="inlineStr">
        <is>
          <t>Ranking</t>
        </is>
      </c>
    </row>
    <row r="15" ht="16" customHeight="1" s="87" thickBot="1">
      <c r="B15" s="96" t="inlineStr">
        <is>
          <t>Update data in Sectors Trends</t>
        </is>
      </c>
      <c r="G15" s="96" t="inlineStr">
        <is>
          <t>Add new column for new month</t>
        </is>
      </c>
      <c r="P15" s="19" t="inlineStr">
        <is>
          <t>ISM</t>
        </is>
      </c>
      <c r="Q15" s="19" t="inlineStr">
        <is>
          <t>ISM</t>
        </is>
      </c>
      <c r="R15" s="20" t="inlineStr">
        <is>
          <t>Change %</t>
        </is>
      </c>
      <c r="T15" s="21" t="inlineStr">
        <is>
          <t>Accommodation &amp; Food Services</t>
        </is>
      </c>
      <c r="U15" s="22" t="n">
        <v>16</v>
      </c>
    </row>
    <row r="16" ht="30.75" customHeight="1" s="87">
      <c r="G16" s="104" t="inlineStr">
        <is>
          <t>Modify month and change number in Sectors - Look at trends for ISM index, new order, business activity</t>
        </is>
      </c>
      <c r="N16" s="105" t="inlineStr">
        <is>
          <t>ISM Services</t>
        </is>
      </c>
      <c r="O16" s="106" t="n"/>
      <c r="P16" s="23">
        <f>VLOOKUP($P$14,Details!$A:$L,MATCH(Note!N16,Table91213[#Headers],),)</f>
        <v/>
      </c>
      <c r="Q16" s="23">
        <f>VLOOKUP($Q$14,Details!$A:$L,MATCH(Note!N16,Table91213[#Headers],),)</f>
        <v/>
      </c>
      <c r="R16" s="24">
        <f>P16-Q16</f>
        <v/>
      </c>
      <c r="T16" s="21" t="inlineStr">
        <is>
          <t>Wholesale Trade</t>
        </is>
      </c>
      <c r="U16" s="22" t="n">
        <v>15</v>
      </c>
    </row>
    <row r="17" ht="15" customHeight="1" s="87">
      <c r="B17" s="104" t="inlineStr">
        <is>
          <t>Update month + Number Sectors</t>
        </is>
      </c>
      <c r="G17" s="96" t="n"/>
      <c r="N17" s="103" t="inlineStr">
        <is>
          <t>New Orders</t>
        </is>
      </c>
      <c r="O17" s="101" t="n"/>
      <c r="P17" s="114">
        <f>VLOOKUP($P$14,Details!$A:$L,MATCH(Note!N17,Table91213[#Headers],),)</f>
        <v/>
      </c>
      <c r="Q17" s="114">
        <f>VLOOKUP($Q$14,Details!$A:$L,MATCH(Note!N17,Table91213[#Headers],),)</f>
        <v/>
      </c>
      <c r="R17" s="25">
        <f>P17-Q17</f>
        <v/>
      </c>
      <c r="T17" s="21" t="inlineStr">
        <is>
          <t>Construction</t>
        </is>
      </c>
      <c r="U17" s="22" t="n">
        <v>14</v>
      </c>
    </row>
    <row r="18">
      <c r="B18" s="96" t="inlineStr">
        <is>
          <t>Update Industry Comments</t>
        </is>
      </c>
      <c r="N18" s="103" t="inlineStr">
        <is>
          <t>Imports</t>
        </is>
      </c>
      <c r="O18" s="101" t="n"/>
      <c r="P18" s="114">
        <f>VLOOKUP($P$14,Details!$A:$L,MATCH(Note!N18,Table91213[#Headers],),)</f>
        <v/>
      </c>
      <c r="Q18" s="114">
        <f>VLOOKUP($Q$14,Details!$A:$L,MATCH(Note!N18,Table91213[#Headers],),)</f>
        <v/>
      </c>
      <c r="R18" s="25">
        <f>P18-Q18</f>
        <v/>
      </c>
      <c r="T18" s="21" t="inlineStr">
        <is>
          <t>Transportation &amp; Warehousing</t>
        </is>
      </c>
      <c r="U18" s="22" t="n">
        <v>13</v>
      </c>
    </row>
    <row r="19">
      <c r="B19" s="96" t="inlineStr">
        <is>
          <t>Update data in different ISM and Details</t>
        </is>
      </c>
      <c r="N19" s="103" t="inlineStr">
        <is>
          <t>Backlog Of Orders</t>
        </is>
      </c>
      <c r="O19" s="101" t="n"/>
      <c r="P19" s="114">
        <f>VLOOKUP($P$14,Details!$A:$L,MATCH(Note!N19,Table91213[#Headers],),)</f>
        <v/>
      </c>
      <c r="Q19" s="114">
        <f>VLOOKUP($Q$14,Details!$A:$L,MATCH(Note!N19,Table91213[#Headers],),)</f>
        <v/>
      </c>
      <c r="R19" s="25">
        <f>P19-Q19</f>
        <v/>
      </c>
      <c r="T19" s="21" t="inlineStr">
        <is>
          <t>Management of Companies &amp; Support Services</t>
        </is>
      </c>
      <c r="U19" s="22" t="n">
        <v>12</v>
      </c>
    </row>
    <row r="20">
      <c r="N20" s="103" t="inlineStr">
        <is>
          <t>Prices</t>
        </is>
      </c>
      <c r="O20" s="101" t="n"/>
      <c r="P20" s="114">
        <f>VLOOKUP($P$14,Details!$A:$L,MATCH(Note!N20,Table91213[#Headers],),)</f>
        <v/>
      </c>
      <c r="Q20" s="114">
        <f>VLOOKUP($Q$14,Details!$A:$L,MATCH(Note!N20,Table91213[#Headers],),)</f>
        <v/>
      </c>
      <c r="R20" s="25">
        <f>P20-Q20</f>
        <v/>
      </c>
      <c r="T20" s="21" t="inlineStr">
        <is>
          <t>Retail Trade</t>
        </is>
      </c>
      <c r="U20" s="22" t="n">
        <v>11</v>
      </c>
    </row>
    <row r="21">
      <c r="B21" s="96" t="n"/>
      <c r="G21" s="96" t="n"/>
      <c r="N21" s="103" t="inlineStr">
        <is>
          <t>Business Activity</t>
        </is>
      </c>
      <c r="O21" s="101" t="n"/>
      <c r="P21" s="114">
        <f>VLOOKUP($P$14,Details!$A:$L,MATCH(Note!N21,Table91213[#Headers],),)</f>
        <v/>
      </c>
      <c r="Q21" s="114">
        <f>VLOOKUP($Q$14,Details!$A:$L,MATCH(Note!N21,Table91213[#Headers],),)</f>
        <v/>
      </c>
      <c r="R21" s="25">
        <f>P21-Q21</f>
        <v/>
      </c>
      <c r="T21" s="21" t="inlineStr">
        <is>
          <t>Other Services</t>
        </is>
      </c>
      <c r="U21" s="22" t="n">
        <v>10</v>
      </c>
    </row>
    <row r="22">
      <c r="B22" s="96" t="n"/>
      <c r="G22" s="96" t="n"/>
      <c r="N22" s="103" t="inlineStr">
        <is>
          <t>Inventory Sentiment</t>
        </is>
      </c>
      <c r="O22" s="101" t="n"/>
      <c r="P22" s="114">
        <f>VLOOKUP($P$14,Details!$A:$L,MATCH(Note!N22,Table91213[#Headers],),)</f>
        <v/>
      </c>
      <c r="Q22" s="114">
        <f>VLOOKUP($Q$14,Details!$A:$L,MATCH(Note!N22,Table91213[#Headers],),)</f>
        <v/>
      </c>
      <c r="R22" s="25">
        <f>P22-Q22</f>
        <v/>
      </c>
      <c r="T22" s="21" t="inlineStr">
        <is>
          <t>Health Care &amp; Social Assistance</t>
        </is>
      </c>
      <c r="U22" s="22" t="n">
        <v>9</v>
      </c>
    </row>
    <row r="23">
      <c r="B23" s="96" t="n"/>
      <c r="G23" s="96" t="n"/>
      <c r="N23" s="103" t="inlineStr">
        <is>
          <t>Inventories</t>
        </is>
      </c>
      <c r="O23" s="101" t="n"/>
      <c r="P23" s="114">
        <f>VLOOKUP($P$14,Details!$A:$L,MATCH(Note!N23,Table91213[#Headers],),)</f>
        <v/>
      </c>
      <c r="Q23" s="114">
        <f>VLOOKUP($Q$14,Details!$A:$L,MATCH(Note!N23,Table91213[#Headers],),)</f>
        <v/>
      </c>
      <c r="R23" s="25">
        <f>P23-Q23</f>
        <v/>
      </c>
      <c r="T23" s="21" t="inlineStr">
        <is>
          <t>Arts, Entertainment &amp; Recreation</t>
        </is>
      </c>
      <c r="U23" s="22" t="n">
        <v>8</v>
      </c>
    </row>
    <row r="24">
      <c r="B24" s="96" t="n"/>
      <c r="N24" s="103" t="inlineStr">
        <is>
          <t>Deliveries</t>
        </is>
      </c>
      <c r="O24" s="101" t="n"/>
      <c r="P24" s="114">
        <f>VLOOKUP($P$14,Details!$A:$L,MATCH(Note!N24,Table91213[#Headers],),)</f>
        <v/>
      </c>
      <c r="Q24" s="114">
        <f>VLOOKUP($Q$14,Details!$A:$L,MATCH(Note!N24,Table91213[#Headers],),)</f>
        <v/>
      </c>
      <c r="R24" s="25">
        <f>P24-Q24</f>
        <v/>
      </c>
      <c r="T24" s="21" t="inlineStr">
        <is>
          <t>Utilities</t>
        </is>
      </c>
      <c r="U24" s="22" t="n">
        <v>7</v>
      </c>
    </row>
    <row r="25">
      <c r="B25" s="96" t="n"/>
      <c r="N25" s="103" t="inlineStr">
        <is>
          <t>Employment</t>
        </is>
      </c>
      <c r="O25" s="101" t="n"/>
      <c r="P25" s="114">
        <f>VLOOKUP($P$14,Details!$A:$L,MATCH(Note!N25,Table91213[#Headers],),)</f>
        <v/>
      </c>
      <c r="Q25" s="114">
        <f>VLOOKUP($Q$14,Details!$A:$L,MATCH(Note!N25,Table91213[#Headers],),)</f>
        <v/>
      </c>
      <c r="R25" s="25">
        <f>P25-Q25</f>
        <v/>
      </c>
      <c r="T25" s="21" t="inlineStr">
        <is>
          <t>Professional, Scientific &amp; Technical Services</t>
        </is>
      </c>
      <c r="U25" s="22" t="n">
        <v>6</v>
      </c>
    </row>
    <row r="26" ht="16" customHeight="1" s="87" thickBot="1">
      <c r="N26" s="107" t="inlineStr">
        <is>
          <t>Exports</t>
        </is>
      </c>
      <c r="O26" s="108" t="n"/>
      <c r="P26" s="26">
        <f>VLOOKUP($P$14,Details!$A:$L,MATCH(Note!N26,Table91213[#Headers],),)</f>
        <v/>
      </c>
      <c r="Q26" s="26">
        <f>VLOOKUP($Q$14,Details!$A:$L,MATCH(Note!N26,Table91213[#Headers],),)</f>
        <v/>
      </c>
      <c r="R26" s="27">
        <f>P26-Q26</f>
        <v/>
      </c>
      <c r="T26" s="21" t="inlineStr">
        <is>
          <t>Public Administration</t>
        </is>
      </c>
      <c r="U26" s="22" t="n">
        <v>5</v>
      </c>
    </row>
    <row r="27">
      <c r="T27" s="21" t="inlineStr">
        <is>
          <t>Finance &amp; Insurance</t>
        </is>
      </c>
      <c r="U27" s="22" t="n">
        <v>4</v>
      </c>
    </row>
    <row r="28">
      <c r="T28" s="21" t="inlineStr">
        <is>
          <t>Information</t>
        </is>
      </c>
      <c r="U28" s="22" t="n">
        <v>3</v>
      </c>
    </row>
    <row r="29">
      <c r="T29" s="21" t="inlineStr">
        <is>
          <t>Real Estate, Rental &amp; Leasing</t>
        </is>
      </c>
      <c r="U29" s="22" t="n">
        <v>2</v>
      </c>
    </row>
    <row r="30">
      <c r="T30" s="21" t="inlineStr">
        <is>
          <t>Educational Services</t>
        </is>
      </c>
      <c r="U30" s="22" t="n">
        <v>1</v>
      </c>
    </row>
    <row r="31">
      <c r="T31" s="21" t="inlineStr">
        <is>
          <t>Agriculture, Forestry, Fishing &amp; Hunting</t>
        </is>
      </c>
      <c r="U31" s="22" t="n">
        <v>0</v>
      </c>
    </row>
    <row r="32" ht="30" customHeight="1" s="87">
      <c r="T32" s="21" t="inlineStr">
        <is>
          <t>Mining</t>
        </is>
      </c>
      <c r="U32" s="22" t="n">
        <v>-1</v>
      </c>
    </row>
  </sheetData>
  <mergeCells count="34">
    <mergeCell ref="N26:O26"/>
    <mergeCell ref="B23:F23"/>
    <mergeCell ref="G23:J23"/>
    <mergeCell ref="N23:O23"/>
    <mergeCell ref="B24:F24"/>
    <mergeCell ref="N24:O24"/>
    <mergeCell ref="B25:F25"/>
    <mergeCell ref="N25:O25"/>
    <mergeCell ref="N20:O20"/>
    <mergeCell ref="B21:F21"/>
    <mergeCell ref="G21:J21"/>
    <mergeCell ref="N21:O21"/>
    <mergeCell ref="B22:F22"/>
    <mergeCell ref="G22:J22"/>
    <mergeCell ref="N22:O22"/>
    <mergeCell ref="B19:F19"/>
    <mergeCell ref="N19:O19"/>
    <mergeCell ref="B13:F13"/>
    <mergeCell ref="G13:J13"/>
    <mergeCell ref="B15:F15"/>
    <mergeCell ref="G15:J15"/>
    <mergeCell ref="G16:J16"/>
    <mergeCell ref="N16:O16"/>
    <mergeCell ref="B17:F17"/>
    <mergeCell ref="G17:J17"/>
    <mergeCell ref="N17:O17"/>
    <mergeCell ref="B18:F18"/>
    <mergeCell ref="N18:O18"/>
    <mergeCell ref="N11:U11"/>
    <mergeCell ref="B1:J2"/>
    <mergeCell ref="B3:J3"/>
    <mergeCell ref="B5:J5"/>
    <mergeCell ref="B7:J7"/>
    <mergeCell ref="B11:J11"/>
  </mergeCells>
  <conditionalFormatting sqref="R16:R26">
    <cfRule type="cellIs" priority="6" operator="lessThan" dxfId="103">
      <formula>0</formula>
    </cfRule>
    <cfRule type="cellIs" priority="7" operator="greaterThan" dxfId="102">
      <formula>0</formula>
    </cfRule>
  </conditionalFormatting>
  <conditionalFormatting sqref="U15:U32">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8" r:id="rId1"/>
    <hyperlink xmlns:r="http://schemas.openxmlformats.org/officeDocument/2006/relationships" ref="B9"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outlinePr summaryBelow="1" summaryRight="1"/>
    <pageSetUpPr/>
  </sheetPr>
  <dimension ref="A1:S25"/>
  <sheetViews>
    <sheetView tabSelected="1" workbookViewId="0">
      <selection activeCell="F41" sqref="F41"/>
    </sheetView>
  </sheetViews>
  <sheetFormatPr baseColWidth="10" defaultRowHeight="15"/>
  <cols>
    <col width="25.1640625" customWidth="1" style="87"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116"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116"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116"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116"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116"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116"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116"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116"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116"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116"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116"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116"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116"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116"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116"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116"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116"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116"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116"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116"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116"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116"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116"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116"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S25"/>
  <sheetViews>
    <sheetView workbookViewId="0">
      <selection activeCell="A25" sqref="A25:XFD25"/>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116"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116"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116"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116"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116"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116"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116"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116"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116"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116"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116"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116"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116"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116"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116"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116"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116"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116"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116"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116"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116"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116"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116"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116"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A1:S25"/>
  <sheetViews>
    <sheetView workbookViewId="0">
      <selection activeCell="U29" sqref="U29"/>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116"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116"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116"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116"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116"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116"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116"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116"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116"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116"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116"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116"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116"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116"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116"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116"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116"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116"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116"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116"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116"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116"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116"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116"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sheetData>
  <pageMargins left="0.7" right="0.7" top="0.75" bottom="0.75" header="0.3" footer="0.3"/>
</worksheet>
</file>

<file path=xl/worksheets/sheet5.xml><?xml version="1.0" encoding="utf-8"?>
<worksheet xmlns="http://schemas.openxmlformats.org/spreadsheetml/2006/main">
  <sheetPr>
    <tabColor theme="4" tint="0.7999816888943144"/>
    <outlinePr summaryBelow="1" summaryRight="1"/>
    <pageSetUpPr/>
  </sheetPr>
  <dimension ref="A1:Z16"/>
  <sheetViews>
    <sheetView zoomScale="85" zoomScaleNormal="85" workbookViewId="0">
      <selection activeCell="AA20" sqref="AA20"/>
    </sheetView>
  </sheetViews>
  <sheetFormatPr baseColWidth="10" defaultColWidth="9.1640625" defaultRowHeight="15"/>
  <cols>
    <col width="9.6640625" customWidth="1" style="96" min="1" max="1"/>
    <col width="8.83203125" customWidth="1" style="96" min="2" max="18"/>
    <col width="10.5" customWidth="1" style="96" min="19" max="19"/>
    <col width="8.83203125" customWidth="1" style="96" min="20" max="20"/>
    <col width="9.1640625" customWidth="1" style="96" min="21" max="23"/>
    <col width="9.1640625" customWidth="1" style="96" min="24" max="16384"/>
  </cols>
  <sheetData>
    <row r="1">
      <c r="J1" s="96" t="inlineStr">
        <is>
          <t>Last Month</t>
        </is>
      </c>
      <c r="L1" s="7">
        <f>Sectors!L1</f>
        <v/>
      </c>
      <c r="O1" s="6" t="n"/>
    </row>
    <row r="2">
      <c r="L2" s="96">
        <f>Sectors!L2</f>
        <v/>
      </c>
      <c r="Y2" s="7" t="n"/>
    </row>
    <row r="4">
      <c r="U4" s="7">
        <f>DATE(YEAR(U5),MONTH(U5)-1,DAY(U5))</f>
        <v/>
      </c>
      <c r="V4" s="1">
        <f>V5-1</f>
        <v/>
      </c>
    </row>
    <row r="5" ht="89.25" customHeight="1" s="87"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96" t="inlineStr">
        <is>
          <t>Min</t>
        </is>
      </c>
      <c r="Z5" s="96" t="inlineStr">
        <is>
          <t>Max</t>
        </is>
      </c>
    </row>
    <row r="6">
      <c r="A6" s="8">
        <f>DATE(YEAR(A7),MONTH(A7)-1,DAY(A7))</f>
        <v/>
      </c>
      <c r="B6" s="38">
        <f>VLOOKUP($B$5,'Sectors Trend'!$B$28:$AD$45,VLOOKUP(A6,$U:$V,2,),)</f>
        <v/>
      </c>
      <c r="C6" s="38">
        <f>VLOOKUP($C$5,'Sectors Trend'!$B$28:$AD$45,VLOOKUP(A6,$U:$V,2,),)</f>
        <v/>
      </c>
      <c r="D6" s="38">
        <f>VLOOKUP($D$5,'Sectors Trend'!$B$28:$AD$45,VLOOKUP(A6,$U:$V,2,),)</f>
        <v/>
      </c>
      <c r="E6" s="38">
        <f>VLOOKUP($E$5,'Sectors Trend'!$B$28:$AD$45,VLOOKUP(A6,$U:$V,2,),)</f>
        <v/>
      </c>
      <c r="F6" s="38">
        <f>VLOOKUP($F$5,'Sectors Trend'!$B$28:$AD$45,VLOOKUP(A6,$U:$V,2,),)</f>
        <v/>
      </c>
      <c r="G6" s="38">
        <f>VLOOKUP($G$5,'Sectors Trend'!$B$28:$AD$45,VLOOKUP(A6,$U:$V,2,),)</f>
        <v/>
      </c>
      <c r="H6" s="38">
        <f>VLOOKUP($H$5,'Sectors Trend'!$B$28:$AD$45,VLOOKUP(A6,$U:$V,2,),)</f>
        <v/>
      </c>
      <c r="I6" s="38">
        <f>VLOOKUP($I$5,'Sectors Trend'!$B$28:$AD$45,VLOOKUP(A6,$U:$V,2,),)</f>
        <v/>
      </c>
      <c r="J6" s="38">
        <f>VLOOKUP($J$5,'Sectors Trend'!$B$28:$AD$45,VLOOKUP(A6,$U:$V,2,),)</f>
        <v/>
      </c>
      <c r="K6" s="38">
        <f>VLOOKUP($K$5,'Sectors Trend'!$B$28:$AD$45,VLOOKUP(A6,$U:$V,2,),)</f>
        <v/>
      </c>
      <c r="L6" s="38">
        <f>VLOOKUP($L$5,'Sectors Trend'!$B$28:$AD$45,VLOOKUP(A6,$U:$V,2,),)</f>
        <v/>
      </c>
      <c r="M6" s="38">
        <f>VLOOKUP($M$5,'Sectors Trend'!$B$28:$AD$45,VLOOKUP(A6,$U:$V,2,),)</f>
        <v/>
      </c>
      <c r="N6" s="38">
        <f>VLOOKUP($N$5,'Sectors Trend'!$B$28:$AD$45,VLOOKUP(A6,$U:$V,2,),)</f>
        <v/>
      </c>
      <c r="O6" s="38">
        <f>VLOOKUP($O$5,'Sectors Trend'!$B$28:$AD$45,VLOOKUP(A6,$U:$V,2,),)</f>
        <v/>
      </c>
      <c r="P6" s="38">
        <f>VLOOKUP($P$5,'Sectors Trend'!$B$28:$AD$45,VLOOKUP(A6,$U:$V,2,),)</f>
        <v/>
      </c>
      <c r="Q6" s="38">
        <f>VLOOKUP($Q$5,'Sectors Trend'!$B$28:$AD$45,VLOOKUP(A6,$U:$V,2,),)</f>
        <v/>
      </c>
      <c r="R6" s="38">
        <f>VLOOKUP($R$5,'Sectors Trend'!$B$28:$AD$45,VLOOKUP(A6,$U:$V,2,),)</f>
        <v/>
      </c>
      <c r="S6" s="39">
        <f>VLOOKUP($S$5,'Sectors Trend'!$B$28:$AD$45,VLOOKUP(A6,$U:$V,2,),)</f>
        <v/>
      </c>
      <c r="U6" s="7">
        <f>DATE(YEAR(U7),MONTH(U7)-1,DAY(U7))</f>
        <v/>
      </c>
      <c r="V6" s="1">
        <f>V7-1</f>
        <v/>
      </c>
      <c r="Y6" s="96">
        <f>MIN(B6:S6)</f>
        <v/>
      </c>
      <c r="Z6" s="96">
        <f>MAX(B6:S6)</f>
        <v/>
      </c>
    </row>
    <row r="7">
      <c r="A7" s="8">
        <f>DATE(YEAR(A8),MONTH(A8)-1,DAY(A8))</f>
        <v/>
      </c>
      <c r="B7" s="5">
        <f>VLOOKUP($B$5,'Sectors Trend'!$B$28:$AD$45,VLOOKUP(A7,$U:$V,2,),)</f>
        <v/>
      </c>
      <c r="C7" s="5">
        <f>VLOOKUP($C$5,'Sectors Trend'!$B$28:$AD$45,VLOOKUP(A7,$U:$V,2,),)</f>
        <v/>
      </c>
      <c r="D7" s="5">
        <f>VLOOKUP($D$5,'Sectors Trend'!$B$28:$AD$45,VLOOKUP(A7,$U:$V,2,),)</f>
        <v/>
      </c>
      <c r="E7" s="5">
        <f>VLOOKUP($E$5,'Sectors Trend'!$B$28:$AD$45,VLOOKUP(A7,$U:$V,2,),)</f>
        <v/>
      </c>
      <c r="F7" s="5">
        <f>VLOOKUP($F$5,'Sectors Trend'!$B$28:$AD$45,VLOOKUP(A7,$U:$V,2,),)</f>
        <v/>
      </c>
      <c r="G7" s="5">
        <f>VLOOKUP($G$5,'Sectors Trend'!$B$28:$AD$45,VLOOKUP(A7,$U:$V,2,),)</f>
        <v/>
      </c>
      <c r="H7" s="5">
        <f>VLOOKUP($H$5,'Sectors Trend'!$B$28:$AD$45,VLOOKUP(A7,$U:$V,2,),)</f>
        <v/>
      </c>
      <c r="I7" s="5">
        <f>VLOOKUP($I$5,'Sectors Trend'!$B$28:$AD$45,VLOOKUP(A7,$U:$V,2,),)</f>
        <v/>
      </c>
      <c r="J7" s="5">
        <f>VLOOKUP($J$5,'Sectors Trend'!$B$28:$AD$45,VLOOKUP(A7,$U:$V,2,),)</f>
        <v/>
      </c>
      <c r="K7" s="5">
        <f>VLOOKUP($K$5,'Sectors Trend'!$B$28:$AD$45,VLOOKUP(A7,$U:$V,2,),)</f>
        <v/>
      </c>
      <c r="L7" s="5">
        <f>VLOOKUP($L$5,'Sectors Trend'!$B$28:$AD$45,VLOOKUP(A7,$U:$V,2,),)</f>
        <v/>
      </c>
      <c r="M7" s="5">
        <f>VLOOKUP($M$5,'Sectors Trend'!$B$28:$AD$45,VLOOKUP(A7,$U:$V,2,),)</f>
        <v/>
      </c>
      <c r="N7" s="5">
        <f>VLOOKUP($N$5,'Sectors Trend'!$B$28:$AD$45,VLOOKUP(A7,$U:$V,2,),)</f>
        <v/>
      </c>
      <c r="O7" s="5">
        <f>VLOOKUP($O$5,'Sectors Trend'!$B$28:$AD$45,VLOOKUP(A7,$U:$V,2,),)</f>
        <v/>
      </c>
      <c r="P7" s="5">
        <f>VLOOKUP($P$5,'Sectors Trend'!$B$28:$AD$45,VLOOKUP(A7,$U:$V,2,),)</f>
        <v/>
      </c>
      <c r="Q7" s="5">
        <f>VLOOKUP($Q$5,'Sectors Trend'!$B$28:$AD$45,VLOOKUP(A7,$U:$V,2,),)</f>
        <v/>
      </c>
      <c r="R7" s="5">
        <f>VLOOKUP($R$5,'Sectors Trend'!$B$28:$AD$45,VLOOKUP(A7,$U:$V,2,),)</f>
        <v/>
      </c>
      <c r="S7" s="40">
        <f>VLOOKUP($S$5,'Sectors Trend'!$B$28:$AD$45,VLOOKUP(A7,$U:$V,2,),)</f>
        <v/>
      </c>
      <c r="U7" s="7">
        <f>DATE(YEAR(U8),MONTH(U8)-1,DAY(U8))</f>
        <v/>
      </c>
      <c r="V7" s="1">
        <f>V8-1</f>
        <v/>
      </c>
      <c r="Y7" s="96">
        <f>MIN(B7:S7)</f>
        <v/>
      </c>
      <c r="Z7" s="96">
        <f>MAX(B7:S7)</f>
        <v/>
      </c>
    </row>
    <row r="8">
      <c r="A8" s="8">
        <f>DATE(YEAR(A9),MONTH(A9)-1,DAY(A9))</f>
        <v/>
      </c>
      <c r="B8" s="5">
        <f>VLOOKUP($B$5,'Sectors Trend'!$B$28:$AD$45,VLOOKUP(A8,$U:$V,2,),)</f>
        <v/>
      </c>
      <c r="C8" s="5">
        <f>VLOOKUP($C$5,'Sectors Trend'!$B$28:$AD$45,VLOOKUP(A8,$U:$V,2,),)</f>
        <v/>
      </c>
      <c r="D8" s="5">
        <f>VLOOKUP($D$5,'Sectors Trend'!$B$28:$AD$45,VLOOKUP(A8,$U:$V,2,),)</f>
        <v/>
      </c>
      <c r="E8" s="5">
        <f>VLOOKUP($E$5,'Sectors Trend'!$B$28:$AD$45,VLOOKUP(A8,$U:$V,2,),)</f>
        <v/>
      </c>
      <c r="F8" s="5">
        <f>VLOOKUP($F$5,'Sectors Trend'!$B$28:$AD$45,VLOOKUP(A8,$U:$V,2,),)</f>
        <v/>
      </c>
      <c r="G8" s="5">
        <f>VLOOKUP($G$5,'Sectors Trend'!$B$28:$AD$45,VLOOKUP(A8,$U:$V,2,),)</f>
        <v/>
      </c>
      <c r="H8" s="5">
        <f>VLOOKUP($H$5,'Sectors Trend'!$B$28:$AD$45,VLOOKUP(A8,$U:$V,2,),)</f>
        <v/>
      </c>
      <c r="I8" s="5">
        <f>VLOOKUP($I$5,'Sectors Trend'!$B$28:$AD$45,VLOOKUP(A8,$U:$V,2,),)</f>
        <v/>
      </c>
      <c r="J8" s="5">
        <f>VLOOKUP($J$5,'Sectors Trend'!$B$28:$AD$45,VLOOKUP(A8,$U:$V,2,),)</f>
        <v/>
      </c>
      <c r="K8" s="5">
        <f>VLOOKUP($K$5,'Sectors Trend'!$B$28:$AD$45,VLOOKUP(A8,$U:$V,2,),)</f>
        <v/>
      </c>
      <c r="L8" s="5">
        <f>VLOOKUP($L$5,'Sectors Trend'!$B$28:$AD$45,VLOOKUP(A8,$U:$V,2,),)</f>
        <v/>
      </c>
      <c r="M8" s="5">
        <f>VLOOKUP($M$5,'Sectors Trend'!$B$28:$AD$45,VLOOKUP(A8,$U:$V,2,),)</f>
        <v/>
      </c>
      <c r="N8" s="5">
        <f>VLOOKUP($N$5,'Sectors Trend'!$B$28:$AD$45,VLOOKUP(A8,$U:$V,2,),)</f>
        <v/>
      </c>
      <c r="O8" s="5">
        <f>VLOOKUP($O$5,'Sectors Trend'!$B$28:$AD$45,VLOOKUP(A8,$U:$V,2,),)</f>
        <v/>
      </c>
      <c r="P8" s="5">
        <f>VLOOKUP($P$5,'Sectors Trend'!$B$28:$AD$45,VLOOKUP(A8,$U:$V,2,),)</f>
        <v/>
      </c>
      <c r="Q8" s="5">
        <f>VLOOKUP($Q$5,'Sectors Trend'!$B$28:$AD$45,VLOOKUP(A8,$U:$V,2,),)</f>
        <v/>
      </c>
      <c r="R8" s="5">
        <f>VLOOKUP($R$5,'Sectors Trend'!$B$28:$AD$45,VLOOKUP(A8,$U:$V,2,),)</f>
        <v/>
      </c>
      <c r="S8" s="40">
        <f>VLOOKUP($S$5,'Sectors Trend'!$B$28:$AD$45,VLOOKUP(A8,$U:$V,2,),)</f>
        <v/>
      </c>
      <c r="U8" s="7">
        <f>DATE(YEAR(U9),MONTH(U9)-1,DAY(U9))</f>
        <v/>
      </c>
      <c r="V8" s="1">
        <f>V9-1</f>
        <v/>
      </c>
      <c r="Y8" s="96">
        <f>MIN(B8:S8)</f>
        <v/>
      </c>
      <c r="Z8" s="96">
        <f>MAX(B8:S8)</f>
        <v/>
      </c>
    </row>
    <row r="9">
      <c r="A9" s="8">
        <f>DATE(YEAR(A10),MONTH(A10)-1,DAY(A10))</f>
        <v/>
      </c>
      <c r="B9" s="5">
        <f>VLOOKUP($B$5,'Sectors Trend'!$B$28:$AD$45,VLOOKUP(A9,$U:$V,2,),)</f>
        <v/>
      </c>
      <c r="C9" s="5">
        <f>VLOOKUP($C$5,'Sectors Trend'!$B$28:$AD$45,VLOOKUP(A9,$U:$V,2,),)</f>
        <v/>
      </c>
      <c r="D9" s="5">
        <f>VLOOKUP($D$5,'Sectors Trend'!$B$28:$AD$45,VLOOKUP(A9,$U:$V,2,),)</f>
        <v/>
      </c>
      <c r="E9" s="5">
        <f>VLOOKUP($E$5,'Sectors Trend'!$B$28:$AD$45,VLOOKUP(A9,$U:$V,2,),)</f>
        <v/>
      </c>
      <c r="F9" s="5">
        <f>VLOOKUP($F$5,'Sectors Trend'!$B$28:$AD$45,VLOOKUP(A9,$U:$V,2,),)</f>
        <v/>
      </c>
      <c r="G9" s="5">
        <f>VLOOKUP($G$5,'Sectors Trend'!$B$28:$AD$45,VLOOKUP(A9,$U:$V,2,),)</f>
        <v/>
      </c>
      <c r="H9" s="5">
        <f>VLOOKUP($H$5,'Sectors Trend'!$B$28:$AD$45,VLOOKUP(A9,$U:$V,2,),)</f>
        <v/>
      </c>
      <c r="I9" s="5">
        <f>VLOOKUP($I$5,'Sectors Trend'!$B$28:$AD$45,VLOOKUP(A9,$U:$V,2,),)</f>
        <v/>
      </c>
      <c r="J9" s="5">
        <f>VLOOKUP($J$5,'Sectors Trend'!$B$28:$AD$45,VLOOKUP(A9,$U:$V,2,),)</f>
        <v/>
      </c>
      <c r="K9" s="5">
        <f>VLOOKUP($K$5,'Sectors Trend'!$B$28:$AD$45,VLOOKUP(A9,$U:$V,2,),)</f>
        <v/>
      </c>
      <c r="L9" s="5">
        <f>VLOOKUP($L$5,'Sectors Trend'!$B$28:$AD$45,VLOOKUP(A9,$U:$V,2,),)</f>
        <v/>
      </c>
      <c r="M9" s="5">
        <f>VLOOKUP($M$5,'Sectors Trend'!$B$28:$AD$45,VLOOKUP(A9,$U:$V,2,),)</f>
        <v/>
      </c>
      <c r="N9" s="5">
        <f>VLOOKUP($N$5,'Sectors Trend'!$B$28:$AD$45,VLOOKUP(A9,$U:$V,2,),)</f>
        <v/>
      </c>
      <c r="O9" s="5">
        <f>VLOOKUP($O$5,'Sectors Trend'!$B$28:$AD$45,VLOOKUP(A9,$U:$V,2,),)</f>
        <v/>
      </c>
      <c r="P9" s="5">
        <f>VLOOKUP($P$5,'Sectors Trend'!$B$28:$AD$45,VLOOKUP(A9,$U:$V,2,),)</f>
        <v/>
      </c>
      <c r="Q9" s="5">
        <f>VLOOKUP($Q$5,'Sectors Trend'!$B$28:$AD$45,VLOOKUP(A9,$U:$V,2,),)</f>
        <v/>
      </c>
      <c r="R9" s="5">
        <f>VLOOKUP($R$5,'Sectors Trend'!$B$28:$AD$45,VLOOKUP(A9,$U:$V,2,),)</f>
        <v/>
      </c>
      <c r="S9" s="40">
        <f>VLOOKUP($S$5,'Sectors Trend'!$B$28:$AD$45,VLOOKUP(A9,$U:$V,2,),)</f>
        <v/>
      </c>
      <c r="U9" s="7">
        <f>DATE(YEAR(U10),MONTH(U10)-1,DAY(U10))</f>
        <v/>
      </c>
      <c r="V9" s="1">
        <f>V10-1</f>
        <v/>
      </c>
      <c r="Y9" s="96">
        <f>MIN(B9:S9)</f>
        <v/>
      </c>
      <c r="Z9" s="96">
        <f>MAX(B9:S9)</f>
        <v/>
      </c>
    </row>
    <row r="10">
      <c r="A10" s="8">
        <f>DATE(YEAR(A11),MONTH(A11)-1,DAY(A11))</f>
        <v/>
      </c>
      <c r="B10" s="5">
        <f>VLOOKUP($B$5,'Sectors Trend'!$B$28:$AD$45,VLOOKUP(A10,$U:$V,2,),)</f>
        <v/>
      </c>
      <c r="C10" s="5">
        <f>VLOOKUP($C$5,'Sectors Trend'!$B$28:$AD$45,VLOOKUP(A10,$U:$V,2,),)</f>
        <v/>
      </c>
      <c r="D10" s="5">
        <f>VLOOKUP($D$5,'Sectors Trend'!$B$28:$AD$45,VLOOKUP(A10,$U:$V,2,),)</f>
        <v/>
      </c>
      <c r="E10" s="5">
        <f>VLOOKUP($E$5,'Sectors Trend'!$B$28:$AD$45,VLOOKUP(A10,$U:$V,2,),)</f>
        <v/>
      </c>
      <c r="F10" s="5">
        <f>VLOOKUP($F$5,'Sectors Trend'!$B$28:$AD$45,VLOOKUP(A10,$U:$V,2,),)</f>
        <v/>
      </c>
      <c r="G10" s="5">
        <f>VLOOKUP($G$5,'Sectors Trend'!$B$28:$AD$45,VLOOKUP(A10,$U:$V,2,),)</f>
        <v/>
      </c>
      <c r="H10" s="5">
        <f>VLOOKUP($H$5,'Sectors Trend'!$B$28:$AD$45,VLOOKUP(A10,$U:$V,2,),)</f>
        <v/>
      </c>
      <c r="I10" s="5">
        <f>VLOOKUP($I$5,'Sectors Trend'!$B$28:$AD$45,VLOOKUP(A10,$U:$V,2,),)</f>
        <v/>
      </c>
      <c r="J10" s="5">
        <f>VLOOKUP($J$5,'Sectors Trend'!$B$28:$AD$45,VLOOKUP(A10,$U:$V,2,),)</f>
        <v/>
      </c>
      <c r="K10" s="5">
        <f>VLOOKUP($K$5,'Sectors Trend'!$B$28:$AD$45,VLOOKUP(A10,$U:$V,2,),)</f>
        <v/>
      </c>
      <c r="L10" s="5">
        <f>VLOOKUP($L$5,'Sectors Trend'!$B$28:$AD$45,VLOOKUP(A10,$U:$V,2,),)</f>
        <v/>
      </c>
      <c r="M10" s="5">
        <f>VLOOKUP($M$5,'Sectors Trend'!$B$28:$AD$45,VLOOKUP(A10,$U:$V,2,),)</f>
        <v/>
      </c>
      <c r="N10" s="5">
        <f>VLOOKUP($N$5,'Sectors Trend'!$B$28:$AD$45,VLOOKUP(A10,$U:$V,2,),)</f>
        <v/>
      </c>
      <c r="O10" s="5">
        <f>VLOOKUP($O$5,'Sectors Trend'!$B$28:$AD$45,VLOOKUP(A10,$U:$V,2,),)</f>
        <v/>
      </c>
      <c r="P10" s="5">
        <f>VLOOKUP($P$5,'Sectors Trend'!$B$28:$AD$45,VLOOKUP(A10,$U:$V,2,),)</f>
        <v/>
      </c>
      <c r="Q10" s="5">
        <f>VLOOKUP($Q$5,'Sectors Trend'!$B$28:$AD$45,VLOOKUP(A10,$U:$V,2,),)</f>
        <v/>
      </c>
      <c r="R10" s="5">
        <f>VLOOKUP($R$5,'Sectors Trend'!$B$28:$AD$45,VLOOKUP(A10,$U:$V,2,),)</f>
        <v/>
      </c>
      <c r="S10" s="40">
        <f>VLOOKUP($S$5,'Sectors Trend'!$B$28:$AD$45,VLOOKUP(A10,$U:$V,2,),)</f>
        <v/>
      </c>
      <c r="U10" s="7">
        <f>DATE(YEAR(U11),MONTH(U11)-1,DAY(U11))</f>
        <v/>
      </c>
      <c r="V10" s="1">
        <f>V11-1</f>
        <v/>
      </c>
      <c r="Y10" s="96">
        <f>MIN(B10:S10)</f>
        <v/>
      </c>
      <c r="Z10" s="96">
        <f>MAX(B10:S10)</f>
        <v/>
      </c>
    </row>
    <row r="11" ht="16" customHeight="1" s="87" thickBot="1">
      <c r="A11" s="8">
        <f>L1</f>
        <v/>
      </c>
      <c r="B11" s="41">
        <f>VLOOKUP($B$5,'Sectors Trend'!$B$28:$AD$45,VLOOKUP(A11,$U:$V,2,),)</f>
        <v/>
      </c>
      <c r="C11" s="41">
        <f>VLOOKUP($C$5,'Sectors Trend'!$B$28:$AD$45,VLOOKUP(A11,$U:$V,2,),)</f>
        <v/>
      </c>
      <c r="D11" s="41">
        <f>VLOOKUP($D$5,'Sectors Trend'!$B$28:$AD$45,VLOOKUP(A11,$U:$V,2,),)</f>
        <v/>
      </c>
      <c r="E11" s="41">
        <f>VLOOKUP($E$5,'Sectors Trend'!$B$28:$AD$45,VLOOKUP(A11,$U:$V,2,),)</f>
        <v/>
      </c>
      <c r="F11" s="41">
        <f>VLOOKUP($F$5,'Sectors Trend'!$B$28:$AD$45,VLOOKUP(A11,$U:$V,2,),)</f>
        <v/>
      </c>
      <c r="G11" s="41">
        <f>VLOOKUP($G$5,'Sectors Trend'!$B$28:$AD$45,VLOOKUP(A11,$U:$V,2,),)</f>
        <v/>
      </c>
      <c r="H11" s="41">
        <f>VLOOKUP($H$5,'Sectors Trend'!$B$28:$AD$45,VLOOKUP(A11,$U:$V,2,),)</f>
        <v/>
      </c>
      <c r="I11" s="41">
        <f>VLOOKUP($I$5,'Sectors Trend'!$B$28:$AD$45,VLOOKUP(A11,$U:$V,2,),)</f>
        <v/>
      </c>
      <c r="J11" s="41">
        <f>VLOOKUP($J$5,'Sectors Trend'!$B$28:$AD$45,VLOOKUP(A11,$U:$V,2,),)</f>
        <v/>
      </c>
      <c r="K11" s="41">
        <f>VLOOKUP($K$5,'Sectors Trend'!$B$28:$AD$45,VLOOKUP(A11,$U:$V,2,),)</f>
        <v/>
      </c>
      <c r="L11" s="41">
        <f>VLOOKUP($L$5,'Sectors Trend'!$B$28:$AD$45,VLOOKUP(A11,$U:$V,2,),)</f>
        <v/>
      </c>
      <c r="M11" s="41">
        <f>VLOOKUP($M$5,'Sectors Trend'!$B$28:$AD$45,VLOOKUP(A11,$U:$V,2,),)</f>
        <v/>
      </c>
      <c r="N11" s="41">
        <f>VLOOKUP($N$5,'Sectors Trend'!$B$28:$AD$45,VLOOKUP(A11,$U:$V,2,),)</f>
        <v/>
      </c>
      <c r="O11" s="41">
        <f>VLOOKUP($O$5,'Sectors Trend'!$B$28:$AD$45,VLOOKUP(A11,$U:$V,2,),)</f>
        <v/>
      </c>
      <c r="P11" s="41">
        <f>VLOOKUP($P$5,'Sectors Trend'!$B$28:$AD$45,VLOOKUP(A11,$U:$V,2,),)</f>
        <v/>
      </c>
      <c r="Q11" s="41">
        <f>VLOOKUP($Q$5,'Sectors Trend'!$B$28:$AD$45,VLOOKUP(A11,$U:$V,2,),)</f>
        <v/>
      </c>
      <c r="R11" s="41">
        <f>VLOOKUP($R$5,'Sectors Trend'!$B$28:$AD$45,VLOOKUP(A11,$U:$V,2,),)</f>
        <v/>
      </c>
      <c r="S11" s="42">
        <f>VLOOKUP($S$5,'Sectors Trend'!$B$28:$AD$45,VLOOKUP(A11,$U:$V,2,),)</f>
        <v/>
      </c>
      <c r="U11" s="7">
        <f>L1</f>
        <v/>
      </c>
      <c r="V11" s="1">
        <f>L2+1</f>
        <v/>
      </c>
      <c r="Y11" s="96">
        <f>MIN(B11:S11)</f>
        <v/>
      </c>
      <c r="Z11" s="9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6.xml><?xml version="1.0" encoding="utf-8"?>
<worksheet xmlns="http://schemas.openxmlformats.org/spreadsheetml/2006/main">
  <sheetPr codeName="Sheet22">
    <tabColor theme="4" tint="0.7999816888943144"/>
    <outlinePr summaryBelow="1" summaryRight="1"/>
    <pageSetUpPr/>
  </sheetPr>
  <dimension ref="A1:Z16"/>
  <sheetViews>
    <sheetView zoomScale="80" zoomScaleNormal="80" workbookViewId="0">
      <selection activeCell="Y5" sqref="Y5:Z11"/>
    </sheetView>
  </sheetViews>
  <sheetFormatPr baseColWidth="10" defaultColWidth="9.1640625" defaultRowHeight="15"/>
  <cols>
    <col width="9.6640625" customWidth="1" style="96" min="1" max="1"/>
    <col width="8.83203125" customWidth="1" style="96" min="2" max="20"/>
    <col width="9.1640625" customWidth="1" style="96" min="21" max="23"/>
    <col width="9.1640625" customWidth="1" style="96" min="24" max="16384"/>
  </cols>
  <sheetData>
    <row r="1">
      <c r="J1" s="96" t="inlineStr">
        <is>
          <t>Last Month</t>
        </is>
      </c>
      <c r="L1" s="7">
        <f>Sectors!L1</f>
        <v/>
      </c>
      <c r="O1" s="6" t="inlineStr">
        <is>
          <t>Sectors Trend'!$A$6:$U$23</t>
        </is>
      </c>
    </row>
    <row r="2">
      <c r="L2" s="96">
        <f>Sectors!L2</f>
        <v/>
      </c>
      <c r="Y2" s="7" t="n"/>
    </row>
    <row r="4">
      <c r="U4" s="7">
        <f>DATE(YEAR(U5),MONTH(U5)-1,DAY(U5))</f>
        <v/>
      </c>
      <c r="V4" s="1">
        <f>V5-1</f>
        <v/>
      </c>
    </row>
    <row r="5" ht="67.5" customHeight="1" s="87"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96" t="inlineStr">
        <is>
          <t>Min</t>
        </is>
      </c>
      <c r="Z5" s="96" t="inlineStr">
        <is>
          <t>Max</t>
        </is>
      </c>
    </row>
    <row r="6">
      <c r="A6" s="8">
        <f>DATE(YEAR(A7),MONTH(A7)-1,DAY(A7))</f>
        <v/>
      </c>
      <c r="B6" s="38">
        <f>VLOOKUP($B$5,'Sectors Trend'!$B$50:$AD$67,VLOOKUP(A6,$U:$V,2,),)</f>
        <v/>
      </c>
      <c r="C6" s="38">
        <f>VLOOKUP($C$5,'Sectors Trend'!$B$50:$AD$67,VLOOKUP(A6,$U:$V,2,),)</f>
        <v/>
      </c>
      <c r="D6" s="38">
        <f>VLOOKUP($D$5,'Sectors Trend'!$B$50:$AD$67,VLOOKUP(A6,$U:$V,2,),)</f>
        <v/>
      </c>
      <c r="E6" s="38">
        <f>VLOOKUP($E$5,'Sectors Trend'!$B$50:$AD$67,VLOOKUP(A6,$U:$V,2,),)</f>
        <v/>
      </c>
      <c r="F6" s="38">
        <f>VLOOKUP($F$5,'Sectors Trend'!$B$50:$AD$67,VLOOKUP(A6,$U:$V,2,),)</f>
        <v/>
      </c>
      <c r="G6" s="38">
        <f>VLOOKUP($G$5,'Sectors Trend'!$B$50:$AD$67,VLOOKUP(A6,$U:$V,2,),)</f>
        <v/>
      </c>
      <c r="H6" s="38">
        <f>VLOOKUP($H$5,'Sectors Trend'!$B$50:$AD$67,VLOOKUP(A6,$U:$V,2,),)</f>
        <v/>
      </c>
      <c r="I6" s="38">
        <f>VLOOKUP($I$5,'Sectors Trend'!$B$50:$AD$67,VLOOKUP(A6,$U:$V,2,),)</f>
        <v/>
      </c>
      <c r="J6" s="38">
        <f>VLOOKUP($J$5,'Sectors Trend'!$B$50:$AD$67,VLOOKUP(A6,$U:$V,2,),)</f>
        <v/>
      </c>
      <c r="K6" s="38">
        <f>VLOOKUP($K$5,'Sectors Trend'!$B$50:$AD$67,VLOOKUP(A6,$U:$V,2,),)</f>
        <v/>
      </c>
      <c r="L6" s="38">
        <f>VLOOKUP($L$5,'Sectors Trend'!$B$50:$AD$67,VLOOKUP(A6,$U:$V,2,),)</f>
        <v/>
      </c>
      <c r="M6" s="38">
        <f>VLOOKUP($M$5,'Sectors Trend'!$B$50:$AD$67,VLOOKUP(A6,$U:$V,2,),)</f>
        <v/>
      </c>
      <c r="N6" s="38">
        <f>VLOOKUP($N$5,'Sectors Trend'!$B$50:$AD$67,VLOOKUP(A6,$U:$V,2,),)</f>
        <v/>
      </c>
      <c r="O6" s="38">
        <f>VLOOKUP($O$5,'Sectors Trend'!$B$50:$AD$67,VLOOKUP(A6,$U:$V,2,),)</f>
        <v/>
      </c>
      <c r="P6" s="38">
        <f>VLOOKUP($P$5,'Sectors Trend'!$B$50:$AD$67,VLOOKUP(A6,$U:$V,2,),)</f>
        <v/>
      </c>
      <c r="Q6" s="38">
        <f>VLOOKUP($Q$5,'Sectors Trend'!$B$50:$AD$67,VLOOKUP(A6,$U:$V,2,),)</f>
        <v/>
      </c>
      <c r="R6" s="38">
        <f>VLOOKUP($R$5,'Sectors Trend'!$B$50:$AD$67,VLOOKUP(A6,$U:$V,2,),)</f>
        <v/>
      </c>
      <c r="S6" s="39">
        <f>VLOOKUP($S$5,'Sectors Trend'!$B$50:$AD$67,VLOOKUP(A6,$U:$V,2,),)</f>
        <v/>
      </c>
      <c r="U6" s="7">
        <f>DATE(YEAR(U7),MONTH(U7)-1,DAY(U7))</f>
        <v/>
      </c>
      <c r="V6" s="1">
        <f>V7-1</f>
        <v/>
      </c>
      <c r="Y6" s="96">
        <f>MIN(B6:S6)</f>
        <v/>
      </c>
      <c r="Z6" s="96">
        <f>MAX(B6:S6)</f>
        <v/>
      </c>
    </row>
    <row r="7">
      <c r="A7" s="8">
        <f>DATE(YEAR(A8),MONTH(A8)-1,DAY(A8))</f>
        <v/>
      </c>
      <c r="B7" s="5">
        <f>VLOOKUP($B$5,'Sectors Trend'!$B$50:$AD$67,VLOOKUP(A7,$U:$V,2,),)</f>
        <v/>
      </c>
      <c r="C7" s="5">
        <f>VLOOKUP($C$5,'Sectors Trend'!$B$50:$AD$67,VLOOKUP(A7,$U:$V,2,),)</f>
        <v/>
      </c>
      <c r="D7" s="5">
        <f>VLOOKUP($D$5,'Sectors Trend'!$B$50:$AD$67,VLOOKUP(A7,$U:$V,2,),)</f>
        <v/>
      </c>
      <c r="E7" s="5">
        <f>VLOOKUP($E$5,'Sectors Trend'!$B$50:$AD$67,VLOOKUP(A7,$U:$V,2,),)</f>
        <v/>
      </c>
      <c r="F7" s="5">
        <f>VLOOKUP($F$5,'Sectors Trend'!$B$50:$AD$67,VLOOKUP(A7,$U:$V,2,),)</f>
        <v/>
      </c>
      <c r="G7" s="5">
        <f>VLOOKUP($G$5,'Sectors Trend'!$B$50:$AD$67,VLOOKUP(A7,$U:$V,2,),)</f>
        <v/>
      </c>
      <c r="H7" s="5">
        <f>VLOOKUP($H$5,'Sectors Trend'!$B$50:$AD$67,VLOOKUP(A7,$U:$V,2,),)</f>
        <v/>
      </c>
      <c r="I7" s="5">
        <f>VLOOKUP($I$5,'Sectors Trend'!$B$50:$AD$67,VLOOKUP(A7,$U:$V,2,),)</f>
        <v/>
      </c>
      <c r="J7" s="5">
        <f>VLOOKUP($J$5,'Sectors Trend'!$B$50:$AD$67,VLOOKUP(A7,$U:$V,2,),)</f>
        <v/>
      </c>
      <c r="K7" s="5">
        <f>VLOOKUP($K$5,'Sectors Trend'!$B$50:$AD$67,VLOOKUP(A7,$U:$V,2,),)</f>
        <v/>
      </c>
      <c r="L7" s="5">
        <f>VLOOKUP($L$5,'Sectors Trend'!$B$50:$AD$67,VLOOKUP(A7,$U:$V,2,),)</f>
        <v/>
      </c>
      <c r="M7" s="5">
        <f>VLOOKUP($M$5,'Sectors Trend'!$B$50:$AD$67,VLOOKUP(A7,$U:$V,2,),)</f>
        <v/>
      </c>
      <c r="N7" s="5">
        <f>VLOOKUP($N$5,'Sectors Trend'!$B$50:$AD$67,VLOOKUP(A7,$U:$V,2,),)</f>
        <v/>
      </c>
      <c r="O7" s="5">
        <f>VLOOKUP($O$5,'Sectors Trend'!$B$50:$AD$67,VLOOKUP(A7,$U:$V,2,),)</f>
        <v/>
      </c>
      <c r="P7" s="5">
        <f>VLOOKUP($P$5,'Sectors Trend'!$B$50:$AD$67,VLOOKUP(A7,$U:$V,2,),)</f>
        <v/>
      </c>
      <c r="Q7" s="5">
        <f>VLOOKUP($Q$5,'Sectors Trend'!$B$50:$AD$67,VLOOKUP(A7,$U:$V,2,),)</f>
        <v/>
      </c>
      <c r="R7" s="5">
        <f>VLOOKUP($R$5,'Sectors Trend'!$B$50:$AD$67,VLOOKUP(A7,$U:$V,2,),)</f>
        <v/>
      </c>
      <c r="S7" s="40">
        <f>VLOOKUP($S$5,'Sectors Trend'!$B$50:$AD$67,VLOOKUP(A7,$U:$V,2,),)</f>
        <v/>
      </c>
      <c r="U7" s="7">
        <f>DATE(YEAR(U8),MONTH(U8)-1,DAY(U8))</f>
        <v/>
      </c>
      <c r="V7" s="1">
        <f>V8-1</f>
        <v/>
      </c>
      <c r="Y7" s="96">
        <f>MIN(B7:S7)</f>
        <v/>
      </c>
      <c r="Z7" s="96">
        <f>MAX(B7:S7)</f>
        <v/>
      </c>
    </row>
    <row r="8">
      <c r="A8" s="8">
        <f>DATE(YEAR(A9),MONTH(A9)-1,DAY(A9))</f>
        <v/>
      </c>
      <c r="B8" s="5">
        <f>VLOOKUP($B$5,'Sectors Trend'!$B$50:$AD$67,VLOOKUP(A8,$U:$V,2,),)</f>
        <v/>
      </c>
      <c r="C8" s="5">
        <f>VLOOKUP($C$5,'Sectors Trend'!$B$50:$AD$67,VLOOKUP(A8,$U:$V,2,),)</f>
        <v/>
      </c>
      <c r="D8" s="5">
        <f>VLOOKUP($D$5,'Sectors Trend'!$B$50:$AD$67,VLOOKUP(A8,$U:$V,2,),)</f>
        <v/>
      </c>
      <c r="E8" s="5">
        <f>VLOOKUP($E$5,'Sectors Trend'!$B$50:$AD$67,VLOOKUP(A8,$U:$V,2,),)</f>
        <v/>
      </c>
      <c r="F8" s="5">
        <f>VLOOKUP($F$5,'Sectors Trend'!$B$50:$AD$67,VLOOKUP(A8,$U:$V,2,),)</f>
        <v/>
      </c>
      <c r="G8" s="5">
        <f>VLOOKUP($G$5,'Sectors Trend'!$B$50:$AD$67,VLOOKUP(A8,$U:$V,2,),)</f>
        <v/>
      </c>
      <c r="H8" s="5">
        <f>VLOOKUP($H$5,'Sectors Trend'!$B$50:$AD$67,VLOOKUP(A8,$U:$V,2,),)</f>
        <v/>
      </c>
      <c r="I8" s="5">
        <f>VLOOKUP($I$5,'Sectors Trend'!$B$50:$AD$67,VLOOKUP(A8,$U:$V,2,),)</f>
        <v/>
      </c>
      <c r="J8" s="5">
        <f>VLOOKUP($J$5,'Sectors Trend'!$B$50:$AD$67,VLOOKUP(A8,$U:$V,2,),)</f>
        <v/>
      </c>
      <c r="K8" s="5">
        <f>VLOOKUP($K$5,'Sectors Trend'!$B$50:$AD$67,VLOOKUP(A8,$U:$V,2,),)</f>
        <v/>
      </c>
      <c r="L8" s="5">
        <f>VLOOKUP($L$5,'Sectors Trend'!$B$50:$AD$67,VLOOKUP(A8,$U:$V,2,),)</f>
        <v/>
      </c>
      <c r="M8" s="5">
        <f>VLOOKUP($M$5,'Sectors Trend'!$B$50:$AD$67,VLOOKUP(A8,$U:$V,2,),)</f>
        <v/>
      </c>
      <c r="N8" s="5">
        <f>VLOOKUP($N$5,'Sectors Trend'!$B$50:$AD$67,VLOOKUP(A8,$U:$V,2,),)</f>
        <v/>
      </c>
      <c r="O8" s="5">
        <f>VLOOKUP($O$5,'Sectors Trend'!$B$50:$AD$67,VLOOKUP(A8,$U:$V,2,),)</f>
        <v/>
      </c>
      <c r="P8" s="5">
        <f>VLOOKUP($P$5,'Sectors Trend'!$B$50:$AD$67,VLOOKUP(A8,$U:$V,2,),)</f>
        <v/>
      </c>
      <c r="Q8" s="5">
        <f>VLOOKUP($Q$5,'Sectors Trend'!$B$50:$AD$67,VLOOKUP(A8,$U:$V,2,),)</f>
        <v/>
      </c>
      <c r="R8" s="5">
        <f>VLOOKUP($R$5,'Sectors Trend'!$B$50:$AD$67,VLOOKUP(A8,$U:$V,2,),)</f>
        <v/>
      </c>
      <c r="S8" s="40">
        <f>VLOOKUP($S$5,'Sectors Trend'!$B$50:$AD$67,VLOOKUP(A8,$U:$V,2,),)</f>
        <v/>
      </c>
      <c r="U8" s="7">
        <f>DATE(YEAR(U9),MONTH(U9)-1,DAY(U9))</f>
        <v/>
      </c>
      <c r="V8" s="1">
        <f>V9-1</f>
        <v/>
      </c>
      <c r="Y8" s="96">
        <f>MIN(B8:S8)</f>
        <v/>
      </c>
      <c r="Z8" s="96">
        <f>MAX(B8:S8)</f>
        <v/>
      </c>
    </row>
    <row r="9">
      <c r="A9" s="8">
        <f>DATE(YEAR(A10),MONTH(A10)-1,DAY(A10))</f>
        <v/>
      </c>
      <c r="B9" s="5">
        <f>VLOOKUP($B$5,'Sectors Trend'!$B$50:$AD$67,VLOOKUP(A9,$U:$V,2,),)</f>
        <v/>
      </c>
      <c r="C9" s="5">
        <f>VLOOKUP($C$5,'Sectors Trend'!$B$50:$AD$67,VLOOKUP(A9,$U:$V,2,),)</f>
        <v/>
      </c>
      <c r="D9" s="5">
        <f>VLOOKUP($D$5,'Sectors Trend'!$B$50:$AD$67,VLOOKUP(A9,$U:$V,2,),)</f>
        <v/>
      </c>
      <c r="E9" s="5">
        <f>VLOOKUP($E$5,'Sectors Trend'!$B$50:$AD$67,VLOOKUP(A9,$U:$V,2,),)</f>
        <v/>
      </c>
      <c r="F9" s="5">
        <f>VLOOKUP($F$5,'Sectors Trend'!$B$50:$AD$67,VLOOKUP(A9,$U:$V,2,),)</f>
        <v/>
      </c>
      <c r="G9" s="5">
        <f>VLOOKUP($G$5,'Sectors Trend'!$B$50:$AD$67,VLOOKUP(A9,$U:$V,2,),)</f>
        <v/>
      </c>
      <c r="H9" s="5">
        <f>VLOOKUP($H$5,'Sectors Trend'!$B$50:$AD$67,VLOOKUP(A9,$U:$V,2,),)</f>
        <v/>
      </c>
      <c r="I9" s="5">
        <f>VLOOKUP($I$5,'Sectors Trend'!$B$50:$AD$67,VLOOKUP(A9,$U:$V,2,),)</f>
        <v/>
      </c>
      <c r="J9" s="5">
        <f>VLOOKUP($J$5,'Sectors Trend'!$B$50:$AD$67,VLOOKUP(A9,$U:$V,2,),)</f>
        <v/>
      </c>
      <c r="K9" s="5">
        <f>VLOOKUP($K$5,'Sectors Trend'!$B$50:$AD$67,VLOOKUP(A9,$U:$V,2,),)</f>
        <v/>
      </c>
      <c r="L9" s="5">
        <f>VLOOKUP($L$5,'Sectors Trend'!$B$50:$AD$67,VLOOKUP(A9,$U:$V,2,),)</f>
        <v/>
      </c>
      <c r="M9" s="5">
        <f>VLOOKUP($M$5,'Sectors Trend'!$B$50:$AD$67,VLOOKUP(A9,$U:$V,2,),)</f>
        <v/>
      </c>
      <c r="N9" s="5">
        <f>VLOOKUP($N$5,'Sectors Trend'!$B$50:$AD$67,VLOOKUP(A9,$U:$V,2,),)</f>
        <v/>
      </c>
      <c r="O9" s="5">
        <f>VLOOKUP($O$5,'Sectors Trend'!$B$50:$AD$67,VLOOKUP(A9,$U:$V,2,),)</f>
        <v/>
      </c>
      <c r="P9" s="5">
        <f>VLOOKUP($P$5,'Sectors Trend'!$B$50:$AD$67,VLOOKUP(A9,$U:$V,2,),)</f>
        <v/>
      </c>
      <c r="Q9" s="5">
        <f>VLOOKUP($Q$5,'Sectors Trend'!$B$50:$AD$67,VLOOKUP(A9,$U:$V,2,),)</f>
        <v/>
      </c>
      <c r="R9" s="5">
        <f>VLOOKUP($R$5,'Sectors Trend'!$B$50:$AD$67,VLOOKUP(A9,$U:$V,2,),)</f>
        <v/>
      </c>
      <c r="S9" s="40">
        <f>VLOOKUP($S$5,'Sectors Trend'!$B$50:$AD$67,VLOOKUP(A9,$U:$V,2,),)</f>
        <v/>
      </c>
      <c r="U9" s="7">
        <f>DATE(YEAR(U10),MONTH(U10)-1,DAY(U10))</f>
        <v/>
      </c>
      <c r="V9" s="1">
        <f>V10-1</f>
        <v/>
      </c>
      <c r="Y9" s="96">
        <f>MIN(B9:S9)</f>
        <v/>
      </c>
      <c r="Z9" s="96">
        <f>MAX(B9:S9)</f>
        <v/>
      </c>
    </row>
    <row r="10">
      <c r="A10" s="8">
        <f>DATE(YEAR(A11),MONTH(A11)-1,DAY(A11))</f>
        <v/>
      </c>
      <c r="B10" s="5">
        <f>VLOOKUP($B$5,'Sectors Trend'!$B$50:$AD$67,VLOOKUP(A10,$U:$V,2,),)</f>
        <v/>
      </c>
      <c r="C10" s="5">
        <f>VLOOKUP($C$5,'Sectors Trend'!$B$50:$AD$67,VLOOKUP(A10,$U:$V,2,),)</f>
        <v/>
      </c>
      <c r="D10" s="5">
        <f>VLOOKUP($D$5,'Sectors Trend'!$B$50:$AD$67,VLOOKUP(A10,$U:$V,2,),)</f>
        <v/>
      </c>
      <c r="E10" s="5">
        <f>VLOOKUP($E$5,'Sectors Trend'!$B$50:$AD$67,VLOOKUP(A10,$U:$V,2,),)</f>
        <v/>
      </c>
      <c r="F10" s="5">
        <f>VLOOKUP($F$5,'Sectors Trend'!$B$50:$AD$67,VLOOKUP(A10,$U:$V,2,),)</f>
        <v/>
      </c>
      <c r="G10" s="5">
        <f>VLOOKUP($G$5,'Sectors Trend'!$B$50:$AD$67,VLOOKUP(A10,$U:$V,2,),)</f>
        <v/>
      </c>
      <c r="H10" s="5">
        <f>VLOOKUP($H$5,'Sectors Trend'!$B$50:$AD$67,VLOOKUP(A10,$U:$V,2,),)</f>
        <v/>
      </c>
      <c r="I10" s="5">
        <f>VLOOKUP($I$5,'Sectors Trend'!$B$50:$AD$67,VLOOKUP(A10,$U:$V,2,),)</f>
        <v/>
      </c>
      <c r="J10" s="5">
        <f>VLOOKUP($J$5,'Sectors Trend'!$B$50:$AD$67,VLOOKUP(A10,$U:$V,2,),)</f>
        <v/>
      </c>
      <c r="K10" s="5">
        <f>VLOOKUP($K$5,'Sectors Trend'!$B$50:$AD$67,VLOOKUP(A10,$U:$V,2,),)</f>
        <v/>
      </c>
      <c r="L10" s="5">
        <f>VLOOKUP($L$5,'Sectors Trend'!$B$50:$AD$67,VLOOKUP(A10,$U:$V,2,),)</f>
        <v/>
      </c>
      <c r="M10" s="5">
        <f>VLOOKUP($M$5,'Sectors Trend'!$B$50:$AD$67,VLOOKUP(A10,$U:$V,2,),)</f>
        <v/>
      </c>
      <c r="N10" s="5">
        <f>VLOOKUP($N$5,'Sectors Trend'!$B$50:$AD$67,VLOOKUP(A10,$U:$V,2,),)</f>
        <v/>
      </c>
      <c r="O10" s="5">
        <f>VLOOKUP($O$5,'Sectors Trend'!$B$50:$AD$67,VLOOKUP(A10,$U:$V,2,),)</f>
        <v/>
      </c>
      <c r="P10" s="5">
        <f>VLOOKUP($P$5,'Sectors Trend'!$B$50:$AD$67,VLOOKUP(A10,$U:$V,2,),)</f>
        <v/>
      </c>
      <c r="Q10" s="5">
        <f>VLOOKUP($Q$5,'Sectors Trend'!$B$50:$AD$67,VLOOKUP(A10,$U:$V,2,),)</f>
        <v/>
      </c>
      <c r="R10" s="5">
        <f>VLOOKUP($R$5,'Sectors Trend'!$B$50:$AD$67,VLOOKUP(A10,$U:$V,2,),)</f>
        <v/>
      </c>
      <c r="S10" s="40">
        <f>VLOOKUP($S$5,'Sectors Trend'!$B$50:$AD$67,VLOOKUP(A10,$U:$V,2,),)</f>
        <v/>
      </c>
      <c r="U10" s="7">
        <f>DATE(YEAR(U11),MONTH(U11)-1,DAY(U11))</f>
        <v/>
      </c>
      <c r="V10" s="1">
        <f>V11-1</f>
        <v/>
      </c>
      <c r="Y10" s="96">
        <f>MIN(B10:S10)</f>
        <v/>
      </c>
      <c r="Z10" s="96">
        <f>MAX(B10:S10)</f>
        <v/>
      </c>
    </row>
    <row r="11" ht="16" customHeight="1" s="87" thickBot="1">
      <c r="A11" s="8">
        <f>L1</f>
        <v/>
      </c>
      <c r="B11" s="41">
        <f>VLOOKUP($B$5,'Sectors Trend'!$B$50:$AD$67,VLOOKUP(A11,$U:$V,2,),)</f>
        <v/>
      </c>
      <c r="C11" s="41">
        <f>VLOOKUP($C$5,'Sectors Trend'!$B$50:$AD$67,VLOOKUP(A11,$U:$V,2,),)</f>
        <v/>
      </c>
      <c r="D11" s="41">
        <f>VLOOKUP($D$5,'Sectors Trend'!$B$50:$AD$67,VLOOKUP(A11,$U:$V,2,),)</f>
        <v/>
      </c>
      <c r="E11" s="41">
        <f>VLOOKUP($E$5,'Sectors Trend'!$B$50:$AD$67,VLOOKUP(A11,$U:$V,2,),)</f>
        <v/>
      </c>
      <c r="F11" s="41">
        <f>VLOOKUP($F$5,'Sectors Trend'!$B$50:$AD$67,VLOOKUP(A11,$U:$V,2,),)</f>
        <v/>
      </c>
      <c r="G11" s="41">
        <f>VLOOKUP($G$5,'Sectors Trend'!$B$50:$AD$67,VLOOKUP(A11,$U:$V,2,),)</f>
        <v/>
      </c>
      <c r="H11" s="41">
        <f>VLOOKUP($H$5,'Sectors Trend'!$B$50:$AD$67,VLOOKUP(A11,$U:$V,2,),)</f>
        <v/>
      </c>
      <c r="I11" s="41">
        <f>VLOOKUP($I$5,'Sectors Trend'!$B$50:$AD$67,VLOOKUP(A11,$U:$V,2,),)</f>
        <v/>
      </c>
      <c r="J11" s="41">
        <f>VLOOKUP($J$5,'Sectors Trend'!$B$50:$AD$67,VLOOKUP(A11,$U:$V,2,),)</f>
        <v/>
      </c>
      <c r="K11" s="41">
        <f>VLOOKUP($K$5,'Sectors Trend'!$B$50:$AD$67,VLOOKUP(A11,$U:$V,2,),)</f>
        <v/>
      </c>
      <c r="L11" s="41">
        <f>VLOOKUP($L$5,'Sectors Trend'!$B$50:$AD$67,VLOOKUP(A11,$U:$V,2,),)</f>
        <v/>
      </c>
      <c r="M11" s="41">
        <f>VLOOKUP($M$5,'Sectors Trend'!$B$50:$AD$67,VLOOKUP(A11,$U:$V,2,),)</f>
        <v/>
      </c>
      <c r="N11" s="41">
        <f>VLOOKUP($N$5,'Sectors Trend'!$B$50:$AD$67,VLOOKUP(A11,$U:$V,2,),)</f>
        <v/>
      </c>
      <c r="O11" s="41">
        <f>VLOOKUP($O$5,'Sectors Trend'!$B$50:$AD$67,VLOOKUP(A11,$U:$V,2,),)</f>
        <v/>
      </c>
      <c r="P11" s="41">
        <f>VLOOKUP($P$5,'Sectors Trend'!$B$50:$AD$67,VLOOKUP(A11,$U:$V,2,),)</f>
        <v/>
      </c>
      <c r="Q11" s="41">
        <f>VLOOKUP($Q$5,'Sectors Trend'!$B$50:$AD$67,VLOOKUP(A11,$U:$V,2,),)</f>
        <v/>
      </c>
      <c r="R11" s="41">
        <f>VLOOKUP($R$5,'Sectors Trend'!$B$50:$AD$67,VLOOKUP(A11,$U:$V,2,),)</f>
        <v/>
      </c>
      <c r="S11" s="42">
        <f>VLOOKUP($S$5,'Sectors Trend'!$B$50:$AD$67,VLOOKUP(A11,$U:$V,2,),)</f>
        <v/>
      </c>
      <c r="U11" s="7">
        <f>L1</f>
        <v/>
      </c>
      <c r="V11" s="1">
        <f>L2+1</f>
        <v/>
      </c>
      <c r="Y11" s="96">
        <f>MIN(B11:S11)</f>
        <v/>
      </c>
      <c r="Z11" s="9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codeName="Sheet3">
    <tabColor theme="4" tint="0.7999816888943144"/>
    <outlinePr summaryBelow="1" summaryRight="1"/>
    <pageSetUpPr/>
  </sheetPr>
  <dimension ref="A1:Z16"/>
  <sheetViews>
    <sheetView zoomScale="80" zoomScaleNormal="80" workbookViewId="0">
      <selection activeCell="Y5" sqref="Y5:Z11"/>
    </sheetView>
  </sheetViews>
  <sheetFormatPr baseColWidth="10" defaultColWidth="9.1640625" defaultRowHeight="15"/>
  <cols>
    <col width="9.6640625" customWidth="1" style="96" min="1" max="1"/>
    <col width="8.83203125" customWidth="1" style="96" min="2" max="18"/>
    <col width="12.5" customWidth="1" style="96" min="19" max="19"/>
    <col width="8.83203125" customWidth="1" style="96" min="20" max="20"/>
    <col width="9.1640625" customWidth="1" style="96" min="21" max="23"/>
    <col width="9.1640625" customWidth="1" style="96" min="24" max="16384"/>
  </cols>
  <sheetData>
    <row r="1">
      <c r="B1" s="14" t="inlineStr">
        <is>
          <t>* to modify</t>
        </is>
      </c>
      <c r="J1" s="96" t="inlineStr">
        <is>
          <t>Last Month</t>
        </is>
      </c>
      <c r="L1" s="43" t="n">
        <v>44531</v>
      </c>
      <c r="O1" s="6" t="inlineStr">
        <is>
          <t>Sectors Trend'!$A$6:$U$23</t>
        </is>
      </c>
    </row>
    <row r="2">
      <c r="L2" s="14" t="n">
        <v>24</v>
      </c>
      <c r="Y2" s="7" t="n"/>
    </row>
    <row r="4">
      <c r="U4" s="7">
        <f>DATE(YEAR(U5),MONTH(U5)-1,DAY(U5))</f>
        <v/>
      </c>
      <c r="V4" s="1">
        <f>V5-1</f>
        <v/>
      </c>
    </row>
    <row r="5" ht="90" customHeight="1" s="87"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96" t="inlineStr">
        <is>
          <t>Min</t>
        </is>
      </c>
      <c r="Z5" s="96" t="inlineStr">
        <is>
          <t>Max</t>
        </is>
      </c>
    </row>
    <row r="6">
      <c r="A6" s="8">
        <f>DATE(YEAR(A7),MONTH(A7)-1,DAY(A7))</f>
        <v/>
      </c>
      <c r="B6" s="38">
        <f>VLOOKUP($B$5,'Sectors Trend'!$B$6:$AD$23,VLOOKUP(A6,$U:$V,2,),)</f>
        <v/>
      </c>
      <c r="C6" s="38">
        <f>VLOOKUP($C$5,'Sectors Trend'!$B$6:$AD$23,VLOOKUP(A6,$U:$V,2,),)</f>
        <v/>
      </c>
      <c r="D6" s="38">
        <f>VLOOKUP($D$5,'Sectors Trend'!$B$6:$AD$23,VLOOKUP(A6,$U:$V,2,),)</f>
        <v/>
      </c>
      <c r="E6" s="38">
        <f>VLOOKUP($E$5,'Sectors Trend'!$B$6:$AD$23,VLOOKUP(A6,$U:$V,2,),)</f>
        <v/>
      </c>
      <c r="F6" s="38">
        <f>VLOOKUP($F$5,'Sectors Trend'!$B$6:$AD$23,VLOOKUP(A6,$U:$V,2,),)</f>
        <v/>
      </c>
      <c r="G6" s="38">
        <f>VLOOKUP($G$5,'Sectors Trend'!$B$6:$AD$23,VLOOKUP(A6,$U:$V,2,),)</f>
        <v/>
      </c>
      <c r="H6" s="38">
        <f>VLOOKUP($H$5,'Sectors Trend'!$B$6:$AD$23,VLOOKUP(A6,$U:$V,2,),)</f>
        <v/>
      </c>
      <c r="I6" s="38">
        <f>VLOOKUP($I$5,'Sectors Trend'!$B$6:$AD$23,VLOOKUP(A6,$U:$V,2,),)</f>
        <v/>
      </c>
      <c r="J6" s="38">
        <f>VLOOKUP($J$5,'Sectors Trend'!$B$6:$AD$23,VLOOKUP(A6,$U:$V,2,),)</f>
        <v/>
      </c>
      <c r="K6" s="38">
        <f>VLOOKUP($K$5,'Sectors Trend'!$B$6:$AD$23,VLOOKUP(A6,$U:$V,2,),)</f>
        <v/>
      </c>
      <c r="L6" s="38">
        <f>VLOOKUP($L$5,'Sectors Trend'!$B$6:$AD$23,VLOOKUP(A6,$U:$V,2,),)</f>
        <v/>
      </c>
      <c r="M6" s="38">
        <f>VLOOKUP($M$5,'Sectors Trend'!$B$6:$AD$23,VLOOKUP(A6,$U:$V,2,),)</f>
        <v/>
      </c>
      <c r="N6" s="38">
        <f>VLOOKUP($N$5,'Sectors Trend'!$B$6:$AD$23,VLOOKUP(A6,$U:$V,2,),)</f>
        <v/>
      </c>
      <c r="O6" s="38">
        <f>VLOOKUP($O$5,'Sectors Trend'!$B$6:$AD$23,VLOOKUP(A6,$U:$V,2,),)</f>
        <v/>
      </c>
      <c r="P6" s="38">
        <f>VLOOKUP($P$5,'Sectors Trend'!$B$6:$AD$23,VLOOKUP(A6,$U:$V,2,),)</f>
        <v/>
      </c>
      <c r="Q6" s="38">
        <f>VLOOKUP($Q$5,'Sectors Trend'!$B$6:$AD$23,VLOOKUP(A6,$U:$V,2,),)</f>
        <v/>
      </c>
      <c r="R6" s="38">
        <f>VLOOKUP($R$5,'Sectors Trend'!$B$6:$AD$23,VLOOKUP(A6,$U:$V,2,),)</f>
        <v/>
      </c>
      <c r="S6" s="39">
        <f>VLOOKUP($S$5,'Sectors Trend'!$B$6:$AD$23,VLOOKUP(A6,$U:$V,2,),)</f>
        <v/>
      </c>
      <c r="U6" s="7">
        <f>DATE(YEAR(U7),MONTH(U7)-1,DAY(U7))</f>
        <v/>
      </c>
      <c r="V6" s="1">
        <f>V7-1</f>
        <v/>
      </c>
      <c r="Y6" s="96">
        <f>MIN(B6:S6)</f>
        <v/>
      </c>
      <c r="Z6" s="96">
        <f>MAX(B6:S6)</f>
        <v/>
      </c>
    </row>
    <row r="7">
      <c r="A7" s="8">
        <f>DATE(YEAR(A8),MONTH(A8)-1,DAY(A8))</f>
        <v/>
      </c>
      <c r="B7" s="5">
        <f>VLOOKUP($B$5,'Sectors Trend'!$B$6:$AD$23,VLOOKUP(A7,$U:$V,2,),)</f>
        <v/>
      </c>
      <c r="C7" s="5">
        <f>VLOOKUP($C$5,'Sectors Trend'!$B$6:$AD$23,VLOOKUP(A7,$U:$V,2,),)</f>
        <v/>
      </c>
      <c r="D7" s="5">
        <f>VLOOKUP($D$5,'Sectors Trend'!$B$6:$AD$23,VLOOKUP(A7,$U:$V,2,),)</f>
        <v/>
      </c>
      <c r="E7" s="5">
        <f>VLOOKUP($E$5,'Sectors Trend'!$B$6:$AD$23,VLOOKUP(A7,$U:$V,2,),)</f>
        <v/>
      </c>
      <c r="F7" s="5">
        <f>VLOOKUP($F$5,'Sectors Trend'!$B$6:$AD$23,VLOOKUP(A7,$U:$V,2,),)</f>
        <v/>
      </c>
      <c r="G7" s="5">
        <f>VLOOKUP($G$5,'Sectors Trend'!$B$6:$AD$23,VLOOKUP(A7,$U:$V,2,),)</f>
        <v/>
      </c>
      <c r="H7" s="5">
        <f>VLOOKUP($H$5,'Sectors Trend'!$B$6:$AD$23,VLOOKUP(A7,$U:$V,2,),)</f>
        <v/>
      </c>
      <c r="I7" s="5">
        <f>VLOOKUP($I$5,'Sectors Trend'!$B$6:$AD$23,VLOOKUP(A7,$U:$V,2,),)</f>
        <v/>
      </c>
      <c r="J7" s="5">
        <f>VLOOKUP($J$5,'Sectors Trend'!$B$6:$AD$23,VLOOKUP(A7,$U:$V,2,),)</f>
        <v/>
      </c>
      <c r="K7" s="5">
        <f>VLOOKUP($K$5,'Sectors Trend'!$B$6:$AD$23,VLOOKUP(A7,$U:$V,2,),)</f>
        <v/>
      </c>
      <c r="L7" s="5">
        <f>VLOOKUP($L$5,'Sectors Trend'!$B$6:$AD$23,VLOOKUP(A7,$U:$V,2,),)</f>
        <v/>
      </c>
      <c r="M7" s="5">
        <f>VLOOKUP($M$5,'Sectors Trend'!$B$6:$AD$23,VLOOKUP(A7,$U:$V,2,),)</f>
        <v/>
      </c>
      <c r="N7" s="5">
        <f>VLOOKUP($N$5,'Sectors Trend'!$B$6:$AD$23,VLOOKUP(A7,$U:$V,2,),)</f>
        <v/>
      </c>
      <c r="O7" s="5">
        <f>VLOOKUP($O$5,'Sectors Trend'!$B$6:$AD$23,VLOOKUP(A7,$U:$V,2,),)</f>
        <v/>
      </c>
      <c r="P7" s="5">
        <f>VLOOKUP($P$5,'Sectors Trend'!$B$6:$AD$23,VLOOKUP(A7,$U:$V,2,),)</f>
        <v/>
      </c>
      <c r="Q7" s="5">
        <f>VLOOKUP($Q$5,'Sectors Trend'!$B$6:$AD$23,VLOOKUP(A7,$U:$V,2,),)</f>
        <v/>
      </c>
      <c r="R7" s="5">
        <f>VLOOKUP($R$5,'Sectors Trend'!$B$6:$AD$23,VLOOKUP(A7,$U:$V,2,),)</f>
        <v/>
      </c>
      <c r="S7" s="40">
        <f>VLOOKUP($S$5,'Sectors Trend'!$B$6:$AD$23,VLOOKUP(A7,$U:$V,2,),)</f>
        <v/>
      </c>
      <c r="U7" s="7">
        <f>DATE(YEAR(U8),MONTH(U8)-1,DAY(U8))</f>
        <v/>
      </c>
      <c r="V7" s="1">
        <f>V8-1</f>
        <v/>
      </c>
      <c r="Y7" s="96">
        <f>MIN(B7:S7)</f>
        <v/>
      </c>
      <c r="Z7" s="96">
        <f>MAX(B7:S7)</f>
        <v/>
      </c>
    </row>
    <row r="8">
      <c r="A8" s="8">
        <f>DATE(YEAR(A9),MONTH(A9)-1,DAY(A9))</f>
        <v/>
      </c>
      <c r="B8" s="5">
        <f>VLOOKUP($B$5,'Sectors Trend'!$B$6:$AD$23,VLOOKUP(A8,$U:$V,2,),)</f>
        <v/>
      </c>
      <c r="C8" s="5">
        <f>VLOOKUP($C$5,'Sectors Trend'!$B$6:$AD$23,VLOOKUP(A8,$U:$V,2,),)</f>
        <v/>
      </c>
      <c r="D8" s="5">
        <f>VLOOKUP($D$5,'Sectors Trend'!$B$6:$AD$23,VLOOKUP(A8,$U:$V,2,),)</f>
        <v/>
      </c>
      <c r="E8" s="5">
        <f>VLOOKUP($E$5,'Sectors Trend'!$B$6:$AD$23,VLOOKUP(A8,$U:$V,2,),)</f>
        <v/>
      </c>
      <c r="F8" s="5">
        <f>VLOOKUP($F$5,'Sectors Trend'!$B$6:$AD$23,VLOOKUP(A8,$U:$V,2,),)</f>
        <v/>
      </c>
      <c r="G8" s="5">
        <f>VLOOKUP($G$5,'Sectors Trend'!$B$6:$AD$23,VLOOKUP(A8,$U:$V,2,),)</f>
        <v/>
      </c>
      <c r="H8" s="5">
        <f>VLOOKUP($H$5,'Sectors Trend'!$B$6:$AD$23,VLOOKUP(A8,$U:$V,2,),)</f>
        <v/>
      </c>
      <c r="I8" s="5">
        <f>VLOOKUP($I$5,'Sectors Trend'!$B$6:$AD$23,VLOOKUP(A8,$U:$V,2,),)</f>
        <v/>
      </c>
      <c r="J8" s="5">
        <f>VLOOKUP($J$5,'Sectors Trend'!$B$6:$AD$23,VLOOKUP(A8,$U:$V,2,),)</f>
        <v/>
      </c>
      <c r="K8" s="5">
        <f>VLOOKUP($K$5,'Sectors Trend'!$B$6:$AD$23,VLOOKUP(A8,$U:$V,2,),)</f>
        <v/>
      </c>
      <c r="L8" s="5">
        <f>VLOOKUP($L$5,'Sectors Trend'!$B$6:$AD$23,VLOOKUP(A8,$U:$V,2,),)</f>
        <v/>
      </c>
      <c r="M8" s="5">
        <f>VLOOKUP($M$5,'Sectors Trend'!$B$6:$AD$23,VLOOKUP(A8,$U:$V,2,),)</f>
        <v/>
      </c>
      <c r="N8" s="5">
        <f>VLOOKUP($N$5,'Sectors Trend'!$B$6:$AD$23,VLOOKUP(A8,$U:$V,2,),)</f>
        <v/>
      </c>
      <c r="O8" s="5">
        <f>VLOOKUP($O$5,'Sectors Trend'!$B$6:$AD$23,VLOOKUP(A8,$U:$V,2,),)</f>
        <v/>
      </c>
      <c r="P8" s="5">
        <f>VLOOKUP($P$5,'Sectors Trend'!$B$6:$AD$23,VLOOKUP(A8,$U:$V,2,),)</f>
        <v/>
      </c>
      <c r="Q8" s="5">
        <f>VLOOKUP($Q$5,'Sectors Trend'!$B$6:$AD$23,VLOOKUP(A8,$U:$V,2,),)</f>
        <v/>
      </c>
      <c r="R8" s="5">
        <f>VLOOKUP($R$5,'Sectors Trend'!$B$6:$AD$23,VLOOKUP(A8,$U:$V,2,),)</f>
        <v/>
      </c>
      <c r="S8" s="40">
        <f>VLOOKUP($S$5,'Sectors Trend'!$B$6:$AD$23,VLOOKUP(A8,$U:$V,2,),)</f>
        <v/>
      </c>
      <c r="U8" s="7">
        <f>DATE(YEAR(U9),MONTH(U9)-1,DAY(U9))</f>
        <v/>
      </c>
      <c r="V8" s="1">
        <f>V9-1</f>
        <v/>
      </c>
      <c r="Y8" s="96">
        <f>MIN(B8:S8)</f>
        <v/>
      </c>
      <c r="Z8" s="96">
        <f>MAX(B8:S8)</f>
        <v/>
      </c>
    </row>
    <row r="9">
      <c r="A9" s="8">
        <f>DATE(YEAR(A10),MONTH(A10)-1,DAY(A10))</f>
        <v/>
      </c>
      <c r="B9" s="5">
        <f>VLOOKUP($B$5,'Sectors Trend'!$B$6:$AD$23,VLOOKUP(A9,$U:$V,2,),)</f>
        <v/>
      </c>
      <c r="C9" s="5">
        <f>VLOOKUP($C$5,'Sectors Trend'!$B$6:$AD$23,VLOOKUP(A9,$U:$V,2,),)</f>
        <v/>
      </c>
      <c r="D9" s="5">
        <f>VLOOKUP($D$5,'Sectors Trend'!$B$6:$AD$23,VLOOKUP(A9,$U:$V,2,),)</f>
        <v/>
      </c>
      <c r="E9" s="5">
        <f>VLOOKUP($E$5,'Sectors Trend'!$B$6:$AD$23,VLOOKUP(A9,$U:$V,2,),)</f>
        <v/>
      </c>
      <c r="F9" s="5">
        <f>VLOOKUP($F$5,'Sectors Trend'!$B$6:$AD$23,VLOOKUP(A9,$U:$V,2,),)</f>
        <v/>
      </c>
      <c r="G9" s="5">
        <f>VLOOKUP($G$5,'Sectors Trend'!$B$6:$AD$23,VLOOKUP(A9,$U:$V,2,),)</f>
        <v/>
      </c>
      <c r="H9" s="5">
        <f>VLOOKUP($H$5,'Sectors Trend'!$B$6:$AD$23,VLOOKUP(A9,$U:$V,2,),)</f>
        <v/>
      </c>
      <c r="I9" s="5">
        <f>VLOOKUP($I$5,'Sectors Trend'!$B$6:$AD$23,VLOOKUP(A9,$U:$V,2,),)</f>
        <v/>
      </c>
      <c r="J9" s="5">
        <f>VLOOKUP($J$5,'Sectors Trend'!$B$6:$AD$23,VLOOKUP(A9,$U:$V,2,),)</f>
        <v/>
      </c>
      <c r="K9" s="5">
        <f>VLOOKUP($K$5,'Sectors Trend'!$B$6:$AD$23,VLOOKUP(A9,$U:$V,2,),)</f>
        <v/>
      </c>
      <c r="L9" s="5">
        <f>VLOOKUP($L$5,'Sectors Trend'!$B$6:$AD$23,VLOOKUP(A9,$U:$V,2,),)</f>
        <v/>
      </c>
      <c r="M9" s="5">
        <f>VLOOKUP($M$5,'Sectors Trend'!$B$6:$AD$23,VLOOKUP(A9,$U:$V,2,),)</f>
        <v/>
      </c>
      <c r="N9" s="5">
        <f>VLOOKUP($N$5,'Sectors Trend'!$B$6:$AD$23,VLOOKUP(A9,$U:$V,2,),)</f>
        <v/>
      </c>
      <c r="O9" s="5">
        <f>VLOOKUP($O$5,'Sectors Trend'!$B$6:$AD$23,VLOOKUP(A9,$U:$V,2,),)</f>
        <v/>
      </c>
      <c r="P9" s="5">
        <f>VLOOKUP($P$5,'Sectors Trend'!$B$6:$AD$23,VLOOKUP(A9,$U:$V,2,),)</f>
        <v/>
      </c>
      <c r="Q9" s="5">
        <f>VLOOKUP($Q$5,'Sectors Trend'!$B$6:$AD$23,VLOOKUP(A9,$U:$V,2,),)</f>
        <v/>
      </c>
      <c r="R9" s="5">
        <f>VLOOKUP($R$5,'Sectors Trend'!$B$6:$AD$23,VLOOKUP(A9,$U:$V,2,),)</f>
        <v/>
      </c>
      <c r="S9" s="40">
        <f>VLOOKUP($S$5,'Sectors Trend'!$B$6:$AD$23,VLOOKUP(A9,$U:$V,2,),)</f>
        <v/>
      </c>
      <c r="U9" s="7">
        <f>DATE(YEAR(U10),MONTH(U10)-1,DAY(U10))</f>
        <v/>
      </c>
      <c r="V9" s="1">
        <f>V10-1</f>
        <v/>
      </c>
      <c r="Y9" s="96">
        <f>MIN(B9:S9)</f>
        <v/>
      </c>
      <c r="Z9" s="96">
        <f>MAX(B9:S9)</f>
        <v/>
      </c>
    </row>
    <row r="10">
      <c r="A10" s="8">
        <f>DATE(YEAR(A11),MONTH(A11)-1,DAY(A11))</f>
        <v/>
      </c>
      <c r="B10" s="5">
        <f>VLOOKUP($B$5,'Sectors Trend'!$B$6:$AD$23,VLOOKUP(A10,$U:$V,2,),)</f>
        <v/>
      </c>
      <c r="C10" s="5">
        <f>VLOOKUP($C$5,'Sectors Trend'!$B$6:$AD$23,VLOOKUP(A10,$U:$V,2,),)</f>
        <v/>
      </c>
      <c r="D10" s="5">
        <f>VLOOKUP($D$5,'Sectors Trend'!$B$6:$AD$23,VLOOKUP(A10,$U:$V,2,),)</f>
        <v/>
      </c>
      <c r="E10" s="5">
        <f>VLOOKUP($E$5,'Sectors Trend'!$B$6:$AD$23,VLOOKUP(A10,$U:$V,2,),)</f>
        <v/>
      </c>
      <c r="F10" s="5">
        <f>VLOOKUP($F$5,'Sectors Trend'!$B$6:$AD$23,VLOOKUP(A10,$U:$V,2,),)</f>
        <v/>
      </c>
      <c r="G10" s="5">
        <f>VLOOKUP($G$5,'Sectors Trend'!$B$6:$AD$23,VLOOKUP(A10,$U:$V,2,),)</f>
        <v/>
      </c>
      <c r="H10" s="5">
        <f>VLOOKUP($H$5,'Sectors Trend'!$B$6:$AD$23,VLOOKUP(A10,$U:$V,2,),)</f>
        <v/>
      </c>
      <c r="I10" s="5">
        <f>VLOOKUP($I$5,'Sectors Trend'!$B$6:$AD$23,VLOOKUP(A10,$U:$V,2,),)</f>
        <v/>
      </c>
      <c r="J10" s="5">
        <f>VLOOKUP($J$5,'Sectors Trend'!$B$6:$AD$23,VLOOKUP(A10,$U:$V,2,),)</f>
        <v/>
      </c>
      <c r="K10" s="5">
        <f>VLOOKUP($K$5,'Sectors Trend'!$B$6:$AD$23,VLOOKUP(A10,$U:$V,2,),)</f>
        <v/>
      </c>
      <c r="L10" s="5">
        <f>VLOOKUP($L$5,'Sectors Trend'!$B$6:$AD$23,VLOOKUP(A10,$U:$V,2,),)</f>
        <v/>
      </c>
      <c r="M10" s="5">
        <f>VLOOKUP($M$5,'Sectors Trend'!$B$6:$AD$23,VLOOKUP(A10,$U:$V,2,),)</f>
        <v/>
      </c>
      <c r="N10" s="5">
        <f>VLOOKUP($N$5,'Sectors Trend'!$B$6:$AD$23,VLOOKUP(A10,$U:$V,2,),)</f>
        <v/>
      </c>
      <c r="O10" s="5">
        <f>VLOOKUP($O$5,'Sectors Trend'!$B$6:$AD$23,VLOOKUP(A10,$U:$V,2,),)</f>
        <v/>
      </c>
      <c r="P10" s="5">
        <f>VLOOKUP($P$5,'Sectors Trend'!$B$6:$AD$23,VLOOKUP(A10,$U:$V,2,),)</f>
        <v/>
      </c>
      <c r="Q10" s="5">
        <f>VLOOKUP($Q$5,'Sectors Trend'!$B$6:$AD$23,VLOOKUP(A10,$U:$V,2,),)</f>
        <v/>
      </c>
      <c r="R10" s="5">
        <f>VLOOKUP($R$5,'Sectors Trend'!$B$6:$AD$23,VLOOKUP(A10,$U:$V,2,),)</f>
        <v/>
      </c>
      <c r="S10" s="40">
        <f>VLOOKUP($S$5,'Sectors Trend'!$B$6:$AD$23,VLOOKUP(A10,$U:$V,2,),)</f>
        <v/>
      </c>
      <c r="U10" s="7">
        <f>DATE(YEAR(U11),MONTH(U11)-1,DAY(U11))</f>
        <v/>
      </c>
      <c r="V10" s="1">
        <f>V11-1</f>
        <v/>
      </c>
      <c r="Y10" s="96">
        <f>MIN(B10:S10)</f>
        <v/>
      </c>
      <c r="Z10" s="96">
        <f>MAX(B10:S10)</f>
        <v/>
      </c>
    </row>
    <row r="11" ht="16" customHeight="1" s="87" thickBot="1">
      <c r="A11" s="8">
        <f>L1</f>
        <v/>
      </c>
      <c r="B11" s="41">
        <f>VLOOKUP($B$5,'Sectors Trend'!$B$6:$AD$23,VLOOKUP(A11,$U:$V,2,),)</f>
        <v/>
      </c>
      <c r="C11" s="41">
        <f>VLOOKUP($C$5,'Sectors Trend'!$B$6:$AD$23,VLOOKUP(A11,$U:$V,2,),)</f>
        <v/>
      </c>
      <c r="D11" s="41">
        <f>VLOOKUP($D$5,'Sectors Trend'!$B$6:$AD$23,VLOOKUP(A11,$U:$V,2,),)</f>
        <v/>
      </c>
      <c r="E11" s="41">
        <f>VLOOKUP($E$5,'Sectors Trend'!$B$6:$AD$23,VLOOKUP(A11,$U:$V,2,),)</f>
        <v/>
      </c>
      <c r="F11" s="41">
        <f>VLOOKUP($F$5,'Sectors Trend'!$B$6:$AD$23,VLOOKUP(A11,$U:$V,2,),)</f>
        <v/>
      </c>
      <c r="G11" s="41">
        <f>VLOOKUP($G$5,'Sectors Trend'!$B$6:$AD$23,VLOOKUP(A11,$U:$V,2,),)</f>
        <v/>
      </c>
      <c r="H11" s="41">
        <f>VLOOKUP($H$5,'Sectors Trend'!$B$6:$AD$23,VLOOKUP(A11,$U:$V,2,),)</f>
        <v/>
      </c>
      <c r="I11" s="41">
        <f>VLOOKUP($I$5,'Sectors Trend'!$B$6:$AD$23,VLOOKUP(A11,$U:$V,2,),)</f>
        <v/>
      </c>
      <c r="J11" s="41">
        <f>VLOOKUP($J$5,'Sectors Trend'!$B$6:$AD$23,VLOOKUP(A11,$U:$V,2,),)</f>
        <v/>
      </c>
      <c r="K11" s="41">
        <f>VLOOKUP($K$5,'Sectors Trend'!$B$6:$AD$23,VLOOKUP(A11,$U:$V,2,),)</f>
        <v/>
      </c>
      <c r="L11" s="41">
        <f>VLOOKUP($L$5,'Sectors Trend'!$B$6:$AD$23,VLOOKUP(A11,$U:$V,2,),)</f>
        <v/>
      </c>
      <c r="M11" s="41">
        <f>VLOOKUP($M$5,'Sectors Trend'!$B$6:$AD$23,VLOOKUP(A11,$U:$V,2,),)</f>
        <v/>
      </c>
      <c r="N11" s="41">
        <f>VLOOKUP($N$5,'Sectors Trend'!$B$6:$AD$23,VLOOKUP(A11,$U:$V,2,),)</f>
        <v/>
      </c>
      <c r="O11" s="41">
        <f>VLOOKUP($O$5,'Sectors Trend'!$B$6:$AD$23,VLOOKUP(A11,$U:$V,2,),)</f>
        <v/>
      </c>
      <c r="P11" s="41">
        <f>VLOOKUP($P$5,'Sectors Trend'!$B$6:$AD$23,VLOOKUP(A11,$U:$V,2,),)</f>
        <v/>
      </c>
      <c r="Q11" s="41">
        <f>VLOOKUP($Q$5,'Sectors Trend'!$B$6:$AD$23,VLOOKUP(A11,$U:$V,2,),)</f>
        <v/>
      </c>
      <c r="R11" s="41">
        <f>VLOOKUP($R$5,'Sectors Trend'!$B$6:$AD$23,VLOOKUP(A11,$U:$V,2,),)</f>
        <v/>
      </c>
      <c r="S11" s="42">
        <f>VLOOKUP($S$5,'Sectors Trend'!$B$6:$AD$23,VLOOKUP(A11,$U:$V,2,),)</f>
        <v/>
      </c>
      <c r="U11" s="7">
        <f>L1</f>
        <v/>
      </c>
      <c r="V11" s="1">
        <f>L2+1</f>
        <v/>
      </c>
      <c r="Y11" s="96">
        <f>MIN(B11:S11)</f>
        <v/>
      </c>
      <c r="Z11" s="96">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4">
    <tabColor theme="4" tint="-0.249977111117893"/>
    <outlinePr summaryBelow="1" summaryRight="1"/>
    <pageSetUpPr/>
  </sheetPr>
  <dimension ref="B1:AG68"/>
  <sheetViews>
    <sheetView zoomScale="90" zoomScaleNormal="90" workbookViewId="0">
      <pane xSplit="2" ySplit="5" topLeftCell="C6" activePane="bottomRight" state="frozen"/>
      <selection pane="topRight" activeCell="C1" sqref="C1"/>
      <selection pane="bottomLeft" activeCell="A6" sqref="A6"/>
      <selection pane="bottomRight" activeCell="N75" sqref="N75"/>
    </sheetView>
  </sheetViews>
  <sheetFormatPr baseColWidth="10" defaultColWidth="8.83203125" defaultRowHeight="15"/>
  <cols>
    <col width="9.1640625" customWidth="1" style="96" min="1" max="1"/>
    <col width="30.5" customWidth="1" style="96" min="2" max="2"/>
    <col width="10.5" customWidth="1" style="29" min="3" max="26"/>
    <col width="10.1640625" customWidth="1" style="96" min="27" max="30"/>
    <col width="9.1640625" customWidth="1" style="96" min="31" max="32"/>
    <col width="10.6640625" bestFit="1" customWidth="1" style="96" min="33" max="33"/>
    <col width="9.1640625" customWidth="1" style="96" min="34" max="233"/>
    <col width="28.6640625" customWidth="1" style="96" min="234" max="234"/>
    <col width="9" bestFit="1" customWidth="1" style="96" min="235" max="235"/>
    <col width="5.33203125" customWidth="1" style="96" min="236" max="236"/>
    <col width="9" bestFit="1" customWidth="1" style="96" min="237" max="237"/>
    <col width="5.33203125" customWidth="1" style="96" min="238" max="238"/>
    <col width="9" bestFit="1" customWidth="1" style="96" min="239" max="239"/>
    <col width="5" customWidth="1" style="96" min="240" max="240"/>
    <col width="9" bestFit="1" customWidth="1" style="96" min="241" max="241"/>
    <col width="5.1640625" customWidth="1" style="96" min="242" max="242"/>
    <col width="9.1640625" customWidth="1" style="96" min="243" max="243"/>
    <col width="6" customWidth="1" style="96" min="244" max="244"/>
    <col width="9.1640625" customWidth="1" style="96" min="245" max="245"/>
    <col width="6" customWidth="1" style="96" min="246" max="246"/>
    <col width="10.1640625" customWidth="1" style="96" min="247" max="248"/>
    <col width="10" customWidth="1" style="96" min="249" max="249"/>
    <col width="10.33203125" customWidth="1" style="96" min="250" max="250"/>
    <col width="9.1640625" customWidth="1" style="96" min="251" max="261"/>
    <col width="11.33203125" customWidth="1" style="96" min="262" max="262"/>
    <col hidden="1" width="13" customWidth="1" style="96" min="263" max="283"/>
    <col width="9.1640625" customWidth="1" style="96" min="284" max="489"/>
    <col width="28.6640625" customWidth="1" style="96" min="490" max="490"/>
    <col width="9" bestFit="1" customWidth="1" style="96" min="491" max="491"/>
    <col width="5.33203125" customWidth="1" style="96" min="492" max="492"/>
    <col width="9" bestFit="1" customWidth="1" style="96" min="493" max="493"/>
    <col width="5.33203125" customWidth="1" style="96" min="494" max="494"/>
    <col width="9" bestFit="1" customWidth="1" style="96" min="495" max="495"/>
    <col width="5" customWidth="1" style="96" min="496" max="496"/>
    <col width="9" bestFit="1" customWidth="1" style="96" min="497" max="497"/>
    <col width="5.1640625" customWidth="1" style="96" min="498" max="498"/>
    <col width="9.1640625" customWidth="1" style="96" min="499" max="499"/>
    <col width="6" customWidth="1" style="96" min="500" max="500"/>
    <col width="9.1640625" customWidth="1" style="96" min="501" max="501"/>
    <col width="6" customWidth="1" style="96" min="502" max="502"/>
    <col width="10.1640625" customWidth="1" style="96" min="503" max="504"/>
    <col width="10" customWidth="1" style="96" min="505" max="505"/>
    <col width="10.33203125" customWidth="1" style="96" min="506" max="506"/>
    <col width="9.1640625" customWidth="1" style="96" min="507" max="517"/>
    <col width="11.33203125" customWidth="1" style="96" min="518" max="518"/>
    <col hidden="1" width="13" customWidth="1" style="96" min="519" max="539"/>
    <col width="9.1640625" customWidth="1" style="96" min="540" max="745"/>
    <col width="28.6640625" customWidth="1" style="96" min="746" max="746"/>
    <col width="9" bestFit="1" customWidth="1" style="96" min="747" max="747"/>
    <col width="5.33203125" customWidth="1" style="96" min="748" max="748"/>
    <col width="9" bestFit="1" customWidth="1" style="96" min="749" max="749"/>
    <col width="5.33203125" customWidth="1" style="96" min="750" max="750"/>
    <col width="9" bestFit="1" customWidth="1" style="96" min="751" max="751"/>
    <col width="5" customWidth="1" style="96" min="752" max="752"/>
    <col width="9" bestFit="1" customWidth="1" style="96" min="753" max="753"/>
    <col width="5.1640625" customWidth="1" style="96" min="754" max="754"/>
    <col width="9.1640625" customWidth="1" style="96" min="755" max="755"/>
    <col width="6" customWidth="1" style="96" min="756" max="756"/>
    <col width="9.1640625" customWidth="1" style="96" min="757" max="757"/>
    <col width="6" customWidth="1" style="96" min="758" max="758"/>
    <col width="10.1640625" customWidth="1" style="96" min="759" max="760"/>
    <col width="10" customWidth="1" style="96" min="761" max="761"/>
    <col width="10.33203125" customWidth="1" style="96" min="762" max="762"/>
    <col width="9.1640625" customWidth="1" style="96" min="763" max="773"/>
    <col width="11.33203125" customWidth="1" style="96" min="774" max="774"/>
    <col hidden="1" width="13" customWidth="1" style="96" min="775" max="795"/>
    <col width="9.1640625" customWidth="1" style="96" min="796" max="1001"/>
    <col width="28.6640625" customWidth="1" style="96" min="1002" max="1002"/>
    <col width="9" bestFit="1" customWidth="1" style="96" min="1003" max="1003"/>
    <col width="5.33203125" customWidth="1" style="96" min="1004" max="1004"/>
    <col width="9" bestFit="1" customWidth="1" style="96" min="1005" max="1005"/>
    <col width="5.33203125" customWidth="1" style="96" min="1006" max="1006"/>
    <col width="9" bestFit="1" customWidth="1" style="96" min="1007" max="1007"/>
    <col width="5" customWidth="1" style="96" min="1008" max="1008"/>
    <col width="9" bestFit="1" customWidth="1" style="96" min="1009" max="1009"/>
    <col width="5.1640625" customWidth="1" style="96" min="1010" max="1010"/>
    <col width="9.1640625" customWidth="1" style="96" min="1011" max="1011"/>
    <col width="6" customWidth="1" style="96" min="1012" max="1012"/>
    <col width="9.1640625" customWidth="1" style="96" min="1013" max="1013"/>
    <col width="6" customWidth="1" style="96" min="1014" max="1014"/>
    <col width="10.1640625" customWidth="1" style="96" min="1015" max="1016"/>
    <col width="10" customWidth="1" style="96" min="1017" max="1017"/>
    <col width="10.33203125" customWidth="1" style="96" min="1018" max="1018"/>
    <col width="9.1640625" customWidth="1" style="96" min="1019" max="1029"/>
    <col width="11.33203125" customWidth="1" style="96" min="1030" max="1030"/>
    <col hidden="1" width="13" customWidth="1" style="96" min="1031" max="1051"/>
    <col width="9.1640625" customWidth="1" style="96" min="1052" max="1257"/>
    <col width="28.6640625" customWidth="1" style="96" min="1258" max="1258"/>
    <col width="9" bestFit="1" customWidth="1" style="96" min="1259" max="1259"/>
    <col width="5.33203125" customWidth="1" style="96" min="1260" max="1260"/>
    <col width="9" bestFit="1" customWidth="1" style="96" min="1261" max="1261"/>
    <col width="5.33203125" customWidth="1" style="96" min="1262" max="1262"/>
    <col width="9" bestFit="1" customWidth="1" style="96" min="1263" max="1263"/>
    <col width="5" customWidth="1" style="96" min="1264" max="1264"/>
    <col width="9" bestFit="1" customWidth="1" style="96" min="1265" max="1265"/>
    <col width="5.1640625" customWidth="1" style="96" min="1266" max="1266"/>
    <col width="9.1640625" customWidth="1" style="96" min="1267" max="1267"/>
    <col width="6" customWidth="1" style="96" min="1268" max="1268"/>
    <col width="9.1640625" customWidth="1" style="96" min="1269" max="1269"/>
    <col width="6" customWidth="1" style="96" min="1270" max="1270"/>
    <col width="10.1640625" customWidth="1" style="96" min="1271" max="1272"/>
    <col width="10" customWidth="1" style="96" min="1273" max="1273"/>
    <col width="10.33203125" customWidth="1" style="96" min="1274" max="1274"/>
    <col width="9.1640625" customWidth="1" style="96" min="1275" max="1285"/>
    <col width="11.33203125" customWidth="1" style="96" min="1286" max="1286"/>
    <col hidden="1" width="13" customWidth="1" style="96" min="1287" max="1307"/>
    <col width="9.1640625" customWidth="1" style="96" min="1308" max="1513"/>
    <col width="28.6640625" customWidth="1" style="96" min="1514" max="1514"/>
    <col width="9" bestFit="1" customWidth="1" style="96" min="1515" max="1515"/>
    <col width="5.33203125" customWidth="1" style="96" min="1516" max="1516"/>
    <col width="9" bestFit="1" customWidth="1" style="96" min="1517" max="1517"/>
    <col width="5.33203125" customWidth="1" style="96" min="1518" max="1518"/>
    <col width="9" bestFit="1" customWidth="1" style="96" min="1519" max="1519"/>
    <col width="5" customWidth="1" style="96" min="1520" max="1520"/>
    <col width="9" bestFit="1" customWidth="1" style="96" min="1521" max="1521"/>
    <col width="5.1640625" customWidth="1" style="96" min="1522" max="1522"/>
    <col width="9.1640625" customWidth="1" style="96" min="1523" max="1523"/>
    <col width="6" customWidth="1" style="96" min="1524" max="1524"/>
    <col width="9.1640625" customWidth="1" style="96" min="1525" max="1525"/>
    <col width="6" customWidth="1" style="96" min="1526" max="1526"/>
    <col width="10.1640625" customWidth="1" style="96" min="1527" max="1528"/>
    <col width="10" customWidth="1" style="96" min="1529" max="1529"/>
    <col width="10.33203125" customWidth="1" style="96" min="1530" max="1530"/>
    <col width="9.1640625" customWidth="1" style="96" min="1531" max="1541"/>
    <col width="11.33203125" customWidth="1" style="96" min="1542" max="1542"/>
    <col hidden="1" width="13" customWidth="1" style="96" min="1543" max="1563"/>
    <col width="9.1640625" customWidth="1" style="96" min="1564" max="1769"/>
    <col width="28.6640625" customWidth="1" style="96" min="1770" max="1770"/>
    <col width="9" bestFit="1" customWidth="1" style="96" min="1771" max="1771"/>
    <col width="5.33203125" customWidth="1" style="96" min="1772" max="1772"/>
    <col width="9" bestFit="1" customWidth="1" style="96" min="1773" max="1773"/>
    <col width="5.33203125" customWidth="1" style="96" min="1774" max="1774"/>
    <col width="9" bestFit="1" customWidth="1" style="96" min="1775" max="1775"/>
    <col width="5" customWidth="1" style="96" min="1776" max="1776"/>
    <col width="9" bestFit="1" customWidth="1" style="96" min="1777" max="1777"/>
    <col width="5.1640625" customWidth="1" style="96" min="1778" max="1778"/>
    <col width="9.1640625" customWidth="1" style="96" min="1779" max="1779"/>
    <col width="6" customWidth="1" style="96" min="1780" max="1780"/>
    <col width="9.1640625" customWidth="1" style="96" min="1781" max="1781"/>
    <col width="6" customWidth="1" style="96" min="1782" max="1782"/>
    <col width="10.1640625" customWidth="1" style="96" min="1783" max="1784"/>
    <col width="10" customWidth="1" style="96" min="1785" max="1785"/>
    <col width="10.33203125" customWidth="1" style="96" min="1786" max="1786"/>
    <col width="9.1640625" customWidth="1" style="96" min="1787" max="1797"/>
    <col width="11.33203125" customWidth="1" style="96" min="1798" max="1798"/>
    <col hidden="1" width="13" customWidth="1" style="96" min="1799" max="1819"/>
    <col width="9.1640625" customWidth="1" style="96" min="1820" max="2025"/>
    <col width="28.6640625" customWidth="1" style="96" min="2026" max="2026"/>
    <col width="9" bestFit="1" customWidth="1" style="96" min="2027" max="2027"/>
    <col width="5.33203125" customWidth="1" style="96" min="2028" max="2028"/>
    <col width="9" bestFit="1" customWidth="1" style="96" min="2029" max="2029"/>
    <col width="5.33203125" customWidth="1" style="96" min="2030" max="2030"/>
    <col width="9" bestFit="1" customWidth="1" style="96" min="2031" max="2031"/>
    <col width="5" customWidth="1" style="96" min="2032" max="2032"/>
    <col width="9" bestFit="1" customWidth="1" style="96" min="2033" max="2033"/>
    <col width="5.1640625" customWidth="1" style="96" min="2034" max="2034"/>
    <col width="9.1640625" customWidth="1" style="96" min="2035" max="2035"/>
    <col width="6" customWidth="1" style="96" min="2036" max="2036"/>
    <col width="9.1640625" customWidth="1" style="96" min="2037" max="2037"/>
    <col width="6" customWidth="1" style="96" min="2038" max="2038"/>
    <col width="10.1640625" customWidth="1" style="96" min="2039" max="2040"/>
    <col width="10" customWidth="1" style="96" min="2041" max="2041"/>
    <col width="10.33203125" customWidth="1" style="96" min="2042" max="2042"/>
    <col width="9.1640625" customWidth="1" style="96" min="2043" max="2053"/>
    <col width="11.33203125" customWidth="1" style="96" min="2054" max="2054"/>
    <col hidden="1" width="13" customWidth="1" style="96" min="2055" max="2075"/>
    <col width="9.1640625" customWidth="1" style="96" min="2076" max="2281"/>
    <col width="28.6640625" customWidth="1" style="96" min="2282" max="2282"/>
    <col width="9" bestFit="1" customWidth="1" style="96" min="2283" max="2283"/>
    <col width="5.33203125" customWidth="1" style="96" min="2284" max="2284"/>
    <col width="9" bestFit="1" customWidth="1" style="96" min="2285" max="2285"/>
    <col width="5.33203125" customWidth="1" style="96" min="2286" max="2286"/>
    <col width="9" bestFit="1" customWidth="1" style="96" min="2287" max="2287"/>
    <col width="5" customWidth="1" style="96" min="2288" max="2288"/>
    <col width="9" bestFit="1" customWidth="1" style="96" min="2289" max="2289"/>
    <col width="5.1640625" customWidth="1" style="96" min="2290" max="2290"/>
    <col width="9.1640625" customWidth="1" style="96" min="2291" max="2291"/>
    <col width="6" customWidth="1" style="96" min="2292" max="2292"/>
    <col width="9.1640625" customWidth="1" style="96" min="2293" max="2293"/>
    <col width="6" customWidth="1" style="96" min="2294" max="2294"/>
    <col width="10.1640625" customWidth="1" style="96" min="2295" max="2296"/>
    <col width="10" customWidth="1" style="96" min="2297" max="2297"/>
    <col width="10.33203125" customWidth="1" style="96" min="2298" max="2298"/>
    <col width="9.1640625" customWidth="1" style="96" min="2299" max="2309"/>
    <col width="11.33203125" customWidth="1" style="96" min="2310" max="2310"/>
    <col hidden="1" width="13" customWidth="1" style="96" min="2311" max="2331"/>
    <col width="9.1640625" customWidth="1" style="96" min="2332" max="2537"/>
    <col width="28.6640625" customWidth="1" style="96" min="2538" max="2538"/>
    <col width="9" bestFit="1" customWidth="1" style="96" min="2539" max="2539"/>
    <col width="5.33203125" customWidth="1" style="96" min="2540" max="2540"/>
    <col width="9" bestFit="1" customWidth="1" style="96" min="2541" max="2541"/>
    <col width="5.33203125" customWidth="1" style="96" min="2542" max="2542"/>
    <col width="9" bestFit="1" customWidth="1" style="96" min="2543" max="2543"/>
    <col width="5" customWidth="1" style="96" min="2544" max="2544"/>
    <col width="9" bestFit="1" customWidth="1" style="96" min="2545" max="2545"/>
    <col width="5.1640625" customWidth="1" style="96" min="2546" max="2546"/>
    <col width="9.1640625" customWidth="1" style="96" min="2547" max="2547"/>
    <col width="6" customWidth="1" style="96" min="2548" max="2548"/>
    <col width="9.1640625" customWidth="1" style="96" min="2549" max="2549"/>
    <col width="6" customWidth="1" style="96" min="2550" max="2550"/>
    <col width="10.1640625" customWidth="1" style="96" min="2551" max="2552"/>
    <col width="10" customWidth="1" style="96" min="2553" max="2553"/>
    <col width="10.33203125" customWidth="1" style="96" min="2554" max="2554"/>
    <col width="9.1640625" customWidth="1" style="96" min="2555" max="2565"/>
    <col width="11.33203125" customWidth="1" style="96" min="2566" max="2566"/>
    <col hidden="1" width="13" customWidth="1" style="96" min="2567" max="2587"/>
    <col width="9.1640625" customWidth="1" style="96" min="2588" max="2793"/>
    <col width="28.6640625" customWidth="1" style="96" min="2794" max="2794"/>
    <col width="9" bestFit="1" customWidth="1" style="96" min="2795" max="2795"/>
    <col width="5.33203125" customWidth="1" style="96" min="2796" max="2796"/>
    <col width="9" bestFit="1" customWidth="1" style="96" min="2797" max="2797"/>
    <col width="5.33203125" customWidth="1" style="96" min="2798" max="2798"/>
    <col width="9" bestFit="1" customWidth="1" style="96" min="2799" max="2799"/>
    <col width="5" customWidth="1" style="96" min="2800" max="2800"/>
    <col width="9" bestFit="1" customWidth="1" style="96" min="2801" max="2801"/>
    <col width="5.1640625" customWidth="1" style="96" min="2802" max="2802"/>
    <col width="9.1640625" customWidth="1" style="96" min="2803" max="2803"/>
    <col width="6" customWidth="1" style="96" min="2804" max="2804"/>
    <col width="9.1640625" customWidth="1" style="96" min="2805" max="2805"/>
    <col width="6" customWidth="1" style="96" min="2806" max="2806"/>
    <col width="10.1640625" customWidth="1" style="96" min="2807" max="2808"/>
    <col width="10" customWidth="1" style="96" min="2809" max="2809"/>
    <col width="10.33203125" customWidth="1" style="96" min="2810" max="2810"/>
    <col width="9.1640625" customWidth="1" style="96" min="2811" max="2821"/>
    <col width="11.33203125" customWidth="1" style="96" min="2822" max="2822"/>
    <col hidden="1" width="13" customWidth="1" style="96" min="2823" max="2843"/>
    <col width="9.1640625" customWidth="1" style="96" min="2844" max="3049"/>
    <col width="28.6640625" customWidth="1" style="96" min="3050" max="3050"/>
    <col width="9" bestFit="1" customWidth="1" style="96" min="3051" max="3051"/>
    <col width="5.33203125" customWidth="1" style="96" min="3052" max="3052"/>
    <col width="9" bestFit="1" customWidth="1" style="96" min="3053" max="3053"/>
    <col width="5.33203125" customWidth="1" style="96" min="3054" max="3054"/>
    <col width="9" bestFit="1" customWidth="1" style="96" min="3055" max="3055"/>
    <col width="5" customWidth="1" style="96" min="3056" max="3056"/>
    <col width="9" bestFit="1" customWidth="1" style="96" min="3057" max="3057"/>
    <col width="5.1640625" customWidth="1" style="96" min="3058" max="3058"/>
    <col width="9.1640625" customWidth="1" style="96" min="3059" max="3059"/>
    <col width="6" customWidth="1" style="96" min="3060" max="3060"/>
    <col width="9.1640625" customWidth="1" style="96" min="3061" max="3061"/>
    <col width="6" customWidth="1" style="96" min="3062" max="3062"/>
    <col width="10.1640625" customWidth="1" style="96" min="3063" max="3064"/>
    <col width="10" customWidth="1" style="96" min="3065" max="3065"/>
    <col width="10.33203125" customWidth="1" style="96" min="3066" max="3066"/>
    <col width="9.1640625" customWidth="1" style="96" min="3067" max="3077"/>
    <col width="11.33203125" customWidth="1" style="96" min="3078" max="3078"/>
    <col hidden="1" width="13" customWidth="1" style="96" min="3079" max="3099"/>
    <col width="9.1640625" customWidth="1" style="96" min="3100" max="3305"/>
    <col width="28.6640625" customWidth="1" style="96" min="3306" max="3306"/>
    <col width="9" bestFit="1" customWidth="1" style="96" min="3307" max="3307"/>
    <col width="5.33203125" customWidth="1" style="96" min="3308" max="3308"/>
    <col width="9" bestFit="1" customWidth="1" style="96" min="3309" max="3309"/>
    <col width="5.33203125" customWidth="1" style="96" min="3310" max="3310"/>
    <col width="9" bestFit="1" customWidth="1" style="96" min="3311" max="3311"/>
    <col width="5" customWidth="1" style="96" min="3312" max="3312"/>
    <col width="9" bestFit="1" customWidth="1" style="96" min="3313" max="3313"/>
    <col width="5.1640625" customWidth="1" style="96" min="3314" max="3314"/>
    <col width="9.1640625" customWidth="1" style="96" min="3315" max="3315"/>
    <col width="6" customWidth="1" style="96" min="3316" max="3316"/>
    <col width="9.1640625" customWidth="1" style="96" min="3317" max="3317"/>
    <col width="6" customWidth="1" style="96" min="3318" max="3318"/>
    <col width="10.1640625" customWidth="1" style="96" min="3319" max="3320"/>
    <col width="10" customWidth="1" style="96" min="3321" max="3321"/>
    <col width="10.33203125" customWidth="1" style="96" min="3322" max="3322"/>
    <col width="9.1640625" customWidth="1" style="96" min="3323" max="3333"/>
    <col width="11.33203125" customWidth="1" style="96" min="3334" max="3334"/>
    <col hidden="1" width="13" customWidth="1" style="96" min="3335" max="3355"/>
    <col width="9.1640625" customWidth="1" style="96" min="3356" max="3561"/>
    <col width="28.6640625" customWidth="1" style="96" min="3562" max="3562"/>
    <col width="9" bestFit="1" customWidth="1" style="96" min="3563" max="3563"/>
    <col width="5.33203125" customWidth="1" style="96" min="3564" max="3564"/>
    <col width="9" bestFit="1" customWidth="1" style="96" min="3565" max="3565"/>
    <col width="5.33203125" customWidth="1" style="96" min="3566" max="3566"/>
    <col width="9" bestFit="1" customWidth="1" style="96" min="3567" max="3567"/>
    <col width="5" customWidth="1" style="96" min="3568" max="3568"/>
    <col width="9" bestFit="1" customWidth="1" style="96" min="3569" max="3569"/>
    <col width="5.1640625" customWidth="1" style="96" min="3570" max="3570"/>
    <col width="9.1640625" customWidth="1" style="96" min="3571" max="3571"/>
    <col width="6" customWidth="1" style="96" min="3572" max="3572"/>
    <col width="9.1640625" customWidth="1" style="96" min="3573" max="3573"/>
    <col width="6" customWidth="1" style="96" min="3574" max="3574"/>
    <col width="10.1640625" customWidth="1" style="96" min="3575" max="3576"/>
    <col width="10" customWidth="1" style="96" min="3577" max="3577"/>
    <col width="10.33203125" customWidth="1" style="96" min="3578" max="3578"/>
    <col width="9.1640625" customWidth="1" style="96" min="3579" max="3589"/>
    <col width="11.33203125" customWidth="1" style="96" min="3590" max="3590"/>
    <col hidden="1" width="13" customWidth="1" style="96" min="3591" max="3611"/>
    <col width="9.1640625" customWidth="1" style="96" min="3612" max="3817"/>
    <col width="28.6640625" customWidth="1" style="96" min="3818" max="3818"/>
    <col width="9" bestFit="1" customWidth="1" style="96" min="3819" max="3819"/>
    <col width="5.33203125" customWidth="1" style="96" min="3820" max="3820"/>
    <col width="9" bestFit="1" customWidth="1" style="96" min="3821" max="3821"/>
    <col width="5.33203125" customWidth="1" style="96" min="3822" max="3822"/>
    <col width="9" bestFit="1" customWidth="1" style="96" min="3823" max="3823"/>
    <col width="5" customWidth="1" style="96" min="3824" max="3824"/>
    <col width="9" bestFit="1" customWidth="1" style="96" min="3825" max="3825"/>
    <col width="5.1640625" customWidth="1" style="96" min="3826" max="3826"/>
    <col width="9.1640625" customWidth="1" style="96" min="3827" max="3827"/>
    <col width="6" customWidth="1" style="96" min="3828" max="3828"/>
    <col width="9.1640625" customWidth="1" style="96" min="3829" max="3829"/>
    <col width="6" customWidth="1" style="96" min="3830" max="3830"/>
    <col width="10.1640625" customWidth="1" style="96" min="3831" max="3832"/>
    <col width="10" customWidth="1" style="96" min="3833" max="3833"/>
    <col width="10.33203125" customWidth="1" style="96" min="3834" max="3834"/>
    <col width="9.1640625" customWidth="1" style="96" min="3835" max="3845"/>
    <col width="11.33203125" customWidth="1" style="96" min="3846" max="3846"/>
    <col hidden="1" width="13" customWidth="1" style="96" min="3847" max="3867"/>
    <col width="9.1640625" customWidth="1" style="96" min="3868" max="4073"/>
    <col width="28.6640625" customWidth="1" style="96" min="4074" max="4074"/>
    <col width="9" bestFit="1" customWidth="1" style="96" min="4075" max="4075"/>
    <col width="5.33203125" customWidth="1" style="96" min="4076" max="4076"/>
    <col width="9" bestFit="1" customWidth="1" style="96" min="4077" max="4077"/>
    <col width="5.33203125" customWidth="1" style="96" min="4078" max="4078"/>
    <col width="9" bestFit="1" customWidth="1" style="96" min="4079" max="4079"/>
    <col width="5" customWidth="1" style="96" min="4080" max="4080"/>
    <col width="9" bestFit="1" customWidth="1" style="96" min="4081" max="4081"/>
    <col width="5.1640625" customWidth="1" style="96" min="4082" max="4082"/>
    <col width="9.1640625" customWidth="1" style="96" min="4083" max="4083"/>
    <col width="6" customWidth="1" style="96" min="4084" max="4084"/>
    <col width="9.1640625" customWidth="1" style="96" min="4085" max="4085"/>
    <col width="6" customWidth="1" style="96" min="4086" max="4086"/>
    <col width="10.1640625" customWidth="1" style="96" min="4087" max="4088"/>
    <col width="10" customWidth="1" style="96" min="4089" max="4089"/>
    <col width="10.33203125" customWidth="1" style="96" min="4090" max="4090"/>
    <col width="9.1640625" customWidth="1" style="96" min="4091" max="4101"/>
    <col width="11.33203125" customWidth="1" style="96" min="4102" max="4102"/>
    <col hidden="1" width="13" customWidth="1" style="96" min="4103" max="4123"/>
    <col width="9.1640625" customWidth="1" style="96" min="4124" max="4329"/>
    <col width="28.6640625" customWidth="1" style="96" min="4330" max="4330"/>
    <col width="9" bestFit="1" customWidth="1" style="96" min="4331" max="4331"/>
    <col width="5.33203125" customWidth="1" style="96" min="4332" max="4332"/>
    <col width="9" bestFit="1" customWidth="1" style="96" min="4333" max="4333"/>
    <col width="5.33203125" customWidth="1" style="96" min="4334" max="4334"/>
    <col width="9" bestFit="1" customWidth="1" style="96" min="4335" max="4335"/>
    <col width="5" customWidth="1" style="96" min="4336" max="4336"/>
    <col width="9" bestFit="1" customWidth="1" style="96" min="4337" max="4337"/>
    <col width="5.1640625" customWidth="1" style="96" min="4338" max="4338"/>
    <col width="9.1640625" customWidth="1" style="96" min="4339" max="4339"/>
    <col width="6" customWidth="1" style="96" min="4340" max="4340"/>
    <col width="9.1640625" customWidth="1" style="96" min="4341" max="4341"/>
    <col width="6" customWidth="1" style="96" min="4342" max="4342"/>
    <col width="10.1640625" customWidth="1" style="96" min="4343" max="4344"/>
    <col width="10" customWidth="1" style="96" min="4345" max="4345"/>
    <col width="10.33203125" customWidth="1" style="96" min="4346" max="4346"/>
    <col width="9.1640625" customWidth="1" style="96" min="4347" max="4357"/>
    <col width="11.33203125" customWidth="1" style="96" min="4358" max="4358"/>
    <col hidden="1" width="13" customWidth="1" style="96" min="4359" max="4379"/>
    <col width="9.1640625" customWidth="1" style="96" min="4380" max="4585"/>
    <col width="28.6640625" customWidth="1" style="96" min="4586" max="4586"/>
    <col width="9" bestFit="1" customWidth="1" style="96" min="4587" max="4587"/>
    <col width="5.33203125" customWidth="1" style="96" min="4588" max="4588"/>
    <col width="9" bestFit="1" customWidth="1" style="96" min="4589" max="4589"/>
    <col width="5.33203125" customWidth="1" style="96" min="4590" max="4590"/>
    <col width="9" bestFit="1" customWidth="1" style="96" min="4591" max="4591"/>
    <col width="5" customWidth="1" style="96" min="4592" max="4592"/>
    <col width="9" bestFit="1" customWidth="1" style="96" min="4593" max="4593"/>
    <col width="5.1640625" customWidth="1" style="96" min="4594" max="4594"/>
    <col width="9.1640625" customWidth="1" style="96" min="4595" max="4595"/>
    <col width="6" customWidth="1" style="96" min="4596" max="4596"/>
    <col width="9.1640625" customWidth="1" style="96" min="4597" max="4597"/>
    <col width="6" customWidth="1" style="96" min="4598" max="4598"/>
    <col width="10.1640625" customWidth="1" style="96" min="4599" max="4600"/>
    <col width="10" customWidth="1" style="96" min="4601" max="4601"/>
    <col width="10.33203125" customWidth="1" style="96" min="4602" max="4602"/>
    <col width="9.1640625" customWidth="1" style="96" min="4603" max="4613"/>
    <col width="11.33203125" customWidth="1" style="96" min="4614" max="4614"/>
    <col hidden="1" width="13" customWidth="1" style="96" min="4615" max="4635"/>
    <col width="9.1640625" customWidth="1" style="96" min="4636" max="4841"/>
    <col width="28.6640625" customWidth="1" style="96" min="4842" max="4842"/>
    <col width="9" bestFit="1" customWidth="1" style="96" min="4843" max="4843"/>
    <col width="5.33203125" customWidth="1" style="96" min="4844" max="4844"/>
    <col width="9" bestFit="1" customWidth="1" style="96" min="4845" max="4845"/>
    <col width="5.33203125" customWidth="1" style="96" min="4846" max="4846"/>
    <col width="9" bestFit="1" customWidth="1" style="96" min="4847" max="4847"/>
    <col width="5" customWidth="1" style="96" min="4848" max="4848"/>
    <col width="9" bestFit="1" customWidth="1" style="96" min="4849" max="4849"/>
    <col width="5.1640625" customWidth="1" style="96" min="4850" max="4850"/>
    <col width="9.1640625" customWidth="1" style="96" min="4851" max="4851"/>
    <col width="6" customWidth="1" style="96" min="4852" max="4852"/>
    <col width="9.1640625" customWidth="1" style="96" min="4853" max="4853"/>
    <col width="6" customWidth="1" style="96" min="4854" max="4854"/>
    <col width="10.1640625" customWidth="1" style="96" min="4855" max="4856"/>
    <col width="10" customWidth="1" style="96" min="4857" max="4857"/>
    <col width="10.33203125" customWidth="1" style="96" min="4858" max="4858"/>
    <col width="9.1640625" customWidth="1" style="96" min="4859" max="4869"/>
    <col width="11.33203125" customWidth="1" style="96" min="4870" max="4870"/>
    <col hidden="1" width="13" customWidth="1" style="96" min="4871" max="4891"/>
    <col width="9.1640625" customWidth="1" style="96" min="4892" max="5097"/>
    <col width="28.6640625" customWidth="1" style="96" min="5098" max="5098"/>
    <col width="9" bestFit="1" customWidth="1" style="96" min="5099" max="5099"/>
    <col width="5.33203125" customWidth="1" style="96" min="5100" max="5100"/>
    <col width="9" bestFit="1" customWidth="1" style="96" min="5101" max="5101"/>
    <col width="5.33203125" customWidth="1" style="96" min="5102" max="5102"/>
    <col width="9" bestFit="1" customWidth="1" style="96" min="5103" max="5103"/>
    <col width="5" customWidth="1" style="96" min="5104" max="5104"/>
    <col width="9" bestFit="1" customWidth="1" style="96" min="5105" max="5105"/>
    <col width="5.1640625" customWidth="1" style="96" min="5106" max="5106"/>
    <col width="9.1640625" customWidth="1" style="96" min="5107" max="5107"/>
    <col width="6" customWidth="1" style="96" min="5108" max="5108"/>
    <col width="9.1640625" customWidth="1" style="96" min="5109" max="5109"/>
    <col width="6" customWidth="1" style="96" min="5110" max="5110"/>
    <col width="10.1640625" customWidth="1" style="96" min="5111" max="5112"/>
    <col width="10" customWidth="1" style="96" min="5113" max="5113"/>
    <col width="10.33203125" customWidth="1" style="96" min="5114" max="5114"/>
    <col width="9.1640625" customWidth="1" style="96" min="5115" max="5125"/>
    <col width="11.33203125" customWidth="1" style="96" min="5126" max="5126"/>
    <col hidden="1" width="13" customWidth="1" style="96" min="5127" max="5147"/>
    <col width="9.1640625" customWidth="1" style="96" min="5148" max="5353"/>
    <col width="28.6640625" customWidth="1" style="96" min="5354" max="5354"/>
    <col width="9" bestFit="1" customWidth="1" style="96" min="5355" max="5355"/>
    <col width="5.33203125" customWidth="1" style="96" min="5356" max="5356"/>
    <col width="9" bestFit="1" customWidth="1" style="96" min="5357" max="5357"/>
    <col width="5.33203125" customWidth="1" style="96" min="5358" max="5358"/>
    <col width="9" bestFit="1" customWidth="1" style="96" min="5359" max="5359"/>
    <col width="5" customWidth="1" style="96" min="5360" max="5360"/>
    <col width="9" bestFit="1" customWidth="1" style="96" min="5361" max="5361"/>
    <col width="5.1640625" customWidth="1" style="96" min="5362" max="5362"/>
    <col width="9.1640625" customWidth="1" style="96" min="5363" max="5363"/>
    <col width="6" customWidth="1" style="96" min="5364" max="5364"/>
    <col width="9.1640625" customWidth="1" style="96" min="5365" max="5365"/>
    <col width="6" customWidth="1" style="96" min="5366" max="5366"/>
    <col width="10.1640625" customWidth="1" style="96" min="5367" max="5368"/>
    <col width="10" customWidth="1" style="96" min="5369" max="5369"/>
    <col width="10.33203125" customWidth="1" style="96" min="5370" max="5370"/>
    <col width="9.1640625" customWidth="1" style="96" min="5371" max="5381"/>
    <col width="11.33203125" customWidth="1" style="96" min="5382" max="5382"/>
    <col hidden="1" width="13" customWidth="1" style="96" min="5383" max="5403"/>
    <col width="9.1640625" customWidth="1" style="96" min="5404" max="5609"/>
    <col width="28.6640625" customWidth="1" style="96" min="5610" max="5610"/>
    <col width="9" bestFit="1" customWidth="1" style="96" min="5611" max="5611"/>
    <col width="5.33203125" customWidth="1" style="96" min="5612" max="5612"/>
    <col width="9" bestFit="1" customWidth="1" style="96" min="5613" max="5613"/>
    <col width="5.33203125" customWidth="1" style="96" min="5614" max="5614"/>
    <col width="9" bestFit="1" customWidth="1" style="96" min="5615" max="5615"/>
    <col width="5" customWidth="1" style="96" min="5616" max="5616"/>
    <col width="9" bestFit="1" customWidth="1" style="96" min="5617" max="5617"/>
    <col width="5.1640625" customWidth="1" style="96" min="5618" max="5618"/>
    <col width="9.1640625" customWidth="1" style="96" min="5619" max="5619"/>
    <col width="6" customWidth="1" style="96" min="5620" max="5620"/>
    <col width="9.1640625" customWidth="1" style="96" min="5621" max="5621"/>
    <col width="6" customWidth="1" style="96" min="5622" max="5622"/>
    <col width="10.1640625" customWidth="1" style="96" min="5623" max="5624"/>
    <col width="10" customWidth="1" style="96" min="5625" max="5625"/>
    <col width="10.33203125" customWidth="1" style="96" min="5626" max="5626"/>
    <col width="9.1640625" customWidth="1" style="96" min="5627" max="5637"/>
    <col width="11.33203125" customWidth="1" style="96" min="5638" max="5638"/>
    <col hidden="1" width="13" customWidth="1" style="96" min="5639" max="5659"/>
    <col width="9.1640625" customWidth="1" style="96" min="5660" max="5865"/>
    <col width="28.6640625" customWidth="1" style="96" min="5866" max="5866"/>
    <col width="9" bestFit="1" customWidth="1" style="96" min="5867" max="5867"/>
    <col width="5.33203125" customWidth="1" style="96" min="5868" max="5868"/>
    <col width="9" bestFit="1" customWidth="1" style="96" min="5869" max="5869"/>
    <col width="5.33203125" customWidth="1" style="96" min="5870" max="5870"/>
    <col width="9" bestFit="1" customWidth="1" style="96" min="5871" max="5871"/>
    <col width="5" customWidth="1" style="96" min="5872" max="5872"/>
    <col width="9" bestFit="1" customWidth="1" style="96" min="5873" max="5873"/>
    <col width="5.1640625" customWidth="1" style="96" min="5874" max="5874"/>
    <col width="9.1640625" customWidth="1" style="96" min="5875" max="5875"/>
    <col width="6" customWidth="1" style="96" min="5876" max="5876"/>
    <col width="9.1640625" customWidth="1" style="96" min="5877" max="5877"/>
    <col width="6" customWidth="1" style="96" min="5878" max="5878"/>
    <col width="10.1640625" customWidth="1" style="96" min="5879" max="5880"/>
    <col width="10" customWidth="1" style="96" min="5881" max="5881"/>
    <col width="10.33203125" customWidth="1" style="96" min="5882" max="5882"/>
    <col width="9.1640625" customWidth="1" style="96" min="5883" max="5893"/>
    <col width="11.33203125" customWidth="1" style="96" min="5894" max="5894"/>
    <col hidden="1" width="13" customWidth="1" style="96" min="5895" max="5915"/>
    <col width="9.1640625" customWidth="1" style="96" min="5916" max="6121"/>
    <col width="28.6640625" customWidth="1" style="96" min="6122" max="6122"/>
    <col width="9" bestFit="1" customWidth="1" style="96" min="6123" max="6123"/>
    <col width="5.33203125" customWidth="1" style="96" min="6124" max="6124"/>
    <col width="9" bestFit="1" customWidth="1" style="96" min="6125" max="6125"/>
    <col width="5.33203125" customWidth="1" style="96" min="6126" max="6126"/>
    <col width="9" bestFit="1" customWidth="1" style="96" min="6127" max="6127"/>
    <col width="5" customWidth="1" style="96" min="6128" max="6128"/>
    <col width="9" bestFit="1" customWidth="1" style="96" min="6129" max="6129"/>
    <col width="5.1640625" customWidth="1" style="96" min="6130" max="6130"/>
    <col width="9.1640625" customWidth="1" style="96" min="6131" max="6131"/>
    <col width="6" customWidth="1" style="96" min="6132" max="6132"/>
    <col width="9.1640625" customWidth="1" style="96" min="6133" max="6133"/>
    <col width="6" customWidth="1" style="96" min="6134" max="6134"/>
    <col width="10.1640625" customWidth="1" style="96" min="6135" max="6136"/>
    <col width="10" customWidth="1" style="96" min="6137" max="6137"/>
    <col width="10.33203125" customWidth="1" style="96" min="6138" max="6138"/>
    <col width="9.1640625" customWidth="1" style="96" min="6139" max="6149"/>
    <col width="11.33203125" customWidth="1" style="96" min="6150" max="6150"/>
    <col hidden="1" width="13" customWidth="1" style="96" min="6151" max="6171"/>
    <col width="9.1640625" customWidth="1" style="96" min="6172" max="6377"/>
    <col width="28.6640625" customWidth="1" style="96" min="6378" max="6378"/>
    <col width="9" bestFit="1" customWidth="1" style="96" min="6379" max="6379"/>
    <col width="5.33203125" customWidth="1" style="96" min="6380" max="6380"/>
    <col width="9" bestFit="1" customWidth="1" style="96" min="6381" max="6381"/>
    <col width="5.33203125" customWidth="1" style="96" min="6382" max="6382"/>
    <col width="9" bestFit="1" customWidth="1" style="96" min="6383" max="6383"/>
    <col width="5" customWidth="1" style="96" min="6384" max="6384"/>
    <col width="9" bestFit="1" customWidth="1" style="96" min="6385" max="6385"/>
    <col width="5.1640625" customWidth="1" style="96" min="6386" max="6386"/>
    <col width="9.1640625" customWidth="1" style="96" min="6387" max="6387"/>
    <col width="6" customWidth="1" style="96" min="6388" max="6388"/>
    <col width="9.1640625" customWidth="1" style="96" min="6389" max="6389"/>
    <col width="6" customWidth="1" style="96" min="6390" max="6390"/>
    <col width="10.1640625" customWidth="1" style="96" min="6391" max="6392"/>
    <col width="10" customWidth="1" style="96" min="6393" max="6393"/>
    <col width="10.33203125" customWidth="1" style="96" min="6394" max="6394"/>
    <col width="9.1640625" customWidth="1" style="96" min="6395" max="6405"/>
    <col width="11.33203125" customWidth="1" style="96" min="6406" max="6406"/>
    <col hidden="1" width="13" customWidth="1" style="96" min="6407" max="6427"/>
    <col width="9.1640625" customWidth="1" style="96" min="6428" max="6633"/>
    <col width="28.6640625" customWidth="1" style="96" min="6634" max="6634"/>
    <col width="9" bestFit="1" customWidth="1" style="96" min="6635" max="6635"/>
    <col width="5.33203125" customWidth="1" style="96" min="6636" max="6636"/>
    <col width="9" bestFit="1" customWidth="1" style="96" min="6637" max="6637"/>
    <col width="5.33203125" customWidth="1" style="96" min="6638" max="6638"/>
    <col width="9" bestFit="1" customWidth="1" style="96" min="6639" max="6639"/>
    <col width="5" customWidth="1" style="96" min="6640" max="6640"/>
    <col width="9" bestFit="1" customWidth="1" style="96" min="6641" max="6641"/>
    <col width="5.1640625" customWidth="1" style="96" min="6642" max="6642"/>
    <col width="9.1640625" customWidth="1" style="96" min="6643" max="6643"/>
    <col width="6" customWidth="1" style="96" min="6644" max="6644"/>
    <col width="9.1640625" customWidth="1" style="96" min="6645" max="6645"/>
    <col width="6" customWidth="1" style="96" min="6646" max="6646"/>
    <col width="10.1640625" customWidth="1" style="96" min="6647" max="6648"/>
    <col width="10" customWidth="1" style="96" min="6649" max="6649"/>
    <col width="10.33203125" customWidth="1" style="96" min="6650" max="6650"/>
    <col width="9.1640625" customWidth="1" style="96" min="6651" max="6661"/>
    <col width="11.33203125" customWidth="1" style="96" min="6662" max="6662"/>
    <col hidden="1" width="13" customWidth="1" style="96" min="6663" max="6683"/>
    <col width="9.1640625" customWidth="1" style="96" min="6684" max="6889"/>
    <col width="28.6640625" customWidth="1" style="96" min="6890" max="6890"/>
    <col width="9" bestFit="1" customWidth="1" style="96" min="6891" max="6891"/>
    <col width="5.33203125" customWidth="1" style="96" min="6892" max="6892"/>
    <col width="9" bestFit="1" customWidth="1" style="96" min="6893" max="6893"/>
    <col width="5.33203125" customWidth="1" style="96" min="6894" max="6894"/>
    <col width="9" bestFit="1" customWidth="1" style="96" min="6895" max="6895"/>
    <col width="5" customWidth="1" style="96" min="6896" max="6896"/>
    <col width="9" bestFit="1" customWidth="1" style="96" min="6897" max="6897"/>
    <col width="5.1640625" customWidth="1" style="96" min="6898" max="6898"/>
    <col width="9.1640625" customWidth="1" style="96" min="6899" max="6899"/>
    <col width="6" customWidth="1" style="96" min="6900" max="6900"/>
    <col width="9.1640625" customWidth="1" style="96" min="6901" max="6901"/>
    <col width="6" customWidth="1" style="96" min="6902" max="6902"/>
    <col width="10.1640625" customWidth="1" style="96" min="6903" max="6904"/>
    <col width="10" customWidth="1" style="96" min="6905" max="6905"/>
    <col width="10.33203125" customWidth="1" style="96" min="6906" max="6906"/>
    <col width="9.1640625" customWidth="1" style="96" min="6907" max="6917"/>
    <col width="11.33203125" customWidth="1" style="96" min="6918" max="6918"/>
    <col hidden="1" width="13" customWidth="1" style="96" min="6919" max="6939"/>
    <col width="9.1640625" customWidth="1" style="96" min="6940" max="7145"/>
    <col width="28.6640625" customWidth="1" style="96" min="7146" max="7146"/>
    <col width="9" bestFit="1" customWidth="1" style="96" min="7147" max="7147"/>
    <col width="5.33203125" customWidth="1" style="96" min="7148" max="7148"/>
    <col width="9" bestFit="1" customWidth="1" style="96" min="7149" max="7149"/>
    <col width="5.33203125" customWidth="1" style="96" min="7150" max="7150"/>
    <col width="9" bestFit="1" customWidth="1" style="96" min="7151" max="7151"/>
    <col width="5" customWidth="1" style="96" min="7152" max="7152"/>
    <col width="9" bestFit="1" customWidth="1" style="96" min="7153" max="7153"/>
    <col width="5.1640625" customWidth="1" style="96" min="7154" max="7154"/>
    <col width="9.1640625" customWidth="1" style="96" min="7155" max="7155"/>
    <col width="6" customWidth="1" style="96" min="7156" max="7156"/>
    <col width="9.1640625" customWidth="1" style="96" min="7157" max="7157"/>
    <col width="6" customWidth="1" style="96" min="7158" max="7158"/>
    <col width="10.1640625" customWidth="1" style="96" min="7159" max="7160"/>
    <col width="10" customWidth="1" style="96" min="7161" max="7161"/>
    <col width="10.33203125" customWidth="1" style="96" min="7162" max="7162"/>
    <col width="9.1640625" customWidth="1" style="96" min="7163" max="7173"/>
    <col width="11.33203125" customWidth="1" style="96" min="7174" max="7174"/>
    <col hidden="1" width="13" customWidth="1" style="96" min="7175" max="7195"/>
    <col width="9.1640625" customWidth="1" style="96" min="7196" max="7401"/>
    <col width="28.6640625" customWidth="1" style="96" min="7402" max="7402"/>
    <col width="9" bestFit="1" customWidth="1" style="96" min="7403" max="7403"/>
    <col width="5.33203125" customWidth="1" style="96" min="7404" max="7404"/>
    <col width="9" bestFit="1" customWidth="1" style="96" min="7405" max="7405"/>
    <col width="5.33203125" customWidth="1" style="96" min="7406" max="7406"/>
    <col width="9" bestFit="1" customWidth="1" style="96" min="7407" max="7407"/>
    <col width="5" customWidth="1" style="96" min="7408" max="7408"/>
    <col width="9" bestFit="1" customWidth="1" style="96" min="7409" max="7409"/>
    <col width="5.1640625" customWidth="1" style="96" min="7410" max="7410"/>
    <col width="9.1640625" customWidth="1" style="96" min="7411" max="7411"/>
    <col width="6" customWidth="1" style="96" min="7412" max="7412"/>
    <col width="9.1640625" customWidth="1" style="96" min="7413" max="7413"/>
    <col width="6" customWidth="1" style="96" min="7414" max="7414"/>
    <col width="10.1640625" customWidth="1" style="96" min="7415" max="7416"/>
    <col width="10" customWidth="1" style="96" min="7417" max="7417"/>
    <col width="10.33203125" customWidth="1" style="96" min="7418" max="7418"/>
    <col width="9.1640625" customWidth="1" style="96" min="7419" max="7429"/>
    <col width="11.33203125" customWidth="1" style="96" min="7430" max="7430"/>
    <col hidden="1" width="13" customWidth="1" style="96" min="7431" max="7451"/>
    <col width="9.1640625" customWidth="1" style="96" min="7452" max="7657"/>
    <col width="28.6640625" customWidth="1" style="96" min="7658" max="7658"/>
    <col width="9" bestFit="1" customWidth="1" style="96" min="7659" max="7659"/>
    <col width="5.33203125" customWidth="1" style="96" min="7660" max="7660"/>
    <col width="9" bestFit="1" customWidth="1" style="96" min="7661" max="7661"/>
    <col width="5.33203125" customWidth="1" style="96" min="7662" max="7662"/>
    <col width="9" bestFit="1" customWidth="1" style="96" min="7663" max="7663"/>
    <col width="5" customWidth="1" style="96" min="7664" max="7664"/>
    <col width="9" bestFit="1" customWidth="1" style="96" min="7665" max="7665"/>
    <col width="5.1640625" customWidth="1" style="96" min="7666" max="7666"/>
    <col width="9.1640625" customWidth="1" style="96" min="7667" max="7667"/>
    <col width="6" customWidth="1" style="96" min="7668" max="7668"/>
    <col width="9.1640625" customWidth="1" style="96" min="7669" max="7669"/>
    <col width="6" customWidth="1" style="96" min="7670" max="7670"/>
    <col width="10.1640625" customWidth="1" style="96" min="7671" max="7672"/>
    <col width="10" customWidth="1" style="96" min="7673" max="7673"/>
    <col width="10.33203125" customWidth="1" style="96" min="7674" max="7674"/>
    <col width="9.1640625" customWidth="1" style="96" min="7675" max="7685"/>
    <col width="11.33203125" customWidth="1" style="96" min="7686" max="7686"/>
    <col hidden="1" width="13" customWidth="1" style="96" min="7687" max="7707"/>
    <col width="9.1640625" customWidth="1" style="96" min="7708" max="7913"/>
    <col width="28.6640625" customWidth="1" style="96" min="7914" max="7914"/>
    <col width="9" bestFit="1" customWidth="1" style="96" min="7915" max="7915"/>
    <col width="5.33203125" customWidth="1" style="96" min="7916" max="7916"/>
    <col width="9" bestFit="1" customWidth="1" style="96" min="7917" max="7917"/>
    <col width="5.33203125" customWidth="1" style="96" min="7918" max="7918"/>
    <col width="9" bestFit="1" customWidth="1" style="96" min="7919" max="7919"/>
    <col width="5" customWidth="1" style="96" min="7920" max="7920"/>
    <col width="9" bestFit="1" customWidth="1" style="96" min="7921" max="7921"/>
    <col width="5.1640625" customWidth="1" style="96" min="7922" max="7922"/>
    <col width="9.1640625" customWidth="1" style="96" min="7923" max="7923"/>
    <col width="6" customWidth="1" style="96" min="7924" max="7924"/>
    <col width="9.1640625" customWidth="1" style="96" min="7925" max="7925"/>
    <col width="6" customWidth="1" style="96" min="7926" max="7926"/>
    <col width="10.1640625" customWidth="1" style="96" min="7927" max="7928"/>
    <col width="10" customWidth="1" style="96" min="7929" max="7929"/>
    <col width="10.33203125" customWidth="1" style="96" min="7930" max="7930"/>
    <col width="9.1640625" customWidth="1" style="96" min="7931" max="7941"/>
    <col width="11.33203125" customWidth="1" style="96" min="7942" max="7942"/>
    <col hidden="1" width="13" customWidth="1" style="96" min="7943" max="7963"/>
    <col width="9.1640625" customWidth="1" style="96" min="7964" max="8169"/>
    <col width="28.6640625" customWidth="1" style="96" min="8170" max="8170"/>
    <col width="9" bestFit="1" customWidth="1" style="96" min="8171" max="8171"/>
    <col width="5.33203125" customWidth="1" style="96" min="8172" max="8172"/>
    <col width="9" bestFit="1" customWidth="1" style="96" min="8173" max="8173"/>
    <col width="5.33203125" customWidth="1" style="96" min="8174" max="8174"/>
    <col width="9" bestFit="1" customWidth="1" style="96" min="8175" max="8175"/>
    <col width="5" customWidth="1" style="96" min="8176" max="8176"/>
    <col width="9" bestFit="1" customWidth="1" style="96" min="8177" max="8177"/>
    <col width="5.1640625" customWidth="1" style="96" min="8178" max="8178"/>
    <col width="9.1640625" customWidth="1" style="96" min="8179" max="8179"/>
    <col width="6" customWidth="1" style="96" min="8180" max="8180"/>
    <col width="9.1640625" customWidth="1" style="96" min="8181" max="8181"/>
    <col width="6" customWidth="1" style="96" min="8182" max="8182"/>
    <col width="10.1640625" customWidth="1" style="96" min="8183" max="8184"/>
    <col width="10" customWidth="1" style="96" min="8185" max="8185"/>
    <col width="10.33203125" customWidth="1" style="96" min="8186" max="8186"/>
    <col width="9.1640625" customWidth="1" style="96" min="8187" max="8197"/>
    <col width="11.33203125" customWidth="1" style="96" min="8198" max="8198"/>
    <col hidden="1" width="13" customWidth="1" style="96" min="8199" max="8219"/>
    <col width="9.1640625" customWidth="1" style="96" min="8220" max="8425"/>
    <col width="28.6640625" customWidth="1" style="96" min="8426" max="8426"/>
    <col width="9" bestFit="1" customWidth="1" style="96" min="8427" max="8427"/>
    <col width="5.33203125" customWidth="1" style="96" min="8428" max="8428"/>
    <col width="9" bestFit="1" customWidth="1" style="96" min="8429" max="8429"/>
    <col width="5.33203125" customWidth="1" style="96" min="8430" max="8430"/>
    <col width="9" bestFit="1" customWidth="1" style="96" min="8431" max="8431"/>
    <col width="5" customWidth="1" style="96" min="8432" max="8432"/>
    <col width="9" bestFit="1" customWidth="1" style="96" min="8433" max="8433"/>
    <col width="5.1640625" customWidth="1" style="96" min="8434" max="8434"/>
    <col width="9.1640625" customWidth="1" style="96" min="8435" max="8435"/>
    <col width="6" customWidth="1" style="96" min="8436" max="8436"/>
    <col width="9.1640625" customWidth="1" style="96" min="8437" max="8437"/>
    <col width="6" customWidth="1" style="96" min="8438" max="8438"/>
    <col width="10.1640625" customWidth="1" style="96" min="8439" max="8440"/>
    <col width="10" customWidth="1" style="96" min="8441" max="8441"/>
    <col width="10.33203125" customWidth="1" style="96" min="8442" max="8442"/>
    <col width="9.1640625" customWidth="1" style="96" min="8443" max="8453"/>
    <col width="11.33203125" customWidth="1" style="96" min="8454" max="8454"/>
    <col hidden="1" width="13" customWidth="1" style="96" min="8455" max="8475"/>
    <col width="9.1640625" customWidth="1" style="96" min="8476" max="8681"/>
    <col width="28.6640625" customWidth="1" style="96" min="8682" max="8682"/>
    <col width="9" bestFit="1" customWidth="1" style="96" min="8683" max="8683"/>
    <col width="5.33203125" customWidth="1" style="96" min="8684" max="8684"/>
    <col width="9" bestFit="1" customWidth="1" style="96" min="8685" max="8685"/>
    <col width="5.33203125" customWidth="1" style="96" min="8686" max="8686"/>
    <col width="9" bestFit="1" customWidth="1" style="96" min="8687" max="8687"/>
    <col width="5" customWidth="1" style="96" min="8688" max="8688"/>
    <col width="9" bestFit="1" customWidth="1" style="96" min="8689" max="8689"/>
    <col width="5.1640625" customWidth="1" style="96" min="8690" max="8690"/>
    <col width="9.1640625" customWidth="1" style="96" min="8691" max="8691"/>
    <col width="6" customWidth="1" style="96" min="8692" max="8692"/>
    <col width="9.1640625" customWidth="1" style="96" min="8693" max="8693"/>
    <col width="6" customWidth="1" style="96" min="8694" max="8694"/>
    <col width="10.1640625" customWidth="1" style="96" min="8695" max="8696"/>
    <col width="10" customWidth="1" style="96" min="8697" max="8697"/>
    <col width="10.33203125" customWidth="1" style="96" min="8698" max="8698"/>
    <col width="9.1640625" customWidth="1" style="96" min="8699" max="8709"/>
    <col width="11.33203125" customWidth="1" style="96" min="8710" max="8710"/>
    <col hidden="1" width="13" customWidth="1" style="96" min="8711" max="8731"/>
    <col width="9.1640625" customWidth="1" style="96" min="8732" max="8937"/>
    <col width="28.6640625" customWidth="1" style="96" min="8938" max="8938"/>
    <col width="9" bestFit="1" customWidth="1" style="96" min="8939" max="8939"/>
    <col width="5.33203125" customWidth="1" style="96" min="8940" max="8940"/>
    <col width="9" bestFit="1" customWidth="1" style="96" min="8941" max="8941"/>
    <col width="5.33203125" customWidth="1" style="96" min="8942" max="8942"/>
    <col width="9" bestFit="1" customWidth="1" style="96" min="8943" max="8943"/>
    <col width="5" customWidth="1" style="96" min="8944" max="8944"/>
    <col width="9" bestFit="1" customWidth="1" style="96" min="8945" max="8945"/>
    <col width="5.1640625" customWidth="1" style="96" min="8946" max="8946"/>
    <col width="9.1640625" customWidth="1" style="96" min="8947" max="8947"/>
    <col width="6" customWidth="1" style="96" min="8948" max="8948"/>
    <col width="9.1640625" customWidth="1" style="96" min="8949" max="8949"/>
    <col width="6" customWidth="1" style="96" min="8950" max="8950"/>
    <col width="10.1640625" customWidth="1" style="96" min="8951" max="8952"/>
    <col width="10" customWidth="1" style="96" min="8953" max="8953"/>
    <col width="10.33203125" customWidth="1" style="96" min="8954" max="8954"/>
    <col width="9.1640625" customWidth="1" style="96" min="8955" max="8965"/>
    <col width="11.33203125" customWidth="1" style="96" min="8966" max="8966"/>
    <col hidden="1" width="13" customWidth="1" style="96" min="8967" max="8987"/>
    <col width="9.1640625" customWidth="1" style="96" min="8988" max="9193"/>
    <col width="28.6640625" customWidth="1" style="96" min="9194" max="9194"/>
    <col width="9" bestFit="1" customWidth="1" style="96" min="9195" max="9195"/>
    <col width="5.33203125" customWidth="1" style="96" min="9196" max="9196"/>
    <col width="9" bestFit="1" customWidth="1" style="96" min="9197" max="9197"/>
    <col width="5.33203125" customWidth="1" style="96" min="9198" max="9198"/>
    <col width="9" bestFit="1" customWidth="1" style="96" min="9199" max="9199"/>
    <col width="5" customWidth="1" style="96" min="9200" max="9200"/>
    <col width="9" bestFit="1" customWidth="1" style="96" min="9201" max="9201"/>
    <col width="5.1640625" customWidth="1" style="96" min="9202" max="9202"/>
    <col width="9.1640625" customWidth="1" style="96" min="9203" max="9203"/>
    <col width="6" customWidth="1" style="96" min="9204" max="9204"/>
    <col width="9.1640625" customWidth="1" style="96" min="9205" max="9205"/>
    <col width="6" customWidth="1" style="96" min="9206" max="9206"/>
    <col width="10.1640625" customWidth="1" style="96" min="9207" max="9208"/>
    <col width="10" customWidth="1" style="96" min="9209" max="9209"/>
    <col width="10.33203125" customWidth="1" style="96" min="9210" max="9210"/>
    <col width="9.1640625" customWidth="1" style="96" min="9211" max="9221"/>
    <col width="11.33203125" customWidth="1" style="96" min="9222" max="9222"/>
    <col hidden="1" width="13" customWidth="1" style="96" min="9223" max="9243"/>
    <col width="9.1640625" customWidth="1" style="96" min="9244" max="9449"/>
    <col width="28.6640625" customWidth="1" style="96" min="9450" max="9450"/>
    <col width="9" bestFit="1" customWidth="1" style="96" min="9451" max="9451"/>
    <col width="5.33203125" customWidth="1" style="96" min="9452" max="9452"/>
    <col width="9" bestFit="1" customWidth="1" style="96" min="9453" max="9453"/>
    <col width="5.33203125" customWidth="1" style="96" min="9454" max="9454"/>
    <col width="9" bestFit="1" customWidth="1" style="96" min="9455" max="9455"/>
    <col width="5" customWidth="1" style="96" min="9456" max="9456"/>
    <col width="9" bestFit="1" customWidth="1" style="96" min="9457" max="9457"/>
    <col width="5.1640625" customWidth="1" style="96" min="9458" max="9458"/>
    <col width="9.1640625" customWidth="1" style="96" min="9459" max="9459"/>
    <col width="6" customWidth="1" style="96" min="9460" max="9460"/>
    <col width="9.1640625" customWidth="1" style="96" min="9461" max="9461"/>
    <col width="6" customWidth="1" style="96" min="9462" max="9462"/>
    <col width="10.1640625" customWidth="1" style="96" min="9463" max="9464"/>
    <col width="10" customWidth="1" style="96" min="9465" max="9465"/>
    <col width="10.33203125" customWidth="1" style="96" min="9466" max="9466"/>
    <col width="9.1640625" customWidth="1" style="96" min="9467" max="9477"/>
    <col width="11.33203125" customWidth="1" style="96" min="9478" max="9478"/>
    <col hidden="1" width="13" customWidth="1" style="96" min="9479" max="9499"/>
    <col width="9.1640625" customWidth="1" style="96" min="9500" max="9705"/>
    <col width="28.6640625" customWidth="1" style="96" min="9706" max="9706"/>
    <col width="9" bestFit="1" customWidth="1" style="96" min="9707" max="9707"/>
    <col width="5.33203125" customWidth="1" style="96" min="9708" max="9708"/>
    <col width="9" bestFit="1" customWidth="1" style="96" min="9709" max="9709"/>
    <col width="5.33203125" customWidth="1" style="96" min="9710" max="9710"/>
    <col width="9" bestFit="1" customWidth="1" style="96" min="9711" max="9711"/>
    <col width="5" customWidth="1" style="96" min="9712" max="9712"/>
    <col width="9" bestFit="1" customWidth="1" style="96" min="9713" max="9713"/>
    <col width="5.1640625" customWidth="1" style="96" min="9714" max="9714"/>
    <col width="9.1640625" customWidth="1" style="96" min="9715" max="9715"/>
    <col width="6" customWidth="1" style="96" min="9716" max="9716"/>
    <col width="9.1640625" customWidth="1" style="96" min="9717" max="9717"/>
    <col width="6" customWidth="1" style="96" min="9718" max="9718"/>
    <col width="10.1640625" customWidth="1" style="96" min="9719" max="9720"/>
    <col width="10" customWidth="1" style="96" min="9721" max="9721"/>
    <col width="10.33203125" customWidth="1" style="96" min="9722" max="9722"/>
    <col width="9.1640625" customWidth="1" style="96" min="9723" max="9733"/>
    <col width="11.33203125" customWidth="1" style="96" min="9734" max="9734"/>
    <col hidden="1" width="13" customWidth="1" style="96" min="9735" max="9755"/>
    <col width="9.1640625" customWidth="1" style="96" min="9756" max="9961"/>
    <col width="28.6640625" customWidth="1" style="96" min="9962" max="9962"/>
    <col width="9" bestFit="1" customWidth="1" style="96" min="9963" max="9963"/>
    <col width="5.33203125" customWidth="1" style="96" min="9964" max="9964"/>
    <col width="9" bestFit="1" customWidth="1" style="96" min="9965" max="9965"/>
    <col width="5.33203125" customWidth="1" style="96" min="9966" max="9966"/>
    <col width="9" bestFit="1" customWidth="1" style="96" min="9967" max="9967"/>
    <col width="5" customWidth="1" style="96" min="9968" max="9968"/>
    <col width="9" bestFit="1" customWidth="1" style="96" min="9969" max="9969"/>
    <col width="5.1640625" customWidth="1" style="96" min="9970" max="9970"/>
    <col width="9.1640625" customWidth="1" style="96" min="9971" max="9971"/>
    <col width="6" customWidth="1" style="96" min="9972" max="9972"/>
    <col width="9.1640625" customWidth="1" style="96" min="9973" max="9973"/>
    <col width="6" customWidth="1" style="96" min="9974" max="9974"/>
    <col width="10.1640625" customWidth="1" style="96" min="9975" max="9976"/>
    <col width="10" customWidth="1" style="96" min="9977" max="9977"/>
    <col width="10.33203125" customWidth="1" style="96" min="9978" max="9978"/>
    <col width="9.1640625" customWidth="1" style="96" min="9979" max="9989"/>
    <col width="11.33203125" customWidth="1" style="96" min="9990" max="9990"/>
    <col hidden="1" width="13" customWidth="1" style="96" min="9991" max="10011"/>
    <col width="9.1640625" customWidth="1" style="96" min="10012" max="10217"/>
    <col width="28.6640625" customWidth="1" style="96" min="10218" max="10218"/>
    <col width="9" bestFit="1" customWidth="1" style="96" min="10219" max="10219"/>
    <col width="5.33203125" customWidth="1" style="96" min="10220" max="10220"/>
    <col width="9" bestFit="1" customWidth="1" style="96" min="10221" max="10221"/>
    <col width="5.33203125" customWidth="1" style="96" min="10222" max="10222"/>
    <col width="9" bestFit="1" customWidth="1" style="96" min="10223" max="10223"/>
    <col width="5" customWidth="1" style="96" min="10224" max="10224"/>
    <col width="9" bestFit="1" customWidth="1" style="96" min="10225" max="10225"/>
    <col width="5.1640625" customWidth="1" style="96" min="10226" max="10226"/>
    <col width="9.1640625" customWidth="1" style="96" min="10227" max="10227"/>
    <col width="6" customWidth="1" style="96" min="10228" max="10228"/>
    <col width="9.1640625" customWidth="1" style="96" min="10229" max="10229"/>
    <col width="6" customWidth="1" style="96" min="10230" max="10230"/>
    <col width="10.1640625" customWidth="1" style="96" min="10231" max="10232"/>
    <col width="10" customWidth="1" style="96" min="10233" max="10233"/>
    <col width="10.33203125" customWidth="1" style="96" min="10234" max="10234"/>
    <col width="9.1640625" customWidth="1" style="96" min="10235" max="10245"/>
    <col width="11.33203125" customWidth="1" style="96" min="10246" max="10246"/>
    <col hidden="1" width="13" customWidth="1" style="96" min="10247" max="10267"/>
    <col width="9.1640625" customWidth="1" style="96" min="10268" max="10473"/>
    <col width="28.6640625" customWidth="1" style="96" min="10474" max="10474"/>
    <col width="9" bestFit="1" customWidth="1" style="96" min="10475" max="10475"/>
    <col width="5.33203125" customWidth="1" style="96" min="10476" max="10476"/>
    <col width="9" bestFit="1" customWidth="1" style="96" min="10477" max="10477"/>
    <col width="5.33203125" customWidth="1" style="96" min="10478" max="10478"/>
    <col width="9" bestFit="1" customWidth="1" style="96" min="10479" max="10479"/>
    <col width="5" customWidth="1" style="96" min="10480" max="10480"/>
    <col width="9" bestFit="1" customWidth="1" style="96" min="10481" max="10481"/>
    <col width="5.1640625" customWidth="1" style="96" min="10482" max="10482"/>
    <col width="9.1640625" customWidth="1" style="96" min="10483" max="10483"/>
    <col width="6" customWidth="1" style="96" min="10484" max="10484"/>
    <col width="9.1640625" customWidth="1" style="96" min="10485" max="10485"/>
    <col width="6" customWidth="1" style="96" min="10486" max="10486"/>
    <col width="10.1640625" customWidth="1" style="96" min="10487" max="10488"/>
    <col width="10" customWidth="1" style="96" min="10489" max="10489"/>
    <col width="10.33203125" customWidth="1" style="96" min="10490" max="10490"/>
    <col width="9.1640625" customWidth="1" style="96" min="10491" max="10501"/>
    <col width="11.33203125" customWidth="1" style="96" min="10502" max="10502"/>
    <col hidden="1" width="13" customWidth="1" style="96" min="10503" max="10523"/>
    <col width="9.1640625" customWidth="1" style="96" min="10524" max="10729"/>
    <col width="28.6640625" customWidth="1" style="96" min="10730" max="10730"/>
    <col width="9" bestFit="1" customWidth="1" style="96" min="10731" max="10731"/>
    <col width="5.33203125" customWidth="1" style="96" min="10732" max="10732"/>
    <col width="9" bestFit="1" customWidth="1" style="96" min="10733" max="10733"/>
    <col width="5.33203125" customWidth="1" style="96" min="10734" max="10734"/>
    <col width="9" bestFit="1" customWidth="1" style="96" min="10735" max="10735"/>
    <col width="5" customWidth="1" style="96" min="10736" max="10736"/>
    <col width="9" bestFit="1" customWidth="1" style="96" min="10737" max="10737"/>
    <col width="5.1640625" customWidth="1" style="96" min="10738" max="10738"/>
    <col width="9.1640625" customWidth="1" style="96" min="10739" max="10739"/>
    <col width="6" customWidth="1" style="96" min="10740" max="10740"/>
    <col width="9.1640625" customWidth="1" style="96" min="10741" max="10741"/>
    <col width="6" customWidth="1" style="96" min="10742" max="10742"/>
    <col width="10.1640625" customWidth="1" style="96" min="10743" max="10744"/>
    <col width="10" customWidth="1" style="96" min="10745" max="10745"/>
    <col width="10.33203125" customWidth="1" style="96" min="10746" max="10746"/>
    <col width="9.1640625" customWidth="1" style="96" min="10747" max="10757"/>
    <col width="11.33203125" customWidth="1" style="96" min="10758" max="10758"/>
    <col hidden="1" width="13" customWidth="1" style="96" min="10759" max="10779"/>
    <col width="9.1640625" customWidth="1" style="96" min="10780" max="10985"/>
    <col width="28.6640625" customWidth="1" style="96" min="10986" max="10986"/>
    <col width="9" bestFit="1" customWidth="1" style="96" min="10987" max="10987"/>
    <col width="5.33203125" customWidth="1" style="96" min="10988" max="10988"/>
    <col width="9" bestFit="1" customWidth="1" style="96" min="10989" max="10989"/>
    <col width="5.33203125" customWidth="1" style="96" min="10990" max="10990"/>
    <col width="9" bestFit="1" customWidth="1" style="96" min="10991" max="10991"/>
    <col width="5" customWidth="1" style="96" min="10992" max="10992"/>
    <col width="9" bestFit="1" customWidth="1" style="96" min="10993" max="10993"/>
    <col width="5.1640625" customWidth="1" style="96" min="10994" max="10994"/>
    <col width="9.1640625" customWidth="1" style="96" min="10995" max="10995"/>
    <col width="6" customWidth="1" style="96" min="10996" max="10996"/>
    <col width="9.1640625" customWidth="1" style="96" min="10997" max="10997"/>
    <col width="6" customWidth="1" style="96" min="10998" max="10998"/>
    <col width="10.1640625" customWidth="1" style="96" min="10999" max="11000"/>
    <col width="10" customWidth="1" style="96" min="11001" max="11001"/>
    <col width="10.33203125" customWidth="1" style="96" min="11002" max="11002"/>
    <col width="9.1640625" customWidth="1" style="96" min="11003" max="11013"/>
    <col width="11.33203125" customWidth="1" style="96" min="11014" max="11014"/>
    <col hidden="1" width="13" customWidth="1" style="96" min="11015" max="11035"/>
    <col width="9.1640625" customWidth="1" style="96" min="11036" max="11241"/>
    <col width="28.6640625" customWidth="1" style="96" min="11242" max="11242"/>
    <col width="9" bestFit="1" customWidth="1" style="96" min="11243" max="11243"/>
    <col width="5.33203125" customWidth="1" style="96" min="11244" max="11244"/>
    <col width="9" bestFit="1" customWidth="1" style="96" min="11245" max="11245"/>
    <col width="5.33203125" customWidth="1" style="96" min="11246" max="11246"/>
    <col width="9" bestFit="1" customWidth="1" style="96" min="11247" max="11247"/>
    <col width="5" customWidth="1" style="96" min="11248" max="11248"/>
    <col width="9" bestFit="1" customWidth="1" style="96" min="11249" max="11249"/>
    <col width="5.1640625" customWidth="1" style="96" min="11250" max="11250"/>
    <col width="9.1640625" customWidth="1" style="96" min="11251" max="11251"/>
    <col width="6" customWidth="1" style="96" min="11252" max="11252"/>
    <col width="9.1640625" customWidth="1" style="96" min="11253" max="11253"/>
    <col width="6" customWidth="1" style="96" min="11254" max="11254"/>
    <col width="10.1640625" customWidth="1" style="96" min="11255" max="11256"/>
    <col width="10" customWidth="1" style="96" min="11257" max="11257"/>
    <col width="10.33203125" customWidth="1" style="96" min="11258" max="11258"/>
    <col width="9.1640625" customWidth="1" style="96" min="11259" max="11269"/>
    <col width="11.33203125" customWidth="1" style="96" min="11270" max="11270"/>
    <col hidden="1" width="13" customWidth="1" style="96" min="11271" max="11291"/>
    <col width="9.1640625" customWidth="1" style="96" min="11292" max="11497"/>
    <col width="28.6640625" customWidth="1" style="96" min="11498" max="11498"/>
    <col width="9" bestFit="1" customWidth="1" style="96" min="11499" max="11499"/>
    <col width="5.33203125" customWidth="1" style="96" min="11500" max="11500"/>
    <col width="9" bestFit="1" customWidth="1" style="96" min="11501" max="11501"/>
    <col width="5.33203125" customWidth="1" style="96" min="11502" max="11502"/>
    <col width="9" bestFit="1" customWidth="1" style="96" min="11503" max="11503"/>
    <col width="5" customWidth="1" style="96" min="11504" max="11504"/>
    <col width="9" bestFit="1" customWidth="1" style="96" min="11505" max="11505"/>
    <col width="5.1640625" customWidth="1" style="96" min="11506" max="11506"/>
    <col width="9.1640625" customWidth="1" style="96" min="11507" max="11507"/>
    <col width="6" customWidth="1" style="96" min="11508" max="11508"/>
    <col width="9.1640625" customWidth="1" style="96" min="11509" max="11509"/>
    <col width="6" customWidth="1" style="96" min="11510" max="11510"/>
    <col width="10.1640625" customWidth="1" style="96" min="11511" max="11512"/>
    <col width="10" customWidth="1" style="96" min="11513" max="11513"/>
    <col width="10.33203125" customWidth="1" style="96" min="11514" max="11514"/>
    <col width="9.1640625" customWidth="1" style="96" min="11515" max="11525"/>
    <col width="11.33203125" customWidth="1" style="96" min="11526" max="11526"/>
    <col hidden="1" width="13" customWidth="1" style="96" min="11527" max="11547"/>
    <col width="9.1640625" customWidth="1" style="96" min="11548" max="11753"/>
    <col width="28.6640625" customWidth="1" style="96" min="11754" max="11754"/>
    <col width="9" bestFit="1" customWidth="1" style="96" min="11755" max="11755"/>
    <col width="5.33203125" customWidth="1" style="96" min="11756" max="11756"/>
    <col width="9" bestFit="1" customWidth="1" style="96" min="11757" max="11757"/>
    <col width="5.33203125" customWidth="1" style="96" min="11758" max="11758"/>
    <col width="9" bestFit="1" customWidth="1" style="96" min="11759" max="11759"/>
    <col width="5" customWidth="1" style="96" min="11760" max="11760"/>
    <col width="9" bestFit="1" customWidth="1" style="96" min="11761" max="11761"/>
    <col width="5.1640625" customWidth="1" style="96" min="11762" max="11762"/>
    <col width="9.1640625" customWidth="1" style="96" min="11763" max="11763"/>
    <col width="6" customWidth="1" style="96" min="11764" max="11764"/>
    <col width="9.1640625" customWidth="1" style="96" min="11765" max="11765"/>
    <col width="6" customWidth="1" style="96" min="11766" max="11766"/>
    <col width="10.1640625" customWidth="1" style="96" min="11767" max="11768"/>
    <col width="10" customWidth="1" style="96" min="11769" max="11769"/>
    <col width="10.33203125" customWidth="1" style="96" min="11770" max="11770"/>
    <col width="9.1640625" customWidth="1" style="96" min="11771" max="11781"/>
    <col width="11.33203125" customWidth="1" style="96" min="11782" max="11782"/>
    <col hidden="1" width="13" customWidth="1" style="96" min="11783" max="11803"/>
    <col width="9.1640625" customWidth="1" style="96" min="11804" max="12009"/>
    <col width="28.6640625" customWidth="1" style="96" min="12010" max="12010"/>
    <col width="9" bestFit="1" customWidth="1" style="96" min="12011" max="12011"/>
    <col width="5.33203125" customWidth="1" style="96" min="12012" max="12012"/>
    <col width="9" bestFit="1" customWidth="1" style="96" min="12013" max="12013"/>
    <col width="5.33203125" customWidth="1" style="96" min="12014" max="12014"/>
    <col width="9" bestFit="1" customWidth="1" style="96" min="12015" max="12015"/>
    <col width="5" customWidth="1" style="96" min="12016" max="12016"/>
    <col width="9" bestFit="1" customWidth="1" style="96" min="12017" max="12017"/>
    <col width="5.1640625" customWidth="1" style="96" min="12018" max="12018"/>
    <col width="9.1640625" customWidth="1" style="96" min="12019" max="12019"/>
    <col width="6" customWidth="1" style="96" min="12020" max="12020"/>
    <col width="9.1640625" customWidth="1" style="96" min="12021" max="12021"/>
    <col width="6" customWidth="1" style="96" min="12022" max="12022"/>
    <col width="10.1640625" customWidth="1" style="96" min="12023" max="12024"/>
    <col width="10" customWidth="1" style="96" min="12025" max="12025"/>
    <col width="10.33203125" customWidth="1" style="96" min="12026" max="12026"/>
    <col width="9.1640625" customWidth="1" style="96" min="12027" max="12037"/>
    <col width="11.33203125" customWidth="1" style="96" min="12038" max="12038"/>
    <col hidden="1" width="13" customWidth="1" style="96" min="12039" max="12059"/>
    <col width="9.1640625" customWidth="1" style="96" min="12060" max="12265"/>
    <col width="28.6640625" customWidth="1" style="96" min="12266" max="12266"/>
    <col width="9" bestFit="1" customWidth="1" style="96" min="12267" max="12267"/>
    <col width="5.33203125" customWidth="1" style="96" min="12268" max="12268"/>
    <col width="9" bestFit="1" customWidth="1" style="96" min="12269" max="12269"/>
    <col width="5.33203125" customWidth="1" style="96" min="12270" max="12270"/>
    <col width="9" bestFit="1" customWidth="1" style="96" min="12271" max="12271"/>
    <col width="5" customWidth="1" style="96" min="12272" max="12272"/>
    <col width="9" bestFit="1" customWidth="1" style="96" min="12273" max="12273"/>
    <col width="5.1640625" customWidth="1" style="96" min="12274" max="12274"/>
    <col width="9.1640625" customWidth="1" style="96" min="12275" max="12275"/>
    <col width="6" customWidth="1" style="96" min="12276" max="12276"/>
    <col width="9.1640625" customWidth="1" style="96" min="12277" max="12277"/>
    <col width="6" customWidth="1" style="96" min="12278" max="12278"/>
    <col width="10.1640625" customWidth="1" style="96" min="12279" max="12280"/>
    <col width="10" customWidth="1" style="96" min="12281" max="12281"/>
    <col width="10.33203125" customWidth="1" style="96" min="12282" max="12282"/>
    <col width="9.1640625" customWidth="1" style="96" min="12283" max="12293"/>
    <col width="11.33203125" customWidth="1" style="96" min="12294" max="12294"/>
    <col hidden="1" width="13" customWidth="1" style="96" min="12295" max="12315"/>
    <col width="9.1640625" customWidth="1" style="96" min="12316" max="12521"/>
    <col width="28.6640625" customWidth="1" style="96" min="12522" max="12522"/>
    <col width="9" bestFit="1" customWidth="1" style="96" min="12523" max="12523"/>
    <col width="5.33203125" customWidth="1" style="96" min="12524" max="12524"/>
    <col width="9" bestFit="1" customWidth="1" style="96" min="12525" max="12525"/>
    <col width="5.33203125" customWidth="1" style="96" min="12526" max="12526"/>
    <col width="9" bestFit="1" customWidth="1" style="96" min="12527" max="12527"/>
    <col width="5" customWidth="1" style="96" min="12528" max="12528"/>
    <col width="9" bestFit="1" customWidth="1" style="96" min="12529" max="12529"/>
    <col width="5.1640625" customWidth="1" style="96" min="12530" max="12530"/>
    <col width="9.1640625" customWidth="1" style="96" min="12531" max="12531"/>
    <col width="6" customWidth="1" style="96" min="12532" max="12532"/>
    <col width="9.1640625" customWidth="1" style="96" min="12533" max="12533"/>
    <col width="6" customWidth="1" style="96" min="12534" max="12534"/>
    <col width="10.1640625" customWidth="1" style="96" min="12535" max="12536"/>
    <col width="10" customWidth="1" style="96" min="12537" max="12537"/>
    <col width="10.33203125" customWidth="1" style="96" min="12538" max="12538"/>
    <col width="9.1640625" customWidth="1" style="96" min="12539" max="12549"/>
    <col width="11.33203125" customWidth="1" style="96" min="12550" max="12550"/>
    <col hidden="1" width="13" customWidth="1" style="96" min="12551" max="12571"/>
    <col width="9.1640625" customWidth="1" style="96" min="12572" max="12777"/>
    <col width="28.6640625" customWidth="1" style="96" min="12778" max="12778"/>
    <col width="9" bestFit="1" customWidth="1" style="96" min="12779" max="12779"/>
    <col width="5.33203125" customWidth="1" style="96" min="12780" max="12780"/>
    <col width="9" bestFit="1" customWidth="1" style="96" min="12781" max="12781"/>
    <col width="5.33203125" customWidth="1" style="96" min="12782" max="12782"/>
    <col width="9" bestFit="1" customWidth="1" style="96" min="12783" max="12783"/>
    <col width="5" customWidth="1" style="96" min="12784" max="12784"/>
    <col width="9" bestFit="1" customWidth="1" style="96" min="12785" max="12785"/>
    <col width="5.1640625" customWidth="1" style="96" min="12786" max="12786"/>
    <col width="9.1640625" customWidth="1" style="96" min="12787" max="12787"/>
    <col width="6" customWidth="1" style="96" min="12788" max="12788"/>
    <col width="9.1640625" customWidth="1" style="96" min="12789" max="12789"/>
    <col width="6" customWidth="1" style="96" min="12790" max="12790"/>
    <col width="10.1640625" customWidth="1" style="96" min="12791" max="12792"/>
    <col width="10" customWidth="1" style="96" min="12793" max="12793"/>
    <col width="10.33203125" customWidth="1" style="96" min="12794" max="12794"/>
    <col width="9.1640625" customWidth="1" style="96" min="12795" max="12805"/>
    <col width="11.33203125" customWidth="1" style="96" min="12806" max="12806"/>
    <col hidden="1" width="13" customWidth="1" style="96" min="12807" max="12827"/>
    <col width="9.1640625" customWidth="1" style="96" min="12828" max="13033"/>
    <col width="28.6640625" customWidth="1" style="96" min="13034" max="13034"/>
    <col width="9" bestFit="1" customWidth="1" style="96" min="13035" max="13035"/>
    <col width="5.33203125" customWidth="1" style="96" min="13036" max="13036"/>
    <col width="9" bestFit="1" customWidth="1" style="96" min="13037" max="13037"/>
    <col width="5.33203125" customWidth="1" style="96" min="13038" max="13038"/>
    <col width="9" bestFit="1" customWidth="1" style="96" min="13039" max="13039"/>
    <col width="5" customWidth="1" style="96" min="13040" max="13040"/>
    <col width="9" bestFit="1" customWidth="1" style="96" min="13041" max="13041"/>
    <col width="5.1640625" customWidth="1" style="96" min="13042" max="13042"/>
    <col width="9.1640625" customWidth="1" style="96" min="13043" max="13043"/>
    <col width="6" customWidth="1" style="96" min="13044" max="13044"/>
    <col width="9.1640625" customWidth="1" style="96" min="13045" max="13045"/>
    <col width="6" customWidth="1" style="96" min="13046" max="13046"/>
    <col width="10.1640625" customWidth="1" style="96" min="13047" max="13048"/>
    <col width="10" customWidth="1" style="96" min="13049" max="13049"/>
    <col width="10.33203125" customWidth="1" style="96" min="13050" max="13050"/>
    <col width="9.1640625" customWidth="1" style="96" min="13051" max="13061"/>
    <col width="11.33203125" customWidth="1" style="96" min="13062" max="13062"/>
    <col hidden="1" width="13" customWidth="1" style="96" min="13063" max="13083"/>
    <col width="9.1640625" customWidth="1" style="96" min="13084" max="13289"/>
    <col width="28.6640625" customWidth="1" style="96" min="13290" max="13290"/>
    <col width="9" bestFit="1" customWidth="1" style="96" min="13291" max="13291"/>
    <col width="5.33203125" customWidth="1" style="96" min="13292" max="13292"/>
    <col width="9" bestFit="1" customWidth="1" style="96" min="13293" max="13293"/>
    <col width="5.33203125" customWidth="1" style="96" min="13294" max="13294"/>
    <col width="9" bestFit="1" customWidth="1" style="96" min="13295" max="13295"/>
    <col width="5" customWidth="1" style="96" min="13296" max="13296"/>
    <col width="9" bestFit="1" customWidth="1" style="96" min="13297" max="13297"/>
    <col width="5.1640625" customWidth="1" style="96" min="13298" max="13298"/>
    <col width="9.1640625" customWidth="1" style="96" min="13299" max="13299"/>
    <col width="6" customWidth="1" style="96" min="13300" max="13300"/>
    <col width="9.1640625" customWidth="1" style="96" min="13301" max="13301"/>
    <col width="6" customWidth="1" style="96" min="13302" max="13302"/>
    <col width="10.1640625" customWidth="1" style="96" min="13303" max="13304"/>
    <col width="10" customWidth="1" style="96" min="13305" max="13305"/>
    <col width="10.33203125" customWidth="1" style="96" min="13306" max="13306"/>
    <col width="9.1640625" customWidth="1" style="96" min="13307" max="13317"/>
    <col width="11.33203125" customWidth="1" style="96" min="13318" max="13318"/>
    <col hidden="1" width="13" customWidth="1" style="96" min="13319" max="13339"/>
    <col width="9.1640625" customWidth="1" style="96" min="13340" max="13545"/>
    <col width="28.6640625" customWidth="1" style="96" min="13546" max="13546"/>
    <col width="9" bestFit="1" customWidth="1" style="96" min="13547" max="13547"/>
    <col width="5.33203125" customWidth="1" style="96" min="13548" max="13548"/>
    <col width="9" bestFit="1" customWidth="1" style="96" min="13549" max="13549"/>
    <col width="5.33203125" customWidth="1" style="96" min="13550" max="13550"/>
    <col width="9" bestFit="1" customWidth="1" style="96" min="13551" max="13551"/>
    <col width="5" customWidth="1" style="96" min="13552" max="13552"/>
    <col width="9" bestFit="1" customWidth="1" style="96" min="13553" max="13553"/>
    <col width="5.1640625" customWidth="1" style="96" min="13554" max="13554"/>
    <col width="9.1640625" customWidth="1" style="96" min="13555" max="13555"/>
    <col width="6" customWidth="1" style="96" min="13556" max="13556"/>
    <col width="9.1640625" customWidth="1" style="96" min="13557" max="13557"/>
    <col width="6" customWidth="1" style="96" min="13558" max="13558"/>
    <col width="10.1640625" customWidth="1" style="96" min="13559" max="13560"/>
    <col width="10" customWidth="1" style="96" min="13561" max="13561"/>
    <col width="10.33203125" customWidth="1" style="96" min="13562" max="13562"/>
    <col width="9.1640625" customWidth="1" style="96" min="13563" max="13573"/>
    <col width="11.33203125" customWidth="1" style="96" min="13574" max="13574"/>
    <col hidden="1" width="13" customWidth="1" style="96" min="13575" max="13595"/>
    <col width="9.1640625" customWidth="1" style="96" min="13596" max="13801"/>
    <col width="28.6640625" customWidth="1" style="96" min="13802" max="13802"/>
    <col width="9" bestFit="1" customWidth="1" style="96" min="13803" max="13803"/>
    <col width="5.33203125" customWidth="1" style="96" min="13804" max="13804"/>
    <col width="9" bestFit="1" customWidth="1" style="96" min="13805" max="13805"/>
    <col width="5.33203125" customWidth="1" style="96" min="13806" max="13806"/>
    <col width="9" bestFit="1" customWidth="1" style="96" min="13807" max="13807"/>
    <col width="5" customWidth="1" style="96" min="13808" max="13808"/>
    <col width="9" bestFit="1" customWidth="1" style="96" min="13809" max="13809"/>
    <col width="5.1640625" customWidth="1" style="96" min="13810" max="13810"/>
    <col width="9.1640625" customWidth="1" style="96" min="13811" max="13811"/>
    <col width="6" customWidth="1" style="96" min="13812" max="13812"/>
    <col width="9.1640625" customWidth="1" style="96" min="13813" max="13813"/>
    <col width="6" customWidth="1" style="96" min="13814" max="13814"/>
    <col width="10.1640625" customWidth="1" style="96" min="13815" max="13816"/>
    <col width="10" customWidth="1" style="96" min="13817" max="13817"/>
    <col width="10.33203125" customWidth="1" style="96" min="13818" max="13818"/>
    <col width="9.1640625" customWidth="1" style="96" min="13819" max="13829"/>
    <col width="11.33203125" customWidth="1" style="96" min="13830" max="13830"/>
    <col hidden="1" width="13" customWidth="1" style="96" min="13831" max="13851"/>
    <col width="9.1640625" customWidth="1" style="96" min="13852" max="14057"/>
    <col width="28.6640625" customWidth="1" style="96" min="14058" max="14058"/>
    <col width="9" bestFit="1" customWidth="1" style="96" min="14059" max="14059"/>
    <col width="5.33203125" customWidth="1" style="96" min="14060" max="14060"/>
    <col width="9" bestFit="1" customWidth="1" style="96" min="14061" max="14061"/>
    <col width="5.33203125" customWidth="1" style="96" min="14062" max="14062"/>
    <col width="9" bestFit="1" customWidth="1" style="96" min="14063" max="14063"/>
    <col width="5" customWidth="1" style="96" min="14064" max="14064"/>
    <col width="9" bestFit="1" customWidth="1" style="96" min="14065" max="14065"/>
    <col width="5.1640625" customWidth="1" style="96" min="14066" max="14066"/>
    <col width="9.1640625" customWidth="1" style="96" min="14067" max="14067"/>
    <col width="6" customWidth="1" style="96" min="14068" max="14068"/>
    <col width="9.1640625" customWidth="1" style="96" min="14069" max="14069"/>
    <col width="6" customWidth="1" style="96" min="14070" max="14070"/>
    <col width="10.1640625" customWidth="1" style="96" min="14071" max="14072"/>
    <col width="10" customWidth="1" style="96" min="14073" max="14073"/>
    <col width="10.33203125" customWidth="1" style="96" min="14074" max="14074"/>
    <col width="9.1640625" customWidth="1" style="96" min="14075" max="14085"/>
    <col width="11.33203125" customWidth="1" style="96" min="14086" max="14086"/>
    <col hidden="1" width="13" customWidth="1" style="96" min="14087" max="14107"/>
    <col width="9.1640625" customWidth="1" style="96" min="14108" max="14313"/>
    <col width="28.6640625" customWidth="1" style="96" min="14314" max="14314"/>
    <col width="9" bestFit="1" customWidth="1" style="96" min="14315" max="14315"/>
    <col width="5.33203125" customWidth="1" style="96" min="14316" max="14316"/>
    <col width="9" bestFit="1" customWidth="1" style="96" min="14317" max="14317"/>
    <col width="5.33203125" customWidth="1" style="96" min="14318" max="14318"/>
    <col width="9" bestFit="1" customWidth="1" style="96" min="14319" max="14319"/>
    <col width="5" customWidth="1" style="96" min="14320" max="14320"/>
    <col width="9" bestFit="1" customWidth="1" style="96" min="14321" max="14321"/>
    <col width="5.1640625" customWidth="1" style="96" min="14322" max="14322"/>
    <col width="9.1640625" customWidth="1" style="96" min="14323" max="14323"/>
    <col width="6" customWidth="1" style="96" min="14324" max="14324"/>
    <col width="9.1640625" customWidth="1" style="96" min="14325" max="14325"/>
    <col width="6" customWidth="1" style="96" min="14326" max="14326"/>
    <col width="10.1640625" customWidth="1" style="96" min="14327" max="14328"/>
    <col width="10" customWidth="1" style="96" min="14329" max="14329"/>
    <col width="10.33203125" customWidth="1" style="96" min="14330" max="14330"/>
    <col width="9.1640625" customWidth="1" style="96" min="14331" max="14341"/>
    <col width="11.33203125" customWidth="1" style="96" min="14342" max="14342"/>
    <col hidden="1" width="13" customWidth="1" style="96" min="14343" max="14363"/>
    <col width="9.1640625" customWidth="1" style="96" min="14364" max="14569"/>
    <col width="28.6640625" customWidth="1" style="96" min="14570" max="14570"/>
    <col width="9" bestFit="1" customWidth="1" style="96" min="14571" max="14571"/>
    <col width="5.33203125" customWidth="1" style="96" min="14572" max="14572"/>
    <col width="9" bestFit="1" customWidth="1" style="96" min="14573" max="14573"/>
    <col width="5.33203125" customWidth="1" style="96" min="14574" max="14574"/>
    <col width="9" bestFit="1" customWidth="1" style="96" min="14575" max="14575"/>
    <col width="5" customWidth="1" style="96" min="14576" max="14576"/>
    <col width="9" bestFit="1" customWidth="1" style="96" min="14577" max="14577"/>
    <col width="5.1640625" customWidth="1" style="96" min="14578" max="14578"/>
    <col width="9.1640625" customWidth="1" style="96" min="14579" max="14579"/>
    <col width="6" customWidth="1" style="96" min="14580" max="14580"/>
    <col width="9.1640625" customWidth="1" style="96" min="14581" max="14581"/>
    <col width="6" customWidth="1" style="96" min="14582" max="14582"/>
    <col width="10.1640625" customWidth="1" style="96" min="14583" max="14584"/>
    <col width="10" customWidth="1" style="96" min="14585" max="14585"/>
    <col width="10.33203125" customWidth="1" style="96" min="14586" max="14586"/>
    <col width="9.1640625" customWidth="1" style="96" min="14587" max="14597"/>
    <col width="11.33203125" customWidth="1" style="96" min="14598" max="14598"/>
    <col hidden="1" width="13" customWidth="1" style="96" min="14599" max="14619"/>
    <col width="9.1640625" customWidth="1" style="96" min="14620" max="14825"/>
    <col width="28.6640625" customWidth="1" style="96" min="14826" max="14826"/>
    <col width="9" bestFit="1" customWidth="1" style="96" min="14827" max="14827"/>
    <col width="5.33203125" customWidth="1" style="96" min="14828" max="14828"/>
    <col width="9" bestFit="1" customWidth="1" style="96" min="14829" max="14829"/>
    <col width="5.33203125" customWidth="1" style="96" min="14830" max="14830"/>
    <col width="9" bestFit="1" customWidth="1" style="96" min="14831" max="14831"/>
    <col width="5" customWidth="1" style="96" min="14832" max="14832"/>
    <col width="9" bestFit="1" customWidth="1" style="96" min="14833" max="14833"/>
    <col width="5.1640625" customWidth="1" style="96" min="14834" max="14834"/>
    <col width="9.1640625" customWidth="1" style="96" min="14835" max="14835"/>
    <col width="6" customWidth="1" style="96" min="14836" max="14836"/>
    <col width="9.1640625" customWidth="1" style="96" min="14837" max="14837"/>
    <col width="6" customWidth="1" style="96" min="14838" max="14838"/>
    <col width="10.1640625" customWidth="1" style="96" min="14839" max="14840"/>
    <col width="10" customWidth="1" style="96" min="14841" max="14841"/>
    <col width="10.33203125" customWidth="1" style="96" min="14842" max="14842"/>
    <col width="9.1640625" customWidth="1" style="96" min="14843" max="14853"/>
    <col width="11.33203125" customWidth="1" style="96" min="14854" max="14854"/>
    <col hidden="1" width="13" customWidth="1" style="96" min="14855" max="14875"/>
    <col width="9.1640625" customWidth="1" style="96" min="14876" max="15081"/>
    <col width="28.6640625" customWidth="1" style="96" min="15082" max="15082"/>
    <col width="9" bestFit="1" customWidth="1" style="96" min="15083" max="15083"/>
    <col width="5.33203125" customWidth="1" style="96" min="15084" max="15084"/>
    <col width="9" bestFit="1" customWidth="1" style="96" min="15085" max="15085"/>
    <col width="5.33203125" customWidth="1" style="96" min="15086" max="15086"/>
    <col width="9" bestFit="1" customWidth="1" style="96" min="15087" max="15087"/>
    <col width="5" customWidth="1" style="96" min="15088" max="15088"/>
    <col width="9" bestFit="1" customWidth="1" style="96" min="15089" max="15089"/>
    <col width="5.1640625" customWidth="1" style="96" min="15090" max="15090"/>
    <col width="9.1640625" customWidth="1" style="96" min="15091" max="15091"/>
    <col width="6" customWidth="1" style="96" min="15092" max="15092"/>
    <col width="9.1640625" customWidth="1" style="96" min="15093" max="15093"/>
    <col width="6" customWidth="1" style="96" min="15094" max="15094"/>
    <col width="10.1640625" customWidth="1" style="96" min="15095" max="15096"/>
    <col width="10" customWidth="1" style="96" min="15097" max="15097"/>
    <col width="10.33203125" customWidth="1" style="96" min="15098" max="15098"/>
    <col width="9.1640625" customWidth="1" style="96" min="15099" max="15109"/>
    <col width="11.33203125" customWidth="1" style="96" min="15110" max="15110"/>
    <col hidden="1" width="13" customWidth="1" style="96" min="15111" max="15131"/>
    <col width="9.1640625" customWidth="1" style="96" min="15132" max="15337"/>
    <col width="28.6640625" customWidth="1" style="96" min="15338" max="15338"/>
    <col width="9" bestFit="1" customWidth="1" style="96" min="15339" max="15339"/>
    <col width="5.33203125" customWidth="1" style="96" min="15340" max="15340"/>
    <col width="9" bestFit="1" customWidth="1" style="96" min="15341" max="15341"/>
    <col width="5.33203125" customWidth="1" style="96" min="15342" max="15342"/>
    <col width="9" bestFit="1" customWidth="1" style="96" min="15343" max="15343"/>
    <col width="5" customWidth="1" style="96" min="15344" max="15344"/>
    <col width="9" bestFit="1" customWidth="1" style="96" min="15345" max="15345"/>
    <col width="5.1640625" customWidth="1" style="96" min="15346" max="15346"/>
    <col width="9.1640625" customWidth="1" style="96" min="15347" max="15347"/>
    <col width="6" customWidth="1" style="96" min="15348" max="15348"/>
    <col width="9.1640625" customWidth="1" style="96" min="15349" max="15349"/>
    <col width="6" customWidth="1" style="96" min="15350" max="15350"/>
    <col width="10.1640625" customWidth="1" style="96" min="15351" max="15352"/>
    <col width="10" customWidth="1" style="96" min="15353" max="15353"/>
    <col width="10.33203125" customWidth="1" style="96" min="15354" max="15354"/>
    <col width="9.1640625" customWidth="1" style="96" min="15355" max="15365"/>
    <col width="11.33203125" customWidth="1" style="96" min="15366" max="15366"/>
    <col hidden="1" width="13" customWidth="1" style="96" min="15367" max="15387"/>
    <col width="9.1640625" customWidth="1" style="96" min="15388" max="15593"/>
    <col width="28.6640625" customWidth="1" style="96" min="15594" max="15594"/>
    <col width="9" bestFit="1" customWidth="1" style="96" min="15595" max="15595"/>
    <col width="5.33203125" customWidth="1" style="96" min="15596" max="15596"/>
    <col width="9" bestFit="1" customWidth="1" style="96" min="15597" max="15597"/>
    <col width="5.33203125" customWidth="1" style="96" min="15598" max="15598"/>
    <col width="9" bestFit="1" customWidth="1" style="96" min="15599" max="15599"/>
    <col width="5" customWidth="1" style="96" min="15600" max="15600"/>
    <col width="9" bestFit="1" customWidth="1" style="96" min="15601" max="15601"/>
    <col width="5.1640625" customWidth="1" style="96" min="15602" max="15602"/>
    <col width="9.1640625" customWidth="1" style="96" min="15603" max="15603"/>
    <col width="6" customWidth="1" style="96" min="15604" max="15604"/>
    <col width="9.1640625" customWidth="1" style="96" min="15605" max="15605"/>
    <col width="6" customWidth="1" style="96" min="15606" max="15606"/>
    <col width="10.1640625" customWidth="1" style="96" min="15607" max="15608"/>
    <col width="10" customWidth="1" style="96" min="15609" max="15609"/>
    <col width="10.33203125" customWidth="1" style="96" min="15610" max="15610"/>
    <col width="9.1640625" customWidth="1" style="96" min="15611" max="15621"/>
    <col width="11.33203125" customWidth="1" style="96" min="15622" max="15622"/>
    <col hidden="1" width="13" customWidth="1" style="96" min="15623" max="15643"/>
    <col width="9.1640625" customWidth="1" style="96" min="15644" max="15849"/>
    <col width="28.6640625" customWidth="1" style="96" min="15850" max="15850"/>
    <col width="9" bestFit="1" customWidth="1" style="96" min="15851" max="15851"/>
    <col width="5.33203125" customWidth="1" style="96" min="15852" max="15852"/>
    <col width="9" bestFit="1" customWidth="1" style="96" min="15853" max="15853"/>
    <col width="5.33203125" customWidth="1" style="96" min="15854" max="15854"/>
    <col width="9" bestFit="1" customWidth="1" style="96" min="15855" max="15855"/>
    <col width="5" customWidth="1" style="96" min="15856" max="15856"/>
    <col width="9" bestFit="1" customWidth="1" style="96" min="15857" max="15857"/>
    <col width="5.1640625" customWidth="1" style="96" min="15858" max="15858"/>
    <col width="9.1640625" customWidth="1" style="96" min="15859" max="15859"/>
    <col width="6" customWidth="1" style="96" min="15860" max="15860"/>
    <col width="9.1640625" customWidth="1" style="96" min="15861" max="15861"/>
    <col width="6" customWidth="1" style="96" min="15862" max="15862"/>
    <col width="10.1640625" customWidth="1" style="96" min="15863" max="15864"/>
    <col width="10" customWidth="1" style="96" min="15865" max="15865"/>
    <col width="10.33203125" customWidth="1" style="96" min="15866" max="15866"/>
    <col width="9.1640625" customWidth="1" style="96" min="15867" max="15877"/>
    <col width="11.33203125" customWidth="1" style="96" min="15878" max="15878"/>
    <col hidden="1" width="13" customWidth="1" style="96" min="15879" max="15899"/>
    <col width="9.1640625" customWidth="1" style="96" min="15900" max="16105"/>
    <col width="28.6640625" customWidth="1" style="96" min="16106" max="16106"/>
    <col width="9" bestFit="1" customWidth="1" style="96" min="16107" max="16107"/>
    <col width="5.33203125" customWidth="1" style="96" min="16108" max="16108"/>
    <col width="9" bestFit="1" customWidth="1" style="96" min="16109" max="16109"/>
    <col width="5.33203125" customWidth="1" style="96" min="16110" max="16110"/>
    <col width="9" bestFit="1" customWidth="1" style="96" min="16111" max="16111"/>
    <col width="5" customWidth="1" style="96" min="16112" max="16112"/>
    <col width="9" bestFit="1" customWidth="1" style="96" min="16113" max="16113"/>
    <col width="5.1640625" customWidth="1" style="96" min="16114" max="16114"/>
    <col width="9.1640625" customWidth="1" style="96" min="16115" max="16115"/>
    <col width="6" customWidth="1" style="96" min="16116" max="16116"/>
    <col width="9.1640625" customWidth="1" style="96" min="16117" max="16117"/>
    <col width="6" customWidth="1" style="96" min="16118" max="16118"/>
    <col width="10.1640625" customWidth="1" style="96" min="16119" max="16120"/>
    <col width="10" customWidth="1" style="96" min="16121" max="16121"/>
    <col width="10.33203125" customWidth="1" style="96" min="16122" max="16122"/>
    <col width="9.1640625" customWidth="1" style="96" min="16123" max="16133"/>
    <col width="11.33203125" customWidth="1" style="96" min="16134" max="16134"/>
    <col hidden="1" width="13" customWidth="1" style="96" min="16135" max="16155"/>
    <col width="9.1640625" customWidth="1" style="96" min="16156" max="16384"/>
  </cols>
  <sheetData>
    <row r="1">
      <c r="AA1" s="14" t="inlineStr">
        <is>
          <t>Add column</t>
        </is>
      </c>
      <c r="AB1" s="113" t="inlineStr">
        <is>
          <t>To modify</t>
        </is>
      </c>
    </row>
    <row r="2">
      <c r="B2" s="30" t="n"/>
    </row>
    <row r="3" ht="16" customHeight="1" s="87"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C3" s="114" t="inlineStr">
        <is>
          <t>Average</t>
        </is>
      </c>
      <c r="AD3" s="101" t="n"/>
    </row>
    <row r="4">
      <c r="B4" s="109"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10" t="n"/>
      <c r="AB4" s="111" t="inlineStr">
        <is>
          <t>mom</t>
        </is>
      </c>
      <c r="AC4" s="111" t="inlineStr">
        <is>
          <t>3 months</t>
        </is>
      </c>
      <c r="AD4" s="111" t="inlineStr">
        <is>
          <t>6 months</t>
        </is>
      </c>
    </row>
    <row r="5" ht="16" customHeight="1" s="87" thickBot="1">
      <c r="B5" s="110"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10" t="n"/>
      <c r="AB5" s="112" t="n"/>
      <c r="AC5" s="112" t="n"/>
      <c r="AD5" s="112" t="n"/>
    </row>
    <row r="6">
      <c r="B6" s="3" t="inlineStr">
        <is>
          <t>Retail Trade</t>
        </is>
      </c>
      <c r="C6" s="2" t="n">
        <v>5</v>
      </c>
      <c r="D6" s="2" t="n">
        <v>1</v>
      </c>
      <c r="E6" s="2" t="n">
        <v>-2</v>
      </c>
      <c r="F6" s="2" t="n">
        <v>-14</v>
      </c>
      <c r="G6" s="2" t="n">
        <v>-1</v>
      </c>
      <c r="H6" s="2" t="n">
        <v>8</v>
      </c>
      <c r="I6" s="2" t="n">
        <v>13</v>
      </c>
      <c r="J6" s="2" t="n">
        <v>8</v>
      </c>
      <c r="K6" s="2" t="n">
        <v>3</v>
      </c>
      <c r="L6" s="2" t="n">
        <v>4</v>
      </c>
      <c r="M6" s="2" t="n">
        <v>8</v>
      </c>
      <c r="N6" s="2" t="n">
        <v>12</v>
      </c>
      <c r="O6" s="2" t="n">
        <v>-2</v>
      </c>
      <c r="P6" s="2" t="n">
        <v>9</v>
      </c>
      <c r="Q6" s="2" t="n">
        <v>3</v>
      </c>
      <c r="R6" s="2" t="n">
        <v>9</v>
      </c>
      <c r="S6" s="2" t="n">
        <v>18</v>
      </c>
      <c r="T6" s="2" t="n">
        <v>12</v>
      </c>
      <c r="U6" s="2" t="n">
        <v>13</v>
      </c>
      <c r="V6" s="2" t="n">
        <v>16</v>
      </c>
      <c r="W6" s="2" t="n">
        <v>17</v>
      </c>
      <c r="X6" s="2" t="n">
        <v>18</v>
      </c>
      <c r="Y6" s="2" t="n">
        <v>16</v>
      </c>
      <c r="Z6" s="2" t="n">
        <v>11</v>
      </c>
      <c r="AA6" s="33" t="n"/>
      <c r="AB6" s="22">
        <f>Z6-Y6</f>
        <v/>
      </c>
      <c r="AC6" s="34">
        <f>AVERAGE(X6:Z6)</f>
        <v/>
      </c>
      <c r="AD6" s="34">
        <f>AVERAGE(U6:Z6)</f>
        <v/>
      </c>
    </row>
    <row r="7">
      <c r="B7" s="3" t="inlineStr">
        <is>
          <t>Utilities</t>
        </is>
      </c>
      <c r="C7" s="2" t="n">
        <v>8</v>
      </c>
      <c r="D7" s="2" t="n">
        <v>3</v>
      </c>
      <c r="E7" s="2" t="n">
        <v>6</v>
      </c>
      <c r="F7" s="2" t="n">
        <v>-2</v>
      </c>
      <c r="G7" s="2" t="n">
        <v>-8</v>
      </c>
      <c r="H7" s="2" t="n">
        <v>7</v>
      </c>
      <c r="I7" s="2" t="n">
        <v>8</v>
      </c>
      <c r="J7" s="2" t="n">
        <v>13</v>
      </c>
      <c r="K7" s="2" t="n">
        <v>15</v>
      </c>
      <c r="L7" s="2" t="n">
        <v>5</v>
      </c>
      <c r="M7" s="2" t="n">
        <v>11</v>
      </c>
      <c r="N7" s="2" t="n">
        <v>8</v>
      </c>
      <c r="O7" s="2" t="n">
        <v>-1</v>
      </c>
      <c r="P7" s="2" t="n">
        <v>11</v>
      </c>
      <c r="Q7" s="2" t="n">
        <v>7</v>
      </c>
      <c r="R7" s="2" t="n">
        <v>12</v>
      </c>
      <c r="S7" s="2" t="n">
        <v>9</v>
      </c>
      <c r="T7" s="2" t="n">
        <v>9</v>
      </c>
      <c r="U7" s="2" t="n">
        <v>5</v>
      </c>
      <c r="V7" s="2" t="n">
        <v>10</v>
      </c>
      <c r="W7" s="2" t="n">
        <v>4</v>
      </c>
      <c r="X7" s="2" t="n">
        <v>13</v>
      </c>
      <c r="Y7" s="2" t="n">
        <v>13</v>
      </c>
      <c r="Z7" s="2" t="n">
        <v>7</v>
      </c>
      <c r="AA7" s="33" t="n"/>
      <c r="AB7" s="22">
        <f>Z7-Y7</f>
        <v/>
      </c>
      <c r="AC7" s="34">
        <f>AVERAGE(X7:Z7)</f>
        <v/>
      </c>
      <c r="AD7" s="34">
        <f>AVERAGE(U7:Z7)</f>
        <v/>
      </c>
    </row>
    <row r="8">
      <c r="B8" s="3" t="inlineStr">
        <is>
          <t>Arts, Entertainment &amp; Recreation</t>
        </is>
      </c>
      <c r="C8" s="2" t="n">
        <v>-3</v>
      </c>
      <c r="D8" s="2" t="n">
        <v>-2</v>
      </c>
      <c r="E8" s="2" t="n">
        <v>-7</v>
      </c>
      <c r="F8" s="2" t="n">
        <v>-16</v>
      </c>
      <c r="G8" s="2" t="n">
        <v>-13</v>
      </c>
      <c r="H8" s="2" t="n">
        <v>5</v>
      </c>
      <c r="I8" s="2" t="n">
        <v>15</v>
      </c>
      <c r="J8" s="2" t="n">
        <v>15</v>
      </c>
      <c r="K8" s="2" t="n">
        <v>16</v>
      </c>
      <c r="L8" s="2" t="n">
        <v>-2</v>
      </c>
      <c r="M8" s="2" t="n">
        <v>-4</v>
      </c>
      <c r="N8" s="2" t="n">
        <v>-4</v>
      </c>
      <c r="O8" s="2" t="n">
        <v>-4</v>
      </c>
      <c r="P8" s="2" t="n">
        <v>13</v>
      </c>
      <c r="Q8" s="2" t="n">
        <v>18</v>
      </c>
      <c r="R8" s="2" t="n">
        <v>17</v>
      </c>
      <c r="S8" s="2" t="n">
        <v>15</v>
      </c>
      <c r="T8" s="2" t="n">
        <v>16</v>
      </c>
      <c r="U8" s="2" t="n">
        <v>17</v>
      </c>
      <c r="V8" s="2" t="n">
        <v>-1</v>
      </c>
      <c r="W8" s="2" t="n">
        <v>16</v>
      </c>
      <c r="X8" s="2" t="n">
        <v>15</v>
      </c>
      <c r="Y8" s="2" t="n">
        <v>7</v>
      </c>
      <c r="Z8" s="2" t="n">
        <v>8</v>
      </c>
      <c r="AA8" s="33" t="n"/>
      <c r="AB8" s="22">
        <f>Z8-Y8</f>
        <v/>
      </c>
      <c r="AC8" s="34">
        <f>AVERAGE(X8:Z8)</f>
        <v/>
      </c>
      <c r="AD8" s="34">
        <f>AVERAGE(U8:Z8)</f>
        <v/>
      </c>
    </row>
    <row r="9">
      <c r="B9" s="3" t="inlineStr">
        <is>
          <t>Other Services</t>
        </is>
      </c>
      <c r="C9" s="2" t="n">
        <v>-4</v>
      </c>
      <c r="D9" s="2" t="n">
        <v>11</v>
      </c>
      <c r="E9" s="2" t="n">
        <v>-3</v>
      </c>
      <c r="F9" s="2" t="n">
        <v>-13</v>
      </c>
      <c r="G9" s="2" t="n">
        <v>-12</v>
      </c>
      <c r="H9" s="2" t="n">
        <v>-2</v>
      </c>
      <c r="I9" s="2" t="n">
        <v>-3</v>
      </c>
      <c r="J9" s="2" t="n">
        <v>-1</v>
      </c>
      <c r="K9" s="2" t="n">
        <v>1</v>
      </c>
      <c r="L9" s="2" t="n">
        <v>1</v>
      </c>
      <c r="M9" s="2" t="n">
        <v>-3</v>
      </c>
      <c r="N9" s="2" t="n">
        <v>-2</v>
      </c>
      <c r="O9" s="2" t="n">
        <v>5</v>
      </c>
      <c r="P9" s="2" t="n">
        <v>2</v>
      </c>
      <c r="Q9" s="2" t="n">
        <v>1</v>
      </c>
      <c r="R9" s="2" t="n">
        <v>8</v>
      </c>
      <c r="S9" s="2" t="n">
        <v>8</v>
      </c>
      <c r="T9" s="2" t="n">
        <v>15</v>
      </c>
      <c r="U9" s="2" t="n">
        <v>9</v>
      </c>
      <c r="V9" s="2" t="n">
        <v>11</v>
      </c>
      <c r="W9" s="2" t="n">
        <v>7</v>
      </c>
      <c r="X9" s="2" t="n">
        <v>14</v>
      </c>
      <c r="Y9" s="2" t="n">
        <v>6</v>
      </c>
      <c r="Z9" s="2" t="n">
        <v>10</v>
      </c>
      <c r="AA9" s="33" t="n"/>
      <c r="AB9" s="22">
        <f>Z9-Y9</f>
        <v/>
      </c>
      <c r="AC9" s="34">
        <f>AVERAGE(X9:Z9)</f>
        <v/>
      </c>
      <c r="AD9" s="34">
        <f>AVERAGE(U9:Z9)</f>
        <v/>
      </c>
    </row>
    <row r="10">
      <c r="B10" s="3" t="inlineStr">
        <is>
          <t>Health Care &amp; Social Assistance</t>
        </is>
      </c>
      <c r="C10" s="2" t="n">
        <v>10</v>
      </c>
      <c r="D10" s="2" t="n">
        <v>9</v>
      </c>
      <c r="E10" s="2" t="n">
        <v>9</v>
      </c>
      <c r="F10" s="2" t="n">
        <v>-1</v>
      </c>
      <c r="G10" s="2" t="n">
        <v>-2</v>
      </c>
      <c r="H10" s="2" t="n">
        <v>10</v>
      </c>
      <c r="I10" s="2" t="n">
        <v>14</v>
      </c>
      <c r="J10" s="2" t="n">
        <v>14</v>
      </c>
      <c r="K10" s="2" t="n">
        <v>12</v>
      </c>
      <c r="L10" s="2" t="n">
        <v>13</v>
      </c>
      <c r="M10" s="2" t="n">
        <v>12</v>
      </c>
      <c r="N10" s="2" t="n">
        <v>11</v>
      </c>
      <c r="O10" s="2" t="n">
        <v>9</v>
      </c>
      <c r="P10" s="2" t="n">
        <v>10</v>
      </c>
      <c r="Q10" s="2" t="n">
        <v>6</v>
      </c>
      <c r="R10" s="2" t="n">
        <v>5</v>
      </c>
      <c r="S10" s="2" t="n">
        <v>5</v>
      </c>
      <c r="T10" s="2" t="n">
        <v>6</v>
      </c>
      <c r="U10" s="2" t="n">
        <v>6</v>
      </c>
      <c r="V10" s="2" t="n">
        <v>7</v>
      </c>
      <c r="W10" s="2" t="n">
        <v>5</v>
      </c>
      <c r="X10" s="2" t="n">
        <v>7</v>
      </c>
      <c r="Y10" s="2" t="n">
        <v>8</v>
      </c>
      <c r="Z10" s="2" t="n">
        <v>9</v>
      </c>
      <c r="AA10" s="33" t="n"/>
      <c r="AB10" s="22">
        <f>Z10-Y10</f>
        <v/>
      </c>
      <c r="AC10" s="34">
        <f>AVERAGE(X10:Z10)</f>
        <v/>
      </c>
      <c r="AD10" s="34">
        <f>AVERAGE(U10:Z10)</f>
        <v/>
      </c>
    </row>
    <row r="11">
      <c r="B11" s="3" t="inlineStr">
        <is>
          <t>Accommodation &amp; Food Services</t>
        </is>
      </c>
      <c r="C11" s="2" t="n">
        <v>7</v>
      </c>
      <c r="D11" s="2" t="n">
        <v>16</v>
      </c>
      <c r="E11" s="2" t="n">
        <v>0</v>
      </c>
      <c r="F11" s="2" t="n">
        <v>-6</v>
      </c>
      <c r="G11" s="2" t="n">
        <v>-6</v>
      </c>
      <c r="H11" s="2" t="n">
        <v>0</v>
      </c>
      <c r="I11" s="2" t="n">
        <v>2</v>
      </c>
      <c r="J11" s="2" t="n">
        <v>12</v>
      </c>
      <c r="K11" s="2" t="n">
        <v>9</v>
      </c>
      <c r="L11" s="2" t="n">
        <v>14</v>
      </c>
      <c r="M11" s="2" t="n">
        <v>10</v>
      </c>
      <c r="N11" s="2" t="n">
        <v>-3</v>
      </c>
      <c r="O11" s="2" t="n">
        <v>6</v>
      </c>
      <c r="P11" s="2" t="n">
        <v>17</v>
      </c>
      <c r="Q11" s="2" t="n">
        <v>12</v>
      </c>
      <c r="R11" s="2" t="n">
        <v>1</v>
      </c>
      <c r="S11" s="2" t="n">
        <v>6</v>
      </c>
      <c r="T11" s="2" t="n">
        <v>10</v>
      </c>
      <c r="U11" s="2" t="n">
        <v>15</v>
      </c>
      <c r="V11" s="2" t="n">
        <v>17</v>
      </c>
      <c r="W11" s="2" t="n">
        <v>11</v>
      </c>
      <c r="X11" s="2" t="n">
        <v>8</v>
      </c>
      <c r="Y11" s="2" t="n">
        <v>1</v>
      </c>
      <c r="Z11" s="2" t="n">
        <v>16</v>
      </c>
      <c r="AA11" s="33" t="n"/>
      <c r="AB11" s="22">
        <f>Z11-Y11</f>
        <v/>
      </c>
      <c r="AC11" s="34">
        <f>AVERAGE(X11:Z11)</f>
        <v/>
      </c>
      <c r="AD11" s="34">
        <f>AVERAGE(U11:Z11)</f>
        <v/>
      </c>
    </row>
    <row r="12">
      <c r="B12" s="3" t="inlineStr">
        <is>
          <t>Finance &amp; Insurance</t>
        </is>
      </c>
      <c r="C12" s="2" t="n">
        <v>6</v>
      </c>
      <c r="D12" s="2" t="n">
        <v>13</v>
      </c>
      <c r="E12" s="2" t="n">
        <v>5</v>
      </c>
      <c r="F12" s="2" t="n">
        <v>0</v>
      </c>
      <c r="G12" s="2" t="n">
        <v>3</v>
      </c>
      <c r="H12" s="2" t="n">
        <v>3</v>
      </c>
      <c r="I12" s="2" t="n">
        <v>6</v>
      </c>
      <c r="J12" s="2" t="n">
        <v>5</v>
      </c>
      <c r="K12" s="2" t="n">
        <v>4</v>
      </c>
      <c r="L12" s="2" t="n">
        <v>10</v>
      </c>
      <c r="M12" s="2" t="n">
        <v>5</v>
      </c>
      <c r="N12" s="2" t="n">
        <v>9</v>
      </c>
      <c r="O12" s="2" t="n">
        <v>11</v>
      </c>
      <c r="P12" s="2" t="n">
        <v>7</v>
      </c>
      <c r="Q12" s="2" t="n">
        <v>8</v>
      </c>
      <c r="R12" s="2" t="n">
        <v>7</v>
      </c>
      <c r="S12" s="2" t="n">
        <v>11</v>
      </c>
      <c r="T12" s="2" t="n">
        <v>3</v>
      </c>
      <c r="U12" s="2" t="n">
        <v>2</v>
      </c>
      <c r="V12" s="2" t="n">
        <v>3</v>
      </c>
      <c r="W12" s="2" t="n">
        <v>1</v>
      </c>
      <c r="X12" s="2" t="n">
        <v>4</v>
      </c>
      <c r="Y12" s="2" t="n">
        <v>4</v>
      </c>
      <c r="Z12" s="2" t="n">
        <v>4</v>
      </c>
      <c r="AA12" s="33" t="n"/>
      <c r="AB12" s="22">
        <f>Z12-Y12</f>
        <v/>
      </c>
      <c r="AC12" s="34">
        <f>AVERAGE(X12:Z12)</f>
        <v/>
      </c>
      <c r="AD12" s="34">
        <f>AVERAGE(U12:Z12)</f>
        <v/>
      </c>
    </row>
    <row r="13">
      <c r="B13" s="3" t="inlineStr">
        <is>
          <t>Real Estate, Rental &amp; Leasing</t>
        </is>
      </c>
      <c r="C13" s="2" t="n">
        <v>-1</v>
      </c>
      <c r="D13" s="2" t="n">
        <v>12</v>
      </c>
      <c r="E13" s="2" t="n">
        <v>8</v>
      </c>
      <c r="F13" s="2" t="n">
        <v>-3</v>
      </c>
      <c r="G13" s="2" t="n">
        <v>-4</v>
      </c>
      <c r="H13" s="2" t="n">
        <v>11</v>
      </c>
      <c r="I13" s="2" t="n">
        <v>4</v>
      </c>
      <c r="J13" s="2" t="n">
        <v>2</v>
      </c>
      <c r="K13" s="2" t="n">
        <v>10</v>
      </c>
      <c r="L13" s="2" t="n">
        <v>3</v>
      </c>
      <c r="M13" s="2" t="n">
        <v>-2</v>
      </c>
      <c r="N13" s="2" t="n">
        <v>-1</v>
      </c>
      <c r="O13" s="2" t="n">
        <v>14</v>
      </c>
      <c r="P13" s="2" t="n">
        <v>-1</v>
      </c>
      <c r="Q13" s="2" t="n">
        <v>11</v>
      </c>
      <c r="R13" s="2" t="n">
        <v>13</v>
      </c>
      <c r="S13" s="2" t="n">
        <v>13</v>
      </c>
      <c r="T13" s="2" t="n">
        <v>-2</v>
      </c>
      <c r="U13" s="2" t="n">
        <v>12</v>
      </c>
      <c r="V13" s="2" t="n">
        <v>2</v>
      </c>
      <c r="W13" s="2" t="n">
        <v>12</v>
      </c>
      <c r="X13" s="2" t="n">
        <v>16</v>
      </c>
      <c r="Y13" s="2" t="n">
        <v>18</v>
      </c>
      <c r="Z13" s="2" t="n">
        <v>2</v>
      </c>
      <c r="AA13" s="33" t="n"/>
      <c r="AB13" s="22">
        <f>Z13-Y13</f>
        <v/>
      </c>
      <c r="AC13" s="34">
        <f>AVERAGE(X13:Z13)</f>
        <v/>
      </c>
      <c r="AD13" s="34">
        <f>AVERAGE(U13:Z13)</f>
        <v/>
      </c>
    </row>
    <row r="14">
      <c r="B14" s="3" t="inlineStr">
        <is>
          <t>Transportation &amp; Warehousing</t>
        </is>
      </c>
      <c r="C14" s="2" t="n">
        <v>-6</v>
      </c>
      <c r="D14" s="2" t="n">
        <v>6</v>
      </c>
      <c r="E14" s="2" t="n">
        <v>-6</v>
      </c>
      <c r="F14" s="2" t="n">
        <v>-10</v>
      </c>
      <c r="G14" s="2" t="n">
        <v>-3</v>
      </c>
      <c r="H14" s="2" t="n">
        <v>6</v>
      </c>
      <c r="I14" s="2" t="n">
        <v>12</v>
      </c>
      <c r="J14" s="2" t="n">
        <v>11</v>
      </c>
      <c r="K14" s="2" t="n">
        <v>13</v>
      </c>
      <c r="L14" s="2" t="n">
        <v>16</v>
      </c>
      <c r="M14" s="2" t="n">
        <v>14</v>
      </c>
      <c r="N14" s="2" t="n">
        <v>10</v>
      </c>
      <c r="O14" s="2" t="n">
        <v>10</v>
      </c>
      <c r="P14" s="2" t="n">
        <v>15</v>
      </c>
      <c r="Q14" s="2" t="n">
        <v>10</v>
      </c>
      <c r="R14" s="2" t="n">
        <v>10</v>
      </c>
      <c r="S14" s="2" t="n">
        <v>14</v>
      </c>
      <c r="T14" s="2" t="n">
        <v>14</v>
      </c>
      <c r="U14" s="2" t="n">
        <v>11</v>
      </c>
      <c r="V14" s="2" t="n">
        <v>8</v>
      </c>
      <c r="W14" s="2" t="n">
        <v>13</v>
      </c>
      <c r="X14" s="2" t="n">
        <v>17</v>
      </c>
      <c r="Y14" s="2" t="n">
        <v>17</v>
      </c>
      <c r="Z14" s="2" t="n">
        <v>13</v>
      </c>
      <c r="AA14" s="33" t="n"/>
      <c r="AB14" s="22">
        <f>Z14-Y14</f>
        <v/>
      </c>
      <c r="AC14" s="34">
        <f>AVERAGE(X14:Z14)</f>
        <v/>
      </c>
      <c r="AD14" s="34">
        <f>AVERAGE(U14:Z14)</f>
        <v/>
      </c>
    </row>
    <row r="15">
      <c r="B15" s="3" t="inlineStr">
        <is>
          <t>Mining</t>
        </is>
      </c>
      <c r="C15" s="2" t="n">
        <v>-2</v>
      </c>
      <c r="D15" s="2" t="n">
        <v>14</v>
      </c>
      <c r="E15" s="2" t="n">
        <v>-4</v>
      </c>
      <c r="F15" s="2" t="n">
        <v>-9</v>
      </c>
      <c r="G15" s="2" t="n">
        <v>-14</v>
      </c>
      <c r="H15" s="2" t="n">
        <v>-3</v>
      </c>
      <c r="I15" s="2" t="n">
        <v>-2</v>
      </c>
      <c r="J15" s="2" t="n">
        <v>-3</v>
      </c>
      <c r="K15" s="2" t="n">
        <v>0</v>
      </c>
      <c r="L15" s="2" t="n">
        <v>7</v>
      </c>
      <c r="M15" s="2" t="n">
        <v>3</v>
      </c>
      <c r="N15" s="2" t="n">
        <v>4</v>
      </c>
      <c r="O15" s="2" t="n">
        <v>4</v>
      </c>
      <c r="P15" s="2" t="n">
        <v>1</v>
      </c>
      <c r="Q15" s="2" t="n">
        <v>16</v>
      </c>
      <c r="R15" s="2" t="n">
        <v>6</v>
      </c>
      <c r="S15" s="2" t="n">
        <v>12</v>
      </c>
      <c r="T15" s="2" t="n">
        <v>8</v>
      </c>
      <c r="U15" s="2" t="n">
        <v>1</v>
      </c>
      <c r="V15" s="2" t="n">
        <v>12</v>
      </c>
      <c r="W15" s="2" t="n">
        <v>9</v>
      </c>
      <c r="X15" s="2" t="n">
        <v>1</v>
      </c>
      <c r="Y15" s="2" t="n">
        <v>11</v>
      </c>
      <c r="Z15" s="2" t="n">
        <v>-1</v>
      </c>
      <c r="AA15" s="33" t="n"/>
      <c r="AB15" s="22">
        <f>Z15-Y15</f>
        <v/>
      </c>
      <c r="AC15" s="34">
        <f>AVERAGE(X15:Z15)</f>
        <v/>
      </c>
      <c r="AD15" s="34">
        <f>AVERAGE(U15:Z15)</f>
        <v/>
      </c>
    </row>
    <row r="16">
      <c r="B16" s="3" t="inlineStr">
        <is>
          <t>Construction</t>
        </is>
      </c>
      <c r="C16" s="2" t="n">
        <v>4</v>
      </c>
      <c r="D16" s="2" t="n">
        <v>10</v>
      </c>
      <c r="E16" s="2" t="n">
        <v>4</v>
      </c>
      <c r="F16" s="2" t="n">
        <v>-11</v>
      </c>
      <c r="G16" s="2" t="n">
        <v>-11</v>
      </c>
      <c r="H16" s="2" t="n">
        <v>9</v>
      </c>
      <c r="I16" s="2" t="n">
        <v>9</v>
      </c>
      <c r="J16" s="2" t="n">
        <v>9</v>
      </c>
      <c r="K16" s="2" t="n">
        <v>8</v>
      </c>
      <c r="L16" s="2" t="n">
        <v>15</v>
      </c>
      <c r="M16" s="2" t="n">
        <v>9</v>
      </c>
      <c r="N16" s="2" t="n">
        <v>2</v>
      </c>
      <c r="O16" s="2" t="n">
        <v>13</v>
      </c>
      <c r="P16" s="2" t="n">
        <v>14</v>
      </c>
      <c r="Q16" s="2" t="n">
        <v>14</v>
      </c>
      <c r="R16" s="2" t="n">
        <v>14</v>
      </c>
      <c r="S16" s="2" t="n">
        <v>16</v>
      </c>
      <c r="T16" s="2" t="n">
        <v>7</v>
      </c>
      <c r="U16" s="2" t="n">
        <v>7</v>
      </c>
      <c r="V16" s="2" t="n">
        <v>15</v>
      </c>
      <c r="W16" s="2" t="n">
        <v>10</v>
      </c>
      <c r="X16" s="2" t="n">
        <v>12</v>
      </c>
      <c r="Y16" s="2" t="n">
        <v>9</v>
      </c>
      <c r="Z16" s="2" t="n">
        <v>14</v>
      </c>
      <c r="AA16" s="33" t="n"/>
      <c r="AB16" s="22">
        <f>Z16-Y16</f>
        <v/>
      </c>
      <c r="AC16" s="34">
        <f>AVERAGE(X16:Z16)</f>
        <v/>
      </c>
      <c r="AD16" s="34">
        <f>AVERAGE(U16:Z16)</f>
        <v/>
      </c>
    </row>
    <row r="17">
      <c r="B17" s="3" t="inlineStr">
        <is>
          <t>Wholesale Trade</t>
        </is>
      </c>
      <c r="C17" s="2" t="n">
        <v>-5</v>
      </c>
      <c r="D17" s="2" t="n">
        <v>7</v>
      </c>
      <c r="E17" s="2" t="n">
        <v>2</v>
      </c>
      <c r="F17" s="2" t="n">
        <v>-12</v>
      </c>
      <c r="G17" s="2" t="n">
        <v>-7</v>
      </c>
      <c r="H17" s="2" t="n">
        <v>12</v>
      </c>
      <c r="I17" s="2" t="n">
        <v>11</v>
      </c>
      <c r="J17" s="2" t="n">
        <v>10</v>
      </c>
      <c r="K17" s="2" t="n">
        <v>11</v>
      </c>
      <c r="L17" s="2" t="n">
        <v>8</v>
      </c>
      <c r="M17" s="2" t="n">
        <v>7</v>
      </c>
      <c r="N17" s="2" t="n">
        <v>13</v>
      </c>
      <c r="O17" s="2" t="n">
        <v>12</v>
      </c>
      <c r="P17" s="2" t="n">
        <v>16</v>
      </c>
      <c r="Q17" s="2" t="n">
        <v>17</v>
      </c>
      <c r="R17" s="2" t="n">
        <v>16</v>
      </c>
      <c r="S17" s="2" t="n">
        <v>17</v>
      </c>
      <c r="T17" s="2" t="n">
        <v>13</v>
      </c>
      <c r="U17" s="2" t="n">
        <v>16</v>
      </c>
      <c r="V17" s="2" t="n">
        <v>6</v>
      </c>
      <c r="W17" s="2" t="n">
        <v>2</v>
      </c>
      <c r="X17" s="2" t="n">
        <v>9</v>
      </c>
      <c r="Y17" s="2" t="n">
        <v>12</v>
      </c>
      <c r="Z17" s="2" t="n">
        <v>15</v>
      </c>
      <c r="AA17" s="33" t="n"/>
      <c r="AB17" s="22">
        <f>Z17-Y17</f>
        <v/>
      </c>
      <c r="AC17" s="34">
        <f>AVERAGE(X17:Z17)</f>
        <v/>
      </c>
      <c r="AD17" s="34">
        <f>AVERAGE(U17:Z17)</f>
        <v/>
      </c>
    </row>
    <row r="18">
      <c r="B18" s="3" t="inlineStr">
        <is>
          <t>Public Administration</t>
        </is>
      </c>
      <c r="C18" s="2" t="n">
        <v>3</v>
      </c>
      <c r="D18" s="2" t="n">
        <v>8</v>
      </c>
      <c r="E18" s="2" t="n">
        <v>7</v>
      </c>
      <c r="F18" s="2" t="n">
        <v>2</v>
      </c>
      <c r="G18" s="2" t="n">
        <v>2</v>
      </c>
      <c r="H18" s="2" t="n">
        <v>2</v>
      </c>
      <c r="I18" s="2" t="n">
        <v>7</v>
      </c>
      <c r="J18" s="2" t="n">
        <v>6</v>
      </c>
      <c r="K18" s="2" t="n">
        <v>7</v>
      </c>
      <c r="L18" s="2" t="n">
        <v>-1</v>
      </c>
      <c r="M18" s="2" t="n">
        <v>2</v>
      </c>
      <c r="N18" s="2" t="n">
        <v>3</v>
      </c>
      <c r="O18" s="2" t="n">
        <v>2</v>
      </c>
      <c r="P18" s="2" t="n">
        <v>12</v>
      </c>
      <c r="Q18" s="2" t="n">
        <v>9</v>
      </c>
      <c r="R18" s="2" t="n">
        <v>11</v>
      </c>
      <c r="S18" s="2" t="n">
        <v>3</v>
      </c>
      <c r="T18" s="2" t="n">
        <v>5</v>
      </c>
      <c r="U18" s="2" t="n">
        <v>8</v>
      </c>
      <c r="V18" s="2" t="n">
        <v>9</v>
      </c>
      <c r="W18" s="2" t="n">
        <v>3</v>
      </c>
      <c r="X18" s="2" t="n">
        <v>2</v>
      </c>
      <c r="Y18" s="2" t="n">
        <v>10</v>
      </c>
      <c r="Z18" s="2" t="n">
        <v>5</v>
      </c>
      <c r="AA18" s="33" t="n"/>
      <c r="AB18" s="22">
        <f>Z18-Y18</f>
        <v/>
      </c>
      <c r="AC18" s="34">
        <f>AVERAGE(X18:Z18)</f>
        <v/>
      </c>
      <c r="AD18" s="34">
        <f>AVERAGE(U18:Z18)</f>
        <v/>
      </c>
      <c r="AG18" s="35" t="n"/>
    </row>
    <row r="19">
      <c r="B19" s="3" t="inlineStr">
        <is>
          <t>Professional, Scientific &amp; Technical Services</t>
        </is>
      </c>
      <c r="C19" s="2" t="n">
        <v>1</v>
      </c>
      <c r="D19" s="2" t="n">
        <v>4</v>
      </c>
      <c r="E19" s="2" t="n">
        <v>-5</v>
      </c>
      <c r="F19" s="2" t="n">
        <v>-8</v>
      </c>
      <c r="G19" s="2" t="n">
        <v>-9</v>
      </c>
      <c r="H19" s="2" t="n">
        <v>1</v>
      </c>
      <c r="I19" s="2" t="n">
        <v>-1</v>
      </c>
      <c r="J19" s="2" t="n">
        <v>1</v>
      </c>
      <c r="K19" s="2" t="n">
        <v>-1</v>
      </c>
      <c r="L19" s="2" t="n">
        <v>6</v>
      </c>
      <c r="M19" s="2" t="n">
        <v>6</v>
      </c>
      <c r="N19" s="2" t="n">
        <v>5</v>
      </c>
      <c r="O19" s="2" t="n">
        <v>3</v>
      </c>
      <c r="P19" s="2" t="n">
        <v>8</v>
      </c>
      <c r="Q19" s="2" t="n">
        <v>5</v>
      </c>
      <c r="R19" s="2" t="n">
        <v>4</v>
      </c>
      <c r="S19" s="2" t="n">
        <v>2</v>
      </c>
      <c r="T19" s="2" t="n">
        <v>1</v>
      </c>
      <c r="U19" s="2" t="n">
        <v>4</v>
      </c>
      <c r="V19" s="2" t="n">
        <v>1</v>
      </c>
      <c r="W19" s="2" t="n">
        <v>8</v>
      </c>
      <c r="X19" s="2" t="n">
        <v>3</v>
      </c>
      <c r="Y19" s="2" t="n">
        <v>5</v>
      </c>
      <c r="Z19" s="2" t="n">
        <v>6</v>
      </c>
      <c r="AA19" s="33" t="n"/>
      <c r="AB19" s="22">
        <f>Z19-Y19</f>
        <v/>
      </c>
      <c r="AC19" s="34">
        <f>AVERAGE(X19:Z19)</f>
        <v/>
      </c>
      <c r="AD19" s="34">
        <f>AVERAGE(U19:Z19)</f>
        <v/>
      </c>
    </row>
    <row r="20">
      <c r="B20" s="3" t="inlineStr">
        <is>
          <t>Agriculture, Forestry, Fishing &amp; Hunting</t>
        </is>
      </c>
      <c r="C20" s="2" t="n">
        <v>12</v>
      </c>
      <c r="D20" s="2" t="n">
        <v>-1</v>
      </c>
      <c r="E20" s="2" t="n">
        <v>0</v>
      </c>
      <c r="F20" s="2" t="n">
        <v>-15</v>
      </c>
      <c r="G20" s="2" t="n">
        <v>4</v>
      </c>
      <c r="H20" s="2" t="n">
        <v>14</v>
      </c>
      <c r="I20" s="2" t="n">
        <v>3</v>
      </c>
      <c r="J20" s="2" t="n">
        <v>3</v>
      </c>
      <c r="K20" s="2" t="n">
        <v>5</v>
      </c>
      <c r="L20" s="2" t="n">
        <v>12</v>
      </c>
      <c r="M20" s="2" t="n">
        <v>4</v>
      </c>
      <c r="N20" s="2" t="n">
        <v>7</v>
      </c>
      <c r="O20" s="2" t="n">
        <v>7</v>
      </c>
      <c r="P20" s="2" t="n">
        <v>4</v>
      </c>
      <c r="Q20" s="2" t="n">
        <v>13</v>
      </c>
      <c r="R20" s="2" t="n">
        <v>-1</v>
      </c>
      <c r="S20" s="2" t="n">
        <v>4</v>
      </c>
      <c r="T20" s="2" t="n">
        <v>-1</v>
      </c>
      <c r="U20" s="2" t="n">
        <v>0</v>
      </c>
      <c r="V20" s="2" t="n">
        <v>4</v>
      </c>
      <c r="W20" s="2" t="n">
        <v>-1</v>
      </c>
      <c r="X20" s="2" t="n">
        <v>6</v>
      </c>
      <c r="Y20" s="2" t="n">
        <v>15</v>
      </c>
      <c r="Z20" s="2" t="n">
        <v>0</v>
      </c>
      <c r="AA20" s="33" t="n"/>
      <c r="AB20" s="22">
        <f>Z20-Y20</f>
        <v/>
      </c>
      <c r="AC20" s="34">
        <f>AVERAGE(X20:Z20)</f>
        <v/>
      </c>
      <c r="AD20" s="34">
        <f>AVERAGE(U20:Z20)</f>
        <v/>
      </c>
    </row>
    <row r="21">
      <c r="B21" s="3" t="inlineStr">
        <is>
          <t>Information</t>
        </is>
      </c>
      <c r="C21" s="2" t="n">
        <v>2</v>
      </c>
      <c r="D21" s="2" t="n">
        <v>2</v>
      </c>
      <c r="E21" s="2" t="n">
        <v>1</v>
      </c>
      <c r="F21" s="2" t="n">
        <v>-7</v>
      </c>
      <c r="G21" s="2" t="n">
        <v>1</v>
      </c>
      <c r="H21" s="2" t="n">
        <v>4</v>
      </c>
      <c r="I21" s="2" t="n">
        <v>1</v>
      </c>
      <c r="J21" s="2" t="n">
        <v>-2</v>
      </c>
      <c r="K21" s="2" t="n">
        <v>2</v>
      </c>
      <c r="L21" s="2" t="n">
        <v>2</v>
      </c>
      <c r="M21" s="2" t="n">
        <v>1</v>
      </c>
      <c r="N21" s="2" t="n">
        <v>6</v>
      </c>
      <c r="O21" s="2" t="n">
        <v>1</v>
      </c>
      <c r="P21" s="2" t="n">
        <v>5</v>
      </c>
      <c r="Q21" s="2" t="n">
        <v>4</v>
      </c>
      <c r="R21" s="2" t="n">
        <v>2</v>
      </c>
      <c r="S21" s="2" t="n">
        <v>7</v>
      </c>
      <c r="T21" s="2" t="n">
        <v>4</v>
      </c>
      <c r="U21" s="2" t="n">
        <v>10</v>
      </c>
      <c r="V21" s="2" t="n">
        <v>13</v>
      </c>
      <c r="W21" s="2" t="n">
        <v>6</v>
      </c>
      <c r="X21" s="2" t="n">
        <v>11</v>
      </c>
      <c r="Y21" s="2" t="n">
        <v>3</v>
      </c>
      <c r="Z21" s="2" t="n">
        <v>3</v>
      </c>
      <c r="AA21" s="33" t="n"/>
      <c r="AB21" s="22">
        <f>Z21-Y21</f>
        <v/>
      </c>
      <c r="AC21" s="34">
        <f>AVERAGE(X21:Z21)</f>
        <v/>
      </c>
      <c r="AD21" s="34">
        <f>AVERAGE(U21:Z21)</f>
        <v/>
      </c>
    </row>
    <row r="22">
      <c r="B22" s="3" t="inlineStr">
        <is>
          <t>Educational Services</t>
        </is>
      </c>
      <c r="C22" s="2" t="n">
        <v>9</v>
      </c>
      <c r="D22" s="2" t="n">
        <v>5</v>
      </c>
      <c r="E22" s="2" t="n">
        <v>-1</v>
      </c>
      <c r="F22" s="2" t="n">
        <v>-4</v>
      </c>
      <c r="G22" s="2" t="n">
        <v>-10</v>
      </c>
      <c r="H22" s="2" t="n">
        <v>0</v>
      </c>
      <c r="I22" s="2" t="n">
        <v>10</v>
      </c>
      <c r="J22" s="2" t="n">
        <v>4</v>
      </c>
      <c r="K22" s="2" t="n">
        <v>6</v>
      </c>
      <c r="L22" s="2" t="n">
        <v>11</v>
      </c>
      <c r="M22" s="2" t="n">
        <v>-1</v>
      </c>
      <c r="N22" s="2" t="n">
        <v>1</v>
      </c>
      <c r="O22" s="2" t="n">
        <v>-3</v>
      </c>
      <c r="P22" s="2" t="n">
        <v>3</v>
      </c>
      <c r="Q22" s="2" t="n">
        <v>2</v>
      </c>
      <c r="R22" s="2" t="n">
        <v>3</v>
      </c>
      <c r="S22" s="2" t="n">
        <v>1</v>
      </c>
      <c r="T22" s="2" t="n">
        <v>2</v>
      </c>
      <c r="U22" s="2" t="n">
        <v>3</v>
      </c>
      <c r="V22" s="2" t="n">
        <v>14</v>
      </c>
      <c r="W22" s="2" t="n">
        <v>14</v>
      </c>
      <c r="X22" s="2" t="n">
        <v>10</v>
      </c>
      <c r="Y22" s="2" t="n">
        <v>2</v>
      </c>
      <c r="Z22" s="2" t="n">
        <v>1</v>
      </c>
      <c r="AA22" s="33" t="n"/>
      <c r="AB22" s="22">
        <f>Z22-Y22</f>
        <v/>
      </c>
      <c r="AC22" s="34">
        <f>AVERAGE(X22:Z22)</f>
        <v/>
      </c>
      <c r="AD22" s="34">
        <f>AVERAGE(U22:Z22)</f>
        <v/>
      </c>
    </row>
    <row r="23">
      <c r="B23" s="4" t="inlineStr">
        <is>
          <t>Management of Companies &amp; Support Services</t>
        </is>
      </c>
      <c r="C23" s="2" t="n">
        <v>11</v>
      </c>
      <c r="D23" s="2" t="n">
        <v>15</v>
      </c>
      <c r="E23" s="2" t="n">
        <v>3</v>
      </c>
      <c r="F23" s="2" t="n">
        <v>-5</v>
      </c>
      <c r="G23" s="2" t="n">
        <v>-5</v>
      </c>
      <c r="H23" s="2" t="n">
        <v>-1</v>
      </c>
      <c r="I23" s="2" t="n">
        <v>5</v>
      </c>
      <c r="J23" s="2" t="n">
        <v>7</v>
      </c>
      <c r="K23" s="2" t="n">
        <v>14</v>
      </c>
      <c r="L23" s="2" t="n">
        <v>9</v>
      </c>
      <c r="M23" s="2" t="n">
        <v>13</v>
      </c>
      <c r="N23" s="2" t="n">
        <v>14</v>
      </c>
      <c r="O23" s="2" t="n">
        <v>8</v>
      </c>
      <c r="P23" s="2" t="n">
        <v>6</v>
      </c>
      <c r="Q23" s="2" t="n">
        <v>15</v>
      </c>
      <c r="R23" s="2" t="n">
        <v>15</v>
      </c>
      <c r="S23" s="2" t="n">
        <v>10</v>
      </c>
      <c r="T23" s="2" t="n">
        <v>11</v>
      </c>
      <c r="U23" s="2" t="n">
        <v>14</v>
      </c>
      <c r="V23" s="2" t="n">
        <v>5</v>
      </c>
      <c r="W23" s="2" t="n">
        <v>15</v>
      </c>
      <c r="X23" s="2" t="n">
        <v>5</v>
      </c>
      <c r="Y23" s="2" t="n">
        <v>14</v>
      </c>
      <c r="Z23" s="2" t="n">
        <v>12</v>
      </c>
      <c r="AA23" s="33" t="n"/>
      <c r="AB23" s="22">
        <f>Z23-Y23</f>
        <v/>
      </c>
      <c r="AC23" s="34">
        <f>AVERAGE(X23:Z23)</f>
        <v/>
      </c>
      <c r="AD23" s="34">
        <f>AVERAGE(U23:Z23)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3" t="n"/>
      <c r="AB24" s="33" t="n"/>
      <c r="AC24" s="33" t="n"/>
      <c r="AD24" s="33" t="n"/>
    </row>
    <row r="25" ht="16" customHeight="1" s="87"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row>
    <row r="26">
      <c r="B26" s="109"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10" t="n"/>
      <c r="AB26" s="111" t="inlineStr">
        <is>
          <t>mom</t>
        </is>
      </c>
      <c r="AC26" s="111" t="inlineStr">
        <is>
          <t>3 months</t>
        </is>
      </c>
      <c r="AD26" s="111" t="inlineStr">
        <is>
          <t>6 months</t>
        </is>
      </c>
    </row>
    <row r="27" ht="16" customHeight="1" s="87" thickBot="1">
      <c r="B27" s="110"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10" t="n"/>
      <c r="AB27" s="112" t="n"/>
      <c r="AC27" s="112" t="n"/>
      <c r="AD27" s="112" t="n"/>
    </row>
    <row r="28">
      <c r="B28" s="3" t="inlineStr">
        <is>
          <t>Utilities</t>
        </is>
      </c>
      <c r="C28" s="2" t="n">
        <v>4</v>
      </c>
      <c r="D28" s="2" t="n">
        <v>-1</v>
      </c>
      <c r="E28" s="2" t="n">
        <v>0</v>
      </c>
      <c r="F28" s="2" t="n">
        <v>-6</v>
      </c>
      <c r="G28" s="2" t="n">
        <v>-9</v>
      </c>
      <c r="H28" s="2" t="n">
        <v>10</v>
      </c>
      <c r="I28" s="2" t="n">
        <v>1</v>
      </c>
      <c r="J28" s="2" t="n">
        <v>12</v>
      </c>
      <c r="K28" s="2" t="n">
        <v>14</v>
      </c>
      <c r="L28" s="2" t="n">
        <v>6</v>
      </c>
      <c r="M28" s="2" t="n">
        <v>11</v>
      </c>
      <c r="N28" s="2" t="n">
        <v>1</v>
      </c>
      <c r="O28" s="2" t="n">
        <v>2</v>
      </c>
      <c r="P28" s="2" t="n">
        <v>9</v>
      </c>
      <c r="Q28" s="2" t="n">
        <v>10</v>
      </c>
      <c r="R28" s="2" t="n">
        <v>13</v>
      </c>
      <c r="S28" s="2" t="n">
        <v>11</v>
      </c>
      <c r="T28" s="2" t="n">
        <v>13</v>
      </c>
      <c r="U28" s="2" t="n">
        <v>7</v>
      </c>
      <c r="V28" s="2" t="n">
        <v>9</v>
      </c>
      <c r="W28" s="2" t="n">
        <v>9</v>
      </c>
      <c r="X28" s="2" t="n">
        <v>12</v>
      </c>
      <c r="Y28" s="2" t="n">
        <v>10</v>
      </c>
      <c r="Z28" s="2" t="n">
        <v>4</v>
      </c>
      <c r="AB28" s="22">
        <f>Z28-Y28</f>
        <v/>
      </c>
      <c r="AC28" s="34">
        <f>AVERAGE(X28:Z28)</f>
        <v/>
      </c>
      <c r="AD28" s="34">
        <f>AVERAGE(U28:Z28)</f>
        <v/>
      </c>
    </row>
    <row r="29">
      <c r="B29" s="3" t="inlineStr">
        <is>
          <t>Retail Trade</t>
        </is>
      </c>
      <c r="C29" s="2" t="n">
        <v>0</v>
      </c>
      <c r="D29" s="2" t="n">
        <v>0</v>
      </c>
      <c r="E29" s="2" t="n">
        <v>-5</v>
      </c>
      <c r="F29" s="2" t="n">
        <v>-14</v>
      </c>
      <c r="G29" s="2" t="n">
        <v>1</v>
      </c>
      <c r="H29" s="2" t="n">
        <v>9</v>
      </c>
      <c r="I29" s="2" t="n">
        <v>13</v>
      </c>
      <c r="J29" s="2" t="n">
        <v>1</v>
      </c>
      <c r="K29" s="2" t="n">
        <v>0</v>
      </c>
      <c r="L29" s="2" t="n">
        <v>1</v>
      </c>
      <c r="M29" s="2" t="n">
        <v>7</v>
      </c>
      <c r="N29" s="2" t="n">
        <v>7</v>
      </c>
      <c r="O29" s="2" t="n">
        <v>-2</v>
      </c>
      <c r="P29" s="2" t="n">
        <v>0</v>
      </c>
      <c r="Q29" s="2" t="n">
        <v>3</v>
      </c>
      <c r="R29" s="2" t="n">
        <v>11</v>
      </c>
      <c r="S29" s="2" t="n">
        <v>18</v>
      </c>
      <c r="T29" s="2" t="n">
        <v>9</v>
      </c>
      <c r="U29" s="2" t="n">
        <v>14</v>
      </c>
      <c r="V29" s="2" t="n">
        <v>11</v>
      </c>
      <c r="W29" s="2" t="n">
        <v>17</v>
      </c>
      <c r="X29" s="2" t="n">
        <v>16</v>
      </c>
      <c r="Y29" s="2" t="n">
        <v>15</v>
      </c>
      <c r="Z29" s="2" t="n">
        <v>13</v>
      </c>
      <c r="AB29" s="22">
        <f>Z29-Y29</f>
        <v/>
      </c>
      <c r="AC29" s="34">
        <f>AVERAGE(X29:Z29)</f>
        <v/>
      </c>
      <c r="AD29" s="34">
        <f>AVERAGE(U29:Z29)</f>
        <v/>
      </c>
    </row>
    <row r="30">
      <c r="B30" s="3" t="inlineStr">
        <is>
          <t>Arts, Entertainment &amp; Recreation</t>
        </is>
      </c>
      <c r="C30" s="2" t="n">
        <v>-3</v>
      </c>
      <c r="D30" s="2" t="n">
        <v>-3</v>
      </c>
      <c r="E30" s="2" t="n">
        <v>-9</v>
      </c>
      <c r="F30" s="2" t="n">
        <v>-17</v>
      </c>
      <c r="G30" s="2" t="n">
        <v>-8</v>
      </c>
      <c r="H30" s="2" t="n">
        <v>0</v>
      </c>
      <c r="I30" s="2" t="n">
        <v>11</v>
      </c>
      <c r="J30" s="2" t="n">
        <v>13</v>
      </c>
      <c r="K30" s="2" t="n">
        <v>16</v>
      </c>
      <c r="L30" s="2" t="n">
        <v>0</v>
      </c>
      <c r="M30" s="2" t="n">
        <v>-4</v>
      </c>
      <c r="N30" s="2" t="n">
        <v>0</v>
      </c>
      <c r="O30" s="2" t="n">
        <v>0</v>
      </c>
      <c r="P30" s="2" t="n">
        <v>13</v>
      </c>
      <c r="Q30" s="2" t="n">
        <v>17</v>
      </c>
      <c r="R30" s="2" t="n">
        <v>17</v>
      </c>
      <c r="S30" s="2" t="n">
        <v>17</v>
      </c>
      <c r="T30" s="2" t="n">
        <v>16</v>
      </c>
      <c r="U30" s="2" t="n">
        <v>17</v>
      </c>
      <c r="V30" s="2" t="n">
        <v>-2</v>
      </c>
      <c r="W30" s="2" t="n">
        <v>16</v>
      </c>
      <c r="X30" s="2" t="n">
        <v>10</v>
      </c>
      <c r="Y30" s="2" t="n">
        <v>0</v>
      </c>
      <c r="Z30" s="2" t="n">
        <v>9</v>
      </c>
      <c r="AB30" s="22">
        <f>Z30-Y30</f>
        <v/>
      </c>
      <c r="AC30" s="34">
        <f>AVERAGE(X30:Z30)</f>
        <v/>
      </c>
      <c r="AD30" s="34">
        <f>AVERAGE(U30:Z30)</f>
        <v/>
      </c>
    </row>
    <row r="31">
      <c r="B31" s="3" t="inlineStr">
        <is>
          <t>Other Services</t>
        </is>
      </c>
      <c r="C31" s="2" t="n">
        <v>-1</v>
      </c>
      <c r="D31" s="2" t="n">
        <v>1</v>
      </c>
      <c r="E31" s="2" t="n">
        <v>-7</v>
      </c>
      <c r="F31" s="2" t="n">
        <v>-13</v>
      </c>
      <c r="G31" s="2" t="n">
        <v>-10</v>
      </c>
      <c r="H31" s="2" t="n">
        <v>-1</v>
      </c>
      <c r="I31" s="2" t="n">
        <v>-2</v>
      </c>
      <c r="J31" s="2" t="n">
        <v>0</v>
      </c>
      <c r="K31" s="2" t="n">
        <v>2</v>
      </c>
      <c r="L31" s="2" t="n">
        <v>5</v>
      </c>
      <c r="M31" s="2" t="n">
        <v>-2</v>
      </c>
      <c r="N31" s="2" t="n">
        <v>-5</v>
      </c>
      <c r="O31" s="2" t="n">
        <v>0</v>
      </c>
      <c r="P31" s="2" t="n">
        <v>-1</v>
      </c>
      <c r="Q31" s="2" t="n">
        <v>-1</v>
      </c>
      <c r="R31" s="2" t="n">
        <v>3</v>
      </c>
      <c r="S31" s="2" t="n">
        <v>6</v>
      </c>
      <c r="T31" s="2" t="n">
        <v>15</v>
      </c>
      <c r="U31" s="2" t="n">
        <v>6</v>
      </c>
      <c r="V31" s="2" t="n">
        <v>12</v>
      </c>
      <c r="W31" s="2" t="n">
        <v>4</v>
      </c>
      <c r="X31" s="2" t="n">
        <v>5</v>
      </c>
      <c r="Y31" s="2" t="n">
        <v>7</v>
      </c>
      <c r="Z31" s="2" t="n">
        <v>7</v>
      </c>
      <c r="AB31" s="22">
        <f>Z31-Y31</f>
        <v/>
      </c>
      <c r="AC31" s="34">
        <f>AVERAGE(X31:Z31)</f>
        <v/>
      </c>
      <c r="AD31" s="34">
        <f>AVERAGE(U31:Z31)</f>
        <v/>
      </c>
    </row>
    <row r="32">
      <c r="B32" s="3" t="inlineStr">
        <is>
          <t>Health Care &amp; Social Assistance</t>
        </is>
      </c>
      <c r="C32" s="2" t="n">
        <v>10</v>
      </c>
      <c r="D32" s="2" t="n">
        <v>6</v>
      </c>
      <c r="E32" s="2" t="n">
        <v>5</v>
      </c>
      <c r="F32" s="2" t="n">
        <v>-4</v>
      </c>
      <c r="G32" s="2" t="n">
        <v>-6</v>
      </c>
      <c r="H32" s="2" t="n">
        <v>11</v>
      </c>
      <c r="I32" s="2" t="n">
        <v>9</v>
      </c>
      <c r="J32" s="2" t="n">
        <v>9</v>
      </c>
      <c r="K32" s="2" t="n">
        <v>9</v>
      </c>
      <c r="L32" s="2" t="n">
        <v>11</v>
      </c>
      <c r="M32" s="2" t="n">
        <v>12</v>
      </c>
      <c r="N32" s="2" t="n">
        <v>10</v>
      </c>
      <c r="O32" s="2" t="n">
        <v>5</v>
      </c>
      <c r="P32" s="2" t="n">
        <v>3</v>
      </c>
      <c r="Q32" s="2" t="n">
        <v>6</v>
      </c>
      <c r="R32" s="2" t="n">
        <v>6</v>
      </c>
      <c r="S32" s="2" t="n">
        <v>8</v>
      </c>
      <c r="T32" s="2" t="n">
        <v>6</v>
      </c>
      <c r="U32" s="2" t="n">
        <v>10</v>
      </c>
      <c r="V32" s="2" t="n">
        <v>10</v>
      </c>
      <c r="W32" s="2" t="n">
        <v>13</v>
      </c>
      <c r="X32" s="2" t="n">
        <v>11</v>
      </c>
      <c r="Y32" s="2" t="n">
        <v>11</v>
      </c>
      <c r="Z32" s="2" t="n">
        <v>11</v>
      </c>
      <c r="AB32" s="22">
        <f>Z32-Y32</f>
        <v/>
      </c>
      <c r="AC32" s="34">
        <f>AVERAGE(X32:Z32)</f>
        <v/>
      </c>
      <c r="AD32" s="34">
        <f>AVERAGE(U32:Z32)</f>
        <v/>
      </c>
    </row>
    <row r="33">
      <c r="B33" s="3" t="inlineStr">
        <is>
          <t>Accommodation &amp; Food Services</t>
        </is>
      </c>
      <c r="C33" s="2" t="n">
        <v>5</v>
      </c>
      <c r="D33" s="2" t="n">
        <v>13</v>
      </c>
      <c r="E33" s="2" t="n">
        <v>4</v>
      </c>
      <c r="F33" s="2" t="n">
        <v>-2</v>
      </c>
      <c r="G33" s="2" t="n">
        <v>-5</v>
      </c>
      <c r="H33" s="2" t="n">
        <v>14</v>
      </c>
      <c r="I33" s="2" t="n">
        <v>5</v>
      </c>
      <c r="J33" s="2" t="n">
        <v>2</v>
      </c>
      <c r="K33" s="2" t="n">
        <v>13</v>
      </c>
      <c r="L33" s="2" t="n">
        <v>15</v>
      </c>
      <c r="M33" s="2" t="n">
        <v>10</v>
      </c>
      <c r="N33" s="2" t="n">
        <v>-4</v>
      </c>
      <c r="O33" s="2" t="n">
        <v>6</v>
      </c>
      <c r="P33" s="2" t="n">
        <v>14</v>
      </c>
      <c r="Q33" s="2" t="n">
        <v>14</v>
      </c>
      <c r="R33" s="2" t="n">
        <v>10</v>
      </c>
      <c r="S33" s="2" t="n">
        <v>4</v>
      </c>
      <c r="T33" s="2" t="n">
        <v>4</v>
      </c>
      <c r="U33" s="2" t="n">
        <v>12</v>
      </c>
      <c r="V33" s="2" t="n">
        <v>14</v>
      </c>
      <c r="W33" s="2" t="n">
        <v>6</v>
      </c>
      <c r="X33" s="2" t="n">
        <v>3</v>
      </c>
      <c r="Y33" s="2" t="n">
        <v>0</v>
      </c>
      <c r="Z33" s="2" t="n">
        <v>15</v>
      </c>
      <c r="AB33" s="22">
        <f>Z33-Y33</f>
        <v/>
      </c>
      <c r="AC33" s="34">
        <f>AVERAGE(X33:Z33)</f>
        <v/>
      </c>
      <c r="AD33" s="34">
        <f>AVERAGE(U33:Z33)</f>
        <v/>
      </c>
    </row>
    <row r="34">
      <c r="B34" s="3" t="inlineStr">
        <is>
          <t>Transportation &amp; Warehousing</t>
        </is>
      </c>
      <c r="C34" s="2" t="n">
        <v>9</v>
      </c>
      <c r="D34" s="2" t="n">
        <v>7</v>
      </c>
      <c r="E34" s="2" t="n">
        <v>-3</v>
      </c>
      <c r="F34" s="2" t="n">
        <v>-15</v>
      </c>
      <c r="G34" s="2" t="n">
        <v>-2</v>
      </c>
      <c r="H34" s="2" t="n">
        <v>5</v>
      </c>
      <c r="I34" s="2" t="n">
        <v>14</v>
      </c>
      <c r="J34" s="2" t="n">
        <v>5</v>
      </c>
      <c r="K34" s="2" t="n">
        <v>11</v>
      </c>
      <c r="L34" s="2" t="n">
        <v>16</v>
      </c>
      <c r="M34" s="2" t="n">
        <v>14</v>
      </c>
      <c r="N34" s="2" t="n">
        <v>9</v>
      </c>
      <c r="O34" s="2" t="n">
        <v>0</v>
      </c>
      <c r="P34" s="2" t="n">
        <v>11</v>
      </c>
      <c r="Q34" s="2" t="n">
        <v>7</v>
      </c>
      <c r="R34" s="2" t="n">
        <v>5</v>
      </c>
      <c r="S34" s="2" t="n">
        <v>10</v>
      </c>
      <c r="T34" s="2" t="n">
        <v>11</v>
      </c>
      <c r="U34" s="2" t="n">
        <v>9</v>
      </c>
      <c r="V34" s="2" t="n">
        <v>4</v>
      </c>
      <c r="W34" s="2" t="n">
        <v>1</v>
      </c>
      <c r="X34" s="2" t="n">
        <v>14</v>
      </c>
      <c r="Y34" s="2" t="n">
        <v>13</v>
      </c>
      <c r="Z34" s="2" t="n">
        <v>14</v>
      </c>
      <c r="AB34" s="22">
        <f>Z34-Y34</f>
        <v/>
      </c>
      <c r="AC34" s="34">
        <f>AVERAGE(X34:Z34)</f>
        <v/>
      </c>
      <c r="AD34" s="34">
        <f>AVERAGE(U34:Z34)</f>
        <v/>
      </c>
    </row>
    <row r="35">
      <c r="B35" s="3" t="inlineStr">
        <is>
          <t>Finance &amp; Insurance</t>
        </is>
      </c>
      <c r="C35" s="2" t="n">
        <v>7</v>
      </c>
      <c r="D35" s="2" t="n">
        <v>9</v>
      </c>
      <c r="E35" s="2" t="n">
        <v>1</v>
      </c>
      <c r="F35" s="2" t="n">
        <v>0</v>
      </c>
      <c r="G35" s="2" t="n">
        <v>2</v>
      </c>
      <c r="H35" s="2" t="n">
        <v>13</v>
      </c>
      <c r="I35" s="2" t="n">
        <v>2</v>
      </c>
      <c r="J35" s="2" t="n">
        <v>4</v>
      </c>
      <c r="K35" s="2" t="n">
        <v>7</v>
      </c>
      <c r="L35" s="2" t="n">
        <v>8</v>
      </c>
      <c r="M35" s="2" t="n">
        <v>9</v>
      </c>
      <c r="N35" s="2" t="n">
        <v>3</v>
      </c>
      <c r="O35" s="2" t="n">
        <v>0</v>
      </c>
      <c r="P35" s="2" t="n">
        <v>4</v>
      </c>
      <c r="Q35" s="2" t="n">
        <v>9</v>
      </c>
      <c r="R35" s="2" t="n">
        <v>7</v>
      </c>
      <c r="S35" s="2" t="n">
        <v>15</v>
      </c>
      <c r="T35" s="2" t="n">
        <v>5</v>
      </c>
      <c r="U35" s="2" t="n">
        <v>3</v>
      </c>
      <c r="V35" s="2" t="n">
        <v>5</v>
      </c>
      <c r="W35" s="2" t="n">
        <v>8</v>
      </c>
      <c r="X35" s="2" t="n">
        <v>7</v>
      </c>
      <c r="Y35" s="2" t="n">
        <v>5</v>
      </c>
      <c r="Z35" s="2" t="n">
        <v>6</v>
      </c>
      <c r="AB35" s="22">
        <f>Z35-Y35</f>
        <v/>
      </c>
      <c r="AC35" s="34">
        <f>AVERAGE(X35:Z35)</f>
        <v/>
      </c>
      <c r="AD35" s="34">
        <f>AVERAGE(U35:Z35)</f>
        <v/>
      </c>
    </row>
    <row r="36">
      <c r="B36" s="3" t="inlineStr">
        <is>
          <t>Real Estate, Rental &amp; Leasing</t>
        </is>
      </c>
      <c r="C36" s="2" t="n">
        <v>0</v>
      </c>
      <c r="D36" s="2" t="n">
        <v>10</v>
      </c>
      <c r="E36" s="2" t="n">
        <v>0</v>
      </c>
      <c r="F36" s="2" t="n">
        <v>-12</v>
      </c>
      <c r="G36" s="2" t="n">
        <v>0</v>
      </c>
      <c r="H36" s="2" t="n">
        <v>7</v>
      </c>
      <c r="I36" s="2" t="n">
        <v>8</v>
      </c>
      <c r="J36" s="2" t="n">
        <v>10</v>
      </c>
      <c r="K36" s="2" t="n">
        <v>15</v>
      </c>
      <c r="L36" s="2" t="n">
        <v>13</v>
      </c>
      <c r="M36" s="2" t="n">
        <v>-3</v>
      </c>
      <c r="N36" s="2" t="n">
        <v>-3</v>
      </c>
      <c r="O36" s="2" t="n">
        <v>8</v>
      </c>
      <c r="P36" s="2" t="n">
        <v>-3</v>
      </c>
      <c r="Q36" s="2" t="n">
        <v>11</v>
      </c>
      <c r="R36" s="2" t="n">
        <v>1</v>
      </c>
      <c r="S36" s="2" t="n">
        <v>12</v>
      </c>
      <c r="T36" s="2" t="n">
        <v>-2</v>
      </c>
      <c r="U36" s="2" t="n">
        <v>13</v>
      </c>
      <c r="V36" s="2" t="n">
        <v>-1</v>
      </c>
      <c r="W36" s="2" t="n">
        <v>14</v>
      </c>
      <c r="X36" s="2" t="n">
        <v>17</v>
      </c>
      <c r="Y36" s="2" t="n">
        <v>14</v>
      </c>
      <c r="Z36" s="2" t="n">
        <v>5</v>
      </c>
      <c r="AB36" s="22">
        <f>Z36-Y36</f>
        <v/>
      </c>
      <c r="AC36" s="34">
        <f>AVERAGE(X36:Z36)</f>
        <v/>
      </c>
      <c r="AD36" s="34">
        <f>AVERAGE(U36:Z36)</f>
        <v/>
      </c>
    </row>
    <row r="37">
      <c r="B37" s="3" t="inlineStr">
        <is>
          <t>Public Administration</t>
        </is>
      </c>
      <c r="C37" s="2" t="n">
        <v>8</v>
      </c>
      <c r="D37" s="2" t="n">
        <v>8</v>
      </c>
      <c r="E37" s="2" t="n">
        <v>2</v>
      </c>
      <c r="F37" s="2" t="n">
        <v>-1</v>
      </c>
      <c r="G37" s="2" t="n">
        <v>0</v>
      </c>
      <c r="H37" s="2" t="n">
        <v>0</v>
      </c>
      <c r="I37" s="2" t="n">
        <v>7</v>
      </c>
      <c r="J37" s="2" t="n">
        <v>7</v>
      </c>
      <c r="K37" s="2" t="n">
        <v>6</v>
      </c>
      <c r="L37" s="2" t="n">
        <v>-1</v>
      </c>
      <c r="M37" s="2" t="n">
        <v>3</v>
      </c>
      <c r="N37" s="2" t="n">
        <v>0</v>
      </c>
      <c r="O37" s="2" t="n">
        <v>3</v>
      </c>
      <c r="P37" s="2" t="n">
        <v>10</v>
      </c>
      <c r="Q37" s="2" t="n">
        <v>8</v>
      </c>
      <c r="R37" s="2" t="n">
        <v>14</v>
      </c>
      <c r="S37" s="2" t="n">
        <v>1</v>
      </c>
      <c r="T37" s="2" t="n">
        <v>7</v>
      </c>
      <c r="U37" s="2" t="n">
        <v>8</v>
      </c>
      <c r="V37" s="2" t="n">
        <v>15</v>
      </c>
      <c r="W37" s="2" t="n">
        <v>5</v>
      </c>
      <c r="X37" s="2" t="n">
        <v>1</v>
      </c>
      <c r="Y37" s="2" t="n">
        <v>9</v>
      </c>
      <c r="Z37" s="2" t="n">
        <v>1</v>
      </c>
      <c r="AB37" s="22">
        <f>Z37-Y37</f>
        <v/>
      </c>
      <c r="AC37" s="34">
        <f>AVERAGE(X37:Z37)</f>
        <v/>
      </c>
      <c r="AD37" s="34">
        <f>AVERAGE(U37:Z37)</f>
        <v/>
      </c>
    </row>
    <row r="38">
      <c r="B38" s="3" t="inlineStr">
        <is>
          <t>Agriculture, Forestry, Fishing &amp; Hunting</t>
        </is>
      </c>
      <c r="C38" s="2" t="n">
        <v>12</v>
      </c>
      <c r="D38" s="2" t="n">
        <v>0</v>
      </c>
      <c r="E38" s="2" t="n">
        <v>0</v>
      </c>
      <c r="F38" s="2" t="n">
        <v>-16</v>
      </c>
      <c r="G38" s="2" t="n">
        <v>3</v>
      </c>
      <c r="H38" s="2" t="n">
        <v>8</v>
      </c>
      <c r="I38" s="2" t="n">
        <v>6</v>
      </c>
      <c r="J38" s="2" t="n">
        <v>-3</v>
      </c>
      <c r="K38" s="2" t="n">
        <v>-1</v>
      </c>
      <c r="L38" s="2" t="n">
        <v>12</v>
      </c>
      <c r="M38" s="2" t="n">
        <v>-1</v>
      </c>
      <c r="N38" s="2" t="n">
        <v>6</v>
      </c>
      <c r="O38" s="2" t="n">
        <v>0</v>
      </c>
      <c r="P38" s="2" t="n">
        <v>-2</v>
      </c>
      <c r="Q38" s="2" t="n">
        <v>12</v>
      </c>
      <c r="R38" s="2" t="n">
        <v>-1</v>
      </c>
      <c r="S38" s="2" t="n">
        <v>3</v>
      </c>
      <c r="T38" s="2" t="n">
        <v>-1</v>
      </c>
      <c r="U38" s="2" t="n">
        <v>0</v>
      </c>
      <c r="V38" s="2" t="n">
        <v>6</v>
      </c>
      <c r="W38" s="2" t="n">
        <v>-1</v>
      </c>
      <c r="X38" s="2" t="n">
        <v>-1</v>
      </c>
      <c r="Y38" s="2" t="n">
        <v>8</v>
      </c>
      <c r="Z38" s="2" t="n">
        <v>-2</v>
      </c>
      <c r="AB38" s="22">
        <f>Z38-Y38</f>
        <v/>
      </c>
      <c r="AC38" s="34">
        <f>AVERAGE(X38:Z38)</f>
        <v/>
      </c>
      <c r="AD38" s="34">
        <f>AVERAGE(U38:Z38)</f>
        <v/>
      </c>
    </row>
    <row r="39">
      <c r="B39" s="3" t="inlineStr">
        <is>
          <t>Construction</t>
        </is>
      </c>
      <c r="C39" s="2" t="n">
        <v>6</v>
      </c>
      <c r="D39" s="2" t="n">
        <v>4</v>
      </c>
      <c r="E39" s="2" t="n">
        <v>3</v>
      </c>
      <c r="F39" s="2" t="n">
        <v>-7</v>
      </c>
      <c r="G39" s="2" t="n">
        <v>-11</v>
      </c>
      <c r="H39" s="2" t="n">
        <v>12</v>
      </c>
      <c r="I39" s="2" t="n">
        <v>4</v>
      </c>
      <c r="J39" s="2" t="n">
        <v>6</v>
      </c>
      <c r="K39" s="2" t="n">
        <v>4</v>
      </c>
      <c r="L39" s="2" t="n">
        <v>10</v>
      </c>
      <c r="M39" s="2" t="n">
        <v>5</v>
      </c>
      <c r="N39" s="2" t="n">
        <v>-2</v>
      </c>
      <c r="O39" s="2" t="n">
        <v>10</v>
      </c>
      <c r="P39" s="2" t="n">
        <v>6</v>
      </c>
      <c r="Q39" s="2" t="n">
        <v>5</v>
      </c>
      <c r="R39" s="2" t="n">
        <v>8</v>
      </c>
      <c r="S39" s="2" t="n">
        <v>13</v>
      </c>
      <c r="T39" s="2" t="n">
        <v>8</v>
      </c>
      <c r="U39" s="2" t="n">
        <v>5</v>
      </c>
      <c r="V39" s="2" t="n">
        <v>8</v>
      </c>
      <c r="W39" s="2" t="n">
        <v>3</v>
      </c>
      <c r="X39" s="2" t="n">
        <v>4</v>
      </c>
      <c r="Y39" s="2" t="n">
        <v>6</v>
      </c>
      <c r="Z39" s="2" t="n">
        <v>8</v>
      </c>
      <c r="AB39" s="22">
        <f>Z39-Y39</f>
        <v/>
      </c>
      <c r="AC39" s="34">
        <f>AVERAGE(X39:Z39)</f>
        <v/>
      </c>
      <c r="AD39" s="34">
        <f>AVERAGE(U39:Z39)</f>
        <v/>
      </c>
    </row>
    <row r="40">
      <c r="B40" s="3" t="inlineStr">
        <is>
          <t>Professional, Scientific &amp; Technical Services</t>
        </is>
      </c>
      <c r="C40" s="2" t="n">
        <v>1</v>
      </c>
      <c r="D40" s="2" t="n">
        <v>2</v>
      </c>
      <c r="E40" s="2" t="n">
        <v>-4</v>
      </c>
      <c r="F40" s="2" t="n">
        <v>-11</v>
      </c>
      <c r="G40" s="2" t="n">
        <v>-7</v>
      </c>
      <c r="H40" s="2" t="n">
        <v>1</v>
      </c>
      <c r="I40" s="2" t="n">
        <v>0</v>
      </c>
      <c r="J40" s="2" t="n">
        <v>0</v>
      </c>
      <c r="K40" s="2" t="n">
        <v>1</v>
      </c>
      <c r="L40" s="2" t="n">
        <v>4</v>
      </c>
      <c r="M40" s="2" t="n">
        <v>8</v>
      </c>
      <c r="N40" s="2" t="n">
        <v>2</v>
      </c>
      <c r="O40" s="2" t="n">
        <v>4</v>
      </c>
      <c r="P40" s="2" t="n">
        <v>1</v>
      </c>
      <c r="Q40" s="2" t="n">
        <v>1</v>
      </c>
      <c r="R40" s="2" t="n">
        <v>4</v>
      </c>
      <c r="S40" s="2" t="n">
        <v>2</v>
      </c>
      <c r="T40" s="2" t="n">
        <v>1</v>
      </c>
      <c r="U40" s="2" t="n">
        <v>4</v>
      </c>
      <c r="V40" s="2" t="n">
        <v>1</v>
      </c>
      <c r="W40" s="2" t="n">
        <v>11</v>
      </c>
      <c r="X40" s="2" t="n">
        <v>2</v>
      </c>
      <c r="Y40" s="2" t="n">
        <v>2</v>
      </c>
      <c r="Z40" s="2" t="n">
        <v>2</v>
      </c>
      <c r="AB40" s="22">
        <f>Z40-Y40</f>
        <v/>
      </c>
      <c r="AC40" s="34">
        <f>AVERAGE(X40:Z40)</f>
        <v/>
      </c>
      <c r="AD40" s="34">
        <f>AVERAGE(U40:Z40)</f>
        <v/>
      </c>
    </row>
    <row r="41">
      <c r="B41" s="3" t="inlineStr">
        <is>
          <t>Wholesale Trade</t>
        </is>
      </c>
      <c r="C41" s="2" t="n">
        <v>-2</v>
      </c>
      <c r="D41" s="2" t="n">
        <v>3</v>
      </c>
      <c r="E41" s="2" t="n">
        <v>-2</v>
      </c>
      <c r="F41" s="2" t="n">
        <v>-8</v>
      </c>
      <c r="G41" s="2" t="n">
        <v>-4</v>
      </c>
      <c r="H41" s="2" t="n">
        <v>4</v>
      </c>
      <c r="I41" s="2" t="n">
        <v>10</v>
      </c>
      <c r="J41" s="2" t="n">
        <v>8</v>
      </c>
      <c r="K41" s="2" t="n">
        <v>10</v>
      </c>
      <c r="L41" s="2" t="n">
        <v>3</v>
      </c>
      <c r="M41" s="2" t="n">
        <v>4</v>
      </c>
      <c r="N41" s="2" t="n">
        <v>4</v>
      </c>
      <c r="O41" s="2" t="n">
        <v>7</v>
      </c>
      <c r="P41" s="2" t="n">
        <v>12</v>
      </c>
      <c r="Q41" s="2" t="n">
        <v>13</v>
      </c>
      <c r="R41" s="2" t="n">
        <v>16</v>
      </c>
      <c r="S41" s="2" t="n">
        <v>16</v>
      </c>
      <c r="T41" s="2" t="n">
        <v>12</v>
      </c>
      <c r="U41" s="2" t="n">
        <v>15</v>
      </c>
      <c r="V41" s="2" t="n">
        <v>2</v>
      </c>
      <c r="W41" s="2" t="n">
        <v>7</v>
      </c>
      <c r="X41" s="2" t="n">
        <v>8</v>
      </c>
      <c r="Y41" s="2" t="n">
        <v>12</v>
      </c>
      <c r="Z41" s="2" t="n">
        <v>12</v>
      </c>
      <c r="AB41" s="22">
        <f>Z41-Y41</f>
        <v/>
      </c>
      <c r="AC41" s="34">
        <f>AVERAGE(X41:Z41)</f>
        <v/>
      </c>
      <c r="AD41" s="34">
        <f>AVERAGE(U41:Z41)</f>
        <v/>
      </c>
    </row>
    <row r="42">
      <c r="B42" s="3" t="inlineStr">
        <is>
          <t>Management of Companies &amp; Support Services</t>
        </is>
      </c>
      <c r="C42" s="2" t="n">
        <v>11</v>
      </c>
      <c r="D42" s="2" t="n">
        <v>12</v>
      </c>
      <c r="E42" s="2" t="n">
        <v>0</v>
      </c>
      <c r="F42" s="2" t="n">
        <v>-9</v>
      </c>
      <c r="G42" s="2" t="n">
        <v>-3</v>
      </c>
      <c r="H42" s="2" t="n">
        <v>15</v>
      </c>
      <c r="I42" s="2" t="n">
        <v>3</v>
      </c>
      <c r="J42" s="2" t="n">
        <v>11</v>
      </c>
      <c r="K42" s="2" t="n">
        <v>12</v>
      </c>
      <c r="L42" s="2" t="n">
        <v>9</v>
      </c>
      <c r="M42" s="2" t="n">
        <v>13</v>
      </c>
      <c r="N42" s="2" t="n">
        <v>11</v>
      </c>
      <c r="O42" s="2" t="n">
        <v>0</v>
      </c>
      <c r="P42" s="2" t="n">
        <v>7</v>
      </c>
      <c r="Q42" s="2" t="n">
        <v>15</v>
      </c>
      <c r="R42" s="2" t="n">
        <v>15</v>
      </c>
      <c r="S42" s="2" t="n">
        <v>7</v>
      </c>
      <c r="T42" s="2" t="n">
        <v>14</v>
      </c>
      <c r="U42" s="2" t="n">
        <v>16</v>
      </c>
      <c r="V42" s="2" t="n">
        <v>0</v>
      </c>
      <c r="W42" s="2" t="n">
        <v>12</v>
      </c>
      <c r="X42" s="2" t="n">
        <v>6</v>
      </c>
      <c r="Y42" s="2" t="n">
        <v>16</v>
      </c>
      <c r="Z42" s="2" t="n">
        <v>10</v>
      </c>
      <c r="AB42" s="22">
        <f>Z42-Y42</f>
        <v/>
      </c>
      <c r="AC42" s="34">
        <f>AVERAGE(X42:Z42)</f>
        <v/>
      </c>
      <c r="AD42" s="34">
        <f>AVERAGE(U42:Z42)</f>
        <v/>
      </c>
    </row>
    <row r="43">
      <c r="B43" s="3" t="inlineStr">
        <is>
          <t>Mining</t>
        </is>
      </c>
      <c r="C43" s="2" t="n">
        <v>-4</v>
      </c>
      <c r="D43" s="2" t="n">
        <v>11</v>
      </c>
      <c r="E43" s="2" t="n">
        <v>-8</v>
      </c>
      <c r="F43" s="2" t="n">
        <v>-5</v>
      </c>
      <c r="G43" s="2" t="n">
        <v>-13</v>
      </c>
      <c r="H43" s="2" t="n">
        <v>2</v>
      </c>
      <c r="I43" s="2" t="n">
        <v>-3</v>
      </c>
      <c r="J43" s="2" t="n">
        <v>-1</v>
      </c>
      <c r="K43" s="2" t="n">
        <v>5</v>
      </c>
      <c r="L43" s="2" t="n">
        <v>14</v>
      </c>
      <c r="M43" s="2" t="n">
        <v>6</v>
      </c>
      <c r="N43" s="2" t="n">
        <v>5</v>
      </c>
      <c r="O43" s="2" t="n">
        <v>0</v>
      </c>
      <c r="P43" s="2" t="n">
        <v>5</v>
      </c>
      <c r="Q43" s="2" t="n">
        <v>16</v>
      </c>
      <c r="R43" s="2" t="n">
        <v>12</v>
      </c>
      <c r="S43" s="2" t="n">
        <v>14</v>
      </c>
      <c r="T43" s="2" t="n">
        <v>3</v>
      </c>
      <c r="U43" s="2" t="n">
        <v>1</v>
      </c>
      <c r="V43" s="2" t="n">
        <v>3</v>
      </c>
      <c r="W43" s="2" t="n">
        <v>2</v>
      </c>
      <c r="X43" s="2" t="n">
        <v>9</v>
      </c>
      <c r="Y43" s="2" t="n">
        <v>3</v>
      </c>
      <c r="Z43" s="2" t="n">
        <v>-3</v>
      </c>
      <c r="AB43" s="22">
        <f>Z43-Y43</f>
        <v/>
      </c>
      <c r="AC43" s="34">
        <f>AVERAGE(X43:Z43)</f>
        <v/>
      </c>
      <c r="AD43" s="34">
        <f>AVERAGE(U43:Z43)</f>
        <v/>
      </c>
    </row>
    <row r="44">
      <c r="B44" s="3" t="inlineStr">
        <is>
          <t>Information</t>
        </is>
      </c>
      <c r="C44" s="2" t="n">
        <v>3</v>
      </c>
      <c r="D44" s="2" t="n">
        <v>-2</v>
      </c>
      <c r="E44" s="2" t="n">
        <v>-1</v>
      </c>
      <c r="F44" s="2" t="n">
        <v>-3</v>
      </c>
      <c r="G44" s="2" t="n">
        <v>-1</v>
      </c>
      <c r="H44" s="2" t="n">
        <v>3</v>
      </c>
      <c r="I44" s="2" t="n">
        <v>-1</v>
      </c>
      <c r="J44" s="2" t="n">
        <v>-2</v>
      </c>
      <c r="K44" s="2" t="n">
        <v>3</v>
      </c>
      <c r="L44" s="2" t="n">
        <v>2</v>
      </c>
      <c r="M44" s="2" t="n">
        <v>2</v>
      </c>
      <c r="N44" s="2" t="n">
        <v>8</v>
      </c>
      <c r="O44" s="2" t="n">
        <v>1</v>
      </c>
      <c r="P44" s="2" t="n">
        <v>2</v>
      </c>
      <c r="Q44" s="2" t="n">
        <v>4</v>
      </c>
      <c r="R44" s="2" t="n">
        <v>2</v>
      </c>
      <c r="S44" s="2" t="n">
        <v>9</v>
      </c>
      <c r="T44" s="2" t="n">
        <v>10</v>
      </c>
      <c r="U44" s="2" t="n">
        <v>11</v>
      </c>
      <c r="V44" s="2" t="n">
        <v>7</v>
      </c>
      <c r="W44" s="2" t="n">
        <v>10</v>
      </c>
      <c r="X44" s="2" t="n">
        <v>15</v>
      </c>
      <c r="Y44" s="2" t="n">
        <v>4</v>
      </c>
      <c r="Z44" s="2" t="n">
        <v>3</v>
      </c>
      <c r="AB44" s="22">
        <f>Z44-Y44</f>
        <v/>
      </c>
      <c r="AC44" s="34">
        <f>AVERAGE(X44:Z44)</f>
        <v/>
      </c>
      <c r="AD44" s="34">
        <f>AVERAGE(U44:Z44)</f>
        <v/>
      </c>
    </row>
    <row r="45">
      <c r="B45" s="4" t="inlineStr">
        <is>
          <t>Educational Services</t>
        </is>
      </c>
      <c r="C45" s="2" t="n">
        <v>2</v>
      </c>
      <c r="D45" s="2" t="n">
        <v>5</v>
      </c>
      <c r="E45" s="2" t="n">
        <v>-6</v>
      </c>
      <c r="F45" s="2" t="n">
        <v>-10</v>
      </c>
      <c r="G45" s="2" t="n">
        <v>-12</v>
      </c>
      <c r="H45" s="2" t="n">
        <v>6</v>
      </c>
      <c r="I45" s="2" t="n">
        <v>12</v>
      </c>
      <c r="J45" s="2" t="n">
        <v>3</v>
      </c>
      <c r="K45" s="2" t="n">
        <v>8</v>
      </c>
      <c r="L45" s="2" t="n">
        <v>7</v>
      </c>
      <c r="M45" s="2" t="n">
        <v>1</v>
      </c>
      <c r="N45" s="2" t="n">
        <v>-1</v>
      </c>
      <c r="O45" s="2" t="n">
        <v>0</v>
      </c>
      <c r="P45" s="2" t="n">
        <v>8</v>
      </c>
      <c r="Q45" s="2" t="n">
        <v>2</v>
      </c>
      <c r="R45" s="2" t="n">
        <v>9</v>
      </c>
      <c r="S45" s="2" t="n">
        <v>5</v>
      </c>
      <c r="T45" s="2" t="n">
        <v>2</v>
      </c>
      <c r="U45" s="2" t="n">
        <v>2</v>
      </c>
      <c r="V45" s="2" t="n">
        <v>13</v>
      </c>
      <c r="W45" s="2" t="n">
        <v>15</v>
      </c>
      <c r="X45" s="2" t="n">
        <v>13</v>
      </c>
      <c r="Y45" s="2" t="n">
        <v>1</v>
      </c>
      <c r="Z45" s="2" t="n">
        <v>-1</v>
      </c>
      <c r="AB45" s="22">
        <f>Z45-Y45</f>
        <v/>
      </c>
      <c r="AC45" s="34">
        <f>AVERAGE(X45:Z45)</f>
        <v/>
      </c>
      <c r="AD45" s="34">
        <f>AVERAGE(U45:Z45)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row>
    <row r="47" ht="16" customHeight="1" s="87"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row>
    <row r="48">
      <c r="B48" s="109"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10" t="n"/>
      <c r="AB48" s="111" t="inlineStr">
        <is>
          <t>mom</t>
        </is>
      </c>
      <c r="AC48" s="111" t="inlineStr">
        <is>
          <t>3 months</t>
        </is>
      </c>
      <c r="AD48" s="111" t="inlineStr">
        <is>
          <t>6 months</t>
        </is>
      </c>
    </row>
    <row r="49" ht="16" customHeight="1" s="87" thickBot="1">
      <c r="B49" s="110"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10" t="n"/>
      <c r="AB49" s="112" t="n"/>
      <c r="AC49" s="112" t="n"/>
      <c r="AD49" s="112" t="n"/>
    </row>
    <row r="50">
      <c r="B50" s="3" t="inlineStr">
        <is>
          <t>Retail Trade</t>
        </is>
      </c>
      <c r="C50" s="22" t="n">
        <v>-3</v>
      </c>
      <c r="D50" s="22" t="n">
        <v>0</v>
      </c>
      <c r="E50" s="22" t="n">
        <v>-7</v>
      </c>
      <c r="F50" s="22" t="n">
        <v>-14</v>
      </c>
      <c r="G50" s="22" t="n">
        <v>-2</v>
      </c>
      <c r="H50" s="22" t="n">
        <v>9</v>
      </c>
      <c r="I50" s="22" t="n">
        <v>12</v>
      </c>
      <c r="J50" s="22" t="n">
        <v>3</v>
      </c>
      <c r="K50" s="22" t="n">
        <v>-1</v>
      </c>
      <c r="L50" s="22" t="n">
        <v>4</v>
      </c>
      <c r="M50" s="22" t="n">
        <v>6</v>
      </c>
      <c r="N50" s="22" t="n">
        <v>9</v>
      </c>
      <c r="O50" s="22" t="n">
        <v>0</v>
      </c>
      <c r="P50" s="22" t="n">
        <v>0</v>
      </c>
      <c r="Q50" s="22" t="n">
        <v>8</v>
      </c>
      <c r="R50" s="22" t="n">
        <v>12</v>
      </c>
      <c r="S50" s="22" t="n">
        <v>18</v>
      </c>
      <c r="T50" s="22" t="n">
        <v>11</v>
      </c>
      <c r="U50" s="22" t="n">
        <v>7</v>
      </c>
      <c r="V50" s="22" t="n">
        <v>11</v>
      </c>
      <c r="W50" s="22" t="n">
        <v>17</v>
      </c>
      <c r="X50" s="22" t="n">
        <v>16</v>
      </c>
      <c r="Y50" s="22" t="n">
        <v>17</v>
      </c>
      <c r="Z50" s="22" t="n">
        <v>6</v>
      </c>
      <c r="AB50" s="22">
        <f>Z50-Y50</f>
        <v/>
      </c>
      <c r="AC50" s="34">
        <f>AVERAGE(X50:Z50)</f>
        <v/>
      </c>
      <c r="AD50" s="34">
        <f>AVERAGE(U50:Z50)</f>
        <v/>
      </c>
    </row>
    <row r="51">
      <c r="B51" s="3" t="inlineStr">
        <is>
          <t>Finance &amp; Insurance</t>
        </is>
      </c>
      <c r="C51" s="22" t="n">
        <v>6</v>
      </c>
      <c r="D51" s="22" t="n">
        <v>10</v>
      </c>
      <c r="E51" s="22" t="n">
        <v>0</v>
      </c>
      <c r="F51" s="22" t="n">
        <v>1</v>
      </c>
      <c r="G51" s="22" t="n">
        <v>0</v>
      </c>
      <c r="H51" s="22" t="n">
        <v>8</v>
      </c>
      <c r="I51" s="22" t="n">
        <v>2</v>
      </c>
      <c r="J51" s="22" t="n">
        <v>4</v>
      </c>
      <c r="K51" s="22" t="n">
        <v>2</v>
      </c>
      <c r="L51" s="22" t="n">
        <v>9</v>
      </c>
      <c r="M51" s="22" t="n">
        <v>9</v>
      </c>
      <c r="N51" s="22" t="n">
        <v>5</v>
      </c>
      <c r="O51" s="22" t="n">
        <v>7</v>
      </c>
      <c r="P51" s="22" t="n">
        <v>2</v>
      </c>
      <c r="Q51" s="22" t="n">
        <v>4</v>
      </c>
      <c r="R51" s="22" t="n">
        <v>4</v>
      </c>
      <c r="S51" s="22" t="n">
        <v>16</v>
      </c>
      <c r="T51" s="22" t="n">
        <v>5</v>
      </c>
      <c r="U51" s="22" t="n">
        <v>5</v>
      </c>
      <c r="V51" s="22" t="n">
        <v>5</v>
      </c>
      <c r="W51" s="22" t="n">
        <v>3</v>
      </c>
      <c r="X51" s="22" t="n">
        <v>3</v>
      </c>
      <c r="Y51" s="22" t="n">
        <v>5</v>
      </c>
      <c r="Z51" s="22" t="n">
        <v>4</v>
      </c>
      <c r="AB51" s="22">
        <f>Z51-Y51</f>
        <v/>
      </c>
      <c r="AC51" s="34">
        <f>AVERAGE(X51:Z51)</f>
        <v/>
      </c>
      <c r="AD51" s="34">
        <f>AVERAGE(U51:Z51)</f>
        <v/>
      </c>
    </row>
    <row r="52">
      <c r="B52" s="3" t="inlineStr">
        <is>
          <t>Health Care &amp; Social Assistance</t>
        </is>
      </c>
      <c r="C52" s="22" t="n">
        <v>5</v>
      </c>
      <c r="D52" s="22" t="n">
        <v>5</v>
      </c>
      <c r="E52" s="22" t="n">
        <v>4</v>
      </c>
      <c r="F52" s="22" t="n">
        <v>-1</v>
      </c>
      <c r="G52" s="22" t="n">
        <v>-3</v>
      </c>
      <c r="H52" s="22" t="n">
        <v>11</v>
      </c>
      <c r="I52" s="22" t="n">
        <v>11</v>
      </c>
      <c r="J52" s="22" t="n">
        <v>8</v>
      </c>
      <c r="K52" s="22" t="n">
        <v>11</v>
      </c>
      <c r="L52" s="22" t="n">
        <v>13</v>
      </c>
      <c r="M52" s="22" t="n">
        <v>10</v>
      </c>
      <c r="N52" s="22" t="n">
        <v>8</v>
      </c>
      <c r="O52" s="22" t="n">
        <v>0</v>
      </c>
      <c r="P52" s="22" t="n">
        <v>1</v>
      </c>
      <c r="Q52" s="22" t="n">
        <v>10</v>
      </c>
      <c r="R52" s="22" t="n">
        <v>5</v>
      </c>
      <c r="S52" s="22" t="n">
        <v>12</v>
      </c>
      <c r="T52" s="22" t="n">
        <v>7</v>
      </c>
      <c r="U52" s="22" t="n">
        <v>9</v>
      </c>
      <c r="V52" s="22" t="n">
        <v>6</v>
      </c>
      <c r="W52" s="22" t="n">
        <v>5</v>
      </c>
      <c r="X52" s="22" t="n">
        <v>7</v>
      </c>
      <c r="Y52" s="22" t="n">
        <v>12</v>
      </c>
      <c r="Z52" s="22" t="n">
        <v>5</v>
      </c>
      <c r="AB52" s="22">
        <f>Z52-Y52</f>
        <v/>
      </c>
      <c r="AC52" s="34">
        <f>AVERAGE(X52:Z52)</f>
        <v/>
      </c>
      <c r="AD52" s="34">
        <f>AVERAGE(U52:Z52)</f>
        <v/>
      </c>
    </row>
    <row r="53">
      <c r="B53" s="3" t="inlineStr">
        <is>
          <t>Utilities</t>
        </is>
      </c>
      <c r="C53" s="22" t="n">
        <v>4</v>
      </c>
      <c r="D53" s="22" t="n">
        <v>1</v>
      </c>
      <c r="E53" s="22" t="n">
        <v>0</v>
      </c>
      <c r="F53" s="22" t="n">
        <v>-12</v>
      </c>
      <c r="G53" s="22" t="n">
        <v>-10</v>
      </c>
      <c r="H53" s="22" t="n">
        <v>-1</v>
      </c>
      <c r="I53" s="22" t="n">
        <v>1</v>
      </c>
      <c r="J53" s="22" t="n">
        <v>11</v>
      </c>
      <c r="K53" s="22" t="n">
        <v>12</v>
      </c>
      <c r="L53" s="22" t="n">
        <v>2</v>
      </c>
      <c r="M53" s="22" t="n">
        <v>5</v>
      </c>
      <c r="N53" s="22" t="n">
        <v>0</v>
      </c>
      <c r="O53" s="22" t="n">
        <v>0</v>
      </c>
      <c r="P53" s="22" t="n">
        <v>4</v>
      </c>
      <c r="Q53" s="22" t="n">
        <v>12</v>
      </c>
      <c r="R53" s="22" t="n">
        <v>13</v>
      </c>
      <c r="S53" s="22" t="n">
        <v>6</v>
      </c>
      <c r="T53" s="22" t="n">
        <v>8</v>
      </c>
      <c r="U53" s="22" t="n">
        <v>8</v>
      </c>
      <c r="V53" s="22" t="n">
        <v>3</v>
      </c>
      <c r="W53" s="22" t="n">
        <v>6</v>
      </c>
      <c r="X53" s="22" t="n">
        <v>12</v>
      </c>
      <c r="Y53" s="22" t="n">
        <v>6</v>
      </c>
      <c r="Z53" s="22" t="n">
        <v>2</v>
      </c>
      <c r="AB53" s="22">
        <f>Z53-Y53</f>
        <v/>
      </c>
      <c r="AC53" s="34">
        <f>AVERAGE(X53:Z53)</f>
        <v/>
      </c>
      <c r="AD53" s="34">
        <f>AVERAGE(U53:Z53)</f>
        <v/>
      </c>
    </row>
    <row r="54">
      <c r="B54" s="3" t="inlineStr">
        <is>
          <t>Other Services</t>
        </is>
      </c>
      <c r="C54" s="22" t="n">
        <v>-2</v>
      </c>
      <c r="D54" s="22" t="n">
        <v>6</v>
      </c>
      <c r="E54" s="22" t="n">
        <v>-9</v>
      </c>
      <c r="F54" s="22" t="n">
        <v>-8</v>
      </c>
      <c r="G54" s="22" t="n">
        <v>-13</v>
      </c>
      <c r="H54" s="22" t="n">
        <v>10</v>
      </c>
      <c r="I54" s="22" t="n">
        <v>0</v>
      </c>
      <c r="J54" s="22" t="n">
        <v>0</v>
      </c>
      <c r="K54" s="22" t="n">
        <v>7</v>
      </c>
      <c r="L54" s="22" t="n">
        <v>5</v>
      </c>
      <c r="M54" s="22" t="n">
        <v>-2</v>
      </c>
      <c r="N54" s="22" t="n">
        <v>-1</v>
      </c>
      <c r="O54" s="22" t="n">
        <v>0</v>
      </c>
      <c r="P54" s="22" t="n">
        <v>-1</v>
      </c>
      <c r="Q54" s="22" t="n">
        <v>0</v>
      </c>
      <c r="R54" s="22" t="n">
        <v>14</v>
      </c>
      <c r="S54" s="22" t="n">
        <v>8</v>
      </c>
      <c r="T54" s="22" t="n">
        <v>13</v>
      </c>
      <c r="U54" s="22" t="n">
        <v>12</v>
      </c>
      <c r="V54" s="22" t="n">
        <v>8</v>
      </c>
      <c r="W54" s="22" t="n">
        <v>15</v>
      </c>
      <c r="X54" s="22" t="n">
        <v>14</v>
      </c>
      <c r="Y54" s="22" t="n">
        <v>8</v>
      </c>
      <c r="Z54" s="22" t="n">
        <v>7</v>
      </c>
      <c r="AB54" s="22">
        <f>Z54-Y54</f>
        <v/>
      </c>
      <c r="AC54" s="34">
        <f>AVERAGE(X54:Z54)</f>
        <v/>
      </c>
      <c r="AD54" s="34">
        <f>AVERAGE(U54:Z54)</f>
        <v/>
      </c>
    </row>
    <row r="55">
      <c r="B55" s="3" t="inlineStr">
        <is>
          <t>Real Estate, Rental &amp; Leasing</t>
        </is>
      </c>
      <c r="C55" s="22" t="n">
        <v>-4</v>
      </c>
      <c r="D55" s="22" t="n">
        <v>0</v>
      </c>
      <c r="E55" s="22" t="n">
        <v>5</v>
      </c>
      <c r="F55" s="22" t="n">
        <v>-6</v>
      </c>
      <c r="G55" s="22" t="n">
        <v>0</v>
      </c>
      <c r="H55" s="22" t="n">
        <v>14</v>
      </c>
      <c r="I55" s="22" t="n">
        <v>7</v>
      </c>
      <c r="J55" s="22" t="n">
        <v>-3</v>
      </c>
      <c r="K55" s="22" t="n">
        <v>13</v>
      </c>
      <c r="L55" s="22" t="n">
        <v>0</v>
      </c>
      <c r="M55" s="22" t="n">
        <v>0</v>
      </c>
      <c r="N55" s="22" t="n">
        <v>-4</v>
      </c>
      <c r="O55" s="22" t="n">
        <v>8</v>
      </c>
      <c r="P55" s="22" t="n">
        <v>-2</v>
      </c>
      <c r="Q55" s="22" t="n">
        <v>5</v>
      </c>
      <c r="R55" s="22" t="n">
        <v>10</v>
      </c>
      <c r="S55" s="22" t="n">
        <v>4</v>
      </c>
      <c r="T55" s="22" t="n">
        <v>0</v>
      </c>
      <c r="U55" s="22" t="n">
        <v>13</v>
      </c>
      <c r="V55" s="22" t="n">
        <v>-2</v>
      </c>
      <c r="W55" s="22" t="n">
        <v>14</v>
      </c>
      <c r="X55" s="22" t="n">
        <v>13</v>
      </c>
      <c r="Y55" s="22" t="n">
        <v>7</v>
      </c>
      <c r="Z55" s="22" t="n">
        <v>0</v>
      </c>
      <c r="AB55" s="22">
        <f>Z55-Y55</f>
        <v/>
      </c>
      <c r="AC55" s="34">
        <f>AVERAGE(X55:Z55)</f>
        <v/>
      </c>
      <c r="AD55" s="34">
        <f>AVERAGE(U55:Z55)</f>
        <v/>
      </c>
    </row>
    <row r="56">
      <c r="B56" s="3" t="inlineStr">
        <is>
          <t>Transportation &amp; Warehousing</t>
        </is>
      </c>
      <c r="C56" s="22" t="n">
        <v>0</v>
      </c>
      <c r="D56" s="22" t="n">
        <v>11</v>
      </c>
      <c r="E56" s="22" t="n">
        <v>0</v>
      </c>
      <c r="F56" s="22" t="n">
        <v>-4</v>
      </c>
      <c r="G56" s="22" t="n">
        <v>-4</v>
      </c>
      <c r="H56" s="22" t="n">
        <v>2</v>
      </c>
      <c r="I56" s="22" t="n">
        <v>3</v>
      </c>
      <c r="J56" s="22" t="n">
        <v>2</v>
      </c>
      <c r="K56" s="22" t="n">
        <v>6</v>
      </c>
      <c r="L56" s="22" t="n">
        <v>15</v>
      </c>
      <c r="M56" s="22" t="n">
        <v>13</v>
      </c>
      <c r="N56" s="22" t="n">
        <v>7</v>
      </c>
      <c r="O56" s="22" t="n">
        <v>3</v>
      </c>
      <c r="P56" s="22" t="n">
        <v>7</v>
      </c>
      <c r="Q56" s="22" t="n">
        <v>7</v>
      </c>
      <c r="R56" s="22" t="n">
        <v>9</v>
      </c>
      <c r="S56" s="22" t="n">
        <v>15</v>
      </c>
      <c r="T56" s="22" t="n">
        <v>14</v>
      </c>
      <c r="U56" s="22" t="n">
        <v>6</v>
      </c>
      <c r="V56" s="22" t="n">
        <v>2</v>
      </c>
      <c r="W56" s="22" t="n">
        <v>10</v>
      </c>
      <c r="X56" s="22" t="n">
        <v>15</v>
      </c>
      <c r="Y56" s="22" t="n">
        <v>18</v>
      </c>
      <c r="Z56" s="22" t="n">
        <v>10</v>
      </c>
      <c r="AB56" s="22">
        <f>Z56-Y56</f>
        <v/>
      </c>
      <c r="AC56" s="34">
        <f>AVERAGE(X56:Z56)</f>
        <v/>
      </c>
      <c r="AD56" s="34">
        <f>AVERAGE(U56:Z56)</f>
        <v/>
      </c>
    </row>
    <row r="57">
      <c r="B57" s="3" t="inlineStr">
        <is>
          <t>Accommodation &amp; Food Services</t>
        </is>
      </c>
      <c r="C57" s="22" t="n">
        <v>8</v>
      </c>
      <c r="D57" s="22" t="n">
        <v>16</v>
      </c>
      <c r="E57" s="22" t="n">
        <v>3</v>
      </c>
      <c r="F57" s="22" t="n">
        <v>-2</v>
      </c>
      <c r="G57" s="22" t="n">
        <v>-5</v>
      </c>
      <c r="H57" s="22" t="n">
        <v>13</v>
      </c>
      <c r="I57" s="22" t="n">
        <v>0</v>
      </c>
      <c r="J57" s="22" t="n">
        <v>9</v>
      </c>
      <c r="K57" s="22" t="n">
        <v>5</v>
      </c>
      <c r="L57" s="22" t="n">
        <v>12</v>
      </c>
      <c r="M57" s="22" t="n">
        <v>4</v>
      </c>
      <c r="N57" s="22" t="n">
        <v>-2</v>
      </c>
      <c r="O57" s="22" t="n">
        <v>-2</v>
      </c>
      <c r="P57" s="22" t="n">
        <v>10</v>
      </c>
      <c r="Q57" s="22" t="n">
        <v>13</v>
      </c>
      <c r="R57" s="22" t="n">
        <v>1</v>
      </c>
      <c r="S57" s="22" t="n">
        <v>3</v>
      </c>
      <c r="T57" s="22" t="n">
        <v>10</v>
      </c>
      <c r="U57" s="22" t="n">
        <v>10</v>
      </c>
      <c r="V57" s="22" t="n">
        <v>12</v>
      </c>
      <c r="W57" s="22" t="n">
        <v>2</v>
      </c>
      <c r="X57" s="22" t="n">
        <v>9</v>
      </c>
      <c r="Y57" s="22" t="n">
        <v>3</v>
      </c>
      <c r="Z57" s="22" t="n">
        <v>12</v>
      </c>
      <c r="AB57" s="22">
        <f>Z57-Y57</f>
        <v/>
      </c>
      <c r="AC57" s="34">
        <f>AVERAGE(X57:Z57)</f>
        <v/>
      </c>
      <c r="AD57" s="34">
        <f>AVERAGE(U57:Z57)</f>
        <v/>
      </c>
    </row>
    <row r="58">
      <c r="B58" s="3" t="inlineStr">
        <is>
          <t>Construction</t>
        </is>
      </c>
      <c r="C58" s="22" t="n">
        <v>2</v>
      </c>
      <c r="D58" s="22" t="n">
        <v>12</v>
      </c>
      <c r="E58" s="22" t="n">
        <v>1</v>
      </c>
      <c r="F58" s="22" t="n">
        <v>-7</v>
      </c>
      <c r="G58" s="22" t="n">
        <v>-8</v>
      </c>
      <c r="H58" s="22" t="n">
        <v>6</v>
      </c>
      <c r="I58" s="22" t="n">
        <v>5</v>
      </c>
      <c r="J58" s="22" t="n">
        <v>1</v>
      </c>
      <c r="K58" s="22" t="n">
        <v>0</v>
      </c>
      <c r="L58" s="22" t="n">
        <v>14</v>
      </c>
      <c r="M58" s="22" t="n">
        <v>7</v>
      </c>
      <c r="N58" s="22" t="n">
        <v>3</v>
      </c>
      <c r="O58" s="22" t="n">
        <v>4</v>
      </c>
      <c r="P58" s="22" t="n">
        <v>9</v>
      </c>
      <c r="Q58" s="22" t="n">
        <v>3</v>
      </c>
      <c r="R58" s="22" t="n">
        <v>7</v>
      </c>
      <c r="S58" s="22" t="n">
        <v>13</v>
      </c>
      <c r="T58" s="22" t="n">
        <v>1</v>
      </c>
      <c r="U58" s="22" t="n">
        <v>1</v>
      </c>
      <c r="V58" s="22" t="n">
        <v>9</v>
      </c>
      <c r="W58" s="22" t="n">
        <v>8</v>
      </c>
      <c r="X58" s="22" t="n">
        <v>5</v>
      </c>
      <c r="Y58" s="22" t="n">
        <v>15</v>
      </c>
      <c r="Z58" s="22" t="n">
        <v>13</v>
      </c>
      <c r="AB58" s="22">
        <f>Z58-Y58</f>
        <v/>
      </c>
      <c r="AC58" s="34">
        <f>AVERAGE(X58:Z58)</f>
        <v/>
      </c>
      <c r="AD58" s="34">
        <f>AVERAGE(U58:Z58)</f>
        <v/>
      </c>
    </row>
    <row r="59">
      <c r="B59" s="3" t="inlineStr">
        <is>
          <t>Agriculture, Forestry, Fishing &amp; Hunting</t>
        </is>
      </c>
      <c r="C59" s="22" t="n">
        <v>10</v>
      </c>
      <c r="D59" s="22" t="n">
        <v>9</v>
      </c>
      <c r="E59" s="22" t="n">
        <v>0</v>
      </c>
      <c r="F59" s="22" t="n">
        <v>-15</v>
      </c>
      <c r="G59" s="22" t="n">
        <v>0</v>
      </c>
      <c r="H59" s="22" t="n">
        <v>0</v>
      </c>
      <c r="I59" s="22" t="n">
        <v>0</v>
      </c>
      <c r="J59" s="22" t="n">
        <v>-4</v>
      </c>
      <c r="K59" s="22" t="n">
        <v>-2</v>
      </c>
      <c r="L59" s="22" t="n">
        <v>8</v>
      </c>
      <c r="M59" s="22" t="n">
        <v>0</v>
      </c>
      <c r="N59" s="22" t="n">
        <v>-3</v>
      </c>
      <c r="O59" s="22" t="n">
        <v>6</v>
      </c>
      <c r="P59" s="22" t="n">
        <v>0</v>
      </c>
      <c r="Q59" s="22" t="n">
        <v>6</v>
      </c>
      <c r="R59" s="22" t="n">
        <v>-1</v>
      </c>
      <c r="S59" s="22" t="n">
        <v>5</v>
      </c>
      <c r="T59" s="22" t="n">
        <v>0</v>
      </c>
      <c r="U59" s="22" t="n">
        <v>0</v>
      </c>
      <c r="V59" s="22" t="n">
        <v>0</v>
      </c>
      <c r="W59" s="22" t="n">
        <v>-1</v>
      </c>
      <c r="X59" s="22" t="n">
        <v>0</v>
      </c>
      <c r="Y59" s="22" t="n">
        <v>10</v>
      </c>
      <c r="Z59" s="22" t="n">
        <v>-2</v>
      </c>
      <c r="AB59" s="22">
        <f>Z59-Y59</f>
        <v/>
      </c>
      <c r="AC59" s="34">
        <f>AVERAGE(X59:Z59)</f>
        <v/>
      </c>
      <c r="AD59" s="34">
        <f>AVERAGE(U59:Z59)</f>
        <v/>
      </c>
    </row>
    <row r="60">
      <c r="B60" s="3" t="inlineStr">
        <is>
          <t>Arts, Entertainment &amp; Recreation</t>
        </is>
      </c>
      <c r="C60" s="22" t="n">
        <v>0</v>
      </c>
      <c r="D60" s="22" t="n">
        <v>-1</v>
      </c>
      <c r="E60" s="22" t="n">
        <v>-8</v>
      </c>
      <c r="F60" s="22" t="n">
        <v>-16</v>
      </c>
      <c r="G60" s="22" t="n">
        <v>-9</v>
      </c>
      <c r="H60" s="22" t="n">
        <v>7</v>
      </c>
      <c r="I60" s="22" t="n">
        <v>9</v>
      </c>
      <c r="J60" s="22" t="n">
        <v>12</v>
      </c>
      <c r="K60" s="22" t="n">
        <v>14</v>
      </c>
      <c r="L60" s="22" t="n">
        <v>0</v>
      </c>
      <c r="M60" s="22" t="n">
        <v>-3</v>
      </c>
      <c r="N60" s="22" t="n">
        <v>-5</v>
      </c>
      <c r="O60" s="22" t="n">
        <v>-3</v>
      </c>
      <c r="P60" s="22" t="n">
        <v>0</v>
      </c>
      <c r="Q60" s="22" t="n">
        <v>17</v>
      </c>
      <c r="R60" s="22" t="n">
        <v>17</v>
      </c>
      <c r="S60" s="22" t="n">
        <v>11</v>
      </c>
      <c r="T60" s="22" t="n">
        <v>16</v>
      </c>
      <c r="U60" s="22" t="n">
        <v>16</v>
      </c>
      <c r="V60" s="22" t="n">
        <v>-3</v>
      </c>
      <c r="W60" s="22" t="n">
        <v>16</v>
      </c>
      <c r="X60" s="22" t="n">
        <v>8</v>
      </c>
      <c r="Y60" s="22" t="n">
        <v>9</v>
      </c>
      <c r="Z60" s="22" t="n">
        <v>8</v>
      </c>
      <c r="AB60" s="22">
        <f>Z60-Y60</f>
        <v/>
      </c>
      <c r="AC60" s="34">
        <f>AVERAGE(X60:Z60)</f>
        <v/>
      </c>
      <c r="AD60" s="34">
        <f>AVERAGE(U60:Z60)</f>
        <v/>
      </c>
    </row>
    <row r="61">
      <c r="B61" s="3" t="inlineStr">
        <is>
          <t>Mining</t>
        </is>
      </c>
      <c r="C61" s="22" t="n">
        <v>0</v>
      </c>
      <c r="D61" s="22" t="n">
        <v>13</v>
      </c>
      <c r="E61" s="22" t="n">
        <v>-3</v>
      </c>
      <c r="F61" s="22" t="n">
        <v>-13</v>
      </c>
      <c r="G61" s="22" t="n">
        <v>-14</v>
      </c>
      <c r="H61" s="22" t="n">
        <v>12</v>
      </c>
      <c r="I61" s="22" t="n">
        <v>-2</v>
      </c>
      <c r="J61" s="22" t="n">
        <v>-5</v>
      </c>
      <c r="K61" s="22" t="n">
        <v>4</v>
      </c>
      <c r="L61" s="22" t="n">
        <v>7</v>
      </c>
      <c r="M61" s="22" t="n">
        <v>11</v>
      </c>
      <c r="N61" s="22" t="n">
        <v>0</v>
      </c>
      <c r="O61" s="22" t="n">
        <v>0</v>
      </c>
      <c r="P61" s="22" t="n">
        <v>0</v>
      </c>
      <c r="Q61" s="22" t="n">
        <v>16</v>
      </c>
      <c r="R61" s="22" t="n">
        <v>8</v>
      </c>
      <c r="S61" s="22" t="n">
        <v>14</v>
      </c>
      <c r="T61" s="22" t="n">
        <v>9</v>
      </c>
      <c r="U61" s="22" t="n">
        <v>-1</v>
      </c>
      <c r="V61" s="22" t="n">
        <v>7</v>
      </c>
      <c r="W61" s="22" t="n">
        <v>11</v>
      </c>
      <c r="X61" s="22" t="n">
        <v>0</v>
      </c>
      <c r="Y61" s="22" t="n">
        <v>13</v>
      </c>
      <c r="Z61" s="22" t="n">
        <v>-3</v>
      </c>
      <c r="AB61" s="22">
        <f>Z61-Y61</f>
        <v/>
      </c>
      <c r="AC61" s="34">
        <f>AVERAGE(X61:Z61)</f>
        <v/>
      </c>
      <c r="AD61" s="34">
        <f>AVERAGE(U61:Z61)</f>
        <v/>
      </c>
    </row>
    <row r="62">
      <c r="B62" s="3" t="inlineStr">
        <is>
          <t>Professional, Scientific &amp; Technical Services</t>
        </is>
      </c>
      <c r="C62" s="22" t="n">
        <v>-1</v>
      </c>
      <c r="D62" s="22" t="n">
        <v>3</v>
      </c>
      <c r="E62" s="22" t="n">
        <v>-5</v>
      </c>
      <c r="F62" s="22" t="n">
        <v>-10</v>
      </c>
      <c r="G62" s="22" t="n">
        <v>-7</v>
      </c>
      <c r="H62" s="22" t="n">
        <v>1</v>
      </c>
      <c r="I62" s="22" t="n">
        <v>-1</v>
      </c>
      <c r="J62" s="22" t="n">
        <v>-1</v>
      </c>
      <c r="K62" s="22" t="n">
        <v>0</v>
      </c>
      <c r="L62" s="22" t="n">
        <v>6</v>
      </c>
      <c r="M62" s="22" t="n">
        <v>8</v>
      </c>
      <c r="N62" s="22" t="n">
        <v>1</v>
      </c>
      <c r="O62" s="22" t="n">
        <v>1</v>
      </c>
      <c r="P62" s="22" t="n">
        <v>6</v>
      </c>
      <c r="Q62" s="22" t="n">
        <v>9</v>
      </c>
      <c r="R62" s="22" t="n">
        <v>3</v>
      </c>
      <c r="S62" s="22" t="n">
        <v>2</v>
      </c>
      <c r="T62" s="22" t="n">
        <v>2</v>
      </c>
      <c r="U62" s="22" t="n">
        <v>2</v>
      </c>
      <c r="V62" s="22" t="n">
        <v>1</v>
      </c>
      <c r="W62" s="22" t="n">
        <v>12</v>
      </c>
      <c r="X62" s="22" t="n">
        <v>2</v>
      </c>
      <c r="Y62" s="22" t="n">
        <v>4</v>
      </c>
      <c r="Z62" s="22" t="n">
        <v>3</v>
      </c>
      <c r="AB62" s="22">
        <f>Z62-Y62</f>
        <v/>
      </c>
      <c r="AC62" s="34">
        <f>AVERAGE(X62:Z62)</f>
        <v/>
      </c>
      <c r="AD62" s="34">
        <f>AVERAGE(U62:Z62)</f>
        <v/>
      </c>
    </row>
    <row r="63">
      <c r="B63" s="3" t="inlineStr">
        <is>
          <t>Wholesale Trade</t>
        </is>
      </c>
      <c r="C63" s="22" t="n">
        <v>1</v>
      </c>
      <c r="D63" s="22" t="n">
        <v>7</v>
      </c>
      <c r="E63" s="22" t="n">
        <v>-4</v>
      </c>
      <c r="F63" s="22" t="n">
        <v>-11</v>
      </c>
      <c r="G63" s="22" t="n">
        <v>-6</v>
      </c>
      <c r="H63" s="22" t="n">
        <v>5</v>
      </c>
      <c r="I63" s="22" t="n">
        <v>10</v>
      </c>
      <c r="J63" s="22" t="n">
        <v>5</v>
      </c>
      <c r="K63" s="22" t="n">
        <v>10</v>
      </c>
      <c r="L63" s="22" t="n">
        <v>3</v>
      </c>
      <c r="M63" s="22" t="n">
        <v>2</v>
      </c>
      <c r="N63" s="22" t="n">
        <v>6</v>
      </c>
      <c r="O63" s="22" t="n">
        <v>5</v>
      </c>
      <c r="P63" s="22" t="n">
        <v>11</v>
      </c>
      <c r="Q63" s="22" t="n">
        <v>14</v>
      </c>
      <c r="R63" s="22" t="n">
        <v>16</v>
      </c>
      <c r="S63" s="22" t="n">
        <v>17</v>
      </c>
      <c r="T63" s="22" t="n">
        <v>12</v>
      </c>
      <c r="U63" s="22" t="n">
        <v>15</v>
      </c>
      <c r="V63" s="22" t="n">
        <v>-1</v>
      </c>
      <c r="W63" s="22" t="n">
        <v>1</v>
      </c>
      <c r="X63" s="22" t="n">
        <v>6</v>
      </c>
      <c r="Y63" s="22" t="n">
        <v>14</v>
      </c>
      <c r="Z63" s="22" t="n">
        <v>11</v>
      </c>
      <c r="AB63" s="22">
        <f>Z63-Y63</f>
        <v/>
      </c>
      <c r="AC63" s="34">
        <f>AVERAGE(X63:Z63)</f>
        <v/>
      </c>
      <c r="AD63" s="34">
        <f>AVERAGE(U63:Z63)</f>
        <v/>
      </c>
    </row>
    <row r="64">
      <c r="B64" s="3" t="inlineStr">
        <is>
          <t>Public Administration</t>
        </is>
      </c>
      <c r="C64" s="22" t="n">
        <v>7</v>
      </c>
      <c r="D64" s="22" t="n">
        <v>8</v>
      </c>
      <c r="E64" s="22" t="n">
        <v>2</v>
      </c>
      <c r="F64" s="22" t="n">
        <v>2</v>
      </c>
      <c r="G64" s="22" t="n">
        <v>-1</v>
      </c>
      <c r="H64" s="22" t="n">
        <v>0</v>
      </c>
      <c r="I64" s="22" t="n">
        <v>6</v>
      </c>
      <c r="J64" s="22" t="n">
        <v>10</v>
      </c>
      <c r="K64" s="22" t="n">
        <v>3</v>
      </c>
      <c r="L64" s="22" t="n">
        <v>-1</v>
      </c>
      <c r="M64" s="22" t="n">
        <v>1</v>
      </c>
      <c r="N64" s="22" t="n">
        <v>2</v>
      </c>
      <c r="O64" s="22" t="n">
        <v>0</v>
      </c>
      <c r="P64" s="22" t="n">
        <v>8</v>
      </c>
      <c r="Q64" s="22" t="n">
        <v>11</v>
      </c>
      <c r="R64" s="22" t="n">
        <v>11</v>
      </c>
      <c r="S64" s="22" t="n">
        <v>1</v>
      </c>
      <c r="T64" s="22" t="n">
        <v>4</v>
      </c>
      <c r="U64" s="22" t="n">
        <v>11</v>
      </c>
      <c r="V64" s="22" t="n">
        <v>4</v>
      </c>
      <c r="W64" s="22" t="n">
        <v>9</v>
      </c>
      <c r="X64" s="22" t="n">
        <v>1</v>
      </c>
      <c r="Y64" s="22" t="n">
        <v>11</v>
      </c>
      <c r="Z64" s="22" t="n">
        <v>1</v>
      </c>
      <c r="AB64" s="22">
        <f>Z64-Y64</f>
        <v/>
      </c>
      <c r="AC64" s="34">
        <f>AVERAGE(X64:Z64)</f>
        <v/>
      </c>
      <c r="AD64" s="34">
        <f>AVERAGE(U64:Z64)</f>
        <v/>
      </c>
    </row>
    <row r="65">
      <c r="B65" s="3" t="inlineStr">
        <is>
          <t>Information</t>
        </is>
      </c>
      <c r="C65" s="22" t="n">
        <v>0</v>
      </c>
      <c r="D65" s="22" t="n">
        <v>2</v>
      </c>
      <c r="E65" s="22" t="n">
        <v>-1</v>
      </c>
      <c r="F65" s="22" t="n">
        <v>-5</v>
      </c>
      <c r="G65" s="22" t="n">
        <v>0</v>
      </c>
      <c r="H65" s="22" t="n">
        <v>4</v>
      </c>
      <c r="I65" s="22" t="n">
        <v>0</v>
      </c>
      <c r="J65" s="22" t="n">
        <v>-2</v>
      </c>
      <c r="K65" s="22" t="n">
        <v>1</v>
      </c>
      <c r="L65" s="22" t="n">
        <v>1</v>
      </c>
      <c r="M65" s="22" t="n">
        <v>-1</v>
      </c>
      <c r="N65" s="22" t="n">
        <v>4</v>
      </c>
      <c r="O65" s="22" t="n">
        <v>2</v>
      </c>
      <c r="P65" s="22" t="n">
        <v>0</v>
      </c>
      <c r="Q65" s="22" t="n">
        <v>2</v>
      </c>
      <c r="R65" s="22" t="n">
        <v>2</v>
      </c>
      <c r="S65" s="22" t="n">
        <v>10</v>
      </c>
      <c r="T65" s="22" t="n">
        <v>6</v>
      </c>
      <c r="U65" s="22" t="n">
        <v>3</v>
      </c>
      <c r="V65" s="22" t="n">
        <v>13</v>
      </c>
      <c r="W65" s="22" t="n">
        <v>4</v>
      </c>
      <c r="X65" s="22" t="n">
        <v>11</v>
      </c>
      <c r="Y65" s="22" t="n">
        <v>2</v>
      </c>
      <c r="Z65" s="22" t="n">
        <v>0</v>
      </c>
      <c r="AB65" s="22">
        <f>Z65-Y65</f>
        <v/>
      </c>
      <c r="AC65" s="34">
        <f>AVERAGE(X65:Z65)</f>
        <v/>
      </c>
      <c r="AD65" s="34">
        <f>AVERAGE(U65:Z65)</f>
        <v/>
      </c>
    </row>
    <row r="66">
      <c r="B66" s="3" t="inlineStr">
        <is>
          <t>Management of Companies &amp; Support Services</t>
        </is>
      </c>
      <c r="C66" s="22" t="n">
        <v>9</v>
      </c>
      <c r="D66" s="22" t="n">
        <v>14</v>
      </c>
      <c r="E66" s="22" t="n">
        <v>-2</v>
      </c>
      <c r="F66" s="22" t="n">
        <v>-3</v>
      </c>
      <c r="G66" s="22" t="n">
        <v>-11</v>
      </c>
      <c r="H66" s="22" t="n">
        <v>0</v>
      </c>
      <c r="I66" s="22" t="n">
        <v>4</v>
      </c>
      <c r="J66" s="22" t="n">
        <v>6</v>
      </c>
      <c r="K66" s="22" t="n">
        <v>8</v>
      </c>
      <c r="L66" s="22" t="n">
        <v>11</v>
      </c>
      <c r="M66" s="22" t="n">
        <v>12</v>
      </c>
      <c r="N66" s="22" t="n">
        <v>10</v>
      </c>
      <c r="O66" s="22" t="n">
        <v>0</v>
      </c>
      <c r="P66" s="22" t="n">
        <v>5</v>
      </c>
      <c r="Q66" s="22" t="n">
        <v>15</v>
      </c>
      <c r="R66" s="22" t="n">
        <v>15</v>
      </c>
      <c r="S66" s="22" t="n">
        <v>9</v>
      </c>
      <c r="T66" s="22" t="n">
        <v>15</v>
      </c>
      <c r="U66" s="22" t="n">
        <v>14</v>
      </c>
      <c r="V66" s="22" t="n">
        <v>0</v>
      </c>
      <c r="W66" s="22" t="n">
        <v>7</v>
      </c>
      <c r="X66" s="22" t="n">
        <v>10</v>
      </c>
      <c r="Y66" s="22" t="n">
        <v>16</v>
      </c>
      <c r="Z66" s="22" t="n">
        <v>9</v>
      </c>
      <c r="AB66" s="22">
        <f>Z66-Y66</f>
        <v/>
      </c>
      <c r="AC66" s="34">
        <f>AVERAGE(X66:Z66)</f>
        <v/>
      </c>
      <c r="AD66" s="34">
        <f>AVERAGE(U66:Z66)</f>
        <v/>
      </c>
    </row>
    <row r="67">
      <c r="B67" s="4" t="inlineStr">
        <is>
          <t>Educational Services</t>
        </is>
      </c>
      <c r="C67" s="22" t="n">
        <v>3</v>
      </c>
      <c r="D67" s="22" t="n">
        <v>4</v>
      </c>
      <c r="E67" s="22" t="n">
        <v>-6</v>
      </c>
      <c r="F67" s="22" t="n">
        <v>-9</v>
      </c>
      <c r="G67" s="22" t="n">
        <v>-12</v>
      </c>
      <c r="H67" s="22" t="n">
        <v>3</v>
      </c>
      <c r="I67" s="22" t="n">
        <v>8</v>
      </c>
      <c r="J67" s="22" t="n">
        <v>7</v>
      </c>
      <c r="K67" s="22" t="n">
        <v>9</v>
      </c>
      <c r="L67" s="22" t="n">
        <v>10</v>
      </c>
      <c r="M67" s="22" t="n">
        <v>3</v>
      </c>
      <c r="N67" s="22" t="n">
        <v>0</v>
      </c>
      <c r="O67" s="22" t="n">
        <v>-1</v>
      </c>
      <c r="P67" s="22" t="n">
        <v>3</v>
      </c>
      <c r="Q67" s="22" t="n">
        <v>1</v>
      </c>
      <c r="R67" s="22" t="n">
        <v>6</v>
      </c>
      <c r="S67" s="22" t="n">
        <v>7</v>
      </c>
      <c r="T67" s="22" t="n">
        <v>3</v>
      </c>
      <c r="U67" s="22" t="n">
        <v>4</v>
      </c>
      <c r="V67" s="22" t="n">
        <v>10</v>
      </c>
      <c r="W67" s="22" t="n">
        <v>13</v>
      </c>
      <c r="X67" s="22" t="n">
        <v>4</v>
      </c>
      <c r="Y67" s="22" t="n">
        <v>1</v>
      </c>
      <c r="Z67" s="22" t="n">
        <v>-1</v>
      </c>
      <c r="AB67" s="22">
        <f>Z67-Y67</f>
        <v/>
      </c>
      <c r="AC67" s="34">
        <f>AVERAGE(X67:Z67)</f>
        <v/>
      </c>
      <c r="AD67" s="34">
        <f>AVERAGE(U67:Z67)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9.xml><?xml version="1.0" encoding="utf-8"?>
<worksheet xmlns="http://schemas.openxmlformats.org/spreadsheetml/2006/main">
  <sheetPr>
    <outlinePr summaryBelow="1" summaryRight="1"/>
    <pageSetUpPr/>
  </sheetPr>
  <dimension ref="A1:L299"/>
  <sheetViews>
    <sheetView workbookViewId="0">
      <pane xSplit="1" ySplit="5" topLeftCell="B282" activePane="bottomRight" state="frozen"/>
      <selection pane="topRight" activeCell="B1" sqref="B1"/>
      <selection pane="bottomLeft" activeCell="A6" sqref="A6"/>
      <selection pane="bottomRight" activeCell="L299" sqref="L299"/>
    </sheetView>
  </sheetViews>
  <sheetFormatPr baseColWidth="10" defaultColWidth="9.1640625" defaultRowHeight="15"/>
  <cols>
    <col width="12" customWidth="1" style="96" min="1" max="1"/>
    <col width="13.1640625" customWidth="1" style="96" min="2" max="2"/>
    <col width="11.5" customWidth="1" style="96" min="3" max="9"/>
    <col width="12.1640625" customWidth="1" style="96" min="10" max="10"/>
    <col width="11.5" customWidth="1" style="96" min="11" max="11"/>
    <col width="15.33203125" customWidth="1" style="96" min="12" max="12"/>
    <col width="9.1640625" customWidth="1" style="96" min="13" max="15"/>
    <col width="9.1640625" customWidth="1" style="96" min="16" max="16384"/>
  </cols>
  <sheetData>
    <row r="1">
      <c r="A1" s="28" t="n"/>
      <c r="B1" s="28" t="n"/>
      <c r="J1" s="45" t="n"/>
    </row>
    <row r="2">
      <c r="C2" s="45" t="n"/>
      <c r="D2" s="45" t="n"/>
    </row>
    <row r="3">
      <c r="C3" s="45" t="n"/>
      <c r="D3" s="45" t="n"/>
    </row>
    <row r="4" ht="16" customHeight="1" s="87" thickBot="1">
      <c r="C4" s="45" t="n"/>
      <c r="D4" s="45" t="n"/>
    </row>
    <row r="5" ht="39" customHeight="1" s="87"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87">
      <c r="A6" s="49" t="n">
        <v>35612</v>
      </c>
      <c r="B6" s="50" t="n"/>
      <c r="C6" s="51" t="n">
        <v>55.6</v>
      </c>
      <c r="D6" s="51" t="n">
        <v>49</v>
      </c>
      <c r="E6" s="52" t="n">
        <v>50.9</v>
      </c>
      <c r="F6" s="51" t="n">
        <v>58.6</v>
      </c>
      <c r="G6" s="52" t="n"/>
      <c r="H6" s="52" t="n">
        <v>51</v>
      </c>
      <c r="I6" s="52" t="n"/>
      <c r="J6" s="52" t="n">
        <v>53.8</v>
      </c>
      <c r="K6" s="52" t="n">
        <v>62</v>
      </c>
      <c r="L6" s="50" t="n">
        <v>56.7</v>
      </c>
    </row>
    <row r="7" ht="14.25" customHeight="1" s="87">
      <c r="A7" s="53" t="n">
        <v>35643</v>
      </c>
      <c r="B7" s="50" t="n"/>
      <c r="C7" s="51" t="n">
        <v>48.4</v>
      </c>
      <c r="D7" s="51" t="n">
        <v>56.5</v>
      </c>
      <c r="E7" s="52" t="n">
        <v>53.3</v>
      </c>
      <c r="F7" s="51" t="n">
        <v>62.6</v>
      </c>
      <c r="G7" s="52" t="n">
        <v>62</v>
      </c>
      <c r="H7" s="52" t="n">
        <v>48.5</v>
      </c>
      <c r="I7" s="52" t="n"/>
      <c r="J7" s="52" t="n">
        <v>53.8</v>
      </c>
      <c r="K7" s="52" t="n">
        <v>57.5</v>
      </c>
      <c r="L7" s="50" t="n">
        <v>62</v>
      </c>
    </row>
    <row r="8" ht="14.25" customHeight="1" s="87">
      <c r="A8" s="49" t="n">
        <v>35674</v>
      </c>
      <c r="B8" s="50" t="n"/>
      <c r="C8" s="51" t="n">
        <v>47.5</v>
      </c>
      <c r="D8" s="51" t="n">
        <v>49.5</v>
      </c>
      <c r="E8" s="52" t="n">
        <v>53.1</v>
      </c>
      <c r="F8" s="51" t="n">
        <v>59.1</v>
      </c>
      <c r="G8" s="52" t="n">
        <v>63</v>
      </c>
      <c r="H8" s="52" t="n">
        <v>54</v>
      </c>
      <c r="I8" s="52" t="n"/>
      <c r="J8" s="52" t="n">
        <v>53.2</v>
      </c>
      <c r="K8" s="52" t="n">
        <v>49.5</v>
      </c>
      <c r="L8" s="50" t="n">
        <v>56.2</v>
      </c>
    </row>
    <row r="9" ht="14.25" customHeight="1" s="87">
      <c r="A9" s="53" t="n">
        <v>35704</v>
      </c>
      <c r="B9" s="50" t="n"/>
      <c r="C9" s="51" t="n">
        <v>50.7</v>
      </c>
      <c r="D9" s="51" t="n">
        <v>52</v>
      </c>
      <c r="E9" s="52" t="n">
        <v>53.1</v>
      </c>
      <c r="F9" s="51" t="n">
        <v>62.6</v>
      </c>
      <c r="G9" s="52" t="n">
        <v>66</v>
      </c>
      <c r="H9" s="52" t="n">
        <v>46.5</v>
      </c>
      <c r="I9" s="52" t="n"/>
      <c r="J9" s="52" t="n">
        <v>51</v>
      </c>
      <c r="K9" s="52" t="n">
        <v>51.5</v>
      </c>
      <c r="L9" s="50" t="n">
        <v>56.6</v>
      </c>
    </row>
    <row r="10" ht="14.25" customHeight="1" s="87">
      <c r="A10" s="49" t="n">
        <v>35735</v>
      </c>
      <c r="B10" s="50" t="n"/>
      <c r="C10" s="51" t="n">
        <v>50.3</v>
      </c>
      <c r="D10" s="51" t="n">
        <v>56</v>
      </c>
      <c r="E10" s="52" t="n">
        <v>54.3</v>
      </c>
      <c r="F10" s="51" t="n">
        <v>61.9</v>
      </c>
      <c r="G10" s="52" t="n">
        <v>64.5</v>
      </c>
      <c r="H10" s="52" t="n">
        <v>51</v>
      </c>
      <c r="I10" s="52" t="n"/>
      <c r="J10" s="52" t="n">
        <v>56.7</v>
      </c>
      <c r="K10" s="52" t="n">
        <v>53.5</v>
      </c>
      <c r="L10" s="50" t="n">
        <v>58.5</v>
      </c>
    </row>
    <row r="11" ht="14.25" customHeight="1" s="87">
      <c r="A11" s="53" t="n">
        <v>35765</v>
      </c>
      <c r="B11" s="50" t="n"/>
      <c r="C11" s="51" t="n">
        <v>52.2</v>
      </c>
      <c r="D11" s="51" t="n">
        <v>49</v>
      </c>
      <c r="E11" s="52" t="n">
        <v>54.9</v>
      </c>
      <c r="F11" s="51" t="n">
        <v>56.5</v>
      </c>
      <c r="G11" s="52" t="n">
        <v>67</v>
      </c>
      <c r="H11" s="52" t="n">
        <v>49</v>
      </c>
      <c r="I11" s="52" t="n"/>
      <c r="J11" s="52" t="n">
        <v>55</v>
      </c>
      <c r="K11" s="52" t="n">
        <v>48.5</v>
      </c>
      <c r="L11" s="50" t="n">
        <v>55.5</v>
      </c>
    </row>
    <row r="12" ht="14.25" customHeight="1" s="87">
      <c r="A12" s="49" t="n">
        <v>35796</v>
      </c>
      <c r="B12" s="50" t="n">
        <v>57.4</v>
      </c>
      <c r="C12" s="51" t="n">
        <v>51.5</v>
      </c>
      <c r="D12" s="51" t="n">
        <v>49</v>
      </c>
      <c r="E12" s="52" t="n">
        <v>52.7</v>
      </c>
      <c r="F12" s="51" t="n">
        <v>61.4</v>
      </c>
      <c r="G12" s="52" t="n">
        <v>61.5</v>
      </c>
      <c r="H12" s="52" t="n">
        <v>48.5</v>
      </c>
      <c r="I12" s="52" t="n">
        <v>54</v>
      </c>
      <c r="J12" s="52" t="n">
        <v>55</v>
      </c>
      <c r="K12" s="52" t="n">
        <v>52</v>
      </c>
      <c r="L12" s="50" t="n">
        <v>57</v>
      </c>
    </row>
    <row r="13" ht="14.25" customHeight="1" s="87">
      <c r="A13" s="53" t="n">
        <v>35827</v>
      </c>
      <c r="B13" s="50" t="n">
        <v>59.1</v>
      </c>
      <c r="C13" s="51" t="n">
        <v>52.6</v>
      </c>
      <c r="D13" s="51" t="n">
        <v>51.5</v>
      </c>
      <c r="E13" s="52" t="n">
        <v>51.6</v>
      </c>
      <c r="F13" s="51" t="n">
        <v>58.9</v>
      </c>
      <c r="G13" s="52" t="n">
        <v>59.5</v>
      </c>
      <c r="H13" s="52" t="n">
        <v>50.5</v>
      </c>
      <c r="I13" s="52" t="n">
        <v>52</v>
      </c>
      <c r="J13" s="52" t="n">
        <v>54.8</v>
      </c>
      <c r="K13" s="52" t="n">
        <v>51.5</v>
      </c>
      <c r="L13" s="50" t="n">
        <v>56.2</v>
      </c>
    </row>
    <row r="14" ht="14.25" customHeight="1" s="87">
      <c r="A14" s="49" t="n">
        <v>35855</v>
      </c>
      <c r="B14" s="50" t="n">
        <v>55.1</v>
      </c>
      <c r="C14" s="51" t="n">
        <v>50</v>
      </c>
      <c r="D14" s="51" t="n">
        <v>51.5</v>
      </c>
      <c r="E14" s="52" t="n">
        <v>47.9</v>
      </c>
      <c r="F14" s="51" t="n">
        <v>57</v>
      </c>
      <c r="G14" s="52" t="n">
        <v>64</v>
      </c>
      <c r="H14" s="52" t="n">
        <v>52.5</v>
      </c>
      <c r="I14" s="52" t="n">
        <v>52.5</v>
      </c>
      <c r="J14" s="52" t="n">
        <v>54.1</v>
      </c>
      <c r="K14" s="52" t="n">
        <v>58.5</v>
      </c>
      <c r="L14" s="50" t="n">
        <v>54.7</v>
      </c>
    </row>
    <row r="15">
      <c r="A15" s="53" t="n">
        <v>35886</v>
      </c>
      <c r="B15" s="54" t="n">
        <v>57.5</v>
      </c>
      <c r="C15" s="55" t="n">
        <v>52.1</v>
      </c>
      <c r="D15" s="55" t="n">
        <v>51</v>
      </c>
      <c r="E15" s="114" t="n">
        <v>46.8</v>
      </c>
      <c r="F15" s="55" t="n">
        <v>58.6</v>
      </c>
      <c r="G15" s="52" t="n">
        <v>66.5</v>
      </c>
      <c r="H15" s="114" t="n">
        <v>52.5</v>
      </c>
      <c r="I15" s="114" t="n">
        <v>52</v>
      </c>
      <c r="J15" s="114" t="n">
        <v>51.6</v>
      </c>
      <c r="K15" s="114" t="n">
        <v>56.5</v>
      </c>
      <c r="L15" s="54" t="n">
        <v>54.9</v>
      </c>
    </row>
    <row r="16">
      <c r="A16" s="53" t="n">
        <v>35916</v>
      </c>
      <c r="B16" s="54" t="n">
        <v>60.2</v>
      </c>
      <c r="C16" s="55" t="n">
        <v>52.8</v>
      </c>
      <c r="D16" s="55" t="n">
        <v>53</v>
      </c>
      <c r="E16" s="114" t="n">
        <v>47.2</v>
      </c>
      <c r="F16" s="55" t="n">
        <v>61.2</v>
      </c>
      <c r="G16" s="52" t="n">
        <v>63.5</v>
      </c>
      <c r="H16" s="114" t="n">
        <v>50</v>
      </c>
      <c r="I16" s="114" t="n">
        <v>50.5</v>
      </c>
      <c r="J16" s="114" t="n">
        <v>52.8</v>
      </c>
      <c r="K16" s="114" t="n">
        <v>48.5</v>
      </c>
      <c r="L16" s="54" t="n">
        <v>56.2</v>
      </c>
    </row>
    <row r="17">
      <c r="A17" s="53" t="n">
        <v>35947</v>
      </c>
      <c r="B17" s="54" t="n">
        <v>55.8</v>
      </c>
      <c r="C17" s="55" t="n">
        <v>54.5</v>
      </c>
      <c r="D17" s="55" t="n">
        <v>50</v>
      </c>
      <c r="E17" s="114" t="n">
        <v>45.5</v>
      </c>
      <c r="F17" s="55" t="n">
        <v>58.7</v>
      </c>
      <c r="G17" s="52" t="n">
        <v>69</v>
      </c>
      <c r="H17" s="114" t="n">
        <v>49.5</v>
      </c>
      <c r="I17" s="114" t="n">
        <v>53.5</v>
      </c>
      <c r="J17" s="114" t="n">
        <v>52.5</v>
      </c>
      <c r="K17" s="114" t="n">
        <v>55</v>
      </c>
      <c r="L17" s="54" t="n">
        <v>55.1</v>
      </c>
    </row>
    <row r="18">
      <c r="A18" s="53" t="n">
        <v>35977</v>
      </c>
      <c r="B18" s="54" t="n">
        <v>58.2</v>
      </c>
      <c r="C18" s="55" t="n">
        <v>50.9</v>
      </c>
      <c r="D18" s="55" t="n">
        <v>52</v>
      </c>
      <c r="E18" s="114" t="n">
        <v>47</v>
      </c>
      <c r="F18" s="55" t="n">
        <v>58.6</v>
      </c>
      <c r="G18" s="52" t="n">
        <v>60.5</v>
      </c>
      <c r="H18" s="114" t="n">
        <v>48</v>
      </c>
      <c r="I18" s="114" t="n">
        <v>54.5</v>
      </c>
      <c r="J18" s="114" t="n">
        <v>51.9</v>
      </c>
      <c r="K18" s="114" t="n">
        <v>51.5</v>
      </c>
      <c r="L18" s="54" t="n">
        <v>55.8</v>
      </c>
    </row>
    <row r="19">
      <c r="A19" s="53" t="n">
        <v>36008</v>
      </c>
      <c r="B19" s="54" t="n">
        <v>55.3</v>
      </c>
      <c r="C19" s="55" t="n">
        <v>55.2</v>
      </c>
      <c r="D19" s="55" t="n">
        <v>56.5</v>
      </c>
      <c r="E19" s="114" t="n">
        <v>47.9</v>
      </c>
      <c r="F19" s="55" t="n">
        <v>52.2</v>
      </c>
      <c r="G19" s="52" t="n">
        <v>62.5</v>
      </c>
      <c r="H19" s="114" t="n">
        <v>48</v>
      </c>
      <c r="I19" s="114" t="n">
        <v>54</v>
      </c>
      <c r="J19" s="114" t="n">
        <v>52.3</v>
      </c>
      <c r="K19" s="114" t="n">
        <v>54</v>
      </c>
      <c r="L19" s="54" t="n">
        <v>53.5</v>
      </c>
    </row>
    <row r="20">
      <c r="A20" s="53" t="n">
        <v>36039</v>
      </c>
      <c r="B20" s="54" t="n">
        <v>55.9</v>
      </c>
      <c r="C20" s="55" t="n">
        <v>52</v>
      </c>
      <c r="D20" s="55" t="n">
        <v>54</v>
      </c>
      <c r="E20" s="114" t="n">
        <v>46.2</v>
      </c>
      <c r="F20" s="55" t="n">
        <v>57.4</v>
      </c>
      <c r="G20" s="52" t="n">
        <v>65</v>
      </c>
      <c r="H20" s="114" t="n">
        <v>50.5</v>
      </c>
      <c r="I20" s="114" t="n">
        <v>53</v>
      </c>
      <c r="J20" s="114" t="n">
        <v>53.7</v>
      </c>
      <c r="K20" s="114" t="n">
        <v>54</v>
      </c>
      <c r="L20" s="54" t="n">
        <v>55</v>
      </c>
    </row>
    <row r="21">
      <c r="A21" s="53" t="n">
        <v>36069</v>
      </c>
      <c r="B21" s="54" t="n">
        <v>54.7</v>
      </c>
      <c r="C21" s="55" t="n">
        <v>48.8</v>
      </c>
      <c r="D21" s="55" t="n">
        <v>49</v>
      </c>
      <c r="E21" s="114" t="n">
        <v>49.3</v>
      </c>
      <c r="F21" s="55" t="n">
        <v>54</v>
      </c>
      <c r="G21" s="52" t="n">
        <v>65.5</v>
      </c>
      <c r="H21" s="114" t="n">
        <v>48.5</v>
      </c>
      <c r="I21" s="114" t="n">
        <v>53.5</v>
      </c>
      <c r="J21" s="114" t="n">
        <v>53.1</v>
      </c>
      <c r="K21" s="114" t="n">
        <v>48.5</v>
      </c>
      <c r="L21" s="54" t="n">
        <v>53.8</v>
      </c>
    </row>
    <row r="22">
      <c r="A22" s="53" t="n">
        <v>36100</v>
      </c>
      <c r="B22" s="54" t="n">
        <v>52.7</v>
      </c>
      <c r="C22" s="55" t="n">
        <v>50.7</v>
      </c>
      <c r="D22" s="55" t="n">
        <v>46.5</v>
      </c>
      <c r="E22" s="114" t="n">
        <v>47.3</v>
      </c>
      <c r="F22" s="55" t="n">
        <v>54.9</v>
      </c>
      <c r="G22" s="52" t="n">
        <v>63</v>
      </c>
      <c r="H22" s="114" t="n">
        <v>50</v>
      </c>
      <c r="I22" s="114" t="n">
        <v>50</v>
      </c>
      <c r="J22" s="114" t="n">
        <v>52.6</v>
      </c>
      <c r="K22" s="114" t="n">
        <v>45</v>
      </c>
      <c r="L22" s="54" t="n">
        <v>52.6</v>
      </c>
    </row>
    <row r="23">
      <c r="A23" s="53" t="n">
        <v>36130</v>
      </c>
      <c r="B23" s="54" t="n">
        <v>53.5</v>
      </c>
      <c r="C23" s="55" t="n">
        <v>50.3</v>
      </c>
      <c r="D23" s="55" t="n">
        <v>47</v>
      </c>
      <c r="E23" s="114" t="n">
        <v>48.5</v>
      </c>
      <c r="F23" s="55" t="n">
        <v>54.2</v>
      </c>
      <c r="G23" s="52" t="n">
        <v>64.5</v>
      </c>
      <c r="H23" s="114" t="n">
        <v>50.5</v>
      </c>
      <c r="I23" s="114" t="n">
        <v>53</v>
      </c>
      <c r="J23" s="114" t="n">
        <v>50.9</v>
      </c>
      <c r="K23" s="114" t="n">
        <v>49</v>
      </c>
      <c r="L23" s="54" t="n">
        <v>52.9</v>
      </c>
    </row>
    <row r="24">
      <c r="A24" s="53" t="n">
        <v>36161</v>
      </c>
      <c r="B24" s="54" t="n">
        <v>57.5</v>
      </c>
      <c r="C24" s="55" t="n">
        <v>53.1</v>
      </c>
      <c r="D24" s="55" t="n">
        <v>49</v>
      </c>
      <c r="E24" s="114" t="n">
        <v>47</v>
      </c>
      <c r="F24" s="55" t="n">
        <v>58.8</v>
      </c>
      <c r="G24" s="52" t="n">
        <v>61</v>
      </c>
      <c r="H24" s="114" t="n">
        <v>47</v>
      </c>
      <c r="I24" s="114" t="n">
        <v>54.5</v>
      </c>
      <c r="J24" s="114" t="n">
        <v>51.4</v>
      </c>
      <c r="K24" s="114" t="n">
        <v>46.5</v>
      </c>
      <c r="L24" s="54" t="n">
        <v>55.6</v>
      </c>
    </row>
    <row r="25">
      <c r="A25" s="53" t="n">
        <v>36192</v>
      </c>
      <c r="B25" s="54" t="n">
        <v>56.6</v>
      </c>
      <c r="C25" s="55" t="n">
        <v>52.7</v>
      </c>
      <c r="D25" s="55" t="n">
        <v>51.5</v>
      </c>
      <c r="E25" s="114" t="n">
        <v>45.5</v>
      </c>
      <c r="F25" s="55" t="n">
        <v>57.3</v>
      </c>
      <c r="G25" s="52" t="n">
        <v>60.5</v>
      </c>
      <c r="H25" s="114" t="n">
        <v>49.5</v>
      </c>
      <c r="I25" s="114" t="n">
        <v>51.5</v>
      </c>
      <c r="J25" s="114" t="n">
        <v>52.2</v>
      </c>
      <c r="K25" s="114" t="n">
        <v>47.5</v>
      </c>
      <c r="L25" s="54" t="n">
        <v>54.4</v>
      </c>
    </row>
    <row r="26">
      <c r="A26" s="53" t="n">
        <v>36220</v>
      </c>
      <c r="B26" s="54" t="n">
        <v>58.1</v>
      </c>
      <c r="C26" s="55" t="n">
        <v>55.3</v>
      </c>
      <c r="D26" s="55" t="n">
        <v>55.5</v>
      </c>
      <c r="E26" s="114" t="n">
        <v>48.9</v>
      </c>
      <c r="F26" s="55" t="n">
        <v>59.5</v>
      </c>
      <c r="G26" s="52" t="n">
        <v>61.5</v>
      </c>
      <c r="H26" s="114" t="n">
        <v>47.5</v>
      </c>
      <c r="I26" s="114" t="n">
        <v>52.5</v>
      </c>
      <c r="J26" s="114" t="n">
        <v>51.1</v>
      </c>
      <c r="K26" s="114" t="n">
        <v>58.5</v>
      </c>
      <c r="L26" s="54" t="n">
        <v>55.3</v>
      </c>
    </row>
    <row r="27">
      <c r="A27" s="53" t="n">
        <v>36251</v>
      </c>
      <c r="B27" s="54" t="n">
        <v>58.6</v>
      </c>
      <c r="C27" s="55" t="n">
        <v>52.6</v>
      </c>
      <c r="D27" s="55" t="n">
        <v>51</v>
      </c>
      <c r="E27" s="114" t="n">
        <v>51.4</v>
      </c>
      <c r="F27" s="55" t="n">
        <v>59.8</v>
      </c>
      <c r="G27" s="52" t="n">
        <v>63</v>
      </c>
      <c r="H27" s="114" t="n">
        <v>48.5</v>
      </c>
      <c r="I27" s="114" t="n">
        <v>51.5</v>
      </c>
      <c r="J27" s="114" t="n">
        <v>52</v>
      </c>
      <c r="K27" s="114" t="n">
        <v>56.5</v>
      </c>
      <c r="L27" s="54" t="n">
        <v>55.5</v>
      </c>
    </row>
    <row r="28">
      <c r="A28" s="53" t="n">
        <v>36281</v>
      </c>
      <c r="B28" s="54" t="n">
        <v>56.4</v>
      </c>
      <c r="C28" s="55" t="n">
        <v>54.4</v>
      </c>
      <c r="D28" s="55" t="n">
        <v>50.5</v>
      </c>
      <c r="E28" s="114" t="n">
        <v>52.9</v>
      </c>
      <c r="F28" s="55" t="n">
        <v>57.7</v>
      </c>
      <c r="G28" s="52" t="n">
        <v>61</v>
      </c>
      <c r="H28" s="114" t="n">
        <v>51.5</v>
      </c>
      <c r="I28" s="114" t="n">
        <v>54</v>
      </c>
      <c r="J28" s="114" t="n">
        <v>52.9</v>
      </c>
      <c r="K28" s="114" t="n">
        <v>58.5</v>
      </c>
      <c r="L28" s="54" t="n">
        <v>55.3</v>
      </c>
    </row>
    <row r="29">
      <c r="A29" s="53" t="n">
        <v>36312</v>
      </c>
      <c r="B29" s="54" t="n">
        <v>59.7</v>
      </c>
      <c r="C29" s="55" t="n">
        <v>51.9</v>
      </c>
      <c r="D29" s="55" t="n">
        <v>52</v>
      </c>
      <c r="E29" s="114" t="n">
        <v>53.2</v>
      </c>
      <c r="F29" s="55" t="n">
        <v>57.9</v>
      </c>
      <c r="G29" s="52" t="n">
        <v>61</v>
      </c>
      <c r="H29" s="114" t="n">
        <v>49.5</v>
      </c>
      <c r="I29" s="114" t="n">
        <v>54</v>
      </c>
      <c r="J29" s="114" t="n">
        <v>55.3</v>
      </c>
      <c r="K29" s="114" t="n">
        <v>53.5</v>
      </c>
      <c r="L29" s="54" t="n">
        <v>56.7</v>
      </c>
    </row>
    <row r="30">
      <c r="A30" s="53" t="n">
        <v>36342</v>
      </c>
      <c r="B30" s="54" t="n">
        <v>58.1</v>
      </c>
      <c r="C30" s="55" t="n">
        <v>55.9</v>
      </c>
      <c r="D30" s="55" t="n">
        <v>50</v>
      </c>
      <c r="E30" s="114" t="n">
        <v>57.7</v>
      </c>
      <c r="F30" s="55" t="n">
        <v>60.7</v>
      </c>
      <c r="G30" s="52" t="n">
        <v>61</v>
      </c>
      <c r="H30" s="114" t="n">
        <v>49.5</v>
      </c>
      <c r="I30" s="114" t="n">
        <v>52.5</v>
      </c>
      <c r="J30" s="114" t="n">
        <v>53.4</v>
      </c>
      <c r="K30" s="114" t="n">
        <v>57.5</v>
      </c>
      <c r="L30" s="54" t="n">
        <v>56.2</v>
      </c>
    </row>
    <row r="31">
      <c r="A31" s="53" t="n">
        <v>36373</v>
      </c>
      <c r="B31" s="54" t="n">
        <v>59.6</v>
      </c>
      <c r="C31" s="55" t="n">
        <v>52.3</v>
      </c>
      <c r="D31" s="55" t="n">
        <v>51.5</v>
      </c>
      <c r="E31" s="114" t="n">
        <v>58.9</v>
      </c>
      <c r="F31" s="55" t="n">
        <v>60.3</v>
      </c>
      <c r="G31" s="52" t="n">
        <v>63</v>
      </c>
      <c r="H31" s="114" t="n">
        <v>52</v>
      </c>
      <c r="I31" s="114" t="n">
        <v>53.5</v>
      </c>
      <c r="J31" s="114" t="n">
        <v>52.3</v>
      </c>
      <c r="K31" s="114" t="n">
        <v>58</v>
      </c>
      <c r="L31" s="54" t="n">
        <v>56.4</v>
      </c>
    </row>
    <row r="32">
      <c r="A32" s="53" t="n">
        <v>36404</v>
      </c>
      <c r="B32" s="54" t="n">
        <v>60.1</v>
      </c>
      <c r="C32" s="55" t="n">
        <v>55.5</v>
      </c>
      <c r="D32" s="55" t="n">
        <v>52.5</v>
      </c>
      <c r="E32" s="114" t="n">
        <v>64.2</v>
      </c>
      <c r="F32" s="55" t="n">
        <v>59.1</v>
      </c>
      <c r="G32" s="52" t="n">
        <v>61.5</v>
      </c>
      <c r="H32" s="114" t="n">
        <v>52</v>
      </c>
      <c r="I32" s="114" t="n">
        <v>54</v>
      </c>
      <c r="J32" s="114" t="n">
        <v>51.4</v>
      </c>
      <c r="K32" s="114" t="n">
        <v>62.5</v>
      </c>
      <c r="L32" s="54" t="n">
        <v>56.2</v>
      </c>
    </row>
    <row r="33">
      <c r="A33" s="53" t="n">
        <v>36434</v>
      </c>
      <c r="B33" s="54" t="n">
        <v>62</v>
      </c>
      <c r="C33" s="55" t="n">
        <v>55.7</v>
      </c>
      <c r="D33" s="55" t="n">
        <v>52</v>
      </c>
      <c r="E33" s="114" t="n">
        <v>58.9</v>
      </c>
      <c r="F33" s="55" t="n">
        <v>60.7</v>
      </c>
      <c r="G33" s="52" t="n">
        <v>58</v>
      </c>
      <c r="H33" s="114" t="n">
        <v>47.5</v>
      </c>
      <c r="I33" s="114" t="n">
        <v>56</v>
      </c>
      <c r="J33" s="114" t="n">
        <v>51.7</v>
      </c>
      <c r="K33" s="114" t="n">
        <v>54</v>
      </c>
      <c r="L33" s="54" t="n">
        <v>57.6</v>
      </c>
    </row>
    <row r="34">
      <c r="A34" s="53" t="n">
        <v>36465</v>
      </c>
      <c r="B34" s="54" t="n">
        <v>55.5</v>
      </c>
      <c r="C34" s="55" t="n">
        <v>53.8</v>
      </c>
      <c r="D34" s="55" t="n">
        <v>49</v>
      </c>
      <c r="E34" s="114" t="n">
        <v>61</v>
      </c>
      <c r="F34" s="55" t="n">
        <v>57</v>
      </c>
      <c r="G34" s="52" t="n">
        <v>62.5</v>
      </c>
      <c r="H34" s="114" t="n">
        <v>52.5</v>
      </c>
      <c r="I34" s="114" t="n">
        <v>56.5</v>
      </c>
      <c r="J34" s="114" t="n">
        <v>50.6</v>
      </c>
      <c r="K34" s="114" t="n">
        <v>56</v>
      </c>
      <c r="L34" s="54" t="n">
        <v>54.9</v>
      </c>
    </row>
    <row r="35">
      <c r="A35" s="53" t="n">
        <v>36495</v>
      </c>
      <c r="B35" s="54" t="n">
        <v>61.1</v>
      </c>
      <c r="C35" s="55" t="n">
        <v>50.8</v>
      </c>
      <c r="D35" s="55" t="n">
        <v>49</v>
      </c>
      <c r="E35" s="114" t="n">
        <v>60.5</v>
      </c>
      <c r="F35" s="55" t="n">
        <v>60.4</v>
      </c>
      <c r="G35" s="52" t="n">
        <v>61.5</v>
      </c>
      <c r="H35" s="114" t="n">
        <v>50</v>
      </c>
      <c r="I35" s="114" t="n">
        <v>53</v>
      </c>
      <c r="J35" s="114" t="n">
        <v>53</v>
      </c>
      <c r="K35" s="114" t="n">
        <v>58</v>
      </c>
      <c r="L35" s="54" t="n">
        <v>56.9</v>
      </c>
    </row>
    <row r="36">
      <c r="A36" s="53" t="n">
        <v>36526</v>
      </c>
      <c r="B36" s="54" t="n">
        <v>60.8</v>
      </c>
      <c r="C36" s="55" t="n">
        <v>54.9</v>
      </c>
      <c r="D36" s="55" t="n">
        <v>48.5</v>
      </c>
      <c r="E36" s="114" t="n">
        <v>61.4</v>
      </c>
      <c r="F36" s="55" t="n">
        <v>57.7</v>
      </c>
      <c r="G36" s="52" t="n">
        <v>67</v>
      </c>
      <c r="H36" s="114" t="n">
        <v>49.5</v>
      </c>
      <c r="I36" s="114" t="n">
        <v>55.5</v>
      </c>
      <c r="J36" s="114" t="n">
        <v>52.3</v>
      </c>
      <c r="K36" s="114" t="n">
        <v>57.5</v>
      </c>
      <c r="L36" s="54" t="n">
        <v>56.6</v>
      </c>
    </row>
    <row r="37">
      <c r="A37" s="53" t="n">
        <v>36557</v>
      </c>
      <c r="B37" s="54" t="n">
        <v>58.9</v>
      </c>
      <c r="C37" s="55" t="n">
        <v>51.9</v>
      </c>
      <c r="D37" s="55" t="n">
        <v>52</v>
      </c>
      <c r="E37" s="114" t="n">
        <v>66.5</v>
      </c>
      <c r="F37" s="55" t="n">
        <v>58.2</v>
      </c>
      <c r="G37" s="52" t="n">
        <v>66.5</v>
      </c>
      <c r="H37" s="114" t="n">
        <v>49.5</v>
      </c>
      <c r="I37" s="114" t="n">
        <v>55</v>
      </c>
      <c r="J37" s="114" t="n">
        <v>52.8</v>
      </c>
      <c r="K37" s="114" t="n">
        <v>47.5</v>
      </c>
      <c r="L37" s="54" t="n">
        <v>56.2</v>
      </c>
    </row>
    <row r="38">
      <c r="A38" s="53" t="n">
        <v>36586</v>
      </c>
      <c r="B38" s="54" t="n">
        <v>61.7</v>
      </c>
      <c r="C38" s="55" t="n">
        <v>54.7</v>
      </c>
      <c r="D38" s="55" t="n">
        <v>53</v>
      </c>
      <c r="E38" s="114" t="n">
        <v>68.59999999999999</v>
      </c>
      <c r="F38" s="55" t="n">
        <v>60.5</v>
      </c>
      <c r="G38" s="52" t="n">
        <v>60.5</v>
      </c>
      <c r="H38" s="114" t="n">
        <v>51.5</v>
      </c>
      <c r="I38" s="114" t="n">
        <v>52.5</v>
      </c>
      <c r="J38" s="114" t="n">
        <v>55</v>
      </c>
      <c r="K38" s="114" t="n">
        <v>55.5</v>
      </c>
      <c r="L38" s="54" t="n">
        <v>57.4</v>
      </c>
    </row>
    <row r="39">
      <c r="A39" s="53" t="n">
        <v>36617</v>
      </c>
      <c r="B39" s="54" t="n">
        <v>61.5</v>
      </c>
      <c r="C39" s="55" t="n">
        <v>54.6</v>
      </c>
      <c r="D39" s="55" t="n">
        <v>55.5</v>
      </c>
      <c r="E39" s="114" t="n">
        <v>65</v>
      </c>
      <c r="F39" s="55" t="n">
        <v>61.1</v>
      </c>
      <c r="G39" s="52" t="n">
        <v>64</v>
      </c>
      <c r="H39" s="114" t="n">
        <v>53.5</v>
      </c>
      <c r="I39" s="114" t="n">
        <v>55</v>
      </c>
      <c r="J39" s="114" t="n">
        <v>54.4</v>
      </c>
      <c r="K39" s="114" t="n">
        <v>59</v>
      </c>
      <c r="L39" s="54" t="n">
        <v>58</v>
      </c>
    </row>
    <row r="40">
      <c r="A40" s="53" t="n">
        <v>36647</v>
      </c>
      <c r="B40" s="54" t="n">
        <v>60.5</v>
      </c>
      <c r="C40" s="55" t="n">
        <v>54.7</v>
      </c>
      <c r="D40" s="55" t="n">
        <v>53.5</v>
      </c>
      <c r="E40" s="114" t="n">
        <v>64.2</v>
      </c>
      <c r="F40" s="55" t="n">
        <v>59.8</v>
      </c>
      <c r="G40" s="52" t="n">
        <v>63</v>
      </c>
      <c r="H40" s="114" t="n">
        <v>49.5</v>
      </c>
      <c r="I40" s="114" t="n">
        <v>57</v>
      </c>
      <c r="J40" s="114" t="n">
        <v>53.5</v>
      </c>
      <c r="K40" s="114" t="n">
        <v>62</v>
      </c>
      <c r="L40" s="54" t="n">
        <v>57.7</v>
      </c>
    </row>
    <row r="41">
      <c r="A41" s="53" t="n">
        <v>36678</v>
      </c>
      <c r="B41" s="54" t="n">
        <v>59.4</v>
      </c>
      <c r="C41" s="55" t="n">
        <v>52.6</v>
      </c>
      <c r="D41" s="55" t="n">
        <v>56.5</v>
      </c>
      <c r="E41" s="114" t="n">
        <v>65</v>
      </c>
      <c r="F41" s="55" t="n">
        <v>60.3</v>
      </c>
      <c r="G41" s="52" t="n">
        <v>66.5</v>
      </c>
      <c r="H41" s="114" t="n">
        <v>54</v>
      </c>
      <c r="I41" s="114" t="n">
        <v>53.5</v>
      </c>
      <c r="J41" s="114" t="n">
        <v>54.4</v>
      </c>
      <c r="K41" s="114" t="n">
        <v>57</v>
      </c>
      <c r="L41" s="54" t="n">
        <v>56.9</v>
      </c>
    </row>
    <row r="42">
      <c r="A42" s="53" t="n">
        <v>36708</v>
      </c>
      <c r="B42" s="54" t="n">
        <v>59.7</v>
      </c>
      <c r="C42" s="55" t="n">
        <v>53.1</v>
      </c>
      <c r="D42" s="55" t="n">
        <v>50.5</v>
      </c>
      <c r="E42" s="114" t="n">
        <v>62.1</v>
      </c>
      <c r="F42" s="55" t="n">
        <v>56.5</v>
      </c>
      <c r="G42" s="52" t="n">
        <v>68</v>
      </c>
      <c r="H42" s="114" t="n">
        <v>51</v>
      </c>
      <c r="I42" s="114" t="n">
        <v>54.5</v>
      </c>
      <c r="J42" s="114" t="n">
        <v>50.5</v>
      </c>
      <c r="K42" s="114" t="n">
        <v>53</v>
      </c>
      <c r="L42" s="54" t="n">
        <v>55.3</v>
      </c>
    </row>
    <row r="43">
      <c r="A43" s="53" t="n">
        <v>36739</v>
      </c>
      <c r="B43" s="54" t="n">
        <v>59.8</v>
      </c>
      <c r="C43" s="55" t="n">
        <v>53.9</v>
      </c>
      <c r="D43" s="55" t="n">
        <v>52</v>
      </c>
      <c r="E43" s="114" t="n">
        <v>59.2</v>
      </c>
      <c r="F43" s="55" t="n">
        <v>61.3</v>
      </c>
      <c r="G43" s="52" t="n">
        <v>61.5</v>
      </c>
      <c r="H43" s="114" t="n">
        <v>51</v>
      </c>
      <c r="I43" s="114" t="n">
        <v>55</v>
      </c>
      <c r="J43" s="114" t="n">
        <v>54.2</v>
      </c>
      <c r="K43" s="114" t="n">
        <v>56</v>
      </c>
      <c r="L43" s="54" t="n">
        <v>57.6</v>
      </c>
    </row>
    <row r="44">
      <c r="A44" s="53" t="n">
        <v>36770</v>
      </c>
      <c r="B44" s="54" t="n">
        <v>60.4</v>
      </c>
      <c r="C44" s="55" t="n">
        <v>46</v>
      </c>
      <c r="D44" s="55" t="n">
        <v>56.5</v>
      </c>
      <c r="E44" s="114" t="n">
        <v>62.1</v>
      </c>
      <c r="F44" s="55" t="n">
        <v>59.8</v>
      </c>
      <c r="G44" s="52" t="n">
        <v>65</v>
      </c>
      <c r="H44" s="114" t="n">
        <v>53.5</v>
      </c>
      <c r="I44" s="114" t="n">
        <v>53</v>
      </c>
      <c r="J44" s="114" t="n">
        <v>53.5</v>
      </c>
      <c r="K44" s="114" t="n">
        <v>51.5</v>
      </c>
      <c r="L44" s="54" t="n">
        <v>56.7</v>
      </c>
    </row>
    <row r="45">
      <c r="A45" s="53" t="n">
        <v>36800</v>
      </c>
      <c r="B45" s="54" t="n">
        <v>59.2</v>
      </c>
      <c r="C45" s="55" t="n">
        <v>58.9</v>
      </c>
      <c r="D45" s="55" t="n">
        <v>53.5</v>
      </c>
      <c r="E45" s="114" t="n">
        <v>63.7</v>
      </c>
      <c r="F45" s="55" t="n">
        <v>58.6</v>
      </c>
      <c r="G45" s="52" t="n">
        <v>67.5</v>
      </c>
      <c r="H45" s="114" t="n">
        <v>55</v>
      </c>
      <c r="I45" s="114" t="n">
        <v>54.5</v>
      </c>
      <c r="J45" s="114" t="n">
        <v>54.5</v>
      </c>
      <c r="K45" s="114" t="n">
        <v>55</v>
      </c>
      <c r="L45" s="54" t="n">
        <v>56.7</v>
      </c>
    </row>
    <row r="46">
      <c r="A46" s="53" t="n">
        <v>36831</v>
      </c>
      <c r="B46" s="54" t="n">
        <v>56.4</v>
      </c>
      <c r="C46" s="55" t="n">
        <v>54.7</v>
      </c>
      <c r="D46" s="55" t="n">
        <v>49.5</v>
      </c>
      <c r="E46" s="114" t="n">
        <v>60.9</v>
      </c>
      <c r="F46" s="55" t="n">
        <v>59.7</v>
      </c>
      <c r="G46" s="52" t="n">
        <v>66</v>
      </c>
      <c r="H46" s="114" t="n">
        <v>49.5</v>
      </c>
      <c r="I46" s="114" t="n">
        <v>54</v>
      </c>
      <c r="J46" s="114" t="n">
        <v>54.6</v>
      </c>
      <c r="K46" s="114" t="n">
        <v>55</v>
      </c>
      <c r="L46" s="54" t="n">
        <v>56.2</v>
      </c>
    </row>
    <row r="47">
      <c r="A47" s="53" t="n">
        <v>36861</v>
      </c>
      <c r="B47" s="54" t="n">
        <v>54.9</v>
      </c>
      <c r="C47" s="55" t="n">
        <v>53.4</v>
      </c>
      <c r="D47" s="55" t="n">
        <v>50.5</v>
      </c>
      <c r="E47" s="114" t="n">
        <v>63.5</v>
      </c>
      <c r="F47" s="55" t="n">
        <v>57.5</v>
      </c>
      <c r="G47" s="52" t="n">
        <v>65</v>
      </c>
      <c r="H47" s="114" t="n">
        <v>48.5</v>
      </c>
      <c r="I47" s="114" t="n">
        <v>51</v>
      </c>
      <c r="J47" s="114" t="n">
        <v>52.4</v>
      </c>
      <c r="K47" s="114" t="n">
        <v>56.5</v>
      </c>
      <c r="L47" s="54" t="n">
        <v>54</v>
      </c>
    </row>
    <row r="48">
      <c r="A48" s="53" t="n">
        <v>36892</v>
      </c>
      <c r="B48" s="54" t="n">
        <v>50.8</v>
      </c>
      <c r="C48" s="55" t="n">
        <v>49.8</v>
      </c>
      <c r="D48" s="55" t="n">
        <v>42.5</v>
      </c>
      <c r="E48" s="114" t="n">
        <v>61.8</v>
      </c>
      <c r="F48" s="55" t="n">
        <v>52.5</v>
      </c>
      <c r="G48" s="52" t="n">
        <v>67.5</v>
      </c>
      <c r="H48" s="114" t="n">
        <v>45.5</v>
      </c>
      <c r="I48" s="114" t="n">
        <v>51.5</v>
      </c>
      <c r="J48" s="114" t="n">
        <v>51.7</v>
      </c>
      <c r="K48" s="114" t="n">
        <v>55</v>
      </c>
      <c r="L48" s="54" t="n">
        <v>51.6</v>
      </c>
    </row>
    <row r="49">
      <c r="A49" s="53" t="n">
        <v>36923</v>
      </c>
      <c r="B49" s="54" t="n">
        <v>51.4</v>
      </c>
      <c r="C49" s="55" t="n">
        <v>48.7</v>
      </c>
      <c r="D49" s="55" t="n">
        <v>45.5</v>
      </c>
      <c r="E49" s="114" t="n">
        <v>58.1</v>
      </c>
      <c r="F49" s="55" t="n">
        <v>51.5</v>
      </c>
      <c r="G49" s="52" t="n">
        <v>65</v>
      </c>
      <c r="H49" s="114" t="n">
        <v>47</v>
      </c>
      <c r="I49" s="114" t="n">
        <v>51.5</v>
      </c>
      <c r="J49" s="114" t="n">
        <v>50.7</v>
      </c>
      <c r="K49" s="114" t="n">
        <v>53.5</v>
      </c>
      <c r="L49" s="54" t="n">
        <v>51.3</v>
      </c>
    </row>
    <row r="50">
      <c r="A50" s="53" t="n">
        <v>36951</v>
      </c>
      <c r="B50" s="54" t="n">
        <v>52.6</v>
      </c>
      <c r="C50" s="55" t="n">
        <v>48.4</v>
      </c>
      <c r="D50" s="55" t="n">
        <v>47.5</v>
      </c>
      <c r="E50" s="114" t="n">
        <v>55.8</v>
      </c>
      <c r="F50" s="55" t="n">
        <v>50</v>
      </c>
      <c r="G50" s="52" t="n">
        <v>69</v>
      </c>
      <c r="H50" s="114" t="n">
        <v>49</v>
      </c>
      <c r="I50" s="114" t="n">
        <v>50.5</v>
      </c>
      <c r="J50" s="114" t="n">
        <v>49.6</v>
      </c>
      <c r="K50" s="114" t="n">
        <v>49.5</v>
      </c>
      <c r="L50" s="54" t="n">
        <v>50.7</v>
      </c>
    </row>
    <row r="51">
      <c r="A51" s="53" t="n">
        <v>36982</v>
      </c>
      <c r="B51" s="54" t="n">
        <v>47.2</v>
      </c>
      <c r="C51" s="55" t="n">
        <v>49.8</v>
      </c>
      <c r="D51" s="55" t="n">
        <v>44</v>
      </c>
      <c r="E51" s="114" t="n">
        <v>53.8</v>
      </c>
      <c r="F51" s="55" t="n">
        <v>48.3</v>
      </c>
      <c r="G51" s="52" t="n">
        <v>64</v>
      </c>
      <c r="H51" s="114" t="n">
        <v>45.5</v>
      </c>
      <c r="I51" s="114" t="n">
        <v>51</v>
      </c>
      <c r="J51" s="114" t="n">
        <v>46.5</v>
      </c>
      <c r="K51" s="114" t="n">
        <v>55.5</v>
      </c>
      <c r="L51" s="54" t="n">
        <v>48.3</v>
      </c>
    </row>
    <row r="52">
      <c r="A52" s="53" t="n">
        <v>37012</v>
      </c>
      <c r="B52" s="54" t="n">
        <v>49.3</v>
      </c>
      <c r="C52" s="55" t="n">
        <v>48.7</v>
      </c>
      <c r="D52" s="55" t="n">
        <v>46.5</v>
      </c>
      <c r="E52" s="114" t="n">
        <v>58.5</v>
      </c>
      <c r="F52" s="55" t="n">
        <v>47.9</v>
      </c>
      <c r="G52" s="52" t="n">
        <v>63.5</v>
      </c>
      <c r="H52" s="114" t="n">
        <v>47.5</v>
      </c>
      <c r="I52" s="114" t="n">
        <v>52</v>
      </c>
      <c r="J52" s="114" t="n">
        <v>46.7</v>
      </c>
      <c r="K52" s="114" t="n">
        <v>48.5</v>
      </c>
      <c r="L52" s="54" t="n">
        <v>49</v>
      </c>
    </row>
    <row r="53">
      <c r="A53" s="53" t="n">
        <v>37043</v>
      </c>
      <c r="B53" s="54" t="n">
        <v>52.2</v>
      </c>
      <c r="C53" s="55" t="n">
        <v>50</v>
      </c>
      <c r="D53" s="55" t="n">
        <v>49</v>
      </c>
      <c r="E53" s="114" t="n">
        <v>54.5</v>
      </c>
      <c r="F53" s="55" t="n">
        <v>51.6</v>
      </c>
      <c r="G53" s="52" t="n">
        <v>65</v>
      </c>
      <c r="H53" s="114" t="n">
        <v>48.5</v>
      </c>
      <c r="I53" s="114" t="n">
        <v>51</v>
      </c>
      <c r="J53" s="114" t="n">
        <v>45.6</v>
      </c>
      <c r="K53" s="114" t="n">
        <v>49.5</v>
      </c>
      <c r="L53" s="54" t="n">
        <v>50.1</v>
      </c>
    </row>
    <row r="54">
      <c r="A54" s="53" t="n">
        <v>37073</v>
      </c>
      <c r="B54" s="54" t="n">
        <v>47.5</v>
      </c>
      <c r="C54" s="55" t="n">
        <v>50.1</v>
      </c>
      <c r="D54" s="55" t="n">
        <v>42.5</v>
      </c>
      <c r="E54" s="114" t="n">
        <v>49.9</v>
      </c>
      <c r="F54" s="55" t="n">
        <v>48.1</v>
      </c>
      <c r="G54" s="52" t="n">
        <v>61.5</v>
      </c>
      <c r="H54" s="114" t="n">
        <v>46</v>
      </c>
      <c r="I54" s="114" t="n">
        <v>50.5</v>
      </c>
      <c r="J54" s="114" t="n">
        <v>46.4</v>
      </c>
      <c r="K54" s="114" t="n">
        <v>53</v>
      </c>
      <c r="L54" s="54" t="n">
        <v>48.1</v>
      </c>
    </row>
    <row r="55">
      <c r="A55" s="53" t="n">
        <v>37104</v>
      </c>
      <c r="B55" s="54" t="n">
        <v>46.5</v>
      </c>
      <c r="C55" s="55" t="n">
        <v>52.8</v>
      </c>
      <c r="D55" s="55" t="n">
        <v>41.5</v>
      </c>
      <c r="E55" s="114" t="n">
        <v>48.9</v>
      </c>
      <c r="F55" s="55" t="n">
        <v>47.4</v>
      </c>
      <c r="G55" s="52" t="n">
        <v>65.5</v>
      </c>
      <c r="H55" s="114" t="n">
        <v>43.5</v>
      </c>
      <c r="I55" s="114" t="n">
        <v>48</v>
      </c>
      <c r="J55" s="114" t="n">
        <v>45.7</v>
      </c>
      <c r="K55" s="114" t="n">
        <v>47.5</v>
      </c>
      <c r="L55" s="54" t="n">
        <v>46.9</v>
      </c>
    </row>
    <row r="56">
      <c r="A56" s="53" t="n">
        <v>37135</v>
      </c>
      <c r="B56" s="54" t="n">
        <v>50.8</v>
      </c>
      <c r="C56" s="55" t="n">
        <v>52.7</v>
      </c>
      <c r="D56" s="55" t="n">
        <v>48.5</v>
      </c>
      <c r="E56" s="114" t="n">
        <v>50.2</v>
      </c>
      <c r="F56" s="55" t="n">
        <v>49.7</v>
      </c>
      <c r="G56" s="52" t="n">
        <v>64</v>
      </c>
      <c r="H56" s="114" t="n">
        <v>44.5</v>
      </c>
      <c r="I56" s="114" t="n">
        <v>51</v>
      </c>
      <c r="J56" s="114" t="n">
        <v>46.4</v>
      </c>
      <c r="K56" s="114" t="n">
        <v>53.5</v>
      </c>
      <c r="L56" s="54" t="n">
        <v>49.5</v>
      </c>
    </row>
    <row r="57">
      <c r="A57" s="53" t="n">
        <v>37165</v>
      </c>
      <c r="B57" s="54" t="n">
        <v>41.3</v>
      </c>
      <c r="C57" s="55" t="n">
        <v>50.7</v>
      </c>
      <c r="D57" s="55" t="n">
        <v>40.5</v>
      </c>
      <c r="E57" s="114" t="n">
        <v>43.4</v>
      </c>
      <c r="F57" s="55" t="n">
        <v>40.5</v>
      </c>
      <c r="G57" s="52" t="n">
        <v>68.5</v>
      </c>
      <c r="H57" s="114" t="n">
        <v>48</v>
      </c>
      <c r="I57" s="114" t="n">
        <v>53.5</v>
      </c>
      <c r="J57" s="114" t="n">
        <v>43.9</v>
      </c>
      <c r="K57" s="114" t="n">
        <v>44.5</v>
      </c>
      <c r="L57" s="54" t="n">
        <v>44.8</v>
      </c>
    </row>
    <row r="58">
      <c r="A58" s="53" t="n">
        <v>37196</v>
      </c>
      <c r="B58" s="54" t="n">
        <v>46.4</v>
      </c>
      <c r="C58" s="55" t="n">
        <v>51.6</v>
      </c>
      <c r="D58" s="55" t="n">
        <v>42</v>
      </c>
      <c r="E58" s="114" t="n">
        <v>41.3</v>
      </c>
      <c r="F58" s="55" t="n">
        <v>49.4</v>
      </c>
      <c r="G58" s="52" t="n">
        <v>67</v>
      </c>
      <c r="H58" s="114" t="n">
        <v>49.5</v>
      </c>
      <c r="I58" s="114" t="n">
        <v>52.5</v>
      </c>
      <c r="J58" s="114" t="n">
        <v>44.5</v>
      </c>
      <c r="K58" s="114" t="n">
        <v>48.5</v>
      </c>
      <c r="L58" s="54" t="n">
        <v>48.2</v>
      </c>
    </row>
    <row r="59">
      <c r="A59" s="53" t="n">
        <v>37226</v>
      </c>
      <c r="B59" s="54" t="n">
        <v>49.9</v>
      </c>
      <c r="C59" s="55" t="n">
        <v>55.9</v>
      </c>
      <c r="D59" s="55" t="n">
        <v>46.5</v>
      </c>
      <c r="E59" s="114" t="n">
        <v>42.3</v>
      </c>
      <c r="F59" s="55" t="n">
        <v>50.7</v>
      </c>
      <c r="G59" s="52" t="n">
        <v>66.5</v>
      </c>
      <c r="H59" s="114" t="n">
        <v>48.5</v>
      </c>
      <c r="I59" s="114" t="n">
        <v>53.5</v>
      </c>
      <c r="J59" s="114" t="n">
        <v>44.6</v>
      </c>
      <c r="K59" s="114" t="n">
        <v>55</v>
      </c>
      <c r="L59" s="54" t="n">
        <v>49.7</v>
      </c>
    </row>
    <row r="60">
      <c r="A60" s="53" t="n">
        <v>37257</v>
      </c>
      <c r="B60" s="54" t="n">
        <v>48.3</v>
      </c>
      <c r="C60" s="55" t="n">
        <v>55.3</v>
      </c>
      <c r="D60" s="55" t="n">
        <v>45.5</v>
      </c>
      <c r="E60" s="114" t="n">
        <v>48.8</v>
      </c>
      <c r="F60" s="55" t="n">
        <v>49.8</v>
      </c>
      <c r="G60" s="52" t="n">
        <v>64.5</v>
      </c>
      <c r="H60" s="114" t="n">
        <v>47.5</v>
      </c>
      <c r="I60" s="114" t="n">
        <v>53</v>
      </c>
      <c r="J60" s="114" t="n">
        <v>44.3</v>
      </c>
      <c r="K60" s="114" t="n">
        <v>56.5</v>
      </c>
      <c r="L60" s="54" t="n">
        <v>48.9</v>
      </c>
    </row>
    <row r="61">
      <c r="A61" s="53" t="n">
        <v>37288</v>
      </c>
      <c r="B61" s="54" t="n">
        <v>56.3</v>
      </c>
      <c r="C61" s="55" t="n">
        <v>54.3</v>
      </c>
      <c r="D61" s="55" t="n">
        <v>47.5</v>
      </c>
      <c r="E61" s="114" t="n">
        <v>47.6</v>
      </c>
      <c r="F61" s="55" t="n">
        <v>57.5</v>
      </c>
      <c r="G61" s="52" t="n">
        <v>66.5</v>
      </c>
      <c r="H61" s="114" t="n">
        <v>51.5</v>
      </c>
      <c r="I61" s="114" t="n">
        <v>53</v>
      </c>
      <c r="J61" s="114" t="n">
        <v>43.9</v>
      </c>
      <c r="K61" s="114" t="n">
        <v>52.5</v>
      </c>
      <c r="L61" s="54" t="n">
        <v>52.7</v>
      </c>
    </row>
    <row r="62">
      <c r="A62" s="53" t="n">
        <v>37316</v>
      </c>
      <c r="B62" s="54" t="n">
        <v>56.4</v>
      </c>
      <c r="C62" s="55" t="n">
        <v>48.9</v>
      </c>
      <c r="D62" s="55" t="n">
        <v>49.5</v>
      </c>
      <c r="E62" s="114" t="n">
        <v>49.2</v>
      </c>
      <c r="F62" s="55" t="n">
        <v>57.1</v>
      </c>
      <c r="G62" s="52" t="n">
        <v>65.5</v>
      </c>
      <c r="H62" s="114" t="n">
        <v>50</v>
      </c>
      <c r="I62" s="114" t="n">
        <v>52</v>
      </c>
      <c r="J62" s="114" t="n">
        <v>45.8</v>
      </c>
      <c r="K62" s="114" t="n">
        <v>49.5</v>
      </c>
      <c r="L62" s="54" t="n">
        <v>52.8</v>
      </c>
    </row>
    <row r="63">
      <c r="A63" s="53" t="n">
        <v>37347</v>
      </c>
      <c r="B63" s="54" t="n">
        <v>58.4</v>
      </c>
      <c r="C63" s="55" t="n">
        <v>56.2</v>
      </c>
      <c r="D63" s="55" t="n">
        <v>48.5</v>
      </c>
      <c r="E63" s="114" t="n">
        <v>53.7</v>
      </c>
      <c r="F63" s="55" t="n">
        <v>56.3</v>
      </c>
      <c r="G63" s="52" t="n">
        <v>63</v>
      </c>
      <c r="H63" s="114" t="n">
        <v>52.5</v>
      </c>
      <c r="I63" s="114" t="n">
        <v>51.5</v>
      </c>
      <c r="J63" s="114" t="n">
        <v>47.8</v>
      </c>
      <c r="K63" s="114" t="n">
        <v>52.5</v>
      </c>
      <c r="L63" s="54" t="n">
        <v>53.5</v>
      </c>
    </row>
    <row r="64">
      <c r="A64" s="53" t="n">
        <v>37377</v>
      </c>
      <c r="B64" s="54" t="n">
        <v>57.3</v>
      </c>
      <c r="C64" s="55" t="n">
        <v>54</v>
      </c>
      <c r="D64" s="55" t="n">
        <v>53.5</v>
      </c>
      <c r="E64" s="114" t="n">
        <v>55.2</v>
      </c>
      <c r="F64" s="55" t="n">
        <v>60.5</v>
      </c>
      <c r="G64" s="52" t="n">
        <v>65</v>
      </c>
      <c r="H64" s="114" t="n">
        <v>48.5</v>
      </c>
      <c r="I64" s="114" t="n">
        <v>52</v>
      </c>
      <c r="J64" s="114" t="n">
        <v>49.2</v>
      </c>
      <c r="K64" s="114" t="n">
        <v>61.5</v>
      </c>
      <c r="L64" s="54" t="n">
        <v>54.8</v>
      </c>
    </row>
    <row r="65">
      <c r="A65" s="53" t="n">
        <v>37408</v>
      </c>
      <c r="B65" s="54" t="n">
        <v>56.4</v>
      </c>
      <c r="C65" s="55" t="n">
        <v>55.2</v>
      </c>
      <c r="D65" s="55" t="n">
        <v>49</v>
      </c>
      <c r="E65" s="114" t="n">
        <v>53.1</v>
      </c>
      <c r="F65" s="55" t="n">
        <v>56.1</v>
      </c>
      <c r="G65" s="52" t="n">
        <v>66</v>
      </c>
      <c r="H65" s="114" t="n">
        <v>47.5</v>
      </c>
      <c r="I65" s="114" t="n">
        <v>53.5</v>
      </c>
      <c r="J65" s="114" t="n">
        <v>44</v>
      </c>
      <c r="K65" s="114" t="n">
        <v>57.5</v>
      </c>
      <c r="L65" s="54" t="n">
        <v>52.5</v>
      </c>
    </row>
    <row r="66">
      <c r="A66" s="53" t="n">
        <v>37438</v>
      </c>
      <c r="B66" s="54" t="n">
        <v>50.7</v>
      </c>
      <c r="C66" s="55" t="n">
        <v>52.6</v>
      </c>
      <c r="D66" s="55" t="n">
        <v>43.5</v>
      </c>
      <c r="E66" s="114" t="n">
        <v>60.5</v>
      </c>
      <c r="F66" s="55" t="n">
        <v>52.1</v>
      </c>
      <c r="G66" s="52" t="n">
        <v>66</v>
      </c>
      <c r="H66" s="114" t="n">
        <v>52</v>
      </c>
      <c r="I66" s="114" t="n">
        <v>52.5</v>
      </c>
      <c r="J66" s="114" t="n">
        <v>46.1</v>
      </c>
      <c r="K66" s="114" t="n">
        <v>59.5</v>
      </c>
      <c r="L66" s="54" t="n">
        <v>50.4</v>
      </c>
    </row>
    <row r="67">
      <c r="A67" s="53" t="n">
        <v>37469</v>
      </c>
      <c r="B67" s="54" t="n">
        <v>51.6</v>
      </c>
      <c r="C67" s="55" t="n">
        <v>48.3</v>
      </c>
      <c r="D67" s="55" t="n">
        <v>48</v>
      </c>
      <c r="E67" s="114" t="n">
        <v>55.1</v>
      </c>
      <c r="F67" s="55" t="n">
        <v>51.9</v>
      </c>
      <c r="G67" s="52" t="n">
        <v>62</v>
      </c>
      <c r="H67" s="114" t="n">
        <v>46</v>
      </c>
      <c r="I67" s="114" t="n">
        <v>53</v>
      </c>
      <c r="J67" s="114" t="n">
        <v>47.2</v>
      </c>
      <c r="K67" s="114" t="n">
        <v>46</v>
      </c>
      <c r="L67" s="54" t="n">
        <v>50.9</v>
      </c>
    </row>
    <row r="68">
      <c r="A68" s="53" t="n">
        <v>37500</v>
      </c>
      <c r="B68" s="54" t="n">
        <v>54.8</v>
      </c>
      <c r="C68" s="55" t="n">
        <v>44.7</v>
      </c>
      <c r="D68" s="55" t="n">
        <v>51</v>
      </c>
      <c r="E68" s="114" t="n">
        <v>53.4</v>
      </c>
      <c r="F68" s="55" t="n">
        <v>54.9</v>
      </c>
      <c r="G68" s="52" t="n">
        <v>66</v>
      </c>
      <c r="H68" s="114" t="n">
        <v>44.5</v>
      </c>
      <c r="I68" s="114" t="n">
        <v>52.5</v>
      </c>
      <c r="J68" s="114" t="n">
        <v>47.1</v>
      </c>
      <c r="K68" s="114" t="n">
        <v>57.5</v>
      </c>
      <c r="L68" s="54" t="n">
        <v>52.3</v>
      </c>
    </row>
    <row r="69">
      <c r="A69" s="53" t="n">
        <v>37530</v>
      </c>
      <c r="B69" s="54" t="n">
        <v>52.3</v>
      </c>
      <c r="C69" s="55" t="n">
        <v>54.9</v>
      </c>
      <c r="D69" s="55" t="n">
        <v>52</v>
      </c>
      <c r="E69" s="114" t="n">
        <v>56.1</v>
      </c>
      <c r="F69" s="55" t="n">
        <v>53.1</v>
      </c>
      <c r="G69" s="52" t="n">
        <v>64.5</v>
      </c>
      <c r="H69" s="114" t="n">
        <v>44</v>
      </c>
      <c r="I69" s="114" t="n">
        <v>53.5</v>
      </c>
      <c r="J69" s="114" t="n">
        <v>46.6</v>
      </c>
      <c r="K69" s="114" t="n">
        <v>49</v>
      </c>
      <c r="L69" s="54" t="n">
        <v>51.4</v>
      </c>
    </row>
    <row r="70">
      <c r="A70" s="53" t="n">
        <v>37561</v>
      </c>
      <c r="B70" s="54" t="n">
        <v>56.4</v>
      </c>
      <c r="C70" s="55" t="n">
        <v>55.1</v>
      </c>
      <c r="D70" s="55" t="n">
        <v>50.5</v>
      </c>
      <c r="E70" s="114" t="n">
        <v>57.6</v>
      </c>
      <c r="F70" s="55" t="n">
        <v>56.8</v>
      </c>
      <c r="G70" s="52" t="n">
        <v>61</v>
      </c>
      <c r="H70" s="114" t="n">
        <v>44</v>
      </c>
      <c r="I70" s="114" t="n">
        <v>52.5</v>
      </c>
      <c r="J70" s="114" t="n">
        <v>46</v>
      </c>
      <c r="K70" s="114" t="n">
        <v>58.5</v>
      </c>
      <c r="L70" s="54" t="n">
        <v>52.9</v>
      </c>
    </row>
    <row r="71">
      <c r="A71" s="53" t="n">
        <v>37591</v>
      </c>
      <c r="B71" s="54" t="n">
        <v>54.2</v>
      </c>
      <c r="C71" s="55" t="n">
        <v>51.8</v>
      </c>
      <c r="D71" s="55" t="n">
        <v>51.5</v>
      </c>
      <c r="E71" s="114" t="n">
        <v>56.5</v>
      </c>
      <c r="F71" s="55" t="n">
        <v>55.5</v>
      </c>
      <c r="G71" s="52" t="n">
        <v>63</v>
      </c>
      <c r="H71" s="114" t="n">
        <v>45.5</v>
      </c>
      <c r="I71" s="114" t="n">
        <v>52.5</v>
      </c>
      <c r="J71" s="114" t="n">
        <v>47</v>
      </c>
      <c r="K71" s="114" t="n">
        <v>54</v>
      </c>
      <c r="L71" s="54" t="n">
        <v>52.3</v>
      </c>
    </row>
    <row r="72">
      <c r="A72" s="53" t="n">
        <v>37622</v>
      </c>
      <c r="B72" s="54" t="n">
        <v>54.4</v>
      </c>
      <c r="C72" s="55" t="n">
        <v>56.5</v>
      </c>
      <c r="D72" s="55" t="n">
        <v>48</v>
      </c>
      <c r="E72" s="114" t="n">
        <v>58</v>
      </c>
      <c r="F72" s="55" t="n">
        <v>56.2</v>
      </c>
      <c r="G72" s="52" t="n">
        <v>64.5</v>
      </c>
      <c r="H72" s="114" t="n">
        <v>46.5</v>
      </c>
      <c r="I72" s="114" t="n">
        <v>52</v>
      </c>
      <c r="J72" s="114" t="n">
        <v>50.5</v>
      </c>
      <c r="K72" s="114" t="n">
        <v>53</v>
      </c>
      <c r="L72" s="54" t="n">
        <v>53.3</v>
      </c>
    </row>
    <row r="73">
      <c r="A73" s="53" t="n">
        <v>37653</v>
      </c>
      <c r="B73" s="54" t="n">
        <v>53.9</v>
      </c>
      <c r="C73" s="55" t="n">
        <v>51.5</v>
      </c>
      <c r="D73" s="55" t="n">
        <v>50</v>
      </c>
      <c r="E73" s="114" t="n">
        <v>60.5</v>
      </c>
      <c r="F73" s="55" t="n">
        <v>55.6</v>
      </c>
      <c r="G73" s="52" t="n">
        <v>66.5</v>
      </c>
      <c r="H73" s="114" t="n">
        <v>48.5</v>
      </c>
      <c r="I73" s="114" t="n">
        <v>52.5</v>
      </c>
      <c r="J73" s="114" t="n">
        <v>48.5</v>
      </c>
      <c r="K73" s="114" t="n">
        <v>58.5</v>
      </c>
      <c r="L73" s="54" t="n">
        <v>52.6</v>
      </c>
    </row>
    <row r="74">
      <c r="A74" s="53" t="n">
        <v>37681</v>
      </c>
      <c r="B74" s="54" t="n">
        <v>49.9</v>
      </c>
      <c r="C74" s="55" t="n">
        <v>55</v>
      </c>
      <c r="D74" s="55" t="n">
        <v>47.5</v>
      </c>
      <c r="E74" s="114" t="n">
        <v>59.4</v>
      </c>
      <c r="F74" s="55" t="n">
        <v>46.3</v>
      </c>
      <c r="G74" s="52" t="n">
        <v>66</v>
      </c>
      <c r="H74" s="114" t="n">
        <v>49.5</v>
      </c>
      <c r="I74" s="114" t="n">
        <v>52</v>
      </c>
      <c r="J74" s="114" t="n">
        <v>48.1</v>
      </c>
      <c r="K74" s="114" t="n">
        <v>48.5</v>
      </c>
      <c r="L74" s="54" t="n">
        <v>49.1</v>
      </c>
    </row>
    <row r="75">
      <c r="A75" s="53" t="n">
        <v>37712</v>
      </c>
      <c r="B75" s="54" t="n">
        <v>50.4</v>
      </c>
      <c r="C75" s="55" t="n">
        <v>50</v>
      </c>
      <c r="D75" s="55" t="n">
        <v>46</v>
      </c>
      <c r="E75" s="114" t="n">
        <v>55.7</v>
      </c>
      <c r="F75" s="55" t="n">
        <v>50.7</v>
      </c>
      <c r="G75" s="52" t="n">
        <v>62.5</v>
      </c>
      <c r="H75" s="114" t="n">
        <v>51</v>
      </c>
      <c r="I75" s="114" t="n">
        <v>50.5</v>
      </c>
      <c r="J75" s="114" t="n">
        <v>48.7</v>
      </c>
      <c r="K75" s="114" t="n">
        <v>52.5</v>
      </c>
      <c r="L75" s="54" t="n">
        <v>50.1</v>
      </c>
    </row>
    <row r="76">
      <c r="A76" s="53" t="n">
        <v>37742</v>
      </c>
      <c r="B76" s="54" t="n">
        <v>55.9</v>
      </c>
      <c r="C76" s="55" t="n">
        <v>58.5</v>
      </c>
      <c r="D76" s="55" t="n">
        <v>51</v>
      </c>
      <c r="E76" s="114" t="n">
        <v>50</v>
      </c>
      <c r="F76" s="55" t="n">
        <v>54.6</v>
      </c>
      <c r="G76" s="52" t="n">
        <v>63</v>
      </c>
      <c r="H76" s="114" t="n">
        <v>52.5</v>
      </c>
      <c r="I76" s="114" t="n">
        <v>52</v>
      </c>
      <c r="J76" s="114" t="n">
        <v>48.5</v>
      </c>
      <c r="K76" s="114" t="n">
        <v>49</v>
      </c>
      <c r="L76" s="54" t="n">
        <v>52.8</v>
      </c>
    </row>
    <row r="77">
      <c r="A77" s="53" t="n">
        <v>37773</v>
      </c>
      <c r="B77" s="54" t="n">
        <v>57.1</v>
      </c>
      <c r="C77" s="55" t="n">
        <v>50.5</v>
      </c>
      <c r="D77" s="55" t="n">
        <v>51.5</v>
      </c>
      <c r="E77" s="114" t="n">
        <v>52.3</v>
      </c>
      <c r="F77" s="55" t="n">
        <v>59.2</v>
      </c>
      <c r="G77" s="52" t="n">
        <v>62</v>
      </c>
      <c r="H77" s="114" t="n">
        <v>47</v>
      </c>
      <c r="I77" s="114" t="n">
        <v>51.5</v>
      </c>
      <c r="J77" s="114" t="n">
        <v>49.3</v>
      </c>
      <c r="K77" s="114" t="n">
        <v>49.5</v>
      </c>
      <c r="L77" s="54" t="n">
        <v>54.3</v>
      </c>
    </row>
    <row r="78">
      <c r="A78" s="53" t="n">
        <v>37803</v>
      </c>
      <c r="B78" s="54" t="n">
        <v>62.3</v>
      </c>
      <c r="C78" s="55" t="n">
        <v>54</v>
      </c>
      <c r="D78" s="55" t="n">
        <v>54.5</v>
      </c>
      <c r="E78" s="114" t="n">
        <v>51.4</v>
      </c>
      <c r="F78" s="55" t="n">
        <v>62.7</v>
      </c>
      <c r="G78" s="52" t="n">
        <v>60</v>
      </c>
      <c r="H78" s="114" t="n">
        <v>49.5</v>
      </c>
      <c r="I78" s="114" t="n">
        <v>53.5</v>
      </c>
      <c r="J78" s="114" t="n">
        <v>50.5</v>
      </c>
      <c r="K78" s="114" t="n">
        <v>47.5</v>
      </c>
      <c r="L78" s="54" t="n">
        <v>57.3</v>
      </c>
    </row>
    <row r="79">
      <c r="A79" s="53" t="n">
        <v>37834</v>
      </c>
      <c r="B79" s="54" t="n">
        <v>66.90000000000001</v>
      </c>
      <c r="C79" s="55" t="n">
        <v>60</v>
      </c>
      <c r="D79" s="55" t="n">
        <v>51.5</v>
      </c>
      <c r="E79" s="114" t="n">
        <v>56.1</v>
      </c>
      <c r="F79" s="55" t="n">
        <v>65.09999999999999</v>
      </c>
      <c r="G79" s="52" t="n">
        <v>62</v>
      </c>
      <c r="H79" s="114" t="n">
        <v>49</v>
      </c>
      <c r="I79" s="114" t="n">
        <v>52.5</v>
      </c>
      <c r="J79" s="114" t="n">
        <v>51.7</v>
      </c>
      <c r="K79" s="114" t="n">
        <v>58.5</v>
      </c>
      <c r="L79" s="54" t="n">
        <v>59.1</v>
      </c>
    </row>
    <row r="80">
      <c r="A80" s="53" t="n">
        <v>37865</v>
      </c>
      <c r="B80" s="54" t="n">
        <v>61.4</v>
      </c>
      <c r="C80" s="55" t="n">
        <v>55</v>
      </c>
      <c r="D80" s="55" t="n">
        <v>57</v>
      </c>
      <c r="E80" s="114" t="n">
        <v>59.5</v>
      </c>
      <c r="F80" s="55" t="n">
        <v>63.8</v>
      </c>
      <c r="G80" s="52" t="n">
        <v>60.5</v>
      </c>
      <c r="H80" s="114" t="n">
        <v>47.5</v>
      </c>
      <c r="I80" s="114" t="n">
        <v>55</v>
      </c>
      <c r="J80" s="114" t="n">
        <v>50.1</v>
      </c>
      <c r="K80" s="114" t="n">
        <v>56</v>
      </c>
      <c r="L80" s="54" t="n">
        <v>57.6</v>
      </c>
    </row>
    <row r="81">
      <c r="A81" s="53" t="n">
        <v>37895</v>
      </c>
      <c r="B81" s="54" t="n">
        <v>64.2</v>
      </c>
      <c r="C81" s="55" t="n">
        <v>56</v>
      </c>
      <c r="D81" s="55" t="n">
        <v>54</v>
      </c>
      <c r="E81" s="114" t="n">
        <v>57.2</v>
      </c>
      <c r="F81" s="55" t="n">
        <v>64.40000000000001</v>
      </c>
      <c r="G81" s="52" t="n">
        <v>60</v>
      </c>
      <c r="H81" s="114" t="n">
        <v>49</v>
      </c>
      <c r="I81" s="114" t="n">
        <v>53</v>
      </c>
      <c r="J81" s="114" t="n">
        <v>53</v>
      </c>
      <c r="K81" s="114" t="n">
        <v>58</v>
      </c>
      <c r="L81" s="54" t="n">
        <v>58.7</v>
      </c>
    </row>
    <row r="82">
      <c r="A82" s="53" t="n">
        <v>37926</v>
      </c>
      <c r="B82" s="54" t="n">
        <v>61.3</v>
      </c>
      <c r="C82" s="55" t="n">
        <v>57.5</v>
      </c>
      <c r="D82" s="55" t="n">
        <v>52.5</v>
      </c>
      <c r="E82" s="114" t="n">
        <v>58.5</v>
      </c>
      <c r="F82" s="55" t="n">
        <v>61.1</v>
      </c>
      <c r="G82" s="52" t="n">
        <v>62</v>
      </c>
      <c r="H82" s="114" t="n">
        <v>51</v>
      </c>
      <c r="I82" s="114" t="n">
        <v>53</v>
      </c>
      <c r="J82" s="114" t="n">
        <v>54.4</v>
      </c>
      <c r="K82" s="114" t="n">
        <v>54.5</v>
      </c>
      <c r="L82" s="54" t="n">
        <v>57.5</v>
      </c>
    </row>
    <row r="83">
      <c r="A83" s="53" t="n">
        <v>37956</v>
      </c>
      <c r="B83" s="54" t="n">
        <v>61.2</v>
      </c>
      <c r="C83" s="55" t="n">
        <v>57</v>
      </c>
      <c r="D83" s="55" t="n">
        <v>55.5</v>
      </c>
      <c r="E83" s="114" t="n">
        <v>61.1</v>
      </c>
      <c r="F83" s="55" t="n">
        <v>60</v>
      </c>
      <c r="G83" s="52" t="n">
        <v>62</v>
      </c>
      <c r="H83" s="114" t="n">
        <v>51.5</v>
      </c>
      <c r="I83" s="114" t="n">
        <v>52</v>
      </c>
      <c r="J83" s="114" t="n">
        <v>54</v>
      </c>
      <c r="K83" s="114" t="n">
        <v>57.5</v>
      </c>
      <c r="L83" s="54" t="n">
        <v>56.8</v>
      </c>
    </row>
    <row r="84">
      <c r="A84" s="53" t="n">
        <v>37987</v>
      </c>
      <c r="B84" s="54" t="n">
        <v>65.40000000000001</v>
      </c>
      <c r="C84" s="55" t="n">
        <v>54.5</v>
      </c>
      <c r="D84" s="55" t="n">
        <v>53.5</v>
      </c>
      <c r="E84" s="114" t="n">
        <v>62.2</v>
      </c>
      <c r="F84" s="55" t="n">
        <v>67.7</v>
      </c>
      <c r="G84" s="52" t="n">
        <v>59</v>
      </c>
      <c r="H84" s="114" t="n">
        <v>49.5</v>
      </c>
      <c r="I84" s="114" t="n">
        <v>56.5</v>
      </c>
      <c r="J84" s="114" t="n">
        <v>55.143160127253</v>
      </c>
      <c r="K84" s="114" t="n">
        <v>51</v>
      </c>
      <c r="L84" s="54" t="n">
        <v>61.2</v>
      </c>
    </row>
    <row r="85">
      <c r="A85" s="53" t="n">
        <v>38018</v>
      </c>
      <c r="B85" s="54" t="n">
        <v>61.2</v>
      </c>
      <c r="C85" s="55" t="n">
        <v>58.5</v>
      </c>
      <c r="D85" s="55" t="n">
        <v>53</v>
      </c>
      <c r="E85" s="114" t="n">
        <v>59.5</v>
      </c>
      <c r="F85" s="55" t="n">
        <v>62.5</v>
      </c>
      <c r="G85" s="52" t="n">
        <v>58</v>
      </c>
      <c r="H85" s="114" t="n">
        <v>49</v>
      </c>
      <c r="I85" s="114" t="n">
        <v>55.5</v>
      </c>
      <c r="J85" s="114" t="n">
        <v>52.904564315353</v>
      </c>
      <c r="K85" s="114" t="n">
        <v>55.5</v>
      </c>
      <c r="L85" s="54" t="n">
        <v>58</v>
      </c>
    </row>
    <row r="86">
      <c r="A86" s="53" t="n">
        <v>38047</v>
      </c>
      <c r="B86" s="54" t="n">
        <v>62.1</v>
      </c>
      <c r="C86" s="55" t="n">
        <v>60.5</v>
      </c>
      <c r="D86" s="55" t="n">
        <v>52.5</v>
      </c>
      <c r="E86" s="114" t="n">
        <v>65</v>
      </c>
      <c r="F86" s="55" t="n">
        <v>62.3</v>
      </c>
      <c r="G86" s="52" t="n">
        <v>60.5</v>
      </c>
      <c r="H86" s="114" t="n">
        <v>51.5</v>
      </c>
      <c r="I86" s="114" t="n">
        <v>55</v>
      </c>
      <c r="J86" s="114" t="n">
        <v>53.800592300099</v>
      </c>
      <c r="K86" s="114" t="n">
        <v>51.5</v>
      </c>
      <c r="L86" s="54" t="n">
        <v>58.3</v>
      </c>
    </row>
    <row r="87">
      <c r="A87" s="53" t="n">
        <v>38078</v>
      </c>
      <c r="B87" s="54" t="n">
        <v>61.6</v>
      </c>
      <c r="C87" s="55" t="n">
        <v>60.5</v>
      </c>
      <c r="D87" s="55" t="n">
        <v>53.5</v>
      </c>
      <c r="E87" s="114" t="n">
        <v>68.59999999999999</v>
      </c>
      <c r="F87" s="55" t="n">
        <v>64</v>
      </c>
      <c r="G87" s="52" t="n">
        <v>58</v>
      </c>
      <c r="H87" s="114" t="n">
        <v>56.5</v>
      </c>
      <c r="I87" s="114" t="n">
        <v>58</v>
      </c>
      <c r="J87" s="114" t="n">
        <v>54.6875</v>
      </c>
      <c r="K87" s="114" t="n">
        <v>62</v>
      </c>
      <c r="L87" s="54" t="n">
        <v>59.6</v>
      </c>
    </row>
    <row r="88">
      <c r="A88" s="53" t="n">
        <v>38108</v>
      </c>
      <c r="B88" s="54" t="n">
        <v>60.7</v>
      </c>
      <c r="C88" s="55" t="n">
        <v>59.5</v>
      </c>
      <c r="D88" s="55" t="n">
        <v>56.5</v>
      </c>
      <c r="E88" s="114" t="n">
        <v>71</v>
      </c>
      <c r="F88" s="55" t="n">
        <v>62.6</v>
      </c>
      <c r="G88" s="52" t="n">
        <v>60</v>
      </c>
      <c r="H88" s="114" t="n">
        <v>54</v>
      </c>
      <c r="I88" s="114" t="n">
        <v>56</v>
      </c>
      <c r="J88" s="114" t="n">
        <v>54.545454545455</v>
      </c>
      <c r="K88" s="114" t="n">
        <v>52</v>
      </c>
      <c r="L88" s="54" t="n">
        <v>58.5</v>
      </c>
    </row>
    <row r="89">
      <c r="A89" s="53" t="n">
        <v>38139</v>
      </c>
      <c r="B89" s="54" t="n">
        <v>62.1</v>
      </c>
      <c r="C89" s="55" t="n">
        <v>56.5</v>
      </c>
      <c r="D89" s="55" t="n">
        <v>55.5</v>
      </c>
      <c r="E89" s="114" t="n">
        <v>74.2</v>
      </c>
      <c r="F89" s="55" t="n">
        <v>59.2</v>
      </c>
      <c r="G89" s="52" t="n">
        <v>60.5</v>
      </c>
      <c r="H89" s="114" t="n">
        <v>57.5</v>
      </c>
      <c r="I89" s="114" t="n">
        <v>57.5</v>
      </c>
      <c r="J89" s="114" t="n">
        <v>55.555555555556</v>
      </c>
      <c r="K89" s="114" t="n">
        <v>59.5</v>
      </c>
      <c r="L89" s="54" t="n">
        <v>58.6</v>
      </c>
    </row>
    <row r="90">
      <c r="A90" s="53" t="n">
        <v>38169</v>
      </c>
      <c r="B90" s="54" t="n">
        <v>63.2</v>
      </c>
      <c r="C90" s="55" t="n">
        <v>60.5</v>
      </c>
      <c r="D90" s="55" t="n">
        <v>55</v>
      </c>
      <c r="E90" s="114" t="n">
        <v>71.90000000000001</v>
      </c>
      <c r="F90" s="55" t="n">
        <v>63.2</v>
      </c>
      <c r="G90" s="52" t="n">
        <v>64</v>
      </c>
      <c r="H90" s="114" t="n">
        <v>54</v>
      </c>
      <c r="I90" s="114" t="n">
        <v>58</v>
      </c>
      <c r="J90" s="114" t="n">
        <v>49.665711556829</v>
      </c>
      <c r="K90" s="114" t="n">
        <v>55.5</v>
      </c>
      <c r="L90" s="54" t="n">
        <v>58.5</v>
      </c>
    </row>
    <row r="91">
      <c r="A91" s="53" t="n">
        <v>38200</v>
      </c>
      <c r="B91" s="54" t="n">
        <v>59</v>
      </c>
      <c r="C91" s="55" t="n">
        <v>63.5</v>
      </c>
      <c r="D91" s="55" t="n">
        <v>53</v>
      </c>
      <c r="E91" s="114" t="n">
        <v>70.90000000000001</v>
      </c>
      <c r="F91" s="55" t="n">
        <v>59.7</v>
      </c>
      <c r="G91" s="52" t="n">
        <v>62.5</v>
      </c>
      <c r="H91" s="114" t="n">
        <v>53</v>
      </c>
      <c r="I91" s="114" t="n">
        <v>57</v>
      </c>
      <c r="J91" s="114" t="n">
        <v>53.516819571865</v>
      </c>
      <c r="K91" s="114" t="n">
        <v>55</v>
      </c>
      <c r="L91" s="54" t="n">
        <v>57.3</v>
      </c>
    </row>
    <row r="92">
      <c r="A92" s="53" t="n">
        <v>38231</v>
      </c>
      <c r="B92" s="54" t="n">
        <v>60.6</v>
      </c>
      <c r="C92" s="55" t="n">
        <v>56</v>
      </c>
      <c r="D92" s="55" t="n">
        <v>52.5</v>
      </c>
      <c r="E92" s="114" t="n">
        <v>67</v>
      </c>
      <c r="F92" s="55" t="n">
        <v>60</v>
      </c>
      <c r="G92" s="52" t="n">
        <v>61.5</v>
      </c>
      <c r="H92" s="114" t="n">
        <v>51.5</v>
      </c>
      <c r="I92" s="114" t="n">
        <v>55.5</v>
      </c>
      <c r="J92" s="114" t="n">
        <v>55.325749741468</v>
      </c>
      <c r="K92" s="114" t="n">
        <v>55.5</v>
      </c>
      <c r="L92" s="54" t="n">
        <v>57.9</v>
      </c>
    </row>
    <row r="93">
      <c r="A93" s="53" t="n">
        <v>38261</v>
      </c>
      <c r="B93" s="54" t="n">
        <v>61.7</v>
      </c>
      <c r="C93" s="55" t="n">
        <v>57.5</v>
      </c>
      <c r="D93" s="55" t="n">
        <v>52.5</v>
      </c>
      <c r="E93" s="114" t="n">
        <v>72.8</v>
      </c>
      <c r="F93" s="55" t="n">
        <v>61</v>
      </c>
      <c r="G93" s="52" t="n">
        <v>60.5</v>
      </c>
      <c r="H93" s="114" t="n">
        <v>50</v>
      </c>
      <c r="I93" s="114" t="n">
        <v>56</v>
      </c>
      <c r="J93" s="114" t="n">
        <v>56.476683937824</v>
      </c>
      <c r="K93" s="114" t="n">
        <v>55</v>
      </c>
      <c r="L93" s="54" t="n">
        <v>58.8</v>
      </c>
    </row>
    <row r="94">
      <c r="A94" s="53" t="n">
        <v>38292</v>
      </c>
      <c r="B94" s="54" t="n">
        <v>61.1</v>
      </c>
      <c r="C94" s="55" t="n">
        <v>62</v>
      </c>
      <c r="D94" s="55" t="n">
        <v>54</v>
      </c>
      <c r="E94" s="114" t="n">
        <v>70.59999999999999</v>
      </c>
      <c r="F94" s="55" t="n">
        <v>62.8</v>
      </c>
      <c r="G94" s="52" t="n">
        <v>61.5</v>
      </c>
      <c r="H94" s="114" t="n">
        <v>52.5</v>
      </c>
      <c r="I94" s="114" t="n">
        <v>55</v>
      </c>
      <c r="J94" s="114" t="n">
        <v>54.835493519442</v>
      </c>
      <c r="K94" s="114" t="n">
        <v>53.5</v>
      </c>
      <c r="L94" s="54" t="n">
        <v>58.4</v>
      </c>
    </row>
    <row r="95">
      <c r="A95" s="53" t="n">
        <v>38322</v>
      </c>
      <c r="B95" s="54" t="n">
        <v>63.2</v>
      </c>
      <c r="C95" s="55" t="n">
        <v>61</v>
      </c>
      <c r="D95" s="55" t="n">
        <v>56.5</v>
      </c>
      <c r="E95" s="114" t="n">
        <v>71.3</v>
      </c>
      <c r="F95" s="55" t="n">
        <v>65</v>
      </c>
      <c r="G95" s="52" t="n">
        <v>64</v>
      </c>
      <c r="H95" s="114" t="n">
        <v>56</v>
      </c>
      <c r="I95" s="114" t="n">
        <v>55.5</v>
      </c>
      <c r="J95" s="114" t="n">
        <v>54.711246200608</v>
      </c>
      <c r="K95" s="114" t="n">
        <v>55.5</v>
      </c>
      <c r="L95" s="54" t="n">
        <v>59.6</v>
      </c>
    </row>
    <row r="96">
      <c r="A96" s="53" t="n">
        <v>38353</v>
      </c>
      <c r="B96" s="54" t="n">
        <v>62.4</v>
      </c>
      <c r="C96" s="55" t="n">
        <v>53</v>
      </c>
      <c r="D96" s="55" t="n">
        <v>48</v>
      </c>
      <c r="E96" s="114" t="n">
        <v>69.09999999999999</v>
      </c>
      <c r="F96" s="55" t="n">
        <v>62.5</v>
      </c>
      <c r="G96" s="52" t="n">
        <v>64.5</v>
      </c>
      <c r="H96" s="114" t="n">
        <v>49.5</v>
      </c>
      <c r="I96" s="114" t="n">
        <v>52.5</v>
      </c>
      <c r="J96" s="114" t="n">
        <v>54.6</v>
      </c>
      <c r="K96" s="114" t="n">
        <v>52.5</v>
      </c>
      <c r="L96" s="54" t="n">
        <v>58</v>
      </c>
    </row>
    <row r="97">
      <c r="A97" s="53" t="n">
        <v>38384</v>
      </c>
      <c r="B97" s="54" t="n">
        <v>63.3</v>
      </c>
      <c r="C97" s="55" t="n">
        <v>57.5</v>
      </c>
      <c r="D97" s="55" t="n">
        <v>51.5</v>
      </c>
      <c r="E97" s="114" t="n">
        <v>69.7</v>
      </c>
      <c r="F97" s="55" t="n">
        <v>61.9</v>
      </c>
      <c r="G97" s="52" t="n">
        <v>64.5</v>
      </c>
      <c r="H97" s="114" t="n">
        <v>52</v>
      </c>
      <c r="I97" s="114" t="n">
        <v>52.5</v>
      </c>
      <c r="J97" s="114" t="n">
        <v>59.7</v>
      </c>
      <c r="K97" s="114" t="n">
        <v>56</v>
      </c>
      <c r="L97" s="54" t="n">
        <v>59.4</v>
      </c>
    </row>
    <row r="98">
      <c r="A98" s="53" t="n">
        <v>38412</v>
      </c>
      <c r="B98" s="54" t="n">
        <v>60.5</v>
      </c>
      <c r="C98" s="55" t="n">
        <v>59</v>
      </c>
      <c r="D98" s="55" t="n">
        <v>56.5</v>
      </c>
      <c r="E98" s="114" t="n">
        <v>65.59999999999999</v>
      </c>
      <c r="F98" s="55" t="n">
        <v>61.3</v>
      </c>
      <c r="G98" s="52" t="n">
        <v>64.5</v>
      </c>
      <c r="H98" s="114" t="n">
        <v>52.5</v>
      </c>
      <c r="I98" s="114" t="n">
        <v>53</v>
      </c>
      <c r="J98" s="114" t="n">
        <v>57.2</v>
      </c>
      <c r="K98" s="114" t="n">
        <v>51.5</v>
      </c>
      <c r="L98" s="54" t="n">
        <v>58</v>
      </c>
    </row>
    <row r="99">
      <c r="A99" s="53" t="n">
        <v>38443</v>
      </c>
      <c r="B99" s="54" t="n">
        <v>57.5</v>
      </c>
      <c r="C99" s="55" t="n">
        <v>58.5</v>
      </c>
      <c r="D99" s="55" t="n">
        <v>54</v>
      </c>
      <c r="E99" s="114" t="n">
        <v>62.4</v>
      </c>
      <c r="F99" s="55" t="n">
        <v>58.6</v>
      </c>
      <c r="G99" s="52" t="n">
        <v>60.5</v>
      </c>
      <c r="H99" s="114" t="n">
        <v>54.5</v>
      </c>
      <c r="I99" s="114" t="n">
        <v>53</v>
      </c>
      <c r="J99" s="114" t="n">
        <v>53.3</v>
      </c>
      <c r="K99" s="114" t="n">
        <v>52.5</v>
      </c>
      <c r="L99" s="54" t="n">
        <v>55.6</v>
      </c>
    </row>
    <row r="100">
      <c r="A100" s="53" t="n">
        <v>38473</v>
      </c>
      <c r="B100" s="54" t="n">
        <v>58.2</v>
      </c>
      <c r="C100" s="55" t="n">
        <v>57.5</v>
      </c>
      <c r="D100" s="55" t="n">
        <v>56.5</v>
      </c>
      <c r="E100" s="114" t="n">
        <v>57.6</v>
      </c>
      <c r="F100" s="55" t="n">
        <v>57.5</v>
      </c>
      <c r="G100" s="52" t="n">
        <v>63</v>
      </c>
      <c r="H100" s="114" t="n">
        <v>51.5</v>
      </c>
      <c r="I100" s="114" t="n">
        <v>53.5</v>
      </c>
      <c r="J100" s="114" t="n">
        <v>51.8</v>
      </c>
      <c r="K100" s="114" t="n">
        <v>62</v>
      </c>
      <c r="L100" s="54" t="n">
        <v>55.3</v>
      </c>
    </row>
    <row r="101">
      <c r="A101" s="53" t="n">
        <v>38504</v>
      </c>
      <c r="B101" s="54" t="n">
        <v>59.2</v>
      </c>
      <c r="C101" s="55" t="n">
        <v>58.5</v>
      </c>
      <c r="D101" s="55" t="n">
        <v>52.5</v>
      </c>
      <c r="E101" s="114" t="n">
        <v>58.4</v>
      </c>
      <c r="F101" s="55" t="n">
        <v>60.7</v>
      </c>
      <c r="G101" s="52" t="n">
        <v>64.5</v>
      </c>
      <c r="H101" s="114" t="n">
        <v>52</v>
      </c>
      <c r="I101" s="114" t="n">
        <v>56.5</v>
      </c>
      <c r="J101" s="114" t="n">
        <v>55.8</v>
      </c>
      <c r="K101" s="114" t="n">
        <v>50</v>
      </c>
      <c r="L101" s="54" t="n">
        <v>58.1</v>
      </c>
    </row>
    <row r="102">
      <c r="A102" s="53" t="n">
        <v>38534</v>
      </c>
      <c r="B102" s="54" t="n">
        <v>64.40000000000001</v>
      </c>
      <c r="C102" s="55" t="n">
        <v>62</v>
      </c>
      <c r="D102" s="55" t="n">
        <v>53.5</v>
      </c>
      <c r="E102" s="114" t="n">
        <v>65.8</v>
      </c>
      <c r="F102" s="55" t="n">
        <v>61.3</v>
      </c>
      <c r="G102" s="52" t="n">
        <v>64</v>
      </c>
      <c r="H102" s="114" t="n">
        <v>52.5</v>
      </c>
      <c r="I102" s="114" t="n">
        <v>57</v>
      </c>
      <c r="J102" s="114" t="n">
        <v>55.1</v>
      </c>
      <c r="K102" s="114" t="n">
        <v>53.5</v>
      </c>
      <c r="L102" s="54" t="n">
        <v>59.5</v>
      </c>
    </row>
    <row r="103">
      <c r="A103" s="53" t="n">
        <v>38565</v>
      </c>
      <c r="B103" s="54" t="n">
        <v>65.3</v>
      </c>
      <c r="C103" s="55" t="n">
        <v>61.5</v>
      </c>
      <c r="D103" s="55" t="n">
        <v>52</v>
      </c>
      <c r="E103" s="114" t="n">
        <v>66.09999999999999</v>
      </c>
      <c r="F103" s="55" t="n">
        <v>64.8</v>
      </c>
      <c r="G103" s="52" t="n">
        <v>67</v>
      </c>
      <c r="H103" s="114" t="n">
        <v>53.5</v>
      </c>
      <c r="I103" s="114" t="n">
        <v>55</v>
      </c>
      <c r="J103" s="114" t="n">
        <v>60.2</v>
      </c>
      <c r="K103" s="114" t="n">
        <v>63.5</v>
      </c>
      <c r="L103" s="54" t="n">
        <v>61.3</v>
      </c>
    </row>
    <row r="104">
      <c r="A104" s="53" t="n">
        <v>38596</v>
      </c>
      <c r="B104" s="54" t="n">
        <v>56.2</v>
      </c>
      <c r="C104" s="55" t="n">
        <v>58.5</v>
      </c>
      <c r="D104" s="55" t="n">
        <v>52</v>
      </c>
      <c r="E104" s="114" t="n">
        <v>83.5</v>
      </c>
      <c r="F104" s="55" t="n">
        <v>55.2</v>
      </c>
      <c r="G104" s="52" t="n">
        <v>64</v>
      </c>
      <c r="H104" s="114" t="n">
        <v>50</v>
      </c>
      <c r="I104" s="114" t="n">
        <v>56</v>
      </c>
      <c r="J104" s="114" t="n">
        <v>55.4</v>
      </c>
      <c r="K104" s="114" t="n">
        <v>55</v>
      </c>
      <c r="L104" s="54" t="n">
        <v>55.7</v>
      </c>
    </row>
    <row r="105">
      <c r="A105" s="53" t="n">
        <v>38626</v>
      </c>
      <c r="B105" s="54" t="n">
        <v>57.5</v>
      </c>
      <c r="C105" s="55" t="n">
        <v>53.5</v>
      </c>
      <c r="D105" s="55" t="n">
        <v>55</v>
      </c>
      <c r="E105" s="114" t="n">
        <v>79.2</v>
      </c>
      <c r="F105" s="55" t="n">
        <v>59.2</v>
      </c>
      <c r="G105" s="52" t="n">
        <v>55</v>
      </c>
      <c r="H105" s="114" t="n">
        <v>50</v>
      </c>
      <c r="I105" s="114" t="n">
        <v>58.5</v>
      </c>
      <c r="J105" s="114" t="n">
        <v>54.2</v>
      </c>
      <c r="K105" s="114" t="n">
        <v>54.5</v>
      </c>
      <c r="L105" s="54" t="n">
        <v>57.4</v>
      </c>
    </row>
    <row r="106">
      <c r="A106" s="53" t="n">
        <v>38657</v>
      </c>
      <c r="B106" s="54" t="n">
        <v>59.6</v>
      </c>
      <c r="C106" s="55" t="n">
        <v>56.5</v>
      </c>
      <c r="D106" s="55" t="n">
        <v>54</v>
      </c>
      <c r="E106" s="114" t="n">
        <v>72.59999999999999</v>
      </c>
      <c r="F106" s="55" t="n">
        <v>59.2</v>
      </c>
      <c r="G106" s="52" t="n">
        <v>60</v>
      </c>
      <c r="H106" s="114" t="n">
        <v>54</v>
      </c>
      <c r="I106" s="114" t="n">
        <v>60.5</v>
      </c>
      <c r="J106" s="114" t="n">
        <v>56.9</v>
      </c>
      <c r="K106" s="114" t="n">
        <v>57</v>
      </c>
      <c r="L106" s="54" t="n">
        <v>59.1</v>
      </c>
    </row>
    <row r="107">
      <c r="A107" s="53" t="n">
        <v>38687</v>
      </c>
      <c r="B107" s="54" t="n">
        <v>62.8</v>
      </c>
      <c r="C107" s="55" t="n">
        <v>56.5</v>
      </c>
      <c r="D107" s="55" t="n">
        <v>54</v>
      </c>
      <c r="E107" s="114" t="n">
        <v>68.90000000000001</v>
      </c>
      <c r="F107" s="55" t="n">
        <v>60.1</v>
      </c>
      <c r="G107" s="52" t="n">
        <v>59</v>
      </c>
      <c r="H107" s="114" t="n">
        <v>56</v>
      </c>
      <c r="I107" s="114" t="n">
        <v>56.5</v>
      </c>
      <c r="J107" s="114" t="n">
        <v>56.4</v>
      </c>
      <c r="K107" s="114" t="n">
        <v>61.5</v>
      </c>
      <c r="L107" s="54" t="n">
        <v>59</v>
      </c>
    </row>
    <row r="108">
      <c r="A108" s="53" t="n">
        <v>38718</v>
      </c>
      <c r="B108" s="54" t="n">
        <v>57.4</v>
      </c>
      <c r="C108" s="55" t="n">
        <v>49.5</v>
      </c>
      <c r="D108" s="55" t="n">
        <v>52.5</v>
      </c>
      <c r="E108" s="114" t="n">
        <v>69.90000000000001</v>
      </c>
      <c r="F108" s="55" t="n">
        <v>58.6</v>
      </c>
      <c r="G108" s="52" t="n">
        <v>63</v>
      </c>
      <c r="H108" s="114" t="n">
        <v>55</v>
      </c>
      <c r="I108" s="114" t="n">
        <v>54.5</v>
      </c>
      <c r="J108" s="114" t="n">
        <v>54.5</v>
      </c>
      <c r="K108" s="114" t="n">
        <v>58</v>
      </c>
      <c r="L108" s="54" t="n">
        <v>56.3</v>
      </c>
    </row>
    <row r="109">
      <c r="A109" s="53" t="n">
        <v>38749</v>
      </c>
      <c r="B109" s="54" t="n">
        <v>57.8</v>
      </c>
      <c r="C109" s="55" t="n">
        <v>55</v>
      </c>
      <c r="D109" s="55" t="n">
        <v>54</v>
      </c>
      <c r="E109" s="114" t="n">
        <v>67.8</v>
      </c>
      <c r="F109" s="55" t="n">
        <v>61.8</v>
      </c>
      <c r="G109" s="52" t="n">
        <v>63.5</v>
      </c>
      <c r="H109" s="114" t="n">
        <v>53</v>
      </c>
      <c r="I109" s="114" t="n">
        <v>52.5</v>
      </c>
      <c r="J109" s="114" t="n">
        <v>58.1</v>
      </c>
      <c r="K109" s="114" t="n">
        <v>60</v>
      </c>
      <c r="L109" s="54" t="n">
        <v>57.6</v>
      </c>
    </row>
    <row r="110">
      <c r="A110" s="53" t="n">
        <v>38777</v>
      </c>
      <c r="B110" s="54" t="n">
        <v>58.6</v>
      </c>
      <c r="C110" s="55" t="n">
        <v>60.5</v>
      </c>
      <c r="D110" s="55" t="n">
        <v>50.5</v>
      </c>
      <c r="E110" s="114" t="n">
        <v>60.1</v>
      </c>
      <c r="F110" s="55" t="n">
        <v>60</v>
      </c>
      <c r="G110" s="52" t="n">
        <v>63</v>
      </c>
      <c r="H110" s="114" t="n">
        <v>54</v>
      </c>
      <c r="I110" s="114" t="n">
        <v>54</v>
      </c>
      <c r="J110" s="114" t="n">
        <v>55.1</v>
      </c>
      <c r="K110" s="114" t="n">
        <v>63.5</v>
      </c>
      <c r="L110" s="54" t="n">
        <v>56.9</v>
      </c>
    </row>
    <row r="111">
      <c r="A111" s="53" t="n">
        <v>38808</v>
      </c>
      <c r="B111" s="54" t="n">
        <v>61.1</v>
      </c>
      <c r="C111" s="55" t="n">
        <v>57</v>
      </c>
      <c r="D111" s="55" t="n">
        <v>54</v>
      </c>
      <c r="E111" s="114" t="n">
        <v>68.5</v>
      </c>
      <c r="F111" s="55" t="n">
        <v>61.3</v>
      </c>
      <c r="G111" s="52" t="n">
        <v>60</v>
      </c>
      <c r="H111" s="114" t="n">
        <v>59</v>
      </c>
      <c r="I111" s="114" t="n">
        <v>54.5</v>
      </c>
      <c r="J111" s="114" t="n">
        <v>56.5</v>
      </c>
      <c r="K111" s="114" t="n">
        <v>59.5</v>
      </c>
      <c r="L111" s="54" t="n">
        <v>58.4</v>
      </c>
    </row>
    <row r="112">
      <c r="A112" s="53" t="n">
        <v>38838</v>
      </c>
      <c r="B112" s="54" t="n">
        <v>58.6</v>
      </c>
      <c r="C112" s="55" t="n">
        <v>58.5</v>
      </c>
      <c r="D112" s="55" t="n">
        <v>52</v>
      </c>
      <c r="E112" s="114" t="n">
        <v>70.5</v>
      </c>
      <c r="F112" s="55" t="n">
        <v>58.1</v>
      </c>
      <c r="G112" s="52" t="n">
        <v>59</v>
      </c>
      <c r="H112" s="114" t="n">
        <v>59</v>
      </c>
      <c r="I112" s="114" t="n">
        <v>56.5</v>
      </c>
      <c r="J112" s="114" t="n">
        <v>54.6</v>
      </c>
      <c r="K112" s="114" t="n">
        <v>64</v>
      </c>
      <c r="L112" s="54" t="n">
        <v>57</v>
      </c>
    </row>
    <row r="113">
      <c r="A113" s="53" t="n">
        <v>38869</v>
      </c>
      <c r="B113" s="54" t="n">
        <v>57</v>
      </c>
      <c r="C113" s="55" t="n">
        <v>55.5</v>
      </c>
      <c r="D113" s="55" t="n">
        <v>55</v>
      </c>
      <c r="E113" s="114" t="n">
        <v>69</v>
      </c>
      <c r="F113" s="55" t="n">
        <v>56.4</v>
      </c>
      <c r="G113" s="52" t="n">
        <v>63</v>
      </c>
      <c r="H113" s="114" t="n">
        <v>51.5</v>
      </c>
      <c r="I113" s="114" t="n">
        <v>56</v>
      </c>
      <c r="J113" s="114" t="n">
        <v>51.2</v>
      </c>
      <c r="K113" s="114" t="n">
        <v>54.5</v>
      </c>
      <c r="L113" s="54" t="n">
        <v>55.2</v>
      </c>
    </row>
    <row r="114">
      <c r="A114" s="53" t="n">
        <v>38899</v>
      </c>
      <c r="B114" s="54" t="n">
        <v>58.1</v>
      </c>
      <c r="C114" s="55" t="n">
        <v>60.5</v>
      </c>
      <c r="D114" s="55" t="n">
        <v>56</v>
      </c>
      <c r="E114" s="114" t="n">
        <v>70.59999999999999</v>
      </c>
      <c r="F114" s="55" t="n">
        <v>56.3</v>
      </c>
      <c r="G114" s="52" t="n">
        <v>60</v>
      </c>
      <c r="H114" s="114" t="n">
        <v>53</v>
      </c>
      <c r="I114" s="114" t="n">
        <v>54.5</v>
      </c>
      <c r="J114" s="114" t="n">
        <v>53.6</v>
      </c>
      <c r="K114" s="114" t="n">
        <v>56</v>
      </c>
      <c r="L114" s="54" t="n">
        <v>55.6</v>
      </c>
    </row>
    <row r="115">
      <c r="A115" s="53" t="n">
        <v>38930</v>
      </c>
      <c r="B115" s="54" t="n">
        <v>53.1</v>
      </c>
      <c r="C115" s="55" t="n">
        <v>60</v>
      </c>
      <c r="D115" s="55" t="n">
        <v>49.5</v>
      </c>
      <c r="E115" s="114" t="n">
        <v>72.2</v>
      </c>
      <c r="F115" s="55" t="n">
        <v>56.7</v>
      </c>
      <c r="G115" s="52" t="n">
        <v>59</v>
      </c>
      <c r="H115" s="114" t="n">
        <v>51.5</v>
      </c>
      <c r="I115" s="114" t="n">
        <v>53.5</v>
      </c>
      <c r="J115" s="114" t="n">
        <v>52.2</v>
      </c>
      <c r="K115" s="114" t="n">
        <v>53</v>
      </c>
      <c r="L115" s="54" t="n">
        <v>53.9</v>
      </c>
    </row>
    <row r="116">
      <c r="A116" s="53" t="n">
        <v>38961</v>
      </c>
      <c r="B116" s="54" t="n">
        <v>56.5</v>
      </c>
      <c r="C116" s="55" t="n">
        <v>55</v>
      </c>
      <c r="D116" s="55" t="n">
        <v>53</v>
      </c>
      <c r="E116" s="114" t="n">
        <v>60.6</v>
      </c>
      <c r="F116" s="55" t="n">
        <v>54.4</v>
      </c>
      <c r="G116" s="52" t="n">
        <v>63.5</v>
      </c>
      <c r="H116" s="114" t="n">
        <v>50.5</v>
      </c>
      <c r="I116" s="114" t="n">
        <v>54</v>
      </c>
      <c r="J116" s="114" t="n">
        <v>52.9</v>
      </c>
      <c r="K116" s="114" t="n">
        <v>59</v>
      </c>
      <c r="L116" s="54" t="n">
        <v>54.5</v>
      </c>
    </row>
    <row r="117">
      <c r="A117" s="53" t="n">
        <v>38991</v>
      </c>
      <c r="B117" s="54" t="n">
        <v>55.3</v>
      </c>
      <c r="C117" s="55" t="n">
        <v>57.5</v>
      </c>
      <c r="D117" s="55" t="n">
        <v>51.5</v>
      </c>
      <c r="E117" s="114" t="n">
        <v>56.5</v>
      </c>
      <c r="F117" s="55" t="n">
        <v>56.9</v>
      </c>
      <c r="G117" s="52" t="n">
        <v>64.5</v>
      </c>
      <c r="H117" s="114" t="n">
        <v>53</v>
      </c>
      <c r="I117" s="114" t="n">
        <v>54.5</v>
      </c>
      <c r="J117" s="114" t="n">
        <v>52.9</v>
      </c>
      <c r="K117" s="114" t="n">
        <v>63.5</v>
      </c>
      <c r="L117" s="54" t="n">
        <v>54.9</v>
      </c>
    </row>
    <row r="118">
      <c r="A118" s="53" t="n">
        <v>39022</v>
      </c>
      <c r="B118" s="54" t="n">
        <v>56.7</v>
      </c>
      <c r="C118" s="55" t="n">
        <v>59.5</v>
      </c>
      <c r="D118" s="55" t="n">
        <v>54.5</v>
      </c>
      <c r="E118" s="114" t="n">
        <v>56.7</v>
      </c>
      <c r="F118" s="55" t="n">
        <v>59.2</v>
      </c>
      <c r="G118" s="52" t="n">
        <v>57</v>
      </c>
      <c r="H118" s="114" t="n">
        <v>51.5</v>
      </c>
      <c r="I118" s="114" t="n">
        <v>50</v>
      </c>
      <c r="J118" s="114" t="n">
        <v>52.2</v>
      </c>
      <c r="K118" s="114" t="n">
        <v>58.5</v>
      </c>
      <c r="L118" s="54" t="n">
        <v>54.5</v>
      </c>
    </row>
    <row r="119">
      <c r="A119" s="53" t="n">
        <v>39052</v>
      </c>
      <c r="B119" s="54" t="n">
        <v>54.8</v>
      </c>
      <c r="C119" s="55" t="n">
        <v>62</v>
      </c>
      <c r="D119" s="55" t="n">
        <v>48</v>
      </c>
      <c r="E119" s="114" t="n">
        <v>60.5</v>
      </c>
      <c r="F119" s="55" t="n">
        <v>56.1</v>
      </c>
      <c r="G119" s="52" t="n">
        <v>63.5</v>
      </c>
      <c r="H119" s="114" t="n">
        <v>53.5</v>
      </c>
      <c r="I119" s="114" t="n">
        <v>51</v>
      </c>
      <c r="J119" s="114" t="n">
        <v>52.7</v>
      </c>
      <c r="K119" s="114" t="n">
        <v>61.5</v>
      </c>
      <c r="L119" s="54" t="n">
        <v>53.7</v>
      </c>
    </row>
    <row r="120">
      <c r="A120" s="53" t="n">
        <v>39083</v>
      </c>
      <c r="B120" s="54" t="n">
        <v>55.6</v>
      </c>
      <c r="C120" s="55" t="n">
        <v>52</v>
      </c>
      <c r="D120" s="55" t="n">
        <v>49</v>
      </c>
      <c r="E120" s="114" t="n">
        <v>57.5</v>
      </c>
      <c r="F120" s="55" t="n">
        <v>58.3</v>
      </c>
      <c r="G120" s="52" t="n">
        <v>65.5</v>
      </c>
      <c r="H120" s="114" t="n">
        <v>47</v>
      </c>
      <c r="I120" s="114" t="n">
        <v>53.5</v>
      </c>
      <c r="J120" s="114" t="n">
        <v>54.8</v>
      </c>
      <c r="K120" s="114" t="n">
        <v>55</v>
      </c>
      <c r="L120" s="54" t="n">
        <v>55.4</v>
      </c>
    </row>
    <row r="121">
      <c r="A121" s="53" t="n">
        <v>39114</v>
      </c>
      <c r="B121" s="54" t="n">
        <v>55.7</v>
      </c>
      <c r="C121" s="55" t="n">
        <v>54</v>
      </c>
      <c r="D121" s="55" t="n">
        <v>47</v>
      </c>
      <c r="E121" s="114" t="n">
        <v>57</v>
      </c>
      <c r="F121" s="55" t="n">
        <v>56</v>
      </c>
      <c r="G121" s="52" t="n">
        <v>61.5</v>
      </c>
      <c r="H121" s="114" t="n">
        <v>50.5</v>
      </c>
      <c r="I121" s="114" t="n">
        <v>52.5</v>
      </c>
      <c r="J121" s="114" t="n">
        <v>52.7</v>
      </c>
      <c r="K121" s="114" t="n">
        <v>59</v>
      </c>
      <c r="L121" s="54" t="n">
        <v>54.2</v>
      </c>
    </row>
    <row r="122">
      <c r="A122" s="53" t="n">
        <v>39142</v>
      </c>
      <c r="B122" s="54" t="n">
        <v>53.2</v>
      </c>
      <c r="C122" s="55" t="n">
        <v>50</v>
      </c>
      <c r="D122" s="55" t="n">
        <v>52.5</v>
      </c>
      <c r="E122" s="114" t="n">
        <v>64.2</v>
      </c>
      <c r="F122" s="55" t="n">
        <v>52.8</v>
      </c>
      <c r="G122" s="52" t="n">
        <v>63</v>
      </c>
      <c r="H122" s="114" t="n">
        <v>52</v>
      </c>
      <c r="I122" s="114" t="n">
        <v>50</v>
      </c>
      <c r="J122" s="114" t="n">
        <v>51.9</v>
      </c>
      <c r="K122" s="114" t="n">
        <v>48.5</v>
      </c>
      <c r="L122" s="54" t="n">
        <v>52.1</v>
      </c>
    </row>
    <row r="123">
      <c r="A123" s="53" t="n">
        <v>39173</v>
      </c>
      <c r="B123" s="54" t="n">
        <v>54.9</v>
      </c>
      <c r="C123" s="55" t="n">
        <v>52.5</v>
      </c>
      <c r="D123" s="55" t="n">
        <v>50</v>
      </c>
      <c r="E123" s="114" t="n">
        <v>63.2</v>
      </c>
      <c r="F123" s="55" t="n">
        <v>56.1</v>
      </c>
      <c r="G123" s="52" t="n">
        <v>60.5</v>
      </c>
      <c r="H123" s="114" t="n">
        <v>52</v>
      </c>
      <c r="I123" s="114" t="n">
        <v>51</v>
      </c>
      <c r="J123" s="114" t="n">
        <v>51.1</v>
      </c>
      <c r="K123" s="114" t="n">
        <v>55.5</v>
      </c>
      <c r="L123" s="54" t="n">
        <v>53.4</v>
      </c>
    </row>
    <row r="124">
      <c r="A124" s="53" t="n">
        <v>39203</v>
      </c>
      <c r="B124" s="54" t="n">
        <v>57.1</v>
      </c>
      <c r="C124" s="55" t="n">
        <v>55.5</v>
      </c>
      <c r="D124" s="55" t="n">
        <v>48</v>
      </c>
      <c r="E124" s="114" t="n">
        <v>62.8</v>
      </c>
      <c r="F124" s="55" t="n">
        <v>58.1</v>
      </c>
      <c r="G124" s="52" t="n">
        <v>61</v>
      </c>
      <c r="H124" s="114" t="n">
        <v>61</v>
      </c>
      <c r="I124" s="114" t="n">
        <v>49.5</v>
      </c>
      <c r="J124" s="114" t="n">
        <v>52.2</v>
      </c>
      <c r="K124" s="114" t="n">
        <v>66</v>
      </c>
      <c r="L124" s="54" t="n">
        <v>54.3</v>
      </c>
    </row>
    <row r="125">
      <c r="A125" s="53" t="n">
        <v>39234</v>
      </c>
      <c r="B125" s="54" t="n">
        <v>57.2</v>
      </c>
      <c r="C125" s="55" t="n">
        <v>57.5</v>
      </c>
      <c r="D125" s="55" t="n">
        <v>46.5</v>
      </c>
      <c r="E125" s="114" t="n">
        <v>61.6</v>
      </c>
      <c r="F125" s="55" t="n">
        <v>60.1</v>
      </c>
      <c r="G125" s="52" t="n">
        <v>60.5</v>
      </c>
      <c r="H125" s="114" t="n">
        <v>52.5</v>
      </c>
      <c r="I125" s="114" t="n">
        <v>50.5</v>
      </c>
      <c r="J125" s="114" t="n">
        <v>53.3</v>
      </c>
      <c r="K125" s="114" t="n">
        <v>59</v>
      </c>
      <c r="L125" s="54" t="n">
        <v>54.9</v>
      </c>
    </row>
    <row r="126">
      <c r="A126" s="53" t="n">
        <v>39264</v>
      </c>
      <c r="B126" s="54" t="n">
        <v>54.5</v>
      </c>
      <c r="C126" s="55" t="n">
        <v>54.5</v>
      </c>
      <c r="D126" s="55" t="n">
        <v>53</v>
      </c>
      <c r="E126" s="114" t="n">
        <v>59.7</v>
      </c>
      <c r="F126" s="55" t="n">
        <v>57.1</v>
      </c>
      <c r="G126" s="52" t="n">
        <v>65</v>
      </c>
      <c r="H126" s="114" t="n">
        <v>55</v>
      </c>
      <c r="I126" s="114" t="n">
        <v>51.5</v>
      </c>
      <c r="J126" s="114" t="n">
        <v>51.1</v>
      </c>
      <c r="K126" s="114" t="n">
        <v>52.5</v>
      </c>
      <c r="L126" s="54" t="n">
        <v>53.6</v>
      </c>
    </row>
    <row r="127">
      <c r="A127" s="53" t="n">
        <v>39295</v>
      </c>
      <c r="B127" s="54" t="n">
        <v>56.7</v>
      </c>
      <c r="C127" s="55" t="n">
        <v>55</v>
      </c>
      <c r="D127" s="55" t="n">
        <v>58.6</v>
      </c>
      <c r="E127" s="114" t="n">
        <v>60</v>
      </c>
      <c r="F127" s="55" t="n">
        <v>55.7</v>
      </c>
      <c r="G127" s="52" t="n">
        <v>61.5</v>
      </c>
      <c r="H127" s="114" t="n">
        <v>57</v>
      </c>
      <c r="I127" s="114" t="n">
        <v>50.5</v>
      </c>
      <c r="J127" s="114" t="n">
        <v>48.3</v>
      </c>
      <c r="K127" s="114" t="n">
        <v>53.5</v>
      </c>
      <c r="L127" s="54" t="n">
        <v>52.7</v>
      </c>
    </row>
    <row r="128">
      <c r="A128" s="53" t="n">
        <v>39326</v>
      </c>
      <c r="B128" s="54" t="n">
        <v>52.6</v>
      </c>
      <c r="C128" s="55" t="n">
        <v>51</v>
      </c>
      <c r="D128" s="55" t="n">
        <v>47</v>
      </c>
      <c r="E128" s="114" t="n">
        <v>66.7</v>
      </c>
      <c r="F128" s="55" t="n">
        <v>54.2</v>
      </c>
      <c r="G128" s="52" t="n">
        <v>62</v>
      </c>
      <c r="H128" s="114" t="n">
        <v>50</v>
      </c>
      <c r="I128" s="114" t="n">
        <v>50.5</v>
      </c>
      <c r="J128" s="114" t="n">
        <v>52.5</v>
      </c>
      <c r="K128" s="114" t="n">
        <v>50</v>
      </c>
      <c r="L128" s="54" t="n">
        <v>52.6</v>
      </c>
    </row>
    <row r="129">
      <c r="A129" s="53" t="n">
        <v>39356</v>
      </c>
      <c r="B129" s="54" t="n">
        <v>55.3</v>
      </c>
      <c r="C129" s="55" t="n">
        <v>55.5</v>
      </c>
      <c r="D129" s="55" t="n">
        <v>43.5</v>
      </c>
      <c r="E129" s="114" t="n">
        <v>66.2</v>
      </c>
      <c r="F129" s="55" t="n">
        <v>55.1</v>
      </c>
      <c r="G129" s="52" t="n">
        <v>60</v>
      </c>
      <c r="H129" s="114" t="n">
        <v>49.5</v>
      </c>
      <c r="I129" s="114" t="n">
        <v>50</v>
      </c>
      <c r="J129" s="114" t="n">
        <v>53.6</v>
      </c>
      <c r="K129" s="114" t="n">
        <v>56</v>
      </c>
      <c r="L129" s="54" t="n">
        <v>53.6</v>
      </c>
    </row>
    <row r="130">
      <c r="A130" s="53" t="n">
        <v>39387</v>
      </c>
      <c r="B130" s="54" t="n">
        <v>51.9</v>
      </c>
      <c r="C130" s="55" t="n">
        <v>49.5</v>
      </c>
      <c r="D130" s="55" t="n">
        <v>48.5</v>
      </c>
      <c r="E130" s="114" t="n">
        <v>75.3</v>
      </c>
      <c r="F130" s="55" t="n">
        <v>55.7</v>
      </c>
      <c r="G130" s="52" t="n">
        <v>61.5</v>
      </c>
      <c r="H130" s="114" t="n">
        <v>50.5</v>
      </c>
      <c r="I130" s="114" t="n">
        <v>51.5</v>
      </c>
      <c r="J130" s="114" t="n">
        <v>51.6</v>
      </c>
      <c r="K130" s="114" t="n">
        <v>55.5</v>
      </c>
      <c r="L130" s="54" t="n">
        <v>52.8</v>
      </c>
    </row>
    <row r="131">
      <c r="A131" s="53" t="n">
        <v>39417</v>
      </c>
      <c r="B131" s="54" t="n">
        <v>52.5</v>
      </c>
      <c r="C131" s="55" t="n">
        <v>50.5</v>
      </c>
      <c r="D131" s="55" t="n">
        <v>49</v>
      </c>
      <c r="E131" s="114" t="n">
        <v>72</v>
      </c>
      <c r="F131" s="55" t="n">
        <v>53.2</v>
      </c>
      <c r="G131" s="52" t="n">
        <v>64.5</v>
      </c>
      <c r="H131" s="114" t="n">
        <v>50.5</v>
      </c>
      <c r="I131" s="114" t="n">
        <v>52.5</v>
      </c>
      <c r="J131" s="114" t="n">
        <v>51.8</v>
      </c>
      <c r="K131" s="114" t="n">
        <v>50</v>
      </c>
      <c r="L131" s="54" t="n">
        <v>52.5</v>
      </c>
    </row>
    <row r="132">
      <c r="A132" s="53" t="n">
        <v>39448</v>
      </c>
      <c r="B132" s="54" t="n">
        <v>43.3</v>
      </c>
      <c r="C132" s="55" t="n">
        <v>41.5</v>
      </c>
      <c r="D132" s="55" t="n">
        <v>46</v>
      </c>
      <c r="E132" s="114" t="n">
        <v>71.59999999999999</v>
      </c>
      <c r="F132" s="55" t="n">
        <v>41.9</v>
      </c>
      <c r="G132" s="52" t="n">
        <v>57</v>
      </c>
      <c r="H132" s="114" t="n">
        <v>44.5</v>
      </c>
      <c r="I132" s="114" t="n">
        <v>49</v>
      </c>
      <c r="J132" s="114" t="n">
        <v>45.7</v>
      </c>
      <c r="K132" s="114" t="n">
        <v>52</v>
      </c>
      <c r="L132" s="54" t="n">
        <v>44.8</v>
      </c>
    </row>
    <row r="133">
      <c r="A133" s="53" t="n">
        <v>39479</v>
      </c>
      <c r="B133" s="54" t="n">
        <v>50.1</v>
      </c>
      <c r="C133" s="55" t="n">
        <v>49</v>
      </c>
      <c r="D133" s="55" t="n">
        <v>49.5</v>
      </c>
      <c r="E133" s="114" t="n">
        <v>71.7</v>
      </c>
      <c r="F133" s="55" t="n">
        <v>52.2</v>
      </c>
      <c r="G133" s="52" t="n">
        <v>60.5</v>
      </c>
      <c r="H133" s="114" t="n">
        <v>50</v>
      </c>
      <c r="I133" s="114" t="n">
        <v>50</v>
      </c>
      <c r="J133" s="114" t="n">
        <v>47.3</v>
      </c>
      <c r="K133" s="114" t="n">
        <v>46.5</v>
      </c>
      <c r="L133" s="54" t="n">
        <v>49.9</v>
      </c>
    </row>
    <row r="134">
      <c r="A134" s="53" t="n">
        <v>39508</v>
      </c>
      <c r="B134" s="54" t="n">
        <v>49.3</v>
      </c>
      <c r="C134" s="55" t="n">
        <v>54.5</v>
      </c>
      <c r="D134" s="55" t="n">
        <v>47.5</v>
      </c>
      <c r="E134" s="114" t="n">
        <v>72.7</v>
      </c>
      <c r="F134" s="55" t="n">
        <v>51.7</v>
      </c>
      <c r="G134" s="52" t="n">
        <v>60.5</v>
      </c>
      <c r="H134" s="114" t="n">
        <v>51.5</v>
      </c>
      <c r="I134" s="114" t="n">
        <v>49</v>
      </c>
      <c r="J134" s="114" t="n">
        <v>47.4</v>
      </c>
      <c r="K134" s="114" t="n">
        <v>55</v>
      </c>
      <c r="L134" s="54" t="n">
        <v>49.4</v>
      </c>
    </row>
    <row r="135">
      <c r="A135" s="53" t="n">
        <v>39539</v>
      </c>
      <c r="B135" s="54" t="n">
        <v>50.3</v>
      </c>
      <c r="C135" s="55" t="n">
        <v>50</v>
      </c>
      <c r="D135" s="55" t="n">
        <v>50</v>
      </c>
      <c r="E135" s="114" t="n">
        <v>71.90000000000001</v>
      </c>
      <c r="F135" s="55" t="n">
        <v>51.1</v>
      </c>
      <c r="G135" s="52" t="n">
        <v>63</v>
      </c>
      <c r="H135" s="114" t="n">
        <v>47</v>
      </c>
      <c r="I135" s="114" t="n">
        <v>56</v>
      </c>
      <c r="J135" s="114" t="n">
        <v>49.7</v>
      </c>
      <c r="K135" s="114" t="n">
        <v>48.5</v>
      </c>
      <c r="L135" s="54" t="n">
        <v>51.9</v>
      </c>
    </row>
    <row r="136">
      <c r="A136" s="53" t="n">
        <v>39569</v>
      </c>
      <c r="B136" s="54" t="n">
        <v>54.2</v>
      </c>
      <c r="C136" s="55" t="n">
        <v>48</v>
      </c>
      <c r="D136" s="55" t="n">
        <v>49</v>
      </c>
      <c r="E136" s="114" t="n">
        <v>75.2</v>
      </c>
      <c r="F136" s="55" t="n">
        <v>53.3</v>
      </c>
      <c r="G136" s="52" t="n">
        <v>66.5</v>
      </c>
      <c r="H136" s="114" t="n">
        <v>54</v>
      </c>
      <c r="I136" s="114" t="n">
        <v>51</v>
      </c>
      <c r="J136" s="114" t="n">
        <v>47.2</v>
      </c>
      <c r="K136" s="114" t="n">
        <v>54</v>
      </c>
      <c r="L136" s="54" t="n">
        <v>51.5</v>
      </c>
    </row>
    <row r="137">
      <c r="A137" s="53" t="n">
        <v>39600</v>
      </c>
      <c r="B137" s="54" t="n">
        <v>49.2</v>
      </c>
      <c r="C137" s="55" t="n">
        <v>50.5</v>
      </c>
      <c r="D137" s="55" t="n">
        <v>49</v>
      </c>
      <c r="E137" s="114" t="n">
        <v>79.59999999999999</v>
      </c>
      <c r="F137" s="55" t="n">
        <v>50.2</v>
      </c>
      <c r="G137" s="52" t="n">
        <v>60</v>
      </c>
      <c r="H137" s="114" t="n">
        <v>53</v>
      </c>
      <c r="I137" s="114" t="n">
        <v>50.5</v>
      </c>
      <c r="J137" s="114" t="n">
        <v>43.4</v>
      </c>
      <c r="K137" s="114" t="n">
        <v>52</v>
      </c>
      <c r="L137" s="54" t="n">
        <v>48.1</v>
      </c>
    </row>
    <row r="138">
      <c r="A138" s="53" t="n">
        <v>39630</v>
      </c>
      <c r="B138" s="54" t="n">
        <v>49</v>
      </c>
      <c r="C138" s="55" t="n">
        <v>49</v>
      </c>
      <c r="D138" s="55" t="n">
        <v>52</v>
      </c>
      <c r="E138" s="114" t="n">
        <v>77.40000000000001</v>
      </c>
      <c r="F138" s="55" t="n">
        <v>51</v>
      </c>
      <c r="G138" s="52" t="n">
        <v>62.5</v>
      </c>
      <c r="H138" s="114" t="n">
        <v>54.5</v>
      </c>
      <c r="I138" s="114" t="n">
        <v>53.5</v>
      </c>
      <c r="J138" s="114" t="n">
        <v>46.3</v>
      </c>
      <c r="K138" s="114" t="n">
        <v>47.5</v>
      </c>
      <c r="L138" s="54" t="n">
        <v>50.1</v>
      </c>
    </row>
    <row r="139">
      <c r="A139" s="53" t="n">
        <v>39661</v>
      </c>
      <c r="B139" s="54" t="n">
        <v>50.7</v>
      </c>
      <c r="C139" s="55" t="n">
        <v>46</v>
      </c>
      <c r="D139" s="55" t="n">
        <v>49</v>
      </c>
      <c r="E139" s="114" t="n">
        <v>72.40000000000001</v>
      </c>
      <c r="F139" s="55" t="n">
        <v>51.1</v>
      </c>
      <c r="G139" s="52" t="n">
        <v>66</v>
      </c>
      <c r="H139" s="114" t="n">
        <v>53.5</v>
      </c>
      <c r="I139" s="114" t="n">
        <v>55.5</v>
      </c>
      <c r="J139" s="114" t="n">
        <v>45.2</v>
      </c>
      <c r="K139" s="114" t="n">
        <v>44.5</v>
      </c>
      <c r="L139" s="54" t="n">
        <v>50.6</v>
      </c>
    </row>
    <row r="140">
      <c r="A140" s="53" t="n">
        <v>39692</v>
      </c>
      <c r="B140" s="54" t="n">
        <v>49.5</v>
      </c>
      <c r="C140" s="55" t="n">
        <v>47.5</v>
      </c>
      <c r="D140" s="55" t="n">
        <v>46.5</v>
      </c>
      <c r="E140" s="114" t="n">
        <v>71.90000000000001</v>
      </c>
      <c r="F140" s="55" t="n">
        <v>50.4</v>
      </c>
      <c r="G140" s="52" t="n">
        <v>62.5</v>
      </c>
      <c r="H140" s="114" t="n">
        <v>45.5</v>
      </c>
      <c r="I140" s="114" t="n">
        <v>53.5</v>
      </c>
      <c r="J140" s="114" t="n">
        <v>44.3</v>
      </c>
      <c r="K140" s="114" t="n">
        <v>50.5</v>
      </c>
      <c r="L140" s="54" t="n">
        <v>49.4</v>
      </c>
    </row>
    <row r="141">
      <c r="A141" s="53" t="n">
        <v>39722</v>
      </c>
      <c r="B141" s="54" t="n">
        <v>44.1</v>
      </c>
      <c r="C141" s="55" t="n">
        <v>52</v>
      </c>
      <c r="D141" s="55" t="n">
        <v>44</v>
      </c>
      <c r="E141" s="114" t="n">
        <v>53.9</v>
      </c>
      <c r="F141" s="55" t="n">
        <v>43.8</v>
      </c>
      <c r="G141" s="52" t="n">
        <v>67.5</v>
      </c>
      <c r="H141" s="114" t="n">
        <v>48</v>
      </c>
      <c r="I141" s="114" t="n">
        <v>48</v>
      </c>
      <c r="J141" s="114" t="n">
        <v>42.8</v>
      </c>
      <c r="K141" s="114" t="n">
        <v>50</v>
      </c>
      <c r="L141" s="54" t="n">
        <v>44.7</v>
      </c>
    </row>
    <row r="142">
      <c r="A142" s="53" t="n">
        <v>39753</v>
      </c>
      <c r="B142" s="54" t="n">
        <v>35.3</v>
      </c>
      <c r="C142" s="55" t="n">
        <v>40</v>
      </c>
      <c r="D142" s="55" t="n">
        <v>39.5</v>
      </c>
      <c r="E142" s="114" t="n">
        <v>37.4</v>
      </c>
      <c r="F142" s="55" t="n">
        <v>34.2</v>
      </c>
      <c r="G142" s="52" t="n">
        <v>65</v>
      </c>
      <c r="H142" s="114" t="n">
        <v>46</v>
      </c>
      <c r="I142" s="114" t="n">
        <v>49.5</v>
      </c>
      <c r="J142" s="114" t="n">
        <v>31.5</v>
      </c>
      <c r="K142" s="114" t="n">
        <v>34.5</v>
      </c>
      <c r="L142" s="54" t="n">
        <v>37.8</v>
      </c>
    </row>
    <row r="143">
      <c r="A143" s="53" t="n">
        <v>39783</v>
      </c>
      <c r="B143" s="54" t="n">
        <v>38.7</v>
      </c>
      <c r="C143" s="55" t="n">
        <v>32.5</v>
      </c>
      <c r="D143" s="55" t="n">
        <v>42.5</v>
      </c>
      <c r="E143" s="114" t="n">
        <v>36.1</v>
      </c>
      <c r="F143" s="55" t="n">
        <v>38.3</v>
      </c>
      <c r="G143" s="52" t="n">
        <v>65.5</v>
      </c>
      <c r="H143" s="114" t="n">
        <v>49</v>
      </c>
      <c r="I143" s="114" t="n">
        <v>48</v>
      </c>
      <c r="J143" s="114" t="n">
        <v>34.9</v>
      </c>
      <c r="K143" s="114" t="n">
        <v>39.5</v>
      </c>
      <c r="L143" s="54" t="n">
        <v>40</v>
      </c>
    </row>
    <row r="144">
      <c r="A144" s="53" t="n">
        <v>39814</v>
      </c>
      <c r="B144" s="54" t="n">
        <v>40.7</v>
      </c>
      <c r="C144" s="55" t="n">
        <v>40.5</v>
      </c>
      <c r="D144" s="55" t="n">
        <v>37.5</v>
      </c>
      <c r="E144" s="114" t="n">
        <v>41.7</v>
      </c>
      <c r="F144" s="55" t="n">
        <v>44.1</v>
      </c>
      <c r="G144" s="52" t="n">
        <v>62.5</v>
      </c>
      <c r="H144" s="114" t="n">
        <v>41.5</v>
      </c>
      <c r="I144" s="114" t="n">
        <v>51.5</v>
      </c>
      <c r="J144" s="114" t="n">
        <v>36.2</v>
      </c>
      <c r="K144" s="114" t="n">
        <v>39</v>
      </c>
      <c r="L144" s="54" t="n">
        <v>43</v>
      </c>
    </row>
    <row r="145">
      <c r="A145" s="53" t="n">
        <v>39845</v>
      </c>
      <c r="B145" s="54" t="n">
        <v>40.4</v>
      </c>
      <c r="C145" s="55" t="n">
        <v>39</v>
      </c>
      <c r="D145" s="55" t="n">
        <v>36.5</v>
      </c>
      <c r="E145" s="114" t="n">
        <v>48.6</v>
      </c>
      <c r="F145" s="55" t="n">
        <v>40.6</v>
      </c>
      <c r="G145" s="52" t="n">
        <v>66.5</v>
      </c>
      <c r="H145" s="114" t="n">
        <v>39</v>
      </c>
      <c r="I145" s="114" t="n">
        <v>48</v>
      </c>
      <c r="J145" s="114" t="n">
        <v>37</v>
      </c>
      <c r="K145" s="114" t="n">
        <v>40</v>
      </c>
      <c r="L145" s="54" t="n">
        <v>41.6</v>
      </c>
    </row>
    <row r="146">
      <c r="A146" s="53" t="n">
        <v>39873</v>
      </c>
      <c r="B146" s="54" t="n">
        <v>37.2</v>
      </c>
      <c r="C146" s="55" t="n">
        <v>37</v>
      </c>
      <c r="D146" s="55" t="n">
        <v>41</v>
      </c>
      <c r="E146" s="114" t="n">
        <v>40</v>
      </c>
      <c r="F146" s="55" t="n">
        <v>42.8</v>
      </c>
      <c r="G146" s="52" t="n">
        <v>60</v>
      </c>
      <c r="H146" s="114" t="n">
        <v>40</v>
      </c>
      <c r="I146" s="114" t="n">
        <v>48</v>
      </c>
      <c r="J146" s="114" t="n">
        <v>31.9</v>
      </c>
      <c r="K146" s="114" t="n">
        <v>39</v>
      </c>
      <c r="L146" s="54" t="n">
        <v>40.1</v>
      </c>
    </row>
    <row r="147">
      <c r="A147" s="53" t="n">
        <v>39904</v>
      </c>
      <c r="B147" s="54" t="n">
        <v>46.8</v>
      </c>
      <c r="C147" s="55" t="n">
        <v>48.5</v>
      </c>
      <c r="D147" s="55" t="n">
        <v>44</v>
      </c>
      <c r="E147" s="114" t="n">
        <v>39.9</v>
      </c>
      <c r="F147" s="55" t="n">
        <v>45</v>
      </c>
      <c r="G147" s="52" t="n">
        <v>62.5</v>
      </c>
      <c r="H147" s="114" t="n">
        <v>43</v>
      </c>
      <c r="I147" s="114" t="n">
        <v>45.5</v>
      </c>
      <c r="J147" s="114" t="n">
        <v>36.3</v>
      </c>
      <c r="K147" s="114" t="n">
        <v>48.5</v>
      </c>
      <c r="L147" s="54" t="n">
        <v>43.7</v>
      </c>
    </row>
    <row r="148">
      <c r="A148" s="53" t="n">
        <v>39934</v>
      </c>
      <c r="B148" s="54" t="n">
        <v>45.9</v>
      </c>
      <c r="C148" s="55" t="n">
        <v>46</v>
      </c>
      <c r="D148" s="55" t="n">
        <v>40</v>
      </c>
      <c r="E148" s="114" t="n">
        <v>47.1</v>
      </c>
      <c r="F148" s="55" t="n">
        <v>43.1</v>
      </c>
      <c r="G148" s="52" t="n">
        <v>62.5</v>
      </c>
      <c r="H148" s="114" t="n">
        <v>47</v>
      </c>
      <c r="I148" s="114" t="n">
        <v>50</v>
      </c>
      <c r="J148" s="114" t="n">
        <v>37.9</v>
      </c>
      <c r="K148" s="114" t="n">
        <v>47</v>
      </c>
      <c r="L148" s="54" t="n">
        <v>44.4</v>
      </c>
    </row>
    <row r="149">
      <c r="A149" s="53" t="n">
        <v>39965</v>
      </c>
      <c r="B149" s="54" t="n">
        <v>49.6</v>
      </c>
      <c r="C149" s="55" t="n">
        <v>47</v>
      </c>
      <c r="D149" s="55" t="n">
        <v>46</v>
      </c>
      <c r="E149" s="114" t="n">
        <v>52.9</v>
      </c>
      <c r="F149" s="55" t="n">
        <v>50.1</v>
      </c>
      <c r="G149" s="52" t="n">
        <v>67</v>
      </c>
      <c r="H149" s="114" t="n">
        <v>45</v>
      </c>
      <c r="I149" s="114" t="n">
        <v>46</v>
      </c>
      <c r="J149" s="114" t="n">
        <v>41.5</v>
      </c>
      <c r="K149" s="114" t="n">
        <v>54.5</v>
      </c>
      <c r="L149" s="54" t="n">
        <v>46.4</v>
      </c>
    </row>
    <row r="150">
      <c r="A150" s="53" t="n">
        <v>39995</v>
      </c>
      <c r="B150" s="54" t="n">
        <v>49.7</v>
      </c>
      <c r="C150" s="55" t="n">
        <v>45</v>
      </c>
      <c r="D150" s="55" t="n">
        <v>42</v>
      </c>
      <c r="E150" s="114" t="n">
        <v>41.5</v>
      </c>
      <c r="F150" s="55" t="n">
        <v>47</v>
      </c>
      <c r="G150" s="52" t="n">
        <v>62.5</v>
      </c>
      <c r="H150" s="114" t="n">
        <v>47</v>
      </c>
      <c r="I150" s="114" t="n">
        <v>50</v>
      </c>
      <c r="J150" s="114" t="n">
        <v>41.3</v>
      </c>
      <c r="K150" s="114" t="n">
        <v>47.5</v>
      </c>
      <c r="L150" s="54" t="n">
        <v>47.1</v>
      </c>
    </row>
    <row r="151">
      <c r="A151" s="53" t="n">
        <v>40026</v>
      </c>
      <c r="B151" s="54" t="n">
        <v>51.7</v>
      </c>
      <c r="C151" s="55" t="n">
        <v>49</v>
      </c>
      <c r="D151" s="55" t="n">
        <v>41</v>
      </c>
      <c r="E151" s="114" t="n">
        <v>60.8</v>
      </c>
      <c r="F151" s="55" t="n">
        <v>52.1</v>
      </c>
      <c r="G151" s="52" t="n">
        <v>67.5</v>
      </c>
      <c r="H151" s="114" t="n">
        <v>43</v>
      </c>
      <c r="I151" s="114" t="n">
        <v>49</v>
      </c>
      <c r="J151" s="114" t="n">
        <v>43.4</v>
      </c>
      <c r="K151" s="114" t="n">
        <v>54</v>
      </c>
      <c r="L151" s="54" t="n">
        <v>48.9</v>
      </c>
    </row>
    <row r="152">
      <c r="A152" s="53" t="n">
        <v>40057</v>
      </c>
      <c r="B152" s="54" t="n">
        <v>53.3</v>
      </c>
      <c r="C152" s="55" t="n">
        <v>51.5</v>
      </c>
      <c r="D152" s="55" t="n">
        <v>51.5</v>
      </c>
      <c r="E152" s="114" t="n">
        <v>49.6</v>
      </c>
      <c r="F152" s="55" t="n">
        <v>53.8</v>
      </c>
      <c r="G152" s="52" t="n">
        <v>62</v>
      </c>
      <c r="H152" s="114" t="n">
        <v>47.5</v>
      </c>
      <c r="I152" s="114" t="n">
        <v>50</v>
      </c>
      <c r="J152" s="114" t="n">
        <v>44.7</v>
      </c>
      <c r="K152" s="114" t="n">
        <v>48.5</v>
      </c>
      <c r="L152" s="54" t="n">
        <v>50.1</v>
      </c>
    </row>
    <row r="153">
      <c r="A153" s="53" t="n">
        <v>40087</v>
      </c>
      <c r="B153" s="54" t="n">
        <v>55.4</v>
      </c>
      <c r="C153" s="55" t="n">
        <v>46</v>
      </c>
      <c r="D153" s="55" t="n">
        <v>53.5</v>
      </c>
      <c r="E153" s="114" t="n">
        <v>53.5</v>
      </c>
      <c r="F153" s="55" t="n">
        <v>55</v>
      </c>
      <c r="G153" s="52" t="n">
        <v>63.5</v>
      </c>
      <c r="H153" s="114" t="n">
        <v>43</v>
      </c>
      <c r="I153" s="114" t="n">
        <v>50.5</v>
      </c>
      <c r="J153" s="114" t="n">
        <v>42.6</v>
      </c>
      <c r="K153" s="114" t="n">
        <v>53.5</v>
      </c>
      <c r="L153" s="54" t="n">
        <v>51</v>
      </c>
    </row>
    <row r="154">
      <c r="A154" s="53" t="n">
        <v>40118</v>
      </c>
      <c r="B154" s="54" t="n">
        <v>54.9</v>
      </c>
      <c r="C154" s="55" t="n">
        <v>46</v>
      </c>
      <c r="D154" s="55" t="n">
        <v>48.5</v>
      </c>
      <c r="E154" s="114" t="n">
        <v>58.9</v>
      </c>
      <c r="F154" s="55" t="n">
        <v>50.9</v>
      </c>
      <c r="G154" s="52" t="n">
        <v>61.5</v>
      </c>
      <c r="H154" s="114" t="n">
        <v>45.5</v>
      </c>
      <c r="I154" s="114" t="n">
        <v>48.5</v>
      </c>
      <c r="J154" s="114" t="n">
        <v>42.8</v>
      </c>
      <c r="K154" s="114" t="n">
        <v>54.5</v>
      </c>
      <c r="L154" s="54" t="n">
        <v>49.5</v>
      </c>
    </row>
    <row r="155">
      <c r="A155" s="53" t="n">
        <v>40148</v>
      </c>
      <c r="B155" s="54" t="n">
        <v>51.6</v>
      </c>
      <c r="C155" s="55" t="n">
        <v>52.5</v>
      </c>
      <c r="D155" s="55" t="n">
        <v>48</v>
      </c>
      <c r="E155" s="114" t="n">
        <v>58.9</v>
      </c>
      <c r="F155" s="55" t="n">
        <v>53</v>
      </c>
      <c r="G155" s="52" t="n">
        <v>61</v>
      </c>
      <c r="H155" s="114" t="n">
        <v>51.5</v>
      </c>
      <c r="I155" s="114" t="n">
        <v>50.5</v>
      </c>
      <c r="J155" s="114" t="n">
        <v>44.6</v>
      </c>
      <c r="K155" s="114" t="n">
        <v>46</v>
      </c>
      <c r="L155" s="54" t="n">
        <v>49.7</v>
      </c>
    </row>
    <row r="156">
      <c r="A156" s="53" t="n">
        <v>40179</v>
      </c>
      <c r="B156" s="54" t="n">
        <v>52.9</v>
      </c>
      <c r="C156" s="55" t="n">
        <v>47</v>
      </c>
      <c r="D156" s="55" t="n">
        <v>45.5</v>
      </c>
      <c r="E156" s="114" t="n">
        <v>59.4</v>
      </c>
      <c r="F156" s="55" t="n">
        <v>51.5</v>
      </c>
      <c r="G156" s="52" t="n">
        <v>64.5</v>
      </c>
      <c r="H156" s="114" t="n">
        <v>46.5</v>
      </c>
      <c r="I156" s="114" t="n">
        <v>50.5</v>
      </c>
      <c r="J156" s="114" t="n">
        <v>44.8</v>
      </c>
      <c r="K156" s="114" t="n">
        <v>46</v>
      </c>
      <c r="L156" s="54" t="n">
        <v>50</v>
      </c>
    </row>
    <row r="157">
      <c r="A157" s="53" t="n">
        <v>40210</v>
      </c>
      <c r="B157" s="54" t="n">
        <v>53.4</v>
      </c>
      <c r="C157" s="55" t="n">
        <v>48.5</v>
      </c>
      <c r="D157" s="55" t="n">
        <v>46</v>
      </c>
      <c r="E157" s="114" t="n">
        <v>58.7</v>
      </c>
      <c r="F157" s="55" t="n">
        <v>53</v>
      </c>
      <c r="G157" s="52" t="n">
        <v>60</v>
      </c>
      <c r="H157" s="114" t="n">
        <v>45</v>
      </c>
      <c r="I157" s="114" t="n">
        <v>53.5</v>
      </c>
      <c r="J157" s="114" t="n">
        <v>46</v>
      </c>
      <c r="K157" s="114" t="n">
        <v>47</v>
      </c>
      <c r="L157" s="54" t="n">
        <v>51.7</v>
      </c>
    </row>
    <row r="158">
      <c r="A158" s="53" t="n">
        <v>40238</v>
      </c>
      <c r="B158" s="54" t="n">
        <v>58.1</v>
      </c>
      <c r="C158" s="55" t="n">
        <v>51</v>
      </c>
      <c r="D158" s="55" t="n">
        <v>55.5</v>
      </c>
      <c r="E158" s="114" t="n">
        <v>60.9</v>
      </c>
      <c r="F158" s="55" t="n">
        <v>57.7</v>
      </c>
      <c r="G158" s="52" t="n">
        <v>52.5</v>
      </c>
      <c r="H158" s="114" t="n">
        <v>46.5</v>
      </c>
      <c r="I158" s="114" t="n">
        <v>49.5</v>
      </c>
      <c r="J158" s="114" t="n">
        <v>47.4</v>
      </c>
      <c r="K158" s="114" t="n">
        <v>57.5</v>
      </c>
      <c r="L158" s="54" t="n">
        <v>53.3</v>
      </c>
    </row>
    <row r="159">
      <c r="A159" s="53" t="n">
        <v>40269</v>
      </c>
      <c r="B159" s="54" t="n">
        <v>58.1</v>
      </c>
      <c r="C159" s="55" t="n">
        <v>56.5</v>
      </c>
      <c r="D159" s="55" t="n">
        <v>49.5</v>
      </c>
      <c r="E159" s="114" t="n">
        <v>63.8</v>
      </c>
      <c r="F159" s="55" t="n">
        <v>59.8</v>
      </c>
      <c r="G159" s="52" t="n">
        <v>53.5</v>
      </c>
      <c r="H159" s="114" t="n">
        <v>54.5</v>
      </c>
      <c r="I159" s="114" t="n">
        <v>53.5</v>
      </c>
      <c r="J159" s="114" t="n">
        <v>49.3</v>
      </c>
      <c r="K159" s="114" t="n">
        <v>57</v>
      </c>
      <c r="L159" s="54" t="n">
        <v>55.3</v>
      </c>
    </row>
    <row r="160">
      <c r="A160" s="53" t="n">
        <v>40299</v>
      </c>
      <c r="B160" s="54" t="n">
        <v>57.9</v>
      </c>
      <c r="C160" s="55" t="n">
        <v>56.5</v>
      </c>
      <c r="D160" s="55" t="n">
        <v>56</v>
      </c>
      <c r="E160" s="114" t="n">
        <v>60.8</v>
      </c>
      <c r="F160" s="55" t="n">
        <v>61.3</v>
      </c>
      <c r="G160" s="52" t="n">
        <v>60.5</v>
      </c>
      <c r="H160" s="114" t="n">
        <v>62.5</v>
      </c>
      <c r="I160" s="114" t="n">
        <v>53</v>
      </c>
      <c r="J160" s="114" t="n">
        <v>49.6</v>
      </c>
      <c r="K160" s="114" t="n">
        <v>53.5</v>
      </c>
      <c r="L160" s="54" t="n">
        <v>55.5</v>
      </c>
    </row>
    <row r="161">
      <c r="A161" s="53" t="n">
        <v>40330</v>
      </c>
      <c r="B161" s="54" t="n">
        <v>56.6</v>
      </c>
      <c r="C161" s="55" t="n">
        <v>48</v>
      </c>
      <c r="D161" s="55" t="n">
        <v>55.5</v>
      </c>
      <c r="E161" s="114" t="n">
        <v>56.7</v>
      </c>
      <c r="F161" s="55" t="n">
        <v>59.4</v>
      </c>
      <c r="G161" s="52" t="n">
        <v>59</v>
      </c>
      <c r="H161" s="114" t="n">
        <v>58.5</v>
      </c>
      <c r="I161" s="114" t="n">
        <v>53</v>
      </c>
      <c r="J161" s="114" t="n">
        <v>48.5</v>
      </c>
      <c r="K161" s="114" t="n">
        <v>48</v>
      </c>
      <c r="L161" s="54" t="n">
        <v>54.4</v>
      </c>
    </row>
    <row r="162">
      <c r="A162" s="53" t="n">
        <v>40360</v>
      </c>
      <c r="B162" s="54" t="n">
        <v>58.2</v>
      </c>
      <c r="C162" s="55" t="n">
        <v>48</v>
      </c>
      <c r="D162" s="55" t="n">
        <v>52</v>
      </c>
      <c r="E162" s="114" t="n">
        <v>56.1</v>
      </c>
      <c r="F162" s="55" t="n">
        <v>57.4</v>
      </c>
      <c r="G162" s="52" t="n">
        <v>59</v>
      </c>
      <c r="H162" s="114" t="n">
        <v>55.5</v>
      </c>
      <c r="I162" s="114" t="n">
        <v>52</v>
      </c>
      <c r="J162" s="114" t="n">
        <v>50.7</v>
      </c>
      <c r="K162" s="114" t="n">
        <v>52</v>
      </c>
      <c r="L162" s="54" t="n">
        <v>54.6</v>
      </c>
    </row>
    <row r="163">
      <c r="A163" s="53" t="n">
        <v>40391</v>
      </c>
      <c r="B163" s="54" t="n">
        <v>54.4</v>
      </c>
      <c r="C163" s="55" t="n">
        <v>50.5</v>
      </c>
      <c r="D163" s="55" t="n">
        <v>50.5</v>
      </c>
      <c r="E163" s="114" t="n">
        <v>59.2</v>
      </c>
      <c r="F163" s="55" t="n">
        <v>55.8</v>
      </c>
      <c r="G163" s="52" t="n">
        <v>60</v>
      </c>
      <c r="H163" s="114" t="n">
        <v>53.5</v>
      </c>
      <c r="I163" s="114" t="n">
        <v>51</v>
      </c>
      <c r="J163" s="114" t="n">
        <v>48.9</v>
      </c>
      <c r="K163" s="114" t="n">
        <v>46.5</v>
      </c>
      <c r="L163" s="54" t="n">
        <v>52.4</v>
      </c>
    </row>
    <row r="164">
      <c r="A164" s="53" t="n">
        <v>40422</v>
      </c>
      <c r="B164" s="54" t="n">
        <v>54.3</v>
      </c>
      <c r="C164" s="55" t="n">
        <v>53</v>
      </c>
      <c r="D164" s="55" t="n">
        <v>48</v>
      </c>
      <c r="E164" s="114" t="n">
        <v>59.5</v>
      </c>
      <c r="F164" s="55" t="n">
        <v>53.3</v>
      </c>
      <c r="G164" s="52" t="n">
        <v>59.5</v>
      </c>
      <c r="H164" s="114" t="n">
        <v>47</v>
      </c>
      <c r="I164" s="114" t="n">
        <v>55</v>
      </c>
      <c r="J164" s="114" t="n">
        <v>51.5</v>
      </c>
      <c r="K164" s="114" t="n">
        <v>58</v>
      </c>
      <c r="L164" s="54" t="n">
        <v>53.3</v>
      </c>
    </row>
    <row r="165">
      <c r="A165" s="53" t="n">
        <v>40452</v>
      </c>
      <c r="B165" s="54" t="n">
        <v>58.3</v>
      </c>
      <c r="C165" s="55" t="n">
        <v>54</v>
      </c>
      <c r="D165" s="55" t="n">
        <v>52</v>
      </c>
      <c r="E165" s="114" t="n">
        <v>68.2</v>
      </c>
      <c r="F165" s="55" t="n">
        <v>59.7</v>
      </c>
      <c r="G165" s="52" t="n">
        <v>61.5</v>
      </c>
      <c r="H165" s="114" t="n">
        <v>47.5</v>
      </c>
      <c r="I165" s="114" t="n">
        <v>51</v>
      </c>
      <c r="J165" s="114" t="n">
        <v>52.1</v>
      </c>
      <c r="K165" s="114" t="n">
        <v>55.5</v>
      </c>
      <c r="L165" s="54" t="n">
        <v>55.3</v>
      </c>
    </row>
    <row r="166">
      <c r="A166" s="53" t="n">
        <v>40483</v>
      </c>
      <c r="B166" s="54" t="n">
        <v>58.4</v>
      </c>
      <c r="C166" s="55" t="n">
        <v>54.5</v>
      </c>
      <c r="D166" s="55" t="n">
        <v>51.5</v>
      </c>
      <c r="E166" s="114" t="n">
        <v>65.59999999999999</v>
      </c>
      <c r="F166" s="55" t="n">
        <v>59.1</v>
      </c>
      <c r="G166" s="52" t="n">
        <v>60</v>
      </c>
      <c r="H166" s="114" t="n">
        <v>51.5</v>
      </c>
      <c r="I166" s="114" t="n">
        <v>52.5</v>
      </c>
      <c r="J166" s="114" t="n">
        <v>56.6</v>
      </c>
      <c r="K166" s="114" t="n">
        <v>59.5</v>
      </c>
      <c r="L166" s="54" t="n">
        <v>56.4</v>
      </c>
    </row>
    <row r="167">
      <c r="A167" s="53" t="n">
        <v>40513</v>
      </c>
      <c r="B167" s="54" t="n">
        <v>62.1</v>
      </c>
      <c r="C167" s="55" t="n">
        <v>51</v>
      </c>
      <c r="D167" s="55" t="n">
        <v>48.5</v>
      </c>
      <c r="E167" s="114" t="n">
        <v>69.3</v>
      </c>
      <c r="F167" s="55" t="n">
        <v>62.2</v>
      </c>
      <c r="G167" s="52" t="n">
        <v>61.5</v>
      </c>
      <c r="H167" s="114" t="n">
        <v>52.5</v>
      </c>
      <c r="I167" s="114" t="n">
        <v>51.5</v>
      </c>
      <c r="J167" s="114" t="n">
        <v>52.2</v>
      </c>
      <c r="K167" s="114" t="n">
        <v>56</v>
      </c>
      <c r="L167" s="54" t="n">
        <v>56.9</v>
      </c>
    </row>
    <row r="168">
      <c r="A168" s="53" t="n">
        <v>40544</v>
      </c>
      <c r="B168" s="54" t="n">
        <v>63</v>
      </c>
      <c r="C168" s="55" t="n">
        <v>53.5</v>
      </c>
      <c r="D168" s="55" t="n">
        <v>50.5</v>
      </c>
      <c r="E168" s="114" t="n">
        <v>70</v>
      </c>
      <c r="F168" s="55" t="n">
        <v>61.6</v>
      </c>
      <c r="G168" s="52" t="n">
        <v>60</v>
      </c>
      <c r="H168" s="114" t="n">
        <v>49</v>
      </c>
      <c r="I168" s="114" t="n">
        <v>53.5</v>
      </c>
      <c r="J168" s="114" t="n">
        <v>52.1</v>
      </c>
      <c r="K168" s="114" t="n">
        <v>53.5</v>
      </c>
      <c r="L168" s="54" t="n">
        <v>57.6</v>
      </c>
    </row>
    <row r="169">
      <c r="A169" s="53" t="n">
        <v>40575</v>
      </c>
      <c r="B169" s="54" t="n">
        <v>61.9</v>
      </c>
      <c r="C169" s="55" t="n">
        <v>53.5</v>
      </c>
      <c r="D169" s="55" t="n">
        <v>52</v>
      </c>
      <c r="E169" s="114" t="n">
        <v>70.90000000000001</v>
      </c>
      <c r="F169" s="55" t="n">
        <v>63.3</v>
      </c>
      <c r="G169" s="52" t="n">
        <v>57.5</v>
      </c>
      <c r="H169" s="114" t="n">
        <v>55.5</v>
      </c>
      <c r="I169" s="114" t="n">
        <v>52</v>
      </c>
      <c r="J169" s="114" t="n">
        <v>53.6</v>
      </c>
      <c r="K169" s="114" t="n">
        <v>56.5</v>
      </c>
      <c r="L169" s="54" t="n">
        <v>58</v>
      </c>
    </row>
    <row r="170">
      <c r="A170" s="53" t="n">
        <v>40603</v>
      </c>
      <c r="B170" s="54" t="n">
        <v>59.5</v>
      </c>
      <c r="C170" s="55" t="n">
        <v>50</v>
      </c>
      <c r="D170" s="55" t="n">
        <v>56</v>
      </c>
      <c r="E170" s="114" t="n">
        <v>70.90000000000001</v>
      </c>
      <c r="F170" s="55" t="n">
        <v>58.2</v>
      </c>
      <c r="G170" s="52" t="n">
        <v>67</v>
      </c>
      <c r="H170" s="114" t="n">
        <v>55.5</v>
      </c>
      <c r="I170" s="114" t="n">
        <v>51.5</v>
      </c>
      <c r="J170" s="114" t="n">
        <v>52.9</v>
      </c>
      <c r="K170" s="114" t="n">
        <v>59</v>
      </c>
      <c r="L170" s="54" t="n">
        <v>55.8</v>
      </c>
    </row>
    <row r="171">
      <c r="A171" s="53" t="n">
        <v>40634</v>
      </c>
      <c r="B171" s="54" t="n">
        <v>56.3</v>
      </c>
      <c r="C171" s="55" t="n">
        <v>57</v>
      </c>
      <c r="D171" s="55" t="n">
        <v>55.5</v>
      </c>
      <c r="E171" s="114" t="n">
        <v>71</v>
      </c>
      <c r="F171" s="55" t="n">
        <v>56.9</v>
      </c>
      <c r="G171" s="52" t="n">
        <v>57.5</v>
      </c>
      <c r="H171" s="114" t="n">
        <v>55.5</v>
      </c>
      <c r="I171" s="114" t="n">
        <v>53</v>
      </c>
      <c r="J171" s="114" t="n">
        <v>53.6</v>
      </c>
      <c r="K171" s="114" t="n">
        <v>53.5</v>
      </c>
      <c r="L171" s="54" t="n">
        <v>55.2</v>
      </c>
    </row>
    <row r="172">
      <c r="A172" s="53" t="n">
        <v>40664</v>
      </c>
      <c r="B172" s="54" t="n">
        <v>56</v>
      </c>
      <c r="C172" s="55" t="n">
        <v>50.5</v>
      </c>
      <c r="D172" s="55" t="n">
        <v>55</v>
      </c>
      <c r="E172" s="114" t="n">
        <v>70.3</v>
      </c>
      <c r="F172" s="55" t="n">
        <v>55</v>
      </c>
      <c r="G172" s="52" t="n">
        <v>55</v>
      </c>
      <c r="H172" s="114" t="n">
        <v>55</v>
      </c>
      <c r="I172" s="114" t="n">
        <v>54</v>
      </c>
      <c r="J172" s="114" t="n">
        <v>54.4</v>
      </c>
      <c r="K172" s="114" t="n">
        <v>57</v>
      </c>
      <c r="L172" s="54" t="n">
        <v>55</v>
      </c>
    </row>
    <row r="173">
      <c r="A173" s="53" t="n">
        <v>40695</v>
      </c>
      <c r="B173" s="54" t="n">
        <v>55.4</v>
      </c>
      <c r="C173" s="55" t="n">
        <v>46.5</v>
      </c>
      <c r="D173" s="55" t="n">
        <v>48.5</v>
      </c>
      <c r="E173" s="114" t="n">
        <v>62.4</v>
      </c>
      <c r="F173" s="55" t="n">
        <v>55.7</v>
      </c>
      <c r="G173" s="52" t="n">
        <v>58.5</v>
      </c>
      <c r="H173" s="114" t="n">
        <v>53.5</v>
      </c>
      <c r="I173" s="114" t="n">
        <v>52</v>
      </c>
      <c r="J173" s="114" t="n">
        <v>52.9</v>
      </c>
      <c r="K173" s="114" t="n">
        <v>57</v>
      </c>
      <c r="L173" s="54" t="n">
        <v>54.2</v>
      </c>
    </row>
    <row r="174">
      <c r="A174" s="53" t="n">
        <v>40725</v>
      </c>
      <c r="B174" s="54" t="n">
        <v>53.7</v>
      </c>
      <c r="C174" s="55" t="n">
        <v>47.5</v>
      </c>
      <c r="D174" s="55" t="n">
        <v>44</v>
      </c>
      <c r="E174" s="114" t="n">
        <v>60.7</v>
      </c>
      <c r="F174" s="55" t="n">
        <v>56.6</v>
      </c>
      <c r="G174" s="52" t="n">
        <v>59.5</v>
      </c>
      <c r="H174" s="114" t="n">
        <v>56.5</v>
      </c>
      <c r="I174" s="114" t="n">
        <v>50.5</v>
      </c>
      <c r="J174" s="114" t="n">
        <v>53.3</v>
      </c>
      <c r="K174" s="114" t="n">
        <v>49</v>
      </c>
      <c r="L174" s="54" t="n">
        <v>53.5</v>
      </c>
    </row>
    <row r="175">
      <c r="A175" s="53" t="n">
        <v>40756</v>
      </c>
      <c r="B175" s="54" t="n">
        <v>53.9</v>
      </c>
      <c r="C175" s="55" t="n">
        <v>53.5</v>
      </c>
      <c r="D175" s="55" t="n">
        <v>47.5</v>
      </c>
      <c r="E175" s="114" t="n">
        <v>61.3</v>
      </c>
      <c r="F175" s="55" t="n">
        <v>56.5</v>
      </c>
      <c r="G175" s="52" t="n">
        <v>56</v>
      </c>
      <c r="H175" s="114" t="n">
        <v>53.5</v>
      </c>
      <c r="I175" s="114" t="n">
        <v>53</v>
      </c>
      <c r="J175" s="114" t="n">
        <v>51.9</v>
      </c>
      <c r="K175" s="114" t="n">
        <v>56.5</v>
      </c>
      <c r="L175" s="54" t="n">
        <v>53.5</v>
      </c>
    </row>
    <row r="176">
      <c r="A176" s="53" t="n">
        <v>40787</v>
      </c>
      <c r="B176" s="54" t="n">
        <v>54.6</v>
      </c>
      <c r="C176" s="55" t="n">
        <v>47.5</v>
      </c>
      <c r="D176" s="55" t="n">
        <v>52.5</v>
      </c>
      <c r="E176" s="114" t="n">
        <v>60.9</v>
      </c>
      <c r="F176" s="55" t="n">
        <v>56.8</v>
      </c>
      <c r="G176" s="52" t="n">
        <v>59</v>
      </c>
      <c r="H176" s="114" t="n">
        <v>51.5</v>
      </c>
      <c r="I176" s="114" t="n">
        <v>49.5</v>
      </c>
      <c r="J176" s="114" t="n">
        <v>49.4</v>
      </c>
      <c r="K176" s="114" t="n">
        <v>52</v>
      </c>
      <c r="L176" s="54" t="n">
        <v>52.3</v>
      </c>
    </row>
    <row r="177">
      <c r="A177" s="53" t="n">
        <v>40817</v>
      </c>
      <c r="B177" s="54" t="n">
        <v>53.4</v>
      </c>
      <c r="C177" s="55" t="n">
        <v>48</v>
      </c>
      <c r="D177" s="55" t="n">
        <v>47</v>
      </c>
      <c r="E177" s="114" t="n">
        <v>57.7</v>
      </c>
      <c r="F177" s="55" t="n">
        <v>53.9</v>
      </c>
      <c r="G177" s="52" t="n">
        <v>57.5</v>
      </c>
      <c r="H177" s="114" t="n">
        <v>45.5</v>
      </c>
      <c r="I177" s="114" t="n">
        <v>52</v>
      </c>
      <c r="J177" s="114" t="n">
        <v>52.3</v>
      </c>
      <c r="K177" s="114" t="n">
        <v>54</v>
      </c>
      <c r="L177" s="54" t="n">
        <v>52.8</v>
      </c>
    </row>
    <row r="178">
      <c r="A178" s="53" t="n">
        <v>40848</v>
      </c>
      <c r="B178" s="54" t="n">
        <v>53.4</v>
      </c>
      <c r="C178" s="55" t="n">
        <v>48.5</v>
      </c>
      <c r="D178" s="55" t="n">
        <v>48</v>
      </c>
      <c r="E178" s="114" t="n">
        <v>63.4</v>
      </c>
      <c r="F178" s="55" t="n">
        <v>56.1</v>
      </c>
      <c r="G178" s="52" t="n">
        <v>63</v>
      </c>
      <c r="H178" s="114" t="n">
        <v>52.5</v>
      </c>
      <c r="I178" s="114" t="n">
        <v>50</v>
      </c>
      <c r="J178" s="114" t="n">
        <v>53.1</v>
      </c>
      <c r="K178" s="114" t="n">
        <v>55.5</v>
      </c>
      <c r="L178" s="54" t="n">
        <v>52.9</v>
      </c>
    </row>
    <row r="179">
      <c r="A179" s="53" t="n">
        <v>40878</v>
      </c>
      <c r="B179" s="54" t="n">
        <v>54.1</v>
      </c>
      <c r="C179" s="55" t="n">
        <v>54</v>
      </c>
      <c r="D179" s="55" t="n">
        <v>45.5</v>
      </c>
      <c r="E179" s="114" t="n">
        <v>62.2</v>
      </c>
      <c r="F179" s="55" t="n">
        <v>55.6</v>
      </c>
      <c r="G179" s="52" t="n">
        <v>59.5</v>
      </c>
      <c r="H179" s="114" t="n">
        <v>48.5</v>
      </c>
      <c r="I179" s="114" t="n">
        <v>51.5</v>
      </c>
      <c r="J179" s="114" t="n">
        <v>49</v>
      </c>
      <c r="K179" s="114" t="n">
        <v>51</v>
      </c>
      <c r="L179" s="54" t="n">
        <v>52.6</v>
      </c>
    </row>
    <row r="180">
      <c r="A180" s="53" t="n">
        <v>40909</v>
      </c>
      <c r="B180" s="54" t="n">
        <v>59.5</v>
      </c>
      <c r="C180" s="55" t="n">
        <v>55</v>
      </c>
      <c r="D180" s="55" t="n">
        <v>49.5</v>
      </c>
      <c r="E180" s="114" t="n">
        <v>61.4</v>
      </c>
      <c r="F180" s="55" t="n">
        <v>58.7</v>
      </c>
      <c r="G180" s="52" t="n">
        <v>58.5</v>
      </c>
      <c r="H180" s="114" t="n">
        <v>47</v>
      </c>
      <c r="I180" s="114" t="n">
        <v>51</v>
      </c>
      <c r="J180" s="114" t="n">
        <v>54.9</v>
      </c>
      <c r="K180" s="114" t="n">
        <v>56.5</v>
      </c>
      <c r="L180" s="54" t="n">
        <v>56</v>
      </c>
    </row>
    <row r="181">
      <c r="A181" s="53" t="n">
        <v>40940</v>
      </c>
      <c r="B181" s="54" t="n">
        <v>59.9</v>
      </c>
      <c r="C181" s="55" t="n">
        <v>52</v>
      </c>
      <c r="D181" s="55" t="n">
        <v>53</v>
      </c>
      <c r="E181" s="114" t="n">
        <v>67.40000000000001</v>
      </c>
      <c r="F181" s="55" t="n">
        <v>59.9</v>
      </c>
      <c r="G181" s="52" t="n">
        <v>61.5</v>
      </c>
      <c r="H181" s="114" t="n">
        <v>53.5</v>
      </c>
      <c r="I181" s="114" t="n">
        <v>49.5</v>
      </c>
      <c r="J181" s="114" t="n">
        <v>53.2</v>
      </c>
      <c r="K181" s="114" t="n">
        <v>54.5</v>
      </c>
      <c r="L181" s="54" t="n">
        <v>56</v>
      </c>
    </row>
    <row r="182">
      <c r="A182" s="53" t="n">
        <v>40969</v>
      </c>
      <c r="B182" s="54" t="n">
        <v>57.9</v>
      </c>
      <c r="C182" s="55" t="n">
        <v>56</v>
      </c>
      <c r="D182" s="55" t="n">
        <v>49.5</v>
      </c>
      <c r="E182" s="114" t="n">
        <v>65</v>
      </c>
      <c r="F182" s="55" t="n">
        <v>58.5</v>
      </c>
      <c r="G182" s="52" t="n">
        <v>58.5</v>
      </c>
      <c r="H182" s="114" t="n">
        <v>54</v>
      </c>
      <c r="I182" s="114" t="n">
        <v>49.5</v>
      </c>
      <c r="J182" s="114" t="n">
        <v>55.2</v>
      </c>
      <c r="K182" s="114" t="n">
        <v>52.5</v>
      </c>
      <c r="L182" s="54" t="n">
        <v>55.6</v>
      </c>
    </row>
    <row r="183">
      <c r="A183" s="53" t="n">
        <v>41000</v>
      </c>
      <c r="B183" s="54" t="n">
        <v>55.1</v>
      </c>
      <c r="C183" s="55" t="n">
        <v>56.5</v>
      </c>
      <c r="D183" s="55" t="n">
        <v>53</v>
      </c>
      <c r="E183" s="114" t="n">
        <v>56.6</v>
      </c>
      <c r="F183" s="55" t="n">
        <v>56</v>
      </c>
      <c r="G183" s="52" t="n">
        <v>61</v>
      </c>
      <c r="H183" s="114" t="n">
        <v>54</v>
      </c>
      <c r="I183" s="114" t="n">
        <v>51.5</v>
      </c>
      <c r="J183" s="114" t="n">
        <v>54.5</v>
      </c>
      <c r="K183" s="114" t="n">
        <v>58</v>
      </c>
      <c r="L183" s="54" t="n">
        <v>54.4</v>
      </c>
    </row>
    <row r="184">
      <c r="A184" s="53" t="n">
        <v>41030</v>
      </c>
      <c r="B184" s="54" t="n">
        <v>55.6</v>
      </c>
      <c r="C184" s="55" t="n">
        <v>53</v>
      </c>
      <c r="D184" s="55" t="n">
        <v>53</v>
      </c>
      <c r="E184" s="114" t="n">
        <v>52.8</v>
      </c>
      <c r="F184" s="55" t="n">
        <v>56.4</v>
      </c>
      <c r="G184" s="52" t="n">
        <v>63</v>
      </c>
      <c r="H184" s="114" t="n">
        <v>56</v>
      </c>
      <c r="I184" s="114" t="n">
        <v>53</v>
      </c>
      <c r="J184" s="114" t="n">
        <v>51.9</v>
      </c>
      <c r="K184" s="114" t="n">
        <v>53</v>
      </c>
      <c r="L184" s="54" t="n">
        <v>54.5</v>
      </c>
    </row>
    <row r="185">
      <c r="A185" s="53" t="n">
        <v>41061</v>
      </c>
      <c r="B185" s="54" t="n">
        <v>55.7</v>
      </c>
      <c r="C185" s="55" t="n">
        <v>53.5</v>
      </c>
      <c r="D185" s="55" t="n">
        <v>47.5</v>
      </c>
      <c r="E185" s="114" t="n">
        <v>49.7</v>
      </c>
      <c r="F185" s="55" t="n">
        <v>53.6</v>
      </c>
      <c r="G185" s="52" t="n">
        <v>64.5</v>
      </c>
      <c r="H185" s="114" t="n">
        <v>53</v>
      </c>
      <c r="I185" s="114" t="n">
        <v>51</v>
      </c>
      <c r="J185" s="114" t="n">
        <v>52.5</v>
      </c>
      <c r="K185" s="114" t="n">
        <v>49.5</v>
      </c>
      <c r="L185" s="54" t="n">
        <v>53.7</v>
      </c>
    </row>
    <row r="186">
      <c r="A186" s="53" t="n">
        <v>41091</v>
      </c>
      <c r="B186" s="54" t="n">
        <v>54.3</v>
      </c>
      <c r="C186" s="55" t="n">
        <v>44.5</v>
      </c>
      <c r="D186" s="55" t="n">
        <v>44.5</v>
      </c>
      <c r="E186" s="114" t="n">
        <v>54.8</v>
      </c>
      <c r="F186" s="55" t="n">
        <v>56.2</v>
      </c>
      <c r="G186" s="52" t="n">
        <v>59</v>
      </c>
      <c r="H186" s="114" t="n">
        <v>54.5</v>
      </c>
      <c r="I186" s="114" t="n">
        <v>49.5</v>
      </c>
      <c r="J186" s="114" t="n">
        <v>50.3</v>
      </c>
      <c r="K186" s="114" t="n">
        <v>51</v>
      </c>
      <c r="L186" s="54" t="n">
        <v>52.4</v>
      </c>
    </row>
    <row r="187">
      <c r="A187" s="53" t="n">
        <v>41122</v>
      </c>
      <c r="B187" s="54" t="n">
        <v>53.6</v>
      </c>
      <c r="C187" s="55" t="n">
        <v>49.5</v>
      </c>
      <c r="D187" s="55" t="n">
        <v>50.5</v>
      </c>
      <c r="E187" s="114" t="n">
        <v>61.8</v>
      </c>
      <c r="F187" s="55" t="n">
        <v>55.3</v>
      </c>
      <c r="G187" s="52" t="n">
        <v>67</v>
      </c>
      <c r="H187" s="114" t="n">
        <v>52.5</v>
      </c>
      <c r="I187" s="114" t="n">
        <v>51.5</v>
      </c>
      <c r="J187" s="114" t="n">
        <v>53.3</v>
      </c>
      <c r="K187" s="114" t="n">
        <v>52</v>
      </c>
      <c r="L187" s="54" t="n">
        <v>52.9</v>
      </c>
    </row>
    <row r="188">
      <c r="A188" s="53" t="n">
        <v>41153</v>
      </c>
      <c r="B188" s="54" t="n">
        <v>55.6</v>
      </c>
      <c r="C188" s="55" t="n">
        <v>50</v>
      </c>
      <c r="D188" s="55" t="n">
        <v>48</v>
      </c>
      <c r="E188" s="114" t="n">
        <v>65.90000000000001</v>
      </c>
      <c r="F188" s="55" t="n">
        <v>60.2</v>
      </c>
      <c r="G188" s="52" t="n">
        <v>65</v>
      </c>
      <c r="H188" s="114" t="n">
        <v>48.5</v>
      </c>
      <c r="I188" s="114" t="n">
        <v>51.5</v>
      </c>
      <c r="J188" s="114" t="n">
        <v>53.2</v>
      </c>
      <c r="K188" s="114" t="n">
        <v>50.5</v>
      </c>
      <c r="L188" s="54" t="n">
        <v>54.6</v>
      </c>
    </row>
    <row r="189">
      <c r="A189" s="53" t="n">
        <v>41183</v>
      </c>
      <c r="B189" s="54" t="n">
        <v>55.5</v>
      </c>
      <c r="C189" s="55" t="n">
        <v>49.5</v>
      </c>
      <c r="D189" s="55" t="n">
        <v>49</v>
      </c>
      <c r="E189" s="114" t="n">
        <v>61.7</v>
      </c>
      <c r="F189" s="55" t="n">
        <v>56.1</v>
      </c>
      <c r="G189" s="52" t="n">
        <v>64</v>
      </c>
      <c r="H189" s="114" t="n">
        <v>46.5</v>
      </c>
      <c r="I189" s="114" t="n">
        <v>51.5</v>
      </c>
      <c r="J189" s="114" t="n">
        <v>54.7</v>
      </c>
      <c r="K189" s="114" t="n">
        <v>47.5</v>
      </c>
      <c r="L189" s="54" t="n">
        <v>54.2</v>
      </c>
    </row>
    <row r="190">
      <c r="A190" s="53" t="n">
        <v>41214</v>
      </c>
      <c r="B190" s="54" t="n">
        <v>57.1</v>
      </c>
      <c r="C190" s="55" t="n">
        <v>55.5</v>
      </c>
      <c r="D190" s="55" t="n">
        <v>53.5</v>
      </c>
      <c r="E190" s="114" t="n">
        <v>57.9</v>
      </c>
      <c r="F190" s="55" t="n">
        <v>60.9</v>
      </c>
      <c r="G190" s="52" t="n">
        <v>62.5</v>
      </c>
      <c r="H190" s="114" t="n">
        <v>47</v>
      </c>
      <c r="I190" s="114" t="n">
        <v>49</v>
      </c>
      <c r="J190" s="114" t="n">
        <v>53.3</v>
      </c>
      <c r="K190" s="114" t="n">
        <v>48</v>
      </c>
      <c r="L190" s="54" t="n">
        <v>54.8</v>
      </c>
    </row>
    <row r="191">
      <c r="A191" s="53" t="n">
        <v>41244</v>
      </c>
      <c r="B191" s="54" t="n">
        <v>58.8</v>
      </c>
      <c r="C191" s="55" t="n">
        <v>49</v>
      </c>
      <c r="D191" s="55" t="n">
        <v>49.5</v>
      </c>
      <c r="E191" s="114" t="n">
        <v>56.9</v>
      </c>
      <c r="F191" s="55" t="n">
        <v>60</v>
      </c>
      <c r="G191" s="52" t="n">
        <v>58</v>
      </c>
      <c r="H191" s="114" t="n">
        <v>50</v>
      </c>
      <c r="I191" s="114" t="n">
        <v>48.5</v>
      </c>
      <c r="J191" s="114" t="n">
        <v>55.2</v>
      </c>
      <c r="K191" s="114" t="n">
        <v>49.5</v>
      </c>
      <c r="L191" s="54" t="n">
        <v>55.6</v>
      </c>
    </row>
    <row r="192">
      <c r="A192" s="53" t="n">
        <v>41275</v>
      </c>
      <c r="B192" s="54" t="n">
        <v>56.7</v>
      </c>
      <c r="C192" s="55" t="n">
        <v>51</v>
      </c>
      <c r="D192" s="55" t="n">
        <v>49</v>
      </c>
      <c r="E192" s="114" t="n">
        <v>57.4</v>
      </c>
      <c r="F192" s="55" t="n">
        <v>56.4</v>
      </c>
      <c r="G192" s="52" t="n">
        <v>64</v>
      </c>
      <c r="H192" s="114" t="n">
        <v>47</v>
      </c>
      <c r="I192" s="114" t="n">
        <v>52.5</v>
      </c>
      <c r="J192" s="114" t="n">
        <v>55.6</v>
      </c>
      <c r="K192" s="114" t="n">
        <v>55.5</v>
      </c>
      <c r="L192" s="54" t="n">
        <v>55.3</v>
      </c>
    </row>
    <row r="193">
      <c r="A193" s="53" t="n">
        <v>41306</v>
      </c>
      <c r="B193" s="54" t="n">
        <v>58.9</v>
      </c>
      <c r="C193" s="55" t="n">
        <v>52.5</v>
      </c>
      <c r="D193" s="55" t="n">
        <v>54.5</v>
      </c>
      <c r="E193" s="114" t="n">
        <v>61</v>
      </c>
      <c r="F193" s="55" t="n">
        <v>56.3</v>
      </c>
      <c r="G193" s="52" t="n">
        <v>62.5</v>
      </c>
      <c r="H193" s="114" t="n">
        <v>54</v>
      </c>
      <c r="I193" s="114" t="n">
        <v>51.5</v>
      </c>
      <c r="J193" s="114" t="n">
        <v>55.5</v>
      </c>
      <c r="K193" s="114" t="n">
        <v>60.5</v>
      </c>
      <c r="L193" s="54" t="n">
        <v>56.1</v>
      </c>
    </row>
    <row r="194">
      <c r="A194" s="53" t="n">
        <v>41334</v>
      </c>
      <c r="B194" s="54" t="n">
        <v>56.5</v>
      </c>
      <c r="C194" s="55" t="n">
        <v>57.5</v>
      </c>
      <c r="D194" s="55" t="n">
        <v>54.5</v>
      </c>
      <c r="E194" s="114" t="n">
        <v>56.2</v>
      </c>
      <c r="F194" s="55" t="n">
        <v>56.6</v>
      </c>
      <c r="G194" s="52" t="n">
        <v>59.5</v>
      </c>
      <c r="H194" s="114" t="n">
        <v>51.5</v>
      </c>
      <c r="I194" s="114" t="n">
        <v>53</v>
      </c>
      <c r="J194" s="114" t="n">
        <v>53.2</v>
      </c>
      <c r="K194" s="114" t="n">
        <v>56.5</v>
      </c>
      <c r="L194" s="54" t="n">
        <v>55.2</v>
      </c>
    </row>
    <row r="195">
      <c r="A195" s="53" t="n">
        <v>41365</v>
      </c>
      <c r="B195" s="54" t="n">
        <v>55.4</v>
      </c>
      <c r="C195" s="55" t="n">
        <v>58.5</v>
      </c>
      <c r="D195" s="55" t="n">
        <v>51.5</v>
      </c>
      <c r="E195" s="114" t="n">
        <v>52.7</v>
      </c>
      <c r="F195" s="55" t="n">
        <v>55.9</v>
      </c>
      <c r="G195" s="52" t="n">
        <v>60.5</v>
      </c>
      <c r="H195" s="114" t="n">
        <v>56</v>
      </c>
      <c r="I195" s="114" t="n">
        <v>51</v>
      </c>
      <c r="J195" s="114" t="n">
        <v>52.6</v>
      </c>
      <c r="K195" s="114" t="n">
        <v>53.5</v>
      </c>
      <c r="L195" s="54" t="n">
        <v>53.9</v>
      </c>
    </row>
    <row r="196">
      <c r="A196" s="53" t="n">
        <v>41395</v>
      </c>
      <c r="B196" s="54" t="n">
        <v>56.1</v>
      </c>
      <c r="C196" s="55" t="n">
        <v>49.5</v>
      </c>
      <c r="D196" s="55" t="n">
        <v>51.5</v>
      </c>
      <c r="E196" s="114" t="n">
        <v>52.6</v>
      </c>
      <c r="F196" s="55" t="n">
        <v>57</v>
      </c>
      <c r="G196" s="52" t="n">
        <v>62.5</v>
      </c>
      <c r="H196" s="114" t="n">
        <v>51.5</v>
      </c>
      <c r="I196" s="114" t="n">
        <v>52</v>
      </c>
      <c r="J196" s="114" t="n">
        <v>50.3</v>
      </c>
      <c r="K196" s="114" t="n">
        <v>50</v>
      </c>
      <c r="L196" s="54" t="n">
        <v>54.4</v>
      </c>
    </row>
    <row r="197">
      <c r="A197" s="53" t="n">
        <v>41426</v>
      </c>
      <c r="B197" s="54" t="n">
        <v>54.1</v>
      </c>
      <c r="C197" s="55" t="n">
        <v>53.5</v>
      </c>
      <c r="D197" s="55" t="n">
        <v>52</v>
      </c>
      <c r="E197" s="114" t="n">
        <v>54.8</v>
      </c>
      <c r="F197" s="55" t="n">
        <v>53.3</v>
      </c>
      <c r="G197" s="52" t="n">
        <v>61.5</v>
      </c>
      <c r="H197" s="114" t="n">
        <v>54.5</v>
      </c>
      <c r="I197" s="114" t="n">
        <v>51.5</v>
      </c>
      <c r="J197" s="114" t="n">
        <v>54.9</v>
      </c>
      <c r="K197" s="114" t="n">
        <v>47.5</v>
      </c>
      <c r="L197" s="54" t="n">
        <v>54.1</v>
      </c>
    </row>
    <row r="198">
      <c r="A198" s="53" t="n">
        <v>41456</v>
      </c>
      <c r="B198" s="54" t="n">
        <v>55.3</v>
      </c>
      <c r="C198" s="55" t="n">
        <v>50.5</v>
      </c>
      <c r="D198" s="55" t="n">
        <v>46.5</v>
      </c>
      <c r="E198" s="114" t="n">
        <v>56.9</v>
      </c>
      <c r="F198" s="55" t="n">
        <v>59.5</v>
      </c>
      <c r="G198" s="52" t="n">
        <v>64</v>
      </c>
      <c r="H198" s="114" t="n">
        <v>53.5</v>
      </c>
      <c r="I198" s="114" t="n">
        <v>52.5</v>
      </c>
      <c r="J198" s="114" t="n">
        <v>53.9</v>
      </c>
      <c r="K198" s="114" t="n">
        <v>49.5</v>
      </c>
      <c r="L198" s="54" t="n">
        <v>54.9</v>
      </c>
    </row>
    <row r="199">
      <c r="A199" s="53" t="n">
        <v>41487</v>
      </c>
      <c r="B199" s="54" t="n">
        <v>57.8</v>
      </c>
      <c r="C199" s="55" t="n">
        <v>55</v>
      </c>
      <c r="D199" s="55" t="n">
        <v>50.5</v>
      </c>
      <c r="E199" s="114" t="n">
        <v>53.2</v>
      </c>
      <c r="F199" s="55" t="n">
        <v>61</v>
      </c>
      <c r="G199" s="52" t="n">
        <v>63.5</v>
      </c>
      <c r="H199" s="114" t="n">
        <v>56</v>
      </c>
      <c r="I199" s="114" t="n">
        <v>54.5</v>
      </c>
      <c r="J199" s="114" t="n">
        <v>56.3</v>
      </c>
      <c r="K199" s="114" t="n">
        <v>50.5</v>
      </c>
      <c r="L199" s="54" t="n">
        <v>56.6</v>
      </c>
    </row>
    <row r="200">
      <c r="A200" s="53" t="n">
        <v>41518</v>
      </c>
      <c r="B200" s="54" t="n">
        <v>57.1</v>
      </c>
      <c r="C200" s="55" t="n">
        <v>51.5</v>
      </c>
      <c r="D200" s="55" t="n">
        <v>50.5</v>
      </c>
      <c r="E200" s="114" t="n">
        <v>57</v>
      </c>
      <c r="F200" s="55" t="n">
        <v>55.8</v>
      </c>
      <c r="G200" s="52" t="n">
        <v>62</v>
      </c>
      <c r="H200" s="114" t="n">
        <v>54.5</v>
      </c>
      <c r="I200" s="114" t="n">
        <v>50</v>
      </c>
      <c r="J200" s="114" t="n">
        <v>54.1</v>
      </c>
      <c r="K200" s="114" t="n">
        <v>57.5</v>
      </c>
      <c r="L200" s="54" t="n">
        <v>53.6</v>
      </c>
    </row>
    <row r="201">
      <c r="A201" s="53" t="n">
        <v>41548</v>
      </c>
      <c r="B201" s="54" t="n">
        <v>56</v>
      </c>
      <c r="C201" s="55" t="n">
        <v>55</v>
      </c>
      <c r="D201" s="55" t="n">
        <v>50</v>
      </c>
      <c r="E201" s="114" t="n">
        <v>56.7</v>
      </c>
      <c r="F201" s="55" t="n">
        <v>58.9</v>
      </c>
      <c r="G201" s="52" t="n">
        <v>62.5</v>
      </c>
      <c r="H201" s="114" t="n">
        <v>54.5</v>
      </c>
      <c r="I201" s="114" t="n">
        <v>49</v>
      </c>
      <c r="J201" s="114" t="n">
        <v>56</v>
      </c>
      <c r="K201" s="114" t="n">
        <v>53</v>
      </c>
      <c r="L201" s="54" t="n">
        <v>54.5</v>
      </c>
    </row>
    <row r="202">
      <c r="A202" s="53" t="n">
        <v>41579</v>
      </c>
      <c r="B202" s="54" t="n">
        <v>55.4</v>
      </c>
      <c r="C202" s="55" t="n">
        <v>55</v>
      </c>
      <c r="D202" s="55" t="n">
        <v>49</v>
      </c>
      <c r="E202" s="114" t="n">
        <v>52.9</v>
      </c>
      <c r="F202" s="55" t="n">
        <v>55.3</v>
      </c>
      <c r="G202" s="52" t="n">
        <v>60.5</v>
      </c>
      <c r="H202" s="114" t="n">
        <v>54</v>
      </c>
      <c r="I202" s="114" t="n">
        <v>51</v>
      </c>
      <c r="J202" s="114" t="n">
        <v>54.5</v>
      </c>
      <c r="K202" s="114" t="n">
        <v>58</v>
      </c>
      <c r="L202" s="54" t="n">
        <v>53.8</v>
      </c>
    </row>
    <row r="203">
      <c r="A203" s="53" t="n">
        <v>41609</v>
      </c>
      <c r="B203" s="54" t="n">
        <v>50.2</v>
      </c>
      <c r="C203" s="55" t="n">
        <v>50.5</v>
      </c>
      <c r="D203" s="55" t="n">
        <v>46</v>
      </c>
      <c r="E203" s="114" t="n">
        <v>56</v>
      </c>
      <c r="F203" s="55" t="n">
        <v>54.3</v>
      </c>
      <c r="G203" s="52" t="n">
        <v>57.5</v>
      </c>
      <c r="H203" s="114" t="n">
        <v>48</v>
      </c>
      <c r="I203" s="114" t="n">
        <v>51.5</v>
      </c>
      <c r="J203" s="114" t="n">
        <v>55.6</v>
      </c>
      <c r="K203" s="114" t="n">
        <v>51.5</v>
      </c>
      <c r="L203" s="54" t="n">
        <v>52.9</v>
      </c>
    </row>
    <row r="204">
      <c r="A204" s="53" t="n">
        <v>41640</v>
      </c>
      <c r="B204" s="54" t="n">
        <v>52.9</v>
      </c>
      <c r="C204" s="55" t="n">
        <v>48</v>
      </c>
      <c r="D204" s="55" t="n">
        <v>49</v>
      </c>
      <c r="E204" s="114" t="n">
        <v>58.1</v>
      </c>
      <c r="F204" s="55" t="n">
        <v>56.3</v>
      </c>
      <c r="G204" s="52" t="n">
        <v>63</v>
      </c>
      <c r="H204" s="114" t="n">
        <v>50.5</v>
      </c>
      <c r="I204" s="114" t="n">
        <v>52.5</v>
      </c>
      <c r="J204" s="114" t="n">
        <v>56.4</v>
      </c>
      <c r="K204" s="114" t="n">
        <v>49</v>
      </c>
      <c r="L204" s="54" t="n">
        <v>54.7</v>
      </c>
    </row>
    <row r="205">
      <c r="A205" s="53" t="n">
        <v>41671</v>
      </c>
      <c r="B205" s="54" t="n">
        <v>54.4</v>
      </c>
      <c r="C205" s="55" t="n">
        <v>47</v>
      </c>
      <c r="D205" s="55" t="n">
        <v>52</v>
      </c>
      <c r="E205" s="114" t="n">
        <v>56.9</v>
      </c>
      <c r="F205" s="55" t="n">
        <v>54.6</v>
      </c>
      <c r="G205" s="52" t="n">
        <v>62</v>
      </c>
      <c r="H205" s="114" t="n">
        <v>50.5</v>
      </c>
      <c r="I205" s="114" t="n">
        <v>53</v>
      </c>
      <c r="J205" s="114" t="n">
        <v>47.5</v>
      </c>
      <c r="K205" s="114" t="n">
        <v>47.5</v>
      </c>
      <c r="L205" s="54" t="n">
        <v>53</v>
      </c>
    </row>
    <row r="206">
      <c r="A206" s="53" t="n">
        <v>41699</v>
      </c>
      <c r="B206" s="54" t="n">
        <v>55.3</v>
      </c>
      <c r="C206" s="55" t="n">
        <v>50.5</v>
      </c>
      <c r="D206" s="55" t="n">
        <v>51.5</v>
      </c>
      <c r="E206" s="114" t="n">
        <v>58.4</v>
      </c>
      <c r="F206" s="55" t="n">
        <v>53.4</v>
      </c>
      <c r="G206" s="52" t="n">
        <v>60.5</v>
      </c>
      <c r="H206" s="114" t="n">
        <v>48</v>
      </c>
      <c r="I206" s="114" t="n">
        <v>52</v>
      </c>
      <c r="J206" s="114" t="n">
        <v>53.6</v>
      </c>
      <c r="K206" s="114" t="n">
        <v>49.5</v>
      </c>
      <c r="L206" s="54" t="n">
        <v>54.2</v>
      </c>
    </row>
    <row r="207">
      <c r="A207" s="53" t="n">
        <v>41730</v>
      </c>
      <c r="B207" s="54" t="n">
        <v>58</v>
      </c>
      <c r="C207" s="55" t="n">
        <v>55.5</v>
      </c>
      <c r="D207" s="55" t="n">
        <v>49</v>
      </c>
      <c r="E207" s="114" t="n">
        <v>60.5</v>
      </c>
      <c r="F207" s="55" t="n">
        <v>60.9</v>
      </c>
      <c r="G207" s="52" t="n">
        <v>65</v>
      </c>
      <c r="H207" s="114" t="n">
        <v>55.5</v>
      </c>
      <c r="I207" s="114" t="n">
        <v>50.5</v>
      </c>
      <c r="J207" s="114" t="n">
        <v>51.3</v>
      </c>
      <c r="K207" s="114" t="n">
        <v>57</v>
      </c>
      <c r="L207" s="54" t="n">
        <v>55.2</v>
      </c>
    </row>
    <row r="208">
      <c r="A208" s="53" t="n">
        <v>41760</v>
      </c>
      <c r="B208" s="54" t="n">
        <v>60.2</v>
      </c>
      <c r="C208" s="55" t="n">
        <v>55.5</v>
      </c>
      <c r="D208" s="55" t="n">
        <v>54</v>
      </c>
      <c r="E208" s="114" t="n">
        <v>58.7</v>
      </c>
      <c r="F208" s="55" t="n">
        <v>62.1</v>
      </c>
      <c r="G208" s="52" t="n">
        <v>63</v>
      </c>
      <c r="H208" s="114" t="n">
        <v>55.5</v>
      </c>
      <c r="I208" s="114" t="n">
        <v>50</v>
      </c>
      <c r="J208" s="114" t="n">
        <v>52.4</v>
      </c>
      <c r="K208" s="114" t="n">
        <v>53</v>
      </c>
      <c r="L208" s="54" t="n">
        <v>56.9</v>
      </c>
    </row>
    <row r="209">
      <c r="A209" s="53" t="n">
        <v>41791</v>
      </c>
      <c r="B209" s="54" t="n">
        <v>60.9</v>
      </c>
      <c r="C209" s="55" t="n">
        <v>53</v>
      </c>
      <c r="D209" s="55" t="n">
        <v>53</v>
      </c>
      <c r="E209" s="114" t="n">
        <v>59.3</v>
      </c>
      <c r="F209" s="55" t="n">
        <v>57.5</v>
      </c>
      <c r="G209" s="52" t="n">
        <v>60.5</v>
      </c>
      <c r="H209" s="114" t="n">
        <v>53.5</v>
      </c>
      <c r="I209" s="114" t="n">
        <v>51</v>
      </c>
      <c r="J209" s="114" t="n">
        <v>54.4</v>
      </c>
      <c r="K209" s="114" t="n">
        <v>55</v>
      </c>
      <c r="L209" s="54" t="n">
        <v>56.6</v>
      </c>
    </row>
    <row r="210">
      <c r="A210" s="53" t="n">
        <v>41821</v>
      </c>
      <c r="B210" s="54" t="n">
        <v>60.7</v>
      </c>
      <c r="C210" s="55" t="n">
        <v>54.5</v>
      </c>
      <c r="D210" s="55" t="n">
        <v>53</v>
      </c>
      <c r="E210" s="114" t="n">
        <v>59.1</v>
      </c>
      <c r="F210" s="55" t="n">
        <v>62.4</v>
      </c>
      <c r="G210" s="52" t="n">
        <v>58</v>
      </c>
      <c r="H210" s="114" t="n">
        <v>51</v>
      </c>
      <c r="I210" s="114" t="n">
        <v>51.5</v>
      </c>
      <c r="J210" s="114" t="n">
        <v>56</v>
      </c>
      <c r="K210" s="114" t="n">
        <v>53</v>
      </c>
      <c r="L210" s="54" t="n">
        <v>57.1</v>
      </c>
    </row>
    <row r="211">
      <c r="A211" s="53" t="n">
        <v>41852</v>
      </c>
      <c r="B211" s="54" t="n">
        <v>61.4</v>
      </c>
      <c r="C211" s="55" t="n">
        <v>51</v>
      </c>
      <c r="D211" s="55" t="n">
        <v>54.5</v>
      </c>
      <c r="E211" s="114" t="n">
        <v>57.5</v>
      </c>
      <c r="F211" s="55" t="n">
        <v>65</v>
      </c>
      <c r="G211" s="52" t="n">
        <v>55</v>
      </c>
      <c r="H211" s="114" t="n">
        <v>51</v>
      </c>
      <c r="I211" s="114" t="n">
        <v>52.5</v>
      </c>
      <c r="J211" s="114" t="n">
        <v>57.1</v>
      </c>
      <c r="K211" s="114" t="n">
        <v>52.5</v>
      </c>
      <c r="L211" s="54" t="n">
        <v>58</v>
      </c>
    </row>
    <row r="212">
      <c r="A212" s="53" t="n">
        <v>41883</v>
      </c>
      <c r="B212" s="54" t="n">
        <v>59.9</v>
      </c>
      <c r="C212" s="55" t="n">
        <v>52.5</v>
      </c>
      <c r="D212" s="55" t="n">
        <v>52</v>
      </c>
      <c r="E212" s="114" t="n">
        <v>55.3</v>
      </c>
      <c r="F212" s="55" t="n">
        <v>62.9</v>
      </c>
      <c r="G212" s="52" t="n">
        <v>60</v>
      </c>
      <c r="H212" s="114" t="n">
        <v>52</v>
      </c>
      <c r="I212" s="114" t="n">
        <v>52</v>
      </c>
      <c r="J212" s="114" t="n">
        <v>58.5</v>
      </c>
      <c r="K212" s="114" t="n">
        <v>57.5</v>
      </c>
      <c r="L212" s="54" t="n">
        <v>57.4</v>
      </c>
    </row>
    <row r="213">
      <c r="A213" s="53" t="n">
        <v>41913</v>
      </c>
      <c r="B213" s="54" t="n">
        <v>58.5</v>
      </c>
      <c r="C213" s="55" t="n">
        <v>56</v>
      </c>
      <c r="D213" s="55" t="n">
        <v>51.5</v>
      </c>
      <c r="E213" s="114" t="n">
        <v>52.3</v>
      </c>
      <c r="F213" s="55" t="n">
        <v>60</v>
      </c>
      <c r="G213" s="52" t="n">
        <v>58.5</v>
      </c>
      <c r="H213" s="114" t="n">
        <v>49.5</v>
      </c>
      <c r="I213" s="114" t="n">
        <v>49.5</v>
      </c>
      <c r="J213" s="114" t="n">
        <v>59.6</v>
      </c>
      <c r="K213" s="114" t="n">
        <v>53.5</v>
      </c>
      <c r="L213" s="54" t="n">
        <v>56</v>
      </c>
    </row>
    <row r="214">
      <c r="A214" s="53" t="n">
        <v>41944</v>
      </c>
      <c r="B214" s="54" t="n">
        <v>61.4</v>
      </c>
      <c r="C214" s="55" t="n">
        <v>53.5</v>
      </c>
      <c r="D214" s="55" t="n">
        <v>55.5</v>
      </c>
      <c r="E214" s="114" t="n">
        <v>54.3</v>
      </c>
      <c r="F214" s="55" t="n">
        <v>64.40000000000001</v>
      </c>
      <c r="G214" s="52" t="n">
        <v>63</v>
      </c>
      <c r="H214" s="114" t="n">
        <v>55.5</v>
      </c>
      <c r="I214" s="114" t="n">
        <v>54.5</v>
      </c>
      <c r="J214" s="114" t="n">
        <v>56.7</v>
      </c>
      <c r="K214" s="114" t="n">
        <v>57</v>
      </c>
      <c r="L214" s="54" t="n">
        <v>58.7</v>
      </c>
    </row>
    <row r="215">
      <c r="A215" s="53" t="n">
        <v>41974</v>
      </c>
      <c r="B215" s="54" t="n">
        <v>58.7</v>
      </c>
      <c r="C215" s="55" t="n">
        <v>50</v>
      </c>
      <c r="D215" s="55" t="n">
        <v>49.5</v>
      </c>
      <c r="E215" s="114" t="n">
        <v>50.3</v>
      </c>
      <c r="F215" s="55" t="n">
        <v>57.2</v>
      </c>
      <c r="G215" s="52" t="n">
        <v>59</v>
      </c>
      <c r="H215" s="114" t="n">
        <v>50</v>
      </c>
      <c r="I215" s="114" t="n">
        <v>52.5</v>
      </c>
      <c r="J215" s="114" t="n">
        <v>56</v>
      </c>
      <c r="K215" s="114" t="n">
        <v>53.5</v>
      </c>
      <c r="L215" s="54" t="n">
        <v>56.4</v>
      </c>
    </row>
    <row r="216">
      <c r="A216" s="53" t="n">
        <v>42005</v>
      </c>
      <c r="B216" s="54" t="n">
        <v>60.5</v>
      </c>
      <c r="C216" s="55" t="n">
        <v>46.5</v>
      </c>
      <c r="D216" s="55" t="n">
        <v>49</v>
      </c>
      <c r="E216" s="114" t="n">
        <v>47.1</v>
      </c>
      <c r="F216" s="55" t="n">
        <v>61.5</v>
      </c>
      <c r="G216" s="52" t="n">
        <v>61.5</v>
      </c>
      <c r="H216" s="114" t="n">
        <v>52.5</v>
      </c>
      <c r="I216" s="114" t="n">
        <v>54</v>
      </c>
      <c r="J216" s="114" t="n">
        <v>51.6</v>
      </c>
      <c r="K216" s="114" t="n">
        <v>52.5</v>
      </c>
      <c r="L216" s="54" t="n">
        <v>57.3</v>
      </c>
    </row>
    <row r="217">
      <c r="A217" s="53" t="n">
        <v>42036</v>
      </c>
      <c r="B217" s="54" t="n">
        <v>58.8</v>
      </c>
      <c r="C217" s="55" t="n">
        <v>51</v>
      </c>
      <c r="D217" s="55" t="n">
        <v>53</v>
      </c>
      <c r="E217" s="114" t="n">
        <v>50.7</v>
      </c>
      <c r="F217" s="55" t="n">
        <v>59.4</v>
      </c>
      <c r="G217" s="52" t="n">
        <v>62</v>
      </c>
      <c r="H217" s="114" t="n">
        <v>54.5</v>
      </c>
      <c r="I217" s="114" t="n">
        <v>55</v>
      </c>
      <c r="J217" s="114" t="n">
        <v>56.4</v>
      </c>
      <c r="K217" s="114" t="n">
        <v>53</v>
      </c>
      <c r="L217" s="54" t="n">
        <v>57.6</v>
      </c>
    </row>
    <row r="218">
      <c r="A218" s="53" t="n">
        <v>42064</v>
      </c>
      <c r="B218" s="54" t="n">
        <v>58.9</v>
      </c>
      <c r="C218" s="55" t="n">
        <v>55.5</v>
      </c>
      <c r="D218" s="55" t="n">
        <v>53.5</v>
      </c>
      <c r="E218" s="114" t="n">
        <v>53.3</v>
      </c>
      <c r="F218" s="55" t="n">
        <v>57.5</v>
      </c>
      <c r="G218" s="52" t="n">
        <v>61</v>
      </c>
      <c r="H218" s="114" t="n">
        <v>49.5</v>
      </c>
      <c r="I218" s="114" t="n">
        <v>54</v>
      </c>
      <c r="J218" s="114" t="n">
        <v>56.6</v>
      </c>
      <c r="K218" s="114" t="n">
        <v>59</v>
      </c>
      <c r="L218" s="54" t="n">
        <v>57.5</v>
      </c>
    </row>
    <row r="219">
      <c r="A219" s="53" t="n">
        <v>42095</v>
      </c>
      <c r="B219" s="54" t="n">
        <v>58.7</v>
      </c>
      <c r="C219" s="55" t="n">
        <v>51.5</v>
      </c>
      <c r="D219" s="55" t="n">
        <v>54.5</v>
      </c>
      <c r="E219" s="114" t="n">
        <v>50.2</v>
      </c>
      <c r="F219" s="55" t="n">
        <v>61.6</v>
      </c>
      <c r="G219" s="52" t="n">
        <v>59.5</v>
      </c>
      <c r="H219" s="114" t="n">
        <v>51</v>
      </c>
      <c r="I219" s="114" t="n">
        <v>53.5</v>
      </c>
      <c r="J219" s="114" t="n">
        <v>56.7</v>
      </c>
      <c r="K219" s="114" t="n">
        <v>48.5</v>
      </c>
      <c r="L219" s="54" t="n">
        <v>57.5</v>
      </c>
    </row>
    <row r="220">
      <c r="A220" s="53" t="n">
        <v>42125</v>
      </c>
      <c r="B220" s="54" t="n">
        <v>58.4</v>
      </c>
      <c r="C220" s="55" t="n">
        <v>53.5</v>
      </c>
      <c r="D220" s="55" t="n">
        <v>48.5</v>
      </c>
      <c r="E220" s="114" t="n">
        <v>54</v>
      </c>
      <c r="F220" s="55" t="n">
        <v>59.5</v>
      </c>
      <c r="G220" s="52" t="n">
        <v>59</v>
      </c>
      <c r="H220" s="114" t="n">
        <v>51</v>
      </c>
      <c r="I220" s="114" t="n">
        <v>50</v>
      </c>
      <c r="J220" s="114" t="n">
        <v>55.3</v>
      </c>
      <c r="K220" s="114" t="n">
        <v>55</v>
      </c>
      <c r="L220" s="54" t="n">
        <v>56.8</v>
      </c>
    </row>
    <row r="221">
      <c r="A221" s="53" t="n">
        <v>42156</v>
      </c>
      <c r="B221" s="54" t="n">
        <v>58.3</v>
      </c>
      <c r="C221" s="114" t="n">
        <v>48</v>
      </c>
      <c r="D221" s="55" t="n">
        <v>50.5</v>
      </c>
      <c r="E221" s="114" t="n">
        <v>52.3</v>
      </c>
      <c r="F221" s="114" t="n">
        <v>61.5</v>
      </c>
      <c r="G221" s="52" t="n">
        <v>65</v>
      </c>
      <c r="H221" s="114" t="n">
        <v>55</v>
      </c>
      <c r="I221" s="114" t="n">
        <v>51.5</v>
      </c>
      <c r="J221" s="114" t="n">
        <v>52.7</v>
      </c>
      <c r="K221" s="114" t="n">
        <v>52</v>
      </c>
      <c r="L221" s="54" t="n">
        <v>56</v>
      </c>
    </row>
    <row r="222">
      <c r="A222" s="53" t="n">
        <v>42186</v>
      </c>
      <c r="B222" s="54" t="n">
        <v>60.9</v>
      </c>
      <c r="C222" s="114" t="n">
        <v>50.5</v>
      </c>
      <c r="D222" s="55" t="n">
        <v>54</v>
      </c>
      <c r="E222" s="114" t="n">
        <v>52.8</v>
      </c>
      <c r="F222" s="114" t="n">
        <v>64.90000000000001</v>
      </c>
      <c r="G222" s="52" t="n">
        <v>63.5</v>
      </c>
      <c r="H222" s="114" t="n">
        <v>57</v>
      </c>
      <c r="I222" s="114" t="n">
        <v>53</v>
      </c>
      <c r="J222" s="114" t="n">
        <v>59.6</v>
      </c>
      <c r="K222" s="114" t="n">
        <v>56.5</v>
      </c>
      <c r="L222" s="54" t="n">
        <v>59.3</v>
      </c>
    </row>
    <row r="223">
      <c r="A223" s="53" t="n">
        <v>42217</v>
      </c>
      <c r="B223" s="54" t="n">
        <v>62.7</v>
      </c>
      <c r="C223" s="114" t="n">
        <v>51.5</v>
      </c>
      <c r="D223" s="55" t="n">
        <v>56.5</v>
      </c>
      <c r="E223" s="114" t="n">
        <v>50.9</v>
      </c>
      <c r="F223" s="114" t="n">
        <v>63.9</v>
      </c>
      <c r="G223" s="52" t="n">
        <v>69</v>
      </c>
      <c r="H223" s="114" t="n">
        <v>54.5</v>
      </c>
      <c r="I223" s="114" t="n">
        <v>52.5</v>
      </c>
      <c r="J223" s="114" t="n">
        <v>56</v>
      </c>
      <c r="K223" s="114" t="n">
        <v>52</v>
      </c>
      <c r="L223" s="54" t="n">
        <v>58.4</v>
      </c>
    </row>
    <row r="224">
      <c r="A224" s="53" t="n">
        <v>42248</v>
      </c>
      <c r="B224" s="54" t="n">
        <v>56</v>
      </c>
      <c r="C224" s="114" t="n">
        <v>53</v>
      </c>
      <c r="D224" s="55" t="n">
        <v>54.5</v>
      </c>
      <c r="E224" s="114" t="n">
        <v>48.7</v>
      </c>
      <c r="F224" s="114" t="n">
        <v>60.2</v>
      </c>
      <c r="G224" s="52" t="n">
        <v>65</v>
      </c>
      <c r="H224" s="114" t="n">
        <v>51</v>
      </c>
      <c r="I224" s="114" t="n">
        <v>52.5</v>
      </c>
      <c r="J224" s="114" t="n">
        <v>58.3</v>
      </c>
      <c r="K224" s="114" t="n">
        <v>52.5</v>
      </c>
      <c r="L224" s="54" t="n">
        <v>56.1</v>
      </c>
    </row>
    <row r="225">
      <c r="A225" s="53" t="n">
        <v>42278</v>
      </c>
      <c r="B225" s="54" t="n">
        <v>61</v>
      </c>
      <c r="C225" s="114" t="n">
        <v>54.5</v>
      </c>
      <c r="D225" s="55" t="n">
        <v>54.5</v>
      </c>
      <c r="E225" s="114" t="n">
        <v>48.4</v>
      </c>
      <c r="F225" s="114" t="n">
        <v>63</v>
      </c>
      <c r="G225" s="52" t="n">
        <v>63</v>
      </c>
      <c r="H225" s="114" t="n">
        <v>52.5</v>
      </c>
      <c r="I225" s="114" t="n">
        <v>52</v>
      </c>
      <c r="J225" s="114" t="n">
        <v>59.2</v>
      </c>
      <c r="K225" s="114" t="n">
        <v>54.5</v>
      </c>
      <c r="L225" s="54" t="n">
        <v>57.9</v>
      </c>
    </row>
    <row r="226">
      <c r="A226" s="53" t="n">
        <v>42309</v>
      </c>
      <c r="B226" s="54" t="n">
        <v>58.2</v>
      </c>
      <c r="C226" s="114" t="n">
        <v>51</v>
      </c>
      <c r="D226" s="55" t="n">
        <v>51.5</v>
      </c>
      <c r="E226" s="114" t="n">
        <v>49.1</v>
      </c>
      <c r="F226" s="114" t="n">
        <v>58.2</v>
      </c>
      <c r="G226" s="52" t="n">
        <v>63.5</v>
      </c>
      <c r="H226" s="114" t="n">
        <v>54.5</v>
      </c>
      <c r="I226" s="114" t="n">
        <v>53</v>
      </c>
      <c r="J226" s="114" t="n">
        <v>55</v>
      </c>
      <c r="K226" s="114" t="n">
        <v>49.5</v>
      </c>
      <c r="L226" s="54" t="n">
        <v>55.8</v>
      </c>
    </row>
    <row r="227">
      <c r="A227" s="53" t="n">
        <v>42339</v>
      </c>
      <c r="B227" s="54" t="n">
        <v>57.9</v>
      </c>
      <c r="C227" s="114" t="n">
        <v>49</v>
      </c>
      <c r="D227" s="55" t="n">
        <v>50</v>
      </c>
      <c r="E227" s="114" t="n">
        <v>50.1</v>
      </c>
      <c r="F227" s="114" t="n">
        <v>58.7</v>
      </c>
      <c r="G227" s="52" t="n">
        <v>64.5</v>
      </c>
      <c r="H227" s="114" t="n">
        <v>53</v>
      </c>
      <c r="I227" s="114" t="n">
        <v>48.5</v>
      </c>
      <c r="J227" s="114" t="n">
        <v>55.7</v>
      </c>
      <c r="K227" s="114" t="n">
        <v>53.5</v>
      </c>
      <c r="L227" s="54" t="n">
        <v>55.3</v>
      </c>
    </row>
    <row r="228">
      <c r="A228" s="53" t="n">
        <v>42370</v>
      </c>
      <c r="B228" s="54" t="n">
        <v>57</v>
      </c>
      <c r="C228" s="114" t="n">
        <v>46</v>
      </c>
      <c r="D228" s="55" t="n">
        <v>52</v>
      </c>
      <c r="E228" s="114" t="n">
        <v>47.3</v>
      </c>
      <c r="F228" s="114" t="n">
        <v>53.9</v>
      </c>
      <c r="G228" s="52" t="n">
        <v>61.5</v>
      </c>
      <c r="H228" s="114" t="n">
        <v>51.5</v>
      </c>
      <c r="I228" s="114" t="n">
        <v>51.5</v>
      </c>
      <c r="J228" s="114" t="n">
        <v>52.1</v>
      </c>
      <c r="K228" s="114" t="n">
        <v>45.5</v>
      </c>
      <c r="L228" s="54" t="n">
        <v>54</v>
      </c>
    </row>
    <row r="229">
      <c r="A229" s="53" t="n">
        <v>42401</v>
      </c>
      <c r="B229" s="54" t="n">
        <v>56.8</v>
      </c>
      <c r="C229" s="114" t="n">
        <v>55.5</v>
      </c>
      <c r="D229" s="55" t="n">
        <v>52</v>
      </c>
      <c r="E229" s="114" t="n">
        <v>45.6</v>
      </c>
      <c r="F229" s="114" t="n">
        <v>57.8</v>
      </c>
      <c r="G229" s="52" t="n">
        <v>62</v>
      </c>
      <c r="H229" s="114" t="n">
        <v>52.5</v>
      </c>
      <c r="I229" s="114" t="n">
        <v>50.5</v>
      </c>
      <c r="J229" s="114" t="n">
        <v>49.7</v>
      </c>
      <c r="K229" s="114" t="n">
        <v>53.5</v>
      </c>
      <c r="L229" s="54" t="n">
        <v>54</v>
      </c>
    </row>
    <row r="230">
      <c r="A230" s="53" t="n">
        <v>42430</v>
      </c>
      <c r="B230" s="54" t="n">
        <v>57.4</v>
      </c>
      <c r="C230" s="114" t="n">
        <v>53</v>
      </c>
      <c r="D230" s="55" t="n">
        <v>52</v>
      </c>
      <c r="E230" s="114" t="n">
        <v>50.4</v>
      </c>
      <c r="F230" s="114" t="n">
        <v>59.8</v>
      </c>
      <c r="G230" s="52" t="n">
        <v>62.5</v>
      </c>
      <c r="H230" s="114" t="n">
        <v>52.5</v>
      </c>
      <c r="I230" s="114" t="n">
        <v>51</v>
      </c>
      <c r="J230" s="114" t="n">
        <v>50.3</v>
      </c>
      <c r="K230" s="114" t="n">
        <v>58.5</v>
      </c>
      <c r="L230" s="54" t="n">
        <v>55.2</v>
      </c>
    </row>
    <row r="231">
      <c r="A231" s="53" t="n">
        <v>42461</v>
      </c>
      <c r="B231" s="54" t="n">
        <v>59.5</v>
      </c>
      <c r="C231" s="114" t="n">
        <v>54</v>
      </c>
      <c r="D231" s="55" t="n">
        <v>51.5</v>
      </c>
      <c r="E231" s="114" t="n">
        <v>53.6</v>
      </c>
      <c r="F231" s="114" t="n">
        <v>58.8</v>
      </c>
      <c r="G231" s="52" t="n">
        <v>61</v>
      </c>
      <c r="H231" s="114" t="n">
        <v>54</v>
      </c>
      <c r="I231" s="114" t="n">
        <v>51</v>
      </c>
      <c r="J231" s="114" t="n">
        <v>53</v>
      </c>
      <c r="K231" s="114" t="n">
        <v>56.5</v>
      </c>
      <c r="L231" s="54" t="n">
        <v>55.6</v>
      </c>
    </row>
    <row r="232">
      <c r="A232" s="53" t="n">
        <v>42491</v>
      </c>
      <c r="B232" s="54" t="n">
        <v>54.8</v>
      </c>
      <c r="C232" s="114" t="n">
        <v>53.5</v>
      </c>
      <c r="D232" s="55" t="n">
        <v>50</v>
      </c>
      <c r="E232" s="114" t="n">
        <v>55.5</v>
      </c>
      <c r="F232" s="114" t="n">
        <v>55.1</v>
      </c>
      <c r="G232" s="52" t="n">
        <v>60</v>
      </c>
      <c r="H232" s="114" t="n">
        <v>54</v>
      </c>
      <c r="I232" s="114" t="n">
        <v>52.5</v>
      </c>
      <c r="J232" s="114" t="n">
        <v>49.7</v>
      </c>
      <c r="K232" s="114" t="n">
        <v>49</v>
      </c>
      <c r="L232" s="54" t="n">
        <v>53.8</v>
      </c>
    </row>
    <row r="233">
      <c r="A233" s="53" t="n">
        <v>42522</v>
      </c>
      <c r="B233" s="54" t="n">
        <v>58.9</v>
      </c>
      <c r="C233" s="114" t="n">
        <v>54</v>
      </c>
      <c r="D233" s="55" t="n">
        <v>47.5</v>
      </c>
      <c r="E233" s="114" t="n">
        <v>55.7</v>
      </c>
      <c r="F233" s="114" t="n">
        <v>59.5</v>
      </c>
      <c r="G233" s="52" t="n">
        <v>62.5</v>
      </c>
      <c r="H233" s="114" t="n">
        <v>55.5</v>
      </c>
      <c r="I233" s="114" t="n">
        <v>54</v>
      </c>
      <c r="J233" s="114" t="n">
        <v>52.7</v>
      </c>
      <c r="K233" s="114" t="n">
        <v>53</v>
      </c>
      <c r="L233" s="54" t="n">
        <v>56</v>
      </c>
    </row>
    <row r="234">
      <c r="A234" s="53" t="n">
        <v>42552</v>
      </c>
      <c r="B234" s="54" t="n">
        <v>58.5</v>
      </c>
      <c r="C234" s="114" t="n">
        <v>53</v>
      </c>
      <c r="D234" s="55" t="n">
        <v>51</v>
      </c>
      <c r="E234" s="114" t="n">
        <v>52.7</v>
      </c>
      <c r="F234" s="114" t="n">
        <v>59.3</v>
      </c>
      <c r="G234" s="52" t="n">
        <v>63</v>
      </c>
      <c r="H234" s="114" t="n">
        <v>54</v>
      </c>
      <c r="I234" s="114" t="n">
        <v>51</v>
      </c>
      <c r="J234" s="114" t="n">
        <v>51.4</v>
      </c>
      <c r="K234" s="114" t="n">
        <v>55.5</v>
      </c>
      <c r="L234" s="54" t="n">
        <v>55.2</v>
      </c>
    </row>
    <row r="235">
      <c r="A235" s="53" t="n">
        <v>42583</v>
      </c>
      <c r="B235" s="54" t="n">
        <v>52</v>
      </c>
      <c r="C235" s="114" t="n">
        <v>50.5</v>
      </c>
      <c r="D235" s="55" t="n">
        <v>49.5</v>
      </c>
      <c r="E235" s="114" t="n">
        <v>52</v>
      </c>
      <c r="F235" s="114" t="n">
        <v>51.8</v>
      </c>
      <c r="G235" s="52" t="n">
        <v>64</v>
      </c>
      <c r="H235" s="114" t="n">
        <v>48</v>
      </c>
      <c r="I235" s="114" t="n">
        <v>51.5</v>
      </c>
      <c r="J235" s="114" t="n">
        <v>50.7</v>
      </c>
      <c r="K235" s="114" t="n">
        <v>46.5</v>
      </c>
      <c r="L235" s="54" t="n">
        <v>51.6</v>
      </c>
    </row>
    <row r="236">
      <c r="A236" s="53" t="n">
        <v>42614</v>
      </c>
      <c r="B236" s="54" t="n">
        <v>59.6</v>
      </c>
      <c r="C236" s="114" t="n">
        <v>51</v>
      </c>
      <c r="D236" s="55" t="n">
        <v>52</v>
      </c>
      <c r="E236" s="114" t="n">
        <v>53.4</v>
      </c>
      <c r="F236" s="114" t="n">
        <v>60.3</v>
      </c>
      <c r="G236" s="52" t="n">
        <v>64.5</v>
      </c>
      <c r="H236" s="114" t="n">
        <v>51.5</v>
      </c>
      <c r="I236" s="114" t="n">
        <v>51</v>
      </c>
      <c r="J236" s="114" t="n">
        <v>57.2</v>
      </c>
      <c r="K236" s="114" t="n">
        <v>56.5</v>
      </c>
      <c r="L236" s="54" t="n">
        <v>56.3</v>
      </c>
    </row>
    <row r="237">
      <c r="A237" s="53" t="n">
        <v>42644</v>
      </c>
      <c r="B237" s="54" t="n">
        <v>57.7</v>
      </c>
      <c r="C237" s="114" t="n">
        <v>53</v>
      </c>
      <c r="D237" s="55" t="n">
        <v>52</v>
      </c>
      <c r="E237" s="114" t="n">
        <v>54.9</v>
      </c>
      <c r="F237" s="114" t="n">
        <v>57.7</v>
      </c>
      <c r="G237" s="52" t="n">
        <v>62</v>
      </c>
      <c r="H237" s="114" t="n">
        <v>52</v>
      </c>
      <c r="I237" s="114" t="n">
        <v>50.5</v>
      </c>
      <c r="J237" s="114" t="n">
        <v>53.1</v>
      </c>
      <c r="K237" s="114" t="n">
        <v>55.5</v>
      </c>
      <c r="L237" s="54" t="n">
        <v>54.4</v>
      </c>
    </row>
    <row r="238">
      <c r="A238" s="53" t="n">
        <v>42675</v>
      </c>
      <c r="B238" s="54" t="n">
        <v>57.4</v>
      </c>
      <c r="C238" s="114" t="n">
        <v>54</v>
      </c>
      <c r="D238" s="55" t="n">
        <v>51</v>
      </c>
      <c r="E238" s="114" t="n">
        <v>55</v>
      </c>
      <c r="F238" s="114" t="n">
        <v>61.7</v>
      </c>
      <c r="G238" s="52" t="n">
        <v>60.5</v>
      </c>
      <c r="H238" s="114" t="n">
        <v>51.5</v>
      </c>
      <c r="I238" s="114" t="n">
        <v>52</v>
      </c>
      <c r="J238" s="114" t="n">
        <v>58.2</v>
      </c>
      <c r="K238" s="114" t="n">
        <v>57</v>
      </c>
      <c r="L238" s="54" t="n">
        <v>56.2</v>
      </c>
    </row>
    <row r="239">
      <c r="A239" s="53" t="n">
        <v>42705</v>
      </c>
      <c r="B239" s="54" t="n">
        <v>60.7</v>
      </c>
      <c r="C239" s="114" t="n">
        <v>50</v>
      </c>
      <c r="D239" s="55" t="n">
        <v>48</v>
      </c>
      <c r="E239" s="114" t="n">
        <v>55.4</v>
      </c>
      <c r="F239" s="114" t="n">
        <v>61.4</v>
      </c>
      <c r="G239" s="52" t="n">
        <v>61.5</v>
      </c>
      <c r="H239" s="114" t="n">
        <v>52</v>
      </c>
      <c r="I239" s="114" t="n">
        <v>52</v>
      </c>
      <c r="J239" s="114" t="n">
        <v>53.8</v>
      </c>
      <c r="K239" s="114" t="n">
        <v>53</v>
      </c>
      <c r="L239" s="54" t="n">
        <v>56.7</v>
      </c>
    </row>
    <row r="240">
      <c r="A240" s="53" t="n">
        <v>42736</v>
      </c>
      <c r="B240" s="54" t="n">
        <v>58.6</v>
      </c>
      <c r="C240" s="114" t="n">
        <v>54</v>
      </c>
      <c r="D240" s="55" t="n">
        <v>50</v>
      </c>
      <c r="E240" s="114" t="n">
        <v>57.5</v>
      </c>
      <c r="F240" s="114" t="n">
        <v>60.3</v>
      </c>
      <c r="G240" s="52" t="n">
        <v>62</v>
      </c>
      <c r="H240" s="114" t="n">
        <v>48</v>
      </c>
      <c r="I240" s="114" t="n">
        <v>52.5</v>
      </c>
      <c r="J240" s="114" t="n">
        <v>54.7</v>
      </c>
      <c r="K240" s="114" t="n">
        <v>48</v>
      </c>
      <c r="L240" s="54" t="n">
        <v>56.8</v>
      </c>
    </row>
    <row r="241">
      <c r="A241" s="53" t="n">
        <v>42767</v>
      </c>
      <c r="B241" s="54" t="n">
        <v>61.2</v>
      </c>
      <c r="C241" s="114" t="n">
        <v>51</v>
      </c>
      <c r="D241" s="55" t="n">
        <v>54</v>
      </c>
      <c r="E241" s="114" t="n">
        <v>57.1</v>
      </c>
      <c r="F241" s="114" t="n">
        <v>63.6</v>
      </c>
      <c r="G241" s="52" t="n">
        <v>64.5</v>
      </c>
      <c r="H241" s="114" t="n">
        <v>52</v>
      </c>
      <c r="I241" s="114" t="n">
        <v>50.5</v>
      </c>
      <c r="J241" s="114" t="n">
        <v>55.2</v>
      </c>
      <c r="K241" s="114" t="n">
        <v>57</v>
      </c>
      <c r="L241" s="54" t="n">
        <v>57.4</v>
      </c>
    </row>
    <row r="242">
      <c r="A242" s="53" t="n">
        <v>42795</v>
      </c>
      <c r="B242" s="54" t="n">
        <v>58.9</v>
      </c>
      <c r="C242" s="114" t="n">
        <v>56.5</v>
      </c>
      <c r="D242" s="55" t="n">
        <v>53</v>
      </c>
      <c r="E242" s="114" t="n">
        <v>54.3</v>
      </c>
      <c r="F242" s="114" t="n">
        <v>58.9</v>
      </c>
      <c r="G242" s="52" t="n">
        <v>65</v>
      </c>
      <c r="H242" s="114" t="n">
        <v>48.5</v>
      </c>
      <c r="I242" s="114" t="n">
        <v>51.5</v>
      </c>
      <c r="J242" s="114" t="n">
        <v>51.6</v>
      </c>
      <c r="K242" s="114" t="n">
        <v>62.5</v>
      </c>
      <c r="L242" s="54" t="n">
        <v>55.6</v>
      </c>
    </row>
    <row r="243">
      <c r="A243" s="53" t="n">
        <v>42826</v>
      </c>
      <c r="B243" s="54" t="n">
        <v>63.2</v>
      </c>
      <c r="C243" s="114" t="n">
        <v>53</v>
      </c>
      <c r="D243" s="55" t="n">
        <v>53.5</v>
      </c>
      <c r="E243" s="114" t="n">
        <v>58</v>
      </c>
      <c r="F243" s="114" t="n">
        <v>62.4</v>
      </c>
      <c r="G243" s="52" t="n">
        <v>60</v>
      </c>
      <c r="H243" s="114" t="n">
        <v>52.5</v>
      </c>
      <c r="I243" s="114" t="n">
        <v>53</v>
      </c>
      <c r="J243" s="114" t="n">
        <v>51.4</v>
      </c>
      <c r="K243" s="114" t="n">
        <v>65.5</v>
      </c>
      <c r="L243" s="54" t="n">
        <v>57.3</v>
      </c>
    </row>
    <row r="244">
      <c r="A244" s="53" t="n">
        <v>42856</v>
      </c>
      <c r="B244" s="54" t="n">
        <v>57.7</v>
      </c>
      <c r="C244" s="114" t="n">
        <v>48.5</v>
      </c>
      <c r="D244" s="55" t="n">
        <v>57</v>
      </c>
      <c r="E244" s="114" t="n">
        <v>50.1</v>
      </c>
      <c r="F244" s="114" t="n">
        <v>60.7</v>
      </c>
      <c r="G244" s="52" t="n">
        <v>63</v>
      </c>
      <c r="H244" s="114" t="n">
        <v>54</v>
      </c>
      <c r="I244" s="114" t="n">
        <v>51.5</v>
      </c>
      <c r="J244" s="114" t="n">
        <v>57.8</v>
      </c>
      <c r="K244" s="114" t="n">
        <v>54.5</v>
      </c>
      <c r="L244" s="54" t="n">
        <v>57.1</v>
      </c>
    </row>
    <row r="245">
      <c r="A245" s="53" t="n">
        <v>42887</v>
      </c>
      <c r="B245" s="54" t="n">
        <v>60.5</v>
      </c>
      <c r="C245" s="114" t="n">
        <v>51</v>
      </c>
      <c r="D245" s="55" t="n">
        <v>52.5</v>
      </c>
      <c r="E245" s="114" t="n">
        <v>53.3</v>
      </c>
      <c r="F245" s="114" t="n">
        <v>60.8</v>
      </c>
      <c r="G245" s="52" t="n">
        <v>62</v>
      </c>
      <c r="H245" s="114" t="n">
        <v>57.5</v>
      </c>
      <c r="I245" s="114" t="n">
        <v>52.5</v>
      </c>
      <c r="J245" s="114" t="n">
        <v>55.8</v>
      </c>
      <c r="K245" s="114" t="n">
        <v>55</v>
      </c>
      <c r="L245" s="54" t="n">
        <v>57.2</v>
      </c>
    </row>
    <row r="246">
      <c r="A246" s="53" t="n">
        <v>42917</v>
      </c>
      <c r="B246" s="54" t="n">
        <v>55.1</v>
      </c>
      <c r="C246" s="114" t="n">
        <v>51.5</v>
      </c>
      <c r="D246" s="55" t="n">
        <v>52</v>
      </c>
      <c r="E246" s="114" t="n">
        <v>56.4</v>
      </c>
      <c r="F246" s="114" t="n">
        <v>55.9</v>
      </c>
      <c r="G246" s="52" t="n">
        <v>67.5</v>
      </c>
      <c r="H246" s="114" t="n">
        <v>56.5</v>
      </c>
      <c r="I246" s="114" t="n">
        <v>51</v>
      </c>
      <c r="J246" s="114" t="n">
        <v>53.6</v>
      </c>
      <c r="K246" s="114" t="n">
        <v>53</v>
      </c>
      <c r="L246" s="54" t="n">
        <v>54.3</v>
      </c>
    </row>
    <row r="247">
      <c r="A247" s="53" t="n">
        <v>42948</v>
      </c>
      <c r="B247" s="54" t="n">
        <v>57.1</v>
      </c>
      <c r="C247" s="114" t="n">
        <v>50.5</v>
      </c>
      <c r="D247" s="55" t="n">
        <v>53.5</v>
      </c>
      <c r="E247" s="114" t="n">
        <v>58.1</v>
      </c>
      <c r="F247" s="114" t="n">
        <v>57.5</v>
      </c>
      <c r="G247" s="52" t="n">
        <v>61</v>
      </c>
      <c r="H247" s="114" t="n">
        <v>53.5</v>
      </c>
      <c r="I247" s="114" t="n">
        <v>50.5</v>
      </c>
      <c r="J247" s="114" t="n">
        <v>56.2</v>
      </c>
      <c r="K247" s="114" t="n">
        <v>55</v>
      </c>
      <c r="L247" s="54" t="n">
        <v>55.2</v>
      </c>
    </row>
    <row r="248">
      <c r="A248" s="53" t="n">
        <v>42979</v>
      </c>
      <c r="B248" s="54" t="n">
        <v>63</v>
      </c>
      <c r="C248" s="114" t="n">
        <v>52</v>
      </c>
      <c r="D248" s="55" t="n">
        <v>56</v>
      </c>
      <c r="E248" s="114" t="n">
        <v>65.90000000000001</v>
      </c>
      <c r="F248" s="114" t="n">
        <v>61.3</v>
      </c>
      <c r="G248" s="52" t="n">
        <v>58.5</v>
      </c>
      <c r="H248" s="114" t="n">
        <v>51.5</v>
      </c>
      <c r="I248" s="114" t="n">
        <v>58</v>
      </c>
      <c r="J248" s="114" t="n">
        <v>56.8</v>
      </c>
      <c r="K248" s="114" t="n">
        <v>56</v>
      </c>
      <c r="L248" s="54" t="n">
        <v>59.4</v>
      </c>
    </row>
    <row r="249">
      <c r="A249" s="53" t="n">
        <v>43009</v>
      </c>
      <c r="B249" s="54" t="n">
        <v>62.8</v>
      </c>
      <c r="C249" s="114" t="n">
        <v>52</v>
      </c>
      <c r="D249" s="55" t="n">
        <v>53.5</v>
      </c>
      <c r="E249" s="114" t="n">
        <v>61.5</v>
      </c>
      <c r="F249" s="114" t="n">
        <v>62.2</v>
      </c>
      <c r="G249" s="52" t="n">
        <v>61</v>
      </c>
      <c r="H249" s="114" t="n">
        <v>52.5</v>
      </c>
      <c r="I249" s="114" t="n">
        <v>58</v>
      </c>
      <c r="J249" s="114" t="n">
        <v>57.5</v>
      </c>
      <c r="K249" s="114" t="n">
        <v>60</v>
      </c>
      <c r="L249" s="54" t="n">
        <v>59.8</v>
      </c>
    </row>
    <row r="250">
      <c r="A250" s="53" t="n">
        <v>43040</v>
      </c>
      <c r="B250" s="54" t="n">
        <v>58.7</v>
      </c>
      <c r="C250" s="114" t="n">
        <v>52.5</v>
      </c>
      <c r="D250" s="55" t="n">
        <v>51.5</v>
      </c>
      <c r="E250" s="114" t="n">
        <v>60.1</v>
      </c>
      <c r="F250" s="114" t="n">
        <v>61.4</v>
      </c>
      <c r="G250" s="52" t="n">
        <v>56</v>
      </c>
      <c r="H250" s="114" t="n">
        <v>54.5</v>
      </c>
      <c r="I250" s="114" t="n">
        <v>54</v>
      </c>
      <c r="J250" s="114" t="n">
        <v>55.3</v>
      </c>
      <c r="K250" s="114" t="n">
        <v>57</v>
      </c>
      <c r="L250" s="54" t="n">
        <v>57.3</v>
      </c>
    </row>
    <row r="251">
      <c r="A251" s="53" t="n">
        <v>43070</v>
      </c>
      <c r="B251" s="54" t="n">
        <v>54.3</v>
      </c>
      <c r="C251" s="114" t="n">
        <v>52.5</v>
      </c>
      <c r="D251" s="55" t="n">
        <v>50</v>
      </c>
      <c r="E251" s="114" t="n">
        <v>59.9</v>
      </c>
      <c r="F251" s="114" t="n">
        <v>57.3</v>
      </c>
      <c r="G251" s="52" t="n">
        <v>62.5</v>
      </c>
      <c r="H251" s="114" t="n">
        <v>53.5</v>
      </c>
      <c r="I251" s="114" t="n">
        <v>55.5</v>
      </c>
      <c r="J251" s="114" t="n">
        <v>56.3</v>
      </c>
      <c r="K251" s="114" t="n">
        <v>56.5</v>
      </c>
      <c r="L251" s="54" t="n">
        <v>56</v>
      </c>
    </row>
    <row r="252">
      <c r="A252" s="53" t="n">
        <v>43101</v>
      </c>
      <c r="B252" s="54" t="n">
        <v>62.7</v>
      </c>
      <c r="C252" s="114" t="n">
        <v>54</v>
      </c>
      <c r="D252" s="55" t="n">
        <v>50.5</v>
      </c>
      <c r="E252" s="114" t="n">
        <v>61.9</v>
      </c>
      <c r="F252" s="114" t="n">
        <v>59.8</v>
      </c>
      <c r="G252" s="52" t="n">
        <v>61</v>
      </c>
      <c r="H252" s="114" t="n">
        <v>49</v>
      </c>
      <c r="I252" s="114" t="n">
        <v>55.5</v>
      </c>
      <c r="J252" s="114" t="n">
        <v>61.6</v>
      </c>
      <c r="K252" s="114" t="n">
        <v>58</v>
      </c>
      <c r="L252" s="54" t="n">
        <v>59.9</v>
      </c>
    </row>
    <row r="253">
      <c r="A253" s="53" t="n">
        <v>43132</v>
      </c>
      <c r="B253" s="54" t="n">
        <v>64.8</v>
      </c>
      <c r="C253" s="114" t="n">
        <v>50</v>
      </c>
      <c r="D253" s="55" t="n">
        <v>56</v>
      </c>
      <c r="E253" s="114" t="n">
        <v>61</v>
      </c>
      <c r="F253" s="114" t="n">
        <v>62.8</v>
      </c>
      <c r="G253" s="52" t="n">
        <v>61</v>
      </c>
      <c r="H253" s="114" t="n">
        <v>53.5</v>
      </c>
      <c r="I253" s="114" t="n">
        <v>55.5</v>
      </c>
      <c r="J253" s="114" t="n">
        <v>55</v>
      </c>
      <c r="K253" s="114" t="n">
        <v>59.5</v>
      </c>
      <c r="L253" s="54" t="n">
        <v>59.5</v>
      </c>
    </row>
    <row r="254">
      <c r="A254" s="53" t="n">
        <v>43160</v>
      </c>
      <c r="B254" s="54" t="n">
        <v>59.5</v>
      </c>
      <c r="C254" s="114" t="n">
        <v>55</v>
      </c>
      <c r="D254" s="55" t="n">
        <v>56.5</v>
      </c>
      <c r="E254" s="114" t="n">
        <v>61.5</v>
      </c>
      <c r="F254" s="114" t="n">
        <v>60.6</v>
      </c>
      <c r="G254" s="52" t="n">
        <v>58.5</v>
      </c>
      <c r="H254" s="114" t="n">
        <v>53.5</v>
      </c>
      <c r="I254" s="114" t="n">
        <v>58.5</v>
      </c>
      <c r="J254" s="114" t="n">
        <v>56.6</v>
      </c>
      <c r="K254" s="114" t="n">
        <v>58</v>
      </c>
      <c r="L254" s="54" t="n">
        <v>58.8</v>
      </c>
    </row>
    <row r="255">
      <c r="A255" s="53" t="n">
        <v>43191</v>
      </c>
      <c r="B255" s="54" t="n">
        <v>60</v>
      </c>
      <c r="C255" s="114" t="n">
        <v>54.5</v>
      </c>
      <c r="D255" s="55" t="n">
        <v>52</v>
      </c>
      <c r="E255" s="114" t="n">
        <v>61.8</v>
      </c>
      <c r="F255" s="114" t="n">
        <v>59.1</v>
      </c>
      <c r="G255" s="52" t="n">
        <v>60</v>
      </c>
      <c r="H255" s="114" t="n">
        <v>57</v>
      </c>
      <c r="I255" s="114" t="n">
        <v>54.5</v>
      </c>
      <c r="J255" s="114" t="n">
        <v>53.6</v>
      </c>
      <c r="K255" s="114" t="n">
        <v>61.5</v>
      </c>
      <c r="L255" s="54" t="n">
        <v>56.8</v>
      </c>
    </row>
    <row r="256">
      <c r="A256" s="53" t="n">
        <v>43221</v>
      </c>
      <c r="B256" s="54" t="n">
        <v>60.5</v>
      </c>
      <c r="C256" s="114" t="n">
        <v>54</v>
      </c>
      <c r="D256" s="55" t="n">
        <v>60.5</v>
      </c>
      <c r="E256" s="114" t="n">
        <v>64.3</v>
      </c>
      <c r="F256" s="114" t="n">
        <v>61.3</v>
      </c>
      <c r="G256" s="52" t="n">
        <v>61</v>
      </c>
      <c r="H256" s="114" t="n">
        <v>57.5</v>
      </c>
      <c r="I256" s="114" t="n">
        <v>58.5</v>
      </c>
      <c r="J256" s="114" t="n">
        <v>54.1</v>
      </c>
      <c r="K256" s="114" t="n">
        <v>57.5</v>
      </c>
      <c r="L256" s="54" t="n">
        <v>58.6</v>
      </c>
    </row>
    <row r="257">
      <c r="A257" s="53" t="n">
        <v>43252</v>
      </c>
      <c r="B257" s="54" t="n">
        <v>63.2</v>
      </c>
      <c r="C257" s="114" t="n">
        <v>51.5</v>
      </c>
      <c r="D257" s="55" t="n">
        <v>56.5</v>
      </c>
      <c r="E257" s="114" t="n">
        <v>60.7</v>
      </c>
      <c r="F257" s="114" t="n">
        <v>63.9</v>
      </c>
      <c r="G257" s="52" t="n">
        <v>57.5</v>
      </c>
      <c r="H257" s="114" t="n">
        <v>53.5</v>
      </c>
      <c r="I257" s="114" t="n">
        <v>55.5</v>
      </c>
      <c r="J257" s="114" t="n">
        <v>53.6</v>
      </c>
      <c r="K257" s="114" t="n">
        <v>60.5</v>
      </c>
      <c r="L257" s="54" t="n">
        <v>59.1</v>
      </c>
    </row>
    <row r="258">
      <c r="A258" s="53" t="n">
        <v>43282</v>
      </c>
      <c r="B258" s="54" t="n">
        <v>57</v>
      </c>
      <c r="C258" s="114" t="n">
        <v>52.5</v>
      </c>
      <c r="D258" s="55" t="n">
        <v>51.5</v>
      </c>
      <c r="E258" s="114" t="n">
        <v>63.4</v>
      </c>
      <c r="F258" s="114" t="n">
        <v>56.5</v>
      </c>
      <c r="G258" s="52" t="n">
        <v>58</v>
      </c>
      <c r="H258" s="114" t="n">
        <v>53.5</v>
      </c>
      <c r="I258" s="114" t="n">
        <v>53</v>
      </c>
      <c r="J258" s="114" t="n">
        <v>56.1</v>
      </c>
      <c r="K258" s="114" t="n">
        <v>58</v>
      </c>
      <c r="L258" s="54" t="n">
        <v>55.7</v>
      </c>
    </row>
    <row r="259">
      <c r="A259" s="53" t="n">
        <v>43313</v>
      </c>
      <c r="B259" s="54" t="n">
        <v>60.4</v>
      </c>
      <c r="C259" s="114" t="n">
        <v>52</v>
      </c>
      <c r="D259" s="55" t="n">
        <v>56.5</v>
      </c>
      <c r="E259" s="114" t="n">
        <v>62.8</v>
      </c>
      <c r="F259" s="114" t="n">
        <v>60.7</v>
      </c>
      <c r="G259" s="52" t="n">
        <v>59.5</v>
      </c>
      <c r="H259" s="114" t="n">
        <v>53.5</v>
      </c>
      <c r="I259" s="114" t="n">
        <v>56</v>
      </c>
      <c r="J259" s="114" t="n">
        <v>56.7</v>
      </c>
      <c r="K259" s="114" t="n">
        <v>60.5</v>
      </c>
      <c r="L259" s="54" t="n">
        <v>58.5</v>
      </c>
    </row>
    <row r="260">
      <c r="A260" s="53" t="n">
        <v>43344</v>
      </c>
      <c r="B260" s="54" t="n">
        <v>61.6</v>
      </c>
      <c r="C260" s="114" t="n">
        <v>55</v>
      </c>
      <c r="D260" s="55" t="n">
        <v>58.5</v>
      </c>
      <c r="E260" s="114" t="n">
        <v>64.2</v>
      </c>
      <c r="F260" s="114" t="n">
        <v>65.2</v>
      </c>
      <c r="G260" s="52" t="n">
        <v>59.5</v>
      </c>
      <c r="H260" s="114" t="n">
        <v>54.5</v>
      </c>
      <c r="I260" s="114" t="n">
        <v>57</v>
      </c>
      <c r="J260" s="114" t="n">
        <v>62.4</v>
      </c>
      <c r="K260" s="114" t="n">
        <v>61</v>
      </c>
      <c r="L260" s="54" t="n">
        <v>61.6</v>
      </c>
    </row>
    <row r="261">
      <c r="A261" s="53" t="n">
        <v>43374</v>
      </c>
      <c r="B261" s="54" t="n">
        <v>61.5</v>
      </c>
      <c r="C261" s="114" t="n">
        <v>51</v>
      </c>
      <c r="D261" s="55" t="n">
        <v>53.5</v>
      </c>
      <c r="E261" s="114" t="n">
        <v>61.7</v>
      </c>
      <c r="F261" s="114" t="n">
        <v>62.5</v>
      </c>
      <c r="G261" s="52" t="n">
        <v>62</v>
      </c>
      <c r="H261" s="114" t="n">
        <v>56</v>
      </c>
      <c r="I261" s="114" t="n">
        <v>57.5</v>
      </c>
      <c r="J261" s="114" t="n">
        <v>59.7</v>
      </c>
      <c r="K261" s="114" t="n">
        <v>61</v>
      </c>
      <c r="L261" s="54" t="n">
        <v>60.3</v>
      </c>
    </row>
    <row r="262">
      <c r="A262" s="53" t="n">
        <v>43405</v>
      </c>
      <c r="B262" s="54" t="n">
        <v>62.5</v>
      </c>
      <c r="C262" s="114" t="n">
        <v>54.5</v>
      </c>
      <c r="D262" s="55" t="n">
        <v>55.5</v>
      </c>
      <c r="E262" s="114" t="n">
        <v>64.3</v>
      </c>
      <c r="F262" s="114" t="n">
        <v>65.2</v>
      </c>
      <c r="G262" s="52" t="n">
        <v>60</v>
      </c>
      <c r="H262" s="114" t="n">
        <v>57.5</v>
      </c>
      <c r="I262" s="114" t="n">
        <v>56.5</v>
      </c>
      <c r="J262" s="114" t="n">
        <v>58.4</v>
      </c>
      <c r="K262" s="114" t="n">
        <v>57.5</v>
      </c>
      <c r="L262" s="54" t="n">
        <v>60.7</v>
      </c>
    </row>
    <row r="263">
      <c r="A263" s="53" t="n">
        <v>43435</v>
      </c>
      <c r="B263" s="54" t="n">
        <v>62.7</v>
      </c>
      <c r="C263" s="114" t="n">
        <v>53.5</v>
      </c>
      <c r="D263" s="55" t="n">
        <v>50.5</v>
      </c>
      <c r="E263" s="114" t="n">
        <v>57.6</v>
      </c>
      <c r="F263" s="114" t="n">
        <v>59.9</v>
      </c>
      <c r="G263" s="52" t="n">
        <v>59</v>
      </c>
      <c r="H263" s="114" t="n">
        <v>51.5</v>
      </c>
      <c r="I263" s="114" t="n">
        <v>51.5</v>
      </c>
      <c r="J263" s="114" t="n">
        <v>56.3</v>
      </c>
      <c r="K263" s="114" t="n">
        <v>59.5</v>
      </c>
      <c r="L263" s="54" t="n">
        <v>57.6</v>
      </c>
    </row>
    <row r="264">
      <c r="A264" s="53" t="n">
        <v>43466</v>
      </c>
      <c r="B264" s="54" t="n">
        <v>57.7</v>
      </c>
      <c r="C264" s="114" t="n">
        <v>52</v>
      </c>
      <c r="D264" s="55" t="n">
        <v>52.5</v>
      </c>
      <c r="E264" s="114" t="n">
        <v>59.4</v>
      </c>
      <c r="F264" s="114" t="n">
        <v>59.7</v>
      </c>
      <c r="G264" s="52" t="n">
        <v>60.5</v>
      </c>
      <c r="H264" s="114" t="n">
        <v>49</v>
      </c>
      <c r="I264" s="114" t="n">
        <v>51.5</v>
      </c>
      <c r="J264" s="114" t="n">
        <v>57.8</v>
      </c>
      <c r="K264" s="114" t="n">
        <v>50.5</v>
      </c>
      <c r="L264" s="54" t="n">
        <v>56.7</v>
      </c>
    </row>
    <row r="265">
      <c r="A265" s="53" t="n">
        <v>43497</v>
      </c>
      <c r="B265" s="54" t="n">
        <v>65.2</v>
      </c>
      <c r="C265" s="114" t="n">
        <v>48.5</v>
      </c>
      <c r="D265" s="55" t="n">
        <v>55.5</v>
      </c>
      <c r="E265" s="114" t="n">
        <v>54.4</v>
      </c>
      <c r="F265" s="114" t="n">
        <v>64.7</v>
      </c>
      <c r="G265" s="52" t="n">
        <v>59</v>
      </c>
      <c r="H265" s="114" t="n">
        <v>51</v>
      </c>
      <c r="I265" s="114" t="n">
        <v>53.5</v>
      </c>
      <c r="J265" s="114" t="n">
        <v>55.2</v>
      </c>
      <c r="K265" s="114" t="n">
        <v>55</v>
      </c>
      <c r="L265" s="54" t="n">
        <v>59.7</v>
      </c>
    </row>
    <row r="266">
      <c r="A266" s="53" t="n">
        <v>43525</v>
      </c>
      <c r="B266" s="54" t="n">
        <v>59</v>
      </c>
      <c r="C266" s="114" t="n">
        <v>51.5</v>
      </c>
      <c r="D266" s="55" t="n">
        <v>56.5</v>
      </c>
      <c r="E266" s="114" t="n">
        <v>58.7</v>
      </c>
      <c r="F266" s="114" t="n">
        <v>57.4</v>
      </c>
      <c r="G266" s="52" t="n">
        <v>62.5</v>
      </c>
      <c r="H266" s="114" t="n">
        <v>50</v>
      </c>
      <c r="I266" s="114" t="n">
        <v>52</v>
      </c>
      <c r="J266" s="114" t="n">
        <v>55.9</v>
      </c>
      <c r="K266" s="114" t="n">
        <v>52.5</v>
      </c>
      <c r="L266" s="54" t="n">
        <v>56.1</v>
      </c>
    </row>
    <row r="267">
      <c r="A267" s="53" t="n">
        <v>43556</v>
      </c>
      <c r="B267" s="54" t="n">
        <v>58.1</v>
      </c>
      <c r="C267" s="114" t="n">
        <v>55</v>
      </c>
      <c r="D267" s="55" t="n">
        <v>55</v>
      </c>
      <c r="E267" s="114" t="n">
        <v>55.7</v>
      </c>
      <c r="F267" s="114" t="n">
        <v>59.5</v>
      </c>
      <c r="G267" s="52" t="n">
        <v>60</v>
      </c>
      <c r="H267" s="114" t="n">
        <v>51.5</v>
      </c>
      <c r="I267" s="114" t="n">
        <v>50.5</v>
      </c>
      <c r="J267" s="114" t="n">
        <v>53.7</v>
      </c>
      <c r="K267" s="114" t="n">
        <v>57</v>
      </c>
      <c r="L267" s="54" t="n">
        <v>55.5</v>
      </c>
    </row>
    <row r="268">
      <c r="A268" s="53" t="n">
        <v>43586</v>
      </c>
      <c r="B268" s="54" t="n">
        <v>58.6</v>
      </c>
      <c r="C268" s="114" t="n">
        <v>50</v>
      </c>
      <c r="D268" s="55" t="n">
        <v>52.5</v>
      </c>
      <c r="E268" s="114" t="n">
        <v>55.4</v>
      </c>
      <c r="F268" s="114" t="n">
        <v>61.2</v>
      </c>
      <c r="G268" s="52" t="n">
        <v>58.5</v>
      </c>
      <c r="H268" s="114" t="n">
        <v>54</v>
      </c>
      <c r="I268" s="114" t="n">
        <v>49.5</v>
      </c>
      <c r="J268" s="114" t="n">
        <v>58.1</v>
      </c>
      <c r="K268" s="114" t="n">
        <v>55.5</v>
      </c>
      <c r="L268" s="54" t="n">
        <v>56.9</v>
      </c>
    </row>
    <row r="269">
      <c r="A269" s="53" t="n">
        <v>43617</v>
      </c>
      <c r="B269" s="54" t="n">
        <v>55.8</v>
      </c>
      <c r="C269" s="114" t="n">
        <v>50</v>
      </c>
      <c r="D269" s="55" t="n">
        <v>56</v>
      </c>
      <c r="E269" s="114" t="n">
        <v>58.9</v>
      </c>
      <c r="F269" s="114" t="n">
        <v>58.2</v>
      </c>
      <c r="G269" s="52" t="n">
        <v>58.5</v>
      </c>
      <c r="H269" s="114" t="n">
        <v>55</v>
      </c>
      <c r="I269" s="114" t="n">
        <v>51.5</v>
      </c>
      <c r="J269" s="114" t="n">
        <v>55</v>
      </c>
      <c r="K269" s="114" t="n">
        <v>55.5</v>
      </c>
      <c r="L269" s="54" t="n">
        <v>55.1</v>
      </c>
    </row>
    <row r="270">
      <c r="A270" s="53" t="n">
        <v>43647</v>
      </c>
      <c r="B270" s="54" t="n">
        <v>54.1</v>
      </c>
      <c r="C270" s="114" t="n">
        <v>53.5</v>
      </c>
      <c r="D270" s="55" t="n">
        <v>53.5</v>
      </c>
      <c r="E270" s="114" t="n">
        <v>56.5</v>
      </c>
      <c r="F270" s="114" t="n">
        <v>53.1</v>
      </c>
      <c r="G270" s="52" t="n">
        <v>60.5</v>
      </c>
      <c r="H270" s="114" t="n">
        <v>50</v>
      </c>
      <c r="I270" s="114" t="n">
        <v>51.5</v>
      </c>
      <c r="J270" s="114" t="n">
        <v>56.2</v>
      </c>
      <c r="K270" s="114" t="n">
        <v>53.5</v>
      </c>
      <c r="L270" s="54" t="n">
        <v>53.7</v>
      </c>
    </row>
    <row r="271">
      <c r="A271" s="53" t="n">
        <v>43678</v>
      </c>
      <c r="B271" s="54" t="n">
        <v>60.3</v>
      </c>
      <c r="C271" s="114" t="n">
        <v>50.5</v>
      </c>
      <c r="D271" s="55" t="n">
        <v>49</v>
      </c>
      <c r="E271" s="114" t="n">
        <v>58.2</v>
      </c>
      <c r="F271" s="114" t="n">
        <v>61.5</v>
      </c>
      <c r="G271" s="52" t="n">
        <v>56</v>
      </c>
      <c r="H271" s="114" t="n">
        <v>55</v>
      </c>
      <c r="I271" s="114" t="n">
        <v>50.5</v>
      </c>
      <c r="J271" s="114" t="n">
        <v>53.1</v>
      </c>
      <c r="K271" s="114" t="n">
        <v>50.5</v>
      </c>
      <c r="L271" s="54" t="n">
        <v>56.4</v>
      </c>
    </row>
    <row r="272">
      <c r="A272" s="53" t="n">
        <v>43709</v>
      </c>
      <c r="B272" s="54" t="n">
        <v>53.7</v>
      </c>
      <c r="C272" s="114" t="n">
        <v>49</v>
      </c>
      <c r="D272" s="55" t="n">
        <v>54</v>
      </c>
      <c r="E272" s="114" t="n">
        <v>60</v>
      </c>
      <c r="F272" s="114" t="n">
        <v>55.2</v>
      </c>
      <c r="G272" s="52" t="n">
        <v>58</v>
      </c>
      <c r="H272" s="114" t="n">
        <v>53</v>
      </c>
      <c r="I272" s="114" t="n">
        <v>51</v>
      </c>
      <c r="J272" s="114" t="n">
        <v>50.4</v>
      </c>
      <c r="K272" s="114" t="n">
        <v>52</v>
      </c>
      <c r="L272" s="54" t="n">
        <v>52.6</v>
      </c>
    </row>
    <row r="273">
      <c r="A273" s="53" t="n">
        <v>43739</v>
      </c>
      <c r="B273" s="54" t="n">
        <v>55.6</v>
      </c>
      <c r="C273" s="114" t="n">
        <v>48.5</v>
      </c>
      <c r="D273" s="55" t="n">
        <v>48.5</v>
      </c>
      <c r="E273" s="114" t="n">
        <v>56.6</v>
      </c>
      <c r="F273" s="114" t="n">
        <v>57</v>
      </c>
      <c r="G273" s="52" t="n">
        <v>57</v>
      </c>
      <c r="H273" s="114" t="n">
        <v>50.5</v>
      </c>
      <c r="I273" s="114" t="n">
        <v>52.5</v>
      </c>
      <c r="J273" s="114" t="n">
        <v>53.7</v>
      </c>
      <c r="K273" s="114" t="n">
        <v>50</v>
      </c>
      <c r="L273" s="54" t="n">
        <v>54.7</v>
      </c>
    </row>
    <row r="274">
      <c r="A274" s="53" t="n">
        <v>43770</v>
      </c>
      <c r="B274" s="54" t="n">
        <v>57.1</v>
      </c>
      <c r="C274" s="114" t="n">
        <v>45</v>
      </c>
      <c r="D274" s="55" t="n">
        <v>48.5</v>
      </c>
      <c r="E274" s="114" t="n">
        <v>58.5</v>
      </c>
      <c r="F274" s="114" t="n">
        <v>51.6</v>
      </c>
      <c r="G274" s="52" t="n">
        <v>58.5</v>
      </c>
      <c r="H274" s="114" t="n">
        <v>50.5</v>
      </c>
      <c r="I274" s="114" t="n">
        <v>51.5</v>
      </c>
      <c r="J274" s="114" t="n">
        <v>55.5</v>
      </c>
      <c r="K274" s="114" t="n">
        <v>52</v>
      </c>
      <c r="L274" s="54" t="n">
        <v>53.9</v>
      </c>
    </row>
    <row r="275">
      <c r="A275" s="53" t="n">
        <v>43800</v>
      </c>
      <c r="B275" s="54" t="n">
        <v>54.9</v>
      </c>
      <c r="C275" s="114" t="n">
        <v>48</v>
      </c>
      <c r="D275" s="55" t="n">
        <v>47.5</v>
      </c>
      <c r="E275" s="114" t="n">
        <v>58.5</v>
      </c>
      <c r="F275" s="114" t="n">
        <v>57.2</v>
      </c>
      <c r="G275" s="52" t="n">
        <v>60</v>
      </c>
      <c r="H275" s="114" t="n">
        <v>51</v>
      </c>
      <c r="I275" s="114" t="n">
        <v>52.5</v>
      </c>
      <c r="J275" s="114" t="n">
        <v>55.2</v>
      </c>
      <c r="K275" s="114" t="n">
        <v>51</v>
      </c>
      <c r="L275" s="54" t="n">
        <v>55</v>
      </c>
    </row>
    <row r="276">
      <c r="A276" s="53" t="n">
        <v>43831</v>
      </c>
      <c r="B276" s="54" t="n">
        <v>56.2</v>
      </c>
      <c r="C276" s="114" t="n">
        <v>55.1</v>
      </c>
      <c r="D276" s="55" t="n">
        <v>45.5</v>
      </c>
      <c r="E276" s="114" t="n">
        <v>55.5</v>
      </c>
      <c r="F276" s="114" t="n">
        <v>60.9</v>
      </c>
      <c r="G276" s="52" t="n">
        <v>54.9</v>
      </c>
      <c r="H276" s="114" t="n">
        <v>46.5</v>
      </c>
      <c r="I276" s="114" t="n">
        <v>51.7</v>
      </c>
      <c r="J276" s="114" t="n">
        <v>53.1</v>
      </c>
      <c r="K276" s="114" t="n">
        <v>50.1</v>
      </c>
      <c r="L276" s="54" t="n">
        <v>55.5</v>
      </c>
    </row>
    <row r="277">
      <c r="A277" s="53" t="n">
        <v>43862</v>
      </c>
      <c r="B277" s="54" t="n">
        <v>63.1</v>
      </c>
      <c r="C277" s="114" t="n">
        <v>52.6</v>
      </c>
      <c r="D277" s="55" t="n">
        <v>53.2</v>
      </c>
      <c r="E277" s="114" t="n">
        <v>50.8</v>
      </c>
      <c r="F277" s="114" t="n">
        <v>57.8</v>
      </c>
      <c r="G277" s="52" t="n">
        <v>59.3</v>
      </c>
      <c r="H277" s="114" t="n">
        <v>53.9</v>
      </c>
      <c r="I277" s="114" t="n">
        <v>52.4</v>
      </c>
      <c r="J277" s="114" t="n">
        <v>55.6</v>
      </c>
      <c r="K277" s="114" t="n">
        <v>55.6</v>
      </c>
      <c r="L277" s="54" t="n">
        <v>57.3</v>
      </c>
    </row>
    <row r="278">
      <c r="A278" s="53" t="n">
        <v>43891</v>
      </c>
      <c r="B278" s="54" t="n">
        <v>52.9</v>
      </c>
      <c r="C278" s="114" t="n">
        <v>40.2</v>
      </c>
      <c r="D278" s="55" t="n">
        <v>55</v>
      </c>
      <c r="E278" s="114" t="n">
        <v>50</v>
      </c>
      <c r="F278" s="114" t="n">
        <v>48</v>
      </c>
      <c r="G278" s="52" t="n">
        <v>47.8</v>
      </c>
      <c r="H278" s="114" t="n">
        <v>41.5</v>
      </c>
      <c r="I278" s="114" t="n">
        <v>62.1</v>
      </c>
      <c r="J278" s="114" t="n">
        <v>47</v>
      </c>
      <c r="K278" s="114" t="n">
        <v>45.9</v>
      </c>
      <c r="L278" s="54" t="n">
        <v>52.5</v>
      </c>
    </row>
    <row r="279">
      <c r="A279" s="53" t="n">
        <v>43922</v>
      </c>
      <c r="B279" s="54" t="n">
        <v>32.9</v>
      </c>
      <c r="C279" s="114" t="n">
        <v>49.3</v>
      </c>
      <c r="D279" s="55" t="n">
        <v>47.7</v>
      </c>
      <c r="E279" s="114" t="n">
        <v>55.1</v>
      </c>
      <c r="F279" s="114" t="n">
        <v>26</v>
      </c>
      <c r="G279" s="52" t="n">
        <v>62.6</v>
      </c>
      <c r="H279" s="114" t="n">
        <v>46.9</v>
      </c>
      <c r="I279" s="114" t="n">
        <v>78.3</v>
      </c>
      <c r="J279" s="114" t="n">
        <v>30</v>
      </c>
      <c r="K279" s="114" t="n">
        <v>36.3</v>
      </c>
      <c r="L279" s="54" t="n">
        <v>41.8</v>
      </c>
    </row>
    <row r="280">
      <c r="A280" s="53" t="n">
        <v>43952</v>
      </c>
      <c r="B280" s="54" t="n">
        <v>41.9</v>
      </c>
      <c r="C280" s="114" t="n">
        <v>43.7</v>
      </c>
      <c r="D280" s="55" t="n">
        <v>46.4</v>
      </c>
      <c r="E280" s="114" t="n">
        <v>55.6</v>
      </c>
      <c r="F280" s="114" t="n">
        <v>41</v>
      </c>
      <c r="G280" s="52" t="n">
        <v>55.1</v>
      </c>
      <c r="H280" s="114" t="n">
        <v>48</v>
      </c>
      <c r="I280" s="114" t="n">
        <v>67</v>
      </c>
      <c r="J280" s="114" t="n">
        <v>31.8</v>
      </c>
      <c r="K280" s="114" t="n">
        <v>41.5</v>
      </c>
      <c r="L280" s="54" t="n">
        <v>45.4</v>
      </c>
    </row>
    <row r="281">
      <c r="A281" s="53" t="n">
        <v>43983</v>
      </c>
      <c r="B281" s="54" t="n">
        <v>61.6</v>
      </c>
      <c r="C281" s="114" t="n">
        <v>52.9</v>
      </c>
      <c r="D281" s="55" t="n">
        <v>41.9</v>
      </c>
      <c r="E281" s="114" t="n">
        <v>62.4</v>
      </c>
      <c r="F281" s="114" t="n">
        <v>66</v>
      </c>
      <c r="G281" s="52" t="n">
        <v>55.9</v>
      </c>
      <c r="H281" s="114" t="n">
        <v>60.7</v>
      </c>
      <c r="I281" s="114" t="n">
        <v>57.5</v>
      </c>
      <c r="J281" s="114" t="n">
        <v>43.1</v>
      </c>
      <c r="K281" s="114" t="n">
        <v>58.9</v>
      </c>
      <c r="L281" s="54" t="n">
        <v>57.1</v>
      </c>
    </row>
    <row r="282">
      <c r="A282" s="53" t="n">
        <v>44013</v>
      </c>
      <c r="B282" s="54" t="n">
        <v>67.7</v>
      </c>
      <c r="C282" s="114" t="n">
        <v>46.3</v>
      </c>
      <c r="D282" s="55" t="n">
        <v>55.9</v>
      </c>
      <c r="E282" s="114" t="n">
        <v>57.6</v>
      </c>
      <c r="F282" s="114" t="n">
        <v>67.2</v>
      </c>
      <c r="G282" s="52" t="n">
        <v>50</v>
      </c>
      <c r="H282" s="114" t="n">
        <v>52</v>
      </c>
      <c r="I282" s="114" t="n">
        <v>55.2</v>
      </c>
      <c r="J282" s="114" t="n">
        <v>42.1</v>
      </c>
      <c r="K282" s="114" t="n">
        <v>49.3</v>
      </c>
      <c r="L282" s="54" t="n">
        <v>58.1</v>
      </c>
    </row>
    <row r="283">
      <c r="A283" s="53" t="n">
        <v>44044</v>
      </c>
      <c r="B283" s="54" t="n">
        <v>56.8</v>
      </c>
      <c r="C283" s="114" t="n">
        <v>50.8</v>
      </c>
      <c r="D283" s="55" t="n">
        <v>56.6</v>
      </c>
      <c r="E283" s="114" t="n">
        <v>64.2</v>
      </c>
      <c r="F283" s="114" t="n">
        <v>62.4</v>
      </c>
      <c r="G283" s="52" t="n">
        <v>52.5</v>
      </c>
      <c r="H283" s="114" t="n">
        <v>45.8</v>
      </c>
      <c r="I283" s="114" t="n">
        <v>60.5</v>
      </c>
      <c r="J283" s="114" t="n">
        <v>47.9</v>
      </c>
      <c r="K283" s="114" t="n">
        <v>55.8</v>
      </c>
      <c r="L283" s="54" t="n">
        <v>56.9</v>
      </c>
    </row>
    <row r="284">
      <c r="A284" s="53" t="n">
        <v>44075</v>
      </c>
      <c r="B284" s="54" t="n">
        <v>61.5</v>
      </c>
      <c r="C284" s="114" t="n">
        <v>46.6</v>
      </c>
      <c r="D284" s="55" t="n">
        <v>50.1</v>
      </c>
      <c r="E284" s="114" t="n">
        <v>59</v>
      </c>
      <c r="F284" s="114" t="n">
        <v>63</v>
      </c>
      <c r="G284" s="52" t="n">
        <v>55.4</v>
      </c>
      <c r="H284" s="114" t="n">
        <v>48.8</v>
      </c>
      <c r="I284" s="114" t="n">
        <v>54.9</v>
      </c>
      <c r="J284" s="114" t="n">
        <v>51.8</v>
      </c>
      <c r="K284" s="114" t="n">
        <v>52.6</v>
      </c>
      <c r="L284" s="54" t="n">
        <v>57.8</v>
      </c>
    </row>
    <row r="285">
      <c r="A285" s="53" t="n">
        <v>44105</v>
      </c>
      <c r="B285" s="54" t="n">
        <v>58.8</v>
      </c>
      <c r="C285" s="114" t="n">
        <v>52.5</v>
      </c>
      <c r="D285" s="55" t="n">
        <v>54.4</v>
      </c>
      <c r="E285" s="114" t="n">
        <v>63.9</v>
      </c>
      <c r="F285" s="114" t="n">
        <v>61.2</v>
      </c>
      <c r="G285" s="52" t="n">
        <v>51.1</v>
      </c>
      <c r="H285" s="114" t="n">
        <v>53.1</v>
      </c>
      <c r="I285" s="114" t="n">
        <v>56.2</v>
      </c>
      <c r="J285" s="114" t="n">
        <v>50.1</v>
      </c>
      <c r="K285" s="114" t="n">
        <v>53.7</v>
      </c>
      <c r="L285" s="54" t="n">
        <v>56.6</v>
      </c>
    </row>
    <row r="286">
      <c r="A286" s="53" t="n">
        <v>44136</v>
      </c>
      <c r="B286" s="54" t="n">
        <v>57.2</v>
      </c>
      <c r="C286" s="114" t="n">
        <v>55</v>
      </c>
      <c r="D286" s="55" t="n">
        <v>50.7</v>
      </c>
      <c r="E286" s="114" t="n">
        <v>66.09999999999999</v>
      </c>
      <c r="F286" s="114" t="n">
        <v>58</v>
      </c>
      <c r="G286" s="52" t="n">
        <v>49.9</v>
      </c>
      <c r="H286" s="114" t="n">
        <v>49.3</v>
      </c>
      <c r="I286" s="114" t="n">
        <v>57</v>
      </c>
      <c r="J286" s="114" t="n">
        <v>51.5</v>
      </c>
      <c r="K286" s="114" t="n">
        <v>50.4</v>
      </c>
      <c r="L286" s="54" t="n">
        <v>55.9</v>
      </c>
    </row>
    <row r="287">
      <c r="A287" s="53" t="n">
        <v>44166</v>
      </c>
      <c r="B287" s="54" t="n">
        <v>58.5</v>
      </c>
      <c r="C287" s="114" t="n">
        <v>51.8</v>
      </c>
      <c r="D287" s="55" t="n">
        <v>48.7</v>
      </c>
      <c r="E287" s="114" t="n">
        <v>64.8</v>
      </c>
      <c r="F287" s="114" t="n">
        <v>59.4</v>
      </c>
      <c r="G287" s="52" t="n">
        <v>47.7</v>
      </c>
      <c r="H287" s="114" t="n">
        <v>58.2</v>
      </c>
      <c r="I287" s="114" t="n">
        <v>62.8</v>
      </c>
      <c r="J287" s="114" t="n">
        <v>48.2</v>
      </c>
      <c r="K287" s="114" t="n">
        <v>57.3</v>
      </c>
      <c r="L287" s="54" t="n">
        <v>57.2</v>
      </c>
    </row>
    <row r="288">
      <c r="A288" s="53" t="n">
        <v>44197</v>
      </c>
      <c r="B288" s="54" t="n">
        <v>61.8</v>
      </c>
      <c r="C288" s="114" t="n">
        <v>53.5</v>
      </c>
      <c r="D288" s="55" t="n">
        <v>50.9</v>
      </c>
      <c r="E288" s="114" t="n">
        <v>64.2</v>
      </c>
      <c r="F288" s="114" t="n">
        <v>59.9</v>
      </c>
      <c r="G288" s="52" t="n">
        <v>49.7</v>
      </c>
      <c r="H288" s="114" t="n">
        <v>49.2</v>
      </c>
      <c r="I288" s="114" t="n">
        <v>57.8</v>
      </c>
      <c r="J288" s="114" t="n">
        <v>55.2</v>
      </c>
      <c r="K288" s="114" t="n">
        <v>47</v>
      </c>
      <c r="L288" s="54" t="n">
        <v>58.7</v>
      </c>
    </row>
    <row r="289">
      <c r="A289" s="53" t="n">
        <v>44228</v>
      </c>
      <c r="B289" s="54" t="n">
        <v>51.9</v>
      </c>
      <c r="C289" s="114" t="n">
        <v>50.5</v>
      </c>
      <c r="D289" s="55" t="n">
        <v>55.2</v>
      </c>
      <c r="E289" s="114" t="n">
        <v>71.8</v>
      </c>
      <c r="F289" s="114" t="n">
        <v>55.5</v>
      </c>
      <c r="G289" s="52" t="n">
        <v>54.3</v>
      </c>
      <c r="H289" s="114" t="n">
        <v>58.9</v>
      </c>
      <c r="I289" s="114" t="n">
        <v>60.8</v>
      </c>
      <c r="J289" s="114" t="n">
        <v>52.7</v>
      </c>
      <c r="K289" s="114" t="n">
        <v>57.6</v>
      </c>
      <c r="L289" s="54" t="n">
        <v>55.3</v>
      </c>
    </row>
    <row r="290">
      <c r="A290" s="53" t="n">
        <v>44256</v>
      </c>
      <c r="B290" s="54" t="n">
        <v>67.2</v>
      </c>
      <c r="C290" s="114" t="n">
        <v>74</v>
      </c>
      <c r="D290" s="55" t="n">
        <v>50.2</v>
      </c>
      <c r="E290" s="114" t="n">
        <v>74</v>
      </c>
      <c r="F290" s="114" t="n">
        <v>69.40000000000001</v>
      </c>
      <c r="G290" s="52" t="n">
        <v>52.7</v>
      </c>
      <c r="H290" s="114" t="n">
        <v>54</v>
      </c>
      <c r="I290" s="114" t="n">
        <v>61</v>
      </c>
      <c r="J290" s="114" t="n">
        <v>57.2</v>
      </c>
      <c r="K290" s="114" t="n">
        <v>55.5</v>
      </c>
      <c r="L290" s="54" t="n">
        <v>63.7</v>
      </c>
    </row>
    <row r="291">
      <c r="A291" s="53" t="n">
        <v>44287</v>
      </c>
      <c r="B291" s="54" t="n">
        <v>63.2</v>
      </c>
      <c r="C291" s="114" t="n">
        <v>55.7</v>
      </c>
      <c r="D291" s="55" t="n">
        <v>55.7</v>
      </c>
      <c r="E291" s="114" t="n">
        <v>76.8</v>
      </c>
      <c r="F291" s="114" t="n">
        <v>62.7</v>
      </c>
      <c r="G291" s="52" t="n">
        <v>46.8</v>
      </c>
      <c r="H291" s="114" t="n">
        <v>49.1</v>
      </c>
      <c r="I291" s="114" t="n">
        <v>66.09999999999999</v>
      </c>
      <c r="J291" s="114" t="n">
        <v>58.8</v>
      </c>
      <c r="K291" s="114" t="n">
        <v>58.6</v>
      </c>
      <c r="L291" s="54" t="n">
        <v>62.7</v>
      </c>
    </row>
    <row r="292">
      <c r="A292" s="53" t="n">
        <v>44317</v>
      </c>
      <c r="B292" s="54" t="n">
        <v>63.9</v>
      </c>
      <c r="C292" s="114" t="n">
        <v>50.4</v>
      </c>
      <c r="D292" s="55" t="n">
        <v>61.1</v>
      </c>
      <c r="E292" s="114" t="n">
        <v>80.59999999999999</v>
      </c>
      <c r="F292" s="114" t="n">
        <v>66.2</v>
      </c>
      <c r="G292" s="52" t="n">
        <v>40.5</v>
      </c>
      <c r="H292" s="114" t="n">
        <v>51.5</v>
      </c>
      <c r="I292" s="114" t="n">
        <v>70.40000000000001</v>
      </c>
      <c r="J292" s="114" t="n">
        <v>55.3</v>
      </c>
      <c r="K292" s="114" t="n">
        <v>60</v>
      </c>
      <c r="L292" s="54" t="n">
        <v>64</v>
      </c>
    </row>
    <row r="293">
      <c r="A293" s="53" t="n">
        <v>44348</v>
      </c>
      <c r="B293" s="54" t="n">
        <v>62.1</v>
      </c>
      <c r="C293" s="114" t="n">
        <v>58.2</v>
      </c>
      <c r="D293" s="55" t="n">
        <v>65.8</v>
      </c>
      <c r="E293" s="114" t="n">
        <v>79.5</v>
      </c>
      <c r="F293" s="114" t="n">
        <v>60.4</v>
      </c>
      <c r="G293" s="52" t="n">
        <v>37.2</v>
      </c>
      <c r="H293" s="114" t="n">
        <v>49.9</v>
      </c>
      <c r="I293" s="114" t="n">
        <v>68.5</v>
      </c>
      <c r="J293" s="114" t="n">
        <v>49.3</v>
      </c>
      <c r="K293" s="114" t="n">
        <v>50.7</v>
      </c>
      <c r="L293" s="54" t="n">
        <v>60.1</v>
      </c>
    </row>
    <row r="294">
      <c r="A294" s="53" t="n">
        <v>44378</v>
      </c>
      <c r="B294" s="54" t="n">
        <v>63.7</v>
      </c>
      <c r="C294" s="114" t="n">
        <v>51.6</v>
      </c>
      <c r="D294" s="55" t="n">
        <v>63.5</v>
      </c>
      <c r="E294" s="114" t="n">
        <v>82.3</v>
      </c>
      <c r="F294" s="114" t="n">
        <v>67</v>
      </c>
      <c r="G294" s="52" t="n">
        <v>40.3</v>
      </c>
      <c r="H294" s="114" t="n">
        <v>49.2</v>
      </c>
      <c r="I294" s="114" t="n">
        <v>72</v>
      </c>
      <c r="J294" s="114" t="n">
        <v>53.8</v>
      </c>
      <c r="K294" s="114" t="n">
        <v>65.8</v>
      </c>
      <c r="L294" s="54" t="n">
        <v>64.09999999999999</v>
      </c>
    </row>
    <row r="295">
      <c r="A295" s="53" t="n">
        <v>44409</v>
      </c>
      <c r="B295" s="54" t="n">
        <v>63.2</v>
      </c>
      <c r="C295" s="114" t="n">
        <v>48.7</v>
      </c>
      <c r="D295" s="55" t="n">
        <v>61.3</v>
      </c>
      <c r="E295" s="114" t="n">
        <v>75.40000000000001</v>
      </c>
      <c r="F295" s="114" t="n">
        <v>60.1</v>
      </c>
      <c r="G295" s="52" t="n">
        <v>41.4</v>
      </c>
      <c r="H295" s="114" t="n">
        <v>46.9</v>
      </c>
      <c r="I295" s="114" t="n">
        <v>69.59999999999999</v>
      </c>
      <c r="J295" s="114" t="n">
        <v>53.7</v>
      </c>
      <c r="K295" s="114" t="n">
        <v>60.6</v>
      </c>
      <c r="L295" s="54" t="n">
        <v>61.7</v>
      </c>
    </row>
    <row r="296">
      <c r="A296" s="53" t="n">
        <v>44440</v>
      </c>
      <c r="B296" s="54" t="n">
        <v>63.5</v>
      </c>
      <c r="C296" s="114" t="n">
        <v>47.7</v>
      </c>
      <c r="D296" s="55" t="n">
        <v>61.9</v>
      </c>
      <c r="E296" s="114" t="n">
        <v>77.5</v>
      </c>
      <c r="F296" s="114" t="n">
        <v>62.3</v>
      </c>
      <c r="G296" s="52" t="n">
        <v>46.3</v>
      </c>
      <c r="H296" s="114" t="n">
        <v>46.1</v>
      </c>
      <c r="I296" s="114" t="n">
        <v>68.8</v>
      </c>
      <c r="J296" s="114" t="n">
        <v>53</v>
      </c>
      <c r="K296" s="114" t="n">
        <v>59.5</v>
      </c>
      <c r="L296" s="54" t="n">
        <v>61.9</v>
      </c>
    </row>
    <row r="297">
      <c r="A297" s="53" t="n">
        <v>44470</v>
      </c>
      <c r="B297" s="54" t="n">
        <v>69.7</v>
      </c>
      <c r="C297" s="114" t="n">
        <v>53.3</v>
      </c>
      <c r="D297" s="55" t="n">
        <v>67.3</v>
      </c>
      <c r="E297" s="114" t="n">
        <v>82.90000000000001</v>
      </c>
      <c r="F297" s="114" t="n">
        <v>69.8</v>
      </c>
      <c r="G297" s="52" t="n">
        <v>37.3</v>
      </c>
      <c r="H297" s="114" t="n">
        <v>42.2</v>
      </c>
      <c r="I297" s="114" t="n">
        <v>75.7</v>
      </c>
      <c r="J297" s="114" t="n">
        <v>51.6</v>
      </c>
      <c r="K297" s="114" t="n">
        <v>62.3</v>
      </c>
      <c r="L297" s="54" t="n">
        <v>66.7</v>
      </c>
    </row>
    <row r="298">
      <c r="A298" s="53" t="n">
        <v>44501</v>
      </c>
      <c r="B298" s="54" t="n">
        <v>69.7</v>
      </c>
      <c r="C298" s="114" t="n">
        <v>50.5</v>
      </c>
      <c r="D298" s="55" t="n">
        <v>65.90000000000001</v>
      </c>
      <c r="E298" s="114" t="n">
        <v>82.3</v>
      </c>
      <c r="F298" s="114" t="n">
        <v>74.59999999999999</v>
      </c>
      <c r="G298" s="52" t="n">
        <v>36.4</v>
      </c>
      <c r="H298" s="114" t="n">
        <v>48.2</v>
      </c>
      <c r="I298" s="114" t="n">
        <v>75.7</v>
      </c>
      <c r="J298" s="114" t="n">
        <v>56.5</v>
      </c>
      <c r="K298" s="114" t="n">
        <v>57.9</v>
      </c>
      <c r="L298" s="54" t="n">
        <v>69.09999999999999</v>
      </c>
    </row>
    <row r="299">
      <c r="A299" s="53" t="n">
        <v>44531</v>
      </c>
      <c r="B299" s="54" t="n">
        <v>61.5</v>
      </c>
      <c r="C299" s="114" t="n">
        <v>55.5</v>
      </c>
      <c r="D299" s="55" t="n">
        <v>62.3</v>
      </c>
      <c r="E299" s="114" t="n">
        <v>82.5</v>
      </c>
      <c r="F299" s="114" t="n">
        <v>67.59999999999999</v>
      </c>
      <c r="G299" s="52" t="n">
        <v>38.3</v>
      </c>
      <c r="H299" s="114" t="n">
        <v>46.7</v>
      </c>
      <c r="I299" s="114" t="n">
        <v>63.9</v>
      </c>
      <c r="J299" s="114" t="n">
        <v>54.9</v>
      </c>
      <c r="K299" s="114" t="n">
        <v>61.5</v>
      </c>
      <c r="L299" s="54" t="n">
        <v>62</v>
      </c>
    </row>
  </sheetData>
  <pageMargins left="0.7" right="0.7" top="0.75" bottom="0.75" header="0.3" footer="0.3"/>
  <tableParts count="1">
    <tablePart xmlns:r="http://schemas.openxmlformats.org/officeDocument/2006/relationships" r:id="rId1"/>
  </tableParts>
</worksheet>
</file>

<file path=xl/worksheets/sheet10.xml><?xml version="1.0" encoding="utf-8"?>
<worksheet xmlns="http://schemas.openxmlformats.org/spreadsheetml/2006/main">
  <sheetPr>
    <outlinePr summaryBelow="1" summaryRight="1"/>
    <pageSetUpPr/>
  </sheetPr>
  <dimension ref="A1:A1"/>
  <sheetViews>
    <sheetView topLeftCell="A28" zoomScale="85" zoomScaleNormal="85" workbookViewId="0">
      <selection activeCell="AA52" sqref="AA52"/>
    </sheetView>
  </sheetViews>
  <sheetFormatPr baseColWidth="10" defaultColWidth="9.1640625" defaultRowHeight="15"/>
  <cols>
    <col width="9.1640625" customWidth="1" style="96" min="1" max="3"/>
    <col width="9.1640625" customWidth="1" style="96" min="4" max="16384"/>
  </cols>
  <sheetData/>
  <pageMargins left="0.7" right="0.7" top="0.75" bottom="0.75" header="0.3" footer="0.3"/>
  <drawing xmlns:r="http://schemas.openxmlformats.org/officeDocument/2006/relationships" r:id="rId1"/>
</worksheet>
</file>

<file path=xl/worksheets/sheet11.xml><?xml version="1.0" encoding="utf-8"?>
<worksheet xmlns="http://schemas.openxmlformats.org/spreadsheetml/2006/main">
  <sheetPr>
    <tabColor rgb="FFFF0000"/>
    <outlinePr summaryBelow="1" summaryRight="1"/>
    <pageSetUpPr/>
  </sheetPr>
  <dimension ref="A1:E299"/>
  <sheetViews>
    <sheetView workbookViewId="0">
      <pane ySplit="5" topLeftCell="A283" activePane="bottomLeft" state="frozen"/>
      <selection activeCell="F274" sqref="F274"/>
      <selection pane="bottomLeft" activeCell="B299" sqref="B299"/>
    </sheetView>
  </sheetViews>
  <sheetFormatPr baseColWidth="10" defaultColWidth="9.1640625" defaultRowHeight="15"/>
  <cols>
    <col width="12.33203125" customWidth="1" style="96" min="1" max="1"/>
    <col width="14.6640625" customWidth="1" style="96" min="2" max="5"/>
    <col width="9.1640625" customWidth="1" style="96" min="6" max="8"/>
    <col width="9.1640625" customWidth="1" style="96" min="9" max="16384"/>
  </cols>
  <sheetData>
    <row r="1">
      <c r="A1" s="28" t="inlineStr">
        <is>
          <t>ISM Services vs GDP</t>
        </is>
      </c>
    </row>
    <row r="2" ht="3.75" customHeight="1" s="87"/>
    <row r="3" ht="3.75" customHeight="1" s="87"/>
    <row r="4" ht="16" customHeight="1" s="87" thickBot="1"/>
    <row r="5" ht="25" customHeight="1" s="87" thickBot="1">
      <c r="A5" s="56" t="inlineStr">
        <is>
          <t>Date</t>
        </is>
      </c>
      <c r="B5" s="57" t="inlineStr">
        <is>
          <t>ISM Services</t>
        </is>
      </c>
      <c r="C5" s="58" t="inlineStr">
        <is>
          <t>GDP growth yoy %</t>
        </is>
      </c>
      <c r="D5" s="59" t="inlineStr">
        <is>
          <t>GDP growth qoq %</t>
        </is>
      </c>
      <c r="E5" s="60" t="inlineStr">
        <is>
          <t>GDP growth q/q % (annualised)</t>
        </is>
      </c>
    </row>
    <row r="6">
      <c r="A6" s="61" t="n">
        <v>35612</v>
      </c>
      <c r="B6" s="50" t="n">
        <v>56.7</v>
      </c>
      <c r="C6" s="62" t="n">
        <v>0.04673802575393323</v>
      </c>
      <c r="D6" s="62" t="n">
        <v>0.01250778573313949</v>
      </c>
      <c r="E6" s="62" t="n">
        <v>0.05097766273852433</v>
      </c>
    </row>
    <row r="7">
      <c r="A7" s="61" t="n">
        <v>35643</v>
      </c>
      <c r="B7" s="50" t="n">
        <v>62</v>
      </c>
      <c r="C7" s="62" t="n">
        <v>0.04673802575393323</v>
      </c>
      <c r="D7" s="62" t="n">
        <v>0.01250778573313949</v>
      </c>
      <c r="E7" s="62" t="n">
        <v>0.05097766273852433</v>
      </c>
    </row>
    <row r="8">
      <c r="A8" s="61" t="n">
        <v>35674</v>
      </c>
      <c r="B8" s="50" t="n">
        <v>56.2</v>
      </c>
      <c r="C8" s="62" t="n">
        <v>0.04673802575393323</v>
      </c>
      <c r="D8" s="62" t="n">
        <v>0.01250778573313949</v>
      </c>
      <c r="E8" s="62" t="n">
        <v>0.05097766273852433</v>
      </c>
    </row>
    <row r="9">
      <c r="A9" s="61" t="n">
        <v>35704</v>
      </c>
      <c r="B9" s="50" t="n">
        <v>56.6</v>
      </c>
      <c r="C9" s="62" t="n">
        <v>0.04487684457714512</v>
      </c>
      <c r="D9" s="62" t="n">
        <v>0.008587435626066455</v>
      </c>
      <c r="E9" s="62" t="n">
        <v>0.03479474533539206</v>
      </c>
    </row>
    <row r="10">
      <c r="A10" s="61" t="n">
        <v>35735</v>
      </c>
      <c r="B10" s="50" t="n">
        <v>58.5</v>
      </c>
      <c r="C10" s="62" t="n">
        <v>0.04487684457714512</v>
      </c>
      <c r="D10" s="62" t="n">
        <v>0.008587435626066455</v>
      </c>
      <c r="E10" s="62" t="n">
        <v>0.03479474533539206</v>
      </c>
    </row>
    <row r="11">
      <c r="A11" s="61" t="n">
        <v>35765</v>
      </c>
      <c r="B11" s="50" t="n">
        <v>55.5</v>
      </c>
      <c r="C11" s="62" t="n">
        <v>0.04487684457714512</v>
      </c>
      <c r="D11" s="62" t="n">
        <v>0.008587435626066455</v>
      </c>
      <c r="E11" s="62" t="n">
        <v>0.03479474533539206</v>
      </c>
    </row>
    <row r="12">
      <c r="A12" s="61" t="n">
        <v>35796</v>
      </c>
      <c r="B12" s="50" t="n">
        <v>57</v>
      </c>
      <c r="C12" s="62" t="n">
        <v>0.04855005882657688</v>
      </c>
      <c r="D12" s="62" t="n">
        <v>0.009993754010374081</v>
      </c>
      <c r="E12" s="62" t="n">
        <v>0.04057826924134766</v>
      </c>
    </row>
    <row r="13">
      <c r="A13" s="61" t="n">
        <v>35827</v>
      </c>
      <c r="B13" s="50" t="n">
        <v>56.2</v>
      </c>
      <c r="C13" s="62" t="n">
        <v>0.04855005882657688</v>
      </c>
      <c r="D13" s="62" t="n">
        <v>0.009993754010374081</v>
      </c>
      <c r="E13" s="62" t="n">
        <v>0.04057826924134766</v>
      </c>
    </row>
    <row r="14">
      <c r="A14" s="61" t="n">
        <v>35855</v>
      </c>
      <c r="B14" s="50" t="n">
        <v>54.7</v>
      </c>
      <c r="C14" s="62" t="n">
        <v>0.04855005882657688</v>
      </c>
      <c r="D14" s="62" t="n">
        <v>0.009993754010374081</v>
      </c>
      <c r="E14" s="62" t="n">
        <v>0.04057826924134766</v>
      </c>
    </row>
    <row r="15">
      <c r="A15" s="61" t="n">
        <v>35886</v>
      </c>
      <c r="B15" s="54" t="n">
        <v>54.9</v>
      </c>
      <c r="C15" s="62" t="n">
        <v>0.04095726841200665</v>
      </c>
      <c r="D15" s="62" t="n">
        <v>0.009258205069039573</v>
      </c>
      <c r="E15" s="62" t="n">
        <v>0.03755028803424176</v>
      </c>
    </row>
    <row r="16">
      <c r="A16" s="61" t="n">
        <v>35916</v>
      </c>
      <c r="B16" s="54" t="n">
        <v>56.2</v>
      </c>
      <c r="C16" s="62" t="n">
        <v>0.04095726841200665</v>
      </c>
      <c r="D16" s="62" t="n">
        <v>0.009258205069039573</v>
      </c>
      <c r="E16" s="62" t="n">
        <v>0.03755028803424176</v>
      </c>
    </row>
    <row r="17">
      <c r="A17" s="61" t="n">
        <v>35947</v>
      </c>
      <c r="B17" s="54" t="n">
        <v>55.1</v>
      </c>
      <c r="C17" s="62" t="n">
        <v>0.04095726841200665</v>
      </c>
      <c r="D17" s="62" t="n">
        <v>0.009258205069039573</v>
      </c>
      <c r="E17" s="62" t="n">
        <v>0.03755028803424176</v>
      </c>
    </row>
    <row r="18">
      <c r="A18" s="61" t="n">
        <v>35977</v>
      </c>
      <c r="B18" s="54" t="n">
        <v>55.8</v>
      </c>
      <c r="C18" s="62" t="n">
        <v>0.04097768622679814</v>
      </c>
      <c r="D18" s="62" t="n">
        <v>0.01252764552668854</v>
      </c>
      <c r="E18" s="62" t="n">
        <v>0.05106012260225712</v>
      </c>
    </row>
    <row r="19">
      <c r="A19" s="61" t="n">
        <v>36008</v>
      </c>
      <c r="B19" s="54" t="n">
        <v>53.5</v>
      </c>
      <c r="C19" s="62" t="n">
        <v>0.04097768622679814</v>
      </c>
      <c r="D19" s="62" t="n">
        <v>0.01252764552668854</v>
      </c>
      <c r="E19" s="62" t="n">
        <v>0.05106012260225712</v>
      </c>
    </row>
    <row r="20">
      <c r="A20" s="61" t="n">
        <v>36039</v>
      </c>
      <c r="B20" s="54" t="n">
        <v>55</v>
      </c>
      <c r="C20" s="62" t="n">
        <v>0.04097768622679814</v>
      </c>
      <c r="D20" s="62" t="n">
        <v>0.01252764552668854</v>
      </c>
      <c r="E20" s="62" t="n">
        <v>0.05106012260225712</v>
      </c>
    </row>
    <row r="21">
      <c r="A21" s="61" t="n">
        <v>36069</v>
      </c>
      <c r="B21" s="54" t="n">
        <v>53.8</v>
      </c>
      <c r="C21" s="62" t="n">
        <v>0.04879540775598017</v>
      </c>
      <c r="D21" s="62" t="n">
        <v>0.01616190702337028</v>
      </c>
      <c r="E21" s="62" t="n">
        <v>0.06623182618291357</v>
      </c>
    </row>
    <row r="22">
      <c r="A22" s="61" t="n">
        <v>36100</v>
      </c>
      <c r="B22" s="54" t="n">
        <v>52.6</v>
      </c>
      <c r="C22" s="62" t="n">
        <v>0.04879540775598017</v>
      </c>
      <c r="D22" s="62" t="n">
        <v>0.01616190702337028</v>
      </c>
      <c r="E22" s="62" t="n">
        <v>0.06623182618291357</v>
      </c>
    </row>
    <row r="23">
      <c r="A23" s="61" t="n">
        <v>36130</v>
      </c>
      <c r="B23" s="54" t="n">
        <v>52.9</v>
      </c>
      <c r="C23" s="62" t="n">
        <v>0.04879540775598017</v>
      </c>
      <c r="D23" s="62" t="n">
        <v>0.01616190702337028</v>
      </c>
      <c r="E23" s="62" t="n">
        <v>0.06623182618291357</v>
      </c>
    </row>
    <row r="24">
      <c r="A24" s="61" t="n">
        <v>36161</v>
      </c>
      <c r="B24" s="54" t="n">
        <v>55.6</v>
      </c>
      <c r="C24" s="62" t="n">
        <v>0.0482185793162023</v>
      </c>
      <c r="D24" s="62" t="n">
        <v>0.009438266145912767</v>
      </c>
      <c r="E24" s="62" t="n">
        <v>0.03829092080185514</v>
      </c>
    </row>
    <row r="25">
      <c r="A25" s="61" t="n">
        <v>36192</v>
      </c>
      <c r="B25" s="54" t="n">
        <v>54.4</v>
      </c>
      <c r="C25" s="62" t="n">
        <v>0.0482185793162023</v>
      </c>
      <c r="D25" s="62" t="n">
        <v>0.009438266145912767</v>
      </c>
      <c r="E25" s="62" t="n">
        <v>0.03829092080185514</v>
      </c>
    </row>
    <row r="26">
      <c r="A26" s="61" t="n">
        <v>36220</v>
      </c>
      <c r="B26" s="54" t="n">
        <v>55.3</v>
      </c>
      <c r="C26" s="62" t="n">
        <v>0.0482185793162023</v>
      </c>
      <c r="D26" s="62" t="n">
        <v>0.009438266145912767</v>
      </c>
      <c r="E26" s="62" t="n">
        <v>0.03829092080185514</v>
      </c>
    </row>
    <row r="27">
      <c r="A27" s="61" t="n">
        <v>36251</v>
      </c>
      <c r="B27" s="54" t="n">
        <v>55.5</v>
      </c>
      <c r="C27" s="62" t="n">
        <v>0.04727531513473537</v>
      </c>
      <c r="D27" s="62" t="n">
        <v>0.008350000298127901</v>
      </c>
      <c r="E27" s="62" t="n">
        <v>0.03382066981536114</v>
      </c>
    </row>
    <row r="28">
      <c r="A28" s="61" t="n">
        <v>36281</v>
      </c>
      <c r="B28" s="54" t="n">
        <v>55.3</v>
      </c>
      <c r="C28" s="62" t="n">
        <v>0.04727531513473537</v>
      </c>
      <c r="D28" s="62" t="n">
        <v>0.008350000298127901</v>
      </c>
      <c r="E28" s="62" t="n">
        <v>0.03382066981536114</v>
      </c>
    </row>
    <row r="29">
      <c r="A29" s="61" t="n">
        <v>36312</v>
      </c>
      <c r="B29" s="54" t="n">
        <v>56.7</v>
      </c>
      <c r="C29" s="62" t="n">
        <v>0.04727531513473537</v>
      </c>
      <c r="D29" s="62" t="n">
        <v>0.008350000298127901</v>
      </c>
      <c r="E29" s="62" t="n">
        <v>0.03382066981536114</v>
      </c>
    </row>
    <row r="30">
      <c r="A30" s="61" t="n">
        <v>36342</v>
      </c>
      <c r="B30" s="54" t="n">
        <v>56.2</v>
      </c>
      <c r="C30" s="62" t="n">
        <v>0.04800205236862531</v>
      </c>
      <c r="D30" s="62" t="n">
        <v>0.01323027026128614</v>
      </c>
      <c r="E30" s="62" t="n">
        <v>0.05398061530001885</v>
      </c>
    </row>
    <row r="31">
      <c r="A31" s="61" t="n">
        <v>36373</v>
      </c>
      <c r="B31" s="54" t="n">
        <v>56.4</v>
      </c>
      <c r="C31" s="62" t="n">
        <v>0.04800205236862531</v>
      </c>
      <c r="D31" s="62" t="n">
        <v>0.01323027026128614</v>
      </c>
      <c r="E31" s="62" t="n">
        <v>0.05398061530001885</v>
      </c>
    </row>
    <row r="32">
      <c r="A32" s="61" t="n">
        <v>36404</v>
      </c>
      <c r="B32" s="54" t="n">
        <v>56.2</v>
      </c>
      <c r="C32" s="62" t="n">
        <v>0.04800205236862531</v>
      </c>
      <c r="D32" s="62" t="n">
        <v>0.01323027026128614</v>
      </c>
      <c r="E32" s="62" t="n">
        <v>0.05398061530001885</v>
      </c>
    </row>
    <row r="33">
      <c r="A33" s="61" t="n">
        <v>36434</v>
      </c>
      <c r="B33" s="54" t="n">
        <v>57.6</v>
      </c>
      <c r="C33" s="62" t="n">
        <v>0.04827626650330151</v>
      </c>
      <c r="D33" s="62" t="n">
        <v>0.01642779005040782</v>
      </c>
      <c r="E33" s="62" t="n">
        <v>0.06734820036933864</v>
      </c>
    </row>
    <row r="34">
      <c r="A34" s="61" t="n">
        <v>36465</v>
      </c>
      <c r="B34" s="54" t="n">
        <v>54.9</v>
      </c>
      <c r="C34" s="62" t="n">
        <v>0.04827626650330151</v>
      </c>
      <c r="D34" s="62" t="n">
        <v>0.01642779005040782</v>
      </c>
      <c r="E34" s="62" t="n">
        <v>0.06734820036933864</v>
      </c>
    </row>
    <row r="35">
      <c r="A35" s="61" t="n">
        <v>36495</v>
      </c>
      <c r="B35" s="54" t="n">
        <v>56.9</v>
      </c>
      <c r="C35" s="62" t="n">
        <v>0.04827626650330151</v>
      </c>
      <c r="D35" s="62" t="n">
        <v>0.01642779005040782</v>
      </c>
      <c r="E35" s="62" t="n">
        <v>0.06734820036933864</v>
      </c>
    </row>
    <row r="36">
      <c r="A36" s="61" t="n">
        <v>36526</v>
      </c>
      <c r="B36" s="54" t="n">
        <v>56.6</v>
      </c>
      <c r="C36" s="62" t="n">
        <v>0.04225955858689924</v>
      </c>
      <c r="D36" s="62" t="n">
        <v>0.003644473611337272</v>
      </c>
      <c r="E36" s="62" t="n">
        <v>0.0146577813755211</v>
      </c>
    </row>
    <row r="37">
      <c r="A37" s="61" t="n">
        <v>36557</v>
      </c>
      <c r="B37" s="54" t="n">
        <v>56.2</v>
      </c>
      <c r="C37" s="62" t="n">
        <v>0.04225955858689924</v>
      </c>
      <c r="D37" s="62" t="n">
        <v>0.003644473611337272</v>
      </c>
      <c r="E37" s="62" t="n">
        <v>0.0146577813755211</v>
      </c>
    </row>
    <row r="38">
      <c r="A38" s="61" t="n">
        <v>36586</v>
      </c>
      <c r="B38" s="54" t="n">
        <v>57.4</v>
      </c>
      <c r="C38" s="62" t="n">
        <v>0.04225955858689924</v>
      </c>
      <c r="D38" s="62" t="n">
        <v>0.003644473611337272</v>
      </c>
      <c r="E38" s="62" t="n">
        <v>0.0146577813755211</v>
      </c>
    </row>
    <row r="39">
      <c r="A39" s="61" t="n">
        <v>36617</v>
      </c>
      <c r="B39" s="54" t="n">
        <v>58</v>
      </c>
      <c r="C39" s="62" t="n">
        <v>0.05244682768853312</v>
      </c>
      <c r="D39" s="62" t="n">
        <v>0.01820583008355766</v>
      </c>
      <c r="E39" s="62" t="n">
        <v>0.07483628114231911</v>
      </c>
    </row>
    <row r="40">
      <c r="A40" s="61" t="n">
        <v>36647</v>
      </c>
      <c r="B40" s="54" t="n">
        <v>57.7</v>
      </c>
      <c r="C40" s="62" t="n">
        <v>0.05244682768853312</v>
      </c>
      <c r="D40" s="62" t="n">
        <v>0.01820583008355766</v>
      </c>
      <c r="E40" s="62" t="n">
        <v>0.07483628114231911</v>
      </c>
    </row>
    <row r="41">
      <c r="A41" s="61" t="n">
        <v>36678</v>
      </c>
      <c r="B41" s="54" t="n">
        <v>56.9</v>
      </c>
      <c r="C41" s="62" t="n">
        <v>0.05244682768853312</v>
      </c>
      <c r="D41" s="62" t="n">
        <v>0.01820583008355766</v>
      </c>
      <c r="E41" s="62" t="n">
        <v>0.07483628114231911</v>
      </c>
    </row>
    <row r="42">
      <c r="A42" s="61" t="n">
        <v>36708</v>
      </c>
      <c r="B42" s="54" t="n">
        <v>55.3</v>
      </c>
      <c r="C42" s="62" t="n">
        <v>0.03974084495579121</v>
      </c>
      <c r="D42" s="62" t="n">
        <v>0.0009977412825952132</v>
      </c>
      <c r="E42" s="62" t="n">
        <v>0.003996942030330297</v>
      </c>
    </row>
    <row r="43">
      <c r="A43" s="61" t="n">
        <v>36739</v>
      </c>
      <c r="B43" s="54" t="n">
        <v>57.6</v>
      </c>
      <c r="C43" s="62" t="n">
        <v>0.03974084495579121</v>
      </c>
      <c r="D43" s="62" t="n">
        <v>0.0009977412825952132</v>
      </c>
      <c r="E43" s="62" t="n">
        <v>0.003996942030330297</v>
      </c>
    </row>
    <row r="44">
      <c r="A44" s="61" t="n">
        <v>36770</v>
      </c>
      <c r="B44" s="54" t="n">
        <v>56.7</v>
      </c>
      <c r="C44" s="62" t="n">
        <v>0.03974084495579121</v>
      </c>
      <c r="D44" s="62" t="n">
        <v>0.0009977412825952132</v>
      </c>
      <c r="E44" s="62" t="n">
        <v>0.003996942030330297</v>
      </c>
    </row>
    <row r="45">
      <c r="A45" s="61" t="n">
        <v>36800</v>
      </c>
      <c r="B45" s="54" t="n">
        <v>56.7</v>
      </c>
      <c r="C45" s="62" t="n">
        <v>0.0290162047211726</v>
      </c>
      <c r="D45" s="62" t="n">
        <v>0.005943617551420755</v>
      </c>
      <c r="E45" s="62" t="n">
        <v>0.02398727086218799</v>
      </c>
    </row>
    <row r="46">
      <c r="A46" s="61" t="n">
        <v>36831</v>
      </c>
      <c r="B46" s="54" t="n">
        <v>56.2</v>
      </c>
      <c r="C46" s="62" t="n">
        <v>0.0290162047211726</v>
      </c>
      <c r="D46" s="62" t="n">
        <v>0.005943617551420755</v>
      </c>
      <c r="E46" s="62" t="n">
        <v>0.02398727086218799</v>
      </c>
    </row>
    <row r="47">
      <c r="A47" s="61" t="n">
        <v>36861</v>
      </c>
      <c r="B47" s="54" t="n">
        <v>54</v>
      </c>
      <c r="C47" s="62" t="n">
        <v>0.0290162047211726</v>
      </c>
      <c r="D47" s="62" t="n">
        <v>0.005943617551420755</v>
      </c>
      <c r="E47" s="62" t="n">
        <v>0.02398727086218799</v>
      </c>
    </row>
    <row r="48">
      <c r="A48" s="61" t="n">
        <v>36892</v>
      </c>
      <c r="B48" s="54" t="n">
        <v>51.6</v>
      </c>
      <c r="C48" s="62" t="n">
        <v>0.02195542846787985</v>
      </c>
      <c r="D48" s="62" t="n">
        <v>-0.003242210032234334</v>
      </c>
      <c r="E48" s="62" t="n">
        <v>-0.01290590479056453</v>
      </c>
    </row>
    <row r="49">
      <c r="A49" s="61" t="n">
        <v>36923</v>
      </c>
      <c r="B49" s="54" t="n">
        <v>51.3</v>
      </c>
      <c r="C49" s="62" t="n">
        <v>0.02195542846787985</v>
      </c>
      <c r="D49" s="62" t="n">
        <v>-0.003242210032234334</v>
      </c>
      <c r="E49" s="62" t="n">
        <v>-0.01290590479056453</v>
      </c>
    </row>
    <row r="50">
      <c r="A50" s="61" t="n">
        <v>36951</v>
      </c>
      <c r="B50" s="54" t="n">
        <v>50.7</v>
      </c>
      <c r="C50" s="62" t="n">
        <v>0.02195542846787985</v>
      </c>
      <c r="D50" s="62" t="n">
        <v>-0.003242210032234334</v>
      </c>
      <c r="E50" s="62" t="n">
        <v>-0.01290590479056453</v>
      </c>
    </row>
    <row r="51">
      <c r="A51" s="61" t="n">
        <v>36982</v>
      </c>
      <c r="B51" s="54" t="n">
        <v>48.3</v>
      </c>
      <c r="C51" s="62" t="n">
        <v>0.009919329568880284</v>
      </c>
      <c r="D51" s="62" t="n">
        <v>0.00621389214865502</v>
      </c>
      <c r="E51" s="62" t="n">
        <v>0.02508820455389182</v>
      </c>
    </row>
    <row r="52">
      <c r="A52" s="61" t="n">
        <v>37012</v>
      </c>
      <c r="B52" s="54" t="n">
        <v>49</v>
      </c>
      <c r="C52" s="62" t="n">
        <v>0.009919329568880284</v>
      </c>
      <c r="D52" s="62" t="n">
        <v>0.00621389214865502</v>
      </c>
      <c r="E52" s="62" t="n">
        <v>0.02508820455389182</v>
      </c>
    </row>
    <row r="53">
      <c r="A53" s="61" t="n">
        <v>37043</v>
      </c>
      <c r="B53" s="54" t="n">
        <v>50.1</v>
      </c>
      <c r="C53" s="62" t="n">
        <v>0.009919329568880284</v>
      </c>
      <c r="D53" s="62" t="n">
        <v>0.00621389214865502</v>
      </c>
      <c r="E53" s="62" t="n">
        <v>0.02508820455389182</v>
      </c>
    </row>
    <row r="54">
      <c r="A54" s="61" t="n">
        <v>37073</v>
      </c>
      <c r="B54" s="54" t="n">
        <v>48.1</v>
      </c>
      <c r="C54" s="62" t="n">
        <v>0.004873523671693287</v>
      </c>
      <c r="D54" s="62" t="n">
        <v>-0.004003490160505012</v>
      </c>
      <c r="E54" s="62" t="n">
        <v>-0.01591804945502973</v>
      </c>
    </row>
    <row r="55">
      <c r="A55" s="61" t="n">
        <v>37104</v>
      </c>
      <c r="B55" s="54" t="n">
        <v>46.9</v>
      </c>
      <c r="C55" s="62" t="n">
        <v>0.004873523671693287</v>
      </c>
      <c r="D55" s="62" t="n">
        <v>-0.004003490160505012</v>
      </c>
      <c r="E55" s="62" t="n">
        <v>-0.01591804945502973</v>
      </c>
    </row>
    <row r="56">
      <c r="A56" s="61" t="n">
        <v>37135</v>
      </c>
      <c r="B56" s="54" t="n">
        <v>49.5</v>
      </c>
      <c r="C56" s="62" t="n">
        <v>0.004873523671693287</v>
      </c>
      <c r="D56" s="62" t="n">
        <v>-0.004003490160505012</v>
      </c>
      <c r="E56" s="62" t="n">
        <v>-0.01591804945502973</v>
      </c>
    </row>
    <row r="57">
      <c r="A57" s="61" t="n">
        <v>37165</v>
      </c>
      <c r="B57" s="54" t="n">
        <v>44.8</v>
      </c>
      <c r="C57" s="62" t="n">
        <v>0.001706422364229252</v>
      </c>
      <c r="D57" s="62" t="n">
        <v>0.002773143584964562</v>
      </c>
      <c r="E57" s="62" t="n">
        <v>0.01113880165656145</v>
      </c>
    </row>
    <row r="58">
      <c r="A58" s="61" t="n">
        <v>37196</v>
      </c>
      <c r="B58" s="54" t="n">
        <v>48.2</v>
      </c>
      <c r="C58" s="62" t="n">
        <v>0.001706422364229252</v>
      </c>
      <c r="D58" s="62" t="n">
        <v>0.002773143584964562</v>
      </c>
      <c r="E58" s="62" t="n">
        <v>0.01113880165656145</v>
      </c>
    </row>
    <row r="59">
      <c r="A59" s="61" t="n">
        <v>37226</v>
      </c>
      <c r="B59" s="54" t="n">
        <v>49.7</v>
      </c>
      <c r="C59" s="62" t="n">
        <v>0.001706422364229252</v>
      </c>
      <c r="D59" s="62" t="n">
        <v>0.002773143584964562</v>
      </c>
      <c r="E59" s="62" t="n">
        <v>0.01113880165656145</v>
      </c>
    </row>
    <row r="60">
      <c r="A60" s="61" t="n">
        <v>37257</v>
      </c>
      <c r="B60" s="54" t="n">
        <v>48.9</v>
      </c>
      <c r="C60" s="62" t="n">
        <v>0.0132881204842846</v>
      </c>
      <c r="D60" s="62" t="n">
        <v>0.00828227215584396</v>
      </c>
      <c r="E60" s="62" t="n">
        <v>0.03354294204519781</v>
      </c>
    </row>
    <row r="61">
      <c r="A61" s="61" t="n">
        <v>37288</v>
      </c>
      <c r="B61" s="54" t="n">
        <v>52.7</v>
      </c>
      <c r="C61" s="62" t="n">
        <v>0.0132881204842846</v>
      </c>
      <c r="D61" s="62" t="n">
        <v>0.00828227215584396</v>
      </c>
      <c r="E61" s="62" t="n">
        <v>0.03354294204519781</v>
      </c>
    </row>
    <row r="62">
      <c r="A62" s="61" t="n">
        <v>37316</v>
      </c>
      <c r="B62" s="54" t="n">
        <v>52.8</v>
      </c>
      <c r="C62" s="62" t="n">
        <v>0.0132881204842846</v>
      </c>
      <c r="D62" s="62" t="n">
        <v>0.00828227215584396</v>
      </c>
      <c r="E62" s="62" t="n">
        <v>0.03354294204519781</v>
      </c>
    </row>
    <row r="63">
      <c r="A63" s="61" t="n">
        <v>37347</v>
      </c>
      <c r="B63" s="54" t="n">
        <v>53.5</v>
      </c>
      <c r="C63" s="62" t="n">
        <v>0.01322883902243626</v>
      </c>
      <c r="D63" s="62" t="n">
        <v>0.006155024557835768</v>
      </c>
      <c r="E63" s="62" t="n">
        <v>0.02484833834627032</v>
      </c>
    </row>
    <row r="64">
      <c r="A64" s="61" t="n">
        <v>37377</v>
      </c>
      <c r="B64" s="54" t="n">
        <v>54.8</v>
      </c>
      <c r="C64" s="62" t="n">
        <v>0.01322883902243626</v>
      </c>
      <c r="D64" s="62" t="n">
        <v>0.006155024557835768</v>
      </c>
      <c r="E64" s="62" t="n">
        <v>0.02484833834627032</v>
      </c>
    </row>
    <row r="65">
      <c r="A65" s="61" t="n">
        <v>37408</v>
      </c>
      <c r="B65" s="54" t="n">
        <v>52.5</v>
      </c>
      <c r="C65" s="62" t="n">
        <v>0.01322883902243626</v>
      </c>
      <c r="D65" s="62" t="n">
        <v>0.006155024557835768</v>
      </c>
      <c r="E65" s="62" t="n">
        <v>0.02484833834627032</v>
      </c>
    </row>
    <row r="66">
      <c r="A66" s="61" t="n">
        <v>37438</v>
      </c>
      <c r="B66" s="54" t="n">
        <v>50.4</v>
      </c>
      <c r="C66" s="62" t="n">
        <v>0.02140669989799325</v>
      </c>
      <c r="D66" s="62" t="n">
        <v>0.004035287039980262</v>
      </c>
      <c r="E66" s="62" t="n">
        <v>0.0162391125091006</v>
      </c>
    </row>
    <row r="67">
      <c r="A67" s="61" t="n">
        <v>37469</v>
      </c>
      <c r="B67" s="54" t="n">
        <v>50.9</v>
      </c>
      <c r="C67" s="62" t="n">
        <v>0.02140669989799325</v>
      </c>
      <c r="D67" s="62" t="n">
        <v>0.004035287039980262</v>
      </c>
      <c r="E67" s="62" t="n">
        <v>0.0162391125091006</v>
      </c>
    </row>
    <row r="68">
      <c r="A68" s="61" t="n">
        <v>37500</v>
      </c>
      <c r="B68" s="54" t="n">
        <v>52.3</v>
      </c>
      <c r="C68" s="62" t="n">
        <v>0.02140669989799325</v>
      </c>
      <c r="D68" s="62" t="n">
        <v>0.004035287039980262</v>
      </c>
      <c r="E68" s="62" t="n">
        <v>0.0162391125091006</v>
      </c>
    </row>
    <row r="69">
      <c r="A69" s="61" t="n">
        <v>37530</v>
      </c>
      <c r="B69" s="54" t="n">
        <v>51.4</v>
      </c>
      <c r="C69" s="62" t="n">
        <v>0.01991286184648556</v>
      </c>
      <c r="D69" s="62" t="n">
        <v>0.001306557670590968</v>
      </c>
      <c r="E69" s="62" t="n">
        <v>0.00523648216461936</v>
      </c>
    </row>
    <row r="70">
      <c r="A70" s="61" t="n">
        <v>37561</v>
      </c>
      <c r="B70" s="54" t="n">
        <v>52.9</v>
      </c>
      <c r="C70" s="62" t="n">
        <v>0.01991286184648556</v>
      </c>
      <c r="D70" s="62" t="n">
        <v>0.001306557670590968</v>
      </c>
      <c r="E70" s="62" t="n">
        <v>0.00523648216461936</v>
      </c>
    </row>
    <row r="71">
      <c r="A71" s="61" t="n">
        <v>37591</v>
      </c>
      <c r="B71" s="54" t="n">
        <v>52.3</v>
      </c>
      <c r="C71" s="62" t="n">
        <v>0.01991286184648556</v>
      </c>
      <c r="D71" s="62" t="n">
        <v>0.001306557670590968</v>
      </c>
      <c r="E71" s="62" t="n">
        <v>0.00523648216461936</v>
      </c>
    </row>
    <row r="72">
      <c r="A72" s="61" t="n">
        <v>37622</v>
      </c>
      <c r="B72" s="54" t="n">
        <v>53.3</v>
      </c>
      <c r="C72" s="62" t="n">
        <v>0.01676188940425874</v>
      </c>
      <c r="D72" s="62" t="n">
        <v>0.005167231869169835</v>
      </c>
      <c r="E72" s="62" t="n">
        <v>0.02082968176698108</v>
      </c>
    </row>
    <row r="73">
      <c r="A73" s="61" t="n">
        <v>37653</v>
      </c>
      <c r="B73" s="54" t="n">
        <v>52.6</v>
      </c>
      <c r="C73" s="62" t="n">
        <v>0.01676188940425874</v>
      </c>
      <c r="D73" s="62" t="n">
        <v>0.005167231869169835</v>
      </c>
      <c r="E73" s="62" t="n">
        <v>0.02082968176698108</v>
      </c>
    </row>
    <row r="74">
      <c r="A74" s="61" t="n">
        <v>37681</v>
      </c>
      <c r="B74" s="54" t="n">
        <v>49.1</v>
      </c>
      <c r="C74" s="62" t="n">
        <v>0.01676188940425874</v>
      </c>
      <c r="D74" s="62" t="n">
        <v>0.005167231869169835</v>
      </c>
      <c r="E74" s="62" t="n">
        <v>0.02082968176698108</v>
      </c>
    </row>
    <row r="75">
      <c r="A75" s="61" t="n">
        <v>37712</v>
      </c>
      <c r="B75" s="54" t="n">
        <v>50.1</v>
      </c>
      <c r="C75" s="62" t="n">
        <v>0.01956993641779591</v>
      </c>
      <c r="D75" s="62" t="n">
        <v>0.008933778011626672</v>
      </c>
      <c r="E75" s="62" t="n">
        <v>0.03621684485857446</v>
      </c>
    </row>
    <row r="76">
      <c r="A76" s="61" t="n">
        <v>37742</v>
      </c>
      <c r="B76" s="54" t="n">
        <v>52.8</v>
      </c>
      <c r="C76" s="62" t="n">
        <v>0.01956993641779591</v>
      </c>
      <c r="D76" s="62" t="n">
        <v>0.008933778011626672</v>
      </c>
      <c r="E76" s="62" t="n">
        <v>0.03621684485857446</v>
      </c>
    </row>
    <row r="77">
      <c r="A77" s="61" t="n">
        <v>37773</v>
      </c>
      <c r="B77" s="54" t="n">
        <v>54.3</v>
      </c>
      <c r="C77" s="62" t="n">
        <v>0.01956993641779591</v>
      </c>
      <c r="D77" s="62" t="n">
        <v>0.008933778011626672</v>
      </c>
      <c r="E77" s="62" t="n">
        <v>0.03621684485857446</v>
      </c>
    </row>
    <row r="78">
      <c r="A78" s="61" t="n">
        <v>37803</v>
      </c>
      <c r="B78" s="54" t="n">
        <v>57.3</v>
      </c>
      <c r="C78" s="62" t="n">
        <v>0.03239908301526014</v>
      </c>
      <c r="D78" s="62" t="n">
        <v>0.01666896269711016</v>
      </c>
      <c r="E78" s="62" t="n">
        <v>0.06836158006885573</v>
      </c>
    </row>
    <row r="79">
      <c r="A79" s="61" t="n">
        <v>37834</v>
      </c>
      <c r="B79" s="54" t="n">
        <v>59.1</v>
      </c>
      <c r="C79" s="62" t="n">
        <v>0.03239908301526014</v>
      </c>
      <c r="D79" s="62" t="n">
        <v>0.01666896269711016</v>
      </c>
      <c r="E79" s="62" t="n">
        <v>0.06836158006885573</v>
      </c>
    </row>
    <row r="80">
      <c r="A80" s="61" t="n">
        <v>37865</v>
      </c>
      <c r="B80" s="54" t="n">
        <v>57.6</v>
      </c>
      <c r="C80" s="62" t="n">
        <v>0.03239908301526014</v>
      </c>
      <c r="D80" s="62" t="n">
        <v>0.01666896269711016</v>
      </c>
      <c r="E80" s="62" t="n">
        <v>0.06836158006885573</v>
      </c>
    </row>
    <row r="81">
      <c r="A81" s="61" t="n">
        <v>37895</v>
      </c>
      <c r="B81" s="54" t="n">
        <v>58.7</v>
      </c>
      <c r="C81" s="62" t="n">
        <v>0.04295076520243932</v>
      </c>
      <c r="D81" s="62" t="n">
        <v>0.01154045727617818</v>
      </c>
      <c r="E81" s="62" t="n">
        <v>0.0469670876988979</v>
      </c>
    </row>
    <row r="82">
      <c r="A82" s="61" t="n">
        <v>37926</v>
      </c>
      <c r="B82" s="54" t="n">
        <v>57.5</v>
      </c>
      <c r="C82" s="62" t="n">
        <v>0.04295076520243932</v>
      </c>
      <c r="D82" s="62" t="n">
        <v>0.01154045727617818</v>
      </c>
      <c r="E82" s="62" t="n">
        <v>0.0469670876988979</v>
      </c>
    </row>
    <row r="83">
      <c r="A83" s="61" t="n">
        <v>37956</v>
      </c>
      <c r="B83" s="54" t="n">
        <v>56.8</v>
      </c>
      <c r="C83" s="62" t="n">
        <v>0.04295076520243932</v>
      </c>
      <c r="D83" s="62" t="n">
        <v>0.01154045727617818</v>
      </c>
      <c r="E83" s="62" t="n">
        <v>0.0469670876988979</v>
      </c>
    </row>
    <row r="84">
      <c r="A84" s="61" t="n">
        <v>37987</v>
      </c>
      <c r="B84" s="54" t="n">
        <v>61.2</v>
      </c>
      <c r="C84" s="62" t="n">
        <v>0.04353382086215924</v>
      </c>
      <c r="D84" s="62" t="n">
        <v>0.005729164860697553</v>
      </c>
      <c r="E84" s="62" t="n">
        <v>0.0231143527012434</v>
      </c>
    </row>
    <row r="85">
      <c r="A85" s="61" t="n">
        <v>38018</v>
      </c>
      <c r="B85" s="54" t="n">
        <v>58</v>
      </c>
      <c r="C85" s="62" t="n">
        <v>0.04353382086215924</v>
      </c>
      <c r="D85" s="62" t="n">
        <v>0.005729164860697553</v>
      </c>
      <c r="E85" s="62" t="n">
        <v>0.0231143527012434</v>
      </c>
    </row>
    <row r="86">
      <c r="A86" s="61" t="n">
        <v>38047</v>
      </c>
      <c r="B86" s="54" t="n">
        <v>58.3</v>
      </c>
      <c r="C86" s="62" t="n">
        <v>0.04353382086215924</v>
      </c>
      <c r="D86" s="62" t="n">
        <v>0.005729164860697553</v>
      </c>
      <c r="E86" s="62" t="n">
        <v>0.0231143527012434</v>
      </c>
    </row>
    <row r="87">
      <c r="A87" s="61" t="n">
        <v>38078</v>
      </c>
      <c r="B87" s="54" t="n">
        <v>59.6</v>
      </c>
      <c r="C87" s="62" t="n">
        <v>0.04234811649454442</v>
      </c>
      <c r="D87" s="62" t="n">
        <v>0.00778738758008883</v>
      </c>
      <c r="E87" s="62" t="n">
        <v>0.03151530344471909</v>
      </c>
    </row>
    <row r="88">
      <c r="A88" s="61" t="n">
        <v>38108</v>
      </c>
      <c r="B88" s="54" t="n">
        <v>58.5</v>
      </c>
      <c r="C88" s="62" t="n">
        <v>0.04234811649454442</v>
      </c>
      <c r="D88" s="62" t="n">
        <v>0.00778738758008883</v>
      </c>
      <c r="E88" s="62" t="n">
        <v>0.03151530344471909</v>
      </c>
    </row>
    <row r="89">
      <c r="A89" s="61" t="n">
        <v>38139</v>
      </c>
      <c r="B89" s="54" t="n">
        <v>58.6</v>
      </c>
      <c r="C89" s="62" t="n">
        <v>0.04234811649454442</v>
      </c>
      <c r="D89" s="62" t="n">
        <v>0.00778738758008883</v>
      </c>
      <c r="E89" s="62" t="n">
        <v>0.03151530344471909</v>
      </c>
    </row>
    <row r="90">
      <c r="A90" s="61" t="n">
        <v>38169</v>
      </c>
      <c r="B90" s="54" t="n">
        <v>58.5</v>
      </c>
      <c r="C90" s="62" t="n">
        <v>0.03490834068650776</v>
      </c>
      <c r="D90" s="62" t="n">
        <v>0.009412472246594451</v>
      </c>
      <c r="E90" s="62" t="n">
        <v>0.03818480021627169</v>
      </c>
    </row>
    <row r="91">
      <c r="A91" s="61" t="n">
        <v>38200</v>
      </c>
      <c r="B91" s="54" t="n">
        <v>57.3</v>
      </c>
      <c r="C91" s="62" t="n">
        <v>0.03490834068650776</v>
      </c>
      <c r="D91" s="62" t="n">
        <v>0.009412472246594451</v>
      </c>
      <c r="E91" s="62" t="n">
        <v>0.03818480021627169</v>
      </c>
    </row>
    <row r="92">
      <c r="A92" s="61" t="n">
        <v>38231</v>
      </c>
      <c r="B92" s="54" t="n">
        <v>57.9</v>
      </c>
      <c r="C92" s="62" t="n">
        <v>0.03490834068650776</v>
      </c>
      <c r="D92" s="62" t="n">
        <v>0.009412472246594451</v>
      </c>
      <c r="E92" s="62" t="n">
        <v>0.03818480021627169</v>
      </c>
    </row>
    <row r="93">
      <c r="A93" s="61" t="n">
        <v>38261</v>
      </c>
      <c r="B93" s="54" t="n">
        <v>58.8</v>
      </c>
      <c r="C93" s="62" t="n">
        <v>0.03355765916404892</v>
      </c>
      <c r="D93" s="62" t="n">
        <v>0.01022027368972049</v>
      </c>
      <c r="E93" s="62" t="n">
        <v>0.04151209982891446</v>
      </c>
    </row>
    <row r="94">
      <c r="A94" s="61" t="n">
        <v>38292</v>
      </c>
      <c r="B94" s="54" t="n">
        <v>58.4</v>
      </c>
      <c r="C94" s="62" t="n">
        <v>0.03355765916404892</v>
      </c>
      <c r="D94" s="62" t="n">
        <v>0.01022027368972049</v>
      </c>
      <c r="E94" s="62" t="n">
        <v>0.04151209982891446</v>
      </c>
    </row>
    <row r="95">
      <c r="A95" s="61" t="n">
        <v>38322</v>
      </c>
      <c r="B95" s="54" t="n">
        <v>59.6</v>
      </c>
      <c r="C95" s="62" t="n">
        <v>0.03355765916404892</v>
      </c>
      <c r="D95" s="62" t="n">
        <v>0.01022027368972049</v>
      </c>
      <c r="E95" s="62" t="n">
        <v>0.04151209982891446</v>
      </c>
    </row>
    <row r="96">
      <c r="A96" s="61" t="n">
        <v>38353</v>
      </c>
      <c r="B96" s="54" t="n">
        <v>58</v>
      </c>
      <c r="C96" s="62" t="n">
        <v>0.03908617440899946</v>
      </c>
      <c r="D96" s="62" t="n">
        <v>0.01110882507696538</v>
      </c>
      <c r="E96" s="62" t="n">
        <v>0.04518123508687411</v>
      </c>
    </row>
    <row r="97">
      <c r="A97" s="61" t="n">
        <v>38384</v>
      </c>
      <c r="B97" s="54" t="n">
        <v>59.4</v>
      </c>
      <c r="C97" s="62" t="n">
        <v>0.03908617440899946</v>
      </c>
      <c r="D97" s="62" t="n">
        <v>0.01110882507696538</v>
      </c>
      <c r="E97" s="62" t="n">
        <v>0.04518123508687411</v>
      </c>
    </row>
    <row r="98">
      <c r="A98" s="61" t="n">
        <v>38412</v>
      </c>
      <c r="B98" s="54" t="n">
        <v>58</v>
      </c>
      <c r="C98" s="62" t="n">
        <v>0.03908617440899946</v>
      </c>
      <c r="D98" s="62" t="n">
        <v>0.01110882507696538</v>
      </c>
      <c r="E98" s="62" t="n">
        <v>0.04518123508687411</v>
      </c>
    </row>
    <row r="99">
      <c r="A99" s="61" t="n">
        <v>38443</v>
      </c>
      <c r="B99" s="54" t="n">
        <v>55.6</v>
      </c>
      <c r="C99" s="62" t="n">
        <v>0.03607410366126079</v>
      </c>
      <c r="D99" s="62" t="n">
        <v>0.004866044784053191</v>
      </c>
      <c r="E99" s="62" t="n">
        <v>0.01960671092838173</v>
      </c>
    </row>
    <row r="100">
      <c r="A100" s="61" t="n">
        <v>38473</v>
      </c>
      <c r="B100" s="54" t="n">
        <v>55.3</v>
      </c>
      <c r="C100" s="62" t="n">
        <v>0.03607410366126079</v>
      </c>
      <c r="D100" s="62" t="n">
        <v>0.004866044784053191</v>
      </c>
      <c r="E100" s="62" t="n">
        <v>0.01960671092838173</v>
      </c>
    </row>
    <row r="101">
      <c r="A101" s="61" t="n">
        <v>38504</v>
      </c>
      <c r="B101" s="54" t="n">
        <v>58.1</v>
      </c>
      <c r="C101" s="62" t="n">
        <v>0.03607410366126079</v>
      </c>
      <c r="D101" s="62" t="n">
        <v>0.004866044784053191</v>
      </c>
      <c r="E101" s="62" t="n">
        <v>0.01960671092838173</v>
      </c>
    </row>
    <row r="102">
      <c r="A102" s="61" t="n">
        <v>38534</v>
      </c>
      <c r="B102" s="54" t="n">
        <v>59.5</v>
      </c>
      <c r="C102" s="62" t="n">
        <v>0.03447674589108512</v>
      </c>
      <c r="D102" s="62" t="n">
        <v>0.007856219802722447</v>
      </c>
      <c r="E102" s="62" t="n">
        <v>0.03179714370730702</v>
      </c>
    </row>
    <row r="103">
      <c r="A103" s="61" t="n">
        <v>38565</v>
      </c>
      <c r="B103" s="54" t="n">
        <v>61.3</v>
      </c>
      <c r="C103" s="62" t="n">
        <v>0.03447674589108512</v>
      </c>
      <c r="D103" s="62" t="n">
        <v>0.007856219802722447</v>
      </c>
      <c r="E103" s="62" t="n">
        <v>0.03179714370730702</v>
      </c>
    </row>
    <row r="104">
      <c r="A104" s="61" t="n">
        <v>38596</v>
      </c>
      <c r="B104" s="54" t="n">
        <v>55.7</v>
      </c>
      <c r="C104" s="62" t="n">
        <v>0.03447674589108512</v>
      </c>
      <c r="D104" s="62" t="n">
        <v>0.007856219802722447</v>
      </c>
      <c r="E104" s="62" t="n">
        <v>0.03179714370730702</v>
      </c>
    </row>
    <row r="105">
      <c r="A105" s="61" t="n">
        <v>38626</v>
      </c>
      <c r="B105" s="54" t="n">
        <v>57.4</v>
      </c>
      <c r="C105" s="62" t="n">
        <v>0.02982672051361144</v>
      </c>
      <c r="D105" s="62" t="n">
        <v>0.005679282383580309</v>
      </c>
      <c r="E105" s="62" t="n">
        <v>0.02291138878895094</v>
      </c>
    </row>
    <row r="106">
      <c r="A106" s="61" t="n">
        <v>38657</v>
      </c>
      <c r="B106" s="54" t="n">
        <v>59.1</v>
      </c>
      <c r="C106" s="62" t="n">
        <v>0.02982672051361144</v>
      </c>
      <c r="D106" s="62" t="n">
        <v>0.005679282383580309</v>
      </c>
      <c r="E106" s="62" t="n">
        <v>0.02291138878895094</v>
      </c>
    </row>
    <row r="107">
      <c r="A107" s="61" t="n">
        <v>38687</v>
      </c>
      <c r="B107" s="54" t="n">
        <v>59</v>
      </c>
      <c r="C107" s="62" t="n">
        <v>0.02982672051361144</v>
      </c>
      <c r="D107" s="62" t="n">
        <v>0.005679282383580309</v>
      </c>
      <c r="E107" s="62" t="n">
        <v>0.02291138878895094</v>
      </c>
    </row>
    <row r="108">
      <c r="A108" s="61" t="n">
        <v>38718</v>
      </c>
      <c r="B108" s="54" t="n">
        <v>56.3</v>
      </c>
      <c r="C108" s="62" t="n">
        <v>0.03224857572323006</v>
      </c>
      <c r="D108" s="62" t="n">
        <v>0.01348666119902943</v>
      </c>
      <c r="E108" s="62" t="n">
        <v>0.05504783041874162</v>
      </c>
    </row>
    <row r="109">
      <c r="A109" s="61" t="n">
        <v>38749</v>
      </c>
      <c r="B109" s="54" t="n">
        <v>57.6</v>
      </c>
      <c r="C109" s="62" t="n">
        <v>0.03224857572323006</v>
      </c>
      <c r="D109" s="62" t="n">
        <v>0.01348666119902943</v>
      </c>
      <c r="E109" s="62" t="n">
        <v>0.05504783041874162</v>
      </c>
    </row>
    <row r="110">
      <c r="A110" s="61" t="n">
        <v>38777</v>
      </c>
      <c r="B110" s="54" t="n">
        <v>56.9</v>
      </c>
      <c r="C110" s="62" t="n">
        <v>0.03224857572323006</v>
      </c>
      <c r="D110" s="62" t="n">
        <v>0.01348666119902943</v>
      </c>
      <c r="E110" s="62" t="n">
        <v>0.05504783041874162</v>
      </c>
    </row>
    <row r="111">
      <c r="A111" s="61" t="n">
        <v>38808</v>
      </c>
      <c r="B111" s="54" t="n">
        <v>58.4</v>
      </c>
      <c r="C111" s="62" t="n">
        <v>0.02977269025594638</v>
      </c>
      <c r="D111" s="62" t="n">
        <v>0.00245583730558364</v>
      </c>
      <c r="E111" s="62" t="n">
        <v>0.009859595325901749</v>
      </c>
    </row>
    <row r="112">
      <c r="A112" s="61" t="n">
        <v>38838</v>
      </c>
      <c r="B112" s="54" t="n">
        <v>57</v>
      </c>
      <c r="C112" s="62" t="n">
        <v>0.02977269025594638</v>
      </c>
      <c r="D112" s="62" t="n">
        <v>0.00245583730558364</v>
      </c>
      <c r="E112" s="62" t="n">
        <v>0.009859595325901749</v>
      </c>
    </row>
    <row r="113">
      <c r="A113" s="61" t="n">
        <v>38869</v>
      </c>
      <c r="B113" s="54" t="n">
        <v>55.2</v>
      </c>
      <c r="C113" s="62" t="n">
        <v>0.02977269025594638</v>
      </c>
      <c r="D113" s="62" t="n">
        <v>0.00245583730558364</v>
      </c>
      <c r="E113" s="62" t="n">
        <v>0.009859595325901749</v>
      </c>
    </row>
    <row r="114">
      <c r="A114" s="61" t="n">
        <v>38899</v>
      </c>
      <c r="B114" s="54" t="n">
        <v>55.6</v>
      </c>
      <c r="C114" s="62" t="n">
        <v>0.02328291151863791</v>
      </c>
      <c r="D114" s="62" t="n">
        <v>0.001504561881094995</v>
      </c>
      <c r="E114" s="62" t="n">
        <v>0.006031843391774094</v>
      </c>
    </row>
    <row r="115">
      <c r="A115" s="61" t="n">
        <v>38930</v>
      </c>
      <c r="B115" s="54" t="n">
        <v>53.9</v>
      </c>
      <c r="C115" s="62" t="n">
        <v>0.02328291151863791</v>
      </c>
      <c r="D115" s="62" t="n">
        <v>0.001504561881094995</v>
      </c>
      <c r="E115" s="62" t="n">
        <v>0.006031843391774094</v>
      </c>
    </row>
    <row r="116">
      <c r="A116" s="61" t="n">
        <v>38961</v>
      </c>
      <c r="B116" s="54" t="n">
        <v>54.5</v>
      </c>
      <c r="C116" s="62" t="n">
        <v>0.02328291151863791</v>
      </c>
      <c r="D116" s="62" t="n">
        <v>0.001504561881094995</v>
      </c>
      <c r="E116" s="62" t="n">
        <v>0.006031843391774094</v>
      </c>
    </row>
    <row r="117">
      <c r="A117" s="61" t="n">
        <v>38991</v>
      </c>
      <c r="B117" s="54" t="n">
        <v>54.9</v>
      </c>
      <c r="C117" s="62" t="n">
        <v>0.02608901983560922</v>
      </c>
      <c r="D117" s="62" t="n">
        <v>0.008437116963573578</v>
      </c>
      <c r="E117" s="62" t="n">
        <v>0.03417798496028146</v>
      </c>
    </row>
    <row r="118">
      <c r="A118" s="61" t="n">
        <v>39022</v>
      </c>
      <c r="B118" s="54" t="n">
        <v>54.5</v>
      </c>
      <c r="C118" s="62" t="n">
        <v>0.02608901983560922</v>
      </c>
      <c r="D118" s="62" t="n">
        <v>0.008437116963573578</v>
      </c>
      <c r="E118" s="62" t="n">
        <v>0.03417798496028146</v>
      </c>
    </row>
    <row r="119">
      <c r="A119" s="61" t="n">
        <v>39052</v>
      </c>
      <c r="B119" s="54" t="n">
        <v>53.7</v>
      </c>
      <c r="C119" s="62" t="n">
        <v>0.02608901983560922</v>
      </c>
      <c r="D119" s="62" t="n">
        <v>0.008437116963573578</v>
      </c>
      <c r="E119" s="62" t="n">
        <v>0.03417798496028146</v>
      </c>
    </row>
    <row r="120">
      <c r="A120" s="61" t="n">
        <v>39083</v>
      </c>
      <c r="B120" s="54" t="n">
        <v>55.4</v>
      </c>
      <c r="C120" s="62" t="n">
        <v>0.01540715325180492</v>
      </c>
      <c r="D120" s="62" t="n">
        <v>0.002935988606189744</v>
      </c>
      <c r="E120" s="62" t="n">
        <v>0.01179577590686653</v>
      </c>
    </row>
    <row r="121">
      <c r="A121" s="61" t="n">
        <v>39114</v>
      </c>
      <c r="B121" s="54" t="n">
        <v>54.2</v>
      </c>
      <c r="C121" s="62" t="n">
        <v>0.01540715325180492</v>
      </c>
      <c r="D121" s="62" t="n">
        <v>0.002935988606189744</v>
      </c>
      <c r="E121" s="62" t="n">
        <v>0.01179577590686653</v>
      </c>
    </row>
    <row r="122">
      <c r="A122" s="61" t="n">
        <v>39142</v>
      </c>
      <c r="B122" s="54" t="n">
        <v>52.1</v>
      </c>
      <c r="C122" s="62" t="n">
        <v>0.01540715325180492</v>
      </c>
      <c r="D122" s="62" t="n">
        <v>0.002935988606189744</v>
      </c>
      <c r="E122" s="62" t="n">
        <v>0.01179577590686653</v>
      </c>
    </row>
    <row r="123">
      <c r="A123" s="61" t="n">
        <v>39173</v>
      </c>
      <c r="B123" s="54" t="n">
        <v>53.4</v>
      </c>
      <c r="C123" s="62" t="n">
        <v>0.01938641594997887</v>
      </c>
      <c r="D123" s="62" t="n">
        <v>0.00638434530080713</v>
      </c>
      <c r="E123" s="62" t="n">
        <v>0.02578298295432324</v>
      </c>
    </row>
    <row r="124">
      <c r="A124" s="61" t="n">
        <v>39203</v>
      </c>
      <c r="B124" s="54" t="n">
        <v>54.3</v>
      </c>
      <c r="C124" s="62" t="n">
        <v>0.01938641594997887</v>
      </c>
      <c r="D124" s="62" t="n">
        <v>0.00638434530080713</v>
      </c>
      <c r="E124" s="62" t="n">
        <v>0.02578298295432324</v>
      </c>
    </row>
    <row r="125">
      <c r="A125" s="61" t="n">
        <v>39234</v>
      </c>
      <c r="B125" s="54" t="n">
        <v>54.9</v>
      </c>
      <c r="C125" s="62" t="n">
        <v>0.01938641594997887</v>
      </c>
      <c r="D125" s="62" t="n">
        <v>0.00638434530080713</v>
      </c>
      <c r="E125" s="62" t="n">
        <v>0.02578298295432324</v>
      </c>
    </row>
    <row r="126">
      <c r="A126" s="61" t="n">
        <v>39264</v>
      </c>
      <c r="B126" s="54" t="n">
        <v>53.6</v>
      </c>
      <c r="C126" s="62" t="n">
        <v>0.02398559850010293</v>
      </c>
      <c r="D126" s="62" t="n">
        <v>0.006023066574509698</v>
      </c>
      <c r="E126" s="62" t="n">
        <v>0.02431080560296794</v>
      </c>
    </row>
    <row r="127">
      <c r="A127" s="61" t="n">
        <v>39295</v>
      </c>
      <c r="B127" s="54" t="n">
        <v>52.7</v>
      </c>
      <c r="C127" s="62" t="n">
        <v>0.02398559850010293</v>
      </c>
      <c r="D127" s="62" t="n">
        <v>0.006023066574509698</v>
      </c>
      <c r="E127" s="62" t="n">
        <v>0.02431080560296794</v>
      </c>
    </row>
    <row r="128">
      <c r="A128" s="61" t="n">
        <v>39326</v>
      </c>
      <c r="B128" s="54" t="n">
        <v>52.6</v>
      </c>
      <c r="C128" s="62" t="n">
        <v>0.02398559850010293</v>
      </c>
      <c r="D128" s="62" t="n">
        <v>0.006023066574509698</v>
      </c>
      <c r="E128" s="62" t="n">
        <v>0.02431080560296794</v>
      </c>
    </row>
    <row r="129">
      <c r="A129" s="61" t="n">
        <v>39356</v>
      </c>
      <c r="B129" s="54" t="n">
        <v>53.6</v>
      </c>
      <c r="C129" s="62" t="n">
        <v>0.02160883208196539</v>
      </c>
      <c r="D129" s="62" t="n">
        <v>0.006096440026404512</v>
      </c>
      <c r="E129" s="62" t="n">
        <v>0.02460966730827407</v>
      </c>
    </row>
    <row r="130">
      <c r="A130" s="61" t="n">
        <v>39387</v>
      </c>
      <c r="B130" s="54" t="n">
        <v>52.8</v>
      </c>
      <c r="C130" s="62" t="n">
        <v>0.02160883208196539</v>
      </c>
      <c r="D130" s="62" t="n">
        <v>0.006096440026404512</v>
      </c>
      <c r="E130" s="62" t="n">
        <v>0.02460966730827407</v>
      </c>
    </row>
    <row r="131">
      <c r="A131" s="61" t="n">
        <v>39417</v>
      </c>
      <c r="B131" s="54" t="n">
        <v>52.5</v>
      </c>
      <c r="C131" s="62" t="n">
        <v>0.02160883208196539</v>
      </c>
      <c r="D131" s="62" t="n">
        <v>0.006096440026404512</v>
      </c>
      <c r="E131" s="62" t="n">
        <v>0.02460966730827407</v>
      </c>
    </row>
    <row r="132">
      <c r="A132" s="61" t="n">
        <v>39448</v>
      </c>
      <c r="B132" s="54" t="n">
        <v>44.8</v>
      </c>
      <c r="C132" s="62" t="n">
        <v>0.01446803001442738</v>
      </c>
      <c r="D132" s="62" t="n">
        <v>-0.004074294739200093</v>
      </c>
      <c r="E132" s="62" t="n">
        <v>-0.01619784994668927</v>
      </c>
    </row>
    <row r="133">
      <c r="A133" s="61" t="n">
        <v>39479</v>
      </c>
      <c r="B133" s="54" t="n">
        <v>49.9</v>
      </c>
      <c r="C133" s="62" t="n">
        <v>0.01446803001442738</v>
      </c>
      <c r="D133" s="62" t="n">
        <v>-0.004074294739200093</v>
      </c>
      <c r="E133" s="62" t="n">
        <v>-0.01619784994668927</v>
      </c>
    </row>
    <row r="134">
      <c r="A134" s="61" t="n">
        <v>39508</v>
      </c>
      <c r="B134" s="54" t="n">
        <v>49.4</v>
      </c>
      <c r="C134" s="62" t="n">
        <v>0.01446803001442738</v>
      </c>
      <c r="D134" s="62" t="n">
        <v>-0.004074294739200093</v>
      </c>
      <c r="E134" s="62" t="n">
        <v>-0.01619784994668927</v>
      </c>
    </row>
    <row r="135">
      <c r="A135" s="61" t="n">
        <v>39539</v>
      </c>
      <c r="B135" s="54" t="n">
        <v>51.9</v>
      </c>
      <c r="C135" s="62" t="n">
        <v>0.01380132559333386</v>
      </c>
      <c r="D135" s="62" t="n">
        <v>0.005722953445686955</v>
      </c>
      <c r="E135" s="62" t="n">
        <v>0.02308907778947766</v>
      </c>
    </row>
    <row r="136">
      <c r="A136" s="61" t="n">
        <v>39569</v>
      </c>
      <c r="B136" s="54" t="n">
        <v>51.5</v>
      </c>
      <c r="C136" s="62" t="n">
        <v>0.01380132559333386</v>
      </c>
      <c r="D136" s="62" t="n">
        <v>0.005722953445686955</v>
      </c>
      <c r="E136" s="62" t="n">
        <v>0.02308907778947766</v>
      </c>
    </row>
    <row r="137">
      <c r="A137" s="61" t="n">
        <v>39600</v>
      </c>
      <c r="B137" s="54" t="n">
        <v>48.1</v>
      </c>
      <c r="C137" s="62" t="n">
        <v>0.01380132559333386</v>
      </c>
      <c r="D137" s="62" t="n">
        <v>0.005722953445686955</v>
      </c>
      <c r="E137" s="62" t="n">
        <v>0.02308907778947766</v>
      </c>
    </row>
    <row r="138">
      <c r="A138" s="61" t="n">
        <v>39630</v>
      </c>
      <c r="B138" s="54" t="n">
        <v>50.1</v>
      </c>
      <c r="C138" s="62" t="n">
        <v>0.002422023781227279</v>
      </c>
      <c r="D138" s="62" t="n">
        <v>-0.005268929022154585</v>
      </c>
      <c r="E138" s="62" t="n">
        <v>-0.0209097307355427</v>
      </c>
    </row>
    <row r="139">
      <c r="A139" s="61" t="n">
        <v>39661</v>
      </c>
      <c r="B139" s="54" t="n">
        <v>50.6</v>
      </c>
      <c r="C139" s="62" t="n">
        <v>0.002422023781227279</v>
      </c>
      <c r="D139" s="62" t="n">
        <v>-0.005268929022154585</v>
      </c>
      <c r="E139" s="62" t="n">
        <v>-0.0209097307355427</v>
      </c>
    </row>
    <row r="140">
      <c r="A140" s="61" t="n">
        <v>39692</v>
      </c>
      <c r="B140" s="54" t="n">
        <v>49.4</v>
      </c>
      <c r="C140" s="62" t="n">
        <v>0.002422023781227279</v>
      </c>
      <c r="D140" s="62" t="n">
        <v>-0.005268929022154585</v>
      </c>
      <c r="E140" s="62" t="n">
        <v>-0.0209097307355427</v>
      </c>
    </row>
    <row r="141">
      <c r="A141" s="61" t="n">
        <v>39722</v>
      </c>
      <c r="B141" s="54" t="n">
        <v>44.7</v>
      </c>
      <c r="C141" s="62" t="n">
        <v>-0.02540339259876205</v>
      </c>
      <c r="D141" s="62" t="n">
        <v>-0.02183097148093626</v>
      </c>
      <c r="E141" s="62" t="n">
        <v>-0.08450572869534734</v>
      </c>
    </row>
    <row r="142">
      <c r="A142" s="61" t="n">
        <v>39753</v>
      </c>
      <c r="B142" s="54" t="n">
        <v>37.8</v>
      </c>
      <c r="C142" s="62" t="n">
        <v>-0.02540339259876205</v>
      </c>
      <c r="D142" s="62" t="n">
        <v>-0.02183097148093626</v>
      </c>
      <c r="E142" s="62" t="n">
        <v>-0.08450572869534734</v>
      </c>
    </row>
    <row r="143">
      <c r="A143" s="61" t="n">
        <v>39783</v>
      </c>
      <c r="B143" s="54" t="n">
        <v>40</v>
      </c>
      <c r="C143" s="62" t="n">
        <v>-0.02540339259876205</v>
      </c>
      <c r="D143" s="62" t="n">
        <v>-0.02183097148093626</v>
      </c>
      <c r="E143" s="62" t="n">
        <v>-0.08450572869534734</v>
      </c>
    </row>
    <row r="144">
      <c r="A144" s="61" t="n">
        <v>39814</v>
      </c>
      <c r="B144" s="54" t="n">
        <v>43</v>
      </c>
      <c r="C144" s="62" t="n">
        <v>-0.03282392443793528</v>
      </c>
      <c r="D144" s="62" t="n">
        <v>-0.01165722530679672</v>
      </c>
      <c r="E144" s="62" t="n">
        <v>-0.04581987379316932</v>
      </c>
    </row>
    <row r="145">
      <c r="A145" s="61" t="n">
        <v>39845</v>
      </c>
      <c r="B145" s="54" t="n">
        <v>41.6</v>
      </c>
      <c r="C145" s="62" t="n">
        <v>-0.03282392443793528</v>
      </c>
      <c r="D145" s="62" t="n">
        <v>-0.01165722530679672</v>
      </c>
      <c r="E145" s="62" t="n">
        <v>-0.04581987379316932</v>
      </c>
    </row>
    <row r="146">
      <c r="A146" s="61" t="n">
        <v>39873</v>
      </c>
      <c r="B146" s="54" t="n">
        <v>40.1</v>
      </c>
      <c r="C146" s="62" t="n">
        <v>-0.03282392443793528</v>
      </c>
      <c r="D146" s="62" t="n">
        <v>-0.01165722530679672</v>
      </c>
      <c r="E146" s="62" t="n">
        <v>-0.04581987379316932</v>
      </c>
    </row>
    <row r="147">
      <c r="A147" s="61" t="n">
        <v>39904</v>
      </c>
      <c r="B147" s="54" t="n">
        <v>43.7</v>
      </c>
      <c r="C147" s="62" t="n">
        <v>-0.03995504779306322</v>
      </c>
      <c r="D147" s="62" t="n">
        <v>-0.001692381386635996</v>
      </c>
      <c r="E147" s="62" t="n">
        <v>-0.006752359998762336</v>
      </c>
    </row>
    <row r="148">
      <c r="A148" s="61" t="n">
        <v>39934</v>
      </c>
      <c r="B148" s="54" t="n">
        <v>44.4</v>
      </c>
      <c r="C148" s="62" t="n">
        <v>-0.03995504779306322</v>
      </c>
      <c r="D148" s="62" t="n">
        <v>-0.001692381386635996</v>
      </c>
      <c r="E148" s="62" t="n">
        <v>-0.006752359998762336</v>
      </c>
    </row>
    <row r="149">
      <c r="A149" s="61" t="n">
        <v>39965</v>
      </c>
      <c r="B149" s="54" t="n">
        <v>46.4</v>
      </c>
      <c r="C149" s="62" t="n">
        <v>-0.03995504779306322</v>
      </c>
      <c r="D149" s="62" t="n">
        <v>-0.001692381386635996</v>
      </c>
      <c r="E149" s="62" t="n">
        <v>-0.006752359998762336</v>
      </c>
    </row>
    <row r="150">
      <c r="A150" s="61" t="n">
        <v>39995</v>
      </c>
      <c r="B150" s="54" t="n">
        <v>47.1</v>
      </c>
      <c r="C150" s="62" t="n">
        <v>-0.03137675003287801</v>
      </c>
      <c r="D150" s="62" t="n">
        <v>0.00361929990768889</v>
      </c>
      <c r="E150" s="62" t="n">
        <v>0.01455598543492065</v>
      </c>
    </row>
    <row r="151">
      <c r="A151" s="61" t="n">
        <v>40026</v>
      </c>
      <c r="B151" s="54" t="n">
        <v>48.9</v>
      </c>
      <c r="C151" s="62" t="n">
        <v>-0.03137675003287801</v>
      </c>
      <c r="D151" s="62" t="n">
        <v>0.00361929990768889</v>
      </c>
      <c r="E151" s="62" t="n">
        <v>0.01455598543492065</v>
      </c>
    </row>
    <row r="152">
      <c r="A152" s="61" t="n">
        <v>40057</v>
      </c>
      <c r="B152" s="54" t="n">
        <v>50.1</v>
      </c>
      <c r="C152" s="62" t="n">
        <v>-0.03137675003287801</v>
      </c>
      <c r="D152" s="62" t="n">
        <v>0.00361929990768889</v>
      </c>
      <c r="E152" s="62" t="n">
        <v>0.01455598543492065</v>
      </c>
    </row>
    <row r="153">
      <c r="A153" s="61" t="n">
        <v>40087</v>
      </c>
      <c r="B153" s="54" t="n">
        <v>51</v>
      </c>
      <c r="C153" s="62" t="n">
        <v>0.0008165758387652319</v>
      </c>
      <c r="D153" s="62" t="n">
        <v>0.01067961949830339</v>
      </c>
      <c r="E153" s="62" t="n">
        <v>0.0434076888622974</v>
      </c>
    </row>
    <row r="154">
      <c r="A154" s="61" t="n">
        <v>40118</v>
      </c>
      <c r="B154" s="54" t="n">
        <v>49.5</v>
      </c>
      <c r="C154" s="62" t="n">
        <v>0.0008165758387652319</v>
      </c>
      <c r="D154" s="62" t="n">
        <v>0.01067961949830339</v>
      </c>
      <c r="E154" s="62" t="n">
        <v>0.0434076888622974</v>
      </c>
    </row>
    <row r="155">
      <c r="A155" s="61" t="n">
        <v>40148</v>
      </c>
      <c r="B155" s="54" t="n">
        <v>49.7</v>
      </c>
      <c r="C155" s="62" t="n">
        <v>0.0008165758387652319</v>
      </c>
      <c r="D155" s="62" t="n">
        <v>0.01067961949830339</v>
      </c>
      <c r="E155" s="62" t="n">
        <v>0.0434076888622974</v>
      </c>
    </row>
    <row r="156">
      <c r="A156" s="61" t="n">
        <v>40179</v>
      </c>
      <c r="B156" s="54" t="n">
        <v>50</v>
      </c>
      <c r="C156" s="62" t="n">
        <v>0.01768457232028358</v>
      </c>
      <c r="D156" s="62" t="n">
        <v>0.00500053481481906</v>
      </c>
      <c r="E156" s="62" t="n">
        <v>0.02015267213561045</v>
      </c>
    </row>
    <row r="157">
      <c r="A157" s="61" t="n">
        <v>40210</v>
      </c>
      <c r="B157" s="54" t="n">
        <v>51.7</v>
      </c>
      <c r="C157" s="62" t="n">
        <v>0.01768457232028358</v>
      </c>
      <c r="D157" s="62" t="n">
        <v>0.00500053481481906</v>
      </c>
      <c r="E157" s="62" t="n">
        <v>0.02015267213561045</v>
      </c>
    </row>
    <row r="158">
      <c r="A158" s="61" t="n">
        <v>40238</v>
      </c>
      <c r="B158" s="54" t="n">
        <v>53.3</v>
      </c>
      <c r="C158" s="62" t="n">
        <v>0.01768457232028358</v>
      </c>
      <c r="D158" s="62" t="n">
        <v>0.00500053481481906</v>
      </c>
      <c r="E158" s="62" t="n">
        <v>0.02015267213561045</v>
      </c>
    </row>
    <row r="159">
      <c r="A159" s="61" t="n">
        <v>40269</v>
      </c>
      <c r="B159" s="54" t="n">
        <v>55.3</v>
      </c>
      <c r="C159" s="62" t="n">
        <v>0.02927467844787534</v>
      </c>
      <c r="D159" s="62" t="n">
        <v>0.009677046393262431</v>
      </c>
      <c r="E159" s="62" t="n">
        <v>0.03927369054068341</v>
      </c>
    </row>
    <row r="160">
      <c r="A160" s="61" t="n">
        <v>40299</v>
      </c>
      <c r="B160" s="54" t="n">
        <v>55.5</v>
      </c>
      <c r="C160" s="62" t="n">
        <v>0.02927467844787534</v>
      </c>
      <c r="D160" s="62" t="n">
        <v>0.009677046393262431</v>
      </c>
      <c r="E160" s="62" t="n">
        <v>0.03927369054068341</v>
      </c>
    </row>
    <row r="161">
      <c r="A161" s="61" t="n">
        <v>40330</v>
      </c>
      <c r="B161" s="54" t="n">
        <v>54.4</v>
      </c>
      <c r="C161" s="62" t="n">
        <v>0.02927467844787534</v>
      </c>
      <c r="D161" s="62" t="n">
        <v>0.009677046393262431</v>
      </c>
      <c r="E161" s="62" t="n">
        <v>0.03927369054068341</v>
      </c>
    </row>
    <row r="162">
      <c r="A162" s="61" t="n">
        <v>40360</v>
      </c>
      <c r="B162" s="54" t="n">
        <v>54.6</v>
      </c>
      <c r="C162" s="62" t="n">
        <v>0.03349193813853987</v>
      </c>
      <c r="D162" s="62" t="n">
        <v>0.007731441503026897</v>
      </c>
      <c r="E162" s="62" t="n">
        <v>0.03128626930493783</v>
      </c>
    </row>
    <row r="163">
      <c r="A163" s="61" t="n">
        <v>40391</v>
      </c>
      <c r="B163" s="54" t="n">
        <v>52.4</v>
      </c>
      <c r="C163" s="62" t="n">
        <v>0.03349193813853987</v>
      </c>
      <c r="D163" s="62" t="n">
        <v>0.007731441503026897</v>
      </c>
      <c r="E163" s="62" t="n">
        <v>0.03128626930493783</v>
      </c>
    </row>
    <row r="164">
      <c r="A164" s="61" t="n">
        <v>40422</v>
      </c>
      <c r="B164" s="54" t="n">
        <v>53.3</v>
      </c>
      <c r="C164" s="62" t="n">
        <v>0.03349193813853987</v>
      </c>
      <c r="D164" s="62" t="n">
        <v>0.007731441503026897</v>
      </c>
      <c r="E164" s="62" t="n">
        <v>0.03128626930493783</v>
      </c>
    </row>
    <row r="165">
      <c r="A165" s="61" t="n">
        <v>40452</v>
      </c>
      <c r="B165" s="54" t="n">
        <v>55.3</v>
      </c>
      <c r="C165" s="62" t="n">
        <v>0.02788449690506404</v>
      </c>
      <c r="D165" s="62" t="n">
        <v>0.005195951592372664</v>
      </c>
      <c r="E165" s="62" t="n">
        <v>0.02094635569547521</v>
      </c>
    </row>
    <row r="166">
      <c r="A166" s="61" t="n">
        <v>40483</v>
      </c>
      <c r="B166" s="54" t="n">
        <v>56.4</v>
      </c>
      <c r="C166" s="62" t="n">
        <v>0.02788449690506404</v>
      </c>
      <c r="D166" s="62" t="n">
        <v>0.005195951592372664</v>
      </c>
      <c r="E166" s="62" t="n">
        <v>0.02094635569547521</v>
      </c>
    </row>
    <row r="167">
      <c r="A167" s="61" t="n">
        <v>40513</v>
      </c>
      <c r="B167" s="54" t="n">
        <v>56.9</v>
      </c>
      <c r="C167" s="62" t="n">
        <v>0.02788449690506404</v>
      </c>
      <c r="D167" s="62" t="n">
        <v>0.005195951592372664</v>
      </c>
      <c r="E167" s="62" t="n">
        <v>0.02094635569547521</v>
      </c>
    </row>
    <row r="168">
      <c r="A168" s="61" t="n">
        <v>40544</v>
      </c>
      <c r="B168" s="54" t="n">
        <v>57.6</v>
      </c>
      <c r="C168" s="62" t="n">
        <v>0.02030608190613149</v>
      </c>
      <c r="D168" s="62" t="n">
        <v>-0.002409160681035181</v>
      </c>
      <c r="E168" s="62" t="n">
        <v>-0.009601874290937507</v>
      </c>
    </row>
    <row r="169">
      <c r="A169" s="61" t="n">
        <v>40575</v>
      </c>
      <c r="B169" s="54" t="n">
        <v>58</v>
      </c>
      <c r="C169" s="62" t="n">
        <v>0.02030608190613149</v>
      </c>
      <c r="D169" s="62" t="n">
        <v>-0.002409160681035181</v>
      </c>
      <c r="E169" s="62" t="n">
        <v>-0.009601874290937507</v>
      </c>
    </row>
    <row r="170">
      <c r="A170" s="61" t="n">
        <v>40603</v>
      </c>
      <c r="B170" s="54" t="n">
        <v>55.8</v>
      </c>
      <c r="C170" s="62" t="n">
        <v>0.02030608190613149</v>
      </c>
      <c r="D170" s="62" t="n">
        <v>-0.002409160681035181</v>
      </c>
      <c r="E170" s="62" t="n">
        <v>-0.009601874290937507</v>
      </c>
    </row>
    <row r="171">
      <c r="A171" s="61" t="n">
        <v>40634</v>
      </c>
      <c r="B171" s="54" t="n">
        <v>55.2</v>
      </c>
      <c r="C171" s="62" t="n">
        <v>0.01737905068607296</v>
      </c>
      <c r="D171" s="62" t="n">
        <v>0.006780507512058875</v>
      </c>
      <c r="E171" s="62" t="n">
        <v>0.02739913079767176</v>
      </c>
    </row>
    <row r="172">
      <c r="A172" s="61" t="n">
        <v>40664</v>
      </c>
      <c r="B172" s="54" t="n">
        <v>55</v>
      </c>
      <c r="C172" s="62" t="n">
        <v>0.01737905068607296</v>
      </c>
      <c r="D172" s="62" t="n">
        <v>0.006780507512058875</v>
      </c>
      <c r="E172" s="62" t="n">
        <v>0.02739913079767176</v>
      </c>
    </row>
    <row r="173">
      <c r="A173" s="61" t="n">
        <v>40695</v>
      </c>
      <c r="B173" s="54" t="n">
        <v>54.2</v>
      </c>
      <c r="C173" s="62" t="n">
        <v>0.01737905068607296</v>
      </c>
      <c r="D173" s="62" t="n">
        <v>0.006780507512058875</v>
      </c>
      <c r="E173" s="62" t="n">
        <v>0.02739913079767176</v>
      </c>
    </row>
    <row r="174">
      <c r="A174" s="61" t="n">
        <v>40725</v>
      </c>
      <c r="B174" s="54" t="n">
        <v>53.5</v>
      </c>
      <c r="C174" s="62" t="n">
        <v>0.009182208483861604</v>
      </c>
      <c r="D174" s="62" t="n">
        <v>-0.0003876716265750793</v>
      </c>
      <c r="E174" s="62" t="n">
        <v>-0.001549785003588933</v>
      </c>
    </row>
    <row r="175">
      <c r="A175" s="61" t="n">
        <v>40756</v>
      </c>
      <c r="B175" s="54" t="n">
        <v>53.5</v>
      </c>
      <c r="C175" s="62" t="n">
        <v>0.009182208483861604</v>
      </c>
      <c r="D175" s="62" t="n">
        <v>-0.0003876716265750793</v>
      </c>
      <c r="E175" s="62" t="n">
        <v>-0.001549785003588933</v>
      </c>
    </row>
    <row r="176">
      <c r="A176" s="61" t="n">
        <v>40787</v>
      </c>
      <c r="B176" s="54" t="n">
        <v>52.3</v>
      </c>
      <c r="C176" s="62" t="n">
        <v>0.009182208483861604</v>
      </c>
      <c r="D176" s="62" t="n">
        <v>-0.0003876716265750793</v>
      </c>
      <c r="E176" s="62" t="n">
        <v>-0.001549785003588933</v>
      </c>
    </row>
    <row r="177">
      <c r="A177" s="61" t="n">
        <v>40817</v>
      </c>
      <c r="B177" s="54" t="n">
        <v>52.8</v>
      </c>
      <c r="C177" s="62" t="n">
        <v>0.0152269152413066</v>
      </c>
      <c r="D177" s="62" t="n">
        <v>0.01121678183498582</v>
      </c>
      <c r="E177" s="62" t="n">
        <v>0.04562768534929051</v>
      </c>
    </row>
    <row r="178">
      <c r="A178" s="61" t="n">
        <v>40848</v>
      </c>
      <c r="B178" s="54" t="n">
        <v>52.9</v>
      </c>
      <c r="C178" s="62" t="n">
        <v>0.0152269152413066</v>
      </c>
      <c r="D178" s="62" t="n">
        <v>0.01121678183498582</v>
      </c>
      <c r="E178" s="62" t="n">
        <v>0.04562768534929051</v>
      </c>
    </row>
    <row r="179">
      <c r="A179" s="61" t="n">
        <v>40878</v>
      </c>
      <c r="B179" s="54" t="n">
        <v>52.6</v>
      </c>
      <c r="C179" s="62" t="n">
        <v>0.0152269152413066</v>
      </c>
      <c r="D179" s="62" t="n">
        <v>0.01121678183498582</v>
      </c>
      <c r="E179" s="62" t="n">
        <v>0.04562768534929051</v>
      </c>
    </row>
    <row r="180">
      <c r="A180" s="61" t="n">
        <v>40909</v>
      </c>
      <c r="B180" s="54" t="n">
        <v>56</v>
      </c>
      <c r="C180" s="62" t="n">
        <v>0.02600249297538843</v>
      </c>
      <c r="D180" s="62" t="n">
        <v>0.008179228450998806</v>
      </c>
      <c r="E180" s="62" t="n">
        <v>0.03312050570216885</v>
      </c>
    </row>
    <row r="181">
      <c r="A181" s="61" t="n">
        <v>40940</v>
      </c>
      <c r="B181" s="54" t="n">
        <v>56</v>
      </c>
      <c r="C181" s="62" t="n">
        <v>0.02600249297538843</v>
      </c>
      <c r="D181" s="62" t="n">
        <v>0.008179228450998806</v>
      </c>
      <c r="E181" s="62" t="n">
        <v>0.03312050570216885</v>
      </c>
    </row>
    <row r="182">
      <c r="A182" s="61" t="n">
        <v>40969</v>
      </c>
      <c r="B182" s="54" t="n">
        <v>55.6</v>
      </c>
      <c r="C182" s="62" t="n">
        <v>0.02600249297538843</v>
      </c>
      <c r="D182" s="62" t="n">
        <v>0.008179228450998806</v>
      </c>
      <c r="E182" s="62" t="n">
        <v>0.03312050570216885</v>
      </c>
    </row>
    <row r="183">
      <c r="A183" s="61" t="n">
        <v>41000</v>
      </c>
      <c r="B183" s="54" t="n">
        <v>54.4</v>
      </c>
      <c r="C183" s="62" t="n">
        <v>0.02373816349715461</v>
      </c>
      <c r="D183" s="62" t="n">
        <v>0.004558599868677108</v>
      </c>
      <c r="E183" s="62" t="n">
        <v>0.01835946382913356</v>
      </c>
    </row>
    <row r="184">
      <c r="A184" s="61" t="n">
        <v>41030</v>
      </c>
      <c r="B184" s="54" t="n">
        <v>54.5</v>
      </c>
      <c r="C184" s="62" t="n">
        <v>0.02373816349715461</v>
      </c>
      <c r="D184" s="62" t="n">
        <v>0.004558599868677108</v>
      </c>
      <c r="E184" s="62" t="n">
        <v>0.01835946382913356</v>
      </c>
    </row>
    <row r="185">
      <c r="A185" s="61" t="n">
        <v>41061</v>
      </c>
      <c r="B185" s="54" t="n">
        <v>53.7</v>
      </c>
      <c r="C185" s="62" t="n">
        <v>0.02373816349715461</v>
      </c>
      <c r="D185" s="62" t="n">
        <v>0.004558599868677108</v>
      </c>
      <c r="E185" s="62" t="n">
        <v>0.01835946382913356</v>
      </c>
    </row>
    <row r="186">
      <c r="A186" s="61" t="n">
        <v>41091</v>
      </c>
      <c r="B186" s="54" t="n">
        <v>52.4</v>
      </c>
      <c r="C186" s="62" t="n">
        <v>0.02592622977056317</v>
      </c>
      <c r="D186" s="62" t="n">
        <v>0.001748829776015621</v>
      </c>
      <c r="E186" s="62" t="n">
        <v>0.007013690941451767</v>
      </c>
    </row>
    <row r="187">
      <c r="A187" s="61" t="n">
        <v>41122</v>
      </c>
      <c r="B187" s="54" t="n">
        <v>52.9</v>
      </c>
      <c r="C187" s="62" t="n">
        <v>0.02592622977056317</v>
      </c>
      <c r="D187" s="62" t="n">
        <v>0.001748829776015621</v>
      </c>
      <c r="E187" s="62" t="n">
        <v>0.007013690941451767</v>
      </c>
    </row>
    <row r="188">
      <c r="A188" s="61" t="n">
        <v>41153</v>
      </c>
      <c r="B188" s="54" t="n">
        <v>54.6</v>
      </c>
      <c r="C188" s="62" t="n">
        <v>0.02592622977056317</v>
      </c>
      <c r="D188" s="62" t="n">
        <v>0.001748829776015621</v>
      </c>
      <c r="E188" s="62" t="n">
        <v>0.007013690941451767</v>
      </c>
    </row>
    <row r="189">
      <c r="A189" s="61" t="n">
        <v>41183</v>
      </c>
      <c r="B189" s="54" t="n">
        <v>54.2</v>
      </c>
      <c r="C189" s="62" t="n">
        <v>0.0156606434588916</v>
      </c>
      <c r="D189" s="62" t="n">
        <v>0.001098380674641822</v>
      </c>
      <c r="E189" s="62" t="n">
        <v>0.004400766641183607</v>
      </c>
    </row>
    <row r="190">
      <c r="A190" s="61" t="n">
        <v>41214</v>
      </c>
      <c r="B190" s="54" t="n">
        <v>54.8</v>
      </c>
      <c r="C190" s="62" t="n">
        <v>0.0156606434588916</v>
      </c>
      <c r="D190" s="62" t="n">
        <v>0.001098380674641822</v>
      </c>
      <c r="E190" s="62" t="n">
        <v>0.004400766641183607</v>
      </c>
    </row>
    <row r="191">
      <c r="A191" s="61" t="n">
        <v>41244</v>
      </c>
      <c r="B191" s="54" t="n">
        <v>55.6</v>
      </c>
      <c r="C191" s="62" t="n">
        <v>0.0156606434588916</v>
      </c>
      <c r="D191" s="62" t="n">
        <v>0.001098380674641822</v>
      </c>
      <c r="E191" s="62" t="n">
        <v>0.004400766641183607</v>
      </c>
    </row>
    <row r="192">
      <c r="A192" s="61" t="n">
        <v>41275</v>
      </c>
      <c r="B192" s="54" t="n">
        <v>55.3</v>
      </c>
      <c r="C192" s="62" t="n">
        <v>0.01616301095280286</v>
      </c>
      <c r="D192" s="62" t="n">
        <v>0.008677895476911597</v>
      </c>
      <c r="E192" s="62" t="n">
        <v>0.03516603678394081</v>
      </c>
    </row>
    <row r="193">
      <c r="A193" s="61" t="n">
        <v>41306</v>
      </c>
      <c r="B193" s="54" t="n">
        <v>56.1</v>
      </c>
      <c r="C193" s="62" t="n">
        <v>0.01616301095280286</v>
      </c>
      <c r="D193" s="62" t="n">
        <v>0.008677895476911597</v>
      </c>
      <c r="E193" s="62" t="n">
        <v>0.03516603678394081</v>
      </c>
    </row>
    <row r="194">
      <c r="A194" s="61" t="n">
        <v>41334</v>
      </c>
      <c r="B194" s="54" t="n">
        <v>55.2</v>
      </c>
      <c r="C194" s="62" t="n">
        <v>0.01616301095280286</v>
      </c>
      <c r="D194" s="62" t="n">
        <v>0.008677895476911597</v>
      </c>
      <c r="E194" s="62" t="n">
        <v>0.03516603678394081</v>
      </c>
    </row>
    <row r="195">
      <c r="A195" s="61" t="n">
        <v>41365</v>
      </c>
      <c r="B195" s="54" t="n">
        <v>53.9</v>
      </c>
      <c r="C195" s="62" t="n">
        <v>0.01296170490384775</v>
      </c>
      <c r="D195" s="62" t="n">
        <v>0.001393852197657185</v>
      </c>
      <c r="E195" s="62" t="n">
        <v>0.00558707657013402</v>
      </c>
    </row>
    <row r="196">
      <c r="A196" s="61" t="n">
        <v>41395</v>
      </c>
      <c r="B196" s="54" t="n">
        <v>54.4</v>
      </c>
      <c r="C196" s="62" t="n">
        <v>0.01296170490384775</v>
      </c>
      <c r="D196" s="62" t="n">
        <v>0.001393852197657185</v>
      </c>
      <c r="E196" s="62" t="n">
        <v>0.00558707657013402</v>
      </c>
    </row>
    <row r="197">
      <c r="A197" s="61" t="n">
        <v>41426</v>
      </c>
      <c r="B197" s="54" t="n">
        <v>54.1</v>
      </c>
      <c r="C197" s="62" t="n">
        <v>0.01296170490384775</v>
      </c>
      <c r="D197" s="62" t="n">
        <v>0.001393852197657185</v>
      </c>
      <c r="E197" s="62" t="n">
        <v>0.00558707657013402</v>
      </c>
    </row>
    <row r="198">
      <c r="A198" s="61" t="n">
        <v>41456</v>
      </c>
      <c r="B198" s="54" t="n">
        <v>54.9</v>
      </c>
      <c r="C198" s="62" t="n">
        <v>0.01919844620038217</v>
      </c>
      <c r="D198" s="62" t="n">
        <v>0.007916534107950009</v>
      </c>
      <c r="E198" s="62" t="n">
        <v>0.0320441539978702</v>
      </c>
    </row>
    <row r="199">
      <c r="A199" s="61" t="n">
        <v>41487</v>
      </c>
      <c r="B199" s="54" t="n">
        <v>56.6</v>
      </c>
      <c r="C199" s="62" t="n">
        <v>0.01919844620038217</v>
      </c>
      <c r="D199" s="62" t="n">
        <v>0.007916534107950009</v>
      </c>
      <c r="E199" s="62" t="n">
        <v>0.0320441539978702</v>
      </c>
    </row>
    <row r="200">
      <c r="A200" s="61" t="n">
        <v>41518</v>
      </c>
      <c r="B200" s="54" t="n">
        <v>53.6</v>
      </c>
      <c r="C200" s="62" t="n">
        <v>0.01919844620038217</v>
      </c>
      <c r="D200" s="62" t="n">
        <v>0.007916534107950009</v>
      </c>
      <c r="E200" s="62" t="n">
        <v>0.0320441539978702</v>
      </c>
    </row>
    <row r="201">
      <c r="A201" s="61" t="n">
        <v>41548</v>
      </c>
      <c r="B201" s="54" t="n">
        <v>54.5</v>
      </c>
      <c r="C201" s="62" t="n">
        <v>0.02532049777807217</v>
      </c>
      <c r="D201" s="62" t="n">
        <v>0.007111710015635665</v>
      </c>
      <c r="E201" s="62" t="n">
        <v>0.02875173987590829</v>
      </c>
    </row>
    <row r="202">
      <c r="A202" s="61" t="n">
        <v>41579</v>
      </c>
      <c r="B202" s="54" t="n">
        <v>53.8</v>
      </c>
      <c r="C202" s="62" t="n">
        <v>0.02532049777807217</v>
      </c>
      <c r="D202" s="62" t="n">
        <v>0.007111710015635665</v>
      </c>
      <c r="E202" s="62" t="n">
        <v>0.02875173987590829</v>
      </c>
    </row>
    <row r="203">
      <c r="A203" s="61" t="n">
        <v>41609</v>
      </c>
      <c r="B203" s="54" t="n">
        <v>52.9</v>
      </c>
      <c r="C203" s="62" t="n">
        <v>0.02532049777807217</v>
      </c>
      <c r="D203" s="62" t="n">
        <v>0.007111710015635665</v>
      </c>
      <c r="E203" s="62" t="n">
        <v>0.02875173987590829</v>
      </c>
    </row>
    <row r="204">
      <c r="A204" s="61" t="n">
        <v>41640</v>
      </c>
      <c r="B204" s="54" t="n">
        <v>54.7</v>
      </c>
      <c r="C204" s="62" t="n">
        <v>0.01294055859309538</v>
      </c>
      <c r="D204" s="62" t="n">
        <v>-0.003501097365126946</v>
      </c>
      <c r="E204" s="62" t="n">
        <v>-0.01393101487505954</v>
      </c>
    </row>
    <row r="205">
      <c r="A205" s="61" t="n">
        <v>41671</v>
      </c>
      <c r="B205" s="54" t="n">
        <v>53</v>
      </c>
      <c r="C205" s="62" t="n">
        <v>0.01294055859309538</v>
      </c>
      <c r="D205" s="62" t="n">
        <v>-0.003501097365126946</v>
      </c>
      <c r="E205" s="62" t="n">
        <v>-0.01393101487505954</v>
      </c>
    </row>
    <row r="206">
      <c r="A206" s="61" t="n">
        <v>41699</v>
      </c>
      <c r="B206" s="54" t="n">
        <v>54.2</v>
      </c>
      <c r="C206" s="62" t="n">
        <v>0.01294055859309538</v>
      </c>
      <c r="D206" s="62" t="n">
        <v>-0.003501097365126946</v>
      </c>
      <c r="E206" s="62" t="n">
        <v>-0.01393101487505954</v>
      </c>
    </row>
    <row r="207">
      <c r="A207" s="61" t="n">
        <v>41730</v>
      </c>
      <c r="B207" s="54" t="n">
        <v>55.2</v>
      </c>
      <c r="C207" s="62" t="n">
        <v>0.0245199916765882</v>
      </c>
      <c r="D207" s="62" t="n">
        <v>0.01284128907179058</v>
      </c>
      <c r="E207" s="62" t="n">
        <v>0.0523630457566524</v>
      </c>
    </row>
    <row r="208">
      <c r="A208" s="61" t="n">
        <v>41760</v>
      </c>
      <c r="B208" s="54" t="n">
        <v>56.9</v>
      </c>
      <c r="C208" s="62" t="n">
        <v>0.0245199916765882</v>
      </c>
      <c r="D208" s="62" t="n">
        <v>0.01284128907179058</v>
      </c>
      <c r="E208" s="62" t="n">
        <v>0.0523630457566524</v>
      </c>
    </row>
    <row r="209">
      <c r="A209" s="61" t="n">
        <v>41791</v>
      </c>
      <c r="B209" s="54" t="n">
        <v>56.6</v>
      </c>
      <c r="C209" s="62" t="n">
        <v>0.0245199916765882</v>
      </c>
      <c r="D209" s="62" t="n">
        <v>0.01284128907179058</v>
      </c>
      <c r="E209" s="62" t="n">
        <v>0.0523630457566524</v>
      </c>
    </row>
    <row r="210">
      <c r="A210" s="61" t="n">
        <v>41821</v>
      </c>
      <c r="B210" s="54" t="n">
        <v>57.1</v>
      </c>
      <c r="C210" s="62" t="n">
        <v>0.02831456925846958</v>
      </c>
      <c r="D210" s="62" t="n">
        <v>0.01164961644485469</v>
      </c>
      <c r="E210" s="62" t="n">
        <v>0.04741908962129937</v>
      </c>
    </row>
    <row r="211">
      <c r="A211" s="61" t="n">
        <v>41852</v>
      </c>
      <c r="B211" s="54" t="n">
        <v>58</v>
      </c>
      <c r="C211" s="62" t="n">
        <v>0.02831456925846958</v>
      </c>
      <c r="D211" s="62" t="n">
        <v>0.01164961644485469</v>
      </c>
      <c r="E211" s="62" t="n">
        <v>0.04741908962129937</v>
      </c>
    </row>
    <row r="212">
      <c r="A212" s="61" t="n">
        <v>41883</v>
      </c>
      <c r="B212" s="54" t="n">
        <v>57.4</v>
      </c>
      <c r="C212" s="62" t="n">
        <v>0.02831456925846958</v>
      </c>
      <c r="D212" s="62" t="n">
        <v>0.01164961644485469</v>
      </c>
      <c r="E212" s="62" t="n">
        <v>0.04741908962129937</v>
      </c>
    </row>
    <row r="213">
      <c r="A213" s="61" t="n">
        <v>41913</v>
      </c>
      <c r="B213" s="54" t="n">
        <v>56</v>
      </c>
      <c r="C213" s="62" t="n">
        <v>0.02563759666266986</v>
      </c>
      <c r="D213" s="62" t="n">
        <v>0.004489934024885105</v>
      </c>
      <c r="E213" s="62" t="n">
        <v>0.01808105561066875</v>
      </c>
    </row>
    <row r="214">
      <c r="A214" s="61" t="n">
        <v>41944</v>
      </c>
      <c r="B214" s="54" t="n">
        <v>58.7</v>
      </c>
      <c r="C214" s="62" t="n">
        <v>0.02563759666266986</v>
      </c>
      <c r="D214" s="62" t="n">
        <v>0.004489934024885105</v>
      </c>
      <c r="E214" s="62" t="n">
        <v>0.01808105561066875</v>
      </c>
    </row>
    <row r="215">
      <c r="A215" s="61" t="n">
        <v>41974</v>
      </c>
      <c r="B215" s="54" t="n">
        <v>56.4</v>
      </c>
      <c r="C215" s="62" t="n">
        <v>0.02563759666266986</v>
      </c>
      <c r="D215" s="62" t="n">
        <v>0.004489934024885105</v>
      </c>
      <c r="E215" s="62" t="n">
        <v>0.01808105561066875</v>
      </c>
    </row>
    <row r="216">
      <c r="A216" s="61" t="n">
        <v>42005</v>
      </c>
      <c r="B216" s="54" t="n">
        <v>57.3</v>
      </c>
      <c r="C216" s="62" t="n">
        <v>0.03761202773082455</v>
      </c>
      <c r="D216" s="62" t="n">
        <v>0.008133136264685727</v>
      </c>
      <c r="E216" s="62" t="n">
        <v>0.03293158882700409</v>
      </c>
    </row>
    <row r="217">
      <c r="A217" s="61" t="n">
        <v>42036</v>
      </c>
      <c r="B217" s="54" t="n">
        <v>57.6</v>
      </c>
      <c r="C217" s="62" t="n">
        <v>0.03761202773082455</v>
      </c>
      <c r="D217" s="62" t="n">
        <v>0.008133136264685727</v>
      </c>
      <c r="E217" s="62" t="n">
        <v>0.03293158882700409</v>
      </c>
    </row>
    <row r="218">
      <c r="A218" s="61" t="n">
        <v>42064</v>
      </c>
      <c r="B218" s="54" t="n">
        <v>57.5</v>
      </c>
      <c r="C218" s="62" t="n">
        <v>0.03761202773082455</v>
      </c>
      <c r="D218" s="62" t="n">
        <v>0.008133136264685727</v>
      </c>
      <c r="E218" s="62" t="n">
        <v>0.03293158882700409</v>
      </c>
    </row>
    <row r="219">
      <c r="A219" s="61" t="n">
        <v>42095</v>
      </c>
      <c r="B219" s="54" t="n">
        <v>57.5</v>
      </c>
      <c r="C219" s="62" t="n">
        <v>0.03039854674877899</v>
      </c>
      <c r="D219" s="62" t="n">
        <v>0.005800014316593537</v>
      </c>
      <c r="E219" s="62" t="n">
        <v>0.02340267984825029</v>
      </c>
    </row>
    <row r="220">
      <c r="A220" s="61" t="n">
        <v>42125</v>
      </c>
      <c r="B220" s="54" t="n">
        <v>56.8</v>
      </c>
      <c r="C220" s="62" t="n">
        <v>0.03039854674877899</v>
      </c>
      <c r="D220" s="62" t="n">
        <v>0.005800014316593537</v>
      </c>
      <c r="E220" s="62" t="n">
        <v>0.02340267984825029</v>
      </c>
    </row>
    <row r="221">
      <c r="A221" s="61" t="n">
        <v>42156</v>
      </c>
      <c r="B221" s="54" t="n">
        <v>56</v>
      </c>
      <c r="C221" s="62" t="n">
        <v>0.03039854674877899</v>
      </c>
      <c r="D221" s="62" t="n">
        <v>0.005800014316593537</v>
      </c>
      <c r="E221" s="62" t="n">
        <v>0.02340267984825029</v>
      </c>
    </row>
    <row r="222">
      <c r="A222" s="61" t="n">
        <v>42186</v>
      </c>
      <c r="B222" s="54" t="n">
        <v>59.3</v>
      </c>
      <c r="C222" s="62" t="n">
        <v>0.02182668511263306</v>
      </c>
      <c r="D222" s="62" t="n">
        <v>0.003233726725495796</v>
      </c>
      <c r="E222" s="62" t="n">
        <v>0.01299778420271602</v>
      </c>
    </row>
    <row r="223">
      <c r="A223" s="61" t="n">
        <v>42217</v>
      </c>
      <c r="B223" s="54" t="n">
        <v>58.4</v>
      </c>
      <c r="C223" s="62" t="n">
        <v>0.02182668511263306</v>
      </c>
      <c r="D223" s="62" t="n">
        <v>0.003233726725495796</v>
      </c>
      <c r="E223" s="62" t="n">
        <v>0.01299778420271602</v>
      </c>
    </row>
    <row r="224">
      <c r="A224" s="61" t="n">
        <v>42248</v>
      </c>
      <c r="B224" s="54" t="n">
        <v>56.1</v>
      </c>
      <c r="C224" s="62" t="n">
        <v>0.02182668511263306</v>
      </c>
      <c r="D224" s="62" t="n">
        <v>0.003233726725495796</v>
      </c>
      <c r="E224" s="62" t="n">
        <v>0.01299778420271602</v>
      </c>
    </row>
    <row r="225">
      <c r="A225" s="61" t="n">
        <v>42278</v>
      </c>
      <c r="B225" s="54" t="n">
        <v>57.9</v>
      </c>
      <c r="C225" s="62" t="n">
        <v>0.01874684058645722</v>
      </c>
      <c r="D225" s="62" t="n">
        <v>0.001462343465763751</v>
      </c>
      <c r="E225" s="62" t="n">
        <v>0.005862217066683106</v>
      </c>
    </row>
    <row r="226">
      <c r="A226" s="61" t="n">
        <v>42309</v>
      </c>
      <c r="B226" s="54" t="n">
        <v>55.8</v>
      </c>
      <c r="C226" s="62" t="n">
        <v>0.01874684058645722</v>
      </c>
      <c r="D226" s="62" t="n">
        <v>0.001462343465763751</v>
      </c>
      <c r="E226" s="62" t="n">
        <v>0.005862217066683106</v>
      </c>
    </row>
    <row r="227">
      <c r="A227" s="61" t="n">
        <v>42339</v>
      </c>
      <c r="B227" s="54" t="n">
        <v>55.3</v>
      </c>
      <c r="C227" s="62" t="n">
        <v>0.01874684058645722</v>
      </c>
      <c r="D227" s="62" t="n">
        <v>0.001462343465763751</v>
      </c>
      <c r="E227" s="62" t="n">
        <v>0.005862217066683106</v>
      </c>
    </row>
    <row r="228">
      <c r="A228" s="61" t="n">
        <v>42370</v>
      </c>
      <c r="B228" s="54" t="n">
        <v>54</v>
      </c>
      <c r="C228" s="62" t="n">
        <v>0.01648190603048597</v>
      </c>
      <c r="D228" s="62" t="n">
        <v>0.005891798685635071</v>
      </c>
      <c r="E228" s="62" t="n">
        <v>0.02377629379297197</v>
      </c>
    </row>
    <row r="229">
      <c r="A229" s="61" t="n">
        <v>42401</v>
      </c>
      <c r="B229" s="54" t="n">
        <v>54</v>
      </c>
      <c r="C229" s="62" t="n">
        <v>0.01648190603048597</v>
      </c>
      <c r="D229" s="62" t="n">
        <v>0.005891798685635071</v>
      </c>
      <c r="E229" s="62" t="n">
        <v>0.02377629379297197</v>
      </c>
    </row>
    <row r="230">
      <c r="A230" s="61" t="n">
        <v>42430</v>
      </c>
      <c r="B230" s="54" t="n">
        <v>55.2</v>
      </c>
      <c r="C230" s="62" t="n">
        <v>0.01648190603048597</v>
      </c>
      <c r="D230" s="62" t="n">
        <v>0.005891798685635071</v>
      </c>
      <c r="E230" s="62" t="n">
        <v>0.02377629379297197</v>
      </c>
    </row>
    <row r="231">
      <c r="A231" s="61" t="n">
        <v>42461</v>
      </c>
      <c r="B231" s="54" t="n">
        <v>55.6</v>
      </c>
      <c r="C231" s="62" t="n">
        <v>0.01367629650405968</v>
      </c>
      <c r="D231" s="62" t="n">
        <v>0.003023888066726282</v>
      </c>
      <c r="E231" s="62" t="n">
        <v>0.01215052634526592</v>
      </c>
    </row>
    <row r="232">
      <c r="A232" s="61" t="n">
        <v>42491</v>
      </c>
      <c r="B232" s="54" t="n">
        <v>53.8</v>
      </c>
      <c r="C232" s="62" t="n">
        <v>0.01367629650405968</v>
      </c>
      <c r="D232" s="62" t="n">
        <v>0.003023888066726282</v>
      </c>
      <c r="E232" s="62" t="n">
        <v>0.01215052634526592</v>
      </c>
    </row>
    <row r="233">
      <c r="A233" s="61" t="n">
        <v>42522</v>
      </c>
      <c r="B233" s="54" t="n">
        <v>56</v>
      </c>
      <c r="C233" s="62" t="n">
        <v>0.01367629650405968</v>
      </c>
      <c r="D233" s="62" t="n">
        <v>0.003023888066726282</v>
      </c>
      <c r="E233" s="62" t="n">
        <v>0.01215052634526592</v>
      </c>
    </row>
    <row r="234">
      <c r="A234" s="61" t="n">
        <v>42552</v>
      </c>
      <c r="B234" s="54" t="n">
        <v>55.2</v>
      </c>
      <c r="C234" s="62" t="n">
        <v>0.01648263356020616</v>
      </c>
      <c r="D234" s="62" t="n">
        <v>0.006011153792692107</v>
      </c>
      <c r="E234" s="62" t="n">
        <v>0.02426228912334971</v>
      </c>
    </row>
    <row r="235">
      <c r="A235" s="61" t="n">
        <v>42583</v>
      </c>
      <c r="B235" s="54" t="n">
        <v>51.6</v>
      </c>
      <c r="C235" s="62" t="n">
        <v>0.01648263356020616</v>
      </c>
      <c r="D235" s="62" t="n">
        <v>0.006011153792692107</v>
      </c>
      <c r="E235" s="62" t="n">
        <v>0.02426228912334971</v>
      </c>
    </row>
    <row r="236">
      <c r="A236" s="61" t="n">
        <v>42614</v>
      </c>
      <c r="B236" s="54" t="n">
        <v>56.3</v>
      </c>
      <c r="C236" s="62" t="n">
        <v>0.01648263356020616</v>
      </c>
      <c r="D236" s="62" t="n">
        <v>0.006011153792692107</v>
      </c>
      <c r="E236" s="62" t="n">
        <v>0.02426228912334971</v>
      </c>
    </row>
    <row r="237">
      <c r="A237" s="61" t="n">
        <v>42644</v>
      </c>
      <c r="B237" s="54" t="n">
        <v>54.4</v>
      </c>
      <c r="C237" s="62" t="n">
        <v>0.0200417704624271</v>
      </c>
      <c r="D237" s="62" t="n">
        <v>0.004968887960606363</v>
      </c>
      <c r="E237" s="62" t="n">
        <v>0.02002418226175018</v>
      </c>
    </row>
    <row r="238">
      <c r="A238" s="61" t="n">
        <v>42675</v>
      </c>
      <c r="B238" s="54" t="n">
        <v>56.2</v>
      </c>
      <c r="C238" s="62" t="n">
        <v>0.0200417704624271</v>
      </c>
      <c r="D238" s="62" t="n">
        <v>0.004968887960606363</v>
      </c>
      <c r="E238" s="62" t="n">
        <v>0.02002418226175018</v>
      </c>
    </row>
    <row r="239">
      <c r="A239" s="61" t="n">
        <v>42705</v>
      </c>
      <c r="B239" s="54" t="n">
        <v>56.7</v>
      </c>
      <c r="C239" s="62" t="n">
        <v>0.0200417704624271</v>
      </c>
      <c r="D239" s="62" t="n">
        <v>0.004968887960606363</v>
      </c>
      <c r="E239" s="62" t="n">
        <v>0.02002418226175018</v>
      </c>
    </row>
    <row r="240">
      <c r="A240" s="61" t="n">
        <v>42736</v>
      </c>
      <c r="B240" s="54" t="n">
        <v>56.8</v>
      </c>
      <c r="C240" s="62" t="n">
        <v>0.01885278869645634</v>
      </c>
      <c r="D240" s="62" t="n">
        <v>0.004719310419164807</v>
      </c>
      <c r="E240" s="62" t="n">
        <v>0.01901129394955658</v>
      </c>
    </row>
    <row r="241">
      <c r="A241" s="61" t="n">
        <v>42767</v>
      </c>
      <c r="B241" s="54" t="n">
        <v>57.4</v>
      </c>
      <c r="C241" s="62" t="n">
        <v>0.01885278869645634</v>
      </c>
      <c r="D241" s="62" t="n">
        <v>0.004719310419164807</v>
      </c>
      <c r="E241" s="62" t="n">
        <v>0.01901129394955658</v>
      </c>
    </row>
    <row r="242">
      <c r="A242" s="61" t="n">
        <v>42795</v>
      </c>
      <c r="B242" s="54" t="n">
        <v>55.6</v>
      </c>
      <c r="C242" s="62" t="n">
        <v>0.01885278869645634</v>
      </c>
      <c r="D242" s="62" t="n">
        <v>0.004719310419164807</v>
      </c>
      <c r="E242" s="62" t="n">
        <v>0.01901129394955658</v>
      </c>
    </row>
    <row r="243">
      <c r="A243" s="61" t="n">
        <v>42826</v>
      </c>
      <c r="B243" s="54" t="n">
        <v>57.3</v>
      </c>
      <c r="C243" s="62" t="n">
        <v>0.02146716582907564</v>
      </c>
      <c r="D243" s="62" t="n">
        <v>0.005597648226707356</v>
      </c>
      <c r="E243" s="62" t="n">
        <v>0.0225792974619996</v>
      </c>
    </row>
    <row r="244">
      <c r="A244" s="61" t="n">
        <v>42856</v>
      </c>
      <c r="B244" s="54" t="n">
        <v>57.1</v>
      </c>
      <c r="C244" s="62" t="n">
        <v>0.02146716582907564</v>
      </c>
      <c r="D244" s="62" t="n">
        <v>0.005597648226707356</v>
      </c>
      <c r="E244" s="62" t="n">
        <v>0.0225792974619996</v>
      </c>
    </row>
    <row r="245">
      <c r="A245" s="61" t="n">
        <v>42887</v>
      </c>
      <c r="B245" s="54" t="n">
        <v>57.2</v>
      </c>
      <c r="C245" s="62" t="n">
        <v>0.02146716582907564</v>
      </c>
      <c r="D245" s="62" t="n">
        <v>0.005597648226707356</v>
      </c>
      <c r="E245" s="62" t="n">
        <v>0.0225792974619996</v>
      </c>
    </row>
    <row r="246">
      <c r="A246" s="61" t="n">
        <v>42917</v>
      </c>
      <c r="B246" s="54" t="n">
        <v>54.3</v>
      </c>
      <c r="C246" s="62" t="n">
        <v>0.02266564638337372</v>
      </c>
      <c r="D246" s="62" t="n">
        <v>0.007191499912039876</v>
      </c>
      <c r="E246" s="62" t="n">
        <v>0.02907779605929184</v>
      </c>
    </row>
    <row r="247">
      <c r="A247" s="61" t="n">
        <v>42948</v>
      </c>
      <c r="B247" s="54" t="n">
        <v>55.2</v>
      </c>
      <c r="C247" s="62" t="n">
        <v>0.02266564638337372</v>
      </c>
      <c r="D247" s="62" t="n">
        <v>0.007191499912039876</v>
      </c>
      <c r="E247" s="62" t="n">
        <v>0.02907779605929184</v>
      </c>
    </row>
    <row r="248">
      <c r="A248" s="61" t="n">
        <v>42979</v>
      </c>
      <c r="B248" s="54" t="n">
        <v>59.4</v>
      </c>
      <c r="C248" s="62" t="n">
        <v>0.02266564638337372</v>
      </c>
      <c r="D248" s="62" t="n">
        <v>0.007191499912039876</v>
      </c>
      <c r="E248" s="62" t="n">
        <v>0.02907779605929184</v>
      </c>
    </row>
    <row r="249">
      <c r="A249" s="61" t="n">
        <v>43009</v>
      </c>
      <c r="B249" s="54" t="n">
        <v>59.8</v>
      </c>
      <c r="C249" s="62" t="n">
        <v>0.02717885581859093</v>
      </c>
      <c r="D249" s="62" t="n">
        <v>0.009403998383337081</v>
      </c>
      <c r="E249" s="62" t="n">
        <v>0.03814993904506303</v>
      </c>
    </row>
    <row r="250">
      <c r="A250" s="61" t="n">
        <v>43040</v>
      </c>
      <c r="B250" s="54" t="n">
        <v>57.3</v>
      </c>
      <c r="C250" s="62" t="n">
        <v>0.02717885581859093</v>
      </c>
      <c r="D250" s="62" t="n">
        <v>0.009403998383337081</v>
      </c>
      <c r="E250" s="62" t="n">
        <v>0.03814993904506303</v>
      </c>
    </row>
    <row r="251">
      <c r="A251" s="61" t="n">
        <v>43070</v>
      </c>
      <c r="B251" s="54" t="n">
        <v>56</v>
      </c>
      <c r="C251" s="62" t="n">
        <v>0.02717885581859093</v>
      </c>
      <c r="D251" s="62" t="n">
        <v>0.009403998383337081</v>
      </c>
      <c r="E251" s="62" t="n">
        <v>0.03814993904506303</v>
      </c>
    </row>
    <row r="252">
      <c r="A252" s="61" t="n">
        <v>43101</v>
      </c>
      <c r="B252" s="54" t="n">
        <v>59.9</v>
      </c>
      <c r="C252" s="62" t="n">
        <v>0.03015311883141301</v>
      </c>
      <c r="D252" s="62" t="n">
        <v>0.007628540361272956</v>
      </c>
      <c r="E252" s="62" t="n">
        <v>0.03086510836024359</v>
      </c>
    </row>
    <row r="253">
      <c r="A253" s="61" t="n">
        <v>43132</v>
      </c>
      <c r="B253" s="54" t="n">
        <v>59.5</v>
      </c>
      <c r="C253" s="62" t="n">
        <v>0.03015311883141301</v>
      </c>
      <c r="D253" s="62" t="n">
        <v>0.007628540361272956</v>
      </c>
      <c r="E253" s="62" t="n">
        <v>0.03086510836024359</v>
      </c>
    </row>
    <row r="254">
      <c r="A254" s="61" t="n">
        <v>43160</v>
      </c>
      <c r="B254" s="54" t="n">
        <v>58.8</v>
      </c>
      <c r="C254" s="62" t="n">
        <v>0.03015311883141301</v>
      </c>
      <c r="D254" s="62" t="n">
        <v>0.007628540361272956</v>
      </c>
      <c r="E254" s="62" t="n">
        <v>0.03086510836024359</v>
      </c>
    </row>
    <row r="255">
      <c r="A255" s="61" t="n">
        <v>43191</v>
      </c>
      <c r="B255" s="54" t="n">
        <v>56.8</v>
      </c>
      <c r="C255" s="62" t="n">
        <v>0.03296152283055629</v>
      </c>
      <c r="D255" s="62" t="n">
        <v>0.008339109088382559</v>
      </c>
      <c r="E255" s="62" t="n">
        <v>0.03377600526305335</v>
      </c>
    </row>
    <row r="256">
      <c r="A256" s="61" t="n">
        <v>43221</v>
      </c>
      <c r="B256" s="54" t="n">
        <v>58.6</v>
      </c>
      <c r="C256" s="62" t="n">
        <v>0.03296152283055629</v>
      </c>
      <c r="D256" s="62" t="n">
        <v>0.008339109088382559</v>
      </c>
      <c r="E256" s="62" t="n">
        <v>0.03377600526305335</v>
      </c>
    </row>
    <row r="257">
      <c r="A257" s="61" t="n">
        <v>43252</v>
      </c>
      <c r="B257" s="54" t="n">
        <v>59.1</v>
      </c>
      <c r="C257" s="62" t="n">
        <v>0.03296152283055629</v>
      </c>
      <c r="D257" s="62" t="n">
        <v>0.008339109088382559</v>
      </c>
      <c r="E257" s="62" t="n">
        <v>0.03377600526305335</v>
      </c>
    </row>
    <row r="258">
      <c r="A258" s="61" t="n">
        <v>43282</v>
      </c>
      <c r="B258" s="54" t="n">
        <v>55.7</v>
      </c>
      <c r="C258" s="62" t="n">
        <v>0.03052885912379111</v>
      </c>
      <c r="D258" s="62" t="n">
        <v>0.004819525590204151</v>
      </c>
      <c r="E258" s="62" t="n">
        <v>0.01941791765026113</v>
      </c>
    </row>
    <row r="259">
      <c r="A259" s="61" t="n">
        <v>43313</v>
      </c>
      <c r="B259" s="54" t="n">
        <v>58.5</v>
      </c>
      <c r="C259" s="62" t="n">
        <v>0.03052885912379111</v>
      </c>
      <c r="D259" s="62" t="n">
        <v>0.004819525590204151</v>
      </c>
      <c r="E259" s="62" t="n">
        <v>0.01941791765026113</v>
      </c>
    </row>
    <row r="260">
      <c r="A260" s="61" t="n">
        <v>43344</v>
      </c>
      <c r="B260" s="54" t="n">
        <v>61.6</v>
      </c>
      <c r="C260" s="62" t="n">
        <v>0.03052885912379111</v>
      </c>
      <c r="D260" s="62" t="n">
        <v>0.004819525590204151</v>
      </c>
      <c r="E260" s="62" t="n">
        <v>0.01941791765026113</v>
      </c>
    </row>
    <row r="261">
      <c r="A261" s="61" t="n">
        <v>43374</v>
      </c>
      <c r="B261" s="54" t="n">
        <v>60.3</v>
      </c>
      <c r="C261" s="62" t="n">
        <v>0.02320617095391857</v>
      </c>
      <c r="D261" s="62" t="n">
        <v>0.002231418351111322</v>
      </c>
      <c r="E261" s="62" t="n">
        <v>0.008955593239345916</v>
      </c>
    </row>
    <row r="262">
      <c r="A262" s="61" t="n">
        <v>43405</v>
      </c>
      <c r="B262" s="54" t="n">
        <v>60.7</v>
      </c>
      <c r="C262" s="62" t="n">
        <v>0.02320617095391857</v>
      </c>
      <c r="D262" s="62" t="n">
        <v>0.002231418351111322</v>
      </c>
      <c r="E262" s="62" t="n">
        <v>0.008955593239345916</v>
      </c>
    </row>
    <row r="263">
      <c r="A263" s="61" t="n">
        <v>43435</v>
      </c>
      <c r="B263" s="54" t="n">
        <v>57.6</v>
      </c>
      <c r="C263" s="62" t="n">
        <v>0.02320617095391857</v>
      </c>
      <c r="D263" s="62" t="n">
        <v>0.002231418351111322</v>
      </c>
      <c r="E263" s="62" t="n">
        <v>0.008955593239345916</v>
      </c>
    </row>
    <row r="264">
      <c r="A264" s="61" t="n">
        <v>43466</v>
      </c>
      <c r="B264" s="54" t="n">
        <v>56.7</v>
      </c>
      <c r="C264" s="62" t="n">
        <v>0.0215300151408133</v>
      </c>
      <c r="D264" s="62" t="n">
        <v>0.005977902900982079</v>
      </c>
      <c r="E264" s="62" t="n">
        <v>0.02412687930866952</v>
      </c>
    </row>
    <row r="265">
      <c r="A265" s="61" t="n">
        <v>43497</v>
      </c>
      <c r="B265" s="54" t="n">
        <v>59.7</v>
      </c>
      <c r="C265" s="62" t="n">
        <v>0.0215300151408133</v>
      </c>
      <c r="D265" s="62" t="n">
        <v>0.005977902900982079</v>
      </c>
      <c r="E265" s="62" t="n">
        <v>0.02412687930866952</v>
      </c>
    </row>
    <row r="266">
      <c r="A266" s="61" t="n">
        <v>43525</v>
      </c>
      <c r="B266" s="54" t="n">
        <v>56.1</v>
      </c>
      <c r="C266" s="62" t="n">
        <v>0.0215300151408133</v>
      </c>
      <c r="D266" s="62" t="n">
        <v>0.005977902900982079</v>
      </c>
      <c r="E266" s="62" t="n">
        <v>0.02412687930866952</v>
      </c>
    </row>
    <row r="267">
      <c r="A267" s="61" t="n">
        <v>43556</v>
      </c>
      <c r="B267" s="54" t="n">
        <v>55.5</v>
      </c>
      <c r="C267" s="62" t="n">
        <v>0.02111478835615084</v>
      </c>
      <c r="D267" s="62" t="n">
        <v>0.007929244082058234</v>
      </c>
      <c r="E267" s="62" t="n">
        <v>0.03209621189016554</v>
      </c>
    </row>
    <row r="268">
      <c r="A268" s="61" t="n">
        <v>43586</v>
      </c>
      <c r="B268" s="54" t="n">
        <v>56.9</v>
      </c>
      <c r="C268" s="62" t="n">
        <v>0.02111478835615084</v>
      </c>
      <c r="D268" s="62" t="n">
        <v>0.007929244082058234</v>
      </c>
      <c r="E268" s="62" t="n">
        <v>0.03209621189016554</v>
      </c>
    </row>
    <row r="269">
      <c r="A269" s="61" t="n">
        <v>43617</v>
      </c>
      <c r="B269" s="54" t="n">
        <v>55.1</v>
      </c>
      <c r="C269" s="62" t="n">
        <v>0.02111478835615084</v>
      </c>
      <c r="D269" s="62" t="n">
        <v>0.007929244082058234</v>
      </c>
      <c r="E269" s="62" t="n">
        <v>0.03209621189016554</v>
      </c>
    </row>
    <row r="270">
      <c r="A270" s="61" t="n">
        <v>43647</v>
      </c>
      <c r="B270" s="54" t="n">
        <v>53.7</v>
      </c>
      <c r="C270" s="62" t="n">
        <v>0.02318325998325768</v>
      </c>
      <c r="D270" s="62" t="n">
        <v>0.006854987913095664</v>
      </c>
      <c r="E270" s="62" t="n">
        <v>0.02770318750334533</v>
      </c>
    </row>
    <row r="271">
      <c r="A271" s="61" t="n">
        <v>43678</v>
      </c>
      <c r="B271" s="54" t="n">
        <v>56.4</v>
      </c>
      <c r="C271" s="62" t="n">
        <v>0.02318325998325768</v>
      </c>
      <c r="D271" s="62" t="n">
        <v>0.006854987913095664</v>
      </c>
      <c r="E271" s="62" t="n">
        <v>0.02770318750334533</v>
      </c>
    </row>
    <row r="272">
      <c r="A272" s="61" t="n">
        <v>43709</v>
      </c>
      <c r="B272" s="54" t="n">
        <v>52.6</v>
      </c>
      <c r="C272" s="62" t="n">
        <v>0.02318325998325768</v>
      </c>
      <c r="D272" s="62" t="n">
        <v>0.006854987913095664</v>
      </c>
      <c r="E272" s="62" t="n">
        <v>0.02770318750334533</v>
      </c>
    </row>
    <row r="273">
      <c r="A273" s="61" t="n">
        <v>43739</v>
      </c>
      <c r="B273" s="54" t="n">
        <v>54.7</v>
      </c>
      <c r="C273" s="62" t="n">
        <v>0.02569423534639549</v>
      </c>
      <c r="D273" s="62" t="n">
        <v>0.004690976182113644</v>
      </c>
      <c r="E273" s="62" t="n">
        <v>0.01889634966248921</v>
      </c>
    </row>
    <row r="274">
      <c r="A274" s="61" t="n">
        <v>43770</v>
      </c>
      <c r="B274" s="54" t="n">
        <v>53.9</v>
      </c>
      <c r="C274" s="62" t="n">
        <v>0.02569423534639549</v>
      </c>
      <c r="D274" s="62" t="n">
        <v>0.004690976182113644</v>
      </c>
      <c r="E274" s="62" t="n">
        <v>0.01889634966248921</v>
      </c>
    </row>
    <row r="275">
      <c r="A275" s="61" t="n">
        <v>43800</v>
      </c>
      <c r="B275" s="54" t="n">
        <v>55</v>
      </c>
      <c r="C275" s="62" t="n">
        <v>0.02569423534639549</v>
      </c>
      <c r="D275" s="62" t="n">
        <v>0.004690976182113644</v>
      </c>
      <c r="E275" s="62" t="n">
        <v>0.01889634966248921</v>
      </c>
    </row>
    <row r="276">
      <c r="A276" s="61" t="n">
        <v>43831</v>
      </c>
      <c r="B276" s="54" t="n">
        <v>55.5</v>
      </c>
      <c r="C276" s="62" t="n">
        <v>0.006307851641742077</v>
      </c>
      <c r="D276" s="62" t="n">
        <v>-0.01303582746034216</v>
      </c>
      <c r="E276" s="62" t="n">
        <v>-0.05113254503727427</v>
      </c>
    </row>
    <row r="277">
      <c r="A277" s="61" t="n">
        <v>43862</v>
      </c>
      <c r="B277" s="54" t="n">
        <v>57.3</v>
      </c>
      <c r="C277" s="62" t="n">
        <v>0.006307851641742077</v>
      </c>
      <c r="D277" s="62" t="n">
        <v>-0.01303582746034216</v>
      </c>
      <c r="E277" s="62" t="n">
        <v>-0.05113254503727427</v>
      </c>
    </row>
    <row r="278">
      <c r="A278" s="61" t="n">
        <v>43891</v>
      </c>
      <c r="B278" s="54" t="n">
        <v>52.5</v>
      </c>
      <c r="C278" s="62" t="n">
        <v>0.006307851641742077</v>
      </c>
      <c r="D278" s="62" t="n">
        <v>-0.01303582746034216</v>
      </c>
      <c r="E278" s="62" t="n">
        <v>-0.05113254503727427</v>
      </c>
    </row>
    <row r="279">
      <c r="A279" s="61" t="n">
        <v>43922</v>
      </c>
      <c r="B279" s="54" t="n">
        <v>41.8</v>
      </c>
      <c r="C279" s="62" t="n">
        <v>-0.09083737424225038</v>
      </c>
      <c r="D279" s="62" t="n">
        <v>-0.08937250501161022</v>
      </c>
      <c r="E279" s="62" t="n">
        <v>-0.3123569846108508</v>
      </c>
    </row>
    <row r="280">
      <c r="A280" s="61" t="n">
        <v>43952</v>
      </c>
      <c r="B280" s="54" t="n">
        <v>45.4</v>
      </c>
      <c r="C280" s="62" t="n">
        <v>-0.09083737424225038</v>
      </c>
      <c r="D280" s="62" t="n">
        <v>-0.08937250501161022</v>
      </c>
      <c r="E280" s="62" t="n">
        <v>-0.3123569846108508</v>
      </c>
    </row>
    <row r="281">
      <c r="A281" s="61" t="n">
        <v>43983</v>
      </c>
      <c r="B281" s="54" t="n">
        <v>57.1</v>
      </c>
      <c r="C281" s="62" t="n">
        <v>-0.09083737424225038</v>
      </c>
      <c r="D281" s="62" t="n">
        <v>-0.08937250501161022</v>
      </c>
      <c r="E281" s="62" t="n">
        <v>-0.3123569846108508</v>
      </c>
    </row>
    <row r="282">
      <c r="A282" s="61" t="n">
        <v>44013</v>
      </c>
      <c r="B282" s="54" t="n">
        <v>58.1</v>
      </c>
      <c r="C282" s="62" t="n">
        <v>-0.02887505988833666</v>
      </c>
      <c r="D282" s="62" t="n">
        <v>0.07547534636423657</v>
      </c>
      <c r="E282" s="62" t="n">
        <v>0.3378327930079323</v>
      </c>
    </row>
    <row r="283">
      <c r="A283" s="61" t="n">
        <v>44044</v>
      </c>
      <c r="B283" s="54" t="n">
        <v>56.9</v>
      </c>
      <c r="C283" s="62" t="n">
        <v>-0.02887505988833666</v>
      </c>
      <c r="D283" s="62" t="n">
        <v>0.07547534636423657</v>
      </c>
      <c r="E283" s="62" t="n">
        <v>0.3378327930079323</v>
      </c>
    </row>
    <row r="284">
      <c r="A284" s="61" t="n">
        <v>44075</v>
      </c>
      <c r="B284" s="54" t="n">
        <v>57.8</v>
      </c>
      <c r="C284" s="62" t="n">
        <v>-0.02887505988833666</v>
      </c>
      <c r="D284" s="62" t="n">
        <v>0.07547534636423657</v>
      </c>
      <c r="E284" s="62" t="n">
        <v>0.3378327930079323</v>
      </c>
    </row>
    <row r="285">
      <c r="A285" s="61" t="n">
        <v>44105</v>
      </c>
      <c r="B285" s="54" t="n">
        <v>56.6</v>
      </c>
      <c r="C285" s="62" t="n">
        <v>-0.0226291524300984</v>
      </c>
      <c r="D285" s="62" t="n">
        <v>0.01115276765936578</v>
      </c>
      <c r="E285" s="62" t="n">
        <v>0.04536294038119415</v>
      </c>
    </row>
    <row r="286">
      <c r="A286" s="61" t="n">
        <v>44136</v>
      </c>
      <c r="B286" s="54" t="n">
        <v>55.9</v>
      </c>
      <c r="C286" s="62" t="n">
        <v>-0.0226291524300984</v>
      </c>
      <c r="D286" s="62" t="n">
        <v>0.01115276765936578</v>
      </c>
      <c r="E286" s="62" t="n">
        <v>0.04536294038119415</v>
      </c>
    </row>
    <row r="287">
      <c r="A287" s="61" t="n">
        <v>44166</v>
      </c>
      <c r="B287" s="54" t="n">
        <v>57.2</v>
      </c>
      <c r="C287" s="62" t="n">
        <v>-0.0226291524300984</v>
      </c>
      <c r="D287" s="62" t="n">
        <v>0.01115276765936578</v>
      </c>
      <c r="E287" s="62" t="n">
        <v>0.04536294038119415</v>
      </c>
    </row>
    <row r="288">
      <c r="A288" s="61" t="n">
        <v>44197</v>
      </c>
      <c r="B288" s="54" t="n">
        <v>58.7</v>
      </c>
      <c r="C288" s="62" t="n">
        <v>0.005469768032827393</v>
      </c>
      <c r="D288" s="62" t="n">
        <v>0.01533889627211066</v>
      </c>
      <c r="E288" s="62" t="n">
        <v>0.0627817667277657</v>
      </c>
    </row>
    <row r="289">
      <c r="A289" s="61" t="n">
        <v>44228</v>
      </c>
      <c r="B289" s="54" t="n">
        <v>55.3</v>
      </c>
      <c r="C289" s="62" t="n">
        <v>0.005469768032827393</v>
      </c>
      <c r="D289" s="62" t="n">
        <v>0.01533889627211066</v>
      </c>
      <c r="E289" s="62" t="n">
        <v>0.0627817667277657</v>
      </c>
    </row>
    <row r="290">
      <c r="A290" s="61" t="n">
        <v>44256</v>
      </c>
      <c r="B290" s="54" t="n">
        <v>63.7</v>
      </c>
      <c r="C290" s="62" t="n">
        <v>0.005469768032827393</v>
      </c>
      <c r="D290" s="62" t="n">
        <v>0.01533889627211066</v>
      </c>
      <c r="E290" s="62" t="n">
        <v>0.0627817667277657</v>
      </c>
    </row>
    <row r="291">
      <c r="A291" s="61" t="n">
        <v>44287</v>
      </c>
      <c r="B291" s="54" t="n">
        <v>62.7</v>
      </c>
      <c r="C291" s="62" t="n">
        <v>0.1218200270537983</v>
      </c>
      <c r="D291" s="62" t="n">
        <v>0.01600286109294064</v>
      </c>
      <c r="E291" s="62" t="n">
        <v>0.06556445212446005</v>
      </c>
    </row>
    <row r="292">
      <c r="A292" s="61" t="n">
        <v>44317</v>
      </c>
      <c r="B292" s="54" t="n">
        <v>64</v>
      </c>
      <c r="C292" s="62" t="n">
        <v>0.1218200270537983</v>
      </c>
      <c r="D292" s="62" t="n">
        <v>0.01600286109294064</v>
      </c>
      <c r="E292" s="62" t="n">
        <v>0.06556445212446005</v>
      </c>
    </row>
    <row r="293">
      <c r="A293" s="61" t="n">
        <v>44348</v>
      </c>
      <c r="B293" s="54" t="n">
        <v>60.1</v>
      </c>
      <c r="C293" s="62" t="n">
        <v>0.1218200270537983</v>
      </c>
      <c r="D293" s="62" t="n">
        <v>0.01600286109294064</v>
      </c>
      <c r="E293" s="62" t="n">
        <v>0.06556445212446005</v>
      </c>
    </row>
    <row r="294">
      <c r="A294" s="61" t="n">
        <v>44378</v>
      </c>
      <c r="B294" s="54" t="n">
        <v>64.09999999999999</v>
      </c>
      <c r="C294" s="62" t="n"/>
      <c r="D294" s="62" t="n"/>
      <c r="E294" s="62" t="n"/>
    </row>
    <row r="295">
      <c r="A295" s="61" t="n">
        <v>44409</v>
      </c>
      <c r="B295" s="54" t="n">
        <v>61.7</v>
      </c>
      <c r="C295" s="62" t="n"/>
      <c r="D295" s="62" t="n"/>
      <c r="E295" s="62" t="n"/>
    </row>
    <row r="296">
      <c r="A296" s="61" t="n">
        <v>44440</v>
      </c>
      <c r="B296" s="54" t="n">
        <v>61.9</v>
      </c>
      <c r="C296" s="62" t="n"/>
      <c r="D296" s="62" t="n"/>
      <c r="E296" s="62" t="n"/>
    </row>
    <row r="297">
      <c r="A297" s="61" t="n">
        <v>44470</v>
      </c>
      <c r="B297" s="54" t="n">
        <v>66.7</v>
      </c>
      <c r="C297" s="62" t="n"/>
      <c r="D297" s="62" t="n"/>
      <c r="E297" s="62" t="n"/>
    </row>
    <row r="298">
      <c r="A298" s="61" t="n">
        <v>44501</v>
      </c>
      <c r="B298" s="54" t="n">
        <v>69.09999999999999</v>
      </c>
      <c r="C298" s="62" t="n"/>
      <c r="D298" s="62" t="n"/>
      <c r="E298" s="62" t="n"/>
    </row>
    <row r="299">
      <c r="A299" s="61" t="n">
        <v>44531</v>
      </c>
      <c r="B299" s="54" t="n">
        <v>62</v>
      </c>
      <c r="C299" s="62" t="n"/>
      <c r="D299" s="62" t="n"/>
      <c r="E299" s="62" t="n"/>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tabColor rgb="FFFF0000"/>
    <outlinePr summaryBelow="1" summaryRight="1"/>
    <pageSetUpPr/>
  </sheetPr>
  <dimension ref="A1:J299"/>
  <sheetViews>
    <sheetView workbookViewId="0">
      <pane ySplit="5" topLeftCell="A264" activePane="bottomLeft" state="frozen"/>
      <selection activeCell="P256" sqref="P256"/>
      <selection pane="bottomLeft" activeCell="B299" sqref="B299"/>
    </sheetView>
  </sheetViews>
  <sheetFormatPr baseColWidth="10" defaultColWidth="9.1640625" defaultRowHeight="15"/>
  <cols>
    <col width="18.33203125" customWidth="1" style="96" min="1" max="1"/>
    <col width="11" customWidth="1" style="96" min="2" max="3"/>
    <col width="9.1640625" customWidth="1" style="96" min="4" max="6"/>
    <col width="12.83203125" customWidth="1" style="96" min="7" max="7"/>
    <col width="14.5" customWidth="1" style="96" min="8" max="8"/>
    <col width="9.1640625" customWidth="1" style="96" min="9" max="9"/>
    <col width="14.83203125" customWidth="1" style="96" min="10" max="10"/>
    <col width="9.1640625" customWidth="1" style="96" min="11" max="13"/>
    <col width="9.1640625" customWidth="1" style="96" min="14" max="16384"/>
  </cols>
  <sheetData>
    <row r="1">
      <c r="A1" s="28" t="inlineStr">
        <is>
          <t>ISM Services</t>
        </is>
      </c>
      <c r="I1" s="45" t="n"/>
    </row>
    <row r="2">
      <c r="B2" s="45" t="n"/>
      <c r="C2" s="45" t="n"/>
    </row>
    <row r="3">
      <c r="B3" s="45" t="n"/>
      <c r="C3" s="45" t="n"/>
    </row>
    <row r="4" ht="16" customHeight="1" s="87" thickBot="1">
      <c r="B4" s="45" t="n"/>
      <c r="C4" s="45" t="n"/>
    </row>
    <row r="5">
      <c r="A5" s="83" t="inlineStr">
        <is>
          <t>Date</t>
        </is>
      </c>
      <c r="B5" s="84" t="inlineStr">
        <is>
          <t>ISM Services</t>
        </is>
      </c>
      <c r="C5" s="85" t="inlineStr">
        <is>
          <t>Change</t>
        </is>
      </c>
    </row>
    <row r="6">
      <c r="A6" s="49" t="n">
        <v>35612</v>
      </c>
      <c r="B6" s="55" t="n">
        <v>56.7</v>
      </c>
      <c r="C6" s="55" t="n"/>
    </row>
    <row r="7">
      <c r="A7" s="53" t="n">
        <v>35643</v>
      </c>
      <c r="B7" s="55" t="n">
        <v>62</v>
      </c>
      <c r="C7" s="55">
        <f>Table9[[#This Row],[ISM Services]]-B6</f>
        <v/>
      </c>
    </row>
    <row r="8">
      <c r="A8" s="49" t="n">
        <v>35674</v>
      </c>
      <c r="B8" s="55" t="n">
        <v>56.2</v>
      </c>
      <c r="C8" s="55">
        <f>Table9[[#This Row],[ISM Services]]-B7</f>
        <v/>
      </c>
    </row>
    <row r="9">
      <c r="A9" s="53" t="n">
        <v>35704</v>
      </c>
      <c r="B9" s="55" t="n">
        <v>56.6</v>
      </c>
      <c r="C9" s="55">
        <f>Table9[[#This Row],[ISM Services]]-B8</f>
        <v/>
      </c>
    </row>
    <row r="10">
      <c r="A10" s="49" t="n">
        <v>35735</v>
      </c>
      <c r="B10" s="55" t="n">
        <v>58.5</v>
      </c>
      <c r="C10" s="55">
        <f>Table9[[#This Row],[ISM Services]]-B9</f>
        <v/>
      </c>
    </row>
    <row r="11">
      <c r="A11" s="53" t="n">
        <v>35765</v>
      </c>
      <c r="B11" s="55" t="n">
        <v>55.5</v>
      </c>
      <c r="C11" s="55">
        <f>Table9[[#This Row],[ISM Services]]-B10</f>
        <v/>
      </c>
    </row>
    <row r="12">
      <c r="A12" s="49" t="n">
        <v>35796</v>
      </c>
      <c r="B12" s="55" t="n">
        <v>57</v>
      </c>
      <c r="C12" s="55">
        <f>Table9[[#This Row],[ISM Services]]-B11</f>
        <v/>
      </c>
    </row>
    <row r="13">
      <c r="A13" s="53" t="n">
        <v>35827</v>
      </c>
      <c r="B13" s="55" t="n">
        <v>56.2</v>
      </c>
      <c r="C13" s="55">
        <f>Table9[[#This Row],[ISM Services]]-B12</f>
        <v/>
      </c>
    </row>
    <row r="14">
      <c r="A14" s="49" t="n">
        <v>35855</v>
      </c>
      <c r="B14" s="55" t="n">
        <v>54.7</v>
      </c>
      <c r="C14" s="55">
        <f>Table9[[#This Row],[ISM Services]]-B13</f>
        <v/>
      </c>
    </row>
    <row r="15">
      <c r="A15" s="53" t="n">
        <v>35886</v>
      </c>
      <c r="B15" s="55" t="n">
        <v>54.9</v>
      </c>
      <c r="C15" s="55">
        <f>Table9[[#This Row],[ISM Services]]-B14</f>
        <v/>
      </c>
    </row>
    <row r="16">
      <c r="A16" s="53" t="n">
        <v>35916</v>
      </c>
      <c r="B16" s="55" t="n">
        <v>56.2</v>
      </c>
      <c r="C16" s="55">
        <f>Table9[[#This Row],[ISM Services]]-B15</f>
        <v/>
      </c>
    </row>
    <row r="17">
      <c r="A17" s="53" t="n">
        <v>35947</v>
      </c>
      <c r="B17" s="55" t="n">
        <v>55.1</v>
      </c>
      <c r="C17" s="55">
        <f>Table9[[#This Row],[ISM Services]]-B16</f>
        <v/>
      </c>
    </row>
    <row r="18">
      <c r="A18" s="53" t="n">
        <v>35977</v>
      </c>
      <c r="B18" s="55" t="n">
        <v>55.8</v>
      </c>
      <c r="C18" s="55">
        <f>Table9[[#This Row],[ISM Services]]-B17</f>
        <v/>
      </c>
    </row>
    <row r="19">
      <c r="A19" s="53" t="n">
        <v>36008</v>
      </c>
      <c r="B19" s="55" t="n">
        <v>53.5</v>
      </c>
      <c r="C19" s="55">
        <f>Table9[[#This Row],[ISM Services]]-B18</f>
        <v/>
      </c>
    </row>
    <row r="20">
      <c r="A20" s="53" t="n">
        <v>36039</v>
      </c>
      <c r="B20" s="55" t="n">
        <v>55</v>
      </c>
      <c r="C20" s="55">
        <f>Table9[[#This Row],[ISM Services]]-B19</f>
        <v/>
      </c>
    </row>
    <row r="21">
      <c r="A21" s="53" t="n">
        <v>36069</v>
      </c>
      <c r="B21" s="55" t="n">
        <v>53.8</v>
      </c>
      <c r="C21" s="55">
        <f>Table9[[#This Row],[ISM Services]]-B20</f>
        <v/>
      </c>
    </row>
    <row r="22">
      <c r="A22" s="53" t="n">
        <v>36100</v>
      </c>
      <c r="B22" s="55" t="n">
        <v>52.6</v>
      </c>
      <c r="C22" s="55">
        <f>Table9[[#This Row],[ISM Services]]-B21</f>
        <v/>
      </c>
    </row>
    <row r="23">
      <c r="A23" s="53" t="n">
        <v>36130</v>
      </c>
      <c r="B23" s="55" t="n">
        <v>52.9</v>
      </c>
      <c r="C23" s="55">
        <f>Table9[[#This Row],[ISM Services]]-B22</f>
        <v/>
      </c>
    </row>
    <row r="24">
      <c r="A24" s="53" t="n">
        <v>36161</v>
      </c>
      <c r="B24" s="55" t="n">
        <v>55.6</v>
      </c>
      <c r="C24" s="55">
        <f>Table9[[#This Row],[ISM Services]]-B23</f>
        <v/>
      </c>
    </row>
    <row r="25">
      <c r="A25" s="53" t="n">
        <v>36192</v>
      </c>
      <c r="B25" s="55" t="n">
        <v>54.4</v>
      </c>
      <c r="C25" s="55">
        <f>Table9[[#This Row],[ISM Services]]-B24</f>
        <v/>
      </c>
    </row>
    <row r="26">
      <c r="A26" s="53" t="n">
        <v>36220</v>
      </c>
      <c r="B26" s="55" t="n">
        <v>55.3</v>
      </c>
      <c r="C26" s="55">
        <f>Table9[[#This Row],[ISM Services]]-B25</f>
        <v/>
      </c>
    </row>
    <row r="27">
      <c r="A27" s="53" t="n">
        <v>36251</v>
      </c>
      <c r="B27" s="55" t="n">
        <v>55.5</v>
      </c>
      <c r="C27" s="55">
        <f>Table9[[#This Row],[ISM Services]]-B26</f>
        <v/>
      </c>
    </row>
    <row r="28">
      <c r="A28" s="53" t="n">
        <v>36281</v>
      </c>
      <c r="B28" s="55" t="n">
        <v>55.3</v>
      </c>
      <c r="C28" s="55">
        <f>Table9[[#This Row],[ISM Services]]-B27</f>
        <v/>
      </c>
    </row>
    <row r="29">
      <c r="A29" s="53" t="n">
        <v>36312</v>
      </c>
      <c r="B29" s="55" t="n">
        <v>56.7</v>
      </c>
      <c r="C29" s="55">
        <f>Table9[[#This Row],[ISM Services]]-B28</f>
        <v/>
      </c>
    </row>
    <row r="30">
      <c r="A30" s="53" t="n">
        <v>36342</v>
      </c>
      <c r="B30" s="55" t="n">
        <v>56.2</v>
      </c>
      <c r="C30" s="55">
        <f>Table9[[#This Row],[ISM Services]]-B29</f>
        <v/>
      </c>
    </row>
    <row r="31">
      <c r="A31" s="53" t="n">
        <v>36373</v>
      </c>
      <c r="B31" s="55" t="n">
        <v>56.4</v>
      </c>
      <c r="C31" s="55">
        <f>Table9[[#This Row],[ISM Services]]-B30</f>
        <v/>
      </c>
    </row>
    <row r="32">
      <c r="A32" s="53" t="n">
        <v>36404</v>
      </c>
      <c r="B32" s="55" t="n">
        <v>56.2</v>
      </c>
      <c r="C32" s="55">
        <f>Table9[[#This Row],[ISM Services]]-B31</f>
        <v/>
      </c>
    </row>
    <row r="33">
      <c r="A33" s="53" t="n">
        <v>36434</v>
      </c>
      <c r="B33" s="55" t="n">
        <v>57.6</v>
      </c>
      <c r="C33" s="55">
        <f>Table9[[#This Row],[ISM Services]]-B32</f>
        <v/>
      </c>
    </row>
    <row r="34">
      <c r="A34" s="53" t="n">
        <v>36465</v>
      </c>
      <c r="B34" s="55" t="n">
        <v>54.9</v>
      </c>
      <c r="C34" s="55">
        <f>Table9[[#This Row],[ISM Services]]-B33</f>
        <v/>
      </c>
    </row>
    <row r="35">
      <c r="A35" s="53" t="n">
        <v>36495</v>
      </c>
      <c r="B35" s="55" t="n">
        <v>56.9</v>
      </c>
      <c r="C35" s="55">
        <f>Table9[[#This Row],[ISM Services]]-B34</f>
        <v/>
      </c>
    </row>
    <row r="36">
      <c r="A36" s="53" t="n">
        <v>36526</v>
      </c>
      <c r="B36" s="55" t="n">
        <v>56.6</v>
      </c>
      <c r="C36" s="55">
        <f>Table9[[#This Row],[ISM Services]]-B35</f>
        <v/>
      </c>
    </row>
    <row r="37">
      <c r="A37" s="53" t="n">
        <v>36557</v>
      </c>
      <c r="B37" s="55" t="n">
        <v>56.2</v>
      </c>
      <c r="C37" s="55">
        <f>Table9[[#This Row],[ISM Services]]-B36</f>
        <v/>
      </c>
    </row>
    <row r="38">
      <c r="A38" s="53" t="n">
        <v>36586</v>
      </c>
      <c r="B38" s="55" t="n">
        <v>57.4</v>
      </c>
      <c r="C38" s="55">
        <f>Table9[[#This Row],[ISM Services]]-B37</f>
        <v/>
      </c>
    </row>
    <row r="39">
      <c r="A39" s="53" t="n">
        <v>36617</v>
      </c>
      <c r="B39" s="55" t="n">
        <v>58</v>
      </c>
      <c r="C39" s="55">
        <f>Table9[[#This Row],[ISM Services]]-B38</f>
        <v/>
      </c>
    </row>
    <row r="40">
      <c r="A40" s="53" t="n">
        <v>36647</v>
      </c>
      <c r="B40" s="55" t="n">
        <v>57.7</v>
      </c>
      <c r="C40" s="55">
        <f>Table9[[#This Row],[ISM Services]]-B39</f>
        <v/>
      </c>
    </row>
    <row r="41">
      <c r="A41" s="53" t="n">
        <v>36678</v>
      </c>
      <c r="B41" s="55" t="n">
        <v>56.9</v>
      </c>
      <c r="C41" s="55">
        <f>Table9[[#This Row],[ISM Services]]-B40</f>
        <v/>
      </c>
    </row>
    <row r="42">
      <c r="A42" s="53" t="n">
        <v>36708</v>
      </c>
      <c r="B42" s="55" t="n">
        <v>55.3</v>
      </c>
      <c r="C42" s="55">
        <f>Table9[[#This Row],[ISM Services]]-B41</f>
        <v/>
      </c>
    </row>
    <row r="43">
      <c r="A43" s="53" t="n">
        <v>36739</v>
      </c>
      <c r="B43" s="55" t="n">
        <v>57.6</v>
      </c>
      <c r="C43" s="55">
        <f>Table9[[#This Row],[ISM Services]]-B42</f>
        <v/>
      </c>
    </row>
    <row r="44">
      <c r="A44" s="53" t="n">
        <v>36770</v>
      </c>
      <c r="B44" s="55" t="n">
        <v>56.7</v>
      </c>
      <c r="C44" s="55">
        <f>Table9[[#This Row],[ISM Services]]-B43</f>
        <v/>
      </c>
    </row>
    <row r="45">
      <c r="A45" s="53" t="n">
        <v>36800</v>
      </c>
      <c r="B45" s="55" t="n">
        <v>56.7</v>
      </c>
      <c r="C45" s="55">
        <f>Table9[[#This Row],[ISM Services]]-B44</f>
        <v/>
      </c>
    </row>
    <row r="46">
      <c r="A46" s="53" t="n">
        <v>36831</v>
      </c>
      <c r="B46" s="55" t="n">
        <v>56.2</v>
      </c>
      <c r="C46" s="55">
        <f>Table9[[#This Row],[ISM Services]]-B45</f>
        <v/>
      </c>
    </row>
    <row r="47">
      <c r="A47" s="53" t="n">
        <v>36861</v>
      </c>
      <c r="B47" s="55" t="n">
        <v>54</v>
      </c>
      <c r="C47" s="55">
        <f>Table9[[#This Row],[ISM Services]]-B46</f>
        <v/>
      </c>
    </row>
    <row r="48">
      <c r="A48" s="53" t="n">
        <v>36892</v>
      </c>
      <c r="B48" s="55" t="n">
        <v>51.6</v>
      </c>
      <c r="C48" s="55">
        <f>Table9[[#This Row],[ISM Services]]-B47</f>
        <v/>
      </c>
    </row>
    <row r="49">
      <c r="A49" s="53" t="n">
        <v>36923</v>
      </c>
      <c r="B49" s="55" t="n">
        <v>51.3</v>
      </c>
      <c r="C49" s="55">
        <f>Table9[[#This Row],[ISM Services]]-B48</f>
        <v/>
      </c>
    </row>
    <row r="50">
      <c r="A50" s="53" t="n">
        <v>36951</v>
      </c>
      <c r="B50" s="55" t="n">
        <v>50.7</v>
      </c>
      <c r="C50" s="55">
        <f>Table9[[#This Row],[ISM Services]]-B49</f>
        <v/>
      </c>
    </row>
    <row r="51">
      <c r="A51" s="53" t="n">
        <v>36982</v>
      </c>
      <c r="B51" s="55" t="n">
        <v>48.3</v>
      </c>
      <c r="C51" s="55">
        <f>Table9[[#This Row],[ISM Services]]-B50</f>
        <v/>
      </c>
    </row>
    <row r="52">
      <c r="A52" s="53" t="n">
        <v>37012</v>
      </c>
      <c r="B52" s="55" t="n">
        <v>49</v>
      </c>
      <c r="C52" s="55">
        <f>Table9[[#This Row],[ISM Services]]-B51</f>
        <v/>
      </c>
    </row>
    <row r="53">
      <c r="A53" s="53" t="n">
        <v>37043</v>
      </c>
      <c r="B53" s="55" t="n">
        <v>50.1</v>
      </c>
      <c r="C53" s="55">
        <f>Table9[[#This Row],[ISM Services]]-B52</f>
        <v/>
      </c>
    </row>
    <row r="54">
      <c r="A54" s="53" t="n">
        <v>37073</v>
      </c>
      <c r="B54" s="55" t="n">
        <v>48.1</v>
      </c>
      <c r="C54" s="55">
        <f>Table9[[#This Row],[ISM Services]]-B53</f>
        <v/>
      </c>
    </row>
    <row r="55">
      <c r="A55" s="53" t="n">
        <v>37104</v>
      </c>
      <c r="B55" s="55" t="n">
        <v>46.9</v>
      </c>
      <c r="C55" s="55">
        <f>Table9[[#This Row],[ISM Services]]-B54</f>
        <v/>
      </c>
    </row>
    <row r="56">
      <c r="A56" s="53" t="n">
        <v>37135</v>
      </c>
      <c r="B56" s="55" t="n">
        <v>49.5</v>
      </c>
      <c r="C56" s="55">
        <f>Table9[[#This Row],[ISM Services]]-B55</f>
        <v/>
      </c>
    </row>
    <row r="57">
      <c r="A57" s="53" t="n">
        <v>37165</v>
      </c>
      <c r="B57" s="55" t="n">
        <v>44.8</v>
      </c>
      <c r="C57" s="55">
        <f>Table9[[#This Row],[ISM Services]]-B56</f>
        <v/>
      </c>
    </row>
    <row r="58">
      <c r="A58" s="53" t="n">
        <v>37196</v>
      </c>
      <c r="B58" s="55" t="n">
        <v>48.2</v>
      </c>
      <c r="C58" s="55">
        <f>Table9[[#This Row],[ISM Services]]-B57</f>
        <v/>
      </c>
    </row>
    <row r="59">
      <c r="A59" s="53" t="n">
        <v>37226</v>
      </c>
      <c r="B59" s="55" t="n">
        <v>49.7</v>
      </c>
      <c r="C59" s="55">
        <f>Table9[[#This Row],[ISM Services]]-B58</f>
        <v/>
      </c>
    </row>
    <row r="60">
      <c r="A60" s="53" t="n">
        <v>37257</v>
      </c>
      <c r="B60" s="55" t="n">
        <v>48.9</v>
      </c>
      <c r="C60" s="55">
        <f>Table9[[#This Row],[ISM Services]]-B59</f>
        <v/>
      </c>
    </row>
    <row r="61">
      <c r="A61" s="53" t="n">
        <v>37288</v>
      </c>
      <c r="B61" s="55" t="n">
        <v>52.7</v>
      </c>
      <c r="C61" s="55">
        <f>Table9[[#This Row],[ISM Services]]-B60</f>
        <v/>
      </c>
    </row>
    <row r="62">
      <c r="A62" s="53" t="n">
        <v>37316</v>
      </c>
      <c r="B62" s="55" t="n">
        <v>52.8</v>
      </c>
      <c r="C62" s="55">
        <f>Table9[[#This Row],[ISM Services]]-B61</f>
        <v/>
      </c>
    </row>
    <row r="63">
      <c r="A63" s="53" t="n">
        <v>37347</v>
      </c>
      <c r="B63" s="55" t="n">
        <v>53.5</v>
      </c>
      <c r="C63" s="55">
        <f>Table9[[#This Row],[ISM Services]]-B62</f>
        <v/>
      </c>
    </row>
    <row r="64">
      <c r="A64" s="53" t="n">
        <v>37377</v>
      </c>
      <c r="B64" s="55" t="n">
        <v>54.8</v>
      </c>
      <c r="C64" s="55">
        <f>Table9[[#This Row],[ISM Services]]-B63</f>
        <v/>
      </c>
    </row>
    <row r="65">
      <c r="A65" s="53" t="n">
        <v>37408</v>
      </c>
      <c r="B65" s="55" t="n">
        <v>52.5</v>
      </c>
      <c r="C65" s="55">
        <f>Table9[[#This Row],[ISM Services]]-B64</f>
        <v/>
      </c>
    </row>
    <row r="66">
      <c r="A66" s="53" t="n">
        <v>37438</v>
      </c>
      <c r="B66" s="55" t="n">
        <v>50.4</v>
      </c>
      <c r="C66" s="55">
        <f>Table9[[#This Row],[ISM Services]]-B65</f>
        <v/>
      </c>
    </row>
    <row r="67">
      <c r="A67" s="53" t="n">
        <v>37469</v>
      </c>
      <c r="B67" s="55" t="n">
        <v>50.9</v>
      </c>
      <c r="C67" s="55">
        <f>Table9[[#This Row],[ISM Services]]-B66</f>
        <v/>
      </c>
    </row>
    <row r="68">
      <c r="A68" s="53" t="n">
        <v>37500</v>
      </c>
      <c r="B68" s="55" t="n">
        <v>52.3</v>
      </c>
      <c r="C68" s="55">
        <f>Table9[[#This Row],[ISM Services]]-B67</f>
        <v/>
      </c>
    </row>
    <row r="69">
      <c r="A69" s="53" t="n">
        <v>37530</v>
      </c>
      <c r="B69" s="55" t="n">
        <v>51.4</v>
      </c>
      <c r="C69" s="55">
        <f>Table9[[#This Row],[ISM Services]]-B68</f>
        <v/>
      </c>
    </row>
    <row r="70">
      <c r="A70" s="53" t="n">
        <v>37561</v>
      </c>
      <c r="B70" s="55" t="n">
        <v>52.9</v>
      </c>
      <c r="C70" s="55">
        <f>Table9[[#This Row],[ISM Services]]-B69</f>
        <v/>
      </c>
    </row>
    <row r="71">
      <c r="A71" s="53" t="n">
        <v>37591</v>
      </c>
      <c r="B71" s="55" t="n">
        <v>52.3</v>
      </c>
      <c r="C71" s="55">
        <f>Table9[[#This Row],[ISM Services]]-B70</f>
        <v/>
      </c>
    </row>
    <row r="72">
      <c r="A72" s="53" t="n">
        <v>37622</v>
      </c>
      <c r="B72" s="55" t="n">
        <v>53.3</v>
      </c>
      <c r="C72" s="55">
        <f>Table9[[#This Row],[ISM Services]]-B71</f>
        <v/>
      </c>
    </row>
    <row r="73">
      <c r="A73" s="53" t="n">
        <v>37653</v>
      </c>
      <c r="B73" s="55" t="n">
        <v>52.6</v>
      </c>
      <c r="C73" s="55">
        <f>Table9[[#This Row],[ISM Services]]-B72</f>
        <v/>
      </c>
    </row>
    <row r="74">
      <c r="A74" s="53" t="n">
        <v>37681</v>
      </c>
      <c r="B74" s="55" t="n">
        <v>49.1</v>
      </c>
      <c r="C74" s="55">
        <f>Table9[[#This Row],[ISM Services]]-B73</f>
        <v/>
      </c>
    </row>
    <row r="75">
      <c r="A75" s="53" t="n">
        <v>37712</v>
      </c>
      <c r="B75" s="55" t="n">
        <v>50.1</v>
      </c>
      <c r="C75" s="55">
        <f>Table9[[#This Row],[ISM Services]]-B74</f>
        <v/>
      </c>
    </row>
    <row r="76">
      <c r="A76" s="53" t="n">
        <v>37742</v>
      </c>
      <c r="B76" s="55" t="n">
        <v>52.8</v>
      </c>
      <c r="C76" s="55">
        <f>Table9[[#This Row],[ISM Services]]-B75</f>
        <v/>
      </c>
    </row>
    <row r="77">
      <c r="A77" s="53" t="n">
        <v>37773</v>
      </c>
      <c r="B77" s="55" t="n">
        <v>54.3</v>
      </c>
      <c r="C77" s="55">
        <f>Table9[[#This Row],[ISM Services]]-B76</f>
        <v/>
      </c>
    </row>
    <row r="78">
      <c r="A78" s="53" t="n">
        <v>37803</v>
      </c>
      <c r="B78" s="55" t="n">
        <v>57.3</v>
      </c>
      <c r="C78" s="55">
        <f>Table9[[#This Row],[ISM Services]]-B77</f>
        <v/>
      </c>
    </row>
    <row r="79">
      <c r="A79" s="53" t="n">
        <v>37834</v>
      </c>
      <c r="B79" s="55" t="n">
        <v>59.1</v>
      </c>
      <c r="C79" s="55">
        <f>Table9[[#This Row],[ISM Services]]-B78</f>
        <v/>
      </c>
    </row>
    <row r="80">
      <c r="A80" s="53" t="n">
        <v>37865</v>
      </c>
      <c r="B80" s="55" t="n">
        <v>57.6</v>
      </c>
      <c r="C80" s="55">
        <f>Table9[[#This Row],[ISM Services]]-B79</f>
        <v/>
      </c>
    </row>
    <row r="81">
      <c r="A81" s="53" t="n">
        <v>37895</v>
      </c>
      <c r="B81" s="55" t="n">
        <v>58.7</v>
      </c>
      <c r="C81" s="55">
        <f>Table9[[#This Row],[ISM Services]]-B80</f>
        <v/>
      </c>
    </row>
    <row r="82">
      <c r="A82" s="53" t="n">
        <v>37926</v>
      </c>
      <c r="B82" s="55" t="n">
        <v>57.5</v>
      </c>
      <c r="C82" s="55">
        <f>Table9[[#This Row],[ISM Services]]-B81</f>
        <v/>
      </c>
    </row>
    <row r="83">
      <c r="A83" s="53" t="n">
        <v>37956</v>
      </c>
      <c r="B83" s="55" t="n">
        <v>56.8</v>
      </c>
      <c r="C83" s="55">
        <f>Table9[[#This Row],[ISM Services]]-B82</f>
        <v/>
      </c>
    </row>
    <row r="84">
      <c r="A84" s="53" t="n">
        <v>37987</v>
      </c>
      <c r="B84" s="55" t="n">
        <v>61.2</v>
      </c>
      <c r="C84" s="55">
        <f>Table9[[#This Row],[ISM Services]]-B83</f>
        <v/>
      </c>
    </row>
    <row r="85">
      <c r="A85" s="53" t="n">
        <v>38018</v>
      </c>
      <c r="B85" s="55" t="n">
        <v>58</v>
      </c>
      <c r="C85" s="55">
        <f>Table9[[#This Row],[ISM Services]]-B84</f>
        <v/>
      </c>
    </row>
    <row r="86">
      <c r="A86" s="53" t="n">
        <v>38047</v>
      </c>
      <c r="B86" s="55" t="n">
        <v>58.3</v>
      </c>
      <c r="C86" s="55">
        <f>Table9[[#This Row],[ISM Services]]-B85</f>
        <v/>
      </c>
    </row>
    <row r="87">
      <c r="A87" s="53" t="n">
        <v>38078</v>
      </c>
      <c r="B87" s="55" t="n">
        <v>59.6</v>
      </c>
      <c r="C87" s="55">
        <f>Table9[[#This Row],[ISM Services]]-B86</f>
        <v/>
      </c>
    </row>
    <row r="88">
      <c r="A88" s="53" t="n">
        <v>38108</v>
      </c>
      <c r="B88" s="55" t="n">
        <v>58.5</v>
      </c>
      <c r="C88" s="55">
        <f>Table9[[#This Row],[ISM Services]]-B87</f>
        <v/>
      </c>
    </row>
    <row r="89">
      <c r="A89" s="53" t="n">
        <v>38139</v>
      </c>
      <c r="B89" s="55" t="n">
        <v>58.6</v>
      </c>
      <c r="C89" s="55">
        <f>Table9[[#This Row],[ISM Services]]-B88</f>
        <v/>
      </c>
    </row>
    <row r="90">
      <c r="A90" s="53" t="n">
        <v>38169</v>
      </c>
      <c r="B90" s="55" t="n">
        <v>58.5</v>
      </c>
      <c r="C90" s="55">
        <f>Table9[[#This Row],[ISM Services]]-B89</f>
        <v/>
      </c>
    </row>
    <row r="91">
      <c r="A91" s="53" t="n">
        <v>38200</v>
      </c>
      <c r="B91" s="55" t="n">
        <v>57.3</v>
      </c>
      <c r="C91" s="55">
        <f>Table9[[#This Row],[ISM Services]]-B90</f>
        <v/>
      </c>
    </row>
    <row r="92">
      <c r="A92" s="53" t="n">
        <v>38231</v>
      </c>
      <c r="B92" s="55" t="n">
        <v>57.9</v>
      </c>
      <c r="C92" s="55">
        <f>Table9[[#This Row],[ISM Services]]-B91</f>
        <v/>
      </c>
    </row>
    <row r="93">
      <c r="A93" s="53" t="n">
        <v>38261</v>
      </c>
      <c r="B93" s="55" t="n">
        <v>58.8</v>
      </c>
      <c r="C93" s="55">
        <f>Table9[[#This Row],[ISM Services]]-B92</f>
        <v/>
      </c>
    </row>
    <row r="94">
      <c r="A94" s="53" t="n">
        <v>38292</v>
      </c>
      <c r="B94" s="55" t="n">
        <v>58.4</v>
      </c>
      <c r="C94" s="55">
        <f>Table9[[#This Row],[ISM Services]]-B93</f>
        <v/>
      </c>
    </row>
    <row r="95">
      <c r="A95" s="53" t="n">
        <v>38322</v>
      </c>
      <c r="B95" s="55" t="n">
        <v>59.6</v>
      </c>
      <c r="C95" s="55">
        <f>Table9[[#This Row],[ISM Services]]-B94</f>
        <v/>
      </c>
    </row>
    <row r="96">
      <c r="A96" s="53" t="n">
        <v>38353</v>
      </c>
      <c r="B96" s="55" t="n">
        <v>58</v>
      </c>
      <c r="C96" s="55">
        <f>Table9[[#This Row],[ISM Services]]-B95</f>
        <v/>
      </c>
    </row>
    <row r="97">
      <c r="A97" s="53" t="n">
        <v>38384</v>
      </c>
      <c r="B97" s="55" t="n">
        <v>59.4</v>
      </c>
      <c r="C97" s="55">
        <f>Table9[[#This Row],[ISM Services]]-B96</f>
        <v/>
      </c>
    </row>
    <row r="98">
      <c r="A98" s="53" t="n">
        <v>38412</v>
      </c>
      <c r="B98" s="55" t="n">
        <v>58</v>
      </c>
      <c r="C98" s="55">
        <f>Table9[[#This Row],[ISM Services]]-B97</f>
        <v/>
      </c>
    </row>
    <row r="99">
      <c r="A99" s="53" t="n">
        <v>38443</v>
      </c>
      <c r="B99" s="55" t="n">
        <v>55.6</v>
      </c>
      <c r="C99" s="55">
        <f>Table9[[#This Row],[ISM Services]]-B98</f>
        <v/>
      </c>
    </row>
    <row r="100">
      <c r="A100" s="53" t="n">
        <v>38473</v>
      </c>
      <c r="B100" s="55" t="n">
        <v>55.3</v>
      </c>
      <c r="C100" s="55">
        <f>Table9[[#This Row],[ISM Services]]-B99</f>
        <v/>
      </c>
    </row>
    <row r="101">
      <c r="A101" s="53" t="n">
        <v>38504</v>
      </c>
      <c r="B101" s="55" t="n">
        <v>58.1</v>
      </c>
      <c r="C101" s="55">
        <f>Table9[[#This Row],[ISM Services]]-B100</f>
        <v/>
      </c>
    </row>
    <row r="102">
      <c r="A102" s="53" t="n">
        <v>38534</v>
      </c>
      <c r="B102" s="55" t="n">
        <v>59.5</v>
      </c>
      <c r="C102" s="55">
        <f>Table9[[#This Row],[ISM Services]]-B101</f>
        <v/>
      </c>
    </row>
    <row r="103">
      <c r="A103" s="53" t="n">
        <v>38565</v>
      </c>
      <c r="B103" s="55" t="n">
        <v>61.3</v>
      </c>
      <c r="C103" s="55">
        <f>Table9[[#This Row],[ISM Services]]-B102</f>
        <v/>
      </c>
    </row>
    <row r="104">
      <c r="A104" s="53" t="n">
        <v>38596</v>
      </c>
      <c r="B104" s="55" t="n">
        <v>55.7</v>
      </c>
      <c r="C104" s="55">
        <f>Table9[[#This Row],[ISM Services]]-B103</f>
        <v/>
      </c>
    </row>
    <row r="105">
      <c r="A105" s="53" t="n">
        <v>38626</v>
      </c>
      <c r="B105" s="55" t="n">
        <v>57.4</v>
      </c>
      <c r="C105" s="55">
        <f>Table9[[#This Row],[ISM Services]]-B104</f>
        <v/>
      </c>
    </row>
    <row r="106">
      <c r="A106" s="53" t="n">
        <v>38657</v>
      </c>
      <c r="B106" s="55" t="n">
        <v>59.1</v>
      </c>
      <c r="C106" s="55">
        <f>Table9[[#This Row],[ISM Services]]-B105</f>
        <v/>
      </c>
    </row>
    <row r="107">
      <c r="A107" s="53" t="n">
        <v>38687</v>
      </c>
      <c r="B107" s="55" t="n">
        <v>59</v>
      </c>
      <c r="C107" s="55">
        <f>Table9[[#This Row],[ISM Services]]-B106</f>
        <v/>
      </c>
    </row>
    <row r="108">
      <c r="A108" s="53" t="n">
        <v>38718</v>
      </c>
      <c r="B108" s="55" t="n">
        <v>56.3</v>
      </c>
      <c r="C108" s="55">
        <f>Table9[[#This Row],[ISM Services]]-B107</f>
        <v/>
      </c>
    </row>
    <row r="109">
      <c r="A109" s="53" t="n">
        <v>38749</v>
      </c>
      <c r="B109" s="55" t="n">
        <v>57.6</v>
      </c>
      <c r="C109" s="55">
        <f>Table9[[#This Row],[ISM Services]]-B108</f>
        <v/>
      </c>
    </row>
    <row r="110">
      <c r="A110" s="53" t="n">
        <v>38777</v>
      </c>
      <c r="B110" s="55" t="n">
        <v>56.9</v>
      </c>
      <c r="C110" s="55">
        <f>Table9[[#This Row],[ISM Services]]-B109</f>
        <v/>
      </c>
    </row>
    <row r="111">
      <c r="A111" s="53" t="n">
        <v>38808</v>
      </c>
      <c r="B111" s="55" t="n">
        <v>58.4</v>
      </c>
      <c r="C111" s="55">
        <f>Table9[[#This Row],[ISM Services]]-B110</f>
        <v/>
      </c>
    </row>
    <row r="112">
      <c r="A112" s="53" t="n">
        <v>38838</v>
      </c>
      <c r="B112" s="55" t="n">
        <v>57</v>
      </c>
      <c r="C112" s="55">
        <f>Table9[[#This Row],[ISM Services]]-B111</f>
        <v/>
      </c>
    </row>
    <row r="113">
      <c r="A113" s="53" t="n">
        <v>38869</v>
      </c>
      <c r="B113" s="55" t="n">
        <v>55.2</v>
      </c>
      <c r="C113" s="55">
        <f>Table9[[#This Row],[ISM Services]]-B112</f>
        <v/>
      </c>
    </row>
    <row r="114">
      <c r="A114" s="53" t="n">
        <v>38899</v>
      </c>
      <c r="B114" s="55" t="n">
        <v>55.6</v>
      </c>
      <c r="C114" s="55">
        <f>Table9[[#This Row],[ISM Services]]-B113</f>
        <v/>
      </c>
    </row>
    <row r="115">
      <c r="A115" s="53" t="n">
        <v>38930</v>
      </c>
      <c r="B115" s="55" t="n">
        <v>53.9</v>
      </c>
      <c r="C115" s="55">
        <f>Table9[[#This Row],[ISM Services]]-B114</f>
        <v/>
      </c>
    </row>
    <row r="116">
      <c r="A116" s="53" t="n">
        <v>38961</v>
      </c>
      <c r="B116" s="55" t="n">
        <v>54.5</v>
      </c>
      <c r="C116" s="55">
        <f>Table9[[#This Row],[ISM Services]]-B115</f>
        <v/>
      </c>
    </row>
    <row r="117">
      <c r="A117" s="53" t="n">
        <v>38991</v>
      </c>
      <c r="B117" s="55" t="n">
        <v>54.9</v>
      </c>
      <c r="C117" s="55">
        <f>Table9[[#This Row],[ISM Services]]-B116</f>
        <v/>
      </c>
    </row>
    <row r="118">
      <c r="A118" s="53" t="n">
        <v>39022</v>
      </c>
      <c r="B118" s="55" t="n">
        <v>54.5</v>
      </c>
      <c r="C118" s="55">
        <f>Table9[[#This Row],[ISM Services]]-B117</f>
        <v/>
      </c>
    </row>
    <row r="119">
      <c r="A119" s="53" t="n">
        <v>39052</v>
      </c>
      <c r="B119" s="55" t="n">
        <v>53.7</v>
      </c>
      <c r="C119" s="55">
        <f>Table9[[#This Row],[ISM Services]]-B118</f>
        <v/>
      </c>
    </row>
    <row r="120">
      <c r="A120" s="53" t="n">
        <v>39083</v>
      </c>
      <c r="B120" s="55" t="n">
        <v>55.4</v>
      </c>
      <c r="C120" s="55">
        <f>Table9[[#This Row],[ISM Services]]-B119</f>
        <v/>
      </c>
    </row>
    <row r="121">
      <c r="A121" s="53" t="n">
        <v>39114</v>
      </c>
      <c r="B121" s="55" t="n">
        <v>54.2</v>
      </c>
      <c r="C121" s="55">
        <f>Table9[[#This Row],[ISM Services]]-B120</f>
        <v/>
      </c>
    </row>
    <row r="122">
      <c r="A122" s="53" t="n">
        <v>39142</v>
      </c>
      <c r="B122" s="55" t="n">
        <v>52.1</v>
      </c>
      <c r="C122" s="55">
        <f>Table9[[#This Row],[ISM Services]]-B121</f>
        <v/>
      </c>
    </row>
    <row r="123">
      <c r="A123" s="53" t="n">
        <v>39173</v>
      </c>
      <c r="B123" s="55" t="n">
        <v>53.4</v>
      </c>
      <c r="C123" s="55">
        <f>Table9[[#This Row],[ISM Services]]-B122</f>
        <v/>
      </c>
    </row>
    <row r="124">
      <c r="A124" s="53" t="n">
        <v>39203</v>
      </c>
      <c r="B124" s="55" t="n">
        <v>54.3</v>
      </c>
      <c r="C124" s="55">
        <f>Table9[[#This Row],[ISM Services]]-B123</f>
        <v/>
      </c>
    </row>
    <row r="125">
      <c r="A125" s="53" t="n">
        <v>39234</v>
      </c>
      <c r="B125" s="55" t="n">
        <v>54.9</v>
      </c>
      <c r="C125" s="55">
        <f>Table9[[#This Row],[ISM Services]]-B124</f>
        <v/>
      </c>
    </row>
    <row r="126">
      <c r="A126" s="53" t="n">
        <v>39264</v>
      </c>
      <c r="B126" s="55" t="n">
        <v>53.6</v>
      </c>
      <c r="C126" s="55">
        <f>Table9[[#This Row],[ISM Services]]-B125</f>
        <v/>
      </c>
    </row>
    <row r="127">
      <c r="A127" s="53" t="n">
        <v>39295</v>
      </c>
      <c r="B127" s="55" t="n">
        <v>52.7</v>
      </c>
      <c r="C127" s="55">
        <f>Table9[[#This Row],[ISM Services]]-B126</f>
        <v/>
      </c>
    </row>
    <row r="128">
      <c r="A128" s="53" t="n">
        <v>39326</v>
      </c>
      <c r="B128" s="55" t="n">
        <v>52.6</v>
      </c>
      <c r="C128" s="55">
        <f>Table9[[#This Row],[ISM Services]]-B127</f>
        <v/>
      </c>
    </row>
    <row r="129">
      <c r="A129" s="53" t="n">
        <v>39356</v>
      </c>
      <c r="B129" s="55" t="n">
        <v>53.6</v>
      </c>
      <c r="C129" s="55">
        <f>Table9[[#This Row],[ISM Services]]-B128</f>
        <v/>
      </c>
    </row>
    <row r="130">
      <c r="A130" s="53" t="n">
        <v>39387</v>
      </c>
      <c r="B130" s="55" t="n">
        <v>52.8</v>
      </c>
      <c r="C130" s="55">
        <f>Table9[[#This Row],[ISM Services]]-B129</f>
        <v/>
      </c>
    </row>
    <row r="131">
      <c r="A131" s="53" t="n">
        <v>39417</v>
      </c>
      <c r="B131" s="55" t="n">
        <v>52.5</v>
      </c>
      <c r="C131" s="55">
        <f>Table9[[#This Row],[ISM Services]]-B130</f>
        <v/>
      </c>
    </row>
    <row r="132">
      <c r="A132" s="53" t="n">
        <v>39448</v>
      </c>
      <c r="B132" s="55" t="n">
        <v>44.8</v>
      </c>
      <c r="C132" s="55">
        <f>Table9[[#This Row],[ISM Services]]-B131</f>
        <v/>
      </c>
    </row>
    <row r="133">
      <c r="A133" s="53" t="n">
        <v>39479</v>
      </c>
      <c r="B133" s="55" t="n">
        <v>49.9</v>
      </c>
      <c r="C133" s="55">
        <f>Table9[[#This Row],[ISM Services]]-B132</f>
        <v/>
      </c>
    </row>
    <row r="134">
      <c r="A134" s="53" t="n">
        <v>39508</v>
      </c>
      <c r="B134" s="55" t="n">
        <v>49.4</v>
      </c>
      <c r="C134" s="55">
        <f>Table9[[#This Row],[ISM Services]]-B133</f>
        <v/>
      </c>
    </row>
    <row r="135">
      <c r="A135" s="53" t="n">
        <v>39539</v>
      </c>
      <c r="B135" s="55" t="n">
        <v>51.9</v>
      </c>
      <c r="C135" s="55">
        <f>Table9[[#This Row],[ISM Services]]-B134</f>
        <v/>
      </c>
    </row>
    <row r="136">
      <c r="A136" s="53" t="n">
        <v>39569</v>
      </c>
      <c r="B136" s="55" t="n">
        <v>51.5</v>
      </c>
      <c r="C136" s="55">
        <f>Table9[[#This Row],[ISM Services]]-B135</f>
        <v/>
      </c>
    </row>
    <row r="137">
      <c r="A137" s="53" t="n">
        <v>39600</v>
      </c>
      <c r="B137" s="55" t="n">
        <v>48.1</v>
      </c>
      <c r="C137" s="55">
        <f>Table9[[#This Row],[ISM Services]]-B136</f>
        <v/>
      </c>
    </row>
    <row r="138">
      <c r="A138" s="53" t="n">
        <v>39630</v>
      </c>
      <c r="B138" s="55" t="n">
        <v>50.1</v>
      </c>
      <c r="C138" s="55">
        <f>Table9[[#This Row],[ISM Services]]-B137</f>
        <v/>
      </c>
    </row>
    <row r="139">
      <c r="A139" s="53" t="n">
        <v>39661</v>
      </c>
      <c r="B139" s="55" t="n">
        <v>50.6</v>
      </c>
      <c r="C139" s="55">
        <f>Table9[[#This Row],[ISM Services]]-B138</f>
        <v/>
      </c>
    </row>
    <row r="140">
      <c r="A140" s="53" t="n">
        <v>39692</v>
      </c>
      <c r="B140" s="55" t="n">
        <v>49.4</v>
      </c>
      <c r="C140" s="55">
        <f>Table9[[#This Row],[ISM Services]]-B139</f>
        <v/>
      </c>
    </row>
    <row r="141">
      <c r="A141" s="53" t="n">
        <v>39722</v>
      </c>
      <c r="B141" s="55" t="n">
        <v>44.7</v>
      </c>
      <c r="C141" s="55">
        <f>Table9[[#This Row],[ISM Services]]-B140</f>
        <v/>
      </c>
    </row>
    <row r="142">
      <c r="A142" s="53" t="n">
        <v>39753</v>
      </c>
      <c r="B142" s="55" t="n">
        <v>37.8</v>
      </c>
      <c r="C142" s="55">
        <f>Table9[[#This Row],[ISM Services]]-B141</f>
        <v/>
      </c>
    </row>
    <row r="143">
      <c r="A143" s="53" t="n">
        <v>39783</v>
      </c>
      <c r="B143" s="55" t="n">
        <v>40</v>
      </c>
      <c r="C143" s="55">
        <f>Table9[[#This Row],[ISM Services]]-B142</f>
        <v/>
      </c>
    </row>
    <row r="144">
      <c r="A144" s="53" t="n">
        <v>39814</v>
      </c>
      <c r="B144" s="55" t="n">
        <v>43</v>
      </c>
      <c r="C144" s="55">
        <f>Table9[[#This Row],[ISM Services]]-B143</f>
        <v/>
      </c>
    </row>
    <row r="145">
      <c r="A145" s="53" t="n">
        <v>39845</v>
      </c>
      <c r="B145" s="55" t="n">
        <v>41.6</v>
      </c>
      <c r="C145" s="55">
        <f>Table9[[#This Row],[ISM Services]]-B144</f>
        <v/>
      </c>
    </row>
    <row r="146">
      <c r="A146" s="53" t="n">
        <v>39873</v>
      </c>
      <c r="B146" s="55" t="n">
        <v>40.1</v>
      </c>
      <c r="C146" s="55">
        <f>Table9[[#This Row],[ISM Services]]-B145</f>
        <v/>
      </c>
    </row>
    <row r="147">
      <c r="A147" s="53" t="n">
        <v>39904</v>
      </c>
      <c r="B147" s="55" t="n">
        <v>43.7</v>
      </c>
      <c r="C147" s="55">
        <f>Table9[[#This Row],[ISM Services]]-B146</f>
        <v/>
      </c>
    </row>
    <row r="148">
      <c r="A148" s="53" t="n">
        <v>39934</v>
      </c>
      <c r="B148" s="55" t="n">
        <v>44.4</v>
      </c>
      <c r="C148" s="55">
        <f>Table9[[#This Row],[ISM Services]]-B147</f>
        <v/>
      </c>
    </row>
    <row r="149">
      <c r="A149" s="53" t="n">
        <v>39965</v>
      </c>
      <c r="B149" s="55" t="n">
        <v>46.4</v>
      </c>
      <c r="C149" s="55">
        <f>Table9[[#This Row],[ISM Services]]-B148</f>
        <v/>
      </c>
    </row>
    <row r="150">
      <c r="A150" s="53" t="n">
        <v>39995</v>
      </c>
      <c r="B150" s="55" t="n">
        <v>47.1</v>
      </c>
      <c r="C150" s="55">
        <f>Table9[[#This Row],[ISM Services]]-B149</f>
        <v/>
      </c>
    </row>
    <row r="151">
      <c r="A151" s="53" t="n">
        <v>40026</v>
      </c>
      <c r="B151" s="55" t="n">
        <v>48.9</v>
      </c>
      <c r="C151" s="55">
        <f>Table9[[#This Row],[ISM Services]]-B150</f>
        <v/>
      </c>
    </row>
    <row r="152">
      <c r="A152" s="53" t="n">
        <v>40057</v>
      </c>
      <c r="B152" s="55" t="n">
        <v>50.1</v>
      </c>
      <c r="C152" s="55">
        <f>Table9[[#This Row],[ISM Services]]-B151</f>
        <v/>
      </c>
    </row>
    <row r="153">
      <c r="A153" s="53" t="n">
        <v>40087</v>
      </c>
      <c r="B153" s="55" t="n">
        <v>51</v>
      </c>
      <c r="C153" s="55">
        <f>Table9[[#This Row],[ISM Services]]-B152</f>
        <v/>
      </c>
    </row>
    <row r="154">
      <c r="A154" s="53" t="n">
        <v>40118</v>
      </c>
      <c r="B154" s="55" t="n">
        <v>49.5</v>
      </c>
      <c r="C154" s="55">
        <f>Table9[[#This Row],[ISM Services]]-B153</f>
        <v/>
      </c>
    </row>
    <row r="155">
      <c r="A155" s="53" t="n">
        <v>40148</v>
      </c>
      <c r="B155" s="55" t="n">
        <v>49.7</v>
      </c>
      <c r="C155" s="55">
        <f>Table9[[#This Row],[ISM Services]]-B154</f>
        <v/>
      </c>
    </row>
    <row r="156">
      <c r="A156" s="53" t="n">
        <v>40179</v>
      </c>
      <c r="B156" s="55" t="n">
        <v>50</v>
      </c>
      <c r="C156" s="55">
        <f>Table9[[#This Row],[ISM Services]]-B155</f>
        <v/>
      </c>
    </row>
    <row r="157">
      <c r="A157" s="53" t="n">
        <v>40210</v>
      </c>
      <c r="B157" s="55" t="n">
        <v>51.7</v>
      </c>
      <c r="C157" s="55">
        <f>Table9[[#This Row],[ISM Services]]-B156</f>
        <v/>
      </c>
    </row>
    <row r="158">
      <c r="A158" s="53" t="n">
        <v>40238</v>
      </c>
      <c r="B158" s="55" t="n">
        <v>53.3</v>
      </c>
      <c r="C158" s="55">
        <f>Table9[[#This Row],[ISM Services]]-B157</f>
        <v/>
      </c>
    </row>
    <row r="159">
      <c r="A159" s="53" t="n">
        <v>40269</v>
      </c>
      <c r="B159" s="55" t="n">
        <v>55.3</v>
      </c>
      <c r="C159" s="55">
        <f>Table9[[#This Row],[ISM Services]]-B158</f>
        <v/>
      </c>
    </row>
    <row r="160">
      <c r="A160" s="53" t="n">
        <v>40299</v>
      </c>
      <c r="B160" s="55" t="n">
        <v>55.5</v>
      </c>
      <c r="C160" s="55">
        <f>Table9[[#This Row],[ISM Services]]-B159</f>
        <v/>
      </c>
    </row>
    <row r="161">
      <c r="A161" s="53" t="n">
        <v>40330</v>
      </c>
      <c r="B161" s="55" t="n">
        <v>54.4</v>
      </c>
      <c r="C161" s="55">
        <f>Table9[[#This Row],[ISM Services]]-B160</f>
        <v/>
      </c>
    </row>
    <row r="162">
      <c r="A162" s="53" t="n">
        <v>40360</v>
      </c>
      <c r="B162" s="55" t="n">
        <v>54.6</v>
      </c>
      <c r="C162" s="55">
        <f>Table9[[#This Row],[ISM Services]]-B161</f>
        <v/>
      </c>
    </row>
    <row r="163">
      <c r="A163" s="53" t="n">
        <v>40391</v>
      </c>
      <c r="B163" s="55" t="n">
        <v>52.4</v>
      </c>
      <c r="C163" s="55">
        <f>Table9[[#This Row],[ISM Services]]-B162</f>
        <v/>
      </c>
    </row>
    <row r="164">
      <c r="A164" s="53" t="n">
        <v>40422</v>
      </c>
      <c r="B164" s="55" t="n">
        <v>53.3</v>
      </c>
      <c r="C164" s="55">
        <f>Table9[[#This Row],[ISM Services]]-B163</f>
        <v/>
      </c>
    </row>
    <row r="165">
      <c r="A165" s="53" t="n">
        <v>40452</v>
      </c>
      <c r="B165" s="55" t="n">
        <v>55.3</v>
      </c>
      <c r="C165" s="55">
        <f>Table9[[#This Row],[ISM Services]]-B164</f>
        <v/>
      </c>
    </row>
    <row r="166">
      <c r="A166" s="53" t="n">
        <v>40483</v>
      </c>
      <c r="B166" s="55" t="n">
        <v>56.4</v>
      </c>
      <c r="C166" s="55">
        <f>Table9[[#This Row],[ISM Services]]-B165</f>
        <v/>
      </c>
    </row>
    <row r="167">
      <c r="A167" s="53" t="n">
        <v>40513</v>
      </c>
      <c r="B167" s="55" t="n">
        <v>56.9</v>
      </c>
      <c r="C167" s="55">
        <f>Table9[[#This Row],[ISM Services]]-B166</f>
        <v/>
      </c>
    </row>
    <row r="168">
      <c r="A168" s="53" t="n">
        <v>40544</v>
      </c>
      <c r="B168" s="55" t="n">
        <v>57.6</v>
      </c>
      <c r="C168" s="55">
        <f>Table9[[#This Row],[ISM Services]]-B167</f>
        <v/>
      </c>
    </row>
    <row r="169">
      <c r="A169" s="53" t="n">
        <v>40575</v>
      </c>
      <c r="B169" s="55" t="n">
        <v>58</v>
      </c>
      <c r="C169" s="55">
        <f>Table9[[#This Row],[ISM Services]]-B168</f>
        <v/>
      </c>
    </row>
    <row r="170">
      <c r="A170" s="53" t="n">
        <v>40603</v>
      </c>
      <c r="B170" s="55" t="n">
        <v>55.8</v>
      </c>
      <c r="C170" s="55">
        <f>Table9[[#This Row],[ISM Services]]-B169</f>
        <v/>
      </c>
    </row>
    <row r="171">
      <c r="A171" s="53" t="n">
        <v>40634</v>
      </c>
      <c r="B171" s="55" t="n">
        <v>55.2</v>
      </c>
      <c r="C171" s="55">
        <f>Table9[[#This Row],[ISM Services]]-B170</f>
        <v/>
      </c>
    </row>
    <row r="172">
      <c r="A172" s="53" t="n">
        <v>40664</v>
      </c>
      <c r="B172" s="55" t="n">
        <v>55</v>
      </c>
      <c r="C172" s="55">
        <f>Table9[[#This Row],[ISM Services]]-B171</f>
        <v/>
      </c>
    </row>
    <row r="173">
      <c r="A173" s="53" t="n">
        <v>40695</v>
      </c>
      <c r="B173" s="55" t="n">
        <v>54.2</v>
      </c>
      <c r="C173" s="55">
        <f>Table9[[#This Row],[ISM Services]]-B172</f>
        <v/>
      </c>
    </row>
    <row r="174">
      <c r="A174" s="53" t="n">
        <v>40725</v>
      </c>
      <c r="B174" s="55" t="n">
        <v>53.5</v>
      </c>
      <c r="C174" s="55">
        <f>Table9[[#This Row],[ISM Services]]-B173</f>
        <v/>
      </c>
    </row>
    <row r="175">
      <c r="A175" s="53" t="n">
        <v>40756</v>
      </c>
      <c r="B175" s="55" t="n">
        <v>53.5</v>
      </c>
      <c r="C175" s="55">
        <f>Table9[[#This Row],[ISM Services]]-B174</f>
        <v/>
      </c>
    </row>
    <row r="176">
      <c r="A176" s="53" t="n">
        <v>40787</v>
      </c>
      <c r="B176" s="55" t="n">
        <v>52.3</v>
      </c>
      <c r="C176" s="55">
        <f>Table9[[#This Row],[ISM Services]]-B175</f>
        <v/>
      </c>
    </row>
    <row r="177">
      <c r="A177" s="53" t="n">
        <v>40817</v>
      </c>
      <c r="B177" s="55" t="n">
        <v>52.8</v>
      </c>
      <c r="C177" s="55">
        <f>Table9[[#This Row],[ISM Services]]-B176</f>
        <v/>
      </c>
    </row>
    <row r="178">
      <c r="A178" s="53" t="n">
        <v>40848</v>
      </c>
      <c r="B178" s="55" t="n">
        <v>52.9</v>
      </c>
      <c r="C178" s="55">
        <f>Table9[[#This Row],[ISM Services]]-B177</f>
        <v/>
      </c>
    </row>
    <row r="179">
      <c r="A179" s="53" t="n">
        <v>40878</v>
      </c>
      <c r="B179" s="55" t="n">
        <v>52.6</v>
      </c>
      <c r="C179" s="55">
        <f>Table9[[#This Row],[ISM Services]]-B178</f>
        <v/>
      </c>
    </row>
    <row r="180">
      <c r="A180" s="53" t="n">
        <v>40909</v>
      </c>
      <c r="B180" s="55" t="n">
        <v>56</v>
      </c>
      <c r="C180" s="55">
        <f>Table9[[#This Row],[ISM Services]]-B179</f>
        <v/>
      </c>
    </row>
    <row r="181">
      <c r="A181" s="53" t="n">
        <v>40940</v>
      </c>
      <c r="B181" s="55" t="n">
        <v>56</v>
      </c>
      <c r="C181" s="55">
        <f>Table9[[#This Row],[ISM Services]]-B180</f>
        <v/>
      </c>
    </row>
    <row r="182">
      <c r="A182" s="53" t="n">
        <v>40969</v>
      </c>
      <c r="B182" s="55" t="n">
        <v>55.6</v>
      </c>
      <c r="C182" s="55">
        <f>Table9[[#This Row],[ISM Services]]-B181</f>
        <v/>
      </c>
    </row>
    <row r="183">
      <c r="A183" s="53" t="n">
        <v>41000</v>
      </c>
      <c r="B183" s="55" t="n">
        <v>54.4</v>
      </c>
      <c r="C183" s="55">
        <f>Table9[[#This Row],[ISM Services]]-B182</f>
        <v/>
      </c>
    </row>
    <row r="184">
      <c r="A184" s="53" t="n">
        <v>41030</v>
      </c>
      <c r="B184" s="55" t="n">
        <v>54.5</v>
      </c>
      <c r="C184" s="55">
        <f>Table9[[#This Row],[ISM Services]]-B183</f>
        <v/>
      </c>
    </row>
    <row r="185">
      <c r="A185" s="53" t="n">
        <v>41061</v>
      </c>
      <c r="B185" s="55" t="n">
        <v>53.7</v>
      </c>
      <c r="C185" s="55">
        <f>Table9[[#This Row],[ISM Services]]-B184</f>
        <v/>
      </c>
    </row>
    <row r="186">
      <c r="A186" s="53" t="n">
        <v>41091</v>
      </c>
      <c r="B186" s="55" t="n">
        <v>52.4</v>
      </c>
      <c r="C186" s="55">
        <f>Table9[[#This Row],[ISM Services]]-B185</f>
        <v/>
      </c>
    </row>
    <row r="187">
      <c r="A187" s="53" t="n">
        <v>41122</v>
      </c>
      <c r="B187" s="55" t="n">
        <v>52.9</v>
      </c>
      <c r="C187" s="55">
        <f>Table9[[#This Row],[ISM Services]]-B186</f>
        <v/>
      </c>
    </row>
    <row r="188">
      <c r="A188" s="53" t="n">
        <v>41153</v>
      </c>
      <c r="B188" s="55" t="n">
        <v>54.6</v>
      </c>
      <c r="C188" s="55">
        <f>Table9[[#This Row],[ISM Services]]-B187</f>
        <v/>
      </c>
    </row>
    <row r="189">
      <c r="A189" s="53" t="n">
        <v>41183</v>
      </c>
      <c r="B189" s="55" t="n">
        <v>54.2</v>
      </c>
      <c r="C189" s="55">
        <f>Table9[[#This Row],[ISM Services]]-B188</f>
        <v/>
      </c>
    </row>
    <row r="190">
      <c r="A190" s="53" t="n">
        <v>41214</v>
      </c>
      <c r="B190" s="55" t="n">
        <v>54.8</v>
      </c>
      <c r="C190" s="55">
        <f>Table9[[#This Row],[ISM Services]]-B189</f>
        <v/>
      </c>
    </row>
    <row r="191">
      <c r="A191" s="53" t="n">
        <v>41244</v>
      </c>
      <c r="B191" s="55" t="n">
        <v>55.6</v>
      </c>
      <c r="C191" s="55">
        <f>Table9[[#This Row],[ISM Services]]-B190</f>
        <v/>
      </c>
    </row>
    <row r="192">
      <c r="A192" s="53" t="n">
        <v>41275</v>
      </c>
      <c r="B192" s="55" t="n">
        <v>55.3</v>
      </c>
      <c r="C192" s="55">
        <f>Table9[[#This Row],[ISM Services]]-B191</f>
        <v/>
      </c>
    </row>
    <row r="193">
      <c r="A193" s="53" t="n">
        <v>41306</v>
      </c>
      <c r="B193" s="55" t="n">
        <v>56.1</v>
      </c>
      <c r="C193" s="55">
        <f>Table9[[#This Row],[ISM Services]]-B192</f>
        <v/>
      </c>
    </row>
    <row r="194">
      <c r="A194" s="53" t="n">
        <v>41334</v>
      </c>
      <c r="B194" s="55" t="n">
        <v>55.2</v>
      </c>
      <c r="C194" s="55">
        <f>Table9[[#This Row],[ISM Services]]-B193</f>
        <v/>
      </c>
    </row>
    <row r="195">
      <c r="A195" s="53" t="n">
        <v>41365</v>
      </c>
      <c r="B195" s="55" t="n">
        <v>53.9</v>
      </c>
      <c r="C195" s="55">
        <f>Table9[[#This Row],[ISM Services]]-B194</f>
        <v/>
      </c>
    </row>
    <row r="196">
      <c r="A196" s="53" t="n">
        <v>41395</v>
      </c>
      <c r="B196" s="55" t="n">
        <v>54.4</v>
      </c>
      <c r="C196" s="55">
        <f>Table9[[#This Row],[ISM Services]]-B195</f>
        <v/>
      </c>
    </row>
    <row r="197">
      <c r="A197" s="53" t="n">
        <v>41426</v>
      </c>
      <c r="B197" s="55" t="n">
        <v>54.1</v>
      </c>
      <c r="C197" s="55">
        <f>Table9[[#This Row],[ISM Services]]-B196</f>
        <v/>
      </c>
    </row>
    <row r="198">
      <c r="A198" s="53" t="n">
        <v>41456</v>
      </c>
      <c r="B198" s="55" t="n">
        <v>54.9</v>
      </c>
      <c r="C198" s="55">
        <f>Table9[[#This Row],[ISM Services]]-B197</f>
        <v/>
      </c>
    </row>
    <row r="199">
      <c r="A199" s="53" t="n">
        <v>41487</v>
      </c>
      <c r="B199" s="55" t="n">
        <v>56.6</v>
      </c>
      <c r="C199" s="55">
        <f>Table9[[#This Row],[ISM Services]]-B198</f>
        <v/>
      </c>
    </row>
    <row r="200">
      <c r="A200" s="53" t="n">
        <v>41518</v>
      </c>
      <c r="B200" s="55" t="n">
        <v>53.6</v>
      </c>
      <c r="C200" s="55">
        <f>Table9[[#This Row],[ISM Services]]-B199</f>
        <v/>
      </c>
    </row>
    <row r="201">
      <c r="A201" s="53" t="n">
        <v>41548</v>
      </c>
      <c r="B201" s="55" t="n">
        <v>54.5</v>
      </c>
      <c r="C201" s="55">
        <f>Table9[[#This Row],[ISM Services]]-B200</f>
        <v/>
      </c>
    </row>
    <row r="202">
      <c r="A202" s="53" t="n">
        <v>41579</v>
      </c>
      <c r="B202" s="55" t="n">
        <v>53.8</v>
      </c>
      <c r="C202" s="55">
        <f>Table9[[#This Row],[ISM Services]]-B201</f>
        <v/>
      </c>
    </row>
    <row r="203">
      <c r="A203" s="53" t="n">
        <v>41609</v>
      </c>
      <c r="B203" s="55" t="n">
        <v>52.9</v>
      </c>
      <c r="C203" s="55">
        <f>Table9[[#This Row],[ISM Services]]-B202</f>
        <v/>
      </c>
    </row>
    <row r="204">
      <c r="A204" s="53" t="n">
        <v>41640</v>
      </c>
      <c r="B204" s="55" t="n">
        <v>54.7</v>
      </c>
      <c r="C204" s="55">
        <f>Table9[[#This Row],[ISM Services]]-B203</f>
        <v/>
      </c>
    </row>
    <row r="205">
      <c r="A205" s="53" t="n">
        <v>41671</v>
      </c>
      <c r="B205" s="55" t="n">
        <v>53</v>
      </c>
      <c r="C205" s="55">
        <f>Table9[[#This Row],[ISM Services]]-B204</f>
        <v/>
      </c>
    </row>
    <row r="206">
      <c r="A206" s="53" t="n">
        <v>41699</v>
      </c>
      <c r="B206" s="55" t="n">
        <v>54.2</v>
      </c>
      <c r="C206" s="55">
        <f>Table9[[#This Row],[ISM Services]]-B205</f>
        <v/>
      </c>
    </row>
    <row r="207">
      <c r="A207" s="53" t="n">
        <v>41730</v>
      </c>
      <c r="B207" s="55" t="n">
        <v>55.2</v>
      </c>
      <c r="C207" s="55">
        <f>Table9[[#This Row],[ISM Services]]-B206</f>
        <v/>
      </c>
    </row>
    <row r="208">
      <c r="A208" s="53" t="n">
        <v>41760</v>
      </c>
      <c r="B208" s="55" t="n">
        <v>56.9</v>
      </c>
      <c r="C208" s="55">
        <f>Table9[[#This Row],[ISM Services]]-B207</f>
        <v/>
      </c>
    </row>
    <row r="209">
      <c r="A209" s="53" t="n">
        <v>41791</v>
      </c>
      <c r="B209" s="55" t="n">
        <v>56.6</v>
      </c>
      <c r="C209" s="55">
        <f>Table9[[#This Row],[ISM Services]]-B208</f>
        <v/>
      </c>
    </row>
    <row r="210">
      <c r="A210" s="53" t="n">
        <v>41821</v>
      </c>
      <c r="B210" s="55" t="n">
        <v>57.1</v>
      </c>
      <c r="C210" s="55">
        <f>Table9[[#This Row],[ISM Services]]-B209</f>
        <v/>
      </c>
    </row>
    <row r="211">
      <c r="A211" s="53" t="n">
        <v>41852</v>
      </c>
      <c r="B211" s="55" t="n">
        <v>58</v>
      </c>
      <c r="C211" s="55">
        <f>Table9[[#This Row],[ISM Services]]-B210</f>
        <v/>
      </c>
    </row>
    <row r="212">
      <c r="A212" s="53" t="n">
        <v>41883</v>
      </c>
      <c r="B212" s="55" t="n">
        <v>57.4</v>
      </c>
      <c r="C212" s="55">
        <f>Table9[[#This Row],[ISM Services]]-B211</f>
        <v/>
      </c>
    </row>
    <row r="213">
      <c r="A213" s="53" t="n">
        <v>41913</v>
      </c>
      <c r="B213" s="114" t="n">
        <v>56</v>
      </c>
      <c r="C213" s="55">
        <f>Table9[[#This Row],[ISM Services]]-B212</f>
        <v/>
      </c>
    </row>
    <row r="214">
      <c r="A214" s="53" t="n">
        <v>41944</v>
      </c>
      <c r="B214" s="114" t="n">
        <v>58.7</v>
      </c>
      <c r="C214" s="55">
        <f>Table9[[#This Row],[ISM Services]]-B213</f>
        <v/>
      </c>
    </row>
    <row r="215">
      <c r="A215" s="53" t="n">
        <v>41974</v>
      </c>
      <c r="B215" s="114" t="n">
        <v>56.4</v>
      </c>
      <c r="C215" s="55">
        <f>Table9[[#This Row],[ISM Services]]-B214</f>
        <v/>
      </c>
    </row>
    <row r="216">
      <c r="A216" s="53" t="n">
        <v>42005</v>
      </c>
      <c r="B216" s="114" t="n">
        <v>57.3</v>
      </c>
      <c r="C216" s="55">
        <f>Table9[[#This Row],[ISM Services]]-B215</f>
        <v/>
      </c>
    </row>
    <row r="217">
      <c r="A217" s="53" t="n">
        <v>42036</v>
      </c>
      <c r="B217" s="114" t="n">
        <v>57.6</v>
      </c>
      <c r="C217" s="55">
        <f>Table9[[#This Row],[ISM Services]]-B216</f>
        <v/>
      </c>
    </row>
    <row r="218">
      <c r="A218" s="53" t="n">
        <v>42064</v>
      </c>
      <c r="B218" s="114" t="n">
        <v>57.5</v>
      </c>
      <c r="C218" s="55">
        <f>Table9[[#This Row],[ISM Services]]-B217</f>
        <v/>
      </c>
    </row>
    <row r="219">
      <c r="A219" s="53" t="n">
        <v>42095</v>
      </c>
      <c r="B219" s="114" t="n">
        <v>57.5</v>
      </c>
      <c r="C219" s="55">
        <f>Table9[[#This Row],[ISM Services]]-B218</f>
        <v/>
      </c>
    </row>
    <row r="220">
      <c r="A220" s="53" t="n">
        <v>42125</v>
      </c>
      <c r="B220" s="114" t="n">
        <v>56.8</v>
      </c>
      <c r="C220" s="55">
        <f>Table9[[#This Row],[ISM Services]]-B219</f>
        <v/>
      </c>
    </row>
    <row r="221">
      <c r="A221" s="53" t="n">
        <v>42156</v>
      </c>
      <c r="B221" s="114" t="n">
        <v>56</v>
      </c>
      <c r="C221" s="55">
        <f>Table9[[#This Row],[ISM Services]]-B220</f>
        <v/>
      </c>
    </row>
    <row r="222">
      <c r="A222" s="53" t="n">
        <v>42186</v>
      </c>
      <c r="B222" s="114" t="n">
        <v>59.3</v>
      </c>
      <c r="C222" s="55">
        <f>Table9[[#This Row],[ISM Services]]-B221</f>
        <v/>
      </c>
    </row>
    <row r="223">
      <c r="A223" s="53" t="n">
        <v>42217</v>
      </c>
      <c r="B223" s="114" t="n">
        <v>58.4</v>
      </c>
      <c r="C223" s="55">
        <f>Table9[[#This Row],[ISM Services]]-B222</f>
        <v/>
      </c>
    </row>
    <row r="224">
      <c r="A224" s="53" t="n">
        <v>42248</v>
      </c>
      <c r="B224" s="114" t="n">
        <v>56.1</v>
      </c>
      <c r="C224" s="55">
        <f>Table9[[#This Row],[ISM Services]]-B223</f>
        <v/>
      </c>
    </row>
    <row r="225">
      <c r="A225" s="53" t="n">
        <v>42278</v>
      </c>
      <c r="B225" s="114" t="n">
        <v>57.9</v>
      </c>
      <c r="C225" s="55">
        <f>Table9[[#This Row],[ISM Services]]-B224</f>
        <v/>
      </c>
    </row>
    <row r="226">
      <c r="A226" s="53" t="n">
        <v>42309</v>
      </c>
      <c r="B226" s="114" t="n">
        <v>55.8</v>
      </c>
      <c r="C226" s="55">
        <f>Table9[[#This Row],[ISM Services]]-B225</f>
        <v/>
      </c>
    </row>
    <row r="227">
      <c r="A227" s="53" t="n">
        <v>42339</v>
      </c>
      <c r="B227" s="114" t="n">
        <v>55.3</v>
      </c>
      <c r="C227" s="55">
        <f>Table9[[#This Row],[ISM Services]]-B226</f>
        <v/>
      </c>
    </row>
    <row r="228">
      <c r="A228" s="53" t="n">
        <v>42370</v>
      </c>
      <c r="B228" s="114" t="n">
        <v>54</v>
      </c>
      <c r="C228" s="55">
        <f>Table9[[#This Row],[ISM Services]]-B227</f>
        <v/>
      </c>
    </row>
    <row r="229">
      <c r="A229" s="53" t="n">
        <v>42401</v>
      </c>
      <c r="B229" s="114" t="n">
        <v>54</v>
      </c>
      <c r="C229" s="55">
        <f>Table9[[#This Row],[ISM Services]]-B228</f>
        <v/>
      </c>
    </row>
    <row r="230">
      <c r="A230" s="53" t="n">
        <v>42430</v>
      </c>
      <c r="B230" s="114" t="n">
        <v>55.2</v>
      </c>
      <c r="C230" s="55">
        <f>Table9[[#This Row],[ISM Services]]-B229</f>
        <v/>
      </c>
    </row>
    <row r="231">
      <c r="A231" s="53" t="n">
        <v>42461</v>
      </c>
      <c r="B231" s="114" t="n">
        <v>55.6</v>
      </c>
      <c r="C231" s="55">
        <f>Table9[[#This Row],[ISM Services]]-B230</f>
        <v/>
      </c>
    </row>
    <row r="232">
      <c r="A232" s="53" t="n">
        <v>42491</v>
      </c>
      <c r="B232" s="114" t="n">
        <v>53.8</v>
      </c>
      <c r="C232" s="55">
        <f>Table9[[#This Row],[ISM Services]]-B231</f>
        <v/>
      </c>
    </row>
    <row r="233">
      <c r="A233" s="53" t="n">
        <v>42522</v>
      </c>
      <c r="B233" s="114" t="n">
        <v>56</v>
      </c>
      <c r="C233" s="55">
        <f>Table9[[#This Row],[ISM Services]]-B232</f>
        <v/>
      </c>
    </row>
    <row r="234">
      <c r="A234" s="53" t="n">
        <v>42552</v>
      </c>
      <c r="B234" s="114" t="n">
        <v>55.2</v>
      </c>
      <c r="C234" s="55">
        <f>Table9[[#This Row],[ISM Services]]-B233</f>
        <v/>
      </c>
    </row>
    <row r="235">
      <c r="A235" s="53" t="n">
        <v>42583</v>
      </c>
      <c r="B235" s="114" t="n">
        <v>51.6</v>
      </c>
      <c r="C235" s="55">
        <f>Table9[[#This Row],[ISM Services]]-B234</f>
        <v/>
      </c>
    </row>
    <row r="236">
      <c r="A236" s="53" t="n">
        <v>42614</v>
      </c>
      <c r="B236" s="114" t="n">
        <v>56.3</v>
      </c>
      <c r="C236" s="55">
        <f>Table9[[#This Row],[ISM Services]]-B235</f>
        <v/>
      </c>
    </row>
    <row r="237">
      <c r="A237" s="53" t="n">
        <v>42644</v>
      </c>
      <c r="B237" s="114" t="n">
        <v>54.4</v>
      </c>
      <c r="C237" s="55">
        <f>Table9[[#This Row],[ISM Services]]-B236</f>
        <v/>
      </c>
    </row>
    <row r="238">
      <c r="A238" s="53" t="n">
        <v>42675</v>
      </c>
      <c r="B238" s="114" t="n">
        <v>56.2</v>
      </c>
      <c r="C238" s="55">
        <f>Table9[[#This Row],[ISM Services]]-B237</f>
        <v/>
      </c>
    </row>
    <row r="239">
      <c r="A239" s="53" t="n">
        <v>42705</v>
      </c>
      <c r="B239" s="114" t="n">
        <v>56.7</v>
      </c>
      <c r="C239" s="55">
        <f>Table9[[#This Row],[ISM Services]]-B238</f>
        <v/>
      </c>
    </row>
    <row r="240">
      <c r="A240" s="53" t="n">
        <v>42736</v>
      </c>
      <c r="B240" s="114" t="n">
        <v>56.8</v>
      </c>
      <c r="C240" s="55">
        <f>Table9[[#This Row],[ISM Services]]-B239</f>
        <v/>
      </c>
    </row>
    <row r="241">
      <c r="A241" s="53" t="n">
        <v>42767</v>
      </c>
      <c r="B241" s="114" t="n">
        <v>57.4</v>
      </c>
      <c r="C241" s="55">
        <f>Table9[[#This Row],[ISM Services]]-B240</f>
        <v/>
      </c>
    </row>
    <row r="242">
      <c r="A242" s="53" t="n">
        <v>42795</v>
      </c>
      <c r="B242" s="114" t="n">
        <v>55.6</v>
      </c>
      <c r="C242" s="55">
        <f>Table9[[#This Row],[ISM Services]]-B241</f>
        <v/>
      </c>
    </row>
    <row r="243">
      <c r="A243" s="53" t="n">
        <v>42826</v>
      </c>
      <c r="B243" s="114" t="n">
        <v>57.3</v>
      </c>
      <c r="C243" s="55">
        <f>Table9[[#This Row],[ISM Services]]-B242</f>
        <v/>
      </c>
    </row>
    <row r="244">
      <c r="A244" s="53" t="n">
        <v>42856</v>
      </c>
      <c r="B244" s="114" t="n">
        <v>57.1</v>
      </c>
      <c r="C244" s="55">
        <f>Table9[[#This Row],[ISM Services]]-B243</f>
        <v/>
      </c>
    </row>
    <row r="245">
      <c r="A245" s="53" t="n">
        <v>42887</v>
      </c>
      <c r="B245" s="114" t="n">
        <v>57.2</v>
      </c>
      <c r="C245" s="55">
        <f>Table9[[#This Row],[ISM Services]]-B244</f>
        <v/>
      </c>
    </row>
    <row r="246">
      <c r="A246" s="53" t="n">
        <v>42917</v>
      </c>
      <c r="B246" s="114" t="n">
        <v>54.3</v>
      </c>
      <c r="C246" s="55">
        <f>Table9[[#This Row],[ISM Services]]-B245</f>
        <v/>
      </c>
      <c r="J246" s="35" t="n"/>
    </row>
    <row r="247">
      <c r="A247" s="53" t="n">
        <v>42948</v>
      </c>
      <c r="B247" s="114" t="n">
        <v>55.2</v>
      </c>
      <c r="C247" s="55">
        <f>Table9[[#This Row],[ISM Services]]-B246</f>
        <v/>
      </c>
      <c r="J247" s="35" t="n"/>
    </row>
    <row r="248">
      <c r="A248" s="53" t="n">
        <v>42979</v>
      </c>
      <c r="B248" s="114" t="n">
        <v>59.4</v>
      </c>
      <c r="C248" s="55">
        <f>Table9[[#This Row],[ISM Services]]-B247</f>
        <v/>
      </c>
      <c r="J248" s="35" t="n"/>
    </row>
    <row r="249">
      <c r="A249" s="53" t="n">
        <v>43009</v>
      </c>
      <c r="B249" s="114" t="n">
        <v>59.8</v>
      </c>
      <c r="C249" s="55">
        <f>Table9[[#This Row],[ISM Services]]-B248</f>
        <v/>
      </c>
      <c r="J249" s="35" t="n"/>
    </row>
    <row r="250">
      <c r="A250" s="53" t="n">
        <v>43040</v>
      </c>
      <c r="B250" s="114" t="n">
        <v>57.3</v>
      </c>
      <c r="C250" s="55">
        <f>Table9[[#This Row],[ISM Services]]-B249</f>
        <v/>
      </c>
      <c r="J250" s="35" t="n"/>
    </row>
    <row r="251">
      <c r="A251" s="53" t="n">
        <v>43070</v>
      </c>
      <c r="B251" s="114" t="n">
        <v>56</v>
      </c>
      <c r="C251" s="55">
        <f>Table9[[#This Row],[ISM Services]]-B250</f>
        <v/>
      </c>
      <c r="J251" s="35" t="n"/>
    </row>
    <row r="252">
      <c r="A252" s="53" t="n">
        <v>43101</v>
      </c>
      <c r="B252" s="114" t="n">
        <v>59.9</v>
      </c>
      <c r="C252" s="55">
        <f>Table9[[#This Row],[ISM Services]]-B251</f>
        <v/>
      </c>
      <c r="J252" s="35" t="n"/>
    </row>
    <row r="253">
      <c r="A253" s="53" t="n">
        <v>43132</v>
      </c>
      <c r="B253" s="114" t="n">
        <v>59.5</v>
      </c>
      <c r="C253" s="55">
        <f>Table9[[#This Row],[ISM Services]]-B252</f>
        <v/>
      </c>
      <c r="J253" s="35" t="n"/>
    </row>
    <row r="254">
      <c r="A254" s="53" t="n">
        <v>43160</v>
      </c>
      <c r="B254" s="114" t="n">
        <v>58.8</v>
      </c>
      <c r="C254" s="55">
        <f>Table9[[#This Row],[ISM Services]]-B253</f>
        <v/>
      </c>
      <c r="J254" s="35" t="n"/>
    </row>
    <row r="255">
      <c r="A255" s="53" t="n">
        <v>43191</v>
      </c>
      <c r="B255" s="114" t="n">
        <v>56.8</v>
      </c>
      <c r="C255" s="55">
        <f>Table9[[#This Row],[ISM Services]]-B254</f>
        <v/>
      </c>
      <c r="J255" s="35" t="n"/>
    </row>
    <row r="256">
      <c r="A256" s="53" t="n">
        <v>43221</v>
      </c>
      <c r="B256" s="114" t="n">
        <v>58.6</v>
      </c>
      <c r="C256" s="55">
        <f>Table9[[#This Row],[ISM Services]]-B255</f>
        <v/>
      </c>
      <c r="J256" s="35" t="n"/>
    </row>
    <row r="257">
      <c r="A257" s="53" t="n">
        <v>43252</v>
      </c>
      <c r="B257" s="114" t="n">
        <v>59.1</v>
      </c>
      <c r="C257" s="55">
        <f>Table9[[#This Row],[ISM Services]]-B256</f>
        <v/>
      </c>
      <c r="J257" s="35" t="n"/>
    </row>
    <row r="258">
      <c r="A258" s="53" t="n">
        <v>43282</v>
      </c>
      <c r="B258" s="114" t="n">
        <v>55.7</v>
      </c>
      <c r="C258" s="55">
        <f>Table9[[#This Row],[ISM Services]]-B257</f>
        <v/>
      </c>
      <c r="J258" s="35" t="n"/>
    </row>
    <row r="259">
      <c r="A259" s="53" t="n">
        <v>43313</v>
      </c>
      <c r="B259" s="114" t="n">
        <v>58.5</v>
      </c>
      <c r="C259" s="55">
        <f>Table9[[#This Row],[ISM Services]]-B258</f>
        <v/>
      </c>
      <c r="J259" s="35" t="n"/>
    </row>
    <row r="260">
      <c r="A260" s="53" t="n">
        <v>43344</v>
      </c>
      <c r="B260" s="114" t="n">
        <v>61.6</v>
      </c>
      <c r="C260" s="55">
        <f>Table9[[#This Row],[ISM Services]]-B259</f>
        <v/>
      </c>
      <c r="J260" s="35" t="n"/>
    </row>
    <row r="261">
      <c r="A261" s="53" t="n">
        <v>43374</v>
      </c>
      <c r="B261" s="114" t="n">
        <v>60.3</v>
      </c>
      <c r="C261" s="55">
        <f>Table9[[#This Row],[ISM Services]]-B260</f>
        <v/>
      </c>
      <c r="J261" s="35" t="n"/>
    </row>
    <row r="262">
      <c r="A262" s="53" t="n">
        <v>43405</v>
      </c>
      <c r="B262" s="114" t="n">
        <v>60.7</v>
      </c>
      <c r="C262" s="55">
        <f>Table9[[#This Row],[ISM Services]]-B261</f>
        <v/>
      </c>
      <c r="J262" s="35" t="n"/>
    </row>
    <row r="263">
      <c r="A263" s="53" t="n">
        <v>43435</v>
      </c>
      <c r="B263" s="114" t="n">
        <v>57.6</v>
      </c>
      <c r="C263" s="55">
        <f>Table9[[#This Row],[ISM Services]]-B262</f>
        <v/>
      </c>
      <c r="J263" s="35" t="n"/>
    </row>
    <row r="264">
      <c r="A264" s="53" t="n">
        <v>43466</v>
      </c>
      <c r="B264" s="114" t="n">
        <v>56.7</v>
      </c>
      <c r="C264" s="55">
        <f>Table9[[#This Row],[ISM Services]]-B263</f>
        <v/>
      </c>
      <c r="J264" s="35" t="n"/>
    </row>
    <row r="265">
      <c r="A265" s="53" t="n">
        <v>43497</v>
      </c>
      <c r="B265" s="114" t="n">
        <v>59.7</v>
      </c>
      <c r="C265" s="55">
        <f>Table9[[#This Row],[ISM Services]]-B264</f>
        <v/>
      </c>
      <c r="J265" s="35" t="n"/>
    </row>
    <row r="266">
      <c r="A266" s="53" t="n">
        <v>43525</v>
      </c>
      <c r="B266" s="114" t="n">
        <v>56.1</v>
      </c>
      <c r="C266" s="55">
        <f>Table9[[#This Row],[ISM Services]]-B265</f>
        <v/>
      </c>
      <c r="J266" s="35" t="n"/>
    </row>
    <row r="267">
      <c r="A267" s="53" t="n">
        <v>43556</v>
      </c>
      <c r="B267" s="114" t="n">
        <v>55.5</v>
      </c>
      <c r="C267" s="55">
        <f>Table9[[#This Row],[ISM Services]]-B266</f>
        <v/>
      </c>
      <c r="J267" s="35" t="n"/>
    </row>
    <row r="268">
      <c r="A268" s="53" t="n">
        <v>43586</v>
      </c>
      <c r="B268" s="114" t="n">
        <v>56.9</v>
      </c>
      <c r="C268" s="55">
        <f>Table9[[#This Row],[ISM Services]]-B267</f>
        <v/>
      </c>
      <c r="J268" s="35" t="n"/>
    </row>
    <row r="269">
      <c r="A269" s="53" t="n">
        <v>43617</v>
      </c>
      <c r="B269" s="114" t="n">
        <v>55.1</v>
      </c>
      <c r="C269" s="55">
        <f>Table9[[#This Row],[ISM Services]]-B268</f>
        <v/>
      </c>
      <c r="J269" s="35" t="n"/>
    </row>
    <row r="270">
      <c r="A270" s="53" t="n">
        <v>43647</v>
      </c>
      <c r="B270" s="114" t="n">
        <v>53.7</v>
      </c>
      <c r="C270" s="55">
        <f>Table9[[#This Row],[ISM Services]]-B269</f>
        <v/>
      </c>
      <c r="J270" s="35" t="n"/>
    </row>
    <row r="271">
      <c r="A271" s="53" t="n">
        <v>43678</v>
      </c>
      <c r="B271" s="114" t="n">
        <v>56.4</v>
      </c>
      <c r="C271" s="55">
        <f>Table9[[#This Row],[ISM Services]]-B270</f>
        <v/>
      </c>
      <c r="J271" s="35" t="n"/>
    </row>
    <row r="272">
      <c r="A272" s="53" t="n">
        <v>43709</v>
      </c>
      <c r="B272" s="114" t="n">
        <v>52.6</v>
      </c>
      <c r="C272" s="55">
        <f>Table9[[#This Row],[ISM Services]]-B271</f>
        <v/>
      </c>
    </row>
    <row r="273">
      <c r="A273" s="53" t="n">
        <v>43739</v>
      </c>
      <c r="B273" s="114" t="n">
        <v>54.7</v>
      </c>
      <c r="C273" s="55">
        <f>Table9[[#This Row],[ISM Services]]-B272</f>
        <v/>
      </c>
    </row>
    <row r="274">
      <c r="A274" s="53" t="n">
        <v>43770</v>
      </c>
      <c r="B274" s="114" t="n">
        <v>53.9</v>
      </c>
      <c r="C274" s="55">
        <f>Table9[[#This Row],[ISM Services]]-B273</f>
        <v/>
      </c>
    </row>
    <row r="275">
      <c r="A275" s="53" t="n">
        <v>43800</v>
      </c>
      <c r="B275" s="114" t="n">
        <v>55</v>
      </c>
      <c r="C275" s="55">
        <f>Table9[[#This Row],[ISM Services]]-B274</f>
        <v/>
      </c>
    </row>
    <row r="276">
      <c r="A276" s="53" t="n">
        <v>43831</v>
      </c>
      <c r="B276" s="114" t="n">
        <v>55.5</v>
      </c>
      <c r="C276" s="55">
        <f>Table9[[#This Row],[ISM Services]]-B275</f>
        <v/>
      </c>
    </row>
    <row r="277">
      <c r="A277" s="53" t="n">
        <v>43862</v>
      </c>
      <c r="B277" s="114" t="n">
        <v>57.3</v>
      </c>
      <c r="C277" s="55">
        <f>Table9[[#This Row],[ISM Services]]-B276</f>
        <v/>
      </c>
    </row>
    <row r="278">
      <c r="A278" s="53" t="n">
        <v>43891</v>
      </c>
      <c r="B278" s="114" t="n">
        <v>52.5</v>
      </c>
      <c r="C278" s="55">
        <f>Table9[[#This Row],[ISM Services]]-B277</f>
        <v/>
      </c>
    </row>
    <row r="279">
      <c r="A279" s="53" t="n">
        <v>43922</v>
      </c>
      <c r="B279" s="114" t="n">
        <v>41.8</v>
      </c>
      <c r="C279" s="55">
        <f>Table9[[#This Row],[ISM Services]]-B278</f>
        <v/>
      </c>
    </row>
    <row r="280">
      <c r="A280" s="53" t="n">
        <v>43952</v>
      </c>
      <c r="B280" s="114" t="n">
        <v>45.4</v>
      </c>
      <c r="C280" s="55">
        <f>Table9[[#This Row],[ISM Services]]-B279</f>
        <v/>
      </c>
    </row>
    <row r="281">
      <c r="A281" s="53" t="n">
        <v>43983</v>
      </c>
      <c r="B281" s="114" t="n">
        <v>57.1</v>
      </c>
      <c r="C281" s="55">
        <f>Table9[[#This Row],[ISM Services]]-B280</f>
        <v/>
      </c>
    </row>
    <row r="282">
      <c r="A282" s="53" t="n">
        <v>44013</v>
      </c>
      <c r="B282" s="114" t="n">
        <v>58.1</v>
      </c>
      <c r="C282" s="55">
        <f>Table9[[#This Row],[ISM Services]]-B281</f>
        <v/>
      </c>
    </row>
    <row r="283">
      <c r="A283" s="53" t="n">
        <v>44044</v>
      </c>
      <c r="B283" s="114" t="n">
        <v>56.9</v>
      </c>
      <c r="C283" s="55">
        <f>Table9[[#This Row],[ISM Services]]-B282</f>
        <v/>
      </c>
    </row>
    <row r="284">
      <c r="A284" s="53" t="n">
        <v>44075</v>
      </c>
      <c r="B284" s="114" t="n">
        <v>57.8</v>
      </c>
      <c r="C284" s="55">
        <f>Table9[[#This Row],[ISM Services]]-B283</f>
        <v/>
      </c>
    </row>
    <row r="285">
      <c r="A285" s="53" t="n">
        <v>44105</v>
      </c>
      <c r="B285" s="114" t="n">
        <v>56.6</v>
      </c>
      <c r="C285" s="55">
        <f>Table9[[#This Row],[ISM Services]]-B284</f>
        <v/>
      </c>
    </row>
    <row r="286">
      <c r="A286" s="53" t="n">
        <v>44136</v>
      </c>
      <c r="B286" s="114" t="n">
        <v>55.9</v>
      </c>
      <c r="C286" s="55">
        <f>Table9[[#This Row],[ISM Services]]-B285</f>
        <v/>
      </c>
    </row>
    <row r="287">
      <c r="A287" s="53" t="n">
        <v>44166</v>
      </c>
      <c r="B287" s="114" t="n">
        <v>57.2</v>
      </c>
      <c r="C287" s="55">
        <f>Table9[[#This Row],[ISM Services]]-B286</f>
        <v/>
      </c>
    </row>
    <row r="288">
      <c r="A288" s="53" t="n">
        <v>44197</v>
      </c>
      <c r="B288" s="114" t="n">
        <v>58.7</v>
      </c>
      <c r="C288" s="55">
        <f>Table9[[#This Row],[ISM Services]]-B287</f>
        <v/>
      </c>
    </row>
    <row r="289">
      <c r="A289" s="53" t="n">
        <v>44228</v>
      </c>
      <c r="B289" s="114" t="n">
        <v>55.3</v>
      </c>
      <c r="C289" s="55">
        <f>Table9[[#This Row],[ISM Services]]-B288</f>
        <v/>
      </c>
    </row>
    <row r="290">
      <c r="A290" s="53" t="n">
        <v>44256</v>
      </c>
      <c r="B290" s="114" t="n">
        <v>63.7</v>
      </c>
      <c r="C290" s="55">
        <f>Table9[[#This Row],[ISM Services]]-B289</f>
        <v/>
      </c>
    </row>
    <row r="291">
      <c r="A291" s="53" t="n">
        <v>44287</v>
      </c>
      <c r="B291" s="114" t="n">
        <v>62.7</v>
      </c>
      <c r="C291" s="55">
        <f>Table9[[#This Row],[ISM Services]]-B290</f>
        <v/>
      </c>
    </row>
    <row r="292">
      <c r="A292" s="53" t="n">
        <v>44317</v>
      </c>
      <c r="B292" s="114" t="n">
        <v>64</v>
      </c>
      <c r="C292" s="55">
        <f>Table9[[#This Row],[ISM Services]]-B291</f>
        <v/>
      </c>
    </row>
    <row r="293">
      <c r="A293" s="53" t="n">
        <v>44348</v>
      </c>
      <c r="B293" s="114" t="n">
        <v>60.1</v>
      </c>
      <c r="C293" s="55">
        <f>Table9[[#This Row],[ISM Services]]-B292</f>
        <v/>
      </c>
    </row>
    <row r="294">
      <c r="A294" s="53" t="n">
        <v>44378</v>
      </c>
      <c r="B294" s="114" t="n">
        <v>64.09999999999999</v>
      </c>
      <c r="C294" s="55">
        <f>Table9[[#This Row],[ISM Services]]-B293</f>
        <v/>
      </c>
    </row>
    <row r="295">
      <c r="A295" s="53" t="n">
        <v>44409</v>
      </c>
      <c r="B295" s="114" t="n">
        <v>61.7</v>
      </c>
      <c r="C295" s="55">
        <f>Table9[[#This Row],[ISM Services]]-B294</f>
        <v/>
      </c>
    </row>
    <row r="296">
      <c r="A296" s="53" t="n">
        <v>44440</v>
      </c>
      <c r="B296" s="114" t="n">
        <v>61.9</v>
      </c>
      <c r="C296" s="55">
        <f>Table9[[#This Row],[ISM Services]]-B295</f>
        <v/>
      </c>
    </row>
    <row r="297">
      <c r="A297" s="53" t="n">
        <v>44470</v>
      </c>
      <c r="B297" s="114" t="n">
        <v>66.7</v>
      </c>
      <c r="C297" s="55">
        <f>Table9[[#This Row],[ISM Services]]-B296</f>
        <v/>
      </c>
    </row>
    <row r="298">
      <c r="A298" s="53" t="n">
        <v>44501</v>
      </c>
      <c r="B298" s="114" t="n">
        <v>69.09999999999999</v>
      </c>
      <c r="C298" s="55">
        <f>Table9[[#This Row],[ISM Services]]-B297</f>
        <v/>
      </c>
    </row>
    <row r="299">
      <c r="A299" s="53" t="n">
        <v>44531</v>
      </c>
      <c r="B299" s="114" t="n">
        <v>62</v>
      </c>
      <c r="C299" s="55">
        <f>Table9[[#This Row],[ISM Services]]-B298</f>
        <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B1:D363"/>
  <sheetViews>
    <sheetView workbookViewId="0">
      <pane xSplit="1" ySplit="2" topLeftCell="B3" activePane="bottomRight" state="frozen"/>
      <selection pane="topRight" activeCell="B1" sqref="B1"/>
      <selection pane="bottomLeft" activeCell="A3" sqref="A3"/>
      <selection pane="bottomRight" activeCell="D4" sqref="D4"/>
    </sheetView>
  </sheetViews>
  <sheetFormatPr baseColWidth="10" defaultColWidth="8.83203125" defaultRowHeight="14"/>
  <cols>
    <col width="3.5" customWidth="1" style="65" min="1" max="1"/>
    <col width="19.1640625" customWidth="1" style="65" min="2" max="2"/>
    <col width="12.83203125" customWidth="1" style="64" min="3" max="3"/>
    <col width="193.6640625" customWidth="1" style="65" min="4" max="4"/>
    <col width="9.1640625" customWidth="1" style="65" min="5" max="257"/>
    <col width="19.1640625" customWidth="1" style="65" min="258" max="258"/>
    <col width="9.1640625" customWidth="1" style="65" min="259" max="259"/>
    <col width="141.1640625" customWidth="1" style="65" min="260" max="260"/>
    <col width="9.1640625" customWidth="1" style="65" min="261" max="513"/>
    <col width="19.1640625" customWidth="1" style="65" min="514" max="514"/>
    <col width="9.1640625" customWidth="1" style="65" min="515" max="515"/>
    <col width="141.1640625" customWidth="1" style="65" min="516" max="516"/>
    <col width="9.1640625" customWidth="1" style="65" min="517" max="769"/>
    <col width="19.1640625" customWidth="1" style="65" min="770" max="770"/>
    <col width="9.1640625" customWidth="1" style="65" min="771" max="771"/>
    <col width="141.1640625" customWidth="1" style="65" min="772" max="772"/>
    <col width="9.1640625" customWidth="1" style="65" min="773" max="1025"/>
    <col width="19.1640625" customWidth="1" style="65" min="1026" max="1026"/>
    <col width="9.1640625" customWidth="1" style="65" min="1027" max="1027"/>
    <col width="141.1640625" customWidth="1" style="65" min="1028" max="1028"/>
    <col width="9.1640625" customWidth="1" style="65" min="1029" max="1281"/>
    <col width="19.1640625" customWidth="1" style="65" min="1282" max="1282"/>
    <col width="9.1640625" customWidth="1" style="65" min="1283" max="1283"/>
    <col width="141.1640625" customWidth="1" style="65" min="1284" max="1284"/>
    <col width="9.1640625" customWidth="1" style="65" min="1285" max="1537"/>
    <col width="19.1640625" customWidth="1" style="65" min="1538" max="1538"/>
    <col width="9.1640625" customWidth="1" style="65" min="1539" max="1539"/>
    <col width="141.1640625" customWidth="1" style="65" min="1540" max="1540"/>
    <col width="9.1640625" customWidth="1" style="65" min="1541" max="1793"/>
    <col width="19.1640625" customWidth="1" style="65" min="1794" max="1794"/>
    <col width="9.1640625" customWidth="1" style="65" min="1795" max="1795"/>
    <col width="141.1640625" customWidth="1" style="65" min="1796" max="1796"/>
    <col width="9.1640625" customWidth="1" style="65" min="1797" max="2049"/>
    <col width="19.1640625" customWidth="1" style="65" min="2050" max="2050"/>
    <col width="9.1640625" customWidth="1" style="65" min="2051" max="2051"/>
    <col width="141.1640625" customWidth="1" style="65" min="2052" max="2052"/>
    <col width="9.1640625" customWidth="1" style="65" min="2053" max="2305"/>
    <col width="19.1640625" customWidth="1" style="65" min="2306" max="2306"/>
    <col width="9.1640625" customWidth="1" style="65" min="2307" max="2307"/>
    <col width="141.1640625" customWidth="1" style="65" min="2308" max="2308"/>
    <col width="9.1640625" customWidth="1" style="65" min="2309" max="2561"/>
    <col width="19.1640625" customWidth="1" style="65" min="2562" max="2562"/>
    <col width="9.1640625" customWidth="1" style="65" min="2563" max="2563"/>
    <col width="141.1640625" customWidth="1" style="65" min="2564" max="2564"/>
    <col width="9.1640625" customWidth="1" style="65" min="2565" max="2817"/>
    <col width="19.1640625" customWidth="1" style="65" min="2818" max="2818"/>
    <col width="9.1640625" customWidth="1" style="65" min="2819" max="2819"/>
    <col width="141.1640625" customWidth="1" style="65" min="2820" max="2820"/>
    <col width="9.1640625" customWidth="1" style="65" min="2821" max="3073"/>
    <col width="19.1640625" customWidth="1" style="65" min="3074" max="3074"/>
    <col width="9.1640625" customWidth="1" style="65" min="3075" max="3075"/>
    <col width="141.1640625" customWidth="1" style="65" min="3076" max="3076"/>
    <col width="9.1640625" customWidth="1" style="65" min="3077" max="3329"/>
    <col width="19.1640625" customWidth="1" style="65" min="3330" max="3330"/>
    <col width="9.1640625" customWidth="1" style="65" min="3331" max="3331"/>
    <col width="141.1640625" customWidth="1" style="65" min="3332" max="3332"/>
    <col width="9.1640625" customWidth="1" style="65" min="3333" max="3585"/>
    <col width="19.1640625" customWidth="1" style="65" min="3586" max="3586"/>
    <col width="9.1640625" customWidth="1" style="65" min="3587" max="3587"/>
    <col width="141.1640625" customWidth="1" style="65" min="3588" max="3588"/>
    <col width="9.1640625" customWidth="1" style="65" min="3589" max="3841"/>
    <col width="19.1640625" customWidth="1" style="65" min="3842" max="3842"/>
    <col width="9.1640625" customWidth="1" style="65" min="3843" max="3843"/>
    <col width="141.1640625" customWidth="1" style="65" min="3844" max="3844"/>
    <col width="9.1640625" customWidth="1" style="65" min="3845" max="4097"/>
    <col width="19.1640625" customWidth="1" style="65" min="4098" max="4098"/>
    <col width="9.1640625" customWidth="1" style="65" min="4099" max="4099"/>
    <col width="141.1640625" customWidth="1" style="65" min="4100" max="4100"/>
    <col width="9.1640625" customWidth="1" style="65" min="4101" max="4353"/>
    <col width="19.1640625" customWidth="1" style="65" min="4354" max="4354"/>
    <col width="9.1640625" customWidth="1" style="65" min="4355" max="4355"/>
    <col width="141.1640625" customWidth="1" style="65" min="4356" max="4356"/>
    <col width="9.1640625" customWidth="1" style="65" min="4357" max="4609"/>
    <col width="19.1640625" customWidth="1" style="65" min="4610" max="4610"/>
    <col width="9.1640625" customWidth="1" style="65" min="4611" max="4611"/>
    <col width="141.1640625" customWidth="1" style="65" min="4612" max="4612"/>
    <col width="9.1640625" customWidth="1" style="65" min="4613" max="4865"/>
    <col width="19.1640625" customWidth="1" style="65" min="4866" max="4866"/>
    <col width="9.1640625" customWidth="1" style="65" min="4867" max="4867"/>
    <col width="141.1640625" customWidth="1" style="65" min="4868" max="4868"/>
    <col width="9.1640625" customWidth="1" style="65" min="4869" max="5121"/>
    <col width="19.1640625" customWidth="1" style="65" min="5122" max="5122"/>
    <col width="9.1640625" customWidth="1" style="65" min="5123" max="5123"/>
    <col width="141.1640625" customWidth="1" style="65" min="5124" max="5124"/>
    <col width="9.1640625" customWidth="1" style="65" min="5125" max="5377"/>
    <col width="19.1640625" customWidth="1" style="65" min="5378" max="5378"/>
    <col width="9.1640625" customWidth="1" style="65" min="5379" max="5379"/>
    <col width="141.1640625" customWidth="1" style="65" min="5380" max="5380"/>
    <col width="9.1640625" customWidth="1" style="65" min="5381" max="5633"/>
    <col width="19.1640625" customWidth="1" style="65" min="5634" max="5634"/>
    <col width="9.1640625" customWidth="1" style="65" min="5635" max="5635"/>
    <col width="141.1640625" customWidth="1" style="65" min="5636" max="5636"/>
    <col width="9.1640625" customWidth="1" style="65" min="5637" max="5889"/>
    <col width="19.1640625" customWidth="1" style="65" min="5890" max="5890"/>
    <col width="9.1640625" customWidth="1" style="65" min="5891" max="5891"/>
    <col width="141.1640625" customWidth="1" style="65" min="5892" max="5892"/>
    <col width="9.1640625" customWidth="1" style="65" min="5893" max="6145"/>
    <col width="19.1640625" customWidth="1" style="65" min="6146" max="6146"/>
    <col width="9.1640625" customWidth="1" style="65" min="6147" max="6147"/>
    <col width="141.1640625" customWidth="1" style="65" min="6148" max="6148"/>
    <col width="9.1640625" customWidth="1" style="65" min="6149" max="6401"/>
    <col width="19.1640625" customWidth="1" style="65" min="6402" max="6402"/>
    <col width="9.1640625" customWidth="1" style="65" min="6403" max="6403"/>
    <col width="141.1640625" customWidth="1" style="65" min="6404" max="6404"/>
    <col width="9.1640625" customWidth="1" style="65" min="6405" max="6657"/>
    <col width="19.1640625" customWidth="1" style="65" min="6658" max="6658"/>
    <col width="9.1640625" customWidth="1" style="65" min="6659" max="6659"/>
    <col width="141.1640625" customWidth="1" style="65" min="6660" max="6660"/>
    <col width="9.1640625" customWidth="1" style="65" min="6661" max="6913"/>
    <col width="19.1640625" customWidth="1" style="65" min="6914" max="6914"/>
    <col width="9.1640625" customWidth="1" style="65" min="6915" max="6915"/>
    <col width="141.1640625" customWidth="1" style="65" min="6916" max="6916"/>
    <col width="9.1640625" customWidth="1" style="65" min="6917" max="7169"/>
    <col width="19.1640625" customWidth="1" style="65" min="7170" max="7170"/>
    <col width="9.1640625" customWidth="1" style="65" min="7171" max="7171"/>
    <col width="141.1640625" customWidth="1" style="65" min="7172" max="7172"/>
    <col width="9.1640625" customWidth="1" style="65" min="7173" max="7425"/>
    <col width="19.1640625" customWidth="1" style="65" min="7426" max="7426"/>
    <col width="9.1640625" customWidth="1" style="65" min="7427" max="7427"/>
    <col width="141.1640625" customWidth="1" style="65" min="7428" max="7428"/>
    <col width="9.1640625" customWidth="1" style="65" min="7429" max="7681"/>
    <col width="19.1640625" customWidth="1" style="65" min="7682" max="7682"/>
    <col width="9.1640625" customWidth="1" style="65" min="7683" max="7683"/>
    <col width="141.1640625" customWidth="1" style="65" min="7684" max="7684"/>
    <col width="9.1640625" customWidth="1" style="65" min="7685" max="7937"/>
    <col width="19.1640625" customWidth="1" style="65" min="7938" max="7938"/>
    <col width="9.1640625" customWidth="1" style="65" min="7939" max="7939"/>
    <col width="141.1640625" customWidth="1" style="65" min="7940" max="7940"/>
    <col width="9.1640625" customWidth="1" style="65" min="7941" max="8193"/>
    <col width="19.1640625" customWidth="1" style="65" min="8194" max="8194"/>
    <col width="9.1640625" customWidth="1" style="65" min="8195" max="8195"/>
    <col width="141.1640625" customWidth="1" style="65" min="8196" max="8196"/>
    <col width="9.1640625" customWidth="1" style="65" min="8197" max="8449"/>
    <col width="19.1640625" customWidth="1" style="65" min="8450" max="8450"/>
    <col width="9.1640625" customWidth="1" style="65" min="8451" max="8451"/>
    <col width="141.1640625" customWidth="1" style="65" min="8452" max="8452"/>
    <col width="9.1640625" customWidth="1" style="65" min="8453" max="8705"/>
    <col width="19.1640625" customWidth="1" style="65" min="8706" max="8706"/>
    <col width="9.1640625" customWidth="1" style="65" min="8707" max="8707"/>
    <col width="141.1640625" customWidth="1" style="65" min="8708" max="8708"/>
    <col width="9.1640625" customWidth="1" style="65" min="8709" max="8961"/>
    <col width="19.1640625" customWidth="1" style="65" min="8962" max="8962"/>
    <col width="9.1640625" customWidth="1" style="65" min="8963" max="8963"/>
    <col width="141.1640625" customWidth="1" style="65" min="8964" max="8964"/>
    <col width="9.1640625" customWidth="1" style="65" min="8965" max="9217"/>
    <col width="19.1640625" customWidth="1" style="65" min="9218" max="9218"/>
    <col width="9.1640625" customWidth="1" style="65" min="9219" max="9219"/>
    <col width="141.1640625" customWidth="1" style="65" min="9220" max="9220"/>
    <col width="9.1640625" customWidth="1" style="65" min="9221" max="9473"/>
    <col width="19.1640625" customWidth="1" style="65" min="9474" max="9474"/>
    <col width="9.1640625" customWidth="1" style="65" min="9475" max="9475"/>
    <col width="141.1640625" customWidth="1" style="65" min="9476" max="9476"/>
    <col width="9.1640625" customWidth="1" style="65" min="9477" max="9729"/>
    <col width="19.1640625" customWidth="1" style="65" min="9730" max="9730"/>
    <col width="9.1640625" customWidth="1" style="65" min="9731" max="9731"/>
    <col width="141.1640625" customWidth="1" style="65" min="9732" max="9732"/>
    <col width="9.1640625" customWidth="1" style="65" min="9733" max="9985"/>
    <col width="19.1640625" customWidth="1" style="65" min="9986" max="9986"/>
    <col width="9.1640625" customWidth="1" style="65" min="9987" max="9987"/>
    <col width="141.1640625" customWidth="1" style="65" min="9988" max="9988"/>
    <col width="9.1640625" customWidth="1" style="65" min="9989" max="10241"/>
    <col width="19.1640625" customWidth="1" style="65" min="10242" max="10242"/>
    <col width="9.1640625" customWidth="1" style="65" min="10243" max="10243"/>
    <col width="141.1640625" customWidth="1" style="65" min="10244" max="10244"/>
    <col width="9.1640625" customWidth="1" style="65" min="10245" max="10497"/>
    <col width="19.1640625" customWidth="1" style="65" min="10498" max="10498"/>
    <col width="9.1640625" customWidth="1" style="65" min="10499" max="10499"/>
    <col width="141.1640625" customWidth="1" style="65" min="10500" max="10500"/>
    <col width="9.1640625" customWidth="1" style="65" min="10501" max="10753"/>
    <col width="19.1640625" customWidth="1" style="65" min="10754" max="10754"/>
    <col width="9.1640625" customWidth="1" style="65" min="10755" max="10755"/>
    <col width="141.1640625" customWidth="1" style="65" min="10756" max="10756"/>
    <col width="9.1640625" customWidth="1" style="65" min="10757" max="11009"/>
    <col width="19.1640625" customWidth="1" style="65" min="11010" max="11010"/>
    <col width="9.1640625" customWidth="1" style="65" min="11011" max="11011"/>
    <col width="141.1640625" customWidth="1" style="65" min="11012" max="11012"/>
    <col width="9.1640625" customWidth="1" style="65" min="11013" max="11265"/>
    <col width="19.1640625" customWidth="1" style="65" min="11266" max="11266"/>
    <col width="9.1640625" customWidth="1" style="65" min="11267" max="11267"/>
    <col width="141.1640625" customWidth="1" style="65" min="11268" max="11268"/>
    <col width="9.1640625" customWidth="1" style="65" min="11269" max="11521"/>
    <col width="19.1640625" customWidth="1" style="65" min="11522" max="11522"/>
    <col width="9.1640625" customWidth="1" style="65" min="11523" max="11523"/>
    <col width="141.1640625" customWidth="1" style="65" min="11524" max="11524"/>
    <col width="9.1640625" customWidth="1" style="65" min="11525" max="11777"/>
    <col width="19.1640625" customWidth="1" style="65" min="11778" max="11778"/>
    <col width="9.1640625" customWidth="1" style="65" min="11779" max="11779"/>
    <col width="141.1640625" customWidth="1" style="65" min="11780" max="11780"/>
    <col width="9.1640625" customWidth="1" style="65" min="11781" max="12033"/>
    <col width="19.1640625" customWidth="1" style="65" min="12034" max="12034"/>
    <col width="9.1640625" customWidth="1" style="65" min="12035" max="12035"/>
    <col width="141.1640625" customWidth="1" style="65" min="12036" max="12036"/>
    <col width="9.1640625" customWidth="1" style="65" min="12037" max="12289"/>
    <col width="19.1640625" customWidth="1" style="65" min="12290" max="12290"/>
    <col width="9.1640625" customWidth="1" style="65" min="12291" max="12291"/>
    <col width="141.1640625" customWidth="1" style="65" min="12292" max="12292"/>
    <col width="9.1640625" customWidth="1" style="65" min="12293" max="12545"/>
    <col width="19.1640625" customWidth="1" style="65" min="12546" max="12546"/>
    <col width="9.1640625" customWidth="1" style="65" min="12547" max="12547"/>
    <col width="141.1640625" customWidth="1" style="65" min="12548" max="12548"/>
    <col width="9.1640625" customWidth="1" style="65" min="12549" max="12801"/>
    <col width="19.1640625" customWidth="1" style="65" min="12802" max="12802"/>
    <col width="9.1640625" customWidth="1" style="65" min="12803" max="12803"/>
    <col width="141.1640625" customWidth="1" style="65" min="12804" max="12804"/>
    <col width="9.1640625" customWidth="1" style="65" min="12805" max="13057"/>
    <col width="19.1640625" customWidth="1" style="65" min="13058" max="13058"/>
    <col width="9.1640625" customWidth="1" style="65" min="13059" max="13059"/>
    <col width="141.1640625" customWidth="1" style="65" min="13060" max="13060"/>
    <col width="9.1640625" customWidth="1" style="65" min="13061" max="13313"/>
    <col width="19.1640625" customWidth="1" style="65" min="13314" max="13314"/>
    <col width="9.1640625" customWidth="1" style="65" min="13315" max="13315"/>
    <col width="141.1640625" customWidth="1" style="65" min="13316" max="13316"/>
    <col width="9.1640625" customWidth="1" style="65" min="13317" max="13569"/>
    <col width="19.1640625" customWidth="1" style="65" min="13570" max="13570"/>
    <col width="9.1640625" customWidth="1" style="65" min="13571" max="13571"/>
    <col width="141.1640625" customWidth="1" style="65" min="13572" max="13572"/>
    <col width="9.1640625" customWidth="1" style="65" min="13573" max="13825"/>
    <col width="19.1640625" customWidth="1" style="65" min="13826" max="13826"/>
    <col width="9.1640625" customWidth="1" style="65" min="13827" max="13827"/>
    <col width="141.1640625" customWidth="1" style="65" min="13828" max="13828"/>
    <col width="9.1640625" customWidth="1" style="65" min="13829" max="14081"/>
    <col width="19.1640625" customWidth="1" style="65" min="14082" max="14082"/>
    <col width="9.1640625" customWidth="1" style="65" min="14083" max="14083"/>
    <col width="141.1640625" customWidth="1" style="65" min="14084" max="14084"/>
    <col width="9.1640625" customWidth="1" style="65" min="14085" max="14337"/>
    <col width="19.1640625" customWidth="1" style="65" min="14338" max="14338"/>
    <col width="9.1640625" customWidth="1" style="65" min="14339" max="14339"/>
    <col width="141.1640625" customWidth="1" style="65" min="14340" max="14340"/>
    <col width="9.1640625" customWidth="1" style="65" min="14341" max="14593"/>
    <col width="19.1640625" customWidth="1" style="65" min="14594" max="14594"/>
    <col width="9.1640625" customWidth="1" style="65" min="14595" max="14595"/>
    <col width="141.1640625" customWidth="1" style="65" min="14596" max="14596"/>
    <col width="9.1640625" customWidth="1" style="65" min="14597" max="14849"/>
    <col width="19.1640625" customWidth="1" style="65" min="14850" max="14850"/>
    <col width="9.1640625" customWidth="1" style="65" min="14851" max="14851"/>
    <col width="141.1640625" customWidth="1" style="65" min="14852" max="14852"/>
    <col width="9.1640625" customWidth="1" style="65" min="14853" max="15105"/>
    <col width="19.1640625" customWidth="1" style="65" min="15106" max="15106"/>
    <col width="9.1640625" customWidth="1" style="65" min="15107" max="15107"/>
    <col width="141.1640625" customWidth="1" style="65" min="15108" max="15108"/>
    <col width="9.1640625" customWidth="1" style="65" min="15109" max="15361"/>
    <col width="19.1640625" customWidth="1" style="65" min="15362" max="15362"/>
    <col width="9.1640625" customWidth="1" style="65" min="15363" max="15363"/>
    <col width="141.1640625" customWidth="1" style="65" min="15364" max="15364"/>
    <col width="9.1640625" customWidth="1" style="65" min="15365" max="15617"/>
    <col width="19.1640625" customWidth="1" style="65" min="15618" max="15618"/>
    <col width="9.1640625" customWidth="1" style="65" min="15619" max="15619"/>
    <col width="141.1640625" customWidth="1" style="65" min="15620" max="15620"/>
    <col width="9.1640625" customWidth="1" style="65" min="15621" max="15873"/>
    <col width="19.1640625" customWidth="1" style="65" min="15874" max="15874"/>
    <col width="9.1640625" customWidth="1" style="65" min="15875" max="15875"/>
    <col width="141.1640625" customWidth="1" style="65" min="15876" max="15876"/>
    <col width="9.1640625" customWidth="1" style="65" min="15877" max="16129"/>
    <col width="19.1640625" customWidth="1" style="65" min="16130" max="16130"/>
    <col width="9.1640625" customWidth="1" style="65" min="16131" max="16131"/>
    <col width="141.1640625" customWidth="1" style="65" min="16132" max="16132"/>
    <col width="9.1640625" customWidth="1" style="65" min="16133" max="16384"/>
  </cols>
  <sheetData>
    <row r="1" ht="15" customHeight="1" s="87" thickBot="1">
      <c r="B1" s="63" t="n"/>
    </row>
    <row r="2" ht="15" customHeight="1" s="87" thickBot="1">
      <c r="B2" s="66" t="inlineStr">
        <is>
          <t>Sector</t>
        </is>
      </c>
      <c r="C2" s="67" t="inlineStr">
        <is>
          <t>Month</t>
        </is>
      </c>
      <c r="D2" s="68" t="inlineStr">
        <is>
          <t>Comments</t>
        </is>
      </c>
    </row>
    <row r="3" ht="30" customHeight="1" s="87">
      <c r="B3" s="69" t="inlineStr">
        <is>
          <t>Accommodation &amp; Food Services</t>
        </is>
      </c>
      <c r="C3" s="70" t="n">
        <v>44531</v>
      </c>
      <c r="D3" s="71" t="inlineStr">
        <is>
          <t>“Supply chain challenges to procure supplies for our restaurants remains our greatest obstacle at present, along with staffing needs. We are considering another price increase after just one in 2021, in August.” [Accommodation &amp; Food Services]</t>
        </is>
      </c>
    </row>
    <row r="4">
      <c r="B4" s="72" t="n"/>
      <c r="C4" s="73" t="n">
        <v>44501</v>
      </c>
      <c r="D4" s="74" t="inlineStr">
        <is>
          <t>“Labor shortages, transportation delays and supply constraints/allocations.” [Accommodation &amp; Food Services]</t>
        </is>
      </c>
    </row>
    <row r="5">
      <c r="B5" s="72" t="n"/>
      <c r="C5" s="73" t="n">
        <v>44470</v>
      </c>
      <c r="D5" s="74" t="inlineStr">
        <is>
          <t>“Manufacturers are failing to keep up with orders, and backlogs continue to grow. We’ve seen proposed pricing increases of more than 20 percent in areas of equipment manufacturing. This is extremely concerning.” [Accommodation &amp; Food Services]</t>
        </is>
      </c>
    </row>
    <row r="6">
      <c r="B6" s="72" t="n"/>
      <c r="C6" s="73" t="n">
        <v>44440</v>
      </c>
      <c r="D6" s="74" t="inlineStr">
        <is>
          <t>“Transportation bottlenecks are increasing, resulting in longer lead times and missed appointments.” [Accommodation &amp; Food Services]</t>
        </is>
      </c>
    </row>
    <row r="7">
      <c r="B7" s="72" t="n"/>
      <c r="C7" s="73" t="n">
        <v>44409</v>
      </c>
      <c r="D7" s="74" t="inlineStr">
        <is>
          <t>Supply chain disruptions — including manufacturing-labor shortages, logistics delays and lack of material to make products — are significantly disrupting our business. [Accommodation &amp; Food Services]</t>
        </is>
      </c>
    </row>
    <row r="8">
      <c r="B8" s="72" t="n"/>
      <c r="C8" s="73" t="n">
        <v>44378</v>
      </c>
      <c r="D8" s="74" t="inlineStr">
        <is>
          <t>“Peak demand while still facing challenges filling open positions.” [Accommodation &amp; Food Services]</t>
        </is>
      </c>
    </row>
    <row r="9">
      <c r="B9" s="72" t="n"/>
      <c r="C9" s="73" t="n">
        <v>44348</v>
      </c>
      <c r="D9" s="74"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0">
      <c r="B10" s="72" t="n"/>
      <c r="C10" s="73" t="n">
        <v>44317</v>
      </c>
      <c r="D10" s="74"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1">
      <c r="B11" s="72" t="n"/>
      <c r="C11" s="73" t="n">
        <v>44287</v>
      </c>
      <c r="D11" s="74"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2">
      <c r="B12" s="72" t="n"/>
      <c r="C12" s="73" t="n">
        <v>44228</v>
      </c>
      <c r="D12" s="74"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3">
      <c r="B13" s="72" t="n"/>
      <c r="C13" s="73" t="n">
        <v>44197</v>
      </c>
      <c r="D13" s="74" t="inlineStr">
        <is>
          <t>“Many of our restaurant locations remain completely shut down to on-site dining. We remain optimistic about business trends beyond April/May 2021. [We] have a very challenging few months to go.” (Accommodation &amp; Food Services)</t>
        </is>
      </c>
    </row>
    <row r="14">
      <c r="B14" s="72" t="n"/>
      <c r="C14" s="73" t="n">
        <v>44166</v>
      </c>
      <c r="D14" s="74" t="inlineStr">
        <is>
          <t>Starting to see demand weakening as states go back to shut down. Will look to see business resume in late first quarter, as vaccine distribution takes place. (Accommodation &amp; Food Services)</t>
        </is>
      </c>
    </row>
    <row r="15">
      <c r="B15" s="72" t="n"/>
      <c r="C15" s="73" t="n">
        <v>44136</v>
      </c>
      <c r="D15" s="74" t="inlineStr">
        <is>
          <t xml:space="preserve">	Conflicting national, regional, and local guidelines/requirements for COVID-19 issues are becoming increasingly difficult to navigate, leading to a lot of just in time (JIT)-type purchases." (Accommodation &amp; Food Services)</t>
        </is>
      </c>
    </row>
    <row r="16">
      <c r="B16" s="72" t="n"/>
      <c r="C16" s="73" t="n">
        <v>44105</v>
      </c>
      <c r="D16" s="74"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7">
      <c r="B17" s="72" t="n"/>
      <c r="C17" s="73" t="n">
        <v>44044</v>
      </c>
      <c r="D17" s="74"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18">
      <c r="B18" s="72" t="n"/>
      <c r="C18" s="73" t="n">
        <v>43983</v>
      </c>
      <c r="D18" s="74"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19">
      <c r="B19" s="72" t="n"/>
      <c r="C19" s="73" t="n">
        <v>43952</v>
      </c>
      <c r="D19" s="74"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0">
      <c r="B20" s="72" t="n"/>
      <c r="C20" s="73" t="n">
        <v>43922</v>
      </c>
      <c r="D20" s="74" t="inlineStr">
        <is>
          <t>“General uncertainty over ramp-up timeline post COVID-19.” (Accommodation &amp; Food Services)</t>
        </is>
      </c>
    </row>
    <row r="21">
      <c r="B21" s="72" t="n"/>
      <c r="C21" s="73" t="n">
        <v>43891</v>
      </c>
      <c r="D21" s="74" t="inlineStr">
        <is>
          <t>“Significant demand disruption caused by the coronavirus.” (Accommodation &amp; Food Services)</t>
        </is>
      </c>
    </row>
    <row r="22">
      <c r="B22" s="72" t="n"/>
      <c r="C22" s="73" t="n">
        <v>43831</v>
      </c>
      <c r="D22" s="74"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3">
      <c r="B23" s="72" t="n"/>
      <c r="C23" s="73" t="n">
        <v>43800</v>
      </c>
      <c r="D23" s="74" t="inlineStr">
        <is>
          <t>"Growth remains steady. While late-year pricing-increase proposals were either flat or in the low single digits, most have been mitigated." (Accommodation &amp; Food Services)</t>
        </is>
      </c>
    </row>
    <row r="24">
      <c r="B24" s="72" t="n"/>
      <c r="C24" s="73" t="n">
        <v>43739</v>
      </c>
      <c r="D24" s="74" t="inlineStr">
        <is>
          <t>“Labor shortage remains a major factor in the increased cost of logistics.” (Accommodation &amp; Food Services)</t>
        </is>
      </c>
    </row>
    <row r="25">
      <c r="B25" s="72" t="n"/>
      <c r="C25" s="73" t="n">
        <v>43709</v>
      </c>
      <c r="D25" s="7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6">
      <c r="B26" s="72" t="n"/>
      <c r="C26" s="73" t="n">
        <v>43678</v>
      </c>
      <c r="D26" s="74" t="inlineStr">
        <is>
          <t>“Tariffs are affecting the cost of goods on all items imported from China. We’ve experienced a 10-percent increase on Chinese ingredients which kicked in on August 1.” (Accommodation &amp; Food Services)</t>
        </is>
      </c>
    </row>
    <row r="27">
      <c r="B27" s="72" t="n"/>
      <c r="C27" s="73" t="n">
        <v>43647</v>
      </c>
      <c r="D27" s="74" t="inlineStr">
        <is>
          <t>“Business is still strong, considering the seasonality.” (Accommodation &amp; Food Services)</t>
        </is>
      </c>
    </row>
    <row r="28">
      <c r="B28" s="72" t="n"/>
      <c r="C28" s="73" t="n">
        <v>43586</v>
      </c>
      <c r="D28" s="74" t="inlineStr">
        <is>
          <t>“Economy is good and it's showing in our weekly sales, tariffs are affecting some, but doesn't seem to matter. Our prices are up as well as costs, but sales are good.” (Accommodation &amp; Food Services)</t>
        </is>
      </c>
    </row>
    <row r="29">
      <c r="B29" s="72" t="n"/>
      <c r="C29" s="73" t="n">
        <v>43556</v>
      </c>
      <c r="D29" s="75"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0">
      <c r="B30" s="72" t="n"/>
      <c r="C30" s="73" t="n">
        <v>43525</v>
      </c>
      <c r="D30" s="74" t="inlineStr">
        <is>
          <t>“Labor is tight and in short supply.” (Accommodation &amp; Food Services)</t>
        </is>
      </c>
    </row>
    <row r="31" ht="15" customHeight="1" s="87" thickBot="1">
      <c r="B31" s="76" t="n"/>
      <c r="C31" s="77" t="n">
        <v>43497</v>
      </c>
      <c r="D31" s="78" t="inlineStr">
        <is>
          <t>“We are anxiously awaiting decisions in the next couple of weeks on the fate of the proposed tariffs on China. High Chinese commitments to agriculture output will put cost pressure on food and restaurant margins.” (Accommodation &amp; Food Services)</t>
        </is>
      </c>
    </row>
    <row r="32" ht="30" customHeight="1" s="87">
      <c r="B32" s="69" t="inlineStr">
        <is>
          <t>Agriculture, Forestry, Fishing &amp; Hunting</t>
        </is>
      </c>
      <c r="C32" s="79" t="n">
        <v>44531</v>
      </c>
      <c r="D32" s="71" t="inlineStr">
        <is>
          <t>“Supply chain issues continue, but our business is adapting.” [Agriculture, Forestry, Fishing &amp; Hunting]</t>
        </is>
      </c>
    </row>
    <row r="33">
      <c r="B33" s="72" t="n"/>
      <c r="C33" s="80" t="n">
        <v>44501</v>
      </c>
      <c r="D33" s="74" t="inlineStr">
        <is>
          <t>“Business is greater than in the past. Supply chain issues persist, but we’re evolving to overcome or manage them better than in the past.” [Agriculture, Forestry, Fishing &amp; Hunting]</t>
        </is>
      </c>
    </row>
    <row r="34">
      <c r="B34" s="72" t="n"/>
      <c r="C34" s="80" t="n">
        <v>44470</v>
      </c>
      <c r="D34" s="74" t="inlineStr">
        <is>
          <t>“Container delays are causing serious implications for our supply chain.” [Agriculture, Forestry, Fishing &amp; Hunting]</t>
        </is>
      </c>
    </row>
    <row r="35">
      <c r="B35" s="72" t="n"/>
      <c r="C35" s="80" t="n">
        <v>44409</v>
      </c>
      <c r="D35" s="74" t="inlineStr">
        <is>
          <t>There is a shortage of available workers which is challenging our business operations. [Agriculture, Forestry, Fishing &amp; Hunting]</t>
        </is>
      </c>
    </row>
    <row r="36">
      <c r="B36" s="72" t="n"/>
      <c r="C36" s="80" t="n">
        <v>44378</v>
      </c>
      <c r="D36" s="74" t="inlineStr">
        <is>
          <t>“The slow movement of container traffic has definitely impacted our business in the first half of the year. We expect the situation will take another year to correct itself.” [Agriculture, Forestry, Fishing &amp; Hunting]</t>
        </is>
      </c>
    </row>
    <row r="37">
      <c r="B37" s="72" t="n"/>
      <c r="C37" s="80" t="n">
        <v>44317</v>
      </c>
      <c r="D37" s="74"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38">
      <c r="B38" s="72" t="n"/>
      <c r="C38" s="80" t="n">
        <v>44287</v>
      </c>
      <c r="D38" s="74" t="inlineStr">
        <is>
          <t>Delays in container deliveries are now impacting our business. (Agriculture, Forestry, Fishing &amp; Hunting)</t>
        </is>
      </c>
    </row>
    <row r="39">
      <c r="B39" s="72" t="n"/>
      <c r="C39" s="80" t="n">
        <v>44075</v>
      </c>
      <c r="D39" s="74" t="inlineStr">
        <is>
          <t>“Business has been fairly stable over the summer; however, there is still a great deal of uncertainty as we move into fall and winter [and] how our sales volume will be.” (Agriculture, Forestry, Fishing &amp; Hunting)</t>
        </is>
      </c>
    </row>
    <row r="40">
      <c r="B40" s="72" t="n"/>
      <c r="C40" s="80" t="n">
        <v>43983</v>
      </c>
      <c r="D40" s="74" t="inlineStr">
        <is>
          <t>“Surprising recovery to sales volume over the past four weeks.” (Agriculture, Forestry, Fishing &amp; Hunting)</t>
        </is>
      </c>
    </row>
    <row r="41">
      <c r="B41" s="72" t="n"/>
      <c r="C41" s="80" t="n">
        <v>43952</v>
      </c>
      <c r="D41" s="74" t="inlineStr">
        <is>
          <t>“Demand seems to have bottomed out, and we are seeing signs of increasing interest. Inventories of finished goods are extensive, so production will slowly rebound in the coming months.” (Agriculture, Forestry, Fishing &amp; Hunting)</t>
        </is>
      </c>
    </row>
    <row r="42">
      <c r="B42" s="72" t="n"/>
      <c r="C42" s="80" t="n">
        <v>43922</v>
      </c>
      <c r="D42" s="74" t="inlineStr">
        <is>
          <t>“COVID-19 pandemic has forced our business to close as of March 17, 2020. We do not have a re-opening date yet; our purchasing activity has been greatly reduced due to the current business environment.” (Arts, Entertainment &amp; Recreation)</t>
        </is>
      </c>
    </row>
    <row r="43">
      <c r="B43" s="72" t="n"/>
      <c r="C43" s="80" t="n">
        <v>43770</v>
      </c>
      <c r="D43" s="74" t="inlineStr">
        <is>
          <t>“Generally sluggish demand in the past month; back to summertime levels.” (Agriculture, Forestry, Fishing &amp; Hunting)</t>
        </is>
      </c>
    </row>
    <row r="44">
      <c r="B44" s="72" t="n"/>
      <c r="C44" s="80" t="n">
        <v>43709</v>
      </c>
      <c r="D44" s="74" t="inlineStr">
        <is>
          <t>“Demand has been variable — up one month, down the next. I think customers are watching our input costs and buying ahead on the dips, to the extent that contracts allow.” (Agriculture, Forestry, Fishing &amp; Hunting)</t>
        </is>
      </c>
    </row>
    <row r="45">
      <c r="B45" s="72" t="n"/>
      <c r="C45" s="80" t="n">
        <v>43678</v>
      </c>
      <c r="D45" s="74" t="inlineStr">
        <is>
          <t>“Generally good. Volumes are near expectations; however, commodity volatility is creating some challenges.” (Agriculture, Forestry, Fishing &amp; Hunting)</t>
        </is>
      </c>
    </row>
    <row r="46">
      <c r="B46" s="72" t="n"/>
      <c r="C46" s="80" t="n">
        <v>43617</v>
      </c>
      <c r="D46" s="74" t="inlineStr">
        <is>
          <t>“Low milk prices and a weakened dairy economy resulted in reduced feed sales.” (Agriculture, Forestry, Fishing &amp; Hunting)</t>
        </is>
      </c>
    </row>
    <row r="47" ht="15" customHeight="1" s="87" thickBot="1">
      <c r="B47" s="72" t="n"/>
      <c r="C47" s="80" t="n">
        <v>43556</v>
      </c>
      <c r="D47" s="75" t="inlineStr">
        <is>
          <t xml:space="preserve"> “We have increased wages to comply with increases in government-mandated minimum-wage levels. In order to retain production employees, we are going to a weekly payroll system.” (Agriculture, Forestry, Fishing &amp; Hunting)</t>
        </is>
      </c>
    </row>
    <row r="48" ht="30" customHeight="1" s="87">
      <c r="B48" s="69" t="inlineStr">
        <is>
          <t>Arts, Entertainment &amp; Recreation</t>
        </is>
      </c>
      <c r="C48" s="79" t="n">
        <v>44501</v>
      </c>
      <c r="D48" s="71" t="inlineStr">
        <is>
          <t>“Some food products that we have contracts on have been unavailable. Substitutes are always higher in cost.” [Arts, Entertainment &amp; Recreation]</t>
        </is>
      </c>
    </row>
    <row r="49">
      <c r="B49" s="72" t="n"/>
      <c r="C49" s="80" t="n">
        <v>44348</v>
      </c>
      <c r="D49" s="74" t="inlineStr">
        <is>
          <t>Severe supply chain disruptions and inflation are continuing in the marketplace, in all sectors. [Arts, Entertainment &amp; Recreation]</t>
        </is>
      </c>
    </row>
    <row r="50">
      <c r="B50" s="72" t="n"/>
      <c r="C50" s="80" t="n">
        <v>44317</v>
      </c>
      <c r="D50" s="74" t="inlineStr">
        <is>
          <t>Business continues to improve, and we have worked through many of the supply chain disruptions at this time. We have begun to return to work at our corporate office on a limited basis. [Arts, Entertainment &amp; Recreation]</t>
        </is>
      </c>
    </row>
    <row r="51">
      <c r="B51" s="72" t="n"/>
      <c r="C51" s="80" t="n">
        <v>44256</v>
      </c>
      <c r="D51" s="74"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2">
      <c r="B52" s="72" t="n"/>
      <c r="C52" s="80" t="n">
        <v>44228</v>
      </c>
      <c r="D52" s="74" t="inlineStr">
        <is>
          <t>“The declining COVID-19 cases in the four states we operate in, combined with the increased vaccination rates, should bode well for our increased business activity moving into the second quarter of 2021.” (Arts, Entertainment &amp; Recreation)</t>
        </is>
      </c>
    </row>
    <row r="53">
      <c r="B53" s="72" t="n"/>
      <c r="C53" s="80" t="n">
        <v>43709</v>
      </c>
      <c r="D53" s="74"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54" ht="15" customHeight="1" s="87" thickBot="1">
      <c r="B54" s="76" t="n"/>
      <c r="C54" s="81" t="n">
        <v>43586</v>
      </c>
      <c r="D54" s="78" t="inlineStr">
        <is>
          <t>“Low unemployment is good since our business is entertainment and relies on discretionary spend.” (Arts, Entertainment &amp; Recreation</t>
        </is>
      </c>
    </row>
    <row r="55" ht="15" customHeight="1" s="87">
      <c r="B55" s="72" t="inlineStr">
        <is>
          <t>Construction</t>
        </is>
      </c>
      <c r="C55" s="80" t="n">
        <v>44531</v>
      </c>
      <c r="D55" s="74" t="inlineStr">
        <is>
          <t>“The escalation in costs for materials, fuel, labor, lodging and the like continues to negatively impact margins in an unsustainable direction.” [Construction]</t>
        </is>
      </c>
    </row>
    <row r="56">
      <c r="B56" s="72" t="n"/>
      <c r="C56" s="80" t="n">
        <v>44501</v>
      </c>
      <c r="D56" s="74" t="inlineStr">
        <is>
          <t>“Construction material shortages and longer lead times continue to hamper operations. Significant cost increases from labor and freight are forecast for the start of next year.” [Construction]</t>
        </is>
      </c>
    </row>
    <row r="57">
      <c r="B57" s="72" t="n"/>
      <c r="C57" s="80" t="n">
        <v>44470</v>
      </c>
      <c r="D57" s="74" t="inlineStr">
        <is>
          <t>“Supply chain disruptions continue to roil new residential construction. Material and skilled labor shortages are lengthening cycle times and forcing substitutions.” [Construction]</t>
        </is>
      </c>
    </row>
    <row r="58">
      <c r="B58" s="72" t="n"/>
      <c r="C58" s="80" t="n">
        <v>44440</v>
      </c>
      <c r="D58" s="74" t="inlineStr">
        <is>
          <t>“Constraints on logistics from a cost and availability standpoint continue to be an issue.” [Construction]</t>
        </is>
      </c>
    </row>
    <row r="59">
      <c r="B59" s="72" t="n"/>
      <c r="C59" s="80" t="n">
        <v>44409</v>
      </c>
      <c r="D59" s="74" t="inlineStr">
        <is>
          <t>Material and labor shortages continue to hinder productivity. Price increases are ever-present and repetitive. Large, multinational manufacturers have had multiple price increases in the last three months. [Construction]</t>
        </is>
      </c>
    </row>
    <row r="60">
      <c r="B60" s="72" t="n"/>
      <c r="C60" s="80" t="n">
        <v>44378</v>
      </c>
      <c r="D60" s="74" t="inlineStr">
        <is>
          <t>“Costs have risen dramatically in the last 45 days. Lodging, fuel, travel and supplies are all rising sharply. Costs for available labor are also rising, as demand increases in a diminished labor pool.” [Construction]</t>
        </is>
      </c>
    </row>
    <row r="61">
      <c r="B61" s="72" t="n"/>
      <c r="C61" s="80" t="n">
        <v>44348</v>
      </c>
      <c r="D61" s="74" t="inlineStr">
        <is>
          <t>COVID-19 continues to cause troubles for all of our deliveries, as well as short supply a lot of materials. (Shortages of) lumber, copper, and steel continue, which is driving up pricing and lead times. [Construction]</t>
        </is>
      </c>
    </row>
    <row r="62">
      <c r="B62" s="72" t="n"/>
      <c r="C62" s="80" t="n">
        <v>44317</v>
      </c>
      <c r="D62" s="74"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63">
      <c r="B63" s="72" t="n"/>
      <c r="C63" s="80" t="n">
        <v>44287</v>
      </c>
      <c r="D63" s="74"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64">
      <c r="B64" s="72" t="n"/>
      <c r="C64" s="80" t="n">
        <v>44256</v>
      </c>
      <c r="D64" s="74"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65">
      <c r="B65" s="72" t="n"/>
      <c r="C65" s="80" t="n">
        <v>44228</v>
      </c>
      <c r="D65" s="74"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66">
      <c r="B66" s="72" t="n"/>
      <c r="C66" s="80" t="n">
        <v>44197</v>
      </c>
      <c r="D66" s="74" t="inlineStr">
        <is>
          <t>“Orders for new business have picked up. Labor is still the major impediment to the business.” (Construction)</t>
        </is>
      </c>
    </row>
    <row r="67">
      <c r="B67" s="72" t="n"/>
      <c r="C67" s="80" t="n">
        <v>44166</v>
      </c>
      <c r="D67" s="74" t="inlineStr">
        <is>
          <t>Lack of labor continues to be a significant drag on the business. We have plenty of work but are now considering rejecting some orders due to shrinking capacity. (Construction)</t>
        </is>
      </c>
    </row>
    <row r="68">
      <c r="B68" s="72" t="n"/>
      <c r="C68" s="80" t="n">
        <v>44136</v>
      </c>
      <c r="D68" s="74" t="inlineStr">
        <is>
          <t xml:space="preserve">	Business is pushing to complete projects due to seasonality in most of our markets. Volume is strong at this point but will gradually slow as temperatures drop in most of the country." (Construction)</t>
        </is>
      </c>
    </row>
    <row r="69">
      <c r="B69" s="72" t="n"/>
      <c r="C69" s="80" t="n">
        <v>44105</v>
      </c>
      <c r="D69" s="74" t="inlineStr">
        <is>
          <t>“Interesting business cycle: Labor is still in short supply, and work orders are picking up.” (Construction)</t>
        </is>
      </c>
    </row>
    <row r="70">
      <c r="B70" s="72" t="n"/>
      <c r="C70" s="80" t="n">
        <v>44075</v>
      </c>
      <c r="D70" s="74" t="inlineStr">
        <is>
          <t>“Work orders are improving rapidly. Lack of available labor is having a significant impact on our ability to fulfill orders.” (Construction)</t>
        </is>
      </c>
    </row>
    <row r="71">
      <c r="B71" s="72" t="n"/>
      <c r="C71" s="80" t="n">
        <v>44044</v>
      </c>
      <c r="D71" s="74" t="inlineStr">
        <is>
          <t>“Overall, we are seeing improvement in the level of activity in the short term. Backlog of orders is inconsistent.” (Construction)</t>
        </is>
      </c>
    </row>
    <row r="72">
      <c r="B72" s="72" t="n"/>
      <c r="C72" s="80" t="n">
        <v>43983</v>
      </c>
      <c r="D72" s="74" t="inlineStr">
        <is>
          <t>“Sales have picked up tremendously. Sporadic supply issues. Biggest concern for us is lumber shortages.” (Construction)</t>
        </is>
      </c>
    </row>
    <row r="73">
      <c r="B73" s="72" t="n"/>
      <c r="C73" s="80" t="n">
        <v>43952</v>
      </c>
      <c r="D73" s="74"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74">
      <c r="B74" s="72" t="n"/>
      <c r="C74" s="80" t="n">
        <v>43922</v>
      </c>
      <c r="D74" s="74"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75">
      <c r="B75" s="72" t="n"/>
      <c r="C75" s="80" t="n">
        <v>43891</v>
      </c>
      <c r="D75" s="74" t="inlineStr">
        <is>
          <t>“The coronavirus is having an impact, but not as much as we thought it would at this point. All sectors are staying busy. Although there are many customer concerns, we are finding work-arounds and adapting to the ever-changing situation.” (Construction)</t>
        </is>
      </c>
    </row>
    <row r="76">
      <c r="B76" s="72" t="n"/>
      <c r="C76" s="80" t="n">
        <v>43862</v>
      </c>
      <c r="D76" s="74" t="inlineStr">
        <is>
          <t>“[The] coronavirus has increased lead times for the critical items.” (Construction)</t>
        </is>
      </c>
    </row>
    <row r="77">
      <c r="B77" s="72" t="n"/>
      <c r="C77" s="80" t="n">
        <v>43831</v>
      </c>
      <c r="D77" s="74" t="inlineStr">
        <is>
          <t>“Q1 sales are improving, which makes us more optimistic.” (Construction)</t>
        </is>
      </c>
    </row>
    <row r="78">
      <c r="B78" s="72" t="n"/>
      <c r="C78" s="80" t="n">
        <v>43800</v>
      </c>
      <c r="D78" s="74"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79">
      <c r="B79" s="72" t="n"/>
      <c r="C79" s="80" t="n">
        <v>43770</v>
      </c>
      <c r="D79" s="74" t="inlineStr">
        <is>
          <t>“Activity is still up in all areas, but primarily in commercial construction.”</t>
        </is>
      </c>
    </row>
    <row r="80">
      <c r="B80" s="72" t="n"/>
      <c r="C80" s="80" t="n">
        <v>43739</v>
      </c>
      <c r="D80" s="74" t="inlineStr">
        <is>
          <t>“Current outlooks for commodities, equipment, and materials indicate purchasing now has leverage. Investment is still hampered by uncertainties in trade, global economic environment, manufacturing and the like.” (Construction)</t>
        </is>
      </c>
    </row>
    <row r="81">
      <c r="B81" s="72" t="n"/>
      <c r="C81" s="80" t="n">
        <v>43709</v>
      </c>
      <c r="D81" s="74" t="inlineStr">
        <is>
          <t>“We are very busy right now [and] expect to be so for the next 12 months. We are still very shorthanded with qualified labor.” (Construction)</t>
        </is>
      </c>
    </row>
    <row r="82">
      <c r="B82" s="72" t="n"/>
      <c r="C82" s="80" t="n">
        <v>43678</v>
      </c>
      <c r="D82" s="74" t="inlineStr">
        <is>
          <t>“Lower mortgage rates have not had a great effect on new residential construction sales. Tariffs continue to apply upward cost pressures to current supply chains.” (Construction)</t>
        </is>
      </c>
    </row>
    <row r="83">
      <c r="B83" s="72" t="n"/>
      <c r="C83" s="80" t="n">
        <v>43647</v>
      </c>
      <c r="D83" s="74" t="inlineStr">
        <is>
          <t>“Tariffs continue to push costs higher, and customers are looking for more discounts due to mortgage-rate fluctuations.” (Construction)</t>
        </is>
      </c>
    </row>
    <row r="84">
      <c r="B84" s="72" t="n"/>
      <c r="C84" s="80" t="n">
        <v>43617</v>
      </c>
      <c r="D84" s="74"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85">
      <c r="B85" s="72" t="n"/>
      <c r="C85" s="80" t="n">
        <v>43586</v>
      </c>
      <c r="D85" s="74" t="inlineStr">
        <is>
          <t>“Ability to source and retain employees continues to strain the business.” (Construction)</t>
        </is>
      </c>
    </row>
    <row r="86">
      <c r="B86" s="72" t="n"/>
      <c r="C86" s="80" t="n">
        <v>43556</v>
      </c>
      <c r="D86" s="75" t="inlineStr">
        <is>
          <t>“Spring selling season is here for residential construction. Sales are coming, but negotiations are now the norm. Traffic is higher than the last three months, mostly due to lower mortgage rates.” (Construction)</t>
        </is>
      </c>
    </row>
    <row r="87">
      <c r="B87" s="72" t="n"/>
      <c r="C87" s="80" t="n">
        <v>43525</v>
      </c>
      <c r="D87" s="74" t="inlineStr">
        <is>
          <t>“While we have a slowed down in residential service and install [area], we are still experiencing strength in the new commercial construction area.” (Construction)</t>
        </is>
      </c>
    </row>
    <row r="88">
      <c r="B88" s="72" t="n"/>
      <c r="C88" s="80" t="n">
        <v>43497</v>
      </c>
      <c r="D88" s="74" t="inlineStr">
        <is>
          <t>“Still strong in all areas, due mostly to commercial construction activity.” (Construction)</t>
        </is>
      </c>
    </row>
    <row r="89" ht="15" customHeight="1" s="87" thickBot="1">
      <c r="B89" s="72" t="n"/>
      <c r="C89" s="80" t="n">
        <v>43466</v>
      </c>
      <c r="D89" s="75" t="inlineStr">
        <is>
          <t>“Business has slowed well below expectations as our customers deal with the effects of economic situations exacerbated by the government shutdown.” (Construction)</t>
        </is>
      </c>
    </row>
    <row r="90" ht="15" customHeight="1" s="87">
      <c r="B90" s="69" t="inlineStr">
        <is>
          <t>Educational Services</t>
        </is>
      </c>
      <c r="C90" s="79" t="n">
        <v>44501</v>
      </c>
      <c r="D90" s="86"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91">
      <c r="B91" s="72" t="n"/>
      <c r="C91" s="80" t="n">
        <v>44470</v>
      </c>
      <c r="D91" s="75"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92">
      <c r="B92" s="72" t="n"/>
      <c r="C92" s="80" t="n">
        <v>44440</v>
      </c>
      <c r="D92" s="75" t="inlineStr">
        <is>
          <t>“Lead times on electronics and computer chips have greatly increased. Outlook for higher education remains flat for most colleges, not including elite and Ivy League institutions.” [Educational Services]</t>
        </is>
      </c>
    </row>
    <row r="93">
      <c r="B93" s="72" t="n"/>
      <c r="C93" s="80" t="n">
        <v>44409</v>
      </c>
      <c r="D93" s="75" t="inlineStr">
        <is>
          <t>Budget constraints due to student enrollment (impacted by) COVID-19 restrictions. Outlook to remain flat or little increase. Supply chain constraints with regard to limited supply of computer hardware to fulfill orders. [Educational Services]</t>
        </is>
      </c>
    </row>
    <row r="94">
      <c r="B94" s="72" t="n"/>
      <c r="C94" s="80" t="n">
        <v>44348</v>
      </c>
      <c r="D94" s="75"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95">
      <c r="B95" s="72" t="n"/>
      <c r="C95" s="80" t="n">
        <v>44287</v>
      </c>
      <c r="D95" s="75" t="inlineStr">
        <is>
          <t>Higher volume of activity in anticipation of a reopening of the campus in the fall of 2021. (Educational Services)</t>
        </is>
      </c>
    </row>
    <row r="96">
      <c r="B96" s="72" t="n"/>
      <c r="C96" s="80" t="n">
        <v>44256</v>
      </c>
      <c r="D96" s="75" t="inlineStr">
        <is>
          <t>“There is optimism in higher education that Fall 2021 will be near normal with vaccinated students, employees and staff returning to their roles on campus.” (Educational Services)</t>
        </is>
      </c>
    </row>
    <row r="97">
      <c r="B97" s="72" t="n"/>
      <c r="C97" s="80" t="n">
        <v>44228</v>
      </c>
      <c r="D97" s="75" t="inlineStr">
        <is>
          <t>“COVID-19 restrictions continue to affect the number of students either applying to college, living on campus or finding alternative means of a valuable education. As such, revenues have decreased while expenses increased.” (Educational Services)</t>
        </is>
      </c>
    </row>
    <row r="98">
      <c r="B98" s="72" t="n"/>
      <c r="C98" s="80" t="n">
        <v>44197</v>
      </c>
      <c r="D98" s="75" t="inlineStr">
        <is>
          <t>“Seasonal reduction of activity due to winter break from campus activity.” (Educational Services)</t>
        </is>
      </c>
    </row>
    <row r="99">
      <c r="B99" s="72" t="n"/>
      <c r="C99" s="80" t="n">
        <v>44166</v>
      </c>
      <c r="D99" s="75"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00">
      <c r="B100" s="72" t="n"/>
      <c r="C100" s="80" t="n">
        <v>44136</v>
      </c>
      <c r="D100" s="75"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01">
      <c r="B101" s="72" t="n"/>
      <c r="C101" s="80" t="n">
        <v>44105</v>
      </c>
      <c r="D101" s="75"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02">
      <c r="B102" s="72" t="n"/>
      <c r="C102" s="80" t="n">
        <v>44075</v>
      </c>
      <c r="D102" s="75"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03">
      <c r="B103" s="72" t="n"/>
      <c r="C103" s="80" t="n">
        <v>44044</v>
      </c>
      <c r="D103" s="75"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04">
      <c r="B104" s="72" t="n"/>
      <c r="C104" s="80" t="n">
        <v>44013</v>
      </c>
      <c r="D104" s="75"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05">
      <c r="B105" s="72" t="n"/>
      <c r="C105" s="80" t="n">
        <v>43983</v>
      </c>
      <c r="D105" s="75"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06">
      <c r="B106" s="72" t="n"/>
      <c r="C106" s="80" t="n">
        <v>43952</v>
      </c>
      <c r="D106" s="75"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07">
      <c r="B107" s="72" t="n"/>
      <c r="C107" s="80" t="n">
        <v>43922</v>
      </c>
      <c r="D107" s="75"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08" ht="15" customHeight="1" s="87" thickBot="1">
      <c r="B108" s="76" t="n"/>
      <c r="C108" s="81" t="n">
        <v>43891</v>
      </c>
      <c r="D108" s="82" t="inlineStr">
        <is>
          <t>“COVID-19 shelter-in-place order in effect. Offices closed except for essential personnel.” (Educational Services)</t>
        </is>
      </c>
    </row>
    <row r="109" ht="15" customHeight="1" s="87">
      <c r="B109" s="72" t="inlineStr">
        <is>
          <t>Finance &amp; Insurance</t>
        </is>
      </c>
      <c r="C109" s="80" t="n">
        <v>44531</v>
      </c>
      <c r="D109" s="74" t="inlineStr">
        <is>
          <t>“Higher than normal employee attrition within our own company and at our suppliers, which is causing disruptions and delays.” [Finance &amp; Insurance]</t>
        </is>
      </c>
    </row>
    <row r="110">
      <c r="B110" s="72" t="n"/>
      <c r="C110" s="80" t="n">
        <v>44501</v>
      </c>
      <c r="D110" s="74" t="inlineStr">
        <is>
          <t>“Seeing inflationary forces in the marketplace, which is resulting in suppliers raising their prices moving into 2022.” [Finance &amp; Insurance]</t>
        </is>
      </c>
    </row>
    <row r="111">
      <c r="B111" s="72" t="n"/>
      <c r="C111" s="80" t="n">
        <v>44440</v>
      </c>
      <c r="D111" s="74" t="inlineStr">
        <is>
          <t>“International and domestic demand remains very strong.” [Finance &amp; Insurance]</t>
        </is>
      </c>
    </row>
    <row r="112">
      <c r="B112" s="72" t="n"/>
      <c r="C112" s="80" t="n">
        <v>44348</v>
      </c>
      <c r="D112" s="74" t="inlineStr">
        <is>
          <t>New business is actively trending up locally, nationally and internationally. [Finance &amp; Insurance]</t>
        </is>
      </c>
    </row>
    <row r="113">
      <c r="B113" s="72" t="n"/>
      <c r="C113" s="80" t="n">
        <v>44317</v>
      </c>
      <c r="D113" s="74" t="inlineStr">
        <is>
          <t>We anticipated the reopening reasonably well but were caught off guard with respect to some materials. Steel and copper went higher than anticipated, and shortages are having an impact. [Finance &amp; Insurance]</t>
        </is>
      </c>
    </row>
    <row r="114">
      <c r="B114" s="72" t="n"/>
      <c r="C114" s="80" t="n">
        <v>44287</v>
      </c>
      <c r="D114" s="74" t="inlineStr">
        <is>
          <t>Conditions are good for the market/industry. Continuing to trend under budget for operating expenses. Outlook is positive for the second quarter of 2021. (Finance &amp; Insurance)</t>
        </is>
      </c>
    </row>
    <row r="115">
      <c r="B115" s="72" t="n"/>
      <c r="C115" s="80" t="n">
        <v>44256</v>
      </c>
      <c r="D115" s="74" t="inlineStr">
        <is>
          <t>“Local and national outlook remains positive, despite return-to-work concerns [and] work-from-home-related issues/purchases.” (Finance &amp; Insurance)</t>
        </is>
      </c>
    </row>
    <row r="116">
      <c r="B116" s="72" t="n"/>
      <c r="C116" s="80" t="n">
        <v>44228</v>
      </c>
      <c r="D116" s="74" t="inlineStr">
        <is>
          <t>“Business is steady during Q1 2021.” (Finance &amp; Insurance)</t>
        </is>
      </c>
    </row>
    <row r="117">
      <c r="B117" s="72" t="n"/>
      <c r="C117" s="80" t="n">
        <v>44197</v>
      </c>
      <c r="D117" s="74" t="inlineStr">
        <is>
          <t>“Start of 2021 on track with a positive outlook.” (Finance &amp; Insurance)</t>
        </is>
      </c>
    </row>
    <row r="118">
      <c r="B118" s="72" t="n"/>
      <c r="C118" s="80" t="n">
        <v>44136</v>
      </c>
      <c r="D118" s="74" t="inlineStr">
        <is>
          <t xml:space="preserve">	"Uncertainty related to the U.S. election is resulting in additional cybersecurity needs." (Finance &amp; Insurance)</t>
        </is>
      </c>
    </row>
    <row r="119">
      <c r="B119" s="72" t="n"/>
      <c r="C119" s="80" t="n">
        <v>44105</v>
      </c>
      <c r="D119" s="74"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20">
      <c r="B120" s="72" t="n"/>
      <c r="C120" s="80" t="n">
        <v>44075</v>
      </c>
      <c r="D120" s="74" t="inlineStr">
        <is>
          <t>“Insurance industry will experience some impact from weather- and protest-related property damage and business interruption.” (Finance &amp; Insurance)</t>
        </is>
      </c>
    </row>
    <row r="121">
      <c r="B121" s="72" t="n"/>
      <c r="C121" s="80" t="n">
        <v>44044</v>
      </c>
      <c r="D121" s="74" t="inlineStr">
        <is>
          <t>“Revenue challenges for our customers still remain a primary challenge.” (Finance &amp; Insurance)</t>
        </is>
      </c>
    </row>
    <row r="122">
      <c r="B122" s="72" t="n"/>
      <c r="C122" s="80" t="n">
        <v>44013</v>
      </c>
      <c r="D122" s="74" t="inlineStr">
        <is>
          <t>"COVID-19 posture continues, with some 95 percent of the company workforce working remotely." (Finance &amp; Insurance)</t>
        </is>
      </c>
    </row>
    <row r="123">
      <c r="B123" s="72" t="n"/>
      <c r="C123" s="80" t="n">
        <v>43983</v>
      </c>
      <c r="D123" s="74" t="inlineStr">
        <is>
          <t>“We continue to all work from home globally. Strict restriction on travel and external events. Senior management focusing on a plan for returning to the office.” (Finance &amp; Insurance)</t>
        </is>
      </c>
    </row>
    <row r="124">
      <c r="B124" s="72" t="n"/>
      <c r="C124" s="80" t="n">
        <v>43952</v>
      </c>
      <c r="D124" s="74" t="inlineStr">
        <is>
          <t>"Extremely busy with Small Business Administration Paycheck Protection Program work.” (Finance &amp; Insurance)</t>
        </is>
      </c>
    </row>
    <row r="125">
      <c r="B125" s="72" t="n"/>
      <c r="C125" s="80" t="n">
        <v>43922</v>
      </c>
      <c r="D125" s="74" t="inlineStr">
        <is>
          <t>“Due to increased loans from [the federal] stimulus package, [we are] seeing an increase in new business.” (Finance &amp; Insurance)</t>
        </is>
      </c>
    </row>
    <row r="126">
      <c r="B126" s="72" t="n"/>
      <c r="C126" s="80" t="n">
        <v>43862</v>
      </c>
      <c r="D126" s="74" t="inlineStr">
        <is>
          <t>“[First-quarter numbers] are slightly behind projections, but still positive.” (Finance &amp; Insurance)</t>
        </is>
      </c>
    </row>
    <row r="127">
      <c r="B127" s="72" t="n"/>
      <c r="C127" s="80" t="n">
        <v>43831</v>
      </c>
      <c r="D127" s="74" t="inlineStr">
        <is>
          <t>“Cautious start to 2020. Looking forward with optimism and encouragement. Conditions are favorable.” (Finance &amp; Insurance)</t>
        </is>
      </c>
    </row>
    <row r="128">
      <c r="B128" s="72" t="n"/>
      <c r="C128" s="80" t="n">
        <v>43770</v>
      </c>
      <c r="D128" s="74" t="inlineStr">
        <is>
          <t>“No significant changes in business conditions. Closing out current projects and initiatives. Preparing for year-end and the beginning of 2020.” (Finance &amp; Insurance)</t>
        </is>
      </c>
    </row>
    <row r="129">
      <c r="B129" s="72" t="n"/>
      <c r="C129" s="80" t="n">
        <v>43739</v>
      </c>
      <c r="D129" s="74" t="inlineStr">
        <is>
          <t>“Wrapping up fiscal year budgets — overall outlook is positive.” (Finance &amp; Insurance)</t>
        </is>
      </c>
    </row>
    <row r="130">
      <c r="B130" s="72" t="n"/>
      <c r="C130" s="80" t="n">
        <v>43709</v>
      </c>
      <c r="D130" s="74" t="inlineStr">
        <is>
          <t>“Gearing up for the fourth quarter of 2019. On track to end the year generally as anticipated, considering interest-rate changes, trade and tariff issues and other economic indicators and trends.” (Finance &amp; Insurance)</t>
        </is>
      </c>
    </row>
    <row r="131">
      <c r="B131" s="72" t="n"/>
      <c r="C131" s="80" t="n">
        <v>43678</v>
      </c>
      <c r="D131" s="74"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32">
      <c r="B132" s="72" t="n"/>
      <c r="C132" s="80" t="n">
        <v>43586</v>
      </c>
      <c r="D132" s="74" t="inlineStr">
        <is>
          <t>“Our local economy is doing very well except for a large number of suburban office vacancies.” (Finance &amp; Insurance)</t>
        </is>
      </c>
    </row>
    <row r="133" ht="15" customHeight="1" s="87" thickBot="1">
      <c r="B133" s="76" t="n"/>
      <c r="C133" s="81" t="n">
        <v>43497</v>
      </c>
      <c r="D133" s="78" t="inlineStr">
        <is>
          <t>“The local economy is doing well. Business lending remains competitive. The rise in interest rates have helped boost our net interest margin.” (Finance &amp; Insurance)</t>
        </is>
      </c>
    </row>
    <row r="134" ht="30" customHeight="1" s="87">
      <c r="B134" s="69" t="inlineStr">
        <is>
          <t>Health Care &amp; Social Assistance</t>
        </is>
      </c>
      <c r="C134" s="79" t="n">
        <v>44531</v>
      </c>
      <c r="D134" s="71"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35">
      <c r="B135" s="72" t="n"/>
      <c r="C135" s="80" t="n">
        <v>44501</v>
      </c>
      <c r="D135" s="74" t="inlineStr">
        <is>
          <t>“COVID-19 patients continue to impact census and procedures. Supplies continue to be difficult to obtain at times.” [Health Care &amp; Social Assistance]</t>
        </is>
      </c>
    </row>
    <row r="136">
      <c r="B136" s="72" t="n"/>
      <c r="C136" s="80" t="n">
        <v>44470</v>
      </c>
      <c r="D136" s="74"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37">
      <c r="B137" s="72" t="n"/>
      <c r="C137" s="80" t="n">
        <v>44440</v>
      </c>
      <c r="D137" s="74"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38">
      <c r="B138" s="72" t="n"/>
      <c r="C138" s="80" t="n">
        <v>44409</v>
      </c>
      <c r="D138" s="74"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39">
      <c r="B139" s="72" t="n"/>
      <c r="C139" s="80" t="n">
        <v>44378</v>
      </c>
      <c r="D139" s="74"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40">
      <c r="B140" s="72" t="n"/>
      <c r="C140" s="80" t="n">
        <v>44348</v>
      </c>
      <c r="D140" s="74"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41">
      <c r="B141" s="72" t="n"/>
      <c r="C141" s="80" t="n">
        <v>44317</v>
      </c>
      <c r="D141" s="74"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42">
      <c r="B142" s="72" t="n"/>
      <c r="C142" s="80" t="n">
        <v>44287</v>
      </c>
      <c r="D142" s="74" t="inlineStr">
        <is>
          <t>Elective surgeries coming back to pre-COVID-19 rates. Patient census continues to drop, as it does this time of year. (Health Care &amp; Social Assistance)</t>
        </is>
      </c>
    </row>
    <row r="143">
      <c r="B143" s="72" t="n"/>
      <c r="C143" s="80" t="n">
        <v>44256</v>
      </c>
      <c r="D143" s="74"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44">
      <c r="B144" s="72" t="n"/>
      <c r="C144" s="80" t="n">
        <v>44228</v>
      </c>
      <c r="D144" s="74" t="inlineStr">
        <is>
          <t>“Exponential demand for critical supplies due to [the] pandemic is driving distributer allocations and forcing alternative sourcing.” (Health Care &amp; Social Assistance)</t>
        </is>
      </c>
    </row>
    <row r="145">
      <c r="B145" s="72" t="n"/>
      <c r="C145" s="80" t="n">
        <v>44197</v>
      </c>
      <c r="D145" s="74" t="inlineStr">
        <is>
          <t>“Increased number of COVID-19 patients has forced the cancellation of elective surgeries. Bed capacity limited.” (Health Care &amp; Social Assistance)</t>
        </is>
      </c>
    </row>
    <row r="146">
      <c r="B146" s="72" t="n"/>
      <c r="C146" s="80" t="n">
        <v>44166</v>
      </c>
      <c r="D146" s="74"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47">
      <c r="B147" s="72" t="n"/>
      <c r="C147" s="80" t="n">
        <v>44105</v>
      </c>
      <c r="D147" s="74" t="inlineStr">
        <is>
          <t>"Continue to experience difficulty in procuring PPE due to rising COVID-19 numbers." (Health Care &amp; Social Assistance)</t>
        </is>
      </c>
    </row>
    <row r="148">
      <c r="B148" s="72" t="n"/>
      <c r="C148" s="80" t="n">
        <v>44105</v>
      </c>
      <c r="D148" s="74" t="inlineStr">
        <is>
          <t>“The new normal COVID-19 environment is causing uncertainty, but we’ve seen an increase in business that is close to pre-COVID-19 volumes for procedures.” (Health Care &amp; Social Assistance)</t>
        </is>
      </c>
    </row>
    <row r="149">
      <c r="B149" s="72" t="n"/>
      <c r="C149" s="80" t="n">
        <v>44075</v>
      </c>
      <c r="D149" s="74"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50">
      <c r="B150" s="72" t="n"/>
      <c r="C150" s="80" t="n">
        <v>44044</v>
      </c>
      <c r="D150" s="74" t="inlineStr">
        <is>
          <t>“Continuing to build our ancillary clinic volume as well as elective surgical cases since ceasing these services from mid-March through May 1.” (Health Care &amp; Social Assistance)</t>
        </is>
      </c>
    </row>
    <row r="151">
      <c r="B151" s="72" t="n"/>
      <c r="C151" s="80" t="n">
        <v>44013</v>
      </c>
      <c r="D151" s="74" t="inlineStr">
        <is>
          <t>"Surgical services still only scheduling at 50 percent capacity. Raw material shortages worldwide affecting ability to get finished PPE (iso gowns, bouffant caps, shoe covers)." (Health Care &amp; Social Assistance)</t>
        </is>
      </c>
    </row>
    <row r="152">
      <c r="B152" s="72" t="n"/>
      <c r="C152" s="80" t="n">
        <v>43983</v>
      </c>
      <c r="D152" s="74"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53">
      <c r="B153" s="72" t="n"/>
      <c r="C153" s="80" t="n">
        <v>43952</v>
      </c>
      <c r="D153" s="74" t="inlineStr">
        <is>
          <t>“Low volumes due to COVID-19. No elective surgeries.” (Health Care &amp; Social Assistance)</t>
        </is>
      </c>
    </row>
    <row r="154">
      <c r="B154" s="72" t="n"/>
      <c r="C154" s="80" t="n">
        <v>43922</v>
      </c>
      <c r="D154" s="74"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55">
      <c r="B155" s="72" t="n"/>
      <c r="C155" s="80" t="n">
        <v>43891</v>
      </c>
      <c r="D155" s="74"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56">
      <c r="B156" s="72" t="n"/>
      <c r="C156" s="80" t="n">
        <v>43862</v>
      </c>
      <c r="D156" s="74"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57">
      <c r="B157" s="72" t="n"/>
      <c r="C157" s="80" t="n">
        <v>43831</v>
      </c>
      <c r="D157" s="74" t="inlineStr">
        <is>
          <t>“Closely monitoring China’s coronavirus and its potential impact on medical supplies like surgical masks and protective goggles.” (Health Care &amp; Social Assistance)</t>
        </is>
      </c>
    </row>
    <row r="158">
      <c r="B158" s="72" t="n"/>
      <c r="C158" s="80" t="n">
        <v>43770</v>
      </c>
      <c r="D158" s="74" t="inlineStr">
        <is>
          <t>“Lower reimbursement rates will continue to affect funding levels.” (Health Care &amp; Social Assistance)</t>
        </is>
      </c>
    </row>
    <row r="159">
      <c r="B159" s="72" t="n"/>
      <c r="C159" s="80" t="n">
        <v>43709</v>
      </c>
      <c r="D159" s="74" t="inlineStr">
        <is>
          <t>“We continue with low patient census, which affects our orders and revenue.” (Health Care &amp; Social Assistance)</t>
        </is>
      </c>
    </row>
    <row r="160">
      <c r="B160" s="72" t="n"/>
      <c r="C160" s="80" t="n">
        <v>43647</v>
      </c>
      <c r="D160" s="74" t="inlineStr">
        <is>
          <t>“Business volumes were flat compared to the previous month.” (Health Care &amp; Social Assistance)</t>
        </is>
      </c>
    </row>
    <row r="161">
      <c r="B161" s="72" t="n"/>
      <c r="C161" s="80" t="n">
        <v>43617</v>
      </c>
      <c r="D161" s="74" t="inlineStr">
        <is>
          <t>“Closely watching the Trump tariffs on China, which could significantly impact medical supplies.” (Health Care &amp; Social Assistance)</t>
        </is>
      </c>
    </row>
    <row r="162">
      <c r="B162" s="72" t="n"/>
      <c r="C162" s="80" t="n">
        <v>43586</v>
      </c>
      <c r="D162" s="74" t="inlineStr">
        <is>
          <t>“There is added pressure to find operational savings so we can reduce the cost of healthcare, be a model to others, and pass the savings along to our patients and members of our health insurance business.” (Health Care &amp; Social Assistance)</t>
        </is>
      </c>
    </row>
    <row r="163">
      <c r="B163" s="72" t="n"/>
      <c r="C163" s="80" t="n">
        <v>43556</v>
      </c>
      <c r="D163" s="75" t="inlineStr">
        <is>
          <t>·         “Extremely difficult to fill direct care personnel positions.” (Health Care &amp; Social Assistance)</t>
        </is>
      </c>
    </row>
    <row r="164">
      <c r="B164" s="72" t="n"/>
      <c r="C164" s="80" t="n">
        <v>43525</v>
      </c>
      <c r="D164" s="74" t="inlineStr">
        <is>
          <t>“Supply expenses are up commensurately with business conditions as business activity has outpaced the budget on average four to six percent for our fiscal cycle that [began] 7/1/18.” (Health Care &amp; Social Assistance)</t>
        </is>
      </c>
    </row>
    <row r="165" ht="15" customHeight="1" s="87" thickBot="1">
      <c r="B165" s="76" t="n"/>
      <c r="C165" s="81" t="n">
        <v>43497</v>
      </c>
      <c r="D165" s="78" t="inlineStr">
        <is>
          <t>“The beginning of the year is generally our slowest time of year in the health-care industry. [Activity] will gradually pick up until April, then be steady until the fourth quarter, when there will be a large increase.” (Health Care &amp; Social Assistance)</t>
        </is>
      </c>
    </row>
    <row r="166" ht="15" customHeight="1" s="87">
      <c r="B166" s="69" t="inlineStr">
        <is>
          <t>Information</t>
        </is>
      </c>
      <c r="C166" s="79" t="n">
        <v>44531</v>
      </c>
      <c r="D166" s="71"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is>
      </c>
    </row>
    <row r="167">
      <c r="B167" s="72" t="n"/>
      <c r="C167" s="80" t="n">
        <v>44470</v>
      </c>
      <c r="D167" s="74"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68">
      <c r="B168" s="72" t="n"/>
      <c r="C168" s="80" t="n">
        <v>44440</v>
      </c>
      <c r="D168" s="74" t="inlineStr">
        <is>
          <t>“The semiconductor (shortage is) impacting server delivery. Alternate parts and engineering efforts are being used to create workaround solutions.” [Information]</t>
        </is>
      </c>
    </row>
    <row r="169">
      <c r="B169" s="72" t="n"/>
      <c r="C169" s="80" t="n">
        <v>44409</v>
      </c>
      <c r="D169" s="74" t="inlineStr">
        <is>
          <t>Supplies are tight in technology hardware. [Information]</t>
        </is>
      </c>
    </row>
    <row r="170">
      <c r="B170" s="72" t="n"/>
      <c r="C170" s="80" t="n">
        <v>44348</v>
      </c>
      <c r="D170" s="74" t="inlineStr">
        <is>
          <t>Employees globally are returning to the office where possible. We expect to have most employees in the office starting in September. [Information]</t>
        </is>
      </c>
    </row>
    <row r="171">
      <c r="B171" s="72" t="n"/>
      <c r="C171" s="80" t="n">
        <v>44287</v>
      </c>
      <c r="D171" s="74" t="inlineStr">
        <is>
          <t>Overall, there is pricing pressure for goods and services in the market. (Information)</t>
        </is>
      </c>
    </row>
    <row r="172">
      <c r="B172" s="72" t="n"/>
      <c r="C172" s="80" t="n">
        <v>44256</v>
      </c>
      <c r="D172" s="74" t="inlineStr">
        <is>
          <t>“Resin/oil price increases are beginning to filter down to products that we procure. In addition to price increases, we are also seeing longer lead times as supply chains pivot to find cheaper supply options.” (Information)</t>
        </is>
      </c>
    </row>
    <row r="173">
      <c r="B173" s="72" t="n"/>
      <c r="C173" s="80" t="n">
        <v>44228</v>
      </c>
      <c r="D173" s="74" t="inlineStr">
        <is>
          <t>“The business continues to reduce real-estate/brick-and-mortar [operations] and transition to a work-from-home model. Innovation is the watchword in all things; as such, the need to right-size all consumption as patterns have changed.” (Information)</t>
        </is>
      </c>
    </row>
    <row r="174">
      <c r="B174" s="72" t="n"/>
      <c r="C174" s="80" t="n">
        <v>44197</v>
      </c>
      <c r="D174" s="74" t="inlineStr">
        <is>
          <t>“The copper shortage is slowing deliveries of key network equipment.” (Information)</t>
        </is>
      </c>
    </row>
    <row r="175">
      <c r="B175" s="72" t="n"/>
      <c r="C175" s="80" t="n">
        <v>44136</v>
      </c>
      <c r="D175" s="74" t="inlineStr">
        <is>
          <t>"Tough economic conditions. Lost revenues from the COVID-19 crisis are coming back, but not completely." (Information)</t>
        </is>
      </c>
    </row>
    <row r="176">
      <c r="B176" s="72" t="n"/>
      <c r="C176" s="80" t="n">
        <v>44105</v>
      </c>
      <c r="D176" s="74" t="inlineStr">
        <is>
          <t>“We are remaining cautiously positive and resuming normal business operations.” (Management of Companies &amp; Support Services)</t>
        </is>
      </c>
    </row>
    <row r="177">
      <c r="B177" s="72" t="n"/>
      <c r="C177" s="80" t="n">
        <v>44044</v>
      </c>
      <c r="D177" s="74"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78">
      <c r="B178" s="72" t="n"/>
      <c r="C178" s="80" t="n">
        <v>43983</v>
      </c>
      <c r="D178" s="74"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79">
      <c r="B179" s="72" t="n"/>
      <c r="C179" s="80" t="n">
        <v>43952</v>
      </c>
      <c r="D179" s="74"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80">
      <c r="B180" s="72" t="n"/>
      <c r="C180" s="80" t="n">
        <v>43891</v>
      </c>
      <c r="D180" s="74"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81">
      <c r="B181" s="72" t="n"/>
      <c r="C181" s="80" t="n">
        <v>43800</v>
      </c>
      <c r="D181" s="74" t="inlineStr">
        <is>
          <t>"Supply [is] good. Holiday sales below plan." (Information)</t>
        </is>
      </c>
    </row>
    <row r="182">
      <c r="B182" s="72" t="n"/>
      <c r="C182" s="80" t="n">
        <v>43709</v>
      </c>
      <c r="D182" s="74" t="inlineStr">
        <is>
          <t>“As employee cost [wages] are increasing in this better economy, it is getting harder to fight price increases on goods and services.” (Information)</t>
        </is>
      </c>
    </row>
    <row r="183">
      <c r="B183" s="72" t="n"/>
      <c r="C183" s="80" t="n">
        <v>43647</v>
      </c>
      <c r="D183" s="74" t="inlineStr">
        <is>
          <t>“Some uncertainty hinges on tariffs, but there have been no changes in market conditions.” (Information)</t>
        </is>
      </c>
    </row>
    <row r="184" ht="15" customHeight="1" s="87" thickBot="1">
      <c r="B184" s="76" t="n"/>
      <c r="C184" s="81" t="n">
        <v>43586</v>
      </c>
      <c r="D184" s="78" t="inlineStr">
        <is>
          <t>“General conditions are steady, not increasing or going down.” (Information)</t>
        </is>
      </c>
    </row>
    <row r="185" ht="45" customHeight="1" s="87">
      <c r="B185" s="69" t="inlineStr">
        <is>
          <t>Management of Companies &amp; Support Services</t>
        </is>
      </c>
      <c r="C185" s="79" t="n">
        <v>44501</v>
      </c>
      <c r="D185" s="71"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186">
      <c r="B186" s="72" t="n"/>
      <c r="C186" s="80" t="n">
        <v>44470</v>
      </c>
      <c r="D186" s="74" t="inlineStr">
        <is>
          <t>“While new opportunities continue to present themselves, we are turning work away due to delayed shipments from suppliers and the general lack of new workers.” [Management of Companies &amp; Support Services]</t>
        </is>
      </c>
    </row>
    <row r="187">
      <c r="B187" s="72" t="n"/>
      <c r="C187" s="80" t="n">
        <v>44440</v>
      </c>
      <c r="D187" s="74" t="inlineStr">
        <is>
          <t>“Both domestic and international logistics are increasing lead times about six weeks for ocean freight and two weeks for domestic freight.” [Management of Companies &amp; Support Services]</t>
        </is>
      </c>
    </row>
    <row r="188">
      <c r="B188" s="72" t="n"/>
      <c r="C188" s="80" t="n">
        <v>44409</v>
      </c>
      <c r="D188" s="74" t="inlineStr">
        <is>
          <t>Temporary labor continues to be in short supply. Transportation costs are inflating prices on all products. [Management of Companies &amp; Support Services]</t>
        </is>
      </c>
    </row>
    <row r="189">
      <c r="B189" s="72" t="n"/>
      <c r="C189" s="80" t="n">
        <v>44378</v>
      </c>
      <c r="D189" s="74" t="inlineStr">
        <is>
          <t>“Fuel prices are coming back down a bit. Labor shortage continues for drivers and general labor work. We have increased pay for many positions, but the shortage continues.” [Management of Companies &amp; Support Services]</t>
        </is>
      </c>
    </row>
    <row r="190">
      <c r="B190" s="72" t="n"/>
      <c r="C190" s="80" t="n">
        <v>44317</v>
      </c>
      <c r="D190" s="74" t="inlineStr">
        <is>
          <t>(We are) seeing cost increases and long lead times with steel and steel containers. Worker shortages, temp labor and the like. [Management of Companies &amp; Support Services]</t>
        </is>
      </c>
    </row>
    <row r="191">
      <c r="B191" s="72" t="n"/>
      <c r="C191" s="80" t="n">
        <v>44136</v>
      </c>
      <c r="D191" s="74"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192">
      <c r="B192" s="72" t="n"/>
      <c r="C192" s="80" t="n">
        <v>44136</v>
      </c>
      <c r="D192" s="74" t="inlineStr">
        <is>
          <t>"Business activity is inconsistent. Businesses that reopened are closing for a second time, leading to interruptions in the supply chain." (Management of Companies &amp; Support Services)</t>
        </is>
      </c>
    </row>
    <row r="193">
      <c r="B193" s="72" t="n"/>
      <c r="C193" s="80" t="n">
        <v>44013</v>
      </c>
      <c r="D193" s="74"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194">
      <c r="B194" s="72" t="n"/>
      <c r="C194" s="80" t="n">
        <v>43922</v>
      </c>
      <c r="D194" s="74" t="inlineStr">
        <is>
          <t>“The oil exploration sector is very weak, with the record low price of oil and the country’s shutdown due to the COVID-19 threat. We are hopeful for a bump in activity once the country starts to reopen.” (Management of Companies &amp; Support Services)</t>
        </is>
      </c>
    </row>
    <row r="195">
      <c r="B195" s="72" t="n"/>
      <c r="C195" s="80" t="n">
        <v>43891</v>
      </c>
      <c r="D195" s="74" t="inlineStr">
        <is>
          <t>“COVID-19 has greatly impacted daily operations. All staff personnel are telecommuting, and customer concerns have shifted from normal activities to preventative measures.” (Management of Companies &amp; Support Services)</t>
        </is>
      </c>
    </row>
    <row r="196">
      <c r="B196" s="72" t="n"/>
      <c r="C196" s="80" t="n">
        <v>43862</v>
      </c>
      <c r="D196" s="74" t="inlineStr">
        <is>
          <t>“Business is rapidly improving.” (Management of Companies &amp; Support Services)</t>
        </is>
      </c>
    </row>
    <row r="197">
      <c r="B197" s="72" t="n"/>
      <c r="C197" s="80" t="n">
        <v>43831</v>
      </c>
      <c r="D197" s="74" t="inlineStr">
        <is>
          <t>“The labor market continues to be a challenge, impacting capacity and pushing up costs. Despite this, overall business volume remains positive, with growth in key sectors for our business.” (Management of Companies &amp; Support Services)</t>
        </is>
      </c>
    </row>
    <row r="198">
      <c r="B198" s="72" t="n"/>
      <c r="C198" s="80" t="n">
        <v>43800</v>
      </c>
      <c r="D198" s="74" t="inlineStr">
        <is>
          <t>"Business activity and growth in our business continues to expand." (Management of Companies &amp; Support Services)</t>
        </is>
      </c>
    </row>
    <row r="199">
      <c r="B199" s="72" t="n"/>
      <c r="C199" s="80" t="n">
        <v>43770</v>
      </c>
      <c r="D199" s="74"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00">
      <c r="B200" s="72" t="n"/>
      <c r="C200" s="80" t="n">
        <v>43709</v>
      </c>
      <c r="D200" s="74" t="inlineStr">
        <is>
          <t>“Costs are going up, from labor to chemicals to metals.” (Management of Companies &amp; Support Services)</t>
        </is>
      </c>
    </row>
    <row r="201">
      <c r="B201" s="72" t="n"/>
      <c r="C201" s="80" t="n">
        <v>43678</v>
      </c>
      <c r="D201" s="74"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02">
      <c r="B202" s="72" t="n"/>
      <c r="C202" s="80" t="n">
        <v>43647</v>
      </c>
      <c r="D202" s="74"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03">
      <c r="B203" s="72" t="n"/>
      <c r="C203" s="80" t="n">
        <v>43617</v>
      </c>
      <c r="D203" s="74"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04">
      <c r="B204" s="72" t="n"/>
      <c r="C204" s="80" t="n">
        <v>43556</v>
      </c>
      <c r="D204" s="75"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05">
      <c r="B205" s="72" t="n"/>
      <c r="C205" s="80" t="n">
        <v>43525</v>
      </c>
      <c r="D205" s="74" t="inlineStr">
        <is>
          <t>“There is a sense of relief in our industry with the temporary reprieve of the additional tariffs. As of now, we feel this will help us maintain competitive prices and steady margins over the next quarter.” (Management of Companies &amp; Support Services)</t>
        </is>
      </c>
    </row>
    <row r="206">
      <c r="B206" s="72" t="n"/>
      <c r="C206" s="80" t="n">
        <v>43497</v>
      </c>
      <c r="D206" s="74"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07" ht="15" customHeight="1" s="87" thickBot="1">
      <c r="B207" s="76" t="n"/>
      <c r="C207" s="81" t="n">
        <v>43466</v>
      </c>
      <c r="D207" s="82" t="inlineStr">
        <is>
          <t>·         “Prices are volatile due to tariff restrictions.” (Management of Companies &amp; Support Services)</t>
        </is>
      </c>
    </row>
    <row r="208" ht="15" customHeight="1" s="87">
      <c r="B208" s="69" t="inlineStr">
        <is>
          <t>Mining</t>
        </is>
      </c>
      <c r="C208" s="79" t="n">
        <v>44409</v>
      </c>
      <c r="D208" s="71" t="inlineStr">
        <is>
          <t>Activity level continues to increase. [Mining]</t>
        </is>
      </c>
    </row>
    <row r="209">
      <c r="B209" s="72" t="n"/>
      <c r="C209" s="80" t="n">
        <v>44348</v>
      </c>
      <c r="D209" s="74" t="inlineStr">
        <is>
          <t>Starting to see a lot of commodity-price increases for chemicals, acidizing and cementing. This is driven by product cost increases stemming from low production from plants. [Mining]</t>
        </is>
      </c>
    </row>
    <row r="210">
      <c r="B210" s="72" t="n"/>
      <c r="C210" s="80" t="n">
        <v>44317</v>
      </c>
      <c r="D210" s="74" t="inlineStr">
        <is>
          <t>Transportation, labor, steel and general commodities are all increasing (in price) based upon general inflation and the rising price of oil. [Mining]</t>
        </is>
      </c>
    </row>
    <row r="211">
      <c r="B211" s="72" t="n"/>
      <c r="C211" s="80" t="n">
        <v>44256</v>
      </c>
      <c r="D211" s="74" t="inlineStr">
        <is>
          <t>“Lack of chemicals and the recent freeze in Texas has delayed some orders and is creating a micro [price] increases for certain products. Suppliers are using the short-term shortage to their advantage to raise rates.” (Mining)</t>
        </is>
      </c>
    </row>
    <row r="212">
      <c r="B212" s="72" t="n"/>
      <c r="C212" s="80" t="n">
        <v>44197</v>
      </c>
      <c r="D212" s="74" t="inlineStr">
        <is>
          <t>“Still working under COVID-19 restrictions and uncertain political climate.” (Mining)</t>
        </is>
      </c>
    </row>
    <row r="213">
      <c r="B213" s="72" t="n"/>
      <c r="C213" s="80" t="n">
        <v>44136</v>
      </c>
      <c r="D213" s="74" t="inlineStr">
        <is>
          <t>"COVID-19 has brought some changes to operations, but for the most part, things are progressing as usual." (Mining)</t>
        </is>
      </c>
    </row>
    <row r="214">
      <c r="B214" s="72" t="n"/>
      <c r="C214" s="80" t="n">
        <v>44075</v>
      </c>
      <c r="D214" s="74" t="inlineStr">
        <is>
          <t>“Activity level is holding steady, with optimistic outlook.” (Mining)</t>
        </is>
      </c>
    </row>
    <row r="215">
      <c r="B215" s="72" t="n"/>
      <c r="C215" s="80" t="n">
        <v>43983</v>
      </c>
      <c r="D215" s="74" t="inlineStr">
        <is>
          <t>“Activity level is holding steady, with the potential of a rebound in the near future.” (Mining)</t>
        </is>
      </c>
    </row>
    <row r="216">
      <c r="B216" s="72" t="n"/>
      <c r="C216" s="80" t="n">
        <v>43891</v>
      </c>
      <c r="D216" s="74" t="inlineStr">
        <is>
          <t>“We are experiencing no real issues from a business perspective, although COVID-19 has forced us to reconsider elements of how our workforce gets things done.” (Mining)</t>
        </is>
      </c>
    </row>
    <row r="217">
      <c r="B217" s="72" t="n"/>
      <c r="C217" s="80" t="n">
        <v>43862</v>
      </c>
      <c r="D217" s="74"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18">
      <c r="B218" s="72" t="n"/>
      <c r="C218" s="80" t="n">
        <v>43800</v>
      </c>
      <c r="D218" s="74" t="inlineStr">
        <is>
          <t>"Our company's production, sales and purchasing [activities] are back to normal. Maintenance, planned and otherwise, is driving the usual necessity for spare parts." (Mining)</t>
        </is>
      </c>
    </row>
    <row r="219">
      <c r="B219" s="72" t="n"/>
      <c r="C219" s="80" t="n">
        <v>43739</v>
      </c>
      <c r="D219" s="74" t="inlineStr">
        <is>
          <t>“Our business remains at the same level. There is no expectation for new orders, since clients normally do not make capital-expenditure decisions in the last quarter. Our only expectation is with regards to the U.S.-China trade deal outcome.” (Mining)</t>
        </is>
      </c>
    </row>
    <row r="220">
      <c r="B220" s="72" t="n"/>
      <c r="C220" s="80" t="n">
        <v>43647</v>
      </c>
      <c r="D220" s="74" t="inlineStr">
        <is>
          <t>“It appears that the mining capital-expense environment is improving, with a good prospectus for the coming months. Our dependence on Chinese and Asian supply chains remains strong. NAFTA countries do not have the same capacity and speed.” (Mining)</t>
        </is>
      </c>
    </row>
    <row r="221">
      <c r="B221" s="72" t="n"/>
      <c r="C221" s="80" t="n">
        <v>43586</v>
      </c>
      <c r="D221" s="74" t="inlineStr">
        <is>
          <t>“Our business level is connected to metal commodity future outlook, but current trade war does not let investors have a clear sight. In this sense, [it] has been very difficult to plan in a long term ahead.” (Mining)</t>
        </is>
      </c>
    </row>
    <row r="222">
      <c r="B222" s="72" t="n"/>
      <c r="C222" s="80" t="n">
        <v>43556</v>
      </c>
      <c r="D222" s="75" t="inlineStr">
        <is>
          <t>·         “The outlook for mining capital expenditures looks like it will not change for a while. [We don’t] expect much growth, so we keep working with same team and shrinking capex investments.” (Mining)</t>
        </is>
      </c>
    </row>
    <row r="223">
      <c r="B223" s="72" t="n"/>
      <c r="C223" s="80" t="n">
        <v>43525</v>
      </c>
      <c r="D223" s="74" t="inlineStr">
        <is>
          <t>“Activity level held flat.” (Mining)</t>
        </is>
      </c>
    </row>
    <row r="224" ht="15" customHeight="1" s="87" thickBot="1">
      <c r="B224" s="72" t="n"/>
      <c r="C224" s="80" t="n">
        <v>43497</v>
      </c>
      <c r="D224" s="74" t="inlineStr">
        <is>
          <t>“Increased activity level over the end of 2018.” (Mining)</t>
        </is>
      </c>
    </row>
    <row r="225" ht="15" customHeight="1" s="87">
      <c r="B225" s="69" t="inlineStr">
        <is>
          <t>Other Services</t>
        </is>
      </c>
      <c r="C225" s="79" t="n">
        <v>44531</v>
      </c>
      <c r="D225" s="71"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26">
      <c r="B226" s="72" t="n"/>
      <c r="C226" s="80" t="n">
        <v>44197</v>
      </c>
      <c r="D226" s="74" t="inlineStr">
        <is>
          <t>“Overall, everything continues to be more optimistic; however, we are still seeing impacts from suppliers that are being affected by limiting staff due to COVID-19 restrictions.” (Other Services)</t>
        </is>
      </c>
    </row>
    <row r="227">
      <c r="B227" s="72" t="n"/>
      <c r="C227" s="80" t="n">
        <v>43983</v>
      </c>
      <c r="D227" s="74"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28">
      <c r="B228" s="72" t="n"/>
      <c r="C228" s="80" t="n">
        <v>43770</v>
      </c>
      <c r="D228" s="74" t="inlineStr">
        <is>
          <t>“Tariffs on steel and aluminum are still having a negative impact on costs. Oil and gas business is increasing, which is favorably impacting our orders.” (Other Services)</t>
        </is>
      </c>
    </row>
    <row r="229" ht="15" customHeight="1" s="87" thickBot="1">
      <c r="B229" s="76" t="n"/>
      <c r="C229" s="81" t="n"/>
      <c r="D229" s="78" t="inlineStr">
        <is>
          <t>“Business continues [to] improve, and we expect it to continue through 2019. Domestic trucking availability is improving.” (Other Services)</t>
        </is>
      </c>
    </row>
    <row r="230" ht="45" customHeight="1" s="87">
      <c r="B230" s="72" t="inlineStr">
        <is>
          <t>Professional, Scientific &amp; Technical Services</t>
        </is>
      </c>
      <c r="C230" s="80" t="n">
        <v>44531</v>
      </c>
      <c r="D230" s="74" t="inlineStr">
        <is>
          <t>“Electronic chip (shortage) is severely affecting deliveries from our supply base, thus impacting our ability to deliver to customers.” [Professional, Scientific &amp; Technical Services]</t>
        </is>
      </c>
    </row>
    <row r="231">
      <c r="B231" s="72" t="n"/>
      <c r="C231" s="80" t="n">
        <v>44470</v>
      </c>
      <c r="D231" s="74" t="inlineStr">
        <is>
          <t>“Positive indications that have been building in the last couple of months are continuing into the beginning of this quarter.” [Professional, Scientific &amp; Technical Services]</t>
        </is>
      </c>
    </row>
    <row r="232">
      <c r="B232" s="72" t="n"/>
      <c r="C232" s="80" t="n">
        <v>44440</v>
      </c>
      <c r="D232" s="74" t="inlineStr">
        <is>
          <t>“Inventories shrinking due to global shipping logistics being a seller’s/provider’s market, with primary focus on yield versus market expansion.” [Professional, Scientific &amp; Technical Services]</t>
        </is>
      </c>
    </row>
    <row r="233">
      <c r="B233" s="72" t="n"/>
      <c r="C233" s="80" t="n">
        <v>44409</v>
      </c>
      <c r="D233" s="74" t="inlineStr">
        <is>
          <t>Continuing supply chain disruptions and supply cost increases. [Professional, Scientific &amp; Technical Services]</t>
        </is>
      </c>
    </row>
    <row r="234">
      <c r="B234" s="72" t="n"/>
      <c r="C234" s="80" t="n">
        <v>44378</v>
      </c>
      <c r="D234" s="74" t="inlineStr">
        <is>
          <t>“Supply chain disruptions continue to impact sales.” [Professional, Scientific &amp; Technical Services]</t>
        </is>
      </c>
    </row>
    <row r="235">
      <c r="B235" s="72" t="n"/>
      <c r="C235" s="80" t="n">
        <v>44317</v>
      </c>
      <c r="D235" s="74"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36">
      <c r="B236" s="72" t="n"/>
      <c r="C236" s="80" t="n">
        <v>44287</v>
      </c>
      <c r="D236" s="74"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37">
      <c r="B237" s="72" t="n"/>
      <c r="C237" s="80" t="n">
        <v>44256</v>
      </c>
      <c r="D237" s="74" t="inlineStr">
        <is>
          <t>“Higher levels of demand related to additional business reopening, and increased activity related to vaccination distribution.” (Professional, Scientific &amp; Technical Services)</t>
        </is>
      </c>
    </row>
    <row r="238">
      <c r="B238" s="72" t="n"/>
      <c r="C238" s="80" t="n">
        <v>44228</v>
      </c>
      <c r="D238" s="74" t="inlineStr">
        <is>
          <t>“We were excited [in January], when orders and activity were increasing. Now, they are not receding, but they’re flat month over month. That’s not the rebound we were hoping for.” (Professional, Scientific &amp; Technical Services)</t>
        </is>
      </c>
    </row>
    <row r="239">
      <c r="B239" s="72" t="n"/>
      <c r="C239" s="80" t="n">
        <v>44166</v>
      </c>
      <c r="D239" s="74"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40">
      <c r="B240" s="72" t="n"/>
      <c r="C240" s="80" t="n">
        <v>44136</v>
      </c>
      <c r="D240" s="74" t="inlineStr">
        <is>
          <t>"Availability on PPE and other supplies is getting worse again; [the situation] is especially dire with nitrile gloves." (Professional, Scientific &amp; Technical Services)</t>
        </is>
      </c>
    </row>
    <row r="241">
      <c r="B241" s="72" t="n"/>
      <c r="C241" s="80" t="n">
        <v>44105</v>
      </c>
      <c r="D241" s="74" t="inlineStr">
        <is>
          <t>“Encouraging signs continue for an improved fourth quarter.” (Professional, Scientific &amp; Technical Services)</t>
        </is>
      </c>
    </row>
    <row r="242">
      <c r="B242" s="72" t="n"/>
      <c r="C242" s="80" t="n">
        <v>44075</v>
      </c>
      <c r="D242" s="74"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43">
      <c r="B243" s="72" t="n"/>
      <c r="C243" s="80" t="n">
        <v>44044</v>
      </c>
      <c r="D243" s="74" t="inlineStr">
        <is>
          <t>“Increase in service- and work-order requests are signs of economic improvement as companies reopen and begin to ramp up employment activity.” (Professional, Scientific &amp; Technical Services)</t>
        </is>
      </c>
    </row>
    <row r="244">
      <c r="B244" s="72" t="n"/>
      <c r="C244" s="80" t="n">
        <v>44013</v>
      </c>
      <c r="D244" s="74"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45">
      <c r="B245" s="72" t="n"/>
      <c r="C245" s="80" t="n">
        <v>43862</v>
      </c>
      <c r="D245" s="74" t="inlineStr">
        <is>
          <t>“The outlook appears positive, as our order book is nearing full capacity for the first half of 2020.” (Professional, Scientific &amp; Technical Services)</t>
        </is>
      </c>
    </row>
    <row r="246">
      <c r="B246" s="72" t="n"/>
      <c r="C246" s="80" t="n">
        <v>43800</v>
      </c>
      <c r="D246" s="74" t="inlineStr">
        <is>
          <t>"New prospects have improved this month, although continuing uncertainty is causing clients to delay confirmation." (Professional, Scientific &amp; Technical Services)</t>
        </is>
      </c>
    </row>
    <row r="247">
      <c r="B247" s="72" t="n"/>
      <c r="C247" s="80" t="n">
        <v>43770</v>
      </c>
      <c r="D247" s="74"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48">
      <c r="B248" s="72" t="n"/>
      <c r="C248" s="80" t="n">
        <v>43739</v>
      </c>
      <c r="D248" s="74" t="inlineStr">
        <is>
          <t>“Positive-but-cautious outlook, with oil prices hovering above [US]$50 a barrel.” (Professional, Scientific &amp; Technical Services)</t>
        </is>
      </c>
    </row>
    <row r="249">
      <c r="B249" s="72" t="n"/>
      <c r="C249" s="80" t="n">
        <v>43678</v>
      </c>
      <c r="D249" s="74" t="inlineStr">
        <is>
          <t>“Summer doldrums appear to be over, and the fourth quarter will be solid, with higher-than-expected revenues.” (Professional, Scientific &amp; Technical Services)</t>
        </is>
      </c>
    </row>
    <row r="250">
      <c r="B250" s="72" t="n"/>
      <c r="C250" s="80" t="n">
        <v>43647</v>
      </c>
      <c r="D250" s="74"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51">
      <c r="B251" s="72" t="n"/>
      <c r="C251" s="80" t="n">
        <v>43617</v>
      </c>
      <c r="D251" s="74" t="inlineStr">
        <is>
          <t>“Waiting to see what new tariffs on Mexican steel will do to the market.” (Professional, Scientific &amp; Technical Services)</t>
        </is>
      </c>
    </row>
    <row r="252">
      <c r="B252" s="72" t="n"/>
      <c r="C252" s="80" t="n">
        <v>43556</v>
      </c>
      <c r="D252" s="75"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53">
      <c r="B253" s="72" t="n"/>
      <c r="C253" s="80" t="n">
        <v>43525</v>
      </c>
      <c r="D253" s="74" t="inlineStr">
        <is>
          <t>“Initial surge in business at the beginning of the year has peaked and settled to a more stable level.” (Professional, Scientific &amp; Technical Services)</t>
        </is>
      </c>
    </row>
    <row r="254" ht="15" customHeight="1" s="87" thickBot="1">
      <c r="B254" s="76" t="n"/>
      <c r="C254" s="81" t="n">
        <v>43466</v>
      </c>
      <c r="D254" s="82"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55" ht="15" customHeight="1" s="87">
      <c r="B255" s="69" t="inlineStr">
        <is>
          <t>Public Administration</t>
        </is>
      </c>
      <c r="C255" s="79" t="n">
        <v>44501</v>
      </c>
      <c r="D255" s="71" t="inlineStr">
        <is>
          <t>“Late deliveries and shortages continue. Disruptions seem to be declining somewhat, as suppliers and customers are finding innovative ways to keep supplies moving.” [Public Administration]</t>
        </is>
      </c>
    </row>
    <row r="256">
      <c r="B256" s="72" t="n"/>
      <c r="C256" s="80" t="n">
        <v>44470</v>
      </c>
      <c r="D256" s="74" t="inlineStr">
        <is>
          <t>“Deliveries are significantly delayed. Metals continue to be volatile.” [Public Administration]</t>
        </is>
      </c>
    </row>
    <row r="257">
      <c r="B257" s="72" t="n"/>
      <c r="C257" s="80" t="n">
        <v>44440</v>
      </c>
      <c r="D257" s="74"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58">
      <c r="B258" s="72" t="n"/>
      <c r="C258" s="80" t="n">
        <v>44409</v>
      </c>
      <c r="D258" s="74" t="inlineStr">
        <is>
          <t>Chemicals and transportation services are in short supply. Also, chip shortages are affecting several large-project time lines. [Public Administration]</t>
        </is>
      </c>
    </row>
    <row r="259">
      <c r="B259" s="72" t="n"/>
      <c r="C259" s="80" t="n">
        <v>44378</v>
      </c>
      <c r="D259" s="74" t="inlineStr">
        <is>
          <t>“Appliances, laptops and certain chemicals are still in short supply.” [Public Administration]</t>
        </is>
      </c>
    </row>
    <row r="260">
      <c r="B260" s="72" t="n"/>
      <c r="C260" s="80" t="n">
        <v>44287</v>
      </c>
      <c r="D260" s="74"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61">
      <c r="B261" s="72" t="n"/>
      <c r="C261" s="80" t="n">
        <v>44197</v>
      </c>
      <c r="D261" s="74" t="inlineStr">
        <is>
          <t>“Post-holidays spending is up. Many capital projects and expenditures are coming to fruition.” (Public Administration)</t>
        </is>
      </c>
    </row>
    <row r="262">
      <c r="B262" s="72" t="n"/>
      <c r="C262" s="80" t="n">
        <v>44013</v>
      </c>
      <c r="D262" s="74"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63">
      <c r="B263" s="72" t="n"/>
      <c r="C263" s="80" t="n">
        <v>43952</v>
      </c>
      <c r="D263" s="74" t="inlineStr">
        <is>
          <t>“COVID-19 is still impacting our revenue significantly and the prices we are paying for goods and services.” (Public Administration)</t>
        </is>
      </c>
    </row>
    <row r="264">
      <c r="B264" s="72" t="n"/>
      <c r="C264" s="80" t="n">
        <v>43891</v>
      </c>
      <c r="D264" s="74"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65">
      <c r="B265" s="72" t="n"/>
      <c r="C265" s="80" t="n">
        <v>43800</v>
      </c>
      <c r="D265" s="74" t="inlineStr">
        <is>
          <t>"Budgets and business accelerating." (Public Administration)</t>
        </is>
      </c>
    </row>
    <row r="266">
      <c r="B266" s="72" t="n"/>
      <c r="C266" s="80" t="n">
        <v>43739</v>
      </c>
      <c r="D266" s="74" t="inlineStr">
        <is>
          <t>“Beginning of a new fiscal year brings a tremendous amount of spending.” (Public Administration)</t>
        </is>
      </c>
    </row>
    <row r="267">
      <c r="B267" s="72" t="n"/>
      <c r="C267" s="80" t="n">
        <v>43617</v>
      </c>
      <c r="D267" s="74" t="inlineStr">
        <is>
          <t>“Demand seems strong. There are still pressures for skilled labor. It is difficult to find fully qualified candidates. Suppliers are having trouble with demand.” (Public Administration)</t>
        </is>
      </c>
    </row>
    <row r="268">
      <c r="B268" s="72" t="n"/>
      <c r="C268" s="80" t="n">
        <v>43617</v>
      </c>
      <c r="D268" s="74" t="inlineStr">
        <is>
          <t>“Business is stable, but very fast paced. The labor market is tighter than ever, and we cannot work enough hours.” (Public Administration)</t>
        </is>
      </c>
    </row>
    <row r="269">
      <c r="B269" s="72" t="n"/>
      <c r="C269" s="80" t="n">
        <v>43586</v>
      </c>
      <c r="D269" s="74" t="inlineStr">
        <is>
          <t>“Gearing up for summer busy construction season.” (Public Administration)</t>
        </is>
      </c>
    </row>
    <row r="270">
      <c r="B270" s="72" t="n"/>
      <c r="C270" s="80" t="n">
        <v>43556</v>
      </c>
      <c r="D270" s="75" t="inlineStr">
        <is>
          <t>·         “Business is steady. Recruiting qualified employees has been difficult.” (Public Administration)</t>
        </is>
      </c>
    </row>
    <row r="271">
      <c r="B271" s="72" t="n"/>
      <c r="C271" s="80" t="n">
        <v>43525</v>
      </c>
      <c r="D271" s="74" t="inlineStr">
        <is>
          <t>“Locally as construction grows, a shortage of available workers for the industry is occurring for future projects.” (Public Administration)</t>
        </is>
      </c>
    </row>
    <row r="272" ht="15" customHeight="1" s="87" thickBot="1">
      <c r="B272" s="76" t="n"/>
      <c r="C272" s="81" t="n">
        <v>43466</v>
      </c>
      <c r="D272" s="82"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73" ht="30" customHeight="1" s="87">
      <c r="B273" s="69" t="inlineStr">
        <is>
          <t>Real Estate, Rental &amp; Leasing</t>
        </is>
      </c>
      <c r="C273" s="79" t="n">
        <v>44470</v>
      </c>
      <c r="D273" s="71" t="inlineStr">
        <is>
          <t>“Construction remains quite strong, although material supply issues persist.” [Real Estate, Rental &amp; Leasing]</t>
        </is>
      </c>
    </row>
    <row r="274">
      <c r="B274" s="72" t="n"/>
      <c r="C274" s="80" t="n">
        <v>44440</v>
      </c>
      <c r="D274" s="74" t="inlineStr">
        <is>
          <t>“Business volumes remain remarkably high, although material shortages persist.” [Real Estate, Rental &amp; Leasing]</t>
        </is>
      </c>
    </row>
    <row r="275">
      <c r="B275" s="72" t="n"/>
      <c r="C275" s="80" t="n">
        <v>44409</v>
      </c>
      <c r="D275" s="74" t="inlineStr">
        <is>
          <t>Business in all segments continues to gain, both month over month and year-to-date versus 2020. Projections and forecasts remain quite robust. [Real Estate, Rental &amp; Leasing]</t>
        </is>
      </c>
    </row>
    <row r="276">
      <c r="B276" s="72" t="n"/>
      <c r="C276" s="80" t="n">
        <v>44378</v>
      </c>
      <c r="D276" s="74" t="inlineStr">
        <is>
          <t>“Business continues to gain speed as the economy recovers and assuming there won’t be additional government-mandated lockdowns.” [Real Estate, Rental &amp; Leasing]</t>
        </is>
      </c>
    </row>
    <row r="277">
      <c r="B277" s="72" t="n"/>
      <c r="C277" s="80" t="n">
        <v>44317</v>
      </c>
      <c r="D277" s="74" t="inlineStr">
        <is>
          <t>Business is very strong, and customer orders continue to increase at a rapid pace. Material shortages, increased prices and qualified personnel shortages are becoming a much larger concern. [Real Estate, Rental &amp; Leasing]</t>
        </is>
      </c>
    </row>
    <row r="278">
      <c r="B278" s="72" t="n"/>
      <c r="C278" s="80" t="n">
        <v>44287</v>
      </c>
      <c r="D278" s="74" t="inlineStr">
        <is>
          <t>Business levels are quite strong as we head into the spring construction season. (Real Estate, Rental &amp; Leasing)</t>
        </is>
      </c>
    </row>
    <row r="279">
      <c r="B279" s="72" t="n"/>
      <c r="C279" s="80" t="n">
        <v>44256</v>
      </c>
      <c r="D279" s="74" t="inlineStr">
        <is>
          <t>“Business is picking up as mandated restrictions seem to be easing and spring is right around the corner.” (Real Estate, Rental &amp; Leasing)</t>
        </is>
      </c>
    </row>
    <row r="280">
      <c r="B280" s="72" t="n"/>
      <c r="C280" s="80" t="n">
        <v>44166</v>
      </c>
      <c r="D280" s="74" t="inlineStr">
        <is>
          <t>Business quite good, all things considered, although below the original 2020 planned forecast. (Real Estate, Rental &amp; Leasing)</t>
        </is>
      </c>
    </row>
    <row r="281">
      <c r="B281" s="72" t="n"/>
      <c r="C281" s="80" t="n">
        <v>44013</v>
      </c>
      <c r="D281" s="74" t="inlineStr">
        <is>
          <t>"COVID-19 interruptions are changing the way business is done." (Real Estate, Rental &amp; Leasing)</t>
        </is>
      </c>
    </row>
    <row r="282">
      <c r="B282" s="72" t="n"/>
      <c r="C282" s="80" t="n">
        <v>43983</v>
      </c>
      <c r="D282" s="74" t="inlineStr">
        <is>
          <t>“COVID-19 and the riots have disrupted the normal flow of business. There is no new normal yet.” (Real Estate, Rental &amp; Leasing)</t>
        </is>
      </c>
    </row>
    <row r="283">
      <c r="B283" s="72" t="n"/>
      <c r="C283" s="80" t="n">
        <v>43862</v>
      </c>
      <c r="D283" s="74" t="inlineStr">
        <is>
          <t>“Construction activity appears to be getting off to a good start for 2020.” (Real Estate, Rental &amp; Leasing)</t>
        </is>
      </c>
    </row>
    <row r="284">
      <c r="B284" s="72" t="n"/>
      <c r="C284" s="80" t="n">
        <v>43831</v>
      </c>
      <c r="D284" s="74" t="inlineStr">
        <is>
          <t>“Customer inquiries are strong to start the new year.” (Real Estate, Rental &amp; Leasing)</t>
        </is>
      </c>
    </row>
    <row r="285">
      <c r="B285" s="72" t="n"/>
      <c r="C285" s="80" t="n">
        <v>43739</v>
      </c>
      <c r="D285" s="74" t="inlineStr">
        <is>
          <t>“Business remains brisk and well ahead of last year to date, as we near the peak of our busiest season. Looking ahead, our customers remain upbeat about their business well into next year.” (Real Estate, Rental &amp; Leasing)</t>
        </is>
      </c>
    </row>
    <row r="286">
      <c r="B286" s="72" t="n"/>
      <c r="C286" s="80" t="n">
        <v>43678</v>
      </c>
      <c r="D286" s="74" t="inlineStr">
        <is>
          <t>“Construction markets remain busy. Projects that were delayed are trying to get back on track.” (Real Estate, Rental &amp; Leasing)</t>
        </is>
      </c>
    </row>
    <row r="287">
      <c r="B287" s="72" t="n"/>
      <c r="C287" s="80" t="n">
        <v>43525</v>
      </c>
      <c r="D287" s="74" t="inlineStr">
        <is>
          <t>“April is when our real busy season begins and it has arrived early this year, demand is quite strong.” (Real Estate, Rental &amp; Leasing)</t>
        </is>
      </c>
    </row>
    <row r="288" ht="15" customHeight="1" s="87" thickBot="1">
      <c r="B288" s="76" t="n"/>
      <c r="C288" s="81" t="n">
        <v>43466</v>
      </c>
      <c r="D288" s="82" t="inlineStr">
        <is>
          <t>·         “Order input stable, and supplier deliveries growing. The industry is struggling with capacity constraints.” (Real Estate, Rental &amp; Leasing)</t>
        </is>
      </c>
    </row>
    <row r="289" ht="15" customHeight="1" s="87">
      <c r="B289" s="69" t="inlineStr">
        <is>
          <t>Retail Trade</t>
        </is>
      </c>
      <c r="C289" s="79" t="n">
        <v>44531</v>
      </c>
      <c r="D289" s="71" t="inlineStr">
        <is>
          <t>“Long lead times, transportation bottlenecks, delivery inconsistency and price increases continue to affect a range of products.” [Retail Trade]</t>
        </is>
      </c>
    </row>
    <row r="290">
      <c r="B290" s="72" t="n"/>
      <c r="C290" s="80" t="n">
        <v>44501</v>
      </c>
      <c r="D290" s="74" t="inlineStr">
        <is>
          <t>“Continuing struggle with transportation capacity.” [Retail Trade]</t>
        </is>
      </c>
    </row>
    <row r="291">
      <c r="B291" s="72" t="n"/>
      <c r="C291" s="80" t="n">
        <v>44440</v>
      </c>
      <c r="D291" s="74" t="inlineStr">
        <is>
          <t>“Still experiencing very strong demand. Supply chain is still a challenge.” [Retail Trade]</t>
        </is>
      </c>
    </row>
    <row r="292">
      <c r="B292" s="72" t="n"/>
      <c r="C292" s="80" t="n">
        <v>44409</v>
      </c>
      <c r="D292" s="74"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293">
      <c r="B293" s="72" t="n"/>
      <c r="C293" s="80" t="n">
        <v>44378</v>
      </c>
      <c r="D293" s="74"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294">
      <c r="B294" s="72" t="n"/>
      <c r="C294" s="80" t="n">
        <v>44348</v>
      </c>
      <c r="D294" s="74"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295">
      <c r="B295" s="72" t="n"/>
      <c r="C295" s="80" t="n">
        <v>44317</v>
      </c>
      <c r="D295" s="74" t="inlineStr">
        <is>
          <t>Very concerned about the rapid and continuing price escalations for any products with copper, steel, and polyvinyl chloride (PVC). Production issues and lead-time extensions are not improving. [Retail Trade]</t>
        </is>
      </c>
    </row>
    <row r="296">
      <c r="B296" s="72" t="n"/>
      <c r="C296" s="80" t="n">
        <v>44256</v>
      </c>
      <c r="D296" s="74" t="inlineStr">
        <is>
          <t>“Outlook remains cautiously optimistic for the second half of the year as businesses continue to open up and projects come online.” (Retail Trade)</t>
        </is>
      </c>
    </row>
    <row r="297">
      <c r="B297" s="72" t="n"/>
      <c r="C297" s="80" t="n">
        <v>44228</v>
      </c>
      <c r="D297" s="74" t="inlineStr">
        <is>
          <t>“Supplier deliveries continue to be an issue as well as lead-times. Additionally, price increases are occurring with more frequency for products containing raw materials such as copper and steel.” (Retail Trade)</t>
        </is>
      </c>
    </row>
    <row r="298">
      <c r="B298" s="72" t="n"/>
      <c r="C298" s="80" t="n">
        <v>44197</v>
      </c>
      <c r="D298" s="74" t="inlineStr">
        <is>
          <t>“Business outlook for 2021 looks better. Companies are optimistic that conditions will start improving by the end of the second quarter.” (Retail Trade)</t>
        </is>
      </c>
    </row>
    <row r="299">
      <c r="B299" s="72" t="n"/>
      <c r="C299" s="80" t="n">
        <v>44136</v>
      </c>
      <c r="D299" s="74"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00">
      <c r="B300" s="72" t="n"/>
      <c r="C300" s="80" t="n">
        <v>44105</v>
      </c>
      <c r="D300" s="74" t="inlineStr">
        <is>
          <t>“We continue to be cautiously optimistic that the rebound in business that began in July continues to sustain.” (Retail Trade)</t>
        </is>
      </c>
    </row>
    <row r="301">
      <c r="B301" s="72" t="n"/>
      <c r="C301" s="80" t="n">
        <v>44075</v>
      </c>
      <c r="D301" s="74"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02">
      <c r="B302" s="72" t="n"/>
      <c r="C302" s="80" t="n">
        <v>44044</v>
      </c>
      <c r="D302" s="74"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03">
      <c r="B303" s="72" t="n"/>
      <c r="C303" s="80" t="n">
        <v>44013</v>
      </c>
      <c r="D303" s="74"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04">
      <c r="B304" s="72" t="n"/>
      <c r="C304" s="80" t="n">
        <v>43952</v>
      </c>
      <c r="D304" s="74"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05">
      <c r="B305" s="72" t="n"/>
      <c r="C305" s="80" t="n">
        <v>43922</v>
      </c>
      <c r="D305" s="74" t="inlineStr">
        <is>
          <t>“New challenges working from home and getting inventory to the retail locations.” (Retail Trade)</t>
        </is>
      </c>
    </row>
    <row r="306">
      <c r="B306" s="72" t="n"/>
      <c r="C306" s="80" t="n">
        <v>43891</v>
      </c>
      <c r="D306" s="74" t="inlineStr">
        <is>
          <t>“As expected for many industries (whether manufacturing or non-manufacturing), purchasing has slowed as we evaluate the economic climate and prepare for long-term effects.” (Retail Trade)</t>
        </is>
      </c>
    </row>
    <row r="307">
      <c r="B307" s="72" t="n"/>
      <c r="C307" s="80" t="n">
        <v>43862</v>
      </c>
      <c r="D307" s="74" t="inlineStr">
        <is>
          <t>“A post-holiday slow period for retail. Business is strong overall; however, volume and inventories are lower due to the season. Pricing is still in check, with specialty labor the primary price risk.” (Retail Trade)</t>
        </is>
      </c>
    </row>
    <row r="308">
      <c r="B308" s="72" t="n"/>
      <c r="C308" s="80" t="n">
        <v>43800</v>
      </c>
      <c r="D308" s="74" t="inlineStr">
        <is>
          <t>"The shorter-than-normal holiday season tightens sales opportunities; however, initial trends have been favorable." (Retail Trade)</t>
        </is>
      </c>
    </row>
    <row r="309">
      <c r="B309" s="72" t="n"/>
      <c r="C309" s="80" t="n">
        <v>43709</v>
      </c>
      <c r="D309" s="74" t="inlineStr">
        <is>
          <t>“Business continues to pick up as we quickly approach Q4. Week by week, we inch closer to a much-anticipated holiday retail season, which requires not only last-minute buys, but a push to fill open positions.” (Retail Trade)</t>
        </is>
      </c>
    </row>
    <row r="310">
      <c r="B310" s="72" t="n"/>
      <c r="C310" s="80" t="n">
        <v>43678</v>
      </c>
      <c r="D310" s="74" t="inlineStr">
        <is>
          <t>“As Q2 wraps up for many retailers, we begin focusing on holiday readiness. In turn, head count and requests for additional products and services will gradually increase.” (Retail Trade)</t>
        </is>
      </c>
    </row>
    <row r="311">
      <c r="B311" s="72" t="n"/>
      <c r="C311" s="80" t="n">
        <v>43647</v>
      </c>
      <c r="D311" s="74"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12">
      <c r="B312" s="72" t="n"/>
      <c r="C312" s="80" t="n">
        <v>43617</v>
      </c>
      <c r="D312" s="74" t="inlineStr">
        <is>
          <t>“The largest business condition impacting general purchasing operations is the increased cost of goods due to the tariffs placed on China.” (Retail Trade)</t>
        </is>
      </c>
    </row>
    <row r="313">
      <c r="B313" s="72" t="n"/>
      <c r="C313" s="80" t="n">
        <v>43586</v>
      </c>
      <c r="D313" s="74" t="inlineStr">
        <is>
          <t>“We reported very strong Q1 results and raised our FY guidance. However, our stock has traded down due to the continued uncertainty in healthcare/Rx. There is a concern that tariffs on pharmaceuticals could be on the horizon.” (Retail Trade)</t>
        </is>
      </c>
    </row>
    <row r="314">
      <c r="B314" s="72" t="n"/>
      <c r="C314" s="80" t="n">
        <v>43556</v>
      </c>
      <c r="D314" s="75" t="inlineStr">
        <is>
          <t>·         “Continuing momentum in most areas. We continue to have pressure finding talent to support open positions. Starting to see increases in building costs due to increases in labor [costs]. Inventory moving well, with deliveries on time.” (Retail Trade)</t>
        </is>
      </c>
    </row>
    <row r="315">
      <c r="B315" s="72" t="n"/>
      <c r="C315" s="80" t="n">
        <v>43497</v>
      </c>
      <c r="D315" s="74" t="inlineStr">
        <is>
          <t>“Confidence is returning in the marketplace, but tariff surcharges are still in place.” (Retail Trade)</t>
        </is>
      </c>
    </row>
    <row r="316" ht="15" customHeight="1" s="87" thickBot="1">
      <c r="B316" s="76" t="n"/>
      <c r="C316" s="81" t="n">
        <v>43466</v>
      </c>
      <c r="D316" s="82" t="inlineStr">
        <is>
          <t>·         “Things are steady. We’re trying to mitigate any impact of the tariffs.” (Retail Trade)</t>
        </is>
      </c>
    </row>
    <row r="317" ht="30" customHeight="1" s="87">
      <c r="B317" s="69" t="inlineStr">
        <is>
          <t>Transportation &amp; Warehousing</t>
        </is>
      </c>
      <c r="C317" s="79" t="n">
        <v>44501</v>
      </c>
      <c r="D317" s="71"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18">
      <c r="B318" s="72" t="n"/>
      <c r="C318" s="80" t="n">
        <v>44348</v>
      </c>
      <c r="D318" s="74" t="inlineStr">
        <is>
          <t>“Demand far outweighs supply for goods and services.” [Transportation &amp; Warehousing]</t>
        </is>
      </c>
    </row>
    <row r="319">
      <c r="B319" s="72" t="n"/>
      <c r="C319" s="80" t="n">
        <v>44348</v>
      </c>
      <c r="D319" s="74" t="inlineStr">
        <is>
          <t>Labor market remains tight, and wages have risen at an unprecedented rate. We are expecting a long-term effect on pricing of services. [Transportation &amp; Warehousing]</t>
        </is>
      </c>
    </row>
    <row r="320">
      <c r="B320" s="72" t="n"/>
      <c r="C320" s="80" t="n">
        <v>44166</v>
      </c>
      <c r="D320" s="74" t="inlineStr">
        <is>
          <t>Business conditions are improving with increased volume, but [growth has] slowed slightly due to COVID-19 shutdowns in some states. (Transportation &amp; Warehousing)</t>
        </is>
      </c>
    </row>
    <row r="321">
      <c r="B321" s="72" t="n"/>
      <c r="C321" s="80" t="n">
        <v>43862</v>
      </c>
      <c r="D321" s="74" t="inlineStr">
        <is>
          <t>“A shortage of workers at several levels is impacting the quality of employees we are looking to hire for capital projects we need to start.” (Transportation &amp; Warehousing</t>
        </is>
      </c>
    </row>
    <row r="322">
      <c r="B322" s="72" t="n"/>
      <c r="C322" s="80" t="n">
        <v>43770</v>
      </c>
      <c r="D322" s="74" t="inlineStr">
        <is>
          <t>“Fourth-quarter seasonal retail volume increase is affecting labor hours, temporary labor demand and availability of short-term rental trailers to compensate for overflow.” (Transportation &amp; Warehousing)</t>
        </is>
      </c>
    </row>
    <row r="323">
      <c r="B323" s="72" t="n"/>
      <c r="C323" s="80" t="n">
        <v>43739</v>
      </c>
      <c r="D323" s="74" t="inlineStr">
        <is>
          <t>“Preparing for an increase in holiday revenues.” (Transportation &amp; Warehousing)</t>
        </is>
      </c>
    </row>
    <row r="324">
      <c r="B324" s="72" t="n"/>
      <c r="C324" s="80" t="n">
        <v>43678</v>
      </c>
      <c r="D324" s="74" t="inlineStr">
        <is>
          <t>“Our summer load factor was high, and as we transition to the holiday season, we are forecasting a high load as well.” (Transportation &amp; Warehousing)</t>
        </is>
      </c>
    </row>
    <row r="325">
      <c r="B325" s="72" t="n"/>
      <c r="C325" s="80" t="n">
        <v>43617</v>
      </c>
      <c r="D325" s="74" t="inlineStr">
        <is>
          <t>“Business continues to run well, [with] indications of slowing customer demand and improvement in supplier delivery performance.” (Transportation &amp; Warehousing)</t>
        </is>
      </c>
    </row>
    <row r="326">
      <c r="B326" s="72" t="n"/>
      <c r="C326" s="80" t="n">
        <v>43525</v>
      </c>
      <c r="D326" s="74" t="inlineStr">
        <is>
          <t>“Labor, weather and regulatory issues have impacted operations.” (Transportation &amp; Warehousing)</t>
        </is>
      </c>
    </row>
    <row r="327" ht="15" customHeight="1" s="87" thickBot="1">
      <c r="B327" s="76" t="n"/>
      <c r="C327" s="81" t="n">
        <v>43466</v>
      </c>
      <c r="D327" s="82" t="inlineStr">
        <is>
          <t>·         “Central processing unit (CPU) shortages continue to impact fulfillment of orders.” (Transportation &amp; Warehousing)</t>
        </is>
      </c>
    </row>
    <row r="328" ht="15" customHeight="1" s="87">
      <c r="B328" s="69" t="inlineStr">
        <is>
          <t>Utilities</t>
        </is>
      </c>
      <c r="C328" s="79" t="n">
        <v>44531</v>
      </c>
      <c r="D328" s="71"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is>
      </c>
    </row>
    <row r="329">
      <c r="B329" s="72" t="n"/>
      <c r="C329" s="80" t="n">
        <v>44287</v>
      </c>
      <c r="D329" s="74"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30">
      <c r="B330" s="72" t="n"/>
      <c r="C330" s="80" t="n">
        <v>44287</v>
      </c>
      <c r="D330" s="74" t="inlineStr">
        <is>
          <t>Business optimism is high. Orders are picking up, and there is a strong demand for capital investments. (Utilities)</t>
        </is>
      </c>
    </row>
    <row r="331">
      <c r="B331" s="72" t="n"/>
      <c r="C331" s="80" t="n">
        <v>44228</v>
      </c>
      <c r="D331" s="74" t="inlineStr">
        <is>
          <t>“Construction and customer activity remains robust. Many materials have inconsistent lead times or are facing delivery delays.” (Utilities)</t>
        </is>
      </c>
    </row>
    <row r="332">
      <c r="B332" s="72" t="n"/>
      <c r="C332" s="80" t="n">
        <v>44197</v>
      </c>
      <c r="D332" s="74" t="inlineStr">
        <is>
          <t>“Business outlook for 2021 is positive with projects and capital investments moving forward. Target financial objectives have been obtained.” (Utilities)</t>
        </is>
      </c>
    </row>
    <row r="333">
      <c r="B333" s="72" t="n"/>
      <c r="C333" s="80" t="n">
        <v>44166</v>
      </c>
      <c r="D333" s="74" t="inlineStr">
        <is>
          <t>The general business conditions are steady/stable. Expecting a very slight slowdown to end the year, with a rebound in mid-January. (Utilities)</t>
        </is>
      </c>
    </row>
    <row r="334">
      <c r="B334" s="72" t="n"/>
      <c r="C334" s="80" t="n">
        <v>44013</v>
      </c>
      <c r="D334" s="74" t="inlineStr">
        <is>
          <t>"Orders and business activity are back to pre-pandemic levels. Previously stalled projects are starting back up." (Utilities)</t>
        </is>
      </c>
    </row>
    <row r="335">
      <c r="B335" s="72" t="n"/>
      <c r="C335" s="80" t="n">
        <v>43800</v>
      </c>
      <c r="D335" s="74" t="inlineStr">
        <is>
          <t>"We are seeing extended lead times for already purchased materials across the board. Suppliers, as well, are warning that they are seeing longer lead times for engineered and manufactured goods." (Utilities)</t>
        </is>
      </c>
    </row>
    <row r="336">
      <c r="B336" s="72" t="n"/>
      <c r="C336" s="80" t="n">
        <v>43586</v>
      </c>
      <c r="D336" s="74" t="inlineStr">
        <is>
          <t>“Waiting to see [the] impact of Chinese import tariff affect.” (Utilities)</t>
        </is>
      </c>
    </row>
    <row r="337" ht="15" customHeight="1" s="87" thickBot="1">
      <c r="B337" s="76" t="n"/>
      <c r="C337" s="81" t="n">
        <v>43497</v>
      </c>
      <c r="D337" s="78" t="inlineStr">
        <is>
          <t>“Tariffs continue to have an impact on our business. The contractor labor shortage continues to be the biggest supply challenge for our company and others in our region and industry.” (Utilities)</t>
        </is>
      </c>
    </row>
    <row r="338" ht="15" customHeight="1" s="87">
      <c r="B338" s="69" t="inlineStr">
        <is>
          <t>Wholesale Trade</t>
        </is>
      </c>
      <c r="C338" s="79" t="n">
        <v>44531</v>
      </c>
      <c r="D338" s="71" t="inlineStr">
        <is>
          <t>“Demand is good, but supply chain issues continue to get worse. Trucking availability is worsening. Labor shortages are causing issues. We could do much more business if we had more people and access to more products.” [Wholesale Trade]</t>
        </is>
      </c>
    </row>
    <row r="339">
      <c r="B339" s="72" t="n"/>
      <c r="C339" s="80" t="n">
        <v>44501</v>
      </c>
      <c r="D339" s="74" t="inlineStr">
        <is>
          <t>“Inflation and supply chain issues have caused cost increases and stockouts, but sales continue to be strong, with a positive outlook for the next quarter and beyond.” [Wholesale Trade]</t>
        </is>
      </c>
    </row>
    <row r="340">
      <c r="B340" s="72" t="n"/>
      <c r="C340" s="80" t="n">
        <v>44470</v>
      </c>
      <c r="D340" s="74"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41">
      <c r="B341" s="72" t="n"/>
      <c r="C341" s="80" t="n">
        <v>44440</v>
      </c>
      <c r="D341" s="74"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42">
      <c r="B342" s="72" t="n"/>
      <c r="C342" s="80" t="n">
        <v>44409</v>
      </c>
      <c r="D342" s="74" t="inlineStr">
        <is>
          <t>Steel shortages continue. Labor constraints at suppliers continue to push delivery dates out. Logistics issues (are also ongoing), as container space, truck drivers and the like remain difficult to obtain. [Wholesale Trade]</t>
        </is>
      </c>
    </row>
    <row r="343">
      <c r="B343" s="72" t="n"/>
      <c r="C343" s="80" t="n">
        <v>44378</v>
      </c>
      <c r="D343" s="74"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44">
      <c r="B344" s="72" t="n"/>
      <c r="C344" s="80" t="n">
        <v>44348</v>
      </c>
      <c r="D344" s="74"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45">
      <c r="B345" s="72" t="n"/>
      <c r="C345" s="80" t="n">
        <v>44317</v>
      </c>
      <c r="D345" s="74"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46">
      <c r="B346" s="72" t="n"/>
      <c r="C346" s="80" t="n">
        <v>44287</v>
      </c>
      <c r="D346" s="74" t="inlineStr">
        <is>
          <t>Business is very robust, but logistics and supply cannot keep up. (Wholesale Trade)</t>
        </is>
      </c>
    </row>
    <row r="347">
      <c r="B347" s="72" t="n"/>
      <c r="C347" s="80" t="n">
        <v>44256</v>
      </c>
      <c r="D347" s="74"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48">
      <c r="B348" s="72" t="n"/>
      <c r="C348" s="80" t="n">
        <v>44228</v>
      </c>
      <c r="D348" s="74" t="inlineStr">
        <is>
          <t>“We are seeing an ongoing influx of price increases due to raw-material shortages, labor shortages, and transportation delays.” (Wholesale Trade)</t>
        </is>
      </c>
    </row>
    <row r="349">
      <c r="B349" s="72" t="n"/>
      <c r="C349" s="80" t="n">
        <v>44197</v>
      </c>
      <c r="D349" s="74"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50">
      <c r="B350" s="72" t="n"/>
      <c r="C350" s="80" t="n">
        <v>44166</v>
      </c>
      <c r="D350" s="74" t="inlineStr">
        <is>
          <t>"We have seen a growing number of product shortages and increased lead times during the last quarter. (Wholesale Trade)</t>
        </is>
      </c>
    </row>
    <row r="351">
      <c r="B351" s="72" t="n"/>
      <c r="C351" s="80" t="n">
        <v>44105</v>
      </c>
      <c r="D351" s="74" t="inlineStr">
        <is>
          <t>“Business continues to gain as people are travelling and businesses are opening up to consumers.” (Wholesale Trade)</t>
        </is>
      </c>
    </row>
    <row r="352">
      <c r="B352" s="72" t="n"/>
      <c r="C352" s="80" t="n">
        <v>44044</v>
      </c>
      <c r="D352" s="74" t="inlineStr">
        <is>
          <t>“Very good sales trend in home-improvement product sales, but challenges on market conditions exist like limited ocean capacity from Asia to U.S., delays in port and rails as a result of COVID-19 pandemic impact.” (Wholesale Trade)</t>
        </is>
      </c>
    </row>
    <row r="353">
      <c r="B353" s="72" t="n"/>
      <c r="C353" s="80" t="n">
        <v>44044</v>
      </c>
      <c r="D353" s="74" t="inlineStr">
        <is>
          <t>“We are significantly down from the pre-COVID-19 level. While month-over-month business activity is picking up, the pace is very slow and very slight.” (Wholesale Trade)</t>
        </is>
      </c>
    </row>
    <row r="354">
      <c r="B354" s="72" t="n"/>
      <c r="C354" s="80" t="n">
        <v>43952</v>
      </c>
      <c r="D354" s="74" t="inlineStr">
        <is>
          <t>“Business is slightly picking up but is still drastically down due to COVID-19 and hospitality businesses being closed or limited in service.” (Wholesale Trade)</t>
        </is>
      </c>
    </row>
    <row r="355">
      <c r="B355" s="72" t="n"/>
      <c r="C355" s="80" t="n">
        <v>43922</v>
      </c>
      <c r="D355" s="74"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56">
      <c r="B356" s="72" t="n"/>
      <c r="C356" s="80" t="n">
        <v>43831</v>
      </c>
      <c r="D356" s="74"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57">
      <c r="B357" s="72" t="n"/>
      <c r="C357" s="80" t="n">
        <v>43800</v>
      </c>
      <c r="D357" s="74" t="inlineStr">
        <is>
          <t>"Overall business is down from this time last year, but sales have increased over the last month, causing more buys with our suppliers." (Wholesale Trade)</t>
        </is>
      </c>
    </row>
    <row r="358">
      <c r="B358" s="72" t="n"/>
      <c r="C358" s="80" t="n">
        <v>43739</v>
      </c>
      <c r="D358" s="74" t="inlineStr">
        <is>
          <t>"Business is still lower than this time last year due to tariff issues and a soft market.” (Wholesale Trade)</t>
        </is>
      </c>
    </row>
    <row r="359">
      <c r="B359" s="72" t="n"/>
      <c r="C359" s="80" t="n">
        <v>43647</v>
      </c>
      <c r="D359" s="74" t="inlineStr">
        <is>
          <t>“Business is somewhat slow for the first half of 2019, but it is expected to pick up for the second half.” (Wholesale Trade)</t>
        </is>
      </c>
    </row>
    <row r="360">
      <c r="B360" s="72" t="n"/>
      <c r="C360" s="80" t="n">
        <v>43617</v>
      </c>
      <c r="D360" s="74" t="inlineStr">
        <is>
          <t>“The continued restructuring of ocean-carrier routing is still causing havoc in the supply chain. We are experiencing minimal impact due to an increase in inventory levels.” (Wholesale Trade)</t>
        </is>
      </c>
    </row>
    <row r="361">
      <c r="B361" s="72" t="n"/>
      <c r="C361" s="80" t="n">
        <v>43556</v>
      </c>
      <c r="D361" s="75" t="inlineStr">
        <is>
          <t>·         “We had a general slowing of business activity beginning in February. We initially believed that February’s slowness was primarily weather related, but the slowness continued into March and now April.” (Wholesale Trade)</t>
        </is>
      </c>
    </row>
    <row r="362">
      <c r="B362" s="72" t="n"/>
      <c r="C362" s="80" t="n">
        <v>43497</v>
      </c>
      <c r="D362" s="74" t="inlineStr">
        <is>
          <t>“Seeing increases in business activity. Projecting strong sales for the month, stable prices and generally good fill rates from suppliers. Some spot outages, mostly due to capacity and planning limitations or shortfalls.” (Wholesale Trade)</t>
        </is>
      </c>
    </row>
    <row r="363" ht="15" customHeight="1" s="87" thickBot="1">
      <c r="B363" s="76" t="n"/>
      <c r="C363" s="81" t="n">
        <v>43466</v>
      </c>
      <c r="D363" s="82" t="inlineStr">
        <is>
          <t>·         “The shutdown and potential delay in tax refunds will hurt our business.” (Wholesale Trade)</t>
        </is>
      </c>
    </row>
  </sheetData>
  <autoFilter ref="B2:D363"/>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2022-01-29T03:18:25Z</dcterms:modified>
  <cp:lastModifiedBy>Mark Mukherjee</cp:lastModifiedBy>
</cp:coreProperties>
</file>