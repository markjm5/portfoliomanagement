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8724C887-6A68-40E6-A5EE-27CDB3102F47}" xr6:coauthVersionLast="47" xr6:coauthVersionMax="47" xr10:uidLastSave="{00000000-0000-0000-0000-000000000000}"/>
  <bookViews>
    <workbookView xWindow="-19455" yWindow="-21600" windowWidth="43410" windowHeight="216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0" i="13" l="1"/>
  <c r="B310" i="12"/>
  <c r="C310" i="12"/>
  <c r="D310" i="12"/>
  <c r="E310" i="12"/>
  <c r="B310" i="10"/>
  <c r="C310" i="10"/>
  <c r="D310" i="10"/>
  <c r="E310" i="10"/>
  <c r="F310" i="10"/>
  <c r="G310" i="10"/>
  <c r="H310" i="10"/>
  <c r="I310" i="10"/>
  <c r="J310" i="10"/>
  <c r="K310" i="10"/>
  <c r="L310" i="10"/>
  <c r="AM51" i="9"/>
  <c r="AN51" i="9"/>
  <c r="AO51" i="9"/>
  <c r="AM52" i="9"/>
  <c r="AN52" i="9"/>
  <c r="AO52" i="9"/>
  <c r="AM53" i="9"/>
  <c r="AN53" i="9"/>
  <c r="AO53" i="9"/>
  <c r="AM54" i="9"/>
  <c r="AN54" i="9"/>
  <c r="AO54" i="9"/>
  <c r="AM55" i="9"/>
  <c r="AN55" i="9"/>
  <c r="AO55" i="9"/>
  <c r="AM56" i="9"/>
  <c r="AN56" i="9"/>
  <c r="AO56" i="9"/>
  <c r="AM57" i="9"/>
  <c r="AN57" i="9"/>
  <c r="AO57" i="9"/>
  <c r="AM58" i="9"/>
  <c r="AN58" i="9"/>
  <c r="AO58" i="9"/>
  <c r="AM59" i="9"/>
  <c r="AN59" i="9"/>
  <c r="AO59" i="9"/>
  <c r="AM60" i="9"/>
  <c r="AN60" i="9"/>
  <c r="AO60" i="9"/>
  <c r="AM61" i="9"/>
  <c r="AN61" i="9"/>
  <c r="AO61" i="9"/>
  <c r="AM62" i="9"/>
  <c r="AN62" i="9"/>
  <c r="AO62" i="9"/>
  <c r="AM63" i="9"/>
  <c r="AN63" i="9"/>
  <c r="AO63" i="9"/>
  <c r="AM64" i="9"/>
  <c r="AN64" i="9"/>
  <c r="AO64" i="9"/>
  <c r="AM65" i="9"/>
  <c r="AN65" i="9"/>
  <c r="AO65" i="9"/>
  <c r="AM66" i="9"/>
  <c r="AN66" i="9"/>
  <c r="AO66" i="9"/>
  <c r="AM67" i="9"/>
  <c r="AN67" i="9"/>
  <c r="AO67" i="9"/>
  <c r="AM29" i="9"/>
  <c r="AN29" i="9"/>
  <c r="AO29" i="9"/>
  <c r="AM30" i="9"/>
  <c r="AN30" i="9"/>
  <c r="AO30" i="9"/>
  <c r="AM31" i="9"/>
  <c r="AN31" i="9"/>
  <c r="AO31" i="9"/>
  <c r="AM32" i="9"/>
  <c r="AN32" i="9"/>
  <c r="AO32" i="9"/>
  <c r="AM33" i="9"/>
  <c r="AN33" i="9"/>
  <c r="AO33" i="9"/>
  <c r="AM34" i="9"/>
  <c r="AN34" i="9"/>
  <c r="AO34" i="9"/>
  <c r="AM35" i="9"/>
  <c r="AN35" i="9"/>
  <c r="AO35" i="9"/>
  <c r="AM36" i="9"/>
  <c r="AN36" i="9"/>
  <c r="AO36" i="9"/>
  <c r="AM37" i="9"/>
  <c r="AN37" i="9"/>
  <c r="AO37" i="9"/>
  <c r="AM38" i="9"/>
  <c r="AN38" i="9"/>
  <c r="AO38" i="9"/>
  <c r="AM39" i="9"/>
  <c r="AN39" i="9"/>
  <c r="AO39" i="9"/>
  <c r="AM40" i="9"/>
  <c r="AN40" i="9"/>
  <c r="AO40" i="9"/>
  <c r="AM41" i="9"/>
  <c r="AN41" i="9"/>
  <c r="AO41" i="9"/>
  <c r="AM42" i="9"/>
  <c r="AN42" i="9"/>
  <c r="AO42" i="9"/>
  <c r="AM43" i="9"/>
  <c r="AN43" i="9"/>
  <c r="AO43" i="9"/>
  <c r="AM44" i="9"/>
  <c r="AN44" i="9"/>
  <c r="AO44" i="9"/>
  <c r="AM45" i="9"/>
  <c r="AN45" i="9"/>
  <c r="AO45" i="9"/>
  <c r="AM7" i="9"/>
  <c r="AN7" i="9"/>
  <c r="AO7" i="9"/>
  <c r="AM8" i="9"/>
  <c r="AN8" i="9"/>
  <c r="AO8" i="9"/>
  <c r="AM9" i="9"/>
  <c r="AN9" i="9"/>
  <c r="AO9" i="9"/>
  <c r="AM10" i="9"/>
  <c r="AN10" i="9"/>
  <c r="AO10" i="9"/>
  <c r="AM11" i="9"/>
  <c r="AN11" i="9"/>
  <c r="AO11" i="9"/>
  <c r="AM12" i="9"/>
  <c r="AN12" i="9"/>
  <c r="AO12" i="9"/>
  <c r="AM13" i="9"/>
  <c r="AN13" i="9"/>
  <c r="AO13" i="9"/>
  <c r="AM14" i="9"/>
  <c r="AN14" i="9"/>
  <c r="AO14" i="9"/>
  <c r="AM15" i="9"/>
  <c r="AN15" i="9"/>
  <c r="AO15" i="9"/>
  <c r="AM16" i="9"/>
  <c r="AN16" i="9"/>
  <c r="AO16" i="9"/>
  <c r="AM17" i="9"/>
  <c r="AN17" i="9"/>
  <c r="AO17" i="9"/>
  <c r="AM18" i="9"/>
  <c r="AN18" i="9"/>
  <c r="AO18" i="9"/>
  <c r="AM19" i="9"/>
  <c r="AN19" i="9"/>
  <c r="AO19" i="9"/>
  <c r="AM20" i="9"/>
  <c r="AN20" i="9"/>
  <c r="AO20" i="9"/>
  <c r="AM21" i="9"/>
  <c r="AN21" i="9"/>
  <c r="AO21" i="9"/>
  <c r="AM22" i="9"/>
  <c r="AN22" i="9"/>
  <c r="AO22" i="9"/>
  <c r="AM23" i="9"/>
  <c r="AN23" i="9"/>
  <c r="AO23" i="9"/>
  <c r="AO50" i="9"/>
  <c r="AO28" i="9"/>
  <c r="AO6" i="9"/>
  <c r="AN50" i="9"/>
  <c r="AN28" i="9"/>
  <c r="AN6" i="9"/>
  <c r="AM50" i="9"/>
  <c r="AM28" i="9"/>
  <c r="AM6" i="9"/>
  <c r="AK6" i="9"/>
  <c r="AK7" i="9"/>
  <c r="AK8" i="9"/>
  <c r="AK9" i="9"/>
  <c r="AK10" i="9"/>
  <c r="AK11" i="9"/>
  <c r="AK12" i="9"/>
  <c r="AK13" i="9"/>
  <c r="AK14" i="9"/>
  <c r="AK15" i="9"/>
  <c r="AK16" i="9"/>
  <c r="AK17" i="9"/>
  <c r="AK18" i="9"/>
  <c r="AK19" i="9"/>
  <c r="AK20" i="9"/>
  <c r="AK21" i="9"/>
  <c r="AK22" i="9"/>
  <c r="AK23" i="9"/>
  <c r="AK28" i="9"/>
  <c r="AK29" i="9"/>
  <c r="AK30" i="9"/>
  <c r="AK31" i="9"/>
  <c r="AK32" i="9"/>
  <c r="AK33" i="9"/>
  <c r="AK34" i="9"/>
  <c r="AK35" i="9"/>
  <c r="AK36" i="9"/>
  <c r="AK37" i="9"/>
  <c r="AK38" i="9"/>
  <c r="AK39" i="9"/>
  <c r="AK40" i="9"/>
  <c r="AK41" i="9"/>
  <c r="AK42" i="9"/>
  <c r="AK43" i="9"/>
  <c r="AK44" i="9"/>
  <c r="AK45" i="9"/>
  <c r="AK50" i="9"/>
  <c r="AK51" i="9"/>
  <c r="AK52" i="9"/>
  <c r="AK53" i="9"/>
  <c r="AK54" i="9"/>
  <c r="AK55" i="9"/>
  <c r="AK56" i="9"/>
  <c r="AK57" i="9"/>
  <c r="AK58" i="9"/>
  <c r="AK59" i="9"/>
  <c r="AK60" i="9"/>
  <c r="AK61" i="9"/>
  <c r="AK62" i="9"/>
  <c r="AK63" i="9"/>
  <c r="AK64" i="9"/>
  <c r="AK65" i="9"/>
  <c r="AK66" i="9"/>
  <c r="AK67" i="9"/>
  <c r="B309" i="13"/>
  <c r="C310" i="13" s="1"/>
  <c r="C308" i="13"/>
  <c r="B308" i="13"/>
  <c r="B307" i="13"/>
  <c r="B306" i="13"/>
  <c r="C307" i="13" s="1"/>
  <c r="B305" i="13"/>
  <c r="C306" i="13" s="1"/>
  <c r="B304" i="13"/>
  <c r="B303" i="13"/>
  <c r="C302" i="13"/>
  <c r="B302" i="13"/>
  <c r="B301" i="13"/>
  <c r="B300" i="13"/>
  <c r="C301" i="13" s="1"/>
  <c r="B299" i="13"/>
  <c r="B298" i="13"/>
  <c r="B297" i="13"/>
  <c r="B296" i="13"/>
  <c r="B295" i="13"/>
  <c r="C296" i="13" s="1"/>
  <c r="B294" i="13"/>
  <c r="C295" i="13" s="1"/>
  <c r="B293" i="13"/>
  <c r="C293" i="13" s="1"/>
  <c r="B292" i="13"/>
  <c r="B291" i="13"/>
  <c r="B290" i="13"/>
  <c r="C291" i="13" s="1"/>
  <c r="B289" i="13"/>
  <c r="C290" i="13" s="1"/>
  <c r="B288" i="13"/>
  <c r="B287" i="13"/>
  <c r="B286" i="13"/>
  <c r="B285" i="13"/>
  <c r="C284" i="13"/>
  <c r="B284" i="13"/>
  <c r="C285" i="13" s="1"/>
  <c r="B283" i="13"/>
  <c r="B282" i="13"/>
  <c r="B281" i="13"/>
  <c r="B280" i="13"/>
  <c r="B279" i="13"/>
  <c r="C280" i="13" s="1"/>
  <c r="C278" i="13"/>
  <c r="B278" i="13"/>
  <c r="B277" i="13"/>
  <c r="B276" i="13"/>
  <c r="C277" i="13" s="1"/>
  <c r="B275" i="13"/>
  <c r="B274" i="13"/>
  <c r="C275" i="13" s="1"/>
  <c r="B273" i="13"/>
  <c r="C274" i="13" s="1"/>
  <c r="B272" i="13"/>
  <c r="B271" i="13"/>
  <c r="C272" i="13" s="1"/>
  <c r="B270" i="13"/>
  <c r="C271" i="13" s="1"/>
  <c r="B269" i="13"/>
  <c r="B268" i="13"/>
  <c r="B267" i="13"/>
  <c r="B266" i="13"/>
  <c r="B265" i="13"/>
  <c r="C266" i="13" s="1"/>
  <c r="B264" i="13"/>
  <c r="B263" i="13"/>
  <c r="B262" i="13"/>
  <c r="B261" i="13"/>
  <c r="B260" i="13"/>
  <c r="C261" i="13" s="1"/>
  <c r="B259" i="13"/>
  <c r="C260" i="13" s="1"/>
  <c r="B258" i="13"/>
  <c r="B257" i="13"/>
  <c r="B256" i="13"/>
  <c r="C257" i="13" s="1"/>
  <c r="B255" i="13"/>
  <c r="C256" i="13" s="1"/>
  <c r="B254" i="13"/>
  <c r="B253" i="13"/>
  <c r="B252" i="13"/>
  <c r="B251" i="13"/>
  <c r="C252" i="13" s="1"/>
  <c r="B250" i="13"/>
  <c r="B249" i="13"/>
  <c r="C248" i="13"/>
  <c r="B248" i="13"/>
  <c r="B247" i="13"/>
  <c r="B246" i="13"/>
  <c r="C247" i="13" s="1"/>
  <c r="B245" i="13"/>
  <c r="B244" i="13"/>
  <c r="B243" i="13"/>
  <c r="C244" i="13" s="1"/>
  <c r="B242" i="13"/>
  <c r="B241" i="13"/>
  <c r="C242" i="13" s="1"/>
  <c r="B240" i="13"/>
  <c r="C241" i="13" s="1"/>
  <c r="C239" i="13"/>
  <c r="B239" i="13"/>
  <c r="B238" i="13"/>
  <c r="B237" i="13"/>
  <c r="C238" i="13" s="1"/>
  <c r="B236" i="13"/>
  <c r="C237" i="13" s="1"/>
  <c r="B235" i="13"/>
  <c r="C236" i="13" s="1"/>
  <c r="B234" i="13"/>
  <c r="C235" i="13" s="1"/>
  <c r="B233" i="13"/>
  <c r="B232" i="13"/>
  <c r="B231" i="13"/>
  <c r="C232" i="13" s="1"/>
  <c r="C230" i="13"/>
  <c r="B230" i="13"/>
  <c r="C231" i="13" s="1"/>
  <c r="B229" i="13"/>
  <c r="B228" i="13"/>
  <c r="B227" i="13"/>
  <c r="B226" i="13"/>
  <c r="B225" i="13"/>
  <c r="C226" i="13" s="1"/>
  <c r="B224" i="13"/>
  <c r="B223" i="13"/>
  <c r="B222" i="13"/>
  <c r="B221" i="13"/>
  <c r="B220" i="13"/>
  <c r="C221" i="13" s="1"/>
  <c r="B219" i="13"/>
  <c r="B218" i="13"/>
  <c r="B217" i="13"/>
  <c r="C218" i="13" s="1"/>
  <c r="B216" i="13"/>
  <c r="C217" i="13" s="1"/>
  <c r="B215" i="13"/>
  <c r="B214" i="13"/>
  <c r="B213" i="13"/>
  <c r="B212" i="13"/>
  <c r="C213" i="13" s="1"/>
  <c r="B211" i="13"/>
  <c r="C212" i="13" s="1"/>
  <c r="B210" i="13"/>
  <c r="B209" i="13"/>
  <c r="B208" i="13"/>
  <c r="B207" i="13"/>
  <c r="C208" i="13" s="1"/>
  <c r="B206" i="13"/>
  <c r="C207" i="13" s="1"/>
  <c r="B205" i="13"/>
  <c r="C206" i="13" s="1"/>
  <c r="B204" i="13"/>
  <c r="C205" i="13" s="1"/>
  <c r="B203" i="13"/>
  <c r="B202" i="13"/>
  <c r="C203" i="13" s="1"/>
  <c r="B201" i="13"/>
  <c r="C202" i="13" s="1"/>
  <c r="C200" i="13"/>
  <c r="B200" i="13"/>
  <c r="B199" i="13"/>
  <c r="B198" i="13"/>
  <c r="C199" i="13" s="1"/>
  <c r="B197" i="13"/>
  <c r="B196" i="13"/>
  <c r="B195" i="13"/>
  <c r="C194" i="13"/>
  <c r="B194" i="13"/>
  <c r="B193" i="13"/>
  <c r="B192" i="13"/>
  <c r="C193" i="13" s="1"/>
  <c r="B191" i="13"/>
  <c r="B190" i="13"/>
  <c r="B189" i="13"/>
  <c r="B188" i="13"/>
  <c r="B187" i="13"/>
  <c r="C188" i="13" s="1"/>
  <c r="B186" i="13"/>
  <c r="C187" i="13" s="1"/>
  <c r="B185" i="13"/>
  <c r="C185" i="13" s="1"/>
  <c r="B184" i="13"/>
  <c r="B183" i="13"/>
  <c r="B182" i="13"/>
  <c r="C183" i="13" s="1"/>
  <c r="B181" i="13"/>
  <c r="C182" i="13" s="1"/>
  <c r="B180" i="13"/>
  <c r="B179" i="13"/>
  <c r="B178" i="13"/>
  <c r="B177" i="13"/>
  <c r="B176" i="13"/>
  <c r="C177" i="13" s="1"/>
  <c r="B175" i="13"/>
  <c r="B174" i="13"/>
  <c r="C175" i="13" s="1"/>
  <c r="B173" i="13"/>
  <c r="B172" i="13"/>
  <c r="C173" i="13" s="1"/>
  <c r="B171" i="13"/>
  <c r="C172" i="13" s="1"/>
  <c r="B170" i="13"/>
  <c r="B169" i="13"/>
  <c r="B168" i="13"/>
  <c r="B167" i="13"/>
  <c r="C168" i="13" s="1"/>
  <c r="B166" i="13"/>
  <c r="B165" i="13"/>
  <c r="C166" i="13" s="1"/>
  <c r="B164" i="13"/>
  <c r="B163" i="13"/>
  <c r="B162" i="13"/>
  <c r="B161" i="13"/>
  <c r="B160" i="13"/>
  <c r="C161" i="13" s="1"/>
  <c r="B159" i="13"/>
  <c r="B158" i="13"/>
  <c r="B157" i="13"/>
  <c r="B156" i="13"/>
  <c r="C157" i="13" s="1"/>
  <c r="B155" i="13"/>
  <c r="B154" i="13"/>
  <c r="C155" i="13" s="1"/>
  <c r="B153" i="13"/>
  <c r="C154" i="13" s="1"/>
  <c r="B152" i="13"/>
  <c r="B151" i="13"/>
  <c r="B150" i="13"/>
  <c r="C151" i="13" s="1"/>
  <c r="B149" i="13"/>
  <c r="C150" i="13" s="1"/>
  <c r="B148" i="13"/>
  <c r="B147" i="13"/>
  <c r="B146" i="13"/>
  <c r="B145" i="13"/>
  <c r="B144" i="13"/>
  <c r="B143" i="13"/>
  <c r="C144" i="13" s="1"/>
  <c r="B142" i="13"/>
  <c r="B141" i="13"/>
  <c r="C142" i="13" s="1"/>
  <c r="B140" i="13"/>
  <c r="B139" i="13"/>
  <c r="B138" i="13"/>
  <c r="C139" i="13" s="1"/>
  <c r="B137" i="13"/>
  <c r="B136" i="13"/>
  <c r="B135" i="13"/>
  <c r="B134" i="13"/>
  <c r="B133" i="13"/>
  <c r="C134" i="13" s="1"/>
  <c r="B132" i="13"/>
  <c r="B131" i="13"/>
  <c r="B130" i="13"/>
  <c r="B129" i="13"/>
  <c r="C130" i="13" s="1"/>
  <c r="B128" i="13"/>
  <c r="B127" i="13"/>
  <c r="B126" i="13"/>
  <c r="C127" i="13" s="1"/>
  <c r="B125" i="13"/>
  <c r="B124" i="13"/>
  <c r="B123" i="13"/>
  <c r="B122" i="13"/>
  <c r="B121" i="13"/>
  <c r="C122" i="13" s="1"/>
  <c r="B120" i="13"/>
  <c r="B119" i="13"/>
  <c r="B118" i="13"/>
  <c r="B117" i="13"/>
  <c r="C118" i="13" s="1"/>
  <c r="B116" i="13"/>
  <c r="B115" i="13"/>
  <c r="B114" i="13"/>
  <c r="C115" i="13" s="1"/>
  <c r="C113" i="13"/>
  <c r="B113" i="13"/>
  <c r="B112" i="13"/>
  <c r="B111" i="13"/>
  <c r="B110" i="13"/>
  <c r="C111" i="13" s="1"/>
  <c r="B109" i="13"/>
  <c r="C110" i="13" s="1"/>
  <c r="B108" i="13"/>
  <c r="C109" i="13" s="1"/>
  <c r="B107" i="13"/>
  <c r="B106" i="13"/>
  <c r="B105" i="13"/>
  <c r="B104" i="13"/>
  <c r="B103" i="13"/>
  <c r="C104" i="13" s="1"/>
  <c r="B102" i="13"/>
  <c r="C101" i="13"/>
  <c r="B101" i="13"/>
  <c r="B100" i="13"/>
  <c r="B99" i="13"/>
  <c r="C100" i="13" s="1"/>
  <c r="B98" i="13"/>
  <c r="C99" i="13" s="1"/>
  <c r="B97" i="13"/>
  <c r="C98" i="13" s="1"/>
  <c r="B96" i="13"/>
  <c r="B95" i="13"/>
  <c r="C96" i="13" s="1"/>
  <c r="B94" i="13"/>
  <c r="B93" i="13"/>
  <c r="C94" i="13" s="1"/>
  <c r="B92" i="13"/>
  <c r="C93" i="13" s="1"/>
  <c r="B91" i="13"/>
  <c r="B90" i="13"/>
  <c r="C89" i="13"/>
  <c r="B89" i="13"/>
  <c r="B88" i="13"/>
  <c r="B87" i="13"/>
  <c r="C88" i="13" s="1"/>
  <c r="B86" i="13"/>
  <c r="C87" i="13" s="1"/>
  <c r="B85" i="13"/>
  <c r="B84" i="13"/>
  <c r="C85" i="13" s="1"/>
  <c r="B83" i="13"/>
  <c r="B82" i="13"/>
  <c r="C83" i="13" s="1"/>
  <c r="B81" i="13"/>
  <c r="C82" i="13" s="1"/>
  <c r="B80" i="13"/>
  <c r="B79" i="13"/>
  <c r="B78" i="13"/>
  <c r="B77" i="13"/>
  <c r="C78" i="13" s="1"/>
  <c r="B76" i="13"/>
  <c r="B75" i="13"/>
  <c r="C76" i="13" s="1"/>
  <c r="B74" i="13"/>
  <c r="B73" i="13"/>
  <c r="C74" i="13" s="1"/>
  <c r="B72" i="13"/>
  <c r="B71" i="13"/>
  <c r="C72" i="13" s="1"/>
  <c r="B70" i="13"/>
  <c r="B69" i="13"/>
  <c r="C70" i="13" s="1"/>
  <c r="B68" i="13"/>
  <c r="B67" i="13"/>
  <c r="B66" i="13"/>
  <c r="B65" i="13"/>
  <c r="B64" i="13"/>
  <c r="B63" i="13"/>
  <c r="C64" i="13" s="1"/>
  <c r="B62" i="13"/>
  <c r="B61" i="13"/>
  <c r="C62" i="13" s="1"/>
  <c r="B60" i="13"/>
  <c r="B59" i="13"/>
  <c r="B58" i="13"/>
  <c r="B57" i="13"/>
  <c r="C58" i="13" s="1"/>
  <c r="B56" i="13"/>
  <c r="B55" i="13"/>
  <c r="B54" i="13"/>
  <c r="B53" i="13"/>
  <c r="C54" i="13" s="1"/>
  <c r="B52" i="13"/>
  <c r="B51" i="13"/>
  <c r="C52" i="13" s="1"/>
  <c r="B50" i="13"/>
  <c r="B49" i="13"/>
  <c r="C50" i="13" s="1"/>
  <c r="B48" i="13"/>
  <c r="B47" i="13"/>
  <c r="B46" i="13"/>
  <c r="B45" i="13"/>
  <c r="C46" i="13" s="1"/>
  <c r="B44" i="13"/>
  <c r="B43" i="13"/>
  <c r="B42" i="13"/>
  <c r="B41" i="13"/>
  <c r="B40" i="13"/>
  <c r="C41" i="13" s="1"/>
  <c r="B39" i="13"/>
  <c r="B38" i="13"/>
  <c r="C39" i="13" s="1"/>
  <c r="B37" i="13"/>
  <c r="B36" i="13"/>
  <c r="C37" i="13" s="1"/>
  <c r="B35" i="13"/>
  <c r="C36" i="13" s="1"/>
  <c r="B34" i="13"/>
  <c r="B33" i="13"/>
  <c r="B32" i="13"/>
  <c r="B31" i="13"/>
  <c r="B30" i="13"/>
  <c r="B29" i="13"/>
  <c r="B28" i="13"/>
  <c r="C29" i="13" s="1"/>
  <c r="B27" i="13"/>
  <c r="C28" i="13" s="1"/>
  <c r="B26" i="13"/>
  <c r="B25" i="13"/>
  <c r="C26" i="13" s="1"/>
  <c r="B24" i="13"/>
  <c r="C25" i="13" s="1"/>
  <c r="B23" i="13"/>
  <c r="C24" i="13" s="1"/>
  <c r="B22" i="13"/>
  <c r="B21" i="13"/>
  <c r="B20" i="13"/>
  <c r="B19" i="13"/>
  <c r="B18" i="13"/>
  <c r="C19" i="13" s="1"/>
  <c r="C17" i="13"/>
  <c r="B17" i="13"/>
  <c r="C18" i="13" s="1"/>
  <c r="B16" i="13"/>
  <c r="B15" i="13"/>
  <c r="B14" i="13"/>
  <c r="C15" i="13" s="1"/>
  <c r="B13" i="13"/>
  <c r="C14" i="13" s="1"/>
  <c r="B12" i="13"/>
  <c r="C13" i="13" s="1"/>
  <c r="C11" i="13"/>
  <c r="B11" i="13"/>
  <c r="B10" i="13"/>
  <c r="B9" i="13"/>
  <c r="C10" i="13" s="1"/>
  <c r="B8" i="13"/>
  <c r="C9" i="13" s="1"/>
  <c r="B7" i="13"/>
  <c r="C8" i="13" s="1"/>
  <c r="B6" i="13"/>
  <c r="E309" i="12"/>
  <c r="D309" i="12"/>
  <c r="C309" i="12"/>
  <c r="B309" i="12"/>
  <c r="E308" i="12"/>
  <c r="D308" i="12"/>
  <c r="C308" i="12"/>
  <c r="B308" i="12"/>
  <c r="E307" i="12"/>
  <c r="D307" i="12"/>
  <c r="C307" i="12"/>
  <c r="B307" i="12"/>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9" i="10"/>
  <c r="P12" i="1" s="1"/>
  <c r="K309" i="10"/>
  <c r="J309" i="10"/>
  <c r="I309" i="10"/>
  <c r="H309" i="10"/>
  <c r="G309" i="10"/>
  <c r="F309" i="10"/>
  <c r="E309" i="10"/>
  <c r="D309" i="10"/>
  <c r="C309" i="10"/>
  <c r="P14" i="1" s="1"/>
  <c r="B309" i="10"/>
  <c r="P13" i="1" s="1"/>
  <c r="L308" i="10"/>
  <c r="K308" i="10"/>
  <c r="J308" i="10"/>
  <c r="I308" i="10"/>
  <c r="H308" i="10"/>
  <c r="G308" i="10"/>
  <c r="F308" i="10"/>
  <c r="E308" i="10"/>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J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J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J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J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J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A11" i="8"/>
  <c r="U10" i="8"/>
  <c r="U9" i="8" s="1"/>
  <c r="U8" i="8" s="1"/>
  <c r="U7" i="8" s="1"/>
  <c r="U6" i="8" s="1"/>
  <c r="U5" i="8" s="1"/>
  <c r="U4" i="8" s="1"/>
  <c r="L2" i="8"/>
  <c r="V11" i="8" s="1"/>
  <c r="V10" i="8" s="1"/>
  <c r="V9" i="8" s="1"/>
  <c r="V8" i="8" s="1"/>
  <c r="V7" i="8" s="1"/>
  <c r="V6" i="8" s="1"/>
  <c r="V5" i="8" s="1"/>
  <c r="V4" i="8" s="1"/>
  <c r="L1" i="8"/>
  <c r="U11" i="8" s="1"/>
  <c r="U10" i="7"/>
  <c r="U9" i="7" s="1"/>
  <c r="U8" i="7" s="1"/>
  <c r="U7" i="7" s="1"/>
  <c r="U6" i="7" s="1"/>
  <c r="U5" i="7" s="1"/>
  <c r="U4" i="7" s="1"/>
  <c r="L2" i="7"/>
  <c r="V11" i="7" s="1"/>
  <c r="V10" i="7" s="1"/>
  <c r="V9" i="7" s="1"/>
  <c r="V8" i="7" s="1"/>
  <c r="V7" i="7" s="1"/>
  <c r="V6" i="7" s="1"/>
  <c r="V5" i="7" s="1"/>
  <c r="V4" i="7" s="1"/>
  <c r="L1" i="7"/>
  <c r="U11" i="7" s="1"/>
  <c r="V11" i="6"/>
  <c r="V10" i="6" s="1"/>
  <c r="V9" i="6" s="1"/>
  <c r="V8" i="6" s="1"/>
  <c r="V7" i="6" s="1"/>
  <c r="V6" i="6" s="1"/>
  <c r="U11" i="6"/>
  <c r="U10" i="6" s="1"/>
  <c r="U9" i="6" s="1"/>
  <c r="U8" i="6" s="1"/>
  <c r="U7" i="6" s="1"/>
  <c r="U6" i="6" s="1"/>
  <c r="U5" i="6" s="1"/>
  <c r="U4" i="6" s="1"/>
  <c r="A11" i="6"/>
  <c r="A10" i="6"/>
  <c r="V5" i="6"/>
  <c r="V4" i="6" s="1"/>
  <c r="P22" i="1"/>
  <c r="P21" i="1"/>
  <c r="P20" i="1"/>
  <c r="P19" i="1"/>
  <c r="P18" i="1"/>
  <c r="P17" i="1"/>
  <c r="P16" i="1"/>
  <c r="P15" i="1"/>
  <c r="Q10" i="1"/>
  <c r="Q20" i="1" s="1"/>
  <c r="Q16" i="1" l="1"/>
  <c r="R16" i="1" s="1"/>
  <c r="Q12" i="1"/>
  <c r="R12" i="1" s="1"/>
  <c r="C121" i="13"/>
  <c r="C133" i="13"/>
  <c r="C145" i="13"/>
  <c r="C178" i="13"/>
  <c r="C198" i="13"/>
  <c r="C267" i="13"/>
  <c r="C286" i="13"/>
  <c r="C20" i="13"/>
  <c r="C31" i="13"/>
  <c r="C189" i="13"/>
  <c r="C219" i="13"/>
  <c r="C297" i="13"/>
  <c r="C21" i="13"/>
  <c r="C32" i="13"/>
  <c r="C43" i="13"/>
  <c r="C55" i="13"/>
  <c r="C67" i="13"/>
  <c r="C79" i="13"/>
  <c r="C90" i="13"/>
  <c r="C112" i="13"/>
  <c r="C123" i="13"/>
  <c r="C135" i="13"/>
  <c r="C147" i="13"/>
  <c r="C169" i="13"/>
  <c r="C180" i="13"/>
  <c r="C229" i="13"/>
  <c r="C249" i="13"/>
  <c r="C268" i="13"/>
  <c r="C288" i="13"/>
  <c r="C22" i="13"/>
  <c r="C33" i="13"/>
  <c r="C44" i="13"/>
  <c r="C56" i="13"/>
  <c r="C68" i="13"/>
  <c r="C80" i="13"/>
  <c r="C124" i="13"/>
  <c r="C136" i="13"/>
  <c r="C148" i="13"/>
  <c r="C159" i="13"/>
  <c r="C181" i="13"/>
  <c r="C190" i="13"/>
  <c r="C201" i="13"/>
  <c r="C220" i="13"/>
  <c r="C259" i="13"/>
  <c r="C279" i="13"/>
  <c r="C289" i="13"/>
  <c r="C298" i="13"/>
  <c r="C309" i="13"/>
  <c r="C34" i="13"/>
  <c r="C45" i="13"/>
  <c r="C57" i="13"/>
  <c r="C69" i="13"/>
  <c r="C81" i="13"/>
  <c r="C91" i="13"/>
  <c r="C160" i="13"/>
  <c r="C171" i="13"/>
  <c r="C211" i="13"/>
  <c r="C250" i="13"/>
  <c r="C270" i="13"/>
  <c r="C92" i="13"/>
  <c r="C103" i="13"/>
  <c r="C105" i="13"/>
  <c r="C116" i="13"/>
  <c r="C128" i="13"/>
  <c r="C184" i="13"/>
  <c r="C223" i="13"/>
  <c r="C243" i="13"/>
  <c r="C253" i="13"/>
  <c r="C262" i="13"/>
  <c r="C273" i="13"/>
  <c r="C292" i="13"/>
  <c r="C16" i="13"/>
  <c r="C27" i="13"/>
  <c r="C38" i="13"/>
  <c r="C49" i="13"/>
  <c r="C61" i="13"/>
  <c r="C73" i="13"/>
  <c r="C106" i="13"/>
  <c r="C117" i="13"/>
  <c r="C129" i="13"/>
  <c r="C141" i="13"/>
  <c r="C153" i="13"/>
  <c r="C163" i="13"/>
  <c r="C195" i="13"/>
  <c r="C214" i="13"/>
  <c r="C234" i="13"/>
  <c r="C283" i="13"/>
  <c r="C303" i="13"/>
  <c r="C225" i="13"/>
  <c r="C255" i="13"/>
  <c r="C7" i="13"/>
  <c r="C40" i="13"/>
  <c r="C51" i="13"/>
  <c r="C63" i="13"/>
  <c r="C75" i="13"/>
  <c r="C86" i="13"/>
  <c r="C97" i="13"/>
  <c r="C108" i="13"/>
  <c r="C165" i="13"/>
  <c r="C196" i="13"/>
  <c r="C216" i="13"/>
  <c r="C224" i="13"/>
  <c r="C254" i="13"/>
  <c r="C265" i="13"/>
  <c r="C304" i="13"/>
  <c r="R20" i="1"/>
  <c r="A11" i="7"/>
  <c r="M11" i="7" s="1"/>
  <c r="O11" i="6"/>
  <c r="B11" i="6"/>
  <c r="K11" i="6"/>
  <c r="M11" i="6"/>
  <c r="L11" i="6"/>
  <c r="G10" i="6"/>
  <c r="H10" i="6"/>
  <c r="J11" i="6"/>
  <c r="S10" i="6"/>
  <c r="Q11" i="6"/>
  <c r="D11" i="6"/>
  <c r="P11" i="6"/>
  <c r="C11" i="6"/>
  <c r="R11" i="6"/>
  <c r="C10" i="6"/>
  <c r="I11" i="6"/>
  <c r="Q10" i="6"/>
  <c r="P10" i="6"/>
  <c r="O10" i="6"/>
  <c r="H11" i="6"/>
  <c r="F11" i="6"/>
  <c r="E11" i="6"/>
  <c r="F10" i="6"/>
  <c r="D10" i="6"/>
  <c r="E10" i="6"/>
  <c r="O11" i="7"/>
  <c r="N11" i="7"/>
  <c r="O11" i="8"/>
  <c r="N11" i="8"/>
  <c r="M11" i="8"/>
  <c r="L11" i="8"/>
  <c r="K11" i="8"/>
  <c r="C95" i="13"/>
  <c r="C66" i="13"/>
  <c r="C65" i="13"/>
  <c r="D11" i="7"/>
  <c r="Q22" i="1"/>
  <c r="R22" i="1" s="1"/>
  <c r="Q18" i="1"/>
  <c r="R18" i="1" s="1"/>
  <c r="Q14" i="1"/>
  <c r="R14" i="1" s="1"/>
  <c r="Q13" i="1"/>
  <c r="R13" i="1" s="1"/>
  <c r="Q21" i="1"/>
  <c r="R21" i="1" s="1"/>
  <c r="Q19" i="1"/>
  <c r="R19" i="1" s="1"/>
  <c r="Q15" i="1"/>
  <c r="R15" i="1" s="1"/>
  <c r="Q17" i="1"/>
  <c r="R17" i="1" s="1"/>
  <c r="C23" i="13"/>
  <c r="C167" i="13"/>
  <c r="C126" i="13"/>
  <c r="C53" i="13"/>
  <c r="C125" i="13"/>
  <c r="C138" i="13"/>
  <c r="C137" i="13"/>
  <c r="R10" i="6"/>
  <c r="M10" i="6"/>
  <c r="J11" i="7"/>
  <c r="J11" i="8"/>
  <c r="C42" i="13"/>
  <c r="C71" i="13"/>
  <c r="C114" i="13"/>
  <c r="C143" i="13"/>
  <c r="Q11" i="8"/>
  <c r="A9" i="6"/>
  <c r="B10" i="6"/>
  <c r="N10" i="6"/>
  <c r="A10" i="7"/>
  <c r="K11" i="7"/>
  <c r="A10" i="8"/>
  <c r="C12" i="13"/>
  <c r="C84" i="13"/>
  <c r="C156" i="13"/>
  <c r="C186" i="13"/>
  <c r="C204" i="13"/>
  <c r="C222" i="13"/>
  <c r="C240" i="13"/>
  <c r="C258" i="13"/>
  <c r="C276" i="13"/>
  <c r="C294" i="13"/>
  <c r="P11" i="7"/>
  <c r="C35" i="13"/>
  <c r="C107" i="13"/>
  <c r="C179" i="13"/>
  <c r="C197" i="13"/>
  <c r="C215" i="13"/>
  <c r="C233" i="13"/>
  <c r="C251" i="13"/>
  <c r="C269" i="13"/>
  <c r="C287" i="13"/>
  <c r="C305" i="13"/>
  <c r="C48" i="13"/>
  <c r="C77" i="13"/>
  <c r="C120" i="13"/>
  <c r="C149" i="13"/>
  <c r="H11" i="8"/>
  <c r="S11" i="8"/>
  <c r="G11" i="8"/>
  <c r="R11" i="8"/>
  <c r="F11" i="8"/>
  <c r="I10" i="6"/>
  <c r="C11" i="7"/>
  <c r="C11" i="8"/>
  <c r="C47" i="13"/>
  <c r="C119" i="13"/>
  <c r="C162" i="13"/>
  <c r="B11" i="7"/>
  <c r="D11" i="8"/>
  <c r="C60" i="13"/>
  <c r="C132" i="13"/>
  <c r="C192" i="13"/>
  <c r="C210" i="13"/>
  <c r="C228" i="13"/>
  <c r="C246" i="13"/>
  <c r="C264" i="13"/>
  <c r="C282" i="13"/>
  <c r="C300" i="13"/>
  <c r="H11" i="7"/>
  <c r="S11" i="7"/>
  <c r="G11" i="7"/>
  <c r="R11" i="7"/>
  <c r="F11" i="7"/>
  <c r="P11" i="8"/>
  <c r="B11" i="8"/>
  <c r="J10" i="6"/>
  <c r="K10" i="6"/>
  <c r="S11" i="6"/>
  <c r="G11" i="6"/>
  <c r="N11" i="6"/>
  <c r="E11" i="7"/>
  <c r="E11" i="8"/>
  <c r="C30" i="13"/>
  <c r="C59" i="13"/>
  <c r="C102" i="13"/>
  <c r="C131" i="13"/>
  <c r="C174" i="13"/>
  <c r="C191" i="13"/>
  <c r="C209" i="13"/>
  <c r="C227" i="13"/>
  <c r="C245" i="13"/>
  <c r="C263" i="13"/>
  <c r="C281" i="13"/>
  <c r="C299" i="13"/>
  <c r="L10" i="6"/>
  <c r="I11" i="7"/>
  <c r="I11" i="8"/>
  <c r="C140" i="13"/>
  <c r="C146" i="13"/>
  <c r="C152" i="13"/>
  <c r="C158" i="13"/>
  <c r="C164" i="13"/>
  <c r="C170" i="13"/>
  <c r="C176" i="13"/>
  <c r="L11" i="7" l="1"/>
  <c r="Q11" i="7"/>
  <c r="Z11" i="8"/>
  <c r="Y11" i="8"/>
  <c r="Z10" i="6"/>
  <c r="Y10" i="6"/>
  <c r="K9" i="6"/>
  <c r="J9" i="6"/>
  <c r="I9" i="6"/>
  <c r="R9" i="6"/>
  <c r="H9" i="6"/>
  <c r="G9" i="6"/>
  <c r="F9" i="6"/>
  <c r="M9" i="6"/>
  <c r="L9" i="6"/>
  <c r="S9" i="6"/>
  <c r="Q9" i="6"/>
  <c r="N9" i="6"/>
  <c r="E9" i="6"/>
  <c r="C9" i="6"/>
  <c r="P9" i="6"/>
  <c r="A8" i="6"/>
  <c r="O9" i="6"/>
  <c r="D9" i="6"/>
  <c r="B9" i="6"/>
  <c r="S10" i="8"/>
  <c r="G10" i="8"/>
  <c r="R10" i="8"/>
  <c r="F10" i="8"/>
  <c r="Q10" i="8"/>
  <c r="E10" i="8"/>
  <c r="N10" i="8"/>
  <c r="M10" i="8"/>
  <c r="L10" i="8"/>
  <c r="K10" i="8"/>
  <c r="A9" i="8"/>
  <c r="J10" i="8"/>
  <c r="I10" i="8"/>
  <c r="H10" i="8"/>
  <c r="P10" i="8"/>
  <c r="O10" i="8"/>
  <c r="D10" i="8"/>
  <c r="C10" i="8"/>
  <c r="B10" i="8"/>
  <c r="Z11" i="6"/>
  <c r="Y11" i="6"/>
  <c r="S10" i="7"/>
  <c r="G10" i="7"/>
  <c r="R10" i="7"/>
  <c r="F10" i="7"/>
  <c r="Q10" i="7"/>
  <c r="E10" i="7"/>
  <c r="N10" i="7"/>
  <c r="M10" i="7"/>
  <c r="J10" i="7"/>
  <c r="H10" i="7"/>
  <c r="L10" i="7"/>
  <c r="K10" i="7"/>
  <c r="A9" i="7"/>
  <c r="P10" i="7"/>
  <c r="I10" i="7"/>
  <c r="O10" i="7"/>
  <c r="D10" i="7"/>
  <c r="C10" i="7"/>
  <c r="B10" i="7"/>
  <c r="Z11" i="7" l="1"/>
  <c r="Y11" i="7"/>
  <c r="R9" i="7"/>
  <c r="F9" i="7"/>
  <c r="Q9" i="7"/>
  <c r="E9" i="7"/>
  <c r="P9" i="7"/>
  <c r="D9" i="7"/>
  <c r="G9" i="7"/>
  <c r="C9" i="7"/>
  <c r="B9" i="7"/>
  <c r="S9" i="7"/>
  <c r="N9" i="7"/>
  <c r="M9" i="7"/>
  <c r="I9" i="7"/>
  <c r="O9" i="7"/>
  <c r="H9" i="7"/>
  <c r="L9" i="7"/>
  <c r="K9" i="7"/>
  <c r="J9" i="7"/>
  <c r="A8" i="7"/>
  <c r="Z9" i="6"/>
  <c r="Y9" i="6"/>
  <c r="R9" i="8"/>
  <c r="F9" i="8"/>
  <c r="Q9" i="8"/>
  <c r="E9" i="8"/>
  <c r="P9" i="8"/>
  <c r="D9" i="8"/>
  <c r="G9" i="8"/>
  <c r="C9" i="8"/>
  <c r="N9" i="8"/>
  <c r="B9" i="8"/>
  <c r="O9" i="8"/>
  <c r="S9" i="8"/>
  <c r="M9" i="8"/>
  <c r="I9" i="8"/>
  <c r="H9" i="8"/>
  <c r="A8" i="8"/>
  <c r="L9" i="8"/>
  <c r="J9" i="8"/>
  <c r="K9" i="8"/>
  <c r="J8" i="6"/>
  <c r="R8" i="6"/>
  <c r="I8" i="6"/>
  <c r="H8" i="6"/>
  <c r="Q8" i="6"/>
  <c r="S8" i="6"/>
  <c r="G8" i="6"/>
  <c r="E8" i="6"/>
  <c r="L8" i="6"/>
  <c r="K8" i="6"/>
  <c r="F8" i="6"/>
  <c r="O8" i="6"/>
  <c r="N8" i="6"/>
  <c r="A7" i="6"/>
  <c r="M8" i="6"/>
  <c r="D8" i="6"/>
  <c r="C8" i="6"/>
  <c r="B8" i="6"/>
  <c r="P8" i="6"/>
  <c r="Z10" i="8"/>
  <c r="Y10" i="8"/>
  <c r="Z10" i="7"/>
  <c r="Y10" i="7"/>
  <c r="Y8" i="6" l="1"/>
  <c r="Z8" i="6"/>
  <c r="Y9" i="7"/>
  <c r="Z9" i="7"/>
  <c r="Y9" i="8"/>
  <c r="Z9" i="8"/>
  <c r="I7" i="6"/>
  <c r="H7" i="6"/>
  <c r="S7" i="6"/>
  <c r="G7" i="6"/>
  <c r="P7" i="6"/>
  <c r="Q7" i="6"/>
  <c r="R7" i="6"/>
  <c r="F7" i="6"/>
  <c r="K7" i="6"/>
  <c r="J7" i="6"/>
  <c r="E7" i="6"/>
  <c r="D7" i="6"/>
  <c r="A6" i="6"/>
  <c r="M7" i="6"/>
  <c r="N7" i="6"/>
  <c r="O7" i="6"/>
  <c r="L7" i="6"/>
  <c r="C7" i="6"/>
  <c r="B7" i="6"/>
  <c r="Q8" i="8"/>
  <c r="E8" i="8"/>
  <c r="P8" i="8"/>
  <c r="D8" i="8"/>
  <c r="O8" i="8"/>
  <c r="C8" i="8"/>
  <c r="L8" i="8"/>
  <c r="K8" i="8"/>
  <c r="A7" i="8"/>
  <c r="H8" i="8"/>
  <c r="F8" i="8"/>
  <c r="J8" i="8"/>
  <c r="I8" i="8"/>
  <c r="G8" i="8"/>
  <c r="N8" i="8"/>
  <c r="M8" i="8"/>
  <c r="R8" i="8"/>
  <c r="B8" i="8"/>
  <c r="S8" i="8"/>
  <c r="Q8" i="7"/>
  <c r="E8" i="7"/>
  <c r="P8" i="7"/>
  <c r="D8" i="7"/>
  <c r="O8" i="7"/>
  <c r="C8" i="7"/>
  <c r="L8" i="7"/>
  <c r="K8" i="7"/>
  <c r="A7" i="7"/>
  <c r="H8" i="7"/>
  <c r="J8" i="7"/>
  <c r="I8" i="7"/>
  <c r="G8" i="7"/>
  <c r="N8" i="7"/>
  <c r="M8" i="7"/>
  <c r="R8" i="7"/>
  <c r="S8" i="7"/>
  <c r="B8" i="7"/>
  <c r="F8" i="7"/>
  <c r="P7" i="8" l="1"/>
  <c r="D7" i="8"/>
  <c r="O7" i="8"/>
  <c r="C7" i="8"/>
  <c r="N7" i="8"/>
  <c r="B7" i="8"/>
  <c r="A6" i="8"/>
  <c r="E7" i="8"/>
  <c r="S7" i="8"/>
  <c r="L7" i="8"/>
  <c r="R7" i="8"/>
  <c r="K7" i="8"/>
  <c r="Q7" i="8"/>
  <c r="G7" i="8"/>
  <c r="F7" i="8"/>
  <c r="M7" i="8"/>
  <c r="J7" i="8"/>
  <c r="H7" i="8"/>
  <c r="I7" i="8"/>
  <c r="Y8" i="8"/>
  <c r="Z8" i="8"/>
  <c r="H6" i="6"/>
  <c r="D6" i="6"/>
  <c r="S6" i="6"/>
  <c r="G6" i="6"/>
  <c r="R6" i="6"/>
  <c r="F6" i="6"/>
  <c r="C6" i="6"/>
  <c r="Q6" i="6"/>
  <c r="E6" i="6"/>
  <c r="O6" i="6"/>
  <c r="J6" i="6"/>
  <c r="I6" i="6"/>
  <c r="P6" i="6"/>
  <c r="N6" i="6"/>
  <c r="M6" i="6"/>
  <c r="B6" i="6"/>
  <c r="L6" i="6"/>
  <c r="K6" i="6"/>
  <c r="P7" i="7"/>
  <c r="D7" i="7"/>
  <c r="O7" i="7"/>
  <c r="C7" i="7"/>
  <c r="N7" i="7"/>
  <c r="B7" i="7"/>
  <c r="E7" i="7"/>
  <c r="S7" i="7"/>
  <c r="L7" i="7"/>
  <c r="K7" i="7"/>
  <c r="R7" i="7"/>
  <c r="M7" i="7"/>
  <c r="Q7" i="7"/>
  <c r="G7" i="7"/>
  <c r="A6" i="7"/>
  <c r="F7" i="7"/>
  <c r="I7" i="7"/>
  <c r="H7" i="7"/>
  <c r="J7" i="7"/>
  <c r="Y8" i="7"/>
  <c r="Z8" i="7"/>
  <c r="Z7" i="6"/>
  <c r="Y7" i="6"/>
  <c r="Y7" i="7" l="1"/>
  <c r="Z7" i="7"/>
  <c r="N6" i="7"/>
  <c r="B6" i="7"/>
  <c r="L6" i="7"/>
  <c r="H6" i="7"/>
  <c r="K6" i="7"/>
  <c r="J6" i="7"/>
  <c r="I6" i="7"/>
  <c r="G6" i="7"/>
  <c r="S6" i="7"/>
  <c r="F6" i="7"/>
  <c r="O6" i="7"/>
  <c r="M6" i="7"/>
  <c r="D6" i="7"/>
  <c r="R6" i="7"/>
  <c r="C6" i="7"/>
  <c r="Q6" i="7"/>
  <c r="E6" i="7"/>
  <c r="P6" i="7"/>
  <c r="Y7" i="8"/>
  <c r="Z7" i="8"/>
  <c r="O6" i="8"/>
  <c r="C6" i="8"/>
  <c r="N6" i="8"/>
  <c r="B6" i="8"/>
  <c r="M6" i="8"/>
  <c r="J6" i="8"/>
  <c r="F6" i="8"/>
  <c r="D6" i="8"/>
  <c r="I6" i="8"/>
  <c r="H6" i="8"/>
  <c r="E6" i="8"/>
  <c r="G6" i="8"/>
  <c r="S6" i="8"/>
  <c r="L6" i="8"/>
  <c r="K6" i="8"/>
  <c r="R6" i="8"/>
  <c r="P6" i="8"/>
  <c r="Q6" i="8"/>
  <c r="Y6" i="6"/>
  <c r="Z6" i="6"/>
  <c r="Z6" i="8" l="1"/>
  <c r="Y6" i="8"/>
  <c r="Z6" i="7"/>
  <c r="Y6" i="7"/>
</calcChain>
</file>

<file path=xl/sharedStrings.xml><?xml version="1.0" encoding="utf-8"?>
<sst xmlns="http://schemas.openxmlformats.org/spreadsheetml/2006/main" count="1174" uniqueCount="538">
  <si>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</si>
  <si>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</si>
  <si>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</si>
  <si>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</si>
  <si>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</si>
  <si>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</si>
  <si>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</si>
  <si>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</si>
  <si>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</si>
  <si>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</si>
  <si>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</si>
  <si>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</si>
  <si>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</si>
  <si>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</si>
  <si>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</si>
  <si>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</si>
  <si>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</si>
  <si>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</si>
  <si>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</si>
  <si>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</si>
  <si>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</si>
  <si>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</si>
  <si>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</si>
  <si>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</si>
  <si>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</si>
  <si>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</si>
  <si>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</si>
  <si>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</si>
  <si>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</si>
  <si>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</si>
  <si>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</si>
  <si>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</si>
  <si>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</si>
  <si>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</si>
  <si>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</si>
  <si>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</si>
  <si>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</si>
  <si>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</si>
  <si>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</si>
  <si>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</si>
  <si>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</si>
  <si>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</si>
  <si>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</si>
  <si>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</si>
  <si>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</si>
  <si>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</si>
  <si>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</si>
  <si>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</si>
  <si>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</si>
  <si>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</si>
  <si>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</si>
  <si>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</si>
  <si>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</si>
  <si>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</si>
  <si>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</si>
  <si>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</si>
  <si>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</si>
  <si>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</si>
  <si>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</si>
  <si>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</si>
  <si>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</si>
  <si>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</si>
  <si>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</si>
  <si>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</si>
  <si>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</si>
  <si>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</si>
  <si>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</si>
  <si>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</si>
  <si>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</si>
  <si>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</si>
  <si>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</si>
  <si>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</si>
  <si>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</si>
  <si>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</si>
  <si>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</si>
  <si>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</si>
  <si>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</si>
  <si>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</si>
  <si>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</si>
  <si>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</si>
  <si>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</si>
  <si>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</si>
  <si>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</si>
  <si>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</si>
  <si>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</si>
  <si>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</si>
  <si>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</si>
  <si>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</si>
  <si>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</si>
  <si>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</si>
  <si>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</si>
  <si>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</si>
  <si>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</si>
  <si>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</si>
  <si>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</si>
  <si>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</si>
  <si>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</si>
  <si>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</si>
  <si>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</si>
  <si>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</si>
  <si>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</si>
  <si>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</si>
  <si>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</si>
  <si>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</si>
  <si>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</si>
  <si>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</si>
  <si>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</si>
  <si>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</si>
  <si>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</si>
  <si>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</si>
  <si>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</si>
  <si>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</si>
  <si>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</si>
  <si>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</si>
  <si>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</si>
  <si>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</si>
  <si>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</si>
  <si>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</si>
  <si>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</si>
  <si>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</si>
  <si>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</si>
  <si>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</si>
  <si>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“Business is doing well, almost back to pre-coronavirus pandemic volumes.”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</si>
  <si>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</si>
  <si>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</si>
  <si>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</si>
  <si>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</si>
  <si>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</si>
  <si>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</si>
  <si>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</si>
  <si>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</si>
  <si>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</si>
  <si>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</si>
  <si>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</si>
  <si>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</si>
  <si>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</si>
  <si>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</si>
  <si>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</si>
  <si>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</si>
  <si>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</si>
  <si>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</si>
  <si>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</si>
  <si>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</si>
  <si>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</si>
  <si>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</si>
  <si>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</si>
  <si>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</si>
  <si>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</si>
  <si>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</si>
  <si>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</si>
  <si>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</si>
  <si>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</si>
  <si>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</si>
  <si>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“Generally unchanged month over month. New business requests are solid, with costs rising steadily for materials, meals and lodging.”</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</si>
  <si>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</si>
  <si>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</si>
  <si>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</si>
  <si>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</si>
  <si>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</si>
  <si>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</si>
  <si>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</si>
  <si>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</si>
  <si>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</si>
  <si>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</si>
  <si>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</si>
  <si>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</si>
  <si>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</si>
  <si>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</si>
  <si>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</si>
  <si>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</si>
  <si>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</si>
  <si>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</si>
  <si>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</si>
  <si>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</si>
  <si>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</si>
  <si>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</si>
  <si>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</si>
  <si>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</si>
  <si>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</si>
  <si>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</si>
  <si>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</si>
  <si>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</si>
  <si>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</si>
  <si>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</si>
  <si>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</si>
  <si>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</si>
  <si>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</si>
  <si>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</si>
  <si>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</si>
  <si>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</si>
  <si>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</si>
  <si>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</si>
  <si>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</si>
  <si>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</si>
  <si>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</si>
  <si>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</si>
  <si>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“Still long lead times for service-related needs. A slight downturn in fuel costs in this region, but we are still experiencing supply chain shortages and delays.”</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</si>
  <si>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</si>
  <si>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</si>
  <si>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</si>
  <si>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</si>
  <si>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</si>
  <si>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</si>
  <si>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</si>
  <si>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</si>
  <si>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</si>
  <si>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</si>
  <si>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</si>
  <si>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</si>
  <si>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</si>
  <si>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</si>
  <si>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</si>
  <si>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</si>
  <si>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</si>
  <si>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</si>
  <si>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</si>
  <si>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</si>
  <si>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</si>
  <si>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</si>
  <si>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</si>
  <si>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</si>
  <si>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</si>
  <si>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</si>
  <si>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</si>
  <si>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</si>
  <si>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</si>
  <si>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</si>
  <si>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</si>
  <si>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</si>
  <si>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</si>
  <si>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</si>
  <si>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</si>
  <si>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</si>
  <si>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</si>
  <si>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</si>
  <si>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</si>
  <si>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</si>
  <si>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</si>
  <si>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</si>
  <si>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</si>
  <si>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</si>
  <si>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</si>
  <si>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</si>
  <si>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</si>
  <si>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</si>
  <si>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</si>
  <si>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</si>
  <si>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</si>
  <si>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</si>
  <si>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</si>
  <si>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</si>
  <si>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</si>
  <si>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</si>
  <si>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</si>
  <si>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</si>
  <si>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</si>
  <si>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</si>
  <si>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</si>
  <si>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</si>
  <si>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</si>
  <si>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</si>
  <si>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</si>
  <si>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</si>
  <si>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</si>
  <si>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</si>
  <si>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</si>
  <si>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</si>
  <si>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</si>
  <si>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</si>
  <si>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</si>
  <si>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</si>
  <si>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</si>
  <si>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</si>
  <si>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</si>
  <si>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</si>
  <si>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</si>
  <si>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</si>
  <si>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</si>
  <si>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</si>
  <si>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</si>
  <si>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</si>
  <si>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</si>
  <si>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</si>
  <si>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</si>
  <si>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</si>
  <si>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</si>
  <si>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</si>
  <si>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</si>
  <si>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</si>
  <si>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</si>
  <si>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</si>
  <si>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</si>
  <si>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</si>
  <si>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</si>
  <si>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</si>
  <si>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</si>
  <si>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</si>
  <si>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</si>
  <si>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</si>
  <si>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</si>
  <si>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</si>
  <si>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</si>
  <si>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</si>
  <si>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</si>
  <si>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</si>
  <si>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</si>
  <si>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</si>
  <si>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</si>
  <si>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</si>
  <si>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</si>
  <si>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</si>
  <si>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</si>
  <si>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</si>
  <si>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</si>
  <si>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</si>
  <si>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</si>
  <si>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</si>
  <si>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</si>
  <si>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</si>
  <si>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</si>
  <si>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</si>
  <si>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</si>
  <si>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</si>
  <si>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</si>
  <si>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</si>
  <si>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</si>
  <si>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</si>
  <si>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</si>
  <si>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</si>
  <si>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</si>
  <si>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</si>
  <si>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</si>
  <si>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</si>
  <si>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</si>
  <si>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</si>
  <si>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</si>
  <si>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</si>
  <si>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</si>
  <si>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</si>
  <si>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</si>
  <si>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“The demand for energy services remains very strong for the foreseeable future.”</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</si>
  <si>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</si>
  <si>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</si>
  <si>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</si>
  <si>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</si>
  <si>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</si>
  <si>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</si>
  <si>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</si>
  <si>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</si>
  <si>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</si>
  <si>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</si>
  <si>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</si>
  <si>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</si>
  <si>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</si>
  <si>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</si>
  <si>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</si>
  <si>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</si>
  <si>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</si>
  <si>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</si>
  <si>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</si>
  <si>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</si>
  <si>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</si>
  <si>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</si>
  <si>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</si>
  <si>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</si>
  <si>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“Job openings are seemingly continuing to decrease, but with demand for top talent still high and availability still rather scarce, the opportunity for growth is still there.”</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</si>
  <si>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</si>
  <si>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</si>
  <si>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</si>
  <si>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</si>
  <si>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</si>
  <si>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</si>
  <si>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</si>
  <si>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</si>
  <si>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</si>
  <si>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</si>
  <si>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</si>
  <si>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</si>
  <si>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</si>
  <si>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</si>
  <si>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</si>
  <si>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</si>
  <si>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</si>
  <si>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</si>
  <si>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</si>
  <si>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</si>
  <si>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</si>
  <si>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</si>
  <si>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</si>
  <si>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</si>
  <si>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</si>
  <si>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</si>
  <si>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</si>
  <si>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</si>
  <si>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</si>
  <si>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</si>
  <si>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</si>
  <si>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</si>
  <si>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</si>
  <si>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</si>
  <si>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</si>
  <si>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</si>
  <si>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</si>
  <si>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</si>
  <si>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</si>
  <si>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</si>
  <si>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</si>
  <si>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</si>
  <si>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</si>
  <si>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</si>
  <si>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</si>
  <si>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</si>
  <si>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</si>
  <si>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</si>
  <si>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</si>
  <si>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</si>
  <si>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</si>
  <si>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</si>
  <si>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</si>
  <si>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</si>
  <si>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</si>
  <si>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</si>
  <si>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</si>
  <si>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</si>
  <si>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</si>
  <si>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</si>
  <si>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</si>
  <si>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</si>
  <si>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</si>
  <si>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</si>
  <si>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</si>
  <si>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</si>
  <si>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</si>
  <si>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</si>
  <si>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</si>
  <si>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</si>
  <si>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</si>
  <si>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</si>
  <si>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“Overall business is stable. Employment is low and inflation is lower than last month. Supply chain issues are stabilizing.”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</si>
  <si>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</si>
  <si>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</si>
  <si>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</si>
  <si>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</si>
  <si>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</si>
  <si>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</si>
  <si>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</si>
  <si>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</si>
  <si>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</si>
  <si>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</si>
  <si>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</si>
  <si>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</si>
  <si>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</si>
  <si>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</si>
  <si>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</si>
  <si>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</si>
  <si>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</si>
  <si>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</si>
  <si>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</si>
  <si>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</si>
  <si>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</si>
  <si>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</si>
  <si>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</si>
  <si>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</si>
  <si>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</si>
  <si>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</si>
  <si>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</si>
  <si>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</si>
  <si>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</si>
  <si>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</si>
  <si>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</si>
  <si>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</si>
  <si>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</si>
  <si>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</si>
  <si>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</si>
  <si>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</si>
  <si>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</si>
  <si>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</si>
  <si>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</si>
  <si>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</si>
  <si>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</si>
  <si>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</si>
  <si>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</si>
  <si>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</si>
  <si>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</si>
  <si>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</si>
  <si>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</si>
  <si>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</si>
  <si>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</si>
  <si>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“Local, regional and national supply constraints continue to create supply chain complexities and challenges.”</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</si>
  <si>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</si>
  <si>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</si>
  <si>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</si>
  <si>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</si>
  <si>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</si>
  <si>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</si>
  <si>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</si>
  <si>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</si>
  <si>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</si>
  <si>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</si>
  <si>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</si>
  <si>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</si>
  <si>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</si>
  <si>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</si>
  <si>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</si>
  <si>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</si>
  <si>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“Business volume appears to be leveling out based on a month-over-month comparison, although we are up significantly when compared to the same month last year.”</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</si>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</sst>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2" borderId="3" xfId="0" applyFont="1" applyFill="1" applyBorder="1" applyAlignment="1">
      <alignment horizontal="center"/>
    </xf>
    <xf numFmtId="0" fontId="11" fillId="2" borderId="14" xfId="0" applyFont="1" applyFill="1" applyBorder="1" applyAlignment="1">
      <alignment horizontal="center"/>
    </xf>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0" fillId="2" borderId="0" xfId="0" applyFill="1"/>
    <xf numFmtId="0" fontId="11" fillId="5" borderId="1" xfId="0" applyFont="1" applyFill="1" applyBorder="1" applyAlignment="1">
      <alignment horizontal="center"/>
    </xf>
    <xf numFmtId="0" fontId="0" fillId="0" borderId="8" xfId="0" applyBorder="1"/>
    <xf numFmtId="0" fontId="0" fillId="0" borderId="9" xfId="0" applyBorder="1"/>
    <xf numFmtId="0" fontId="11" fillId="5" borderId="21" xfId="0" applyFont="1" applyFill="1" applyBorder="1" applyAlignment="1">
      <alignment horizontal="center" wrapText="1"/>
    </xf>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1" fillId="5" borderId="23" xfId="0" applyFont="1" applyFill="1" applyBorder="1" applyAlignment="1">
      <alignment horizontal="center" wrapText="1"/>
    </xf>
    <xf numFmtId="0" fontId="0" fillId="0" borderId="33"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xf numFmtId="0" fontId="11" fillId="0" borderId="0" xfId="0" applyFont="1" applyFill="1" applyBorder="1"/>
    <xf numFmtId="0" fontId="2" fillId="0" borderId="0" xfId="0" applyFont="1" applyFill="1" applyBorder="1"/>
    <xf numFmtId="0" fontId="3" fillId="0" borderId="0" xfId="1" applyFont="1" applyFill="1" applyBorder="1" applyAlignment="1">
      <alignment horizontal="center"/>
    </xf>
  </cellXfs>
  <cellStyles count="4">
    <cellStyle name="Hyperlink" xfId="2" builtinId="8"/>
    <cellStyle name="Normal" xfId="0" builtinId="0"/>
    <cellStyle name="Normal 3" xfId="1" xr:uid="{00000000-0005-0000-0000-000001000000}"/>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Services'!$B$6:$B$310</c:f>
              <c:numCache>
                <c:formatCode>General</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0-3DAE-41CC-83E4-34DAFEF511F2}"/>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Details!$B$6:$B$312</c:f>
              <c:numCache>
                <c:formatCode>0.00</c:formatCode>
                <c:ptCount val="307"/>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numCache>
            </c:numRef>
          </c:val>
          <c:smooth val="0"/>
          <c:extLst>
            <c:ext xmlns:c16="http://schemas.microsoft.com/office/drawing/2014/chart" uri="{C3380CC4-5D6E-409C-BE32-E72D297353CC}">
              <c16:uniqueId val="{00000000-BC10-43A4-8DD2-5151686DDF1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Sectors!$B$6:$B$11</c:f>
              <c:numCache>
                <c:formatCode>General</c:formatCode>
                <c:ptCount val="6"/>
                <c:pt idx="0">
                  <c:v>14</c:v>
                </c:pt>
                <c:pt idx="1">
                  <c:v>0</c:v>
                </c:pt>
                <c:pt idx="2">
                  <c:v>3</c:v>
                </c:pt>
                <c:pt idx="3">
                  <c:v>9</c:v>
                </c:pt>
                <c:pt idx="4">
                  <c:v>1</c:v>
                </c:pt>
                <c:pt idx="5">
                  <c:v>3</c:v>
                </c:pt>
              </c:numCache>
            </c:numRef>
          </c:val>
          <c:extLst>
            <c:ext xmlns:c16="http://schemas.microsoft.com/office/drawing/2014/chart" uri="{C3380CC4-5D6E-409C-BE32-E72D297353CC}">
              <c16:uniqueId val="{00000000-84DC-441F-8290-CDA7E61B686D}"/>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Sectors!$C$6:$C$11</c:f>
              <c:numCache>
                <c:formatCode>General</c:formatCode>
                <c:ptCount val="6"/>
                <c:pt idx="0">
                  <c:v>5</c:v>
                </c:pt>
                <c:pt idx="1">
                  <c:v>2</c:v>
                </c:pt>
                <c:pt idx="2">
                  <c:v>10</c:v>
                </c:pt>
                <c:pt idx="3">
                  <c:v>13</c:v>
                </c:pt>
                <c:pt idx="4">
                  <c:v>12</c:v>
                </c:pt>
                <c:pt idx="5">
                  <c:v>10</c:v>
                </c:pt>
              </c:numCache>
            </c:numRef>
          </c:val>
          <c:extLst>
            <c:ext xmlns:c16="http://schemas.microsoft.com/office/drawing/2014/chart" uri="{C3380CC4-5D6E-409C-BE32-E72D297353CC}">
              <c16:uniqueId val="{00000000-9D86-43FC-8584-77B8A04EE4F3}"/>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Sectors!$D$6:$D$11</c:f>
              <c:numCache>
                <c:formatCode>General</c:formatCode>
                <c:ptCount val="6"/>
                <c:pt idx="0">
                  <c:v>18</c:v>
                </c:pt>
                <c:pt idx="1">
                  <c:v>0</c:v>
                </c:pt>
                <c:pt idx="2">
                  <c:v>15</c:v>
                </c:pt>
                <c:pt idx="3">
                  <c:v>18</c:v>
                </c:pt>
                <c:pt idx="4">
                  <c:v>5</c:v>
                </c:pt>
                <c:pt idx="5">
                  <c:v>5</c:v>
                </c:pt>
              </c:numCache>
            </c:numRef>
          </c:val>
          <c:extLst>
            <c:ext xmlns:c16="http://schemas.microsoft.com/office/drawing/2014/chart" uri="{C3380CC4-5D6E-409C-BE32-E72D297353CC}">
              <c16:uniqueId val="{00000000-8204-4AE0-A985-5AA411E9EBCB}"/>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Sectors!$E$6:$E$11</c:f>
              <c:numCache>
                <c:formatCode>General</c:formatCode>
                <c:ptCount val="6"/>
                <c:pt idx="0">
                  <c:v>2</c:v>
                </c:pt>
                <c:pt idx="1">
                  <c:v>3</c:v>
                </c:pt>
                <c:pt idx="2">
                  <c:v>14</c:v>
                </c:pt>
                <c:pt idx="3">
                  <c:v>7</c:v>
                </c:pt>
                <c:pt idx="4">
                  <c:v>4</c:v>
                </c:pt>
                <c:pt idx="5">
                  <c:v>7</c:v>
                </c:pt>
              </c:numCache>
            </c:numRef>
          </c:val>
          <c:extLst>
            <c:ext xmlns:c16="http://schemas.microsoft.com/office/drawing/2014/chart" uri="{C3380CC4-5D6E-409C-BE32-E72D297353CC}">
              <c16:uniqueId val="{00000000-127F-47E8-9C3D-13FADB3A1B67}"/>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Sectors!$F$6:$F$11</c:f>
              <c:numCache>
                <c:formatCode>General</c:formatCode>
                <c:ptCount val="6"/>
                <c:pt idx="0">
                  <c:v>4</c:v>
                </c:pt>
                <c:pt idx="1">
                  <c:v>4</c:v>
                </c:pt>
                <c:pt idx="2">
                  <c:v>13</c:v>
                </c:pt>
                <c:pt idx="3">
                  <c:v>16</c:v>
                </c:pt>
                <c:pt idx="4">
                  <c:v>14</c:v>
                </c:pt>
                <c:pt idx="5">
                  <c:v>14</c:v>
                </c:pt>
              </c:numCache>
            </c:numRef>
          </c:val>
          <c:extLst>
            <c:ext xmlns:c16="http://schemas.microsoft.com/office/drawing/2014/chart" uri="{C3380CC4-5D6E-409C-BE32-E72D297353CC}">
              <c16:uniqueId val="{00000000-0755-48B7-AF8C-77E57F8D1F8A}"/>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Sectors!$G$6:$G$11</c:f>
              <c:numCache>
                <c:formatCode>General</c:formatCode>
                <c:ptCount val="6"/>
                <c:pt idx="0">
                  <c:v>13</c:v>
                </c:pt>
                <c:pt idx="1">
                  <c:v>13</c:v>
                </c:pt>
                <c:pt idx="2">
                  <c:v>-1</c:v>
                </c:pt>
                <c:pt idx="3">
                  <c:v>3</c:v>
                </c:pt>
                <c:pt idx="4">
                  <c:v>2</c:v>
                </c:pt>
                <c:pt idx="5">
                  <c:v>16</c:v>
                </c:pt>
              </c:numCache>
            </c:numRef>
          </c:val>
          <c:extLst>
            <c:ext xmlns:c16="http://schemas.microsoft.com/office/drawing/2014/chart" uri="{C3380CC4-5D6E-409C-BE32-E72D297353CC}">
              <c16:uniqueId val="{00000000-9AC2-43C2-A34B-65CE73E453F8}"/>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Sectors!$H$6:$H$11</c:f>
              <c:numCache>
                <c:formatCode>General</c:formatCode>
                <c:ptCount val="6"/>
                <c:pt idx="0">
                  <c:v>7</c:v>
                </c:pt>
                <c:pt idx="1">
                  <c:v>10</c:v>
                </c:pt>
                <c:pt idx="2">
                  <c:v>7</c:v>
                </c:pt>
                <c:pt idx="3">
                  <c:v>11</c:v>
                </c:pt>
                <c:pt idx="4">
                  <c:v>15</c:v>
                </c:pt>
                <c:pt idx="5">
                  <c:v>1</c:v>
                </c:pt>
              </c:numCache>
            </c:numRef>
          </c:val>
          <c:extLst>
            <c:ext xmlns:c16="http://schemas.microsoft.com/office/drawing/2014/chart" uri="{C3380CC4-5D6E-409C-BE32-E72D297353CC}">
              <c16:uniqueId val="{00000000-20F9-42AE-84FA-B3ED21A1D873}"/>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Sectors!$I$6:$I$11</c:f>
              <c:numCache>
                <c:formatCode>General</c:formatCode>
                <c:ptCount val="6"/>
                <c:pt idx="0">
                  <c:v>8</c:v>
                </c:pt>
                <c:pt idx="1">
                  <c:v>7</c:v>
                </c:pt>
                <c:pt idx="2">
                  <c:v>16</c:v>
                </c:pt>
                <c:pt idx="3">
                  <c:v>12</c:v>
                </c:pt>
                <c:pt idx="4">
                  <c:v>17</c:v>
                </c:pt>
                <c:pt idx="5">
                  <c:v>15</c:v>
                </c:pt>
              </c:numCache>
            </c:numRef>
          </c:val>
          <c:extLst>
            <c:ext xmlns:c16="http://schemas.microsoft.com/office/drawing/2014/chart" uri="{C3380CC4-5D6E-409C-BE32-E72D297353CC}">
              <c16:uniqueId val="{00000000-C292-4E9B-9890-F90933C543C5}"/>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Sectors!$J$6:$J$11</c:f>
              <c:numCache>
                <c:formatCode>General</c:formatCode>
                <c:ptCount val="6"/>
                <c:pt idx="0">
                  <c:v>16</c:v>
                </c:pt>
                <c:pt idx="1">
                  <c:v>6</c:v>
                </c:pt>
                <c:pt idx="2">
                  <c:v>12</c:v>
                </c:pt>
                <c:pt idx="3">
                  <c:v>1</c:v>
                </c:pt>
                <c:pt idx="4">
                  <c:v>10</c:v>
                </c:pt>
                <c:pt idx="5">
                  <c:v>2</c:v>
                </c:pt>
              </c:numCache>
            </c:numRef>
          </c:val>
          <c:extLst>
            <c:ext xmlns:c16="http://schemas.microsoft.com/office/drawing/2014/chart" uri="{C3380CC4-5D6E-409C-BE32-E72D297353CC}">
              <c16:uniqueId val="{00000000-C47A-416D-AF14-E4EC9877CFA3}"/>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Sectors!$K$6:$K$11</c:f>
              <c:numCache>
                <c:formatCode>General</c:formatCode>
                <c:ptCount val="6"/>
                <c:pt idx="0">
                  <c:v>17</c:v>
                </c:pt>
                <c:pt idx="1">
                  <c:v>16</c:v>
                </c:pt>
                <c:pt idx="2">
                  <c:v>17</c:v>
                </c:pt>
                <c:pt idx="3">
                  <c:v>6</c:v>
                </c:pt>
                <c:pt idx="4">
                  <c:v>13</c:v>
                </c:pt>
                <c:pt idx="5">
                  <c:v>4</c:v>
                </c:pt>
              </c:numCache>
            </c:numRef>
          </c:val>
          <c:extLst>
            <c:ext xmlns:c16="http://schemas.microsoft.com/office/drawing/2014/chart" uri="{C3380CC4-5D6E-409C-BE32-E72D297353CC}">
              <c16:uniqueId val="{00000000-2CF0-43A0-AB80-71AA2B655748}"/>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Sectors!$L$6:$L$11</c:f>
              <c:numCache>
                <c:formatCode>General</c:formatCode>
                <c:ptCount val="6"/>
                <c:pt idx="0">
                  <c:v>6</c:v>
                </c:pt>
                <c:pt idx="1">
                  <c:v>5</c:v>
                </c:pt>
                <c:pt idx="2">
                  <c:v>4</c:v>
                </c:pt>
                <c:pt idx="3">
                  <c:v>8</c:v>
                </c:pt>
                <c:pt idx="4">
                  <c:v>11</c:v>
                </c:pt>
                <c:pt idx="5">
                  <c:v>-1</c:v>
                </c:pt>
              </c:numCache>
            </c:numRef>
          </c:val>
          <c:extLst>
            <c:ext xmlns:c16="http://schemas.microsoft.com/office/drawing/2014/chart" uri="{C3380CC4-5D6E-409C-BE32-E72D297353CC}">
              <c16:uniqueId val="{00000000-7E93-4C12-825B-A68E7D247361}"/>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Sectors!$M$6:$M$11</c:f>
              <c:numCache>
                <c:formatCode>General</c:formatCode>
                <c:ptCount val="6"/>
                <c:pt idx="0">
                  <c:v>11</c:v>
                </c:pt>
                <c:pt idx="1">
                  <c:v>1</c:v>
                </c:pt>
                <c:pt idx="2">
                  <c:v>2</c:v>
                </c:pt>
                <c:pt idx="3">
                  <c:v>2</c:v>
                </c:pt>
                <c:pt idx="4">
                  <c:v>-1</c:v>
                </c:pt>
                <c:pt idx="5">
                  <c:v>-2</c:v>
                </c:pt>
              </c:numCache>
            </c:numRef>
          </c:val>
          <c:extLst>
            <c:ext xmlns:c16="http://schemas.microsoft.com/office/drawing/2014/chart" uri="{C3380CC4-5D6E-409C-BE32-E72D297353CC}">
              <c16:uniqueId val="{00000000-2FEC-4C56-9DFE-CD98C853F648}"/>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Sectors!$N$6:$N$11</c:f>
              <c:numCache>
                <c:formatCode>General</c:formatCode>
                <c:ptCount val="6"/>
                <c:pt idx="0">
                  <c:v>15</c:v>
                </c:pt>
                <c:pt idx="1">
                  <c:v>15</c:v>
                </c:pt>
                <c:pt idx="2">
                  <c:v>11</c:v>
                </c:pt>
                <c:pt idx="3">
                  <c:v>17</c:v>
                </c:pt>
                <c:pt idx="4">
                  <c:v>7</c:v>
                </c:pt>
                <c:pt idx="5">
                  <c:v>12</c:v>
                </c:pt>
              </c:numCache>
            </c:numRef>
          </c:val>
          <c:extLst>
            <c:ext xmlns:c16="http://schemas.microsoft.com/office/drawing/2014/chart" uri="{C3380CC4-5D6E-409C-BE32-E72D297353CC}">
              <c16:uniqueId val="{00000000-3873-49BC-AEE2-A00F397E09CE}"/>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Sectors!$O$6:$O$11</c:f>
              <c:numCache>
                <c:formatCode>General</c:formatCode>
                <c:ptCount val="6"/>
                <c:pt idx="0">
                  <c:v>9</c:v>
                </c:pt>
                <c:pt idx="1">
                  <c:v>8</c:v>
                </c:pt>
                <c:pt idx="2">
                  <c:v>1</c:v>
                </c:pt>
                <c:pt idx="3">
                  <c:v>5</c:v>
                </c:pt>
                <c:pt idx="4">
                  <c:v>8</c:v>
                </c:pt>
                <c:pt idx="5">
                  <c:v>6</c:v>
                </c:pt>
              </c:numCache>
            </c:numRef>
          </c:val>
          <c:extLst>
            <c:ext xmlns:c16="http://schemas.microsoft.com/office/drawing/2014/chart" uri="{C3380CC4-5D6E-409C-BE32-E72D297353CC}">
              <c16:uniqueId val="{00000000-7CF0-47A4-B3E4-772D47C6720C}"/>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Sectors!$P$6:$P$11</c:f>
              <c:numCache>
                <c:formatCode>General</c:formatCode>
                <c:ptCount val="6"/>
                <c:pt idx="0">
                  <c:v>1</c:v>
                </c:pt>
                <c:pt idx="1">
                  <c:v>12</c:v>
                </c:pt>
                <c:pt idx="2">
                  <c:v>9</c:v>
                </c:pt>
                <c:pt idx="3">
                  <c:v>15</c:v>
                </c:pt>
                <c:pt idx="4">
                  <c:v>3</c:v>
                </c:pt>
                <c:pt idx="5">
                  <c:v>8</c:v>
                </c:pt>
              </c:numCache>
            </c:numRef>
          </c:val>
          <c:extLst>
            <c:ext xmlns:c16="http://schemas.microsoft.com/office/drawing/2014/chart" uri="{C3380CC4-5D6E-409C-BE32-E72D297353CC}">
              <c16:uniqueId val="{00000000-B0FF-4F2E-9A52-559757AC0604}"/>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Sectors!$Q$6:$Q$11</c:f>
              <c:numCache>
                <c:formatCode>General</c:formatCode>
                <c:ptCount val="6"/>
                <c:pt idx="0">
                  <c:v>10</c:v>
                </c:pt>
                <c:pt idx="1">
                  <c:v>14</c:v>
                </c:pt>
                <c:pt idx="2">
                  <c:v>5</c:v>
                </c:pt>
                <c:pt idx="3">
                  <c:v>10</c:v>
                </c:pt>
                <c:pt idx="4">
                  <c:v>16</c:v>
                </c:pt>
                <c:pt idx="5">
                  <c:v>9</c:v>
                </c:pt>
              </c:numCache>
            </c:numRef>
          </c:val>
          <c:extLst>
            <c:ext xmlns:c16="http://schemas.microsoft.com/office/drawing/2014/chart" uri="{C3380CC4-5D6E-409C-BE32-E72D297353CC}">
              <c16:uniqueId val="{00000000-3D77-4497-B0AD-A01643A75091}"/>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Sectors!$R$6:$R$11</c:f>
              <c:numCache>
                <c:formatCode>General</c:formatCode>
                <c:ptCount val="6"/>
                <c:pt idx="0">
                  <c:v>12</c:v>
                </c:pt>
                <c:pt idx="1">
                  <c:v>11</c:v>
                </c:pt>
                <c:pt idx="2">
                  <c:v>8</c:v>
                </c:pt>
                <c:pt idx="3">
                  <c:v>4</c:v>
                </c:pt>
                <c:pt idx="4">
                  <c:v>9</c:v>
                </c:pt>
                <c:pt idx="5">
                  <c:v>11</c:v>
                </c:pt>
              </c:numCache>
            </c:numRef>
          </c:val>
          <c:extLst>
            <c:ext xmlns:c16="http://schemas.microsoft.com/office/drawing/2014/chart" uri="{C3380CC4-5D6E-409C-BE32-E72D297353CC}">
              <c16:uniqueId val="{00000000-6304-428A-8C33-DB58F63616CF}"/>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Sectors!$S$6:$S$11</c:f>
              <c:numCache>
                <c:formatCode>General</c:formatCode>
                <c:ptCount val="6"/>
                <c:pt idx="0">
                  <c:v>3</c:v>
                </c:pt>
                <c:pt idx="1">
                  <c:v>9</c:v>
                </c:pt>
                <c:pt idx="2">
                  <c:v>6</c:v>
                </c:pt>
                <c:pt idx="3">
                  <c:v>14</c:v>
                </c:pt>
                <c:pt idx="4">
                  <c:v>6</c:v>
                </c:pt>
                <c:pt idx="5">
                  <c:v>13</c:v>
                </c:pt>
              </c:numCache>
            </c:numRef>
          </c:val>
          <c:extLst>
            <c:ext xmlns:c16="http://schemas.microsoft.com/office/drawing/2014/chart" uri="{C3380CC4-5D6E-409C-BE32-E72D297353CC}">
              <c16:uniqueId val="{00000000-377D-4F43-9838-D3DF877DE132}"/>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SectorsBusinessActivity!$B$6:$B$11</c:f>
              <c:numCache>
                <c:formatCode>General</c:formatCode>
                <c:ptCount val="6"/>
                <c:pt idx="0">
                  <c:v>0</c:v>
                </c:pt>
                <c:pt idx="1">
                  <c:v>-2</c:v>
                </c:pt>
                <c:pt idx="2">
                  <c:v>0</c:v>
                </c:pt>
                <c:pt idx="3">
                  <c:v>2</c:v>
                </c:pt>
                <c:pt idx="4">
                  <c:v>3</c:v>
                </c:pt>
                <c:pt idx="5">
                  <c:v>3</c:v>
                </c:pt>
              </c:numCache>
            </c:numRef>
          </c:val>
          <c:extLst>
            <c:ext xmlns:c16="http://schemas.microsoft.com/office/drawing/2014/chart" uri="{C3380CC4-5D6E-409C-BE32-E72D297353CC}">
              <c16:uniqueId val="{00000000-4FBF-41CC-83E6-57E99C647999}"/>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SectorsBusinessActivity!$C$6:$C$11</c:f>
              <c:numCache>
                <c:formatCode>General</c:formatCode>
                <c:ptCount val="6"/>
                <c:pt idx="0">
                  <c:v>8</c:v>
                </c:pt>
                <c:pt idx="1">
                  <c:v>8</c:v>
                </c:pt>
                <c:pt idx="2">
                  <c:v>10</c:v>
                </c:pt>
                <c:pt idx="3">
                  <c:v>7</c:v>
                </c:pt>
                <c:pt idx="4">
                  <c:v>8</c:v>
                </c:pt>
                <c:pt idx="5">
                  <c:v>0</c:v>
                </c:pt>
              </c:numCache>
            </c:numRef>
          </c:val>
          <c:extLst>
            <c:ext xmlns:c16="http://schemas.microsoft.com/office/drawing/2014/chart" uri="{C3380CC4-5D6E-409C-BE32-E72D297353CC}">
              <c16:uniqueId val="{00000000-89C4-49AE-8415-6F12D8A700EA}"/>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SectorsBusinessActivity!$D$6:$D$11</c:f>
              <c:numCache>
                <c:formatCode>General</c:formatCode>
                <c:ptCount val="6"/>
                <c:pt idx="0">
                  <c:v>11</c:v>
                </c:pt>
                <c:pt idx="1">
                  <c:v>0</c:v>
                </c:pt>
                <c:pt idx="2">
                  <c:v>-1</c:v>
                </c:pt>
                <c:pt idx="3">
                  <c:v>-1</c:v>
                </c:pt>
                <c:pt idx="4">
                  <c:v>11</c:v>
                </c:pt>
                <c:pt idx="5">
                  <c:v>0</c:v>
                </c:pt>
              </c:numCache>
            </c:numRef>
          </c:val>
          <c:extLst>
            <c:ext xmlns:c16="http://schemas.microsoft.com/office/drawing/2014/chart" uri="{C3380CC4-5D6E-409C-BE32-E72D297353CC}">
              <c16:uniqueId val="{00000000-68D0-4CB9-BF90-18018CB57B1F}"/>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SectorsBusinessActivity!$E$6:$E$11</c:f>
              <c:numCache>
                <c:formatCode>General</c:formatCode>
                <c:ptCount val="6"/>
                <c:pt idx="0">
                  <c:v>13</c:v>
                </c:pt>
                <c:pt idx="1">
                  <c:v>6</c:v>
                </c:pt>
                <c:pt idx="2">
                  <c:v>0</c:v>
                </c:pt>
                <c:pt idx="3">
                  <c:v>12</c:v>
                </c:pt>
                <c:pt idx="4">
                  <c:v>5</c:v>
                </c:pt>
                <c:pt idx="5">
                  <c:v>10</c:v>
                </c:pt>
              </c:numCache>
            </c:numRef>
          </c:val>
          <c:extLst>
            <c:ext xmlns:c16="http://schemas.microsoft.com/office/drawing/2014/chart" uri="{C3380CC4-5D6E-409C-BE32-E72D297353CC}">
              <c16:uniqueId val="{00000000-BF99-4EE0-887A-9EF60BA30F06}"/>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SectorsBusinessActivity!$F$6:$F$11</c:f>
              <c:numCache>
                <c:formatCode>General</c:formatCode>
                <c:ptCount val="6"/>
                <c:pt idx="0">
                  <c:v>4</c:v>
                </c:pt>
                <c:pt idx="1">
                  <c:v>4</c:v>
                </c:pt>
                <c:pt idx="2">
                  <c:v>2</c:v>
                </c:pt>
                <c:pt idx="3">
                  <c:v>9</c:v>
                </c:pt>
                <c:pt idx="4">
                  <c:v>1</c:v>
                </c:pt>
                <c:pt idx="5">
                  <c:v>6</c:v>
                </c:pt>
              </c:numCache>
            </c:numRef>
          </c:val>
          <c:extLst>
            <c:ext xmlns:c16="http://schemas.microsoft.com/office/drawing/2014/chart" uri="{C3380CC4-5D6E-409C-BE32-E72D297353CC}">
              <c16:uniqueId val="{00000000-5A50-45B9-8109-31E4753B264F}"/>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SectorsBusinessActivity!$G$6:$G$11</c:f>
              <c:numCache>
                <c:formatCode>General</c:formatCode>
                <c:ptCount val="6"/>
                <c:pt idx="0">
                  <c:v>12</c:v>
                </c:pt>
                <c:pt idx="1">
                  <c:v>-3</c:v>
                </c:pt>
                <c:pt idx="2">
                  <c:v>-2</c:v>
                </c:pt>
                <c:pt idx="3">
                  <c:v>-2</c:v>
                </c:pt>
                <c:pt idx="4">
                  <c:v>7</c:v>
                </c:pt>
                <c:pt idx="5">
                  <c:v>12</c:v>
                </c:pt>
              </c:numCache>
            </c:numRef>
          </c:val>
          <c:extLst>
            <c:ext xmlns:c16="http://schemas.microsoft.com/office/drawing/2014/chart" uri="{C3380CC4-5D6E-409C-BE32-E72D297353CC}">
              <c16:uniqueId val="{00000000-5A2F-4D52-B210-34B7E4340C4E}"/>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SectorsBusinessActivity!$H$6:$H$11</c:f>
              <c:numCache>
                <c:formatCode>General</c:formatCode>
                <c:ptCount val="6"/>
                <c:pt idx="0">
                  <c:v>7</c:v>
                </c:pt>
                <c:pt idx="1">
                  <c:v>-1</c:v>
                </c:pt>
                <c:pt idx="2">
                  <c:v>1</c:v>
                </c:pt>
                <c:pt idx="3">
                  <c:v>8</c:v>
                </c:pt>
                <c:pt idx="4">
                  <c:v>4</c:v>
                </c:pt>
                <c:pt idx="5">
                  <c:v>0</c:v>
                </c:pt>
              </c:numCache>
            </c:numRef>
          </c:val>
          <c:extLst>
            <c:ext xmlns:c16="http://schemas.microsoft.com/office/drawing/2014/chart" uri="{C3380CC4-5D6E-409C-BE32-E72D297353CC}">
              <c16:uniqueId val="{00000000-4443-493E-AEF5-01E99DE62F5F}"/>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SectorsBusinessActivity!$I$6:$I$11</c:f>
              <c:numCache>
                <c:formatCode>General</c:formatCode>
                <c:ptCount val="6"/>
                <c:pt idx="0">
                  <c:v>0</c:v>
                </c:pt>
                <c:pt idx="1">
                  <c:v>12</c:v>
                </c:pt>
                <c:pt idx="2">
                  <c:v>11</c:v>
                </c:pt>
                <c:pt idx="3">
                  <c:v>5</c:v>
                </c:pt>
                <c:pt idx="4">
                  <c:v>-2</c:v>
                </c:pt>
                <c:pt idx="5">
                  <c:v>13</c:v>
                </c:pt>
              </c:numCache>
            </c:numRef>
          </c:val>
          <c:extLst>
            <c:ext xmlns:c16="http://schemas.microsoft.com/office/drawing/2014/chart" uri="{C3380CC4-5D6E-409C-BE32-E72D297353CC}">
              <c16:uniqueId val="{00000000-E124-415C-AFE6-3A74BDFC1C2F}"/>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SectorsBusinessActivity!$J$6:$J$11</c:f>
              <c:numCache>
                <c:formatCode>General</c:formatCode>
                <c:ptCount val="6"/>
                <c:pt idx="0">
                  <c:v>2</c:v>
                </c:pt>
                <c:pt idx="1">
                  <c:v>2</c:v>
                </c:pt>
                <c:pt idx="2">
                  <c:v>5</c:v>
                </c:pt>
                <c:pt idx="3">
                  <c:v>1</c:v>
                </c:pt>
                <c:pt idx="4">
                  <c:v>9</c:v>
                </c:pt>
                <c:pt idx="5">
                  <c:v>2</c:v>
                </c:pt>
              </c:numCache>
            </c:numRef>
          </c:val>
          <c:extLst>
            <c:ext xmlns:c16="http://schemas.microsoft.com/office/drawing/2014/chart" uri="{C3380CC4-5D6E-409C-BE32-E72D297353CC}">
              <c16:uniqueId val="{00000000-C409-4826-AE4D-A20315FB101D}"/>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SectorsBusinessActivity!$K$6:$K$11</c:f>
              <c:numCache>
                <c:formatCode>General</c:formatCode>
                <c:ptCount val="6"/>
                <c:pt idx="0">
                  <c:v>10</c:v>
                </c:pt>
                <c:pt idx="1">
                  <c:v>13</c:v>
                </c:pt>
                <c:pt idx="2">
                  <c:v>0</c:v>
                </c:pt>
                <c:pt idx="3">
                  <c:v>14</c:v>
                </c:pt>
                <c:pt idx="4">
                  <c:v>15</c:v>
                </c:pt>
                <c:pt idx="5">
                  <c:v>11</c:v>
                </c:pt>
              </c:numCache>
            </c:numRef>
          </c:val>
          <c:extLst>
            <c:ext xmlns:c16="http://schemas.microsoft.com/office/drawing/2014/chart" uri="{C3380CC4-5D6E-409C-BE32-E72D297353CC}">
              <c16:uniqueId val="{00000000-DEBE-41DC-9340-6C52B69CEBEA}"/>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SectorsBusinessActivity!$L$6:$L$11</c:f>
              <c:numCache>
                <c:formatCode>General</c:formatCode>
                <c:ptCount val="6"/>
                <c:pt idx="0">
                  <c:v>14</c:v>
                </c:pt>
                <c:pt idx="1">
                  <c:v>7</c:v>
                </c:pt>
                <c:pt idx="2">
                  <c:v>7</c:v>
                </c:pt>
                <c:pt idx="3">
                  <c:v>0</c:v>
                </c:pt>
                <c:pt idx="4">
                  <c:v>13</c:v>
                </c:pt>
                <c:pt idx="5">
                  <c:v>8</c:v>
                </c:pt>
              </c:numCache>
            </c:numRef>
          </c:val>
          <c:extLst>
            <c:ext xmlns:c16="http://schemas.microsoft.com/office/drawing/2014/chart" uri="{C3380CC4-5D6E-409C-BE32-E72D297353CC}">
              <c16:uniqueId val="{00000000-8AB0-4A91-AED4-B93DAFD858C4}"/>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SectorsBusinessActivity!$M$6:$M$11</c:f>
              <c:numCache>
                <c:formatCode>General</c:formatCode>
                <c:ptCount val="6"/>
                <c:pt idx="0">
                  <c:v>6</c:v>
                </c:pt>
                <c:pt idx="1">
                  <c:v>3</c:v>
                </c:pt>
                <c:pt idx="2">
                  <c:v>6</c:v>
                </c:pt>
                <c:pt idx="3">
                  <c:v>10</c:v>
                </c:pt>
                <c:pt idx="4">
                  <c:v>2</c:v>
                </c:pt>
                <c:pt idx="5">
                  <c:v>1</c:v>
                </c:pt>
              </c:numCache>
            </c:numRef>
          </c:val>
          <c:extLst>
            <c:ext xmlns:c16="http://schemas.microsoft.com/office/drawing/2014/chart" uri="{C3380CC4-5D6E-409C-BE32-E72D297353CC}">
              <c16:uniqueId val="{00000000-AE62-4B94-ACAC-06490F8D7383}"/>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SectorsBusinessActivity!$N$6:$N$11</c:f>
              <c:numCache>
                <c:formatCode>General</c:formatCode>
                <c:ptCount val="6"/>
                <c:pt idx="0">
                  <c:v>1</c:v>
                </c:pt>
                <c:pt idx="1">
                  <c:v>10</c:v>
                </c:pt>
                <c:pt idx="2">
                  <c:v>4</c:v>
                </c:pt>
                <c:pt idx="3">
                  <c:v>4</c:v>
                </c:pt>
                <c:pt idx="4">
                  <c:v>0</c:v>
                </c:pt>
                <c:pt idx="5">
                  <c:v>9</c:v>
                </c:pt>
              </c:numCache>
            </c:numRef>
          </c:val>
          <c:extLst>
            <c:ext xmlns:c16="http://schemas.microsoft.com/office/drawing/2014/chart" uri="{C3380CC4-5D6E-409C-BE32-E72D297353CC}">
              <c16:uniqueId val="{00000000-F195-4838-8FFC-B5785985FE9D}"/>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SectorsBusinessActivity!$O$6:$O$11</c:f>
              <c:numCache>
                <c:formatCode>General</c:formatCode>
                <c:ptCount val="6"/>
                <c:pt idx="0">
                  <c:v>9</c:v>
                </c:pt>
                <c:pt idx="1">
                  <c:v>5</c:v>
                </c:pt>
                <c:pt idx="2">
                  <c:v>3</c:v>
                </c:pt>
                <c:pt idx="3">
                  <c:v>3</c:v>
                </c:pt>
                <c:pt idx="4">
                  <c:v>6</c:v>
                </c:pt>
                <c:pt idx="5">
                  <c:v>4</c:v>
                </c:pt>
              </c:numCache>
            </c:numRef>
          </c:val>
          <c:extLst>
            <c:ext xmlns:c16="http://schemas.microsoft.com/office/drawing/2014/chart" uri="{C3380CC4-5D6E-409C-BE32-E72D297353CC}">
              <c16:uniqueId val="{00000000-ABD6-4399-B4F8-4D1ECC4AF2BF}"/>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SectorsBusinessActivity!$P$6:$P$11</c:f>
              <c:numCache>
                <c:formatCode>General</c:formatCode>
                <c:ptCount val="6"/>
                <c:pt idx="0">
                  <c:v>0</c:v>
                </c:pt>
                <c:pt idx="1">
                  <c:v>-4</c:v>
                </c:pt>
                <c:pt idx="2">
                  <c:v>-3</c:v>
                </c:pt>
                <c:pt idx="3">
                  <c:v>6</c:v>
                </c:pt>
                <c:pt idx="4">
                  <c:v>14</c:v>
                </c:pt>
                <c:pt idx="5">
                  <c:v>7</c:v>
                </c:pt>
              </c:numCache>
            </c:numRef>
          </c:val>
          <c:extLst>
            <c:ext xmlns:c16="http://schemas.microsoft.com/office/drawing/2014/chart" uri="{C3380CC4-5D6E-409C-BE32-E72D297353CC}">
              <c16:uniqueId val="{00000000-2CCD-4316-8A38-CA20267FFBC6}"/>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SectorsBusinessActivity!$Q$6:$Q$11</c:f>
              <c:numCache>
                <c:formatCode>General</c:formatCode>
                <c:ptCount val="6"/>
                <c:pt idx="0">
                  <c:v>3</c:v>
                </c:pt>
                <c:pt idx="1">
                  <c:v>1</c:v>
                </c:pt>
                <c:pt idx="2">
                  <c:v>9</c:v>
                </c:pt>
                <c:pt idx="3">
                  <c:v>13</c:v>
                </c:pt>
                <c:pt idx="4">
                  <c:v>12</c:v>
                </c:pt>
                <c:pt idx="5">
                  <c:v>5</c:v>
                </c:pt>
              </c:numCache>
            </c:numRef>
          </c:val>
          <c:extLst>
            <c:ext xmlns:c16="http://schemas.microsoft.com/office/drawing/2014/chart" uri="{C3380CC4-5D6E-409C-BE32-E72D297353CC}">
              <c16:uniqueId val="{00000000-8E12-4AD7-BC40-8EA152191E2E}"/>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SectorsBusinessActivity!$R$6:$R$11</c:f>
              <c:numCache>
                <c:formatCode>General</c:formatCode>
                <c:ptCount val="6"/>
                <c:pt idx="0">
                  <c:v>5</c:v>
                </c:pt>
                <c:pt idx="1">
                  <c:v>11</c:v>
                </c:pt>
                <c:pt idx="2">
                  <c:v>8</c:v>
                </c:pt>
                <c:pt idx="3">
                  <c:v>11</c:v>
                </c:pt>
                <c:pt idx="4">
                  <c:v>10</c:v>
                </c:pt>
                <c:pt idx="5">
                  <c:v>0</c:v>
                </c:pt>
              </c:numCache>
            </c:numRef>
          </c:val>
          <c:extLst>
            <c:ext xmlns:c16="http://schemas.microsoft.com/office/drawing/2014/chart" uri="{C3380CC4-5D6E-409C-BE32-E72D297353CC}">
              <c16:uniqueId val="{00000000-84B2-41AE-A8B6-65C560F57974}"/>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SectorsBusinessActivity!$S$6:$S$11</c:f>
              <c:numCache>
                <c:formatCode>General</c:formatCode>
                <c:ptCount val="6"/>
                <c:pt idx="0">
                  <c:v>15</c:v>
                </c:pt>
                <c:pt idx="1">
                  <c:v>9</c:v>
                </c:pt>
                <c:pt idx="2">
                  <c:v>0</c:v>
                </c:pt>
                <c:pt idx="3">
                  <c:v>0</c:v>
                </c:pt>
                <c:pt idx="4">
                  <c:v>-1</c:v>
                </c:pt>
                <c:pt idx="5">
                  <c:v>0</c:v>
                </c:pt>
              </c:numCache>
            </c:numRef>
          </c:val>
          <c:extLst>
            <c:ext xmlns:c16="http://schemas.microsoft.com/office/drawing/2014/chart" uri="{C3380CC4-5D6E-409C-BE32-E72D297353CC}">
              <c16:uniqueId val="{00000000-2CC1-4D9A-B9FB-55AA3055A915}"/>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SectorsNewOrders!$B$6:$B$11</c:f>
              <c:numCache>
                <c:formatCode>General</c:formatCode>
                <c:ptCount val="6"/>
                <c:pt idx="0">
                  <c:v>0</c:v>
                </c:pt>
                <c:pt idx="1">
                  <c:v>-3</c:v>
                </c:pt>
                <c:pt idx="2">
                  <c:v>5</c:v>
                </c:pt>
                <c:pt idx="3">
                  <c:v>11</c:v>
                </c:pt>
                <c:pt idx="4">
                  <c:v>8</c:v>
                </c:pt>
                <c:pt idx="5">
                  <c:v>10</c:v>
                </c:pt>
              </c:numCache>
            </c:numRef>
          </c:val>
          <c:extLst>
            <c:ext xmlns:c16="http://schemas.microsoft.com/office/drawing/2014/chart" uri="{C3380CC4-5D6E-409C-BE32-E72D297353CC}">
              <c16:uniqueId val="{00000000-D1F6-4847-9AE3-CD872727272E}"/>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SectorsNewOrders!$C$6:$C$11</c:f>
              <c:numCache>
                <c:formatCode>General</c:formatCode>
                <c:ptCount val="6"/>
                <c:pt idx="0">
                  <c:v>6</c:v>
                </c:pt>
                <c:pt idx="1">
                  <c:v>5</c:v>
                </c:pt>
                <c:pt idx="2">
                  <c:v>9</c:v>
                </c:pt>
                <c:pt idx="3">
                  <c:v>1</c:v>
                </c:pt>
                <c:pt idx="4">
                  <c:v>3</c:v>
                </c:pt>
                <c:pt idx="5">
                  <c:v>1</c:v>
                </c:pt>
              </c:numCache>
            </c:numRef>
          </c:val>
          <c:extLst>
            <c:ext xmlns:c16="http://schemas.microsoft.com/office/drawing/2014/chart" uri="{C3380CC4-5D6E-409C-BE32-E72D297353CC}">
              <c16:uniqueId val="{00000000-571E-41B6-8402-1DDF868B4D0F}"/>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SectorsNewOrders!$D$6:$D$11</c:f>
              <c:numCache>
                <c:formatCode>General</c:formatCode>
                <c:ptCount val="6"/>
                <c:pt idx="0">
                  <c:v>9</c:v>
                </c:pt>
                <c:pt idx="1">
                  <c:v>0</c:v>
                </c:pt>
                <c:pt idx="2">
                  <c:v>0</c:v>
                </c:pt>
                <c:pt idx="3">
                  <c:v>-2</c:v>
                </c:pt>
                <c:pt idx="4">
                  <c:v>0</c:v>
                </c:pt>
                <c:pt idx="5">
                  <c:v>0</c:v>
                </c:pt>
              </c:numCache>
            </c:numRef>
          </c:val>
          <c:extLst>
            <c:ext xmlns:c16="http://schemas.microsoft.com/office/drawing/2014/chart" uri="{C3380CC4-5D6E-409C-BE32-E72D297353CC}">
              <c16:uniqueId val="{00000000-8F72-4BBA-9371-DE3EA481B2AC}"/>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SectorsNewOrders!$E$6:$E$11</c:f>
              <c:numCache>
                <c:formatCode>General</c:formatCode>
                <c:ptCount val="6"/>
                <c:pt idx="0">
                  <c:v>10</c:v>
                </c:pt>
                <c:pt idx="1">
                  <c:v>6</c:v>
                </c:pt>
                <c:pt idx="2">
                  <c:v>0</c:v>
                </c:pt>
                <c:pt idx="3">
                  <c:v>12</c:v>
                </c:pt>
                <c:pt idx="4">
                  <c:v>11</c:v>
                </c:pt>
                <c:pt idx="5">
                  <c:v>11</c:v>
                </c:pt>
              </c:numCache>
            </c:numRef>
          </c:val>
          <c:extLst>
            <c:ext xmlns:c16="http://schemas.microsoft.com/office/drawing/2014/chart" uri="{C3380CC4-5D6E-409C-BE32-E72D297353CC}">
              <c16:uniqueId val="{00000000-EB21-4B68-A91D-136542A33566}"/>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SectorsNewOrders!$F$6:$F$11</c:f>
              <c:numCache>
                <c:formatCode>General</c:formatCode>
                <c:ptCount val="6"/>
                <c:pt idx="0">
                  <c:v>5</c:v>
                </c:pt>
                <c:pt idx="1">
                  <c:v>1</c:v>
                </c:pt>
                <c:pt idx="2">
                  <c:v>4</c:v>
                </c:pt>
                <c:pt idx="3">
                  <c:v>5</c:v>
                </c:pt>
                <c:pt idx="4">
                  <c:v>1</c:v>
                </c:pt>
                <c:pt idx="5">
                  <c:v>4</c:v>
                </c:pt>
              </c:numCache>
            </c:numRef>
          </c:val>
          <c:extLst>
            <c:ext xmlns:c16="http://schemas.microsoft.com/office/drawing/2014/chart" uri="{C3380CC4-5D6E-409C-BE32-E72D297353CC}">
              <c16:uniqueId val="{00000000-F22C-43A5-BACB-17CFDB52C29E}"/>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SectorsNewOrders!$G$6:$G$11</c:f>
              <c:numCache>
                <c:formatCode>General</c:formatCode>
                <c:ptCount val="6"/>
                <c:pt idx="0">
                  <c:v>13</c:v>
                </c:pt>
                <c:pt idx="1">
                  <c:v>-4</c:v>
                </c:pt>
                <c:pt idx="2">
                  <c:v>0</c:v>
                </c:pt>
                <c:pt idx="3">
                  <c:v>0</c:v>
                </c:pt>
                <c:pt idx="4">
                  <c:v>7</c:v>
                </c:pt>
                <c:pt idx="5">
                  <c:v>9</c:v>
                </c:pt>
              </c:numCache>
            </c:numRef>
          </c:val>
          <c:extLst>
            <c:ext xmlns:c16="http://schemas.microsoft.com/office/drawing/2014/chart" uri="{C3380CC4-5D6E-409C-BE32-E72D297353CC}">
              <c16:uniqueId val="{00000000-3A5B-4933-8D25-A3C89A293C6A}"/>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SectorsNewOrders!$H$6:$H$11</c:f>
              <c:numCache>
                <c:formatCode>General</c:formatCode>
                <c:ptCount val="6"/>
                <c:pt idx="0">
                  <c:v>3</c:v>
                </c:pt>
                <c:pt idx="1">
                  <c:v>0</c:v>
                </c:pt>
                <c:pt idx="2">
                  <c:v>2</c:v>
                </c:pt>
                <c:pt idx="3">
                  <c:v>2</c:v>
                </c:pt>
                <c:pt idx="4">
                  <c:v>4</c:v>
                </c:pt>
                <c:pt idx="5">
                  <c:v>0</c:v>
                </c:pt>
              </c:numCache>
            </c:numRef>
          </c:val>
          <c:extLst>
            <c:ext xmlns:c16="http://schemas.microsoft.com/office/drawing/2014/chart" uri="{C3380CC4-5D6E-409C-BE32-E72D297353CC}">
              <c16:uniqueId val="{00000000-A922-4E38-AECB-683C4EE26D15}"/>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SectorsNewOrders!$I$6:$I$11</c:f>
              <c:numCache>
                <c:formatCode>General</c:formatCode>
                <c:ptCount val="6"/>
                <c:pt idx="0">
                  <c:v>7</c:v>
                </c:pt>
                <c:pt idx="1">
                  <c:v>11</c:v>
                </c:pt>
                <c:pt idx="2">
                  <c:v>8</c:v>
                </c:pt>
                <c:pt idx="3">
                  <c:v>9</c:v>
                </c:pt>
                <c:pt idx="4">
                  <c:v>-2</c:v>
                </c:pt>
                <c:pt idx="5">
                  <c:v>12</c:v>
                </c:pt>
              </c:numCache>
            </c:numRef>
          </c:val>
          <c:extLst>
            <c:ext xmlns:c16="http://schemas.microsoft.com/office/drawing/2014/chart" uri="{C3380CC4-5D6E-409C-BE32-E72D297353CC}">
              <c16:uniqueId val="{00000000-0257-4155-A7CA-DE8E0A57DA84}"/>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SectorsNewOrders!$J$6:$J$11</c:f>
              <c:numCache>
                <c:formatCode>General</c:formatCode>
                <c:ptCount val="6"/>
                <c:pt idx="0">
                  <c:v>8</c:v>
                </c:pt>
                <c:pt idx="1">
                  <c:v>7</c:v>
                </c:pt>
                <c:pt idx="2">
                  <c:v>0</c:v>
                </c:pt>
                <c:pt idx="3">
                  <c:v>-1</c:v>
                </c:pt>
                <c:pt idx="4">
                  <c:v>10</c:v>
                </c:pt>
                <c:pt idx="5">
                  <c:v>5</c:v>
                </c:pt>
              </c:numCache>
            </c:numRef>
          </c:val>
          <c:extLst>
            <c:ext xmlns:c16="http://schemas.microsoft.com/office/drawing/2014/chart" uri="{C3380CC4-5D6E-409C-BE32-E72D297353CC}">
              <c16:uniqueId val="{00000000-65CF-471D-AF83-45F08ACFD43B}"/>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SectorsNewOrders!$K$6:$K$11</c:f>
              <c:numCache>
                <c:formatCode>General</c:formatCode>
                <c:ptCount val="6"/>
                <c:pt idx="0">
                  <c:v>12</c:v>
                </c:pt>
                <c:pt idx="1">
                  <c:v>10</c:v>
                </c:pt>
                <c:pt idx="2">
                  <c:v>11</c:v>
                </c:pt>
                <c:pt idx="3">
                  <c:v>13</c:v>
                </c:pt>
                <c:pt idx="4">
                  <c:v>13</c:v>
                </c:pt>
                <c:pt idx="5">
                  <c:v>7</c:v>
                </c:pt>
              </c:numCache>
            </c:numRef>
          </c:val>
          <c:extLst>
            <c:ext xmlns:c16="http://schemas.microsoft.com/office/drawing/2014/chart" uri="{C3380CC4-5D6E-409C-BE32-E72D297353CC}">
              <c16:uniqueId val="{00000000-09FE-4455-BD61-DEE0F64D6368}"/>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SectorsNewOrders!$L$6:$L$11</c:f>
              <c:numCache>
                <c:formatCode>General</c:formatCode>
                <c:ptCount val="6"/>
                <c:pt idx="0">
                  <c:v>-2</c:v>
                </c:pt>
                <c:pt idx="1">
                  <c:v>3</c:v>
                </c:pt>
                <c:pt idx="2">
                  <c:v>0</c:v>
                </c:pt>
                <c:pt idx="3">
                  <c:v>0</c:v>
                </c:pt>
                <c:pt idx="4">
                  <c:v>5</c:v>
                </c:pt>
                <c:pt idx="5">
                  <c:v>3</c:v>
                </c:pt>
              </c:numCache>
            </c:numRef>
          </c:val>
          <c:extLst>
            <c:ext xmlns:c16="http://schemas.microsoft.com/office/drawing/2014/chart" uri="{C3380CC4-5D6E-409C-BE32-E72D297353CC}">
              <c16:uniqueId val="{00000000-37AA-4B55-8A02-492CE6FB2A3E}"/>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SectorsNewOrders!$M$6:$M$11</c:f>
              <c:numCache>
                <c:formatCode>General</c:formatCode>
                <c:ptCount val="6"/>
                <c:pt idx="0">
                  <c:v>4</c:v>
                </c:pt>
                <c:pt idx="1">
                  <c:v>-1</c:v>
                </c:pt>
                <c:pt idx="2">
                  <c:v>6</c:v>
                </c:pt>
                <c:pt idx="3">
                  <c:v>6</c:v>
                </c:pt>
                <c:pt idx="4">
                  <c:v>-1</c:v>
                </c:pt>
                <c:pt idx="5">
                  <c:v>-3</c:v>
                </c:pt>
              </c:numCache>
            </c:numRef>
          </c:val>
          <c:extLst>
            <c:ext xmlns:c16="http://schemas.microsoft.com/office/drawing/2014/chart" uri="{C3380CC4-5D6E-409C-BE32-E72D297353CC}">
              <c16:uniqueId val="{00000000-9310-432E-8B71-4B3D6C3E3546}"/>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SectorsNewOrders!$N$6:$N$11</c:f>
              <c:numCache>
                <c:formatCode>General</c:formatCode>
                <c:ptCount val="6"/>
                <c:pt idx="0">
                  <c:v>1</c:v>
                </c:pt>
                <c:pt idx="1">
                  <c:v>8</c:v>
                </c:pt>
                <c:pt idx="2">
                  <c:v>7</c:v>
                </c:pt>
                <c:pt idx="3">
                  <c:v>7</c:v>
                </c:pt>
                <c:pt idx="4">
                  <c:v>0</c:v>
                </c:pt>
                <c:pt idx="5">
                  <c:v>6</c:v>
                </c:pt>
              </c:numCache>
            </c:numRef>
          </c:val>
          <c:extLst>
            <c:ext xmlns:c16="http://schemas.microsoft.com/office/drawing/2014/chart" uri="{C3380CC4-5D6E-409C-BE32-E72D297353CC}">
              <c16:uniqueId val="{00000000-F44D-4CB0-9A19-83C73C99EFA4}"/>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SectorsNewOrders!$O$6:$O$11</c:f>
              <c:numCache>
                <c:formatCode>General</c:formatCode>
                <c:ptCount val="6"/>
                <c:pt idx="0">
                  <c:v>2</c:v>
                </c:pt>
                <c:pt idx="1">
                  <c:v>2</c:v>
                </c:pt>
                <c:pt idx="2">
                  <c:v>1</c:v>
                </c:pt>
                <c:pt idx="3">
                  <c:v>3</c:v>
                </c:pt>
                <c:pt idx="4">
                  <c:v>6</c:v>
                </c:pt>
                <c:pt idx="5">
                  <c:v>2</c:v>
                </c:pt>
              </c:numCache>
            </c:numRef>
          </c:val>
          <c:extLst>
            <c:ext xmlns:c16="http://schemas.microsoft.com/office/drawing/2014/chart" uri="{C3380CC4-5D6E-409C-BE32-E72D297353CC}">
              <c16:uniqueId val="{00000000-73FA-4A2E-9F43-021CF9746BD0}"/>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SectorsNewOrders!$P$6:$P$11</c:f>
              <c:numCache>
                <c:formatCode>General</c:formatCode>
                <c:ptCount val="6"/>
                <c:pt idx="0">
                  <c:v>0</c:v>
                </c:pt>
                <c:pt idx="1">
                  <c:v>-5</c:v>
                </c:pt>
                <c:pt idx="2">
                  <c:v>-1</c:v>
                </c:pt>
                <c:pt idx="3">
                  <c:v>4</c:v>
                </c:pt>
                <c:pt idx="4">
                  <c:v>9</c:v>
                </c:pt>
                <c:pt idx="5">
                  <c:v>8</c:v>
                </c:pt>
              </c:numCache>
            </c:numRef>
          </c:val>
          <c:extLst>
            <c:ext xmlns:c16="http://schemas.microsoft.com/office/drawing/2014/chart" uri="{C3380CC4-5D6E-409C-BE32-E72D297353CC}">
              <c16:uniqueId val="{00000000-2AFC-4C1B-AA74-67310CB3C40C}"/>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SectorsNewOrders!$Q$6:$Q$11</c:f>
              <c:numCache>
                <c:formatCode>General</c:formatCode>
                <c:ptCount val="6"/>
                <c:pt idx="0">
                  <c:v>0</c:v>
                </c:pt>
                <c:pt idx="1">
                  <c:v>-2</c:v>
                </c:pt>
                <c:pt idx="2">
                  <c:v>10</c:v>
                </c:pt>
                <c:pt idx="3">
                  <c:v>8</c:v>
                </c:pt>
                <c:pt idx="4">
                  <c:v>12</c:v>
                </c:pt>
                <c:pt idx="5">
                  <c:v>-2</c:v>
                </c:pt>
              </c:numCache>
            </c:numRef>
          </c:val>
          <c:extLst>
            <c:ext xmlns:c16="http://schemas.microsoft.com/office/drawing/2014/chart" uri="{C3380CC4-5D6E-409C-BE32-E72D297353CC}">
              <c16:uniqueId val="{00000000-9185-45E6-B82D-2F54203DAE22}"/>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SectorsNewOrders!$R$6:$R$11</c:f>
              <c:numCache>
                <c:formatCode>General</c:formatCode>
                <c:ptCount val="6"/>
                <c:pt idx="0">
                  <c:v>-1</c:v>
                </c:pt>
                <c:pt idx="1">
                  <c:v>9</c:v>
                </c:pt>
                <c:pt idx="2">
                  <c:v>12</c:v>
                </c:pt>
                <c:pt idx="3">
                  <c:v>10</c:v>
                </c:pt>
                <c:pt idx="4">
                  <c:v>2</c:v>
                </c:pt>
                <c:pt idx="5">
                  <c:v>-1</c:v>
                </c:pt>
              </c:numCache>
            </c:numRef>
          </c:val>
          <c:extLst>
            <c:ext xmlns:c16="http://schemas.microsoft.com/office/drawing/2014/chart" uri="{C3380CC4-5D6E-409C-BE32-E72D297353CC}">
              <c16:uniqueId val="{00000000-597B-45C4-932F-39E33C5683BB}"/>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SectorsNewOrders!$S$6:$S$11</c:f>
              <c:numCache>
                <c:formatCode>General</c:formatCode>
                <c:ptCount val="6"/>
                <c:pt idx="0">
                  <c:v>11</c:v>
                </c:pt>
                <c:pt idx="1">
                  <c:v>4</c:v>
                </c:pt>
                <c:pt idx="2">
                  <c:v>3</c:v>
                </c:pt>
                <c:pt idx="3">
                  <c:v>0</c:v>
                </c:pt>
                <c:pt idx="4">
                  <c:v>0</c:v>
                </c:pt>
                <c:pt idx="5">
                  <c:v>-4</c:v>
                </c:pt>
              </c:numCache>
            </c:numRef>
          </c:val>
          <c:extLst>
            <c:ext xmlns:c16="http://schemas.microsoft.com/office/drawing/2014/chart" uri="{C3380CC4-5D6E-409C-BE32-E72D297353CC}">
              <c16:uniqueId val="{00000000-7988-4B0D-AADA-0C61C2EC3C06}"/>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Details!$B$6:$B$312</c:f>
              <c:numCache>
                <c:formatCode>0.00</c:formatCode>
                <c:ptCount val="307"/>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numCache>
            </c:numRef>
          </c:val>
          <c:smooth val="0"/>
          <c:extLst>
            <c:ext xmlns:c16="http://schemas.microsoft.com/office/drawing/2014/chart" uri="{C3380CC4-5D6E-409C-BE32-E72D297353CC}">
              <c16:uniqueId val="{00000000-BA2B-4385-B116-668201B19B3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Details!$B$6:$B$312</c:f>
              <c:numCache>
                <c:formatCode>0.00</c:formatCode>
                <c:ptCount val="307"/>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numCache>
            </c:numRef>
          </c:val>
          <c:smooth val="0"/>
          <c:extLst>
            <c:ext xmlns:c16="http://schemas.microsoft.com/office/drawing/2014/chart" uri="{C3380CC4-5D6E-409C-BE32-E72D297353CC}">
              <c16:uniqueId val="{00000000-FD51-49AD-A669-205656F7E03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Details!$C$6:$C$312</c:f>
              <c:numCache>
                <c:formatCode>General</c:formatCode>
                <c:ptCount val="307"/>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numCache>
            </c:numRef>
          </c:val>
          <c:smooth val="0"/>
          <c:extLst>
            <c:ext xmlns:c16="http://schemas.microsoft.com/office/drawing/2014/chart" uri="{C3380CC4-5D6E-409C-BE32-E72D297353CC}">
              <c16:uniqueId val="{00000000-ACB4-4820-8699-394C72DCBDA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Details!$C$6:$C$312</c:f>
              <c:numCache>
                <c:formatCode>General</c:formatCode>
                <c:ptCount val="307"/>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numCache>
            </c:numRef>
          </c:val>
          <c:smooth val="0"/>
          <c:extLst>
            <c:ext xmlns:c16="http://schemas.microsoft.com/office/drawing/2014/chart" uri="{C3380CC4-5D6E-409C-BE32-E72D297353CC}">
              <c16:uniqueId val="{00000000-42A7-430A-B559-0D15F967B43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Details!$D$6:$D$312</c:f>
              <c:numCache>
                <c:formatCode>General</c:formatCode>
                <c:ptCount val="307"/>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numCache>
            </c:numRef>
          </c:val>
          <c:smooth val="0"/>
          <c:extLst>
            <c:ext xmlns:c16="http://schemas.microsoft.com/office/drawing/2014/chart" uri="{C3380CC4-5D6E-409C-BE32-E72D297353CC}">
              <c16:uniqueId val="{00000000-FC7B-4E4C-95A6-62267BC5786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Details!$D$6:$D$312</c:f>
              <c:numCache>
                <c:formatCode>General</c:formatCode>
                <c:ptCount val="307"/>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numCache>
            </c:numRef>
          </c:val>
          <c:smooth val="0"/>
          <c:extLst>
            <c:ext xmlns:c16="http://schemas.microsoft.com/office/drawing/2014/chart" uri="{C3380CC4-5D6E-409C-BE32-E72D297353CC}">
              <c16:uniqueId val="{00000000-1081-4B65-9EDA-5ACDA2C05FD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Details!$E$6:$E$312</c:f>
              <c:numCache>
                <c:formatCode>General</c:formatCode>
                <c:ptCount val="307"/>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numCache>
            </c:numRef>
          </c:val>
          <c:smooth val="0"/>
          <c:extLst>
            <c:ext xmlns:c16="http://schemas.microsoft.com/office/drawing/2014/chart" uri="{C3380CC4-5D6E-409C-BE32-E72D297353CC}">
              <c16:uniqueId val="{00000000-6043-4AD4-8535-14B08C00A1E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Details!$E$6:$E$312</c:f>
              <c:numCache>
                <c:formatCode>General</c:formatCode>
                <c:ptCount val="307"/>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numCache>
            </c:numRef>
          </c:val>
          <c:smooth val="0"/>
          <c:extLst>
            <c:ext xmlns:c16="http://schemas.microsoft.com/office/drawing/2014/chart" uri="{C3380CC4-5D6E-409C-BE32-E72D297353CC}">
              <c16:uniqueId val="{00000000-39CE-49E8-892C-BF4E2156C26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Details!$F$6:$F$312</c:f>
              <c:numCache>
                <c:formatCode>General</c:formatCode>
                <c:ptCount val="307"/>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numCache>
            </c:numRef>
          </c:val>
          <c:smooth val="0"/>
          <c:extLst>
            <c:ext xmlns:c16="http://schemas.microsoft.com/office/drawing/2014/chart" uri="{C3380CC4-5D6E-409C-BE32-E72D297353CC}">
              <c16:uniqueId val="{00000000-F1B1-472D-BC7F-14FD9BF91B6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Details!$F$6:$F$312</c:f>
              <c:numCache>
                <c:formatCode>General</c:formatCode>
                <c:ptCount val="307"/>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numCache>
            </c:numRef>
          </c:val>
          <c:smooth val="0"/>
          <c:extLst>
            <c:ext xmlns:c16="http://schemas.microsoft.com/office/drawing/2014/chart" uri="{C3380CC4-5D6E-409C-BE32-E72D297353CC}">
              <c16:uniqueId val="{00000000-ABEF-4B5F-8DD2-F5B88C08087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Details!$G$6:$G$312</c:f>
              <c:numCache>
                <c:formatCode>General</c:formatCode>
                <c:ptCount val="307"/>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numCache>
            </c:numRef>
          </c:val>
          <c:smooth val="0"/>
          <c:extLst>
            <c:ext xmlns:c16="http://schemas.microsoft.com/office/drawing/2014/chart" uri="{C3380CC4-5D6E-409C-BE32-E72D297353CC}">
              <c16:uniqueId val="{00000000-0E90-42E2-B5DC-3B79AB849CA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Details!$G$6:$G$312</c:f>
              <c:numCache>
                <c:formatCode>General</c:formatCode>
                <c:ptCount val="307"/>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numCache>
            </c:numRef>
          </c:val>
          <c:smooth val="0"/>
          <c:extLst>
            <c:ext xmlns:c16="http://schemas.microsoft.com/office/drawing/2014/chart" uri="{C3380CC4-5D6E-409C-BE32-E72D297353CC}">
              <c16:uniqueId val="{00000000-A56A-46DA-8B28-EB571AA1E48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Details!$H$6:$H$312</c:f>
              <c:numCache>
                <c:formatCode>General</c:formatCode>
                <c:ptCount val="307"/>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numCache>
            </c:numRef>
          </c:val>
          <c:smooth val="0"/>
          <c:extLst>
            <c:ext xmlns:c16="http://schemas.microsoft.com/office/drawing/2014/chart" uri="{C3380CC4-5D6E-409C-BE32-E72D297353CC}">
              <c16:uniqueId val="{00000000-26C5-4B21-90AA-70F149C1D8D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Details!$H$6:$H$312</c:f>
              <c:numCache>
                <c:formatCode>General</c:formatCode>
                <c:ptCount val="307"/>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numCache>
            </c:numRef>
          </c:val>
          <c:smooth val="0"/>
          <c:extLst>
            <c:ext xmlns:c16="http://schemas.microsoft.com/office/drawing/2014/chart" uri="{C3380CC4-5D6E-409C-BE32-E72D297353CC}">
              <c16:uniqueId val="{00000000-7794-48A0-AD51-4C14DAD6E98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Details!$I$6:$I$312</c:f>
              <c:numCache>
                <c:formatCode>General</c:formatCode>
                <c:ptCount val="307"/>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numCache>
            </c:numRef>
          </c:val>
          <c:smooth val="0"/>
          <c:extLst>
            <c:ext xmlns:c16="http://schemas.microsoft.com/office/drawing/2014/chart" uri="{C3380CC4-5D6E-409C-BE32-E72D297353CC}">
              <c16:uniqueId val="{00000000-D6F7-4986-97E5-F17CF8D4143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Details!$I$6:$I$312</c:f>
              <c:numCache>
                <c:formatCode>General</c:formatCode>
                <c:ptCount val="307"/>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numCache>
            </c:numRef>
          </c:val>
          <c:smooth val="0"/>
          <c:extLst>
            <c:ext xmlns:c16="http://schemas.microsoft.com/office/drawing/2014/chart" uri="{C3380CC4-5D6E-409C-BE32-E72D297353CC}">
              <c16:uniqueId val="{00000000-33D0-4A17-A904-D173E4C3B34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Details!$J$6:$J$312</c:f>
              <c:numCache>
                <c:formatCode>General</c:formatCode>
                <c:ptCount val="307"/>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numCache>
            </c:numRef>
          </c:val>
          <c:smooth val="0"/>
          <c:extLst>
            <c:ext xmlns:c16="http://schemas.microsoft.com/office/drawing/2014/chart" uri="{C3380CC4-5D6E-409C-BE32-E72D297353CC}">
              <c16:uniqueId val="{00000000-627C-4F87-B18F-91F2908BEA3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Details!$J$6:$J$312</c:f>
              <c:numCache>
                <c:formatCode>General</c:formatCode>
                <c:ptCount val="307"/>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numCache>
            </c:numRef>
          </c:val>
          <c:smooth val="0"/>
          <c:extLst>
            <c:ext xmlns:c16="http://schemas.microsoft.com/office/drawing/2014/chart" uri="{C3380CC4-5D6E-409C-BE32-E72D297353CC}">
              <c16:uniqueId val="{00000000-9F97-4561-B207-3DE1C6DE74C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Details!$K$6:$K$312</c:f>
              <c:numCache>
                <c:formatCode>General</c:formatCode>
                <c:ptCount val="307"/>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numCache>
            </c:numRef>
          </c:val>
          <c:smooth val="0"/>
          <c:extLst>
            <c:ext xmlns:c16="http://schemas.microsoft.com/office/drawing/2014/chart" uri="{C3380CC4-5D6E-409C-BE32-E72D297353CC}">
              <c16:uniqueId val="{00000000-0525-4B0C-BFA0-B707C393972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Details!$K$6:$K$312</c:f>
              <c:numCache>
                <c:formatCode>General</c:formatCode>
                <c:ptCount val="307"/>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numCache>
            </c:numRef>
          </c:val>
          <c:smooth val="0"/>
          <c:extLst>
            <c:ext xmlns:c16="http://schemas.microsoft.com/office/drawing/2014/chart" uri="{C3380CC4-5D6E-409C-BE32-E72D297353CC}">
              <c16:uniqueId val="{00000000-EA30-4F49-8BA6-69BCCD91048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GDP'!$C$6:$C$310</c:f>
              <c:numCache>
                <c:formatCode>0.00%</c:formatCode>
                <c:ptCount val="305"/>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pt idx="304">
                  <c:v>5.5317363621841711E-2</c:v>
                </c:pt>
              </c:numCache>
            </c:numRef>
          </c:val>
          <c:extLst>
            <c:ext xmlns:c16="http://schemas.microsoft.com/office/drawing/2014/chart" uri="{C3380CC4-5D6E-409C-BE32-E72D297353CC}">
              <c16:uniqueId val="{00000000-21C6-45F8-B48A-F977634D5142}"/>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GDP'!$B$6:$B$310</c:f>
              <c:numCache>
                <c:formatCode>0.00</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1-21C6-45F8-B48A-F977634D5142}"/>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GDP'!$E$6:$E$310</c:f>
              <c:numCache>
                <c:formatCode>0.00%</c:formatCode>
                <c:ptCount val="305"/>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pt idx="304">
                  <c:v>6.8874405829691066E-2</c:v>
                </c:pt>
              </c:numCache>
            </c:numRef>
          </c:val>
          <c:extLst>
            <c:ext xmlns:c16="http://schemas.microsoft.com/office/drawing/2014/chart" uri="{C3380CC4-5D6E-409C-BE32-E72D297353CC}">
              <c16:uniqueId val="{00000000-82F3-4489-B7A2-BE7A2494D179}"/>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GDP'!$B$6:$B$310</c:f>
              <c:numCache>
                <c:formatCode>0.00</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1-82F3-4489-B7A2-BE7A2494D179}"/>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Services'!$B$6:$B$310</c:f>
              <c:numCache>
                <c:formatCode>General</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0-5170-4BAE-A250-BD4E05FEA44A}"/>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278</xdr:row>
      <xdr:rowOff>13370</xdr:rowOff>
    </xdr:from>
    <xdr:to>
      <xdr:col>10</xdr:col>
      <xdr:colOff>327526</xdr:colOff>
      <xdr:row>299</xdr:row>
      <xdr:rowOff>20721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10" totalsRowShown="0" headerRowDxfId="134" dataDxfId="132" headerRowBorderDxfId="133">
  <autoFilter ref="A5:L310"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10" totalsRowShown="0" headerRowDxfId="119" dataDxfId="117" headerRowBorderDxfId="118" tableBorderDxfId="116" totalsRowBorderDxfId="115">
  <autoFilter ref="A5:E310"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10" totalsRowShown="0" headerRowDxfId="109" dataDxfId="107" headerRowBorderDxfId="108">
  <autoFilter ref="A5:C310"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showGridLines="0" tabSelected="1" topLeftCell="B1" zoomScaleNormal="100" workbookViewId="0">
      <selection activeCell="AD10" sqref="AD10"/>
    </sheetView>
  </sheetViews>
  <sheetFormatPr defaultColWidth="9.1796875" defaultRowHeight="14.5" x14ac:dyDescent="0.35"/>
  <cols>
    <col min="1" max="1" width="15.6328125"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5.453125" style="63" customWidth="1"/>
    <col min="20" max="20" width="16.6328125" style="63" customWidth="1"/>
    <col min="21" max="42" width="9.1796875" style="63" customWidth="1"/>
    <col min="43" max="16384" width="9.1796875" style="63"/>
  </cols>
  <sheetData>
    <row r="1" spans="2:21" ht="16" customHeight="1" thickBot="1" x14ac:dyDescent="0.4">
      <c r="B1" s="70"/>
      <c r="C1" s="71"/>
      <c r="D1" s="71"/>
      <c r="E1" s="71"/>
      <c r="F1" s="71"/>
      <c r="G1" s="71"/>
      <c r="H1" s="71"/>
      <c r="I1" s="71"/>
      <c r="J1" s="71"/>
    </row>
    <row r="3" spans="2:21" ht="227.25" customHeight="1" x14ac:dyDescent="0.35">
      <c r="B3" s="72" t="s">
        <v>0</v>
      </c>
      <c r="C3" s="73"/>
      <c r="D3" s="73"/>
      <c r="E3" s="73"/>
      <c r="F3" s="73"/>
      <c r="G3" s="73"/>
      <c r="H3" s="73"/>
      <c r="I3" s="73"/>
      <c r="J3" s="73"/>
    </row>
    <row r="4" spans="2:21" ht="24" customHeight="1" x14ac:dyDescent="0.35">
      <c r="B4" s="9" t="s">
        <v>1</v>
      </c>
      <c r="C4" s="64"/>
      <c r="D4" s="64"/>
      <c r="E4" s="64"/>
      <c r="F4" s="64"/>
      <c r="G4" s="64"/>
      <c r="H4" s="64"/>
      <c r="I4" s="64"/>
      <c r="J4" s="64"/>
    </row>
    <row r="5" spans="2:21" ht="24" customHeight="1" x14ac:dyDescent="0.35">
      <c r="B5" s="9" t="s">
        <v>2</v>
      </c>
      <c r="C5" s="64"/>
      <c r="D5" s="64"/>
      <c r="E5" s="64"/>
      <c r="F5" s="64"/>
      <c r="G5" s="64"/>
      <c r="H5" s="64"/>
      <c r="I5" s="64"/>
      <c r="J5" s="64"/>
    </row>
    <row r="6" spans="2:21" ht="16" customHeight="1" thickBot="1" x14ac:dyDescent="0.4">
      <c r="B6" s="12"/>
      <c r="C6" s="13"/>
      <c r="D6" s="13"/>
      <c r="E6" s="13"/>
    </row>
    <row r="7" spans="2:21" ht="16" customHeight="1" thickBot="1" x14ac:dyDescent="0.4">
      <c r="B7" s="74" t="s">
        <v>3</v>
      </c>
      <c r="C7" s="75"/>
      <c r="D7" s="75"/>
      <c r="E7" s="75"/>
      <c r="F7" s="75"/>
      <c r="G7" s="75"/>
      <c r="H7" s="75"/>
      <c r="I7" s="75"/>
      <c r="J7" s="76"/>
      <c r="N7" s="67" t="s">
        <v>4</v>
      </c>
      <c r="O7" s="68"/>
      <c r="P7" s="68"/>
      <c r="Q7" s="68"/>
      <c r="R7" s="68"/>
      <c r="S7" s="68"/>
      <c r="T7" s="68"/>
      <c r="U7" s="69"/>
    </row>
    <row r="8" spans="2:21" x14ac:dyDescent="0.35">
      <c r="N8" s="14" t="s">
        <v>5</v>
      </c>
      <c r="T8" s="14" t="s">
        <v>6</v>
      </c>
    </row>
    <row r="9" spans="2:21" ht="16" customHeight="1" thickBot="1" x14ac:dyDescent="0.4">
      <c r="B9" s="74" t="s">
        <v>7</v>
      </c>
      <c r="C9" s="75"/>
      <c r="D9" s="75"/>
      <c r="E9" s="75"/>
      <c r="F9" s="76"/>
      <c r="G9" s="74" t="s">
        <v>8</v>
      </c>
      <c r="H9" s="75"/>
      <c r="I9" s="75"/>
      <c r="J9" s="76"/>
    </row>
    <row r="10" spans="2:21" x14ac:dyDescent="0.35">
      <c r="P10" s="15">
        <v>44866</v>
      </c>
      <c r="Q10" s="16">
        <f>DATE(YEAR(P10),MONTH(P10)-1,DAY(P10))</f>
        <v>44835</v>
      </c>
      <c r="R10" s="17"/>
      <c r="T10" s="89"/>
      <c r="U10" s="89"/>
    </row>
    <row r="11" spans="2:21" ht="16" customHeight="1" thickBot="1" x14ac:dyDescent="0.4">
      <c r="B11" s="73" t="s">
        <v>10</v>
      </c>
      <c r="C11" s="73"/>
      <c r="D11" s="73"/>
      <c r="E11" s="73"/>
      <c r="F11" s="73"/>
      <c r="G11" s="73" t="s">
        <v>11</v>
      </c>
      <c r="H11" s="73"/>
      <c r="I11" s="73"/>
      <c r="J11" s="73"/>
      <c r="P11" s="18" t="s">
        <v>12</v>
      </c>
      <c r="Q11" s="18" t="s">
        <v>12</v>
      </c>
      <c r="R11" s="19" t="s">
        <v>13</v>
      </c>
      <c r="T11" s="90"/>
      <c r="U11" s="91"/>
    </row>
    <row r="12" spans="2:21" ht="30.75" customHeight="1" x14ac:dyDescent="0.35">
      <c r="G12" s="78" t="s">
        <v>15</v>
      </c>
      <c r="H12" s="73"/>
      <c r="I12" s="73"/>
      <c r="J12" s="73"/>
      <c r="N12" s="79" t="s">
        <v>16</v>
      </c>
      <c r="O12" s="80"/>
      <c r="P12" s="21">
        <f>VLOOKUP($P$10,Details!$A:$L,MATCH(Note!N12,Table91213[#Headers],),)</f>
        <v>56.5</v>
      </c>
      <c r="Q12" s="21">
        <f>VLOOKUP($Q$10,Details!$A:$L,MATCH(Note!N12,Table91213[#Headers],),)</f>
        <v>54.4</v>
      </c>
      <c r="R12" s="22">
        <f t="shared" ref="R12:R22" si="0">P12-Q12</f>
        <v>2.1000000000000014</v>
      </c>
      <c r="T12" s="90"/>
      <c r="U12" s="91"/>
    </row>
    <row r="13" spans="2:21" ht="15" customHeight="1" x14ac:dyDescent="0.35">
      <c r="B13" s="78" t="s">
        <v>18</v>
      </c>
      <c r="C13" s="73"/>
      <c r="D13" s="73"/>
      <c r="E13" s="73"/>
      <c r="F13" s="73"/>
      <c r="G13" s="73"/>
      <c r="H13" s="73"/>
      <c r="I13" s="73"/>
      <c r="J13" s="73"/>
      <c r="N13" s="77" t="s">
        <v>19</v>
      </c>
      <c r="O13" s="76"/>
      <c r="P13" s="65">
        <f>VLOOKUP($P$10,Details!$A:$L,MATCH(Note!N13,Table91213[#Headers],),)</f>
        <v>56</v>
      </c>
      <c r="Q13" s="65">
        <f>VLOOKUP($Q$10,Details!$A:$L,MATCH(Note!N13,Table91213[#Headers],),)</f>
        <v>56.5</v>
      </c>
      <c r="R13" s="23">
        <f t="shared" si="0"/>
        <v>-0.5</v>
      </c>
      <c r="T13" s="90"/>
      <c r="U13" s="91"/>
    </row>
    <row r="14" spans="2:21" x14ac:dyDescent="0.35">
      <c r="B14" s="73" t="s">
        <v>21</v>
      </c>
      <c r="C14" s="73"/>
      <c r="D14" s="73"/>
      <c r="E14" s="73"/>
      <c r="F14" s="73"/>
      <c r="N14" s="77" t="s">
        <v>22</v>
      </c>
      <c r="O14" s="76"/>
      <c r="P14" s="65">
        <f>VLOOKUP($P$10,Details!$A:$L,MATCH(Note!N14,Table91213[#Headers],),)</f>
        <v>59.5</v>
      </c>
      <c r="Q14" s="65">
        <f>VLOOKUP($Q$10,Details!$A:$L,MATCH(Note!N14,Table91213[#Headers],),)</f>
        <v>50.4</v>
      </c>
      <c r="R14" s="23">
        <f t="shared" si="0"/>
        <v>9.1000000000000014</v>
      </c>
      <c r="T14" s="90"/>
      <c r="U14" s="91"/>
    </row>
    <row r="15" spans="2:21" x14ac:dyDescent="0.35">
      <c r="B15" s="73" t="s">
        <v>24</v>
      </c>
      <c r="C15" s="73"/>
      <c r="D15" s="73"/>
      <c r="E15" s="73"/>
      <c r="F15" s="73"/>
      <c r="N15" s="77" t="s">
        <v>25</v>
      </c>
      <c r="O15" s="76"/>
      <c r="P15" s="65">
        <f>VLOOKUP($P$10,Details!$A:$L,MATCH(Note!N15,Table91213[#Headers],),)</f>
        <v>51.8</v>
      </c>
      <c r="Q15" s="65">
        <f>VLOOKUP($Q$10,Details!$A:$L,MATCH(Note!N15,Table91213[#Headers],),)</f>
        <v>52.2</v>
      </c>
      <c r="R15" s="23">
        <f t="shared" si="0"/>
        <v>-0.40000000000000568</v>
      </c>
      <c r="T15" s="90"/>
      <c r="U15" s="91"/>
    </row>
    <row r="16" spans="2:21" x14ac:dyDescent="0.35">
      <c r="N16" s="77" t="s">
        <v>27</v>
      </c>
      <c r="O16" s="76"/>
      <c r="P16" s="65">
        <f>VLOOKUP($P$10,Details!$A:$L,MATCH(Note!N16,Table91213[#Headers],),)</f>
        <v>70</v>
      </c>
      <c r="Q16" s="65">
        <f>VLOOKUP($Q$10,Details!$A:$L,MATCH(Note!N16,Table91213[#Headers],),)</f>
        <v>70.7</v>
      </c>
      <c r="R16" s="23">
        <f t="shared" si="0"/>
        <v>-0.70000000000000284</v>
      </c>
      <c r="T16" s="90"/>
      <c r="U16" s="91"/>
    </row>
    <row r="17" spans="2:21" x14ac:dyDescent="0.35">
      <c r="B17" s="73"/>
      <c r="C17" s="73"/>
      <c r="D17" s="73"/>
      <c r="E17" s="73"/>
      <c r="F17" s="73"/>
      <c r="G17" s="73"/>
      <c r="H17" s="73"/>
      <c r="I17" s="73"/>
      <c r="J17" s="73"/>
      <c r="N17" s="77" t="s">
        <v>29</v>
      </c>
      <c r="O17" s="76"/>
      <c r="P17" s="65">
        <f>VLOOKUP($P$10,Details!$A:$L,MATCH(Note!N17,Table91213[#Headers],),)</f>
        <v>64.7</v>
      </c>
      <c r="Q17" s="65">
        <f>VLOOKUP($Q$10,Details!$A:$L,MATCH(Note!N17,Table91213[#Headers],),)</f>
        <v>55.7</v>
      </c>
      <c r="R17" s="23">
        <f t="shared" si="0"/>
        <v>9</v>
      </c>
      <c r="T17" s="90"/>
      <c r="U17" s="91"/>
    </row>
    <row r="18" spans="2:21" x14ac:dyDescent="0.35">
      <c r="B18" s="73"/>
      <c r="C18" s="73"/>
      <c r="D18" s="73"/>
      <c r="E18" s="73"/>
      <c r="F18" s="73"/>
      <c r="G18" s="73"/>
      <c r="H18" s="73"/>
      <c r="I18" s="73"/>
      <c r="J18" s="73"/>
      <c r="N18" s="77" t="s">
        <v>30</v>
      </c>
      <c r="O18" s="76"/>
      <c r="P18" s="65">
        <f>VLOOKUP($P$10,Details!$A:$L,MATCH(Note!N18,Table91213[#Headers],),)</f>
        <v>44.2</v>
      </c>
      <c r="Q18" s="65">
        <f>VLOOKUP($Q$10,Details!$A:$L,MATCH(Note!N18,Table91213[#Headers],),)</f>
        <v>46.4</v>
      </c>
      <c r="R18" s="23">
        <f t="shared" si="0"/>
        <v>-2.1999999999999957</v>
      </c>
      <c r="T18" s="90"/>
      <c r="U18" s="91"/>
    </row>
    <row r="19" spans="2:21" x14ac:dyDescent="0.35">
      <c r="B19" s="73"/>
      <c r="C19" s="73"/>
      <c r="D19" s="73"/>
      <c r="E19" s="73"/>
      <c r="F19" s="73"/>
      <c r="G19" s="73"/>
      <c r="H19" s="73"/>
      <c r="I19" s="73"/>
      <c r="J19" s="73"/>
      <c r="N19" s="77" t="s">
        <v>32</v>
      </c>
      <c r="O19" s="76"/>
      <c r="P19" s="65">
        <f>VLOOKUP($P$10,Details!$A:$L,MATCH(Note!N19,Table91213[#Headers],),)</f>
        <v>47.9</v>
      </c>
      <c r="Q19" s="65">
        <f>VLOOKUP($Q$10,Details!$A:$L,MATCH(Note!N19,Table91213[#Headers],),)</f>
        <v>47.2</v>
      </c>
      <c r="R19" s="23">
        <f t="shared" si="0"/>
        <v>0.69999999999999574</v>
      </c>
      <c r="T19" s="90"/>
      <c r="U19" s="91"/>
    </row>
    <row r="20" spans="2:21" x14ac:dyDescent="0.35">
      <c r="B20" s="73"/>
      <c r="C20" s="73"/>
      <c r="D20" s="73"/>
      <c r="E20" s="73"/>
      <c r="F20" s="73"/>
      <c r="N20" s="77" t="s">
        <v>34</v>
      </c>
      <c r="O20" s="76"/>
      <c r="P20" s="65">
        <f>VLOOKUP($P$10,Details!$A:$L,MATCH(Note!N20,Table91213[#Headers],),)</f>
        <v>53.8</v>
      </c>
      <c r="Q20" s="65">
        <f>VLOOKUP($Q$10,Details!$A:$L,MATCH(Note!N20,Table91213[#Headers],),)</f>
        <v>56.2</v>
      </c>
      <c r="R20" s="23">
        <f t="shared" si="0"/>
        <v>-2.4000000000000057</v>
      </c>
      <c r="T20" s="90"/>
      <c r="U20" s="91"/>
    </row>
    <row r="21" spans="2:21" x14ac:dyDescent="0.35">
      <c r="B21" s="73"/>
      <c r="C21" s="73"/>
      <c r="D21" s="73"/>
      <c r="E21" s="73"/>
      <c r="F21" s="73"/>
      <c r="N21" s="77" t="s">
        <v>36</v>
      </c>
      <c r="O21" s="76"/>
      <c r="P21" s="65">
        <f>VLOOKUP($P$10,Details!$A:$L,MATCH(Note!N21,Table91213[#Headers],),)</f>
        <v>51.5</v>
      </c>
      <c r="Q21" s="65">
        <f>VLOOKUP($Q$10,Details!$A:$L,MATCH(Note!N21,Table91213[#Headers],),)</f>
        <v>49.1</v>
      </c>
      <c r="R21" s="23">
        <f t="shared" si="0"/>
        <v>2.3999999999999986</v>
      </c>
      <c r="T21" s="90"/>
      <c r="U21" s="91"/>
    </row>
    <row r="22" spans="2:21" ht="16" customHeight="1" thickBot="1" x14ac:dyDescent="0.4">
      <c r="N22" s="81" t="s">
        <v>38</v>
      </c>
      <c r="O22" s="82"/>
      <c r="P22" s="24">
        <f>VLOOKUP($P$10,Details!$A:$L,MATCH(Note!N22,Table91213[#Headers],),)</f>
        <v>38.4</v>
      </c>
      <c r="Q22" s="24">
        <f>VLOOKUP($Q$10,Details!$A:$L,MATCH(Note!N22,Table91213[#Headers],),)</f>
        <v>47.7</v>
      </c>
      <c r="R22" s="25">
        <f t="shared" si="0"/>
        <v>-9.3000000000000043</v>
      </c>
      <c r="T22" s="90"/>
      <c r="U22" s="91"/>
    </row>
    <row r="23" spans="2:21" x14ac:dyDescent="0.35">
      <c r="T23" s="90"/>
      <c r="U23" s="91"/>
    </row>
    <row r="24" spans="2:21" x14ac:dyDescent="0.35">
      <c r="T24" s="90"/>
      <c r="U24" s="91"/>
    </row>
    <row r="25" spans="2:21" x14ac:dyDescent="0.35">
      <c r="T25" s="90"/>
      <c r="U25" s="91"/>
    </row>
    <row r="26" spans="2:21" x14ac:dyDescent="0.35">
      <c r="T26" s="90"/>
      <c r="U26" s="91"/>
    </row>
    <row r="27" spans="2:21" x14ac:dyDescent="0.35">
      <c r="T27" s="90"/>
      <c r="U27" s="91"/>
    </row>
    <row r="28" spans="2:21" ht="30" customHeight="1" x14ac:dyDescent="0.35">
      <c r="T28" s="90"/>
      <c r="U28" s="91"/>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dxfId="103" priority="6" operator="lessThan">
      <formula>0</formula>
    </cfRule>
    <cfRule type="cellIs" dxfId="102" priority="7" operator="greaterThan">
      <formula>0</formula>
    </cfRule>
  </conditionalFormatting>
  <conditionalFormatting sqref="U11:U28">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6"/>
  <sheetViews>
    <sheetView zoomScale="150" zoomScaleNormal="150" workbookViewId="0">
      <selection activeCell="K38" sqref="K38"/>
    </sheetView>
  </sheetViews>
  <sheetFormatPr defaultColWidth="10.90625" defaultRowHeight="14.5" x14ac:dyDescent="0.35"/>
  <cols>
    <col min="1" max="1" width="25.1796875" customWidth="1"/>
  </cols>
  <sheetData>
    <row r="1" spans="1:19" x14ac:dyDescent="0.35">
      <c r="A1" t="s">
        <v>46</v>
      </c>
      <c r="B1" t="s">
        <v>47</v>
      </c>
      <c r="C1" t="s">
        <v>23</v>
      </c>
      <c r="D1" t="s">
        <v>43</v>
      </c>
      <c r="E1" t="s">
        <v>14</v>
      </c>
      <c r="F1" t="s">
        <v>42</v>
      </c>
      <c r="G1" t="s">
        <v>40</v>
      </c>
      <c r="H1" t="s">
        <v>37</v>
      </c>
      <c r="I1" t="s">
        <v>17</v>
      </c>
      <c r="J1" t="s">
        <v>31</v>
      </c>
      <c r="K1" t="s">
        <v>26</v>
      </c>
      <c r="L1" t="s">
        <v>39</v>
      </c>
      <c r="M1" t="s">
        <v>44</v>
      </c>
      <c r="N1" t="s">
        <v>45</v>
      </c>
      <c r="O1" t="s">
        <v>35</v>
      </c>
      <c r="P1" t="s">
        <v>33</v>
      </c>
      <c r="Q1" t="s">
        <v>20</v>
      </c>
      <c r="R1" t="s">
        <v>41</v>
      </c>
      <c r="S1" t="s">
        <v>28</v>
      </c>
    </row>
    <row r="2" spans="1:19" x14ac:dyDescent="0.35">
      <c r="A2" s="66">
        <v>43831</v>
      </c>
      <c r="B2">
        <v>-3</v>
      </c>
      <c r="C2">
        <v>-4</v>
      </c>
      <c r="D2">
        <v>10</v>
      </c>
      <c r="E2">
        <v>7</v>
      </c>
      <c r="F2">
        <v>6</v>
      </c>
      <c r="G2">
        <v>-1</v>
      </c>
      <c r="H2">
        <v>-6</v>
      </c>
      <c r="I2">
        <v>-2</v>
      </c>
      <c r="J2">
        <v>4</v>
      </c>
      <c r="K2">
        <v>-5</v>
      </c>
      <c r="L2">
        <v>3</v>
      </c>
      <c r="M2">
        <v>1</v>
      </c>
      <c r="N2">
        <v>12</v>
      </c>
      <c r="O2">
        <v>2</v>
      </c>
      <c r="P2">
        <v>9</v>
      </c>
      <c r="Q2">
        <v>11</v>
      </c>
      <c r="R2">
        <v>5</v>
      </c>
      <c r="S2">
        <v>8</v>
      </c>
    </row>
    <row r="3" spans="1:19" x14ac:dyDescent="0.35">
      <c r="A3" s="66">
        <v>43862</v>
      </c>
      <c r="B3">
        <v>-2</v>
      </c>
      <c r="C3">
        <v>11</v>
      </c>
      <c r="D3">
        <v>9</v>
      </c>
      <c r="E3">
        <v>16</v>
      </c>
      <c r="F3">
        <v>13</v>
      </c>
      <c r="G3">
        <v>12</v>
      </c>
      <c r="H3">
        <v>6</v>
      </c>
      <c r="I3">
        <v>14</v>
      </c>
      <c r="J3">
        <v>10</v>
      </c>
      <c r="K3">
        <v>7</v>
      </c>
      <c r="L3">
        <v>8</v>
      </c>
      <c r="M3">
        <v>4</v>
      </c>
      <c r="N3">
        <v>-1</v>
      </c>
      <c r="O3">
        <v>2</v>
      </c>
      <c r="P3">
        <v>5</v>
      </c>
      <c r="Q3">
        <v>15</v>
      </c>
      <c r="R3">
        <v>1</v>
      </c>
      <c r="S3">
        <v>3</v>
      </c>
    </row>
    <row r="4" spans="1:19" x14ac:dyDescent="0.35">
      <c r="A4" s="66">
        <v>43891</v>
      </c>
      <c r="B4">
        <v>-7</v>
      </c>
      <c r="C4">
        <v>-3</v>
      </c>
      <c r="D4">
        <v>9</v>
      </c>
      <c r="E4">
        <v>0</v>
      </c>
      <c r="F4">
        <v>5</v>
      </c>
      <c r="G4">
        <v>8</v>
      </c>
      <c r="H4">
        <v>-6</v>
      </c>
      <c r="I4">
        <v>-4</v>
      </c>
      <c r="J4">
        <v>4</v>
      </c>
      <c r="K4">
        <v>2</v>
      </c>
      <c r="L4">
        <v>7</v>
      </c>
      <c r="M4">
        <v>-5</v>
      </c>
      <c r="N4">
        <v>0</v>
      </c>
      <c r="O4">
        <v>1</v>
      </c>
      <c r="P4">
        <v>-1</v>
      </c>
      <c r="Q4">
        <v>3</v>
      </c>
      <c r="R4">
        <v>-2</v>
      </c>
      <c r="S4">
        <v>6</v>
      </c>
    </row>
    <row r="5" spans="1:19" x14ac:dyDescent="0.35">
      <c r="A5" s="66">
        <v>43922</v>
      </c>
      <c r="B5">
        <v>-16</v>
      </c>
      <c r="C5">
        <v>-13</v>
      </c>
      <c r="D5">
        <v>-1</v>
      </c>
      <c r="E5">
        <v>-6</v>
      </c>
      <c r="F5">
        <v>0</v>
      </c>
      <c r="G5">
        <v>-3</v>
      </c>
      <c r="H5">
        <v>-10</v>
      </c>
      <c r="I5">
        <v>-9</v>
      </c>
      <c r="J5">
        <v>-11</v>
      </c>
      <c r="K5">
        <v>-12</v>
      </c>
      <c r="L5">
        <v>2</v>
      </c>
      <c r="M5">
        <v>-8</v>
      </c>
      <c r="N5">
        <v>-15</v>
      </c>
      <c r="O5">
        <v>-7</v>
      </c>
      <c r="P5">
        <v>-4</v>
      </c>
      <c r="Q5">
        <v>-5</v>
      </c>
      <c r="R5">
        <v>-14</v>
      </c>
      <c r="S5">
        <v>-2</v>
      </c>
    </row>
    <row r="6" spans="1:19" x14ac:dyDescent="0.35">
      <c r="A6" s="66">
        <v>43952</v>
      </c>
      <c r="B6">
        <v>-13</v>
      </c>
      <c r="C6">
        <v>-12</v>
      </c>
      <c r="D6">
        <v>-2</v>
      </c>
      <c r="E6">
        <v>-6</v>
      </c>
      <c r="F6">
        <v>3</v>
      </c>
      <c r="G6">
        <v>-4</v>
      </c>
      <c r="H6">
        <v>-3</v>
      </c>
      <c r="I6">
        <v>-14</v>
      </c>
      <c r="J6">
        <v>-11</v>
      </c>
      <c r="K6">
        <v>-7</v>
      </c>
      <c r="L6">
        <v>2</v>
      </c>
      <c r="M6">
        <v>-9</v>
      </c>
      <c r="N6">
        <v>4</v>
      </c>
      <c r="O6">
        <v>1</v>
      </c>
      <c r="P6">
        <v>-10</v>
      </c>
      <c r="Q6">
        <v>-5</v>
      </c>
      <c r="R6">
        <v>-1</v>
      </c>
      <c r="S6">
        <v>-8</v>
      </c>
    </row>
    <row r="7" spans="1:19" x14ac:dyDescent="0.35">
      <c r="A7" s="66">
        <v>43983</v>
      </c>
      <c r="B7">
        <v>5</v>
      </c>
      <c r="C7">
        <v>-2</v>
      </c>
      <c r="D7">
        <v>10</v>
      </c>
      <c r="E7">
        <v>0</v>
      </c>
      <c r="F7">
        <v>3</v>
      </c>
      <c r="G7">
        <v>11</v>
      </c>
      <c r="H7">
        <v>6</v>
      </c>
      <c r="I7">
        <v>-3</v>
      </c>
      <c r="J7">
        <v>9</v>
      </c>
      <c r="K7">
        <v>12</v>
      </c>
      <c r="L7">
        <v>2</v>
      </c>
      <c r="M7">
        <v>1</v>
      </c>
      <c r="N7">
        <v>14</v>
      </c>
      <c r="O7">
        <v>4</v>
      </c>
      <c r="P7">
        <v>0</v>
      </c>
      <c r="Q7">
        <v>-1</v>
      </c>
      <c r="R7">
        <v>8</v>
      </c>
      <c r="S7">
        <v>7</v>
      </c>
    </row>
    <row r="8" spans="1:19" x14ac:dyDescent="0.35">
      <c r="A8" s="66">
        <v>44013</v>
      </c>
      <c r="B8">
        <v>15</v>
      </c>
      <c r="C8">
        <v>-3</v>
      </c>
      <c r="D8">
        <v>14</v>
      </c>
      <c r="E8">
        <v>2</v>
      </c>
      <c r="F8">
        <v>6</v>
      </c>
      <c r="G8">
        <v>4</v>
      </c>
      <c r="H8">
        <v>12</v>
      </c>
      <c r="I8">
        <v>-2</v>
      </c>
      <c r="J8">
        <v>9</v>
      </c>
      <c r="K8">
        <v>11</v>
      </c>
      <c r="L8">
        <v>7</v>
      </c>
      <c r="M8">
        <v>-1</v>
      </c>
      <c r="N8">
        <v>3</v>
      </c>
      <c r="O8">
        <v>1</v>
      </c>
      <c r="P8">
        <v>10</v>
      </c>
      <c r="Q8">
        <v>5</v>
      </c>
      <c r="R8">
        <v>13</v>
      </c>
      <c r="S8">
        <v>8</v>
      </c>
    </row>
    <row r="9" spans="1:19" x14ac:dyDescent="0.35">
      <c r="A9" s="66">
        <v>44044</v>
      </c>
      <c r="B9">
        <v>15</v>
      </c>
      <c r="C9">
        <v>-1</v>
      </c>
      <c r="D9">
        <v>14</v>
      </c>
      <c r="E9">
        <v>12</v>
      </c>
      <c r="F9">
        <v>5</v>
      </c>
      <c r="G9">
        <v>2</v>
      </c>
      <c r="H9">
        <v>11</v>
      </c>
      <c r="I9">
        <v>-3</v>
      </c>
      <c r="J9">
        <v>9</v>
      </c>
      <c r="K9">
        <v>10</v>
      </c>
      <c r="L9">
        <v>6</v>
      </c>
      <c r="M9">
        <v>1</v>
      </c>
      <c r="N9">
        <v>3</v>
      </c>
      <c r="O9">
        <v>-2</v>
      </c>
      <c r="P9">
        <v>4</v>
      </c>
      <c r="Q9">
        <v>7</v>
      </c>
      <c r="R9">
        <v>8</v>
      </c>
      <c r="S9">
        <v>13</v>
      </c>
    </row>
    <row r="10" spans="1:19" x14ac:dyDescent="0.35">
      <c r="A10" s="66">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35">
      <c r="A11" s="66">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35">
      <c r="A12" s="66">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35">
      <c r="A13" s="66">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35">
      <c r="A14" s="66">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35">
      <c r="A15" s="66">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35">
      <c r="A16" s="66">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35">
      <c r="A17" s="66">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35">
      <c r="A18" s="66">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35">
      <c r="A19" s="66">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35">
      <c r="A20" s="66">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35">
      <c r="A21" s="66">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35">
      <c r="A22" s="66">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35">
      <c r="A23" s="66">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35">
      <c r="A24" s="66">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35">
      <c r="A25" s="66">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35">
      <c r="A26" s="66">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35">
      <c r="A27" s="66">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35">
      <c r="A28" s="66">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35">
      <c r="A29" s="66">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35">
      <c r="A30" s="66">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35">
      <c r="A31" s="66">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35">
      <c r="A32" s="66">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35">
      <c r="A33" s="66">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35">
      <c r="A34" s="66">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35">
      <c r="A35" s="66">
        <v>44835</v>
      </c>
      <c r="B35">
        <v>5</v>
      </c>
      <c r="C35">
        <v>4</v>
      </c>
      <c r="D35">
        <v>14</v>
      </c>
      <c r="E35">
        <v>2</v>
      </c>
      <c r="F35">
        <v>15</v>
      </c>
      <c r="G35">
        <v>17</v>
      </c>
      <c r="H35">
        <v>10</v>
      </c>
      <c r="I35">
        <v>13</v>
      </c>
      <c r="J35">
        <v>11</v>
      </c>
      <c r="K35">
        <v>-1</v>
      </c>
      <c r="L35">
        <v>7</v>
      </c>
      <c r="M35">
        <v>8</v>
      </c>
      <c r="N35">
        <v>3</v>
      </c>
      <c r="O35">
        <v>16</v>
      </c>
      <c r="P35">
        <v>9</v>
      </c>
      <c r="Q35">
        <v>6</v>
      </c>
      <c r="R35">
        <v>1</v>
      </c>
      <c r="S35">
        <v>12</v>
      </c>
    </row>
    <row r="36" spans="1:19" x14ac:dyDescent="0.35">
      <c r="A36" s="66">
        <v>44866</v>
      </c>
      <c r="B36">
        <v>5</v>
      </c>
      <c r="C36">
        <v>7</v>
      </c>
      <c r="D36">
        <v>14</v>
      </c>
      <c r="E36">
        <v>16</v>
      </c>
      <c r="F36">
        <v>1</v>
      </c>
      <c r="G36">
        <v>15</v>
      </c>
      <c r="H36">
        <v>2</v>
      </c>
      <c r="I36">
        <v>4</v>
      </c>
      <c r="J36">
        <v>-1</v>
      </c>
      <c r="K36">
        <v>-2</v>
      </c>
      <c r="L36">
        <v>12</v>
      </c>
      <c r="M36">
        <v>6</v>
      </c>
      <c r="N36">
        <v>8</v>
      </c>
      <c r="O36">
        <v>9</v>
      </c>
      <c r="P36">
        <v>11</v>
      </c>
      <c r="Q36">
        <v>13</v>
      </c>
      <c r="R36">
        <v>3</v>
      </c>
      <c r="S36">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50" zoomScaleNormal="150" workbookViewId="0">
      <selection activeCell="J58" sqref="J58"/>
    </sheetView>
  </sheetViews>
  <sheetFormatPr defaultColWidth="10.90625" defaultRowHeight="14.5" x14ac:dyDescent="0.35"/>
  <sheetData>
    <row r="1" spans="1:19" x14ac:dyDescent="0.35">
      <c r="A1" t="s">
        <v>46</v>
      </c>
      <c r="B1" t="s">
        <v>47</v>
      </c>
      <c r="C1" t="s">
        <v>23</v>
      </c>
      <c r="D1" t="s">
        <v>43</v>
      </c>
      <c r="E1" t="s">
        <v>14</v>
      </c>
      <c r="F1" t="s">
        <v>42</v>
      </c>
      <c r="G1" t="s">
        <v>40</v>
      </c>
      <c r="H1" t="s">
        <v>37</v>
      </c>
      <c r="I1" t="s">
        <v>17</v>
      </c>
      <c r="J1" t="s">
        <v>31</v>
      </c>
      <c r="K1" t="s">
        <v>26</v>
      </c>
      <c r="L1" t="s">
        <v>39</v>
      </c>
      <c r="M1" t="s">
        <v>44</v>
      </c>
      <c r="N1" t="s">
        <v>45</v>
      </c>
      <c r="O1" t="s">
        <v>35</v>
      </c>
      <c r="P1" t="s">
        <v>33</v>
      </c>
      <c r="Q1" t="s">
        <v>20</v>
      </c>
      <c r="R1" t="s">
        <v>41</v>
      </c>
      <c r="S1" t="s">
        <v>28</v>
      </c>
    </row>
    <row r="2" spans="1:19" x14ac:dyDescent="0.35">
      <c r="A2" s="66">
        <v>43831</v>
      </c>
      <c r="B2">
        <v>-3</v>
      </c>
      <c r="C2">
        <v>-1</v>
      </c>
      <c r="D2">
        <v>10</v>
      </c>
      <c r="E2">
        <v>5</v>
      </c>
      <c r="F2">
        <v>7</v>
      </c>
      <c r="G2">
        <v>0</v>
      </c>
      <c r="H2">
        <v>9</v>
      </c>
      <c r="I2">
        <v>-4</v>
      </c>
      <c r="J2">
        <v>6</v>
      </c>
      <c r="K2">
        <v>-2</v>
      </c>
      <c r="L2">
        <v>8</v>
      </c>
      <c r="M2">
        <v>1</v>
      </c>
      <c r="N2">
        <v>12</v>
      </c>
      <c r="O2">
        <v>3</v>
      </c>
      <c r="P2">
        <v>2</v>
      </c>
      <c r="Q2">
        <v>11</v>
      </c>
      <c r="R2">
        <v>0</v>
      </c>
      <c r="S2">
        <v>4</v>
      </c>
    </row>
    <row r="3" spans="1:19" x14ac:dyDescent="0.35">
      <c r="A3" s="66">
        <v>43862</v>
      </c>
      <c r="B3">
        <v>-3</v>
      </c>
      <c r="C3">
        <v>1</v>
      </c>
      <c r="D3">
        <v>6</v>
      </c>
      <c r="E3">
        <v>13</v>
      </c>
      <c r="F3">
        <v>9</v>
      </c>
      <c r="G3">
        <v>10</v>
      </c>
      <c r="H3">
        <v>7</v>
      </c>
      <c r="I3">
        <v>11</v>
      </c>
      <c r="J3">
        <v>4</v>
      </c>
      <c r="K3">
        <v>3</v>
      </c>
      <c r="L3">
        <v>8</v>
      </c>
      <c r="M3">
        <v>2</v>
      </c>
      <c r="N3">
        <v>0</v>
      </c>
      <c r="O3">
        <v>-2</v>
      </c>
      <c r="P3">
        <v>5</v>
      </c>
      <c r="Q3">
        <v>12</v>
      </c>
      <c r="R3">
        <v>0</v>
      </c>
      <c r="S3">
        <v>-1</v>
      </c>
    </row>
    <row r="4" spans="1:19" x14ac:dyDescent="0.35">
      <c r="A4" s="66">
        <v>43891</v>
      </c>
      <c r="B4">
        <v>-9</v>
      </c>
      <c r="C4">
        <v>-7</v>
      </c>
      <c r="D4">
        <v>5</v>
      </c>
      <c r="E4">
        <v>4</v>
      </c>
      <c r="F4">
        <v>1</v>
      </c>
      <c r="G4">
        <v>0</v>
      </c>
      <c r="H4">
        <v>-3</v>
      </c>
      <c r="I4">
        <v>-8</v>
      </c>
      <c r="J4">
        <v>3</v>
      </c>
      <c r="K4">
        <v>-2</v>
      </c>
      <c r="L4">
        <v>2</v>
      </c>
      <c r="M4">
        <v>-4</v>
      </c>
      <c r="N4">
        <v>0</v>
      </c>
      <c r="O4">
        <v>-1</v>
      </c>
      <c r="P4">
        <v>-6</v>
      </c>
      <c r="Q4">
        <v>0</v>
      </c>
      <c r="R4">
        <v>-5</v>
      </c>
      <c r="S4">
        <v>0</v>
      </c>
    </row>
    <row r="5" spans="1:19" x14ac:dyDescent="0.35">
      <c r="A5" s="66">
        <v>43922</v>
      </c>
      <c r="B5">
        <v>-17</v>
      </c>
      <c r="C5">
        <v>-13</v>
      </c>
      <c r="D5">
        <v>-4</v>
      </c>
      <c r="E5">
        <v>-2</v>
      </c>
      <c r="F5">
        <v>0</v>
      </c>
      <c r="G5">
        <v>-12</v>
      </c>
      <c r="H5">
        <v>-15</v>
      </c>
      <c r="I5">
        <v>-5</v>
      </c>
      <c r="J5">
        <v>-7</v>
      </c>
      <c r="K5">
        <v>-8</v>
      </c>
      <c r="L5">
        <v>-1</v>
      </c>
      <c r="M5">
        <v>-11</v>
      </c>
      <c r="N5">
        <v>-16</v>
      </c>
      <c r="O5">
        <v>-3</v>
      </c>
      <c r="P5">
        <v>-10</v>
      </c>
      <c r="Q5">
        <v>-9</v>
      </c>
      <c r="R5">
        <v>-14</v>
      </c>
      <c r="S5">
        <v>-6</v>
      </c>
    </row>
    <row r="6" spans="1:19" x14ac:dyDescent="0.35">
      <c r="A6" s="66">
        <v>43952</v>
      </c>
      <c r="B6">
        <v>-8</v>
      </c>
      <c r="C6">
        <v>-10</v>
      </c>
      <c r="D6">
        <v>-6</v>
      </c>
      <c r="E6">
        <v>-5</v>
      </c>
      <c r="F6">
        <v>2</v>
      </c>
      <c r="G6">
        <v>0</v>
      </c>
      <c r="H6">
        <v>-2</v>
      </c>
      <c r="I6">
        <v>-13</v>
      </c>
      <c r="J6">
        <v>-11</v>
      </c>
      <c r="K6">
        <v>-4</v>
      </c>
      <c r="L6">
        <v>0</v>
      </c>
      <c r="M6">
        <v>-7</v>
      </c>
      <c r="N6">
        <v>3</v>
      </c>
      <c r="O6">
        <v>-1</v>
      </c>
      <c r="P6">
        <v>-12</v>
      </c>
      <c r="Q6">
        <v>-3</v>
      </c>
      <c r="R6">
        <v>1</v>
      </c>
      <c r="S6">
        <v>-9</v>
      </c>
    </row>
    <row r="7" spans="1:19" x14ac:dyDescent="0.35">
      <c r="A7" s="66">
        <v>43983</v>
      </c>
      <c r="B7">
        <v>0</v>
      </c>
      <c r="C7">
        <v>-1</v>
      </c>
      <c r="D7">
        <v>11</v>
      </c>
      <c r="E7">
        <v>14</v>
      </c>
      <c r="F7">
        <v>13</v>
      </c>
      <c r="G7">
        <v>7</v>
      </c>
      <c r="H7">
        <v>5</v>
      </c>
      <c r="I7">
        <v>2</v>
      </c>
      <c r="J7">
        <v>12</v>
      </c>
      <c r="K7">
        <v>4</v>
      </c>
      <c r="L7">
        <v>0</v>
      </c>
      <c r="M7">
        <v>1</v>
      </c>
      <c r="N7">
        <v>8</v>
      </c>
      <c r="O7">
        <v>3</v>
      </c>
      <c r="P7">
        <v>6</v>
      </c>
      <c r="Q7">
        <v>15</v>
      </c>
      <c r="R7">
        <v>9</v>
      </c>
      <c r="S7">
        <v>10</v>
      </c>
    </row>
    <row r="8" spans="1:19" x14ac:dyDescent="0.35">
      <c r="A8" s="66">
        <v>44013</v>
      </c>
      <c r="B8">
        <v>11</v>
      </c>
      <c r="C8">
        <v>-2</v>
      </c>
      <c r="D8">
        <v>9</v>
      </c>
      <c r="E8">
        <v>5</v>
      </c>
      <c r="F8">
        <v>2</v>
      </c>
      <c r="G8">
        <v>8</v>
      </c>
      <c r="H8">
        <v>14</v>
      </c>
      <c r="I8">
        <v>-3</v>
      </c>
      <c r="J8">
        <v>4</v>
      </c>
      <c r="K8">
        <v>10</v>
      </c>
      <c r="L8">
        <v>7</v>
      </c>
      <c r="M8">
        <v>0</v>
      </c>
      <c r="N8">
        <v>6</v>
      </c>
      <c r="O8">
        <v>-1</v>
      </c>
      <c r="P8">
        <v>12</v>
      </c>
      <c r="Q8">
        <v>3</v>
      </c>
      <c r="R8">
        <v>13</v>
      </c>
      <c r="S8">
        <v>1</v>
      </c>
    </row>
    <row r="9" spans="1:19" x14ac:dyDescent="0.35">
      <c r="A9" s="66">
        <v>44044</v>
      </c>
      <c r="B9">
        <v>13</v>
      </c>
      <c r="C9">
        <v>0</v>
      </c>
      <c r="D9">
        <v>9</v>
      </c>
      <c r="E9">
        <v>2</v>
      </c>
      <c r="F9">
        <v>4</v>
      </c>
      <c r="G9">
        <v>10</v>
      </c>
      <c r="H9">
        <v>5</v>
      </c>
      <c r="I9">
        <v>-1</v>
      </c>
      <c r="J9">
        <v>6</v>
      </c>
      <c r="K9">
        <v>8</v>
      </c>
      <c r="L9">
        <v>7</v>
      </c>
      <c r="M9">
        <v>0</v>
      </c>
      <c r="N9">
        <v>-3</v>
      </c>
      <c r="O9">
        <v>-2</v>
      </c>
      <c r="P9">
        <v>3</v>
      </c>
      <c r="Q9">
        <v>11</v>
      </c>
      <c r="R9">
        <v>1</v>
      </c>
      <c r="S9">
        <v>12</v>
      </c>
    </row>
    <row r="10" spans="1:19" x14ac:dyDescent="0.35">
      <c r="A10" s="66">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35">
      <c r="A11" s="66">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35">
      <c r="A12" s="66">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35">
      <c r="A13" s="66">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35">
      <c r="A14" s="66">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35">
      <c r="A15" s="66">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35">
      <c r="A16" s="66">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35">
      <c r="A17" s="66">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35">
      <c r="A18" s="66">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35">
      <c r="A19" s="66">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35">
      <c r="A20" s="66">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35">
      <c r="A21" s="66">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35">
      <c r="A22" s="66">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35">
      <c r="A23" s="66">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35">
      <c r="A24" s="66">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35">
      <c r="A25" s="66">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35">
      <c r="A26" s="66">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35">
      <c r="A27" s="66">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35">
      <c r="A28" s="66">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35">
      <c r="A29" s="66">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35">
      <c r="A30" s="66">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35">
      <c r="A31" s="66">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35">
      <c r="A32" s="66">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35">
      <c r="A33" s="66">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35">
      <c r="A34" s="66">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35">
      <c r="A35" s="66">
        <v>44835</v>
      </c>
      <c r="B35">
        <v>11</v>
      </c>
      <c r="C35">
        <v>5</v>
      </c>
      <c r="D35">
        <v>1</v>
      </c>
      <c r="E35">
        <v>7</v>
      </c>
      <c r="F35">
        <v>4</v>
      </c>
      <c r="G35">
        <v>-2</v>
      </c>
      <c r="H35">
        <v>9</v>
      </c>
      <c r="I35">
        <v>15</v>
      </c>
      <c r="J35">
        <v>13</v>
      </c>
      <c r="K35">
        <v>2</v>
      </c>
      <c r="L35">
        <v>0</v>
      </c>
      <c r="M35">
        <v>6</v>
      </c>
      <c r="N35">
        <v>14</v>
      </c>
      <c r="O35">
        <v>12</v>
      </c>
      <c r="P35">
        <v>10</v>
      </c>
      <c r="Q35">
        <v>-1</v>
      </c>
      <c r="R35">
        <v>3</v>
      </c>
      <c r="S35">
        <v>8</v>
      </c>
    </row>
    <row r="36" spans="1:19" x14ac:dyDescent="0.35">
      <c r="A36" s="66">
        <v>44866</v>
      </c>
      <c r="B36">
        <v>0</v>
      </c>
      <c r="C36">
        <v>10</v>
      </c>
      <c r="D36">
        <v>6</v>
      </c>
      <c r="E36">
        <v>12</v>
      </c>
      <c r="F36">
        <v>0</v>
      </c>
      <c r="G36">
        <v>13</v>
      </c>
      <c r="H36">
        <v>2</v>
      </c>
      <c r="I36">
        <v>11</v>
      </c>
      <c r="J36">
        <v>8</v>
      </c>
      <c r="K36">
        <v>1</v>
      </c>
      <c r="L36">
        <v>9</v>
      </c>
      <c r="M36">
        <v>4</v>
      </c>
      <c r="N36">
        <v>7</v>
      </c>
      <c r="O36">
        <v>5</v>
      </c>
      <c r="P36">
        <v>0</v>
      </c>
      <c r="Q36">
        <v>0</v>
      </c>
      <c r="R36">
        <v>3</v>
      </c>
      <c r="S3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50" zoomScaleNormal="150" workbookViewId="0">
      <selection activeCell="K38" sqref="K38"/>
    </sheetView>
  </sheetViews>
  <sheetFormatPr defaultColWidth="10.90625" defaultRowHeight="14.5" x14ac:dyDescent="0.35"/>
  <sheetData>
    <row r="1" spans="1:19" x14ac:dyDescent="0.35">
      <c r="A1" t="s">
        <v>46</v>
      </c>
      <c r="B1" t="s">
        <v>47</v>
      </c>
      <c r="C1" t="s">
        <v>23</v>
      </c>
      <c r="D1" t="s">
        <v>43</v>
      </c>
      <c r="E1" t="s">
        <v>14</v>
      </c>
      <c r="F1" t="s">
        <v>42</v>
      </c>
      <c r="G1" t="s">
        <v>40</v>
      </c>
      <c r="H1" t="s">
        <v>37</v>
      </c>
      <c r="I1" t="s">
        <v>17</v>
      </c>
      <c r="J1" t="s">
        <v>31</v>
      </c>
      <c r="K1" t="s">
        <v>26</v>
      </c>
      <c r="L1" t="s">
        <v>39</v>
      </c>
      <c r="M1" t="s">
        <v>44</v>
      </c>
      <c r="N1" t="s">
        <v>45</v>
      </c>
      <c r="O1" t="s">
        <v>35</v>
      </c>
      <c r="P1" t="s">
        <v>33</v>
      </c>
      <c r="Q1" t="s">
        <v>20</v>
      </c>
      <c r="R1" t="s">
        <v>41</v>
      </c>
      <c r="S1" t="s">
        <v>28</v>
      </c>
    </row>
    <row r="2" spans="1:19" x14ac:dyDescent="0.35">
      <c r="A2" s="66">
        <v>43831</v>
      </c>
      <c r="B2">
        <v>0</v>
      </c>
      <c r="C2">
        <v>-2</v>
      </c>
      <c r="D2">
        <v>5</v>
      </c>
      <c r="E2">
        <v>8</v>
      </c>
      <c r="F2">
        <v>6</v>
      </c>
      <c r="G2">
        <v>-4</v>
      </c>
      <c r="H2">
        <v>0</v>
      </c>
      <c r="I2">
        <v>0</v>
      </c>
      <c r="J2">
        <v>2</v>
      </c>
      <c r="K2">
        <v>1</v>
      </c>
      <c r="L2">
        <v>7</v>
      </c>
      <c r="M2">
        <v>-1</v>
      </c>
      <c r="N2">
        <v>10</v>
      </c>
      <c r="O2">
        <v>0</v>
      </c>
      <c r="P2">
        <v>3</v>
      </c>
      <c r="Q2">
        <v>9</v>
      </c>
      <c r="R2">
        <v>-3</v>
      </c>
      <c r="S2">
        <v>4</v>
      </c>
    </row>
    <row r="3" spans="1:19" x14ac:dyDescent="0.35">
      <c r="A3" s="66">
        <v>43862</v>
      </c>
      <c r="B3">
        <v>-1</v>
      </c>
      <c r="C3">
        <v>6</v>
      </c>
      <c r="D3">
        <v>5</v>
      </c>
      <c r="E3">
        <v>16</v>
      </c>
      <c r="F3">
        <v>10</v>
      </c>
      <c r="G3">
        <v>0</v>
      </c>
      <c r="H3">
        <v>11</v>
      </c>
      <c r="I3">
        <v>13</v>
      </c>
      <c r="J3">
        <v>12</v>
      </c>
      <c r="K3">
        <v>7</v>
      </c>
      <c r="L3">
        <v>8</v>
      </c>
      <c r="M3">
        <v>3</v>
      </c>
      <c r="N3">
        <v>9</v>
      </c>
      <c r="O3">
        <v>2</v>
      </c>
      <c r="P3">
        <v>4</v>
      </c>
      <c r="Q3">
        <v>14</v>
      </c>
      <c r="R3">
        <v>0</v>
      </c>
      <c r="S3">
        <v>1</v>
      </c>
    </row>
    <row r="4" spans="1:19" x14ac:dyDescent="0.35">
      <c r="A4" s="66">
        <v>43891</v>
      </c>
      <c r="B4">
        <v>-8</v>
      </c>
      <c r="C4">
        <v>-9</v>
      </c>
      <c r="D4">
        <v>4</v>
      </c>
      <c r="E4">
        <v>3</v>
      </c>
      <c r="F4">
        <v>0</v>
      </c>
      <c r="G4">
        <v>5</v>
      </c>
      <c r="H4">
        <v>0</v>
      </c>
      <c r="I4">
        <v>-3</v>
      </c>
      <c r="J4">
        <v>1</v>
      </c>
      <c r="K4">
        <v>-4</v>
      </c>
      <c r="L4">
        <v>2</v>
      </c>
      <c r="M4">
        <v>-5</v>
      </c>
      <c r="N4">
        <v>0</v>
      </c>
      <c r="O4">
        <v>-1</v>
      </c>
      <c r="P4">
        <v>-6</v>
      </c>
      <c r="Q4">
        <v>-2</v>
      </c>
      <c r="R4">
        <v>-7</v>
      </c>
      <c r="S4">
        <v>0</v>
      </c>
    </row>
    <row r="5" spans="1:19" x14ac:dyDescent="0.35">
      <c r="A5" s="66">
        <v>43922</v>
      </c>
      <c r="B5">
        <v>-16</v>
      </c>
      <c r="C5">
        <v>-8</v>
      </c>
      <c r="D5">
        <v>-1</v>
      </c>
      <c r="E5">
        <v>-2</v>
      </c>
      <c r="F5">
        <v>1</v>
      </c>
      <c r="G5">
        <v>-6</v>
      </c>
      <c r="H5">
        <v>-4</v>
      </c>
      <c r="I5">
        <v>-13</v>
      </c>
      <c r="J5">
        <v>-7</v>
      </c>
      <c r="K5">
        <v>-11</v>
      </c>
      <c r="L5">
        <v>2</v>
      </c>
      <c r="M5">
        <v>-10</v>
      </c>
      <c r="N5">
        <v>-15</v>
      </c>
      <c r="O5">
        <v>-5</v>
      </c>
      <c r="P5">
        <v>-9</v>
      </c>
      <c r="Q5">
        <v>-3</v>
      </c>
      <c r="R5">
        <v>-14</v>
      </c>
      <c r="S5">
        <v>-12</v>
      </c>
    </row>
    <row r="6" spans="1:19" x14ac:dyDescent="0.35">
      <c r="A6" s="66">
        <v>43952</v>
      </c>
      <c r="B6">
        <v>-9</v>
      </c>
      <c r="C6">
        <v>-13</v>
      </c>
      <c r="D6">
        <v>-3</v>
      </c>
      <c r="E6">
        <v>-5</v>
      </c>
      <c r="F6">
        <v>0</v>
      </c>
      <c r="G6">
        <v>0</v>
      </c>
      <c r="H6">
        <v>-4</v>
      </c>
      <c r="I6">
        <v>-14</v>
      </c>
      <c r="J6">
        <v>-8</v>
      </c>
      <c r="K6">
        <v>-6</v>
      </c>
      <c r="L6">
        <v>-1</v>
      </c>
      <c r="M6">
        <v>-7</v>
      </c>
      <c r="N6">
        <v>0</v>
      </c>
      <c r="O6">
        <v>0</v>
      </c>
      <c r="P6">
        <v>-12</v>
      </c>
      <c r="Q6">
        <v>-11</v>
      </c>
      <c r="R6">
        <v>-2</v>
      </c>
      <c r="S6">
        <v>-10</v>
      </c>
    </row>
    <row r="7" spans="1:19" x14ac:dyDescent="0.35">
      <c r="A7" s="66">
        <v>43983</v>
      </c>
      <c r="B7">
        <v>7</v>
      </c>
      <c r="C7">
        <v>10</v>
      </c>
      <c r="D7">
        <v>11</v>
      </c>
      <c r="E7">
        <v>13</v>
      </c>
      <c r="F7">
        <v>8</v>
      </c>
      <c r="G7">
        <v>14</v>
      </c>
      <c r="H7">
        <v>2</v>
      </c>
      <c r="I7">
        <v>12</v>
      </c>
      <c r="J7">
        <v>6</v>
      </c>
      <c r="K7">
        <v>5</v>
      </c>
      <c r="L7">
        <v>0</v>
      </c>
      <c r="M7">
        <v>1</v>
      </c>
      <c r="N7">
        <v>0</v>
      </c>
      <c r="O7">
        <v>4</v>
      </c>
      <c r="P7">
        <v>3</v>
      </c>
      <c r="Q7">
        <v>0</v>
      </c>
      <c r="R7">
        <v>9</v>
      </c>
      <c r="S7">
        <v>-1</v>
      </c>
    </row>
    <row r="8" spans="1:19" x14ac:dyDescent="0.35">
      <c r="A8" s="66">
        <v>44013</v>
      </c>
      <c r="B8">
        <v>9</v>
      </c>
      <c r="C8">
        <v>0</v>
      </c>
      <c r="D8">
        <v>11</v>
      </c>
      <c r="E8">
        <v>0</v>
      </c>
      <c r="F8">
        <v>2</v>
      </c>
      <c r="G8">
        <v>7</v>
      </c>
      <c r="H8">
        <v>3</v>
      </c>
      <c r="I8">
        <v>-2</v>
      </c>
      <c r="J8">
        <v>5</v>
      </c>
      <c r="K8">
        <v>10</v>
      </c>
      <c r="L8">
        <v>6</v>
      </c>
      <c r="M8">
        <v>-1</v>
      </c>
      <c r="N8">
        <v>0</v>
      </c>
      <c r="O8">
        <v>0</v>
      </c>
      <c r="P8">
        <v>8</v>
      </c>
      <c r="Q8">
        <v>4</v>
      </c>
      <c r="R8">
        <v>12</v>
      </c>
      <c r="S8">
        <v>1</v>
      </c>
    </row>
    <row r="9" spans="1:19" x14ac:dyDescent="0.35">
      <c r="A9" s="66">
        <v>44044</v>
      </c>
      <c r="B9">
        <v>12</v>
      </c>
      <c r="C9">
        <v>0</v>
      </c>
      <c r="D9">
        <v>8</v>
      </c>
      <c r="E9">
        <v>9</v>
      </c>
      <c r="F9">
        <v>4</v>
      </c>
      <c r="G9">
        <v>-3</v>
      </c>
      <c r="H9">
        <v>2</v>
      </c>
      <c r="I9">
        <v>-5</v>
      </c>
      <c r="J9">
        <v>1</v>
      </c>
      <c r="K9">
        <v>5</v>
      </c>
      <c r="L9">
        <v>10</v>
      </c>
      <c r="M9">
        <v>-1</v>
      </c>
      <c r="N9">
        <v>-4</v>
      </c>
      <c r="O9">
        <v>-2</v>
      </c>
      <c r="P9">
        <v>7</v>
      </c>
      <c r="Q9">
        <v>6</v>
      </c>
      <c r="R9">
        <v>3</v>
      </c>
      <c r="S9">
        <v>11</v>
      </c>
    </row>
    <row r="10" spans="1:19" x14ac:dyDescent="0.35">
      <c r="A10" s="66">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35">
      <c r="A11" s="66">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35">
      <c r="A12" s="66">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35">
      <c r="A13" s="66">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35">
      <c r="A14" s="66">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35">
      <c r="A15" s="66">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35">
      <c r="A16" s="66">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35">
      <c r="A17" s="66">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35">
      <c r="A18" s="66">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35">
      <c r="A19" s="66">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35">
      <c r="A20" s="66">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35">
      <c r="A21" s="66">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35">
      <c r="A22" s="66">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35">
      <c r="A23" s="66">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35">
      <c r="A24" s="66">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35">
      <c r="A25" s="66">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35">
      <c r="A26" s="66">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35">
      <c r="A27" s="66">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35">
      <c r="A28" s="66">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35">
      <c r="A29" s="66">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35">
      <c r="A30" s="66">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35">
      <c r="A31" s="66">
        <v>44713</v>
      </c>
      <c r="B31">
        <v>9</v>
      </c>
      <c r="C31">
        <v>10</v>
      </c>
      <c r="D31">
        <v>5</v>
      </c>
      <c r="E31">
        <v>13</v>
      </c>
      <c r="F31">
        <v>3</v>
      </c>
      <c r="G31">
        <v>7</v>
      </c>
      <c r="H31">
        <v>8</v>
      </c>
      <c r="I31">
        <v>12</v>
      </c>
      <c r="J31">
        <v>-2</v>
      </c>
      <c r="K31">
        <v>4</v>
      </c>
      <c r="L31">
        <v>1</v>
      </c>
      <c r="M31">
        <v>2</v>
      </c>
      <c r="N31">
        <v>0</v>
      </c>
      <c r="O31">
        <v>0</v>
      </c>
      <c r="P31">
        <v>-1</v>
      </c>
      <c r="Q31">
        <v>11</v>
      </c>
      <c r="R31">
        <v>0</v>
      </c>
      <c r="S31">
        <v>6</v>
      </c>
    </row>
    <row r="32" spans="1:19" x14ac:dyDescent="0.35">
      <c r="A32" s="66">
        <v>44743</v>
      </c>
      <c r="B32">
        <v>0</v>
      </c>
      <c r="C32">
        <v>6</v>
      </c>
      <c r="D32">
        <v>1</v>
      </c>
      <c r="E32">
        <v>-4</v>
      </c>
      <c r="F32">
        <v>0</v>
      </c>
      <c r="G32">
        <v>11</v>
      </c>
      <c r="H32">
        <v>7</v>
      </c>
      <c r="I32">
        <v>10</v>
      </c>
      <c r="J32">
        <v>3</v>
      </c>
      <c r="K32">
        <v>-1</v>
      </c>
      <c r="L32">
        <v>8</v>
      </c>
      <c r="M32">
        <v>2</v>
      </c>
      <c r="N32">
        <v>-5</v>
      </c>
      <c r="O32">
        <v>-2</v>
      </c>
      <c r="P32">
        <v>9</v>
      </c>
      <c r="Q32">
        <v>4</v>
      </c>
      <c r="R32">
        <v>-3</v>
      </c>
      <c r="S32">
        <v>5</v>
      </c>
    </row>
    <row r="33" spans="1:19" x14ac:dyDescent="0.35">
      <c r="A33" s="66">
        <v>44774</v>
      </c>
      <c r="B33">
        <v>0</v>
      </c>
      <c r="C33">
        <v>0</v>
      </c>
      <c r="D33">
        <v>4</v>
      </c>
      <c r="E33">
        <v>0</v>
      </c>
      <c r="F33">
        <v>2</v>
      </c>
      <c r="G33">
        <v>8</v>
      </c>
      <c r="H33">
        <v>0</v>
      </c>
      <c r="I33">
        <v>11</v>
      </c>
      <c r="J33">
        <v>0</v>
      </c>
      <c r="K33">
        <v>6</v>
      </c>
      <c r="L33">
        <v>7</v>
      </c>
      <c r="M33">
        <v>1</v>
      </c>
      <c r="N33">
        <v>-1</v>
      </c>
      <c r="O33">
        <v>10</v>
      </c>
      <c r="P33">
        <v>12</v>
      </c>
      <c r="Q33">
        <v>3</v>
      </c>
      <c r="R33">
        <v>5</v>
      </c>
      <c r="S33">
        <v>9</v>
      </c>
    </row>
    <row r="34" spans="1:19" x14ac:dyDescent="0.35">
      <c r="A34" s="66">
        <v>44805</v>
      </c>
      <c r="B34">
        <v>-2</v>
      </c>
      <c r="C34">
        <v>12</v>
      </c>
      <c r="D34">
        <v>5</v>
      </c>
      <c r="E34">
        <v>0</v>
      </c>
      <c r="F34">
        <v>2</v>
      </c>
      <c r="G34">
        <v>9</v>
      </c>
      <c r="H34">
        <v>-1</v>
      </c>
      <c r="I34">
        <v>13</v>
      </c>
      <c r="J34">
        <v>0</v>
      </c>
      <c r="K34">
        <v>6</v>
      </c>
      <c r="L34">
        <v>7</v>
      </c>
      <c r="M34">
        <v>3</v>
      </c>
      <c r="N34">
        <v>4</v>
      </c>
      <c r="O34">
        <v>8</v>
      </c>
      <c r="P34">
        <v>10</v>
      </c>
      <c r="Q34">
        <v>0</v>
      </c>
      <c r="R34">
        <v>11</v>
      </c>
      <c r="S34">
        <v>1</v>
      </c>
    </row>
    <row r="35" spans="1:19" x14ac:dyDescent="0.35">
      <c r="A35" s="66">
        <v>44835</v>
      </c>
      <c r="B35">
        <v>0</v>
      </c>
      <c r="C35">
        <v>11</v>
      </c>
      <c r="D35">
        <v>1</v>
      </c>
      <c r="E35">
        <v>7</v>
      </c>
      <c r="F35">
        <v>4</v>
      </c>
      <c r="G35">
        <v>-2</v>
      </c>
      <c r="H35">
        <v>10</v>
      </c>
      <c r="I35">
        <v>13</v>
      </c>
      <c r="J35">
        <v>5</v>
      </c>
      <c r="K35">
        <v>-1</v>
      </c>
      <c r="L35">
        <v>0</v>
      </c>
      <c r="M35">
        <v>6</v>
      </c>
      <c r="N35">
        <v>9</v>
      </c>
      <c r="O35">
        <v>12</v>
      </c>
      <c r="P35">
        <v>2</v>
      </c>
      <c r="Q35">
        <v>0</v>
      </c>
      <c r="R35">
        <v>8</v>
      </c>
      <c r="S35">
        <v>3</v>
      </c>
    </row>
    <row r="36" spans="1:19" x14ac:dyDescent="0.35">
      <c r="A36" s="66">
        <v>44866</v>
      </c>
      <c r="B36">
        <v>0</v>
      </c>
      <c r="C36">
        <v>11</v>
      </c>
      <c r="D36">
        <v>4</v>
      </c>
      <c r="E36">
        <v>9</v>
      </c>
      <c r="F36">
        <v>0</v>
      </c>
      <c r="G36">
        <v>12</v>
      </c>
      <c r="H36">
        <v>5</v>
      </c>
      <c r="I36">
        <v>7</v>
      </c>
      <c r="J36">
        <v>3</v>
      </c>
      <c r="K36">
        <v>-3</v>
      </c>
      <c r="L36">
        <v>6</v>
      </c>
      <c r="M36">
        <v>2</v>
      </c>
      <c r="N36">
        <v>8</v>
      </c>
      <c r="O36">
        <v>-2</v>
      </c>
      <c r="P36">
        <v>-1</v>
      </c>
      <c r="Q36">
        <v>-4</v>
      </c>
      <c r="R36">
        <v>10</v>
      </c>
      <c r="S36">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9"/>
  <sheetViews>
    <sheetView zoomScale="150" zoomScaleNormal="150" workbookViewId="0">
      <pane ySplit="1" topLeftCell="A583" activePane="bottomLeft" state="frozen"/>
      <selection pane="bottomLeft" activeCell="U396" sqref="U396"/>
    </sheetView>
  </sheetViews>
  <sheetFormatPr defaultColWidth="10.90625" defaultRowHeight="14.5" x14ac:dyDescent="0.35"/>
  <cols>
    <col min="12" max="12" width="14.453125" customWidth="1"/>
  </cols>
  <sheetData>
    <row r="1" spans="1:20" x14ac:dyDescent="0.35">
      <c r="A1" t="s">
        <v>46</v>
      </c>
      <c r="B1" t="s">
        <v>48</v>
      </c>
      <c r="C1" t="s">
        <v>49</v>
      </c>
      <c r="D1" t="s">
        <v>50</v>
      </c>
      <c r="E1" t="s">
        <v>51</v>
      </c>
      <c r="F1" t="s">
        <v>52</v>
      </c>
      <c r="G1" t="s">
        <v>53</v>
      </c>
      <c r="H1" t="s">
        <v>54</v>
      </c>
      <c r="I1" t="s">
        <v>55</v>
      </c>
      <c r="J1" t="s">
        <v>56</v>
      </c>
      <c r="K1" t="s">
        <v>57</v>
      </c>
      <c r="L1" t="s">
        <v>58</v>
      </c>
      <c r="M1" t="s">
        <v>59</v>
      </c>
      <c r="N1" t="s">
        <v>60</v>
      </c>
      <c r="O1" t="s">
        <v>61</v>
      </c>
      <c r="P1" t="s">
        <v>62</v>
      </c>
      <c r="Q1" t="s">
        <v>63</v>
      </c>
      <c r="R1" t="s">
        <v>64</v>
      </c>
      <c r="S1" t="s">
        <v>65</v>
      </c>
      <c r="T1" t="s">
        <v>66</v>
      </c>
    </row>
    <row r="2" spans="1:20" x14ac:dyDescent="0.35">
      <c r="A2" s="66">
        <v>17168</v>
      </c>
      <c r="N2">
        <v>2034.45</v>
      </c>
    </row>
    <row r="3" spans="1:20" x14ac:dyDescent="0.35">
      <c r="A3" s="66">
        <v>17258</v>
      </c>
      <c r="N3">
        <v>2029.0239999999999</v>
      </c>
      <c r="O3">
        <v>-2.6670598933373432E-3</v>
      </c>
      <c r="Q3">
        <v>-1.0625636157316039E-2</v>
      </c>
      <c r="R3">
        <v>-2.6670598933373432E-3</v>
      </c>
      <c r="S3">
        <v>-1.0625636157316039E-2</v>
      </c>
    </row>
    <row r="4" spans="1:20" x14ac:dyDescent="0.35">
      <c r="A4" s="66">
        <v>17349</v>
      </c>
      <c r="N4">
        <v>2024.8340000000001</v>
      </c>
      <c r="O4">
        <v>-2.0650322519594781E-3</v>
      </c>
      <c r="Q4">
        <v>-8.2345780645924904E-3</v>
      </c>
      <c r="R4">
        <v>-2.0650322519594781E-3</v>
      </c>
      <c r="S4">
        <v>-8.2345780645924904E-3</v>
      </c>
    </row>
    <row r="5" spans="1:20" x14ac:dyDescent="0.35">
      <c r="A5" s="66">
        <v>17441</v>
      </c>
      <c r="N5">
        <v>2056.5079999999998</v>
      </c>
      <c r="O5">
        <v>1.5642763801872031E-2</v>
      </c>
      <c r="Q5">
        <v>6.4054602330456234E-2</v>
      </c>
      <c r="R5">
        <v>1.5642763801872031E-2</v>
      </c>
      <c r="S5">
        <v>6.4054602330456234E-2</v>
      </c>
    </row>
    <row r="6" spans="1:20" x14ac:dyDescent="0.35">
      <c r="A6" s="66">
        <v>17533</v>
      </c>
      <c r="N6">
        <v>2087.442</v>
      </c>
      <c r="O6">
        <v>1.5042003240444579E-2</v>
      </c>
      <c r="P6">
        <v>2.6047334660473331E-2</v>
      </c>
      <c r="Q6">
        <v>6.1539249051736133E-2</v>
      </c>
      <c r="R6">
        <v>1.5042003240444579E-2</v>
      </c>
      <c r="S6">
        <v>6.1539249051736133E-2</v>
      </c>
      <c r="T6">
        <v>2.6047334660473331E-2</v>
      </c>
    </row>
    <row r="7" spans="1:20" x14ac:dyDescent="0.35">
      <c r="A7" s="66">
        <v>17624</v>
      </c>
      <c r="N7">
        <v>2121.8989999999999</v>
      </c>
      <c r="O7">
        <v>1.6506805937602041E-2</v>
      </c>
      <c r="P7">
        <v>4.5773238759127553E-2</v>
      </c>
      <c r="Q7">
        <v>6.768013659057992E-2</v>
      </c>
      <c r="R7">
        <v>1.6506805937602041E-2</v>
      </c>
      <c r="S7">
        <v>6.768013659057992E-2</v>
      </c>
      <c r="T7">
        <v>4.5773238759127553E-2</v>
      </c>
    </row>
    <row r="8" spans="1:20" x14ac:dyDescent="0.35">
      <c r="A8" s="66">
        <v>17715</v>
      </c>
      <c r="N8">
        <v>2134.056</v>
      </c>
      <c r="O8">
        <v>5.7293019130506004E-3</v>
      </c>
      <c r="P8">
        <v>5.3941211970956623E-2</v>
      </c>
      <c r="Q8">
        <v>2.3114910387200819E-2</v>
      </c>
      <c r="R8">
        <v>5.7293019130506004E-3</v>
      </c>
      <c r="S8">
        <v>2.3114910387200819E-2</v>
      </c>
      <c r="T8">
        <v>5.3941211970956623E-2</v>
      </c>
    </row>
    <row r="9" spans="1:20" x14ac:dyDescent="0.35">
      <c r="A9" s="66">
        <v>17807</v>
      </c>
      <c r="N9">
        <v>2136.44</v>
      </c>
      <c r="O9">
        <v>1.117121575066453E-3</v>
      </c>
      <c r="P9">
        <v>3.8867828377035368E-2</v>
      </c>
      <c r="Q9">
        <v>4.4759796419990838E-3</v>
      </c>
      <c r="R9">
        <v>1.117121575066453E-3</v>
      </c>
      <c r="S9">
        <v>4.4759796419990838E-3</v>
      </c>
      <c r="T9">
        <v>3.8867828377035368E-2</v>
      </c>
    </row>
    <row r="10" spans="1:20" x14ac:dyDescent="0.35">
      <c r="A10" s="66">
        <v>17899</v>
      </c>
      <c r="N10">
        <v>2107.0010000000002</v>
      </c>
      <c r="O10">
        <v>-1.377946490423314E-2</v>
      </c>
      <c r="P10">
        <v>9.3698411740303182E-3</v>
      </c>
      <c r="Q10">
        <v>-5.3989047075999941E-2</v>
      </c>
      <c r="R10">
        <v>-1.377946490423314E-2</v>
      </c>
      <c r="S10">
        <v>-5.3989047075999941E-2</v>
      </c>
      <c r="T10">
        <v>9.3698411740303182E-3</v>
      </c>
    </row>
    <row r="11" spans="1:20" x14ac:dyDescent="0.35">
      <c r="A11" s="66">
        <v>17989</v>
      </c>
      <c r="N11">
        <v>2099.8139999999999</v>
      </c>
      <c r="O11">
        <v>-3.4110092971006431E-3</v>
      </c>
      <c r="P11">
        <v>-1.0408129698915939E-2</v>
      </c>
      <c r="Q11">
        <v>-1.357438589464066E-2</v>
      </c>
      <c r="R11">
        <v>-3.4110092971006431E-3</v>
      </c>
      <c r="S11">
        <v>-1.357438589464066E-2</v>
      </c>
      <c r="T11">
        <v>-1.0408129698915939E-2</v>
      </c>
    </row>
    <row r="12" spans="1:20" x14ac:dyDescent="0.35">
      <c r="A12" s="66">
        <v>18080</v>
      </c>
      <c r="N12">
        <v>2121.4929999999999</v>
      </c>
      <c r="O12">
        <v>1.0324247766707E-2</v>
      </c>
      <c r="P12">
        <v>-5.8869120585402172E-3</v>
      </c>
      <c r="Q12">
        <v>4.1940944830040523E-2</v>
      </c>
      <c r="R12">
        <v>1.0324247766707E-2</v>
      </c>
      <c r="S12">
        <v>4.1940944830040523E-2</v>
      </c>
      <c r="T12">
        <v>-5.8869120585402172E-3</v>
      </c>
    </row>
    <row r="13" spans="1:20" x14ac:dyDescent="0.35">
      <c r="A13" s="66">
        <v>18172</v>
      </c>
      <c r="N13">
        <v>2103.6880000000001</v>
      </c>
      <c r="O13">
        <v>-8.3926744042991594E-3</v>
      </c>
      <c r="P13">
        <v>-1.5330175432027089E-2</v>
      </c>
      <c r="Q13">
        <v>-3.3150435372567788E-2</v>
      </c>
      <c r="R13">
        <v>-8.3926744042991594E-3</v>
      </c>
      <c r="S13">
        <v>-3.3150435372567788E-2</v>
      </c>
      <c r="T13">
        <v>-1.5330175432027089E-2</v>
      </c>
    </row>
    <row r="14" spans="1:20" x14ac:dyDescent="0.35">
      <c r="A14" s="66">
        <v>18264</v>
      </c>
      <c r="N14">
        <v>2186.3649999999998</v>
      </c>
      <c r="O14">
        <v>3.9300979993230782E-2</v>
      </c>
      <c r="P14">
        <v>3.7666806992497658E-2</v>
      </c>
      <c r="Q14">
        <v>0.16671651982232771</v>
      </c>
      <c r="R14">
        <v>3.9300979993230782E-2</v>
      </c>
      <c r="S14">
        <v>0.16671651982232771</v>
      </c>
      <c r="T14">
        <v>3.7666806992497658E-2</v>
      </c>
    </row>
    <row r="15" spans="1:20" x14ac:dyDescent="0.35">
      <c r="A15" s="66">
        <v>18354</v>
      </c>
      <c r="N15">
        <v>2253.0450000000001</v>
      </c>
      <c r="O15">
        <v>3.0498109876438879E-2</v>
      </c>
      <c r="P15">
        <v>7.2973606233695101E-2</v>
      </c>
      <c r="Q15">
        <v>0.1276875822943975</v>
      </c>
      <c r="R15">
        <v>3.0498109876438879E-2</v>
      </c>
      <c r="S15">
        <v>0.1276875822943975</v>
      </c>
      <c r="T15">
        <v>7.2973606233695101E-2</v>
      </c>
    </row>
    <row r="16" spans="1:20" x14ac:dyDescent="0.35">
      <c r="A16" s="66">
        <v>18445</v>
      </c>
      <c r="N16">
        <v>2340.1120000000001</v>
      </c>
      <c r="O16">
        <v>3.864414603347914E-2</v>
      </c>
      <c r="P16">
        <v>0.1030495976182812</v>
      </c>
      <c r="Q16">
        <v>0.16376987446083291</v>
      </c>
      <c r="R16">
        <v>3.864414603347914E-2</v>
      </c>
      <c r="S16">
        <v>0.16376987446083291</v>
      </c>
      <c r="T16">
        <v>0.1030495976182812</v>
      </c>
    </row>
    <row r="17" spans="1:20" x14ac:dyDescent="0.35">
      <c r="A17" s="66">
        <v>18537</v>
      </c>
      <c r="N17">
        <v>2384.92</v>
      </c>
      <c r="O17">
        <v>1.9147801472750019E-2</v>
      </c>
      <c r="P17">
        <v>0.1336852232840611</v>
      </c>
      <c r="Q17">
        <v>7.8819251391700762E-2</v>
      </c>
      <c r="R17">
        <v>1.9147801472750019E-2</v>
      </c>
      <c r="S17">
        <v>7.8819251391700762E-2</v>
      </c>
      <c r="T17">
        <v>0.1336852232840611</v>
      </c>
    </row>
    <row r="18" spans="1:20" x14ac:dyDescent="0.35">
      <c r="A18" s="66">
        <v>18629</v>
      </c>
      <c r="N18">
        <v>2417.3110000000001</v>
      </c>
      <c r="O18">
        <v>1.3581587642352811E-2</v>
      </c>
      <c r="P18">
        <v>0.1056301212286148</v>
      </c>
      <c r="Q18">
        <v>5.5443162744754693E-2</v>
      </c>
      <c r="R18">
        <v>1.3581587642352811E-2</v>
      </c>
      <c r="S18">
        <v>5.5443162744754693E-2</v>
      </c>
      <c r="T18">
        <v>0.1056301212286148</v>
      </c>
    </row>
    <row r="19" spans="1:20" x14ac:dyDescent="0.35">
      <c r="A19" s="66">
        <v>18719</v>
      </c>
      <c r="N19">
        <v>2459.1959999999999</v>
      </c>
      <c r="O19">
        <v>1.7327104373413171E-2</v>
      </c>
      <c r="P19">
        <v>9.1498838238916594E-2</v>
      </c>
      <c r="Q19">
        <v>7.1130687272042525E-2</v>
      </c>
      <c r="R19">
        <v>1.7327104373413171E-2</v>
      </c>
      <c r="S19">
        <v>7.1130687272042525E-2</v>
      </c>
      <c r="T19">
        <v>9.1498838238916594E-2</v>
      </c>
    </row>
    <row r="20" spans="1:20" x14ac:dyDescent="0.35">
      <c r="A20" s="66">
        <v>18810</v>
      </c>
      <c r="N20">
        <v>2509.88</v>
      </c>
      <c r="O20">
        <v>2.0609987979811371E-2</v>
      </c>
      <c r="P20">
        <v>7.2546955017537634E-2</v>
      </c>
      <c r="Q20">
        <v>8.5023780127983395E-2</v>
      </c>
      <c r="R20">
        <v>2.0609987979811371E-2</v>
      </c>
      <c r="S20">
        <v>8.5023780127983395E-2</v>
      </c>
      <c r="T20">
        <v>7.2546955017537634E-2</v>
      </c>
    </row>
    <row r="21" spans="1:20" x14ac:dyDescent="0.35">
      <c r="A21" s="66">
        <v>18902</v>
      </c>
      <c r="N21">
        <v>2515.4079999999999</v>
      </c>
      <c r="O21">
        <v>2.202495736847894E-3</v>
      </c>
      <c r="P21">
        <v>5.4713784948761307E-2</v>
      </c>
      <c r="Q21">
        <v>8.8391316328653158E-3</v>
      </c>
      <c r="R21">
        <v>2.202495736847894E-3</v>
      </c>
      <c r="S21">
        <v>8.8391316328653158E-3</v>
      </c>
      <c r="T21">
        <v>5.4713784948761307E-2</v>
      </c>
    </row>
    <row r="22" spans="1:20" x14ac:dyDescent="0.35">
      <c r="A22" s="66">
        <v>18994</v>
      </c>
      <c r="N22">
        <v>2542.2860000000001</v>
      </c>
      <c r="O22">
        <v>1.0685344087321091E-2</v>
      </c>
      <c r="P22">
        <v>5.1700008811443751E-2</v>
      </c>
      <c r="Q22">
        <v>4.3431328919264052E-2</v>
      </c>
      <c r="R22">
        <v>1.0685344087321091E-2</v>
      </c>
      <c r="S22">
        <v>4.3431328919264052E-2</v>
      </c>
      <c r="T22">
        <v>5.1700008811443751E-2</v>
      </c>
    </row>
    <row r="23" spans="1:20" x14ac:dyDescent="0.35">
      <c r="A23" s="66">
        <v>19085</v>
      </c>
      <c r="N23">
        <v>2547.7620000000002</v>
      </c>
      <c r="O23">
        <v>2.153966941563661E-3</v>
      </c>
      <c r="P23">
        <v>3.601420952213661E-2</v>
      </c>
      <c r="Q23">
        <v>8.6437452032444018E-3</v>
      </c>
      <c r="R23">
        <v>2.153966941563661E-3</v>
      </c>
      <c r="S23">
        <v>8.6437452032444018E-3</v>
      </c>
      <c r="T23">
        <v>3.601420952213661E-2</v>
      </c>
    </row>
    <row r="24" spans="1:20" x14ac:dyDescent="0.35">
      <c r="A24" s="66">
        <v>19176</v>
      </c>
      <c r="N24">
        <v>2566.1529999999998</v>
      </c>
      <c r="O24">
        <v>7.2184921511505469E-3</v>
      </c>
      <c r="P24">
        <v>2.2420593813249911E-2</v>
      </c>
      <c r="Q24">
        <v>2.918811561848789E-2</v>
      </c>
      <c r="R24">
        <v>7.2184921511505469E-3</v>
      </c>
      <c r="S24">
        <v>2.918811561848789E-2</v>
      </c>
      <c r="T24">
        <v>2.2420593813249911E-2</v>
      </c>
    </row>
    <row r="25" spans="1:20" x14ac:dyDescent="0.35">
      <c r="A25" s="66">
        <v>19268</v>
      </c>
      <c r="N25">
        <v>2650.431</v>
      </c>
      <c r="O25">
        <v>3.2842157112222173E-2</v>
      </c>
      <c r="P25">
        <v>5.3678369473262447E-2</v>
      </c>
      <c r="Q25">
        <v>0.13798313070477031</v>
      </c>
      <c r="R25">
        <v>3.2842157112222173E-2</v>
      </c>
      <c r="S25">
        <v>0.13798313070477031</v>
      </c>
      <c r="T25">
        <v>5.3678369473262447E-2</v>
      </c>
    </row>
    <row r="26" spans="1:20" x14ac:dyDescent="0.35">
      <c r="A26" s="66">
        <v>19360</v>
      </c>
      <c r="N26">
        <v>2699.6990000000001</v>
      </c>
      <c r="O26">
        <v>1.8588674823075951E-2</v>
      </c>
      <c r="P26">
        <v>6.1917895940897291E-2</v>
      </c>
      <c r="Q26">
        <v>7.6453744115379418E-2</v>
      </c>
      <c r="R26">
        <v>1.8588674823075951E-2</v>
      </c>
      <c r="S26">
        <v>7.6453744115379418E-2</v>
      </c>
      <c r="T26">
        <v>6.1917895940897291E-2</v>
      </c>
    </row>
    <row r="27" spans="1:20" x14ac:dyDescent="0.35">
      <c r="A27" s="66">
        <v>19450</v>
      </c>
      <c r="N27">
        <v>2720.5659999999998</v>
      </c>
      <c r="O27">
        <v>7.7293802012741919E-3</v>
      </c>
      <c r="P27">
        <v>6.7825801625112397E-2</v>
      </c>
      <c r="Q27">
        <v>3.1277831399421967E-2</v>
      </c>
      <c r="R27">
        <v>7.7293802012741919E-3</v>
      </c>
      <c r="S27">
        <v>3.1277831399421967E-2</v>
      </c>
      <c r="T27">
        <v>6.7825801625112397E-2</v>
      </c>
    </row>
    <row r="28" spans="1:20" x14ac:dyDescent="0.35">
      <c r="A28" s="66">
        <v>19541</v>
      </c>
      <c r="N28">
        <v>2705.2579999999998</v>
      </c>
      <c r="O28">
        <v>-5.6267703117660051E-3</v>
      </c>
      <c r="P28">
        <v>5.4207601807062959E-2</v>
      </c>
      <c r="Q28">
        <v>-2.2317829566265272E-2</v>
      </c>
      <c r="R28">
        <v>-5.6267703117660051E-3</v>
      </c>
      <c r="S28">
        <v>-2.2317829566265272E-2</v>
      </c>
      <c r="T28">
        <v>5.4207601807062959E-2</v>
      </c>
    </row>
    <row r="29" spans="1:20" x14ac:dyDescent="0.35">
      <c r="A29" s="66">
        <v>19633</v>
      </c>
      <c r="N29">
        <v>2664.3020000000001</v>
      </c>
      <c r="O29">
        <v>-1.5139406296922391E-2</v>
      </c>
      <c r="P29">
        <v>5.2334884401820294E-3</v>
      </c>
      <c r="Q29">
        <v>-5.9196242822145077E-2</v>
      </c>
      <c r="R29">
        <v>-1.5139406296922391E-2</v>
      </c>
      <c r="S29">
        <v>-5.9196242822145077E-2</v>
      </c>
      <c r="T29">
        <v>5.2334884401820294E-3</v>
      </c>
    </row>
    <row r="30" spans="1:20" x14ac:dyDescent="0.35">
      <c r="A30" s="66">
        <v>19725</v>
      </c>
      <c r="N30">
        <v>2651.5659999999998</v>
      </c>
      <c r="O30">
        <v>-4.780238876824148E-3</v>
      </c>
      <c r="P30">
        <v>-1.7829024643117721E-2</v>
      </c>
      <c r="Q30">
        <v>-1.8984287809732381E-2</v>
      </c>
      <c r="R30">
        <v>-4.780238876824148E-3</v>
      </c>
      <c r="S30">
        <v>-1.8984287809732381E-2</v>
      </c>
      <c r="T30">
        <v>-1.7829024643117721E-2</v>
      </c>
    </row>
    <row r="31" spans="1:20" x14ac:dyDescent="0.35">
      <c r="A31" s="66">
        <v>19815</v>
      </c>
      <c r="N31">
        <v>2654.4560000000001</v>
      </c>
      <c r="O31">
        <v>1.0899219555539361E-3</v>
      </c>
      <c r="P31">
        <v>-2.430009049587464E-2</v>
      </c>
      <c r="Q31">
        <v>4.3668205818458983E-3</v>
      </c>
      <c r="R31">
        <v>1.0899219555539361E-3</v>
      </c>
      <c r="S31">
        <v>4.3668205818458983E-3</v>
      </c>
      <c r="T31">
        <v>-2.430009049587464E-2</v>
      </c>
    </row>
    <row r="32" spans="1:20" x14ac:dyDescent="0.35">
      <c r="A32" s="66">
        <v>19906</v>
      </c>
      <c r="N32">
        <v>2684.4340000000002</v>
      </c>
      <c r="O32">
        <v>1.129346276600556E-2</v>
      </c>
      <c r="P32">
        <v>-7.697602225000209E-3</v>
      </c>
      <c r="Q32">
        <v>4.5944882715464493E-2</v>
      </c>
      <c r="R32">
        <v>1.129346276600556E-2</v>
      </c>
      <c r="S32">
        <v>4.5944882715464493E-2</v>
      </c>
      <c r="T32">
        <v>-7.697602225000209E-3</v>
      </c>
    </row>
    <row r="33" spans="1:20" x14ac:dyDescent="0.35">
      <c r="A33" s="66">
        <v>19998</v>
      </c>
      <c r="N33">
        <v>2736.96</v>
      </c>
      <c r="O33">
        <v>1.9566880765181729E-2</v>
      </c>
      <c r="P33">
        <v>2.7270932499393798E-2</v>
      </c>
      <c r="Q33">
        <v>8.0594812306759467E-2</v>
      </c>
      <c r="R33">
        <v>1.9566880765181729E-2</v>
      </c>
      <c r="S33">
        <v>8.0594812306759467E-2</v>
      </c>
      <c r="T33">
        <v>2.7270932499393798E-2</v>
      </c>
    </row>
    <row r="34" spans="1:20" x14ac:dyDescent="0.35">
      <c r="A34" s="66">
        <v>20090</v>
      </c>
      <c r="N34">
        <v>2815.134</v>
      </c>
      <c r="O34">
        <v>2.85623465450719E-2</v>
      </c>
      <c r="P34">
        <v>6.1687319870597307E-2</v>
      </c>
      <c r="Q34">
        <v>0.11923810308548791</v>
      </c>
      <c r="R34">
        <v>2.85623465450719E-2</v>
      </c>
      <c r="S34">
        <v>0.11923810308548791</v>
      </c>
      <c r="T34">
        <v>6.1687319870597307E-2</v>
      </c>
    </row>
    <row r="35" spans="1:20" x14ac:dyDescent="0.35">
      <c r="A35" s="66">
        <v>20180</v>
      </c>
      <c r="N35">
        <v>2860.942</v>
      </c>
      <c r="O35">
        <v>1.6272049572063001E-2</v>
      </c>
      <c r="P35">
        <v>7.7788443281787259E-2</v>
      </c>
      <c r="Q35">
        <v>6.669418000707128E-2</v>
      </c>
      <c r="R35">
        <v>1.6272049572063001E-2</v>
      </c>
      <c r="S35">
        <v>6.669418000707128E-2</v>
      </c>
      <c r="T35">
        <v>7.7788443281787259E-2</v>
      </c>
    </row>
    <row r="36" spans="1:20" x14ac:dyDescent="0.35">
      <c r="A36" s="66">
        <v>20271</v>
      </c>
      <c r="N36">
        <v>2899.578</v>
      </c>
      <c r="O36">
        <v>1.350464287636728E-2</v>
      </c>
      <c r="P36">
        <v>8.0145013809242382E-2</v>
      </c>
      <c r="Q36">
        <v>5.5122708699020251E-2</v>
      </c>
      <c r="R36">
        <v>1.350464287636728E-2</v>
      </c>
      <c r="S36">
        <v>5.5122708699020251E-2</v>
      </c>
      <c r="T36">
        <v>8.0145013809242382E-2</v>
      </c>
    </row>
    <row r="37" spans="1:20" x14ac:dyDescent="0.35">
      <c r="A37" s="66">
        <v>20363</v>
      </c>
      <c r="N37">
        <v>2916.9850000000001</v>
      </c>
      <c r="O37">
        <v>6.0032873749215074E-3</v>
      </c>
      <c r="P37">
        <v>6.5775531977084092E-2</v>
      </c>
      <c r="Q37">
        <v>2.4230252975287799E-2</v>
      </c>
      <c r="R37">
        <v>6.0032873749215074E-3</v>
      </c>
      <c r="S37">
        <v>2.4230252975287799E-2</v>
      </c>
      <c r="T37">
        <v>6.5775531977084092E-2</v>
      </c>
    </row>
    <row r="38" spans="1:20" x14ac:dyDescent="0.35">
      <c r="A38" s="66">
        <v>20455</v>
      </c>
      <c r="N38">
        <v>2905.6559999999999</v>
      </c>
      <c r="O38">
        <v>-3.8838046818890659E-3</v>
      </c>
      <c r="P38">
        <v>3.2155485316151887E-2</v>
      </c>
      <c r="Q38">
        <v>-1.5444949199477359E-2</v>
      </c>
      <c r="R38">
        <v>-3.8838046818890659E-3</v>
      </c>
      <c r="S38">
        <v>-1.5444949199477359E-2</v>
      </c>
      <c r="T38">
        <v>3.2155485316151887E-2</v>
      </c>
    </row>
    <row r="39" spans="1:20" x14ac:dyDescent="0.35">
      <c r="A39" s="66">
        <v>20546</v>
      </c>
      <c r="N39">
        <v>2929.6660000000002</v>
      </c>
      <c r="O39">
        <v>8.2631942666303998E-3</v>
      </c>
      <c r="P39">
        <v>2.4021458666411331E-2</v>
      </c>
      <c r="Q39">
        <v>3.3464720861821728E-2</v>
      </c>
      <c r="R39">
        <v>8.2631942666303998E-3</v>
      </c>
      <c r="S39">
        <v>3.3464720861821728E-2</v>
      </c>
      <c r="T39">
        <v>2.4021458666411331E-2</v>
      </c>
    </row>
    <row r="40" spans="1:20" x14ac:dyDescent="0.35">
      <c r="A40" s="66">
        <v>20637</v>
      </c>
      <c r="N40">
        <v>2927.0340000000001</v>
      </c>
      <c r="O40">
        <v>-8.9839592636159265E-4</v>
      </c>
      <c r="P40">
        <v>9.4689641044317929E-3</v>
      </c>
      <c r="Q40">
        <v>-3.588743913787829E-3</v>
      </c>
      <c r="R40">
        <v>-8.9839592636159265E-4</v>
      </c>
      <c r="S40">
        <v>-3.588743913787829E-3</v>
      </c>
      <c r="T40">
        <v>9.4689641044317929E-3</v>
      </c>
    </row>
    <row r="41" spans="1:20" x14ac:dyDescent="0.35">
      <c r="A41" s="66">
        <v>20729</v>
      </c>
      <c r="N41">
        <v>2975.2089999999998</v>
      </c>
      <c r="O41">
        <v>1.6458640384771659E-2</v>
      </c>
      <c r="P41">
        <v>1.9960335757640061E-2</v>
      </c>
      <c r="Q41">
        <v>6.7477789695216561E-2</v>
      </c>
      <c r="R41">
        <v>1.6458640384771659E-2</v>
      </c>
      <c r="S41">
        <v>6.7477789695216561E-2</v>
      </c>
      <c r="T41">
        <v>1.9960335757640061E-2</v>
      </c>
    </row>
    <row r="42" spans="1:20" x14ac:dyDescent="0.35">
      <c r="A42" s="66">
        <v>20821</v>
      </c>
      <c r="N42">
        <v>2994.259</v>
      </c>
      <c r="O42">
        <v>6.4029115265516424E-3</v>
      </c>
      <c r="P42">
        <v>3.0493286197677931E-2</v>
      </c>
      <c r="Q42">
        <v>2.5858681450808829E-2</v>
      </c>
      <c r="R42">
        <v>6.4029115265516424E-3</v>
      </c>
      <c r="S42">
        <v>2.5858681450808829E-2</v>
      </c>
      <c r="T42">
        <v>3.0493286197677931E-2</v>
      </c>
    </row>
    <row r="43" spans="1:20" x14ac:dyDescent="0.35">
      <c r="A43" s="66">
        <v>20911</v>
      </c>
      <c r="N43">
        <v>2987.6990000000001</v>
      </c>
      <c r="O43">
        <v>-2.1908592409674459E-3</v>
      </c>
      <c r="P43">
        <v>1.9808742703093081E-2</v>
      </c>
      <c r="Q43">
        <v>-8.734679818856006E-3</v>
      </c>
      <c r="R43">
        <v>-2.1908592409674459E-3</v>
      </c>
      <c r="S43">
        <v>-8.734679818856006E-3</v>
      </c>
      <c r="T43">
        <v>1.9808742703093081E-2</v>
      </c>
    </row>
    <row r="44" spans="1:20" x14ac:dyDescent="0.35">
      <c r="A44" s="66">
        <v>21002</v>
      </c>
      <c r="N44">
        <v>3016.9789999999998</v>
      </c>
      <c r="O44">
        <v>9.8001840212149031E-3</v>
      </c>
      <c r="P44">
        <v>3.0729058835667681E-2</v>
      </c>
      <c r="Q44">
        <v>3.9780771930417069E-2</v>
      </c>
      <c r="R44">
        <v>9.8001840212149031E-3</v>
      </c>
      <c r="S44">
        <v>3.9780771930417069E-2</v>
      </c>
      <c r="T44">
        <v>3.0729058835667681E-2</v>
      </c>
    </row>
    <row r="45" spans="1:20" x14ac:dyDescent="0.35">
      <c r="A45" s="66">
        <v>21094</v>
      </c>
      <c r="N45">
        <v>2985.7750000000001</v>
      </c>
      <c r="O45">
        <v>-1.0342796552445251E-2</v>
      </c>
      <c r="P45">
        <v>3.551347149057514E-3</v>
      </c>
      <c r="Q45">
        <v>-4.0733759741440001E-2</v>
      </c>
      <c r="R45">
        <v>-1.0342796552445251E-2</v>
      </c>
      <c r="S45">
        <v>-4.0733759741440001E-2</v>
      </c>
      <c r="T45">
        <v>3.551347149057514E-3</v>
      </c>
    </row>
    <row r="46" spans="1:20" x14ac:dyDescent="0.35">
      <c r="A46" s="66">
        <v>21186</v>
      </c>
      <c r="N46">
        <v>2908.2809999999999</v>
      </c>
      <c r="O46">
        <v>-2.595440044879475E-2</v>
      </c>
      <c r="P46">
        <v>-2.8714282899375131E-2</v>
      </c>
      <c r="Q46">
        <v>-9.984529734545633E-2</v>
      </c>
      <c r="R46">
        <v>-2.595440044879475E-2</v>
      </c>
      <c r="S46">
        <v>-9.984529734545633E-2</v>
      </c>
      <c r="T46">
        <v>-2.8714282899375131E-2</v>
      </c>
    </row>
    <row r="47" spans="1:20" x14ac:dyDescent="0.35">
      <c r="A47" s="66">
        <v>21276</v>
      </c>
      <c r="N47">
        <v>2927.395</v>
      </c>
      <c r="O47">
        <v>6.5722672602819441E-3</v>
      </c>
      <c r="P47">
        <v>-2.0184094850251012E-2</v>
      </c>
      <c r="Q47">
        <v>2.654937463692297E-2</v>
      </c>
      <c r="R47">
        <v>6.5722672602819441E-3</v>
      </c>
      <c r="S47">
        <v>2.654937463692297E-2</v>
      </c>
      <c r="T47">
        <v>-2.0184094850251012E-2</v>
      </c>
    </row>
    <row r="48" spans="1:20" x14ac:dyDescent="0.35">
      <c r="A48" s="66">
        <v>21367</v>
      </c>
      <c r="N48">
        <v>2995.1120000000001</v>
      </c>
      <c r="O48">
        <v>2.3132170410894361E-2</v>
      </c>
      <c r="P48">
        <v>-7.2479788556697733E-3</v>
      </c>
      <c r="Q48">
        <v>9.5789063668671348E-2</v>
      </c>
      <c r="R48">
        <v>2.3132170410894361E-2</v>
      </c>
      <c r="S48">
        <v>9.5789063668671348E-2</v>
      </c>
      <c r="T48">
        <v>-7.2479788556697733E-3</v>
      </c>
    </row>
    <row r="49" spans="1:20" x14ac:dyDescent="0.35">
      <c r="A49" s="66">
        <v>21459</v>
      </c>
      <c r="N49">
        <v>3065.1410000000001</v>
      </c>
      <c r="O49">
        <v>2.338109559842837E-2</v>
      </c>
      <c r="P49">
        <v>2.6581373345278859E-2</v>
      </c>
      <c r="Q49">
        <v>9.6855862537051252E-2</v>
      </c>
      <c r="R49">
        <v>2.338109559842837E-2</v>
      </c>
      <c r="S49">
        <v>9.6855862537051252E-2</v>
      </c>
      <c r="T49">
        <v>2.6581373345278859E-2</v>
      </c>
    </row>
    <row r="50" spans="1:20" x14ac:dyDescent="0.35">
      <c r="A50" s="66">
        <v>21551</v>
      </c>
      <c r="N50">
        <v>3123.9780000000001</v>
      </c>
      <c r="O50">
        <v>1.91955280360675E-2</v>
      </c>
      <c r="P50">
        <v>7.4166492164959338E-2</v>
      </c>
      <c r="Q50">
        <v>7.9021349466726676E-2</v>
      </c>
      <c r="R50">
        <v>1.91955280360675E-2</v>
      </c>
      <c r="S50">
        <v>7.9021349466726676E-2</v>
      </c>
      <c r="T50">
        <v>7.4166492164959338E-2</v>
      </c>
    </row>
    <row r="51" spans="1:20" x14ac:dyDescent="0.35">
      <c r="A51" s="66">
        <v>21641</v>
      </c>
      <c r="N51">
        <v>3194.4290000000001</v>
      </c>
      <c r="O51">
        <v>2.2551695306433021E-2</v>
      </c>
      <c r="P51">
        <v>9.121898479706364E-2</v>
      </c>
      <c r="Q51">
        <v>9.3304390916545632E-2</v>
      </c>
      <c r="R51">
        <v>2.2551695306433021E-2</v>
      </c>
      <c r="S51">
        <v>9.3304390916545632E-2</v>
      </c>
      <c r="T51">
        <v>9.121898479706364E-2</v>
      </c>
    </row>
    <row r="52" spans="1:20" x14ac:dyDescent="0.35">
      <c r="A52" s="66">
        <v>21732</v>
      </c>
      <c r="N52">
        <v>3196.683</v>
      </c>
      <c r="O52">
        <v>7.0560341143907266E-4</v>
      </c>
      <c r="P52">
        <v>6.7299987446212337E-2</v>
      </c>
      <c r="Q52">
        <v>2.8254023082616708E-3</v>
      </c>
      <c r="R52">
        <v>7.0560341143907266E-4</v>
      </c>
      <c r="S52">
        <v>2.8254023082616708E-3</v>
      </c>
      <c r="T52">
        <v>6.7299987446212337E-2</v>
      </c>
    </row>
    <row r="53" spans="1:20" x14ac:dyDescent="0.35">
      <c r="A53" s="66">
        <v>21824</v>
      </c>
      <c r="N53">
        <v>3205.79</v>
      </c>
      <c r="O53">
        <v>2.8488905531139528E-3</v>
      </c>
      <c r="P53">
        <v>4.588663294771754E-2</v>
      </c>
      <c r="Q53">
        <v>1.144435183103387E-2</v>
      </c>
      <c r="R53">
        <v>2.8488905531139528E-3</v>
      </c>
      <c r="S53">
        <v>1.144435183103387E-2</v>
      </c>
      <c r="T53">
        <v>4.588663294771754E-2</v>
      </c>
    </row>
    <row r="54" spans="1:20" x14ac:dyDescent="0.35">
      <c r="A54" s="66">
        <v>21916</v>
      </c>
      <c r="N54">
        <v>3277.8470000000002</v>
      </c>
      <c r="O54">
        <v>2.2477142919530051E-2</v>
      </c>
      <c r="P54">
        <v>4.9254188089672891E-2</v>
      </c>
      <c r="Q54">
        <v>9.298558243454158E-2</v>
      </c>
      <c r="R54">
        <v>2.2477142919530051E-2</v>
      </c>
      <c r="S54">
        <v>9.298558243454158E-2</v>
      </c>
      <c r="T54">
        <v>4.9254188089672891E-2</v>
      </c>
    </row>
    <row r="55" spans="1:20" x14ac:dyDescent="0.35">
      <c r="A55" s="66">
        <v>22007</v>
      </c>
      <c r="N55">
        <v>3260.1770000000001</v>
      </c>
      <c r="O55">
        <v>-5.3907336126427109E-3</v>
      </c>
      <c r="P55">
        <v>2.0582082118588349E-2</v>
      </c>
      <c r="Q55">
        <v>-2.138920017185875E-2</v>
      </c>
      <c r="R55">
        <v>-5.3907336126427109E-3</v>
      </c>
      <c r="S55">
        <v>-2.138920017185875E-2</v>
      </c>
      <c r="T55">
        <v>2.0582082118588349E-2</v>
      </c>
    </row>
    <row r="56" spans="1:20" x14ac:dyDescent="0.35">
      <c r="A56" s="66">
        <v>22098</v>
      </c>
      <c r="N56">
        <v>3276.1329999999998</v>
      </c>
      <c r="O56">
        <v>4.8942127988755441E-3</v>
      </c>
      <c r="P56">
        <v>2.4853887607873479E-2</v>
      </c>
      <c r="Q56">
        <v>1.9721040613348121E-2</v>
      </c>
      <c r="R56">
        <v>4.8942127988755441E-3</v>
      </c>
      <c r="S56">
        <v>1.9721040613348121E-2</v>
      </c>
      <c r="T56">
        <v>2.4853887607873479E-2</v>
      </c>
    </row>
    <row r="57" spans="1:20" x14ac:dyDescent="0.35">
      <c r="A57" s="66">
        <v>22190</v>
      </c>
      <c r="N57">
        <v>3234.087</v>
      </c>
      <c r="O57">
        <v>-1.283403329474103E-2</v>
      </c>
      <c r="P57">
        <v>8.8268414337807615E-3</v>
      </c>
      <c r="Q57">
        <v>-5.0356287283370382E-2</v>
      </c>
      <c r="R57">
        <v>-1.283403329474103E-2</v>
      </c>
      <c r="S57">
        <v>-5.0356287283370382E-2</v>
      </c>
      <c r="T57">
        <v>8.8268414337807615E-3</v>
      </c>
    </row>
    <row r="58" spans="1:20" x14ac:dyDescent="0.35">
      <c r="A58" s="66">
        <v>22282</v>
      </c>
      <c r="N58">
        <v>3255.9140000000002</v>
      </c>
      <c r="O58">
        <v>6.7490454029221309E-3</v>
      </c>
      <c r="P58">
        <v>-6.6912824180018144E-3</v>
      </c>
      <c r="Q58">
        <v>2.7270711035208169E-2</v>
      </c>
      <c r="R58">
        <v>6.7490454029221309E-3</v>
      </c>
      <c r="S58">
        <v>2.7270711035208169E-2</v>
      </c>
      <c r="T58">
        <v>-6.6912824180018144E-3</v>
      </c>
    </row>
    <row r="59" spans="1:20" x14ac:dyDescent="0.35">
      <c r="A59" s="66">
        <v>22372</v>
      </c>
      <c r="N59">
        <v>3311.181</v>
      </c>
      <c r="O59">
        <v>1.697434268841248E-2</v>
      </c>
      <c r="P59">
        <v>1.564454936035679E-2</v>
      </c>
      <c r="Q59">
        <v>6.9645786784463759E-2</v>
      </c>
      <c r="R59">
        <v>1.697434268841248E-2</v>
      </c>
      <c r="S59">
        <v>6.9645786784463759E-2</v>
      </c>
      <c r="T59">
        <v>1.564454936035679E-2</v>
      </c>
    </row>
    <row r="60" spans="1:20" x14ac:dyDescent="0.35">
      <c r="A60" s="66">
        <v>22463</v>
      </c>
      <c r="N60">
        <v>3374.7420000000002</v>
      </c>
      <c r="O60">
        <v>1.9195869993213949E-2</v>
      </c>
      <c r="P60">
        <v>3.009920537414091E-2</v>
      </c>
      <c r="Q60">
        <v>7.9022797586295823E-2</v>
      </c>
      <c r="R60">
        <v>1.9195869993213949E-2</v>
      </c>
      <c r="S60">
        <v>7.9022797586295823E-2</v>
      </c>
      <c r="T60">
        <v>3.009920537414091E-2</v>
      </c>
    </row>
    <row r="61" spans="1:20" x14ac:dyDescent="0.35">
      <c r="A61" s="66">
        <v>22555</v>
      </c>
      <c r="N61">
        <v>3440.924</v>
      </c>
      <c r="O61">
        <v>1.9610980632000841E-2</v>
      </c>
      <c r="P61">
        <v>6.3955298666980812E-2</v>
      </c>
      <c r="Q61">
        <v>8.0781782598194907E-2</v>
      </c>
      <c r="R61">
        <v>1.9610980632000841E-2</v>
      </c>
      <c r="S61">
        <v>8.0781782598194907E-2</v>
      </c>
      <c r="T61">
        <v>6.3955298666980812E-2</v>
      </c>
    </row>
    <row r="62" spans="1:20" x14ac:dyDescent="0.35">
      <c r="A62" s="66">
        <v>22647</v>
      </c>
      <c r="N62">
        <v>3502.2979999999998</v>
      </c>
      <c r="O62">
        <v>1.783648810610167E-2</v>
      </c>
      <c r="P62">
        <v>7.5672760398462477E-2</v>
      </c>
      <c r="Q62">
        <v>7.3277593508693117E-2</v>
      </c>
      <c r="R62">
        <v>1.783648810610167E-2</v>
      </c>
      <c r="S62">
        <v>7.3277593508693117E-2</v>
      </c>
      <c r="T62">
        <v>7.5672760398462477E-2</v>
      </c>
    </row>
    <row r="63" spans="1:20" x14ac:dyDescent="0.35">
      <c r="A63" s="66">
        <v>22737</v>
      </c>
      <c r="N63">
        <v>3533.9470000000001</v>
      </c>
      <c r="O63">
        <v>9.0366382300993073E-3</v>
      </c>
      <c r="P63">
        <v>6.7276902108341433E-2</v>
      </c>
      <c r="Q63">
        <v>3.6639476329429772E-2</v>
      </c>
      <c r="R63">
        <v>9.0366382300993073E-3</v>
      </c>
      <c r="S63">
        <v>3.6639476329429772E-2</v>
      </c>
      <c r="T63">
        <v>6.7276902108341433E-2</v>
      </c>
    </row>
    <row r="64" spans="1:20" x14ac:dyDescent="0.35">
      <c r="A64" s="66">
        <v>22828</v>
      </c>
      <c r="N64">
        <v>3577.3620000000001</v>
      </c>
      <c r="O64">
        <v>1.228513047875363E-2</v>
      </c>
      <c r="P64">
        <v>6.0040145291106663E-2</v>
      </c>
      <c r="Q64">
        <v>5.0053507783781807E-2</v>
      </c>
      <c r="R64">
        <v>1.228513047875363E-2</v>
      </c>
      <c r="S64">
        <v>5.0053507783781807E-2</v>
      </c>
      <c r="T64">
        <v>6.0040145291106663E-2</v>
      </c>
    </row>
    <row r="65" spans="1:20" x14ac:dyDescent="0.35">
      <c r="A65" s="66">
        <v>22920</v>
      </c>
      <c r="N65">
        <v>3589.1280000000002</v>
      </c>
      <c r="O65">
        <v>3.2890157607756991E-3</v>
      </c>
      <c r="P65">
        <v>4.3070989071540139E-2</v>
      </c>
      <c r="Q65">
        <v>1.3221111225523609E-2</v>
      </c>
      <c r="R65">
        <v>3.2890157607756991E-3</v>
      </c>
      <c r="S65">
        <v>1.3221111225523609E-2</v>
      </c>
      <c r="T65">
        <v>4.3070989071540139E-2</v>
      </c>
    </row>
    <row r="66" spans="1:20" x14ac:dyDescent="0.35">
      <c r="A66" s="66">
        <v>23012</v>
      </c>
      <c r="N66">
        <v>3628.306</v>
      </c>
      <c r="O66">
        <v>1.0915743322612029E-2</v>
      </c>
      <c r="P66">
        <v>3.5978663152021979E-2</v>
      </c>
      <c r="Q66">
        <v>4.4383110795709342E-2</v>
      </c>
      <c r="R66">
        <v>1.0915743322612029E-2</v>
      </c>
      <c r="S66">
        <v>4.4383110795709342E-2</v>
      </c>
      <c r="T66">
        <v>3.5978663152021979E-2</v>
      </c>
    </row>
    <row r="67" spans="1:20" x14ac:dyDescent="0.35">
      <c r="A67" s="66">
        <v>23102</v>
      </c>
      <c r="N67">
        <v>3669.02</v>
      </c>
      <c r="O67">
        <v>1.122121452821232E-2</v>
      </c>
      <c r="P67">
        <v>3.8221569253868229E-2</v>
      </c>
      <c r="Q67">
        <v>4.5646019606860877E-2</v>
      </c>
      <c r="R67">
        <v>1.122121452821232E-2</v>
      </c>
      <c r="S67">
        <v>4.5646019606860877E-2</v>
      </c>
      <c r="T67">
        <v>3.8221569253868229E-2</v>
      </c>
    </row>
    <row r="68" spans="1:20" x14ac:dyDescent="0.35">
      <c r="A68" s="66">
        <v>23193</v>
      </c>
      <c r="N68">
        <v>3749.681</v>
      </c>
      <c r="O68">
        <v>2.1984344593379179E-2</v>
      </c>
      <c r="P68">
        <v>4.8169293462612943E-2</v>
      </c>
      <c r="Q68">
        <v>9.0879981544722765E-2</v>
      </c>
      <c r="R68">
        <v>2.1984344593379179E-2</v>
      </c>
      <c r="S68">
        <v>9.0879981544722765E-2</v>
      </c>
      <c r="T68">
        <v>4.8169293462612943E-2</v>
      </c>
    </row>
    <row r="69" spans="1:20" x14ac:dyDescent="0.35">
      <c r="A69" s="66">
        <v>23285</v>
      </c>
      <c r="N69">
        <v>3774.2640000000001</v>
      </c>
      <c r="O69">
        <v>6.5560243658060744E-3</v>
      </c>
      <c r="P69">
        <v>5.158244565253732E-2</v>
      </c>
      <c r="Q69">
        <v>2.6483115193417731E-2</v>
      </c>
      <c r="R69">
        <v>6.5560243658060744E-3</v>
      </c>
      <c r="S69">
        <v>2.6483115193417731E-2</v>
      </c>
      <c r="T69">
        <v>5.158244565253732E-2</v>
      </c>
    </row>
    <row r="70" spans="1:20" x14ac:dyDescent="0.35">
      <c r="A70" s="66">
        <v>23377</v>
      </c>
      <c r="N70">
        <v>3853.835</v>
      </c>
      <c r="O70">
        <v>2.10825209895227E-2</v>
      </c>
      <c r="P70">
        <v>6.215820826578574E-2</v>
      </c>
      <c r="Q70">
        <v>8.7034600081078217E-2</v>
      </c>
      <c r="R70">
        <v>2.10825209895227E-2</v>
      </c>
      <c r="S70">
        <v>8.7034600081078217E-2</v>
      </c>
      <c r="T70">
        <v>6.215820826578574E-2</v>
      </c>
    </row>
    <row r="71" spans="1:20" x14ac:dyDescent="0.35">
      <c r="A71" s="66">
        <v>23468</v>
      </c>
      <c r="N71">
        <v>3895.7930000000001</v>
      </c>
      <c r="O71">
        <v>1.0887336899478069E-2</v>
      </c>
      <c r="P71">
        <v>6.1807512632801168E-2</v>
      </c>
      <c r="Q71">
        <v>4.426572835975362E-2</v>
      </c>
      <c r="R71">
        <v>1.0887336899478069E-2</v>
      </c>
      <c r="S71">
        <v>4.426572835975362E-2</v>
      </c>
      <c r="T71">
        <v>6.1807512632801168E-2</v>
      </c>
    </row>
    <row r="72" spans="1:20" x14ac:dyDescent="0.35">
      <c r="A72" s="66">
        <v>23559</v>
      </c>
      <c r="N72">
        <v>3956.6570000000002</v>
      </c>
      <c r="O72">
        <v>1.5623006663855091E-2</v>
      </c>
      <c r="P72">
        <v>5.5198295535006867E-2</v>
      </c>
      <c r="Q72">
        <v>6.3971809202924224E-2</v>
      </c>
      <c r="R72">
        <v>1.5623006663855091E-2</v>
      </c>
      <c r="S72">
        <v>6.3971809202924224E-2</v>
      </c>
      <c r="T72">
        <v>5.5198295535006867E-2</v>
      </c>
    </row>
    <row r="73" spans="1:20" x14ac:dyDescent="0.35">
      <c r="A73" s="66">
        <v>23651</v>
      </c>
      <c r="N73">
        <v>3968.8780000000002</v>
      </c>
      <c r="O73">
        <v>3.0887185823790142E-3</v>
      </c>
      <c r="P73">
        <v>5.1563430645021127E-2</v>
      </c>
      <c r="Q73">
        <v>1.2412233383173101E-2</v>
      </c>
      <c r="R73">
        <v>3.0887185823790142E-3</v>
      </c>
      <c r="S73">
        <v>1.2412233383173101E-2</v>
      </c>
      <c r="T73">
        <v>5.1563430645021127E-2</v>
      </c>
    </row>
    <row r="74" spans="1:20" x14ac:dyDescent="0.35">
      <c r="A74" s="66">
        <v>23743</v>
      </c>
      <c r="N74">
        <v>4064.915</v>
      </c>
      <c r="O74">
        <v>2.419751879498433E-2</v>
      </c>
      <c r="P74">
        <v>5.4771416005096198E-2</v>
      </c>
      <c r="Q74">
        <v>0.10036021002518369</v>
      </c>
      <c r="R74">
        <v>2.419751879498433E-2</v>
      </c>
      <c r="S74">
        <v>0.10036021002518369</v>
      </c>
      <c r="T74">
        <v>5.4771416005096198E-2</v>
      </c>
    </row>
    <row r="75" spans="1:20" x14ac:dyDescent="0.35">
      <c r="A75" s="66">
        <v>23833</v>
      </c>
      <c r="N75">
        <v>4116.2669999999998</v>
      </c>
      <c r="O75">
        <v>1.2632982485488589E-2</v>
      </c>
      <c r="P75">
        <v>5.6592842586862209E-2</v>
      </c>
      <c r="Q75">
        <v>5.1497573394729379E-2</v>
      </c>
      <c r="R75">
        <v>1.2632982485488589E-2</v>
      </c>
      <c r="S75">
        <v>5.1497573394729379E-2</v>
      </c>
      <c r="T75">
        <v>5.6592842586862209E-2</v>
      </c>
    </row>
    <row r="76" spans="1:20" x14ac:dyDescent="0.35">
      <c r="A76" s="66">
        <v>23924</v>
      </c>
      <c r="N76">
        <v>4207.7820000000002</v>
      </c>
      <c r="O76">
        <v>2.2232522817397491E-2</v>
      </c>
      <c r="P76">
        <v>6.3468984043853177E-2</v>
      </c>
      <c r="Q76">
        <v>9.1940002828739154E-2</v>
      </c>
      <c r="R76">
        <v>2.2232522817397491E-2</v>
      </c>
      <c r="S76">
        <v>9.1940002828739154E-2</v>
      </c>
      <c r="T76">
        <v>6.3468984043853177E-2</v>
      </c>
    </row>
    <row r="77" spans="1:20" x14ac:dyDescent="0.35">
      <c r="A77" s="66">
        <v>24016</v>
      </c>
      <c r="N77">
        <v>4304.7309999999998</v>
      </c>
      <c r="O77">
        <v>2.3040404659747011E-2</v>
      </c>
      <c r="P77">
        <v>8.4621648738005956E-2</v>
      </c>
      <c r="Q77">
        <v>9.5395986872523153E-2</v>
      </c>
      <c r="R77">
        <v>2.3040404659747011E-2</v>
      </c>
      <c r="S77">
        <v>9.5395986872523153E-2</v>
      </c>
      <c r="T77">
        <v>8.4621648738005956E-2</v>
      </c>
    </row>
    <row r="78" spans="1:20" x14ac:dyDescent="0.35">
      <c r="A78" s="66">
        <v>24108</v>
      </c>
      <c r="N78">
        <v>4409.518</v>
      </c>
      <c r="O78">
        <v>2.4342287590095699E-2</v>
      </c>
      <c r="P78">
        <v>8.477495839396397E-2</v>
      </c>
      <c r="Q78">
        <v>0.100982479057544</v>
      </c>
      <c r="R78">
        <v>2.4342287590095699E-2</v>
      </c>
      <c r="S78">
        <v>0.100982479057544</v>
      </c>
      <c r="T78">
        <v>8.477495839396397E-2</v>
      </c>
    </row>
    <row r="79" spans="1:20" x14ac:dyDescent="0.35">
      <c r="A79" s="66">
        <v>24198</v>
      </c>
      <c r="N79">
        <v>4424.5810000000001</v>
      </c>
      <c r="O79">
        <v>3.4160196193779228E-3</v>
      </c>
      <c r="P79">
        <v>7.490136086896218E-2</v>
      </c>
      <c r="Q79">
        <v>1.373425320265032E-2</v>
      </c>
      <c r="R79">
        <v>3.4160196193779228E-3</v>
      </c>
      <c r="S79">
        <v>1.373425320265032E-2</v>
      </c>
      <c r="T79">
        <v>7.490136086896218E-2</v>
      </c>
    </row>
    <row r="80" spans="1:20" x14ac:dyDescent="0.35">
      <c r="A80" s="66">
        <v>24289</v>
      </c>
      <c r="N80">
        <v>4462.0529999999999</v>
      </c>
      <c r="O80">
        <v>8.4690505157436948E-3</v>
      </c>
      <c r="P80">
        <v>6.0428748447519318E-2</v>
      </c>
      <c r="Q80">
        <v>3.4308985871634563E-2</v>
      </c>
      <c r="R80">
        <v>8.4690505157436948E-3</v>
      </c>
      <c r="S80">
        <v>3.4308985871634563E-2</v>
      </c>
      <c r="T80">
        <v>6.0428748447519318E-2</v>
      </c>
    </row>
    <row r="81" spans="1:20" x14ac:dyDescent="0.35">
      <c r="A81" s="66">
        <v>24381</v>
      </c>
      <c r="N81">
        <v>4498.66</v>
      </c>
      <c r="O81">
        <v>8.2040710856639242E-3</v>
      </c>
      <c r="P81">
        <v>4.505020174315192E-2</v>
      </c>
      <c r="Q81">
        <v>3.3222338325639138E-2</v>
      </c>
      <c r="R81">
        <v>8.2040710856639242E-3</v>
      </c>
      <c r="S81">
        <v>3.3222338325639138E-2</v>
      </c>
      <c r="T81">
        <v>4.505020174315192E-2</v>
      </c>
    </row>
    <row r="82" spans="1:20" x14ac:dyDescent="0.35">
      <c r="A82" s="66">
        <v>24473</v>
      </c>
      <c r="N82">
        <v>4538.4979999999996</v>
      </c>
      <c r="O82">
        <v>8.8555258677027685E-3</v>
      </c>
      <c r="P82">
        <v>2.9250362511276641E-2</v>
      </c>
      <c r="Q82">
        <v>3.5895409464262729E-2</v>
      </c>
      <c r="R82">
        <v>8.8555258677027685E-3</v>
      </c>
      <c r="S82">
        <v>3.5895409464262729E-2</v>
      </c>
      <c r="T82">
        <v>2.9250362511276641E-2</v>
      </c>
    </row>
    <row r="83" spans="1:20" x14ac:dyDescent="0.35">
      <c r="A83" s="66">
        <v>24563</v>
      </c>
      <c r="N83">
        <v>4541.28</v>
      </c>
      <c r="O83">
        <v>6.1297812624356185E-4</v>
      </c>
      <c r="P83">
        <v>2.637515281107965E-2</v>
      </c>
      <c r="Q83">
        <v>2.4541678795020339E-3</v>
      </c>
      <c r="R83">
        <v>6.1297812624356185E-4</v>
      </c>
      <c r="S83">
        <v>2.4541678795020339E-3</v>
      </c>
      <c r="T83">
        <v>2.637515281107965E-2</v>
      </c>
    </row>
    <row r="84" spans="1:20" x14ac:dyDescent="0.35">
      <c r="A84" s="66">
        <v>24654</v>
      </c>
      <c r="N84">
        <v>4584.2460000000001</v>
      </c>
      <c r="O84">
        <v>9.4612091745059444E-3</v>
      </c>
      <c r="P84">
        <v>2.738492796925546E-2</v>
      </c>
      <c r="Q84">
        <v>3.8385319245969551E-2</v>
      </c>
      <c r="R84">
        <v>9.4612091745059444E-3</v>
      </c>
      <c r="S84">
        <v>3.8385319245969551E-2</v>
      </c>
      <c r="T84">
        <v>2.738492796925546E-2</v>
      </c>
    </row>
    <row r="85" spans="1:20" x14ac:dyDescent="0.35">
      <c r="A85" s="66">
        <v>24746</v>
      </c>
      <c r="N85">
        <v>4618.8119999999999</v>
      </c>
      <c r="O85">
        <v>7.5401712735310893E-3</v>
      </c>
      <c r="P85">
        <v>2.670839761173328E-2</v>
      </c>
      <c r="Q85">
        <v>3.0503528184631978E-2</v>
      </c>
      <c r="R85">
        <v>7.5401712735310893E-3</v>
      </c>
      <c r="S85">
        <v>3.0503528184631978E-2</v>
      </c>
      <c r="T85">
        <v>2.670839761173328E-2</v>
      </c>
    </row>
    <row r="86" spans="1:20" x14ac:dyDescent="0.35">
      <c r="A86" s="66">
        <v>24838</v>
      </c>
      <c r="N86">
        <v>4713.0129999999999</v>
      </c>
      <c r="O86">
        <v>2.0395071286729152E-2</v>
      </c>
      <c r="P86">
        <v>3.8452148706466398E-2</v>
      </c>
      <c r="Q86">
        <v>8.4110145813841353E-2</v>
      </c>
      <c r="R86">
        <v>2.0395071286729152E-2</v>
      </c>
      <c r="S86">
        <v>8.4110145813841353E-2</v>
      </c>
      <c r="T86">
        <v>3.8452148706466398E-2</v>
      </c>
    </row>
    <row r="87" spans="1:20" x14ac:dyDescent="0.35">
      <c r="A87" s="66">
        <v>24929</v>
      </c>
      <c r="N87">
        <v>4791.7579999999998</v>
      </c>
      <c r="O87">
        <v>1.6707995500967191E-2</v>
      </c>
      <c r="P87">
        <v>5.5155815100588403E-2</v>
      </c>
      <c r="Q87">
        <v>6.852565923772147E-2</v>
      </c>
      <c r="R87">
        <v>1.6707995500967191E-2</v>
      </c>
      <c r="S87">
        <v>6.852565923772147E-2</v>
      </c>
      <c r="T87">
        <v>5.5155815100588403E-2</v>
      </c>
    </row>
    <row r="88" spans="1:20" x14ac:dyDescent="0.35">
      <c r="A88" s="66">
        <v>25020</v>
      </c>
      <c r="N88">
        <v>4828.8919999999998</v>
      </c>
      <c r="O88">
        <v>7.7495566345378913E-3</v>
      </c>
      <c r="P88">
        <v>5.3366682329002352E-2</v>
      </c>
      <c r="Q88">
        <v>3.1360425530983838E-2</v>
      </c>
      <c r="R88">
        <v>7.7495566345378913E-3</v>
      </c>
      <c r="S88">
        <v>3.1360425530983838E-2</v>
      </c>
      <c r="T88">
        <v>5.3366682329002352E-2</v>
      </c>
    </row>
    <row r="89" spans="1:20" x14ac:dyDescent="0.35">
      <c r="A89" s="66">
        <v>25112</v>
      </c>
      <c r="N89">
        <v>4847.8850000000002</v>
      </c>
      <c r="O89">
        <v>3.9332004111917174E-3</v>
      </c>
      <c r="P89">
        <v>4.9595653600969333E-2</v>
      </c>
      <c r="Q89">
        <v>1.5825865664408582E-2</v>
      </c>
      <c r="R89">
        <v>3.9332004111917174E-3</v>
      </c>
      <c r="S89">
        <v>1.5825865664408582E-2</v>
      </c>
      <c r="T89">
        <v>4.9595653600969333E-2</v>
      </c>
    </row>
    <row r="90" spans="1:20" x14ac:dyDescent="0.35">
      <c r="A90" s="66">
        <v>25204</v>
      </c>
      <c r="N90">
        <v>4923.76</v>
      </c>
      <c r="O90">
        <v>1.565115509134396E-2</v>
      </c>
      <c r="P90">
        <v>4.4715981050763132E-2</v>
      </c>
      <c r="Q90">
        <v>6.4089767847923085E-2</v>
      </c>
      <c r="R90">
        <v>1.565115509134396E-2</v>
      </c>
      <c r="S90">
        <v>6.4089767847923085E-2</v>
      </c>
      <c r="T90">
        <v>4.4715981050763132E-2</v>
      </c>
    </row>
    <row r="91" spans="1:20" x14ac:dyDescent="0.35">
      <c r="A91" s="66">
        <v>25294</v>
      </c>
      <c r="N91">
        <v>4938.7280000000001</v>
      </c>
      <c r="O91">
        <v>3.039953206492568E-3</v>
      </c>
      <c r="P91">
        <v>3.067141537615219E-2</v>
      </c>
      <c r="Q91">
        <v>1.221537317702515E-2</v>
      </c>
      <c r="R91">
        <v>3.039953206492568E-3</v>
      </c>
      <c r="S91">
        <v>1.221537317702515E-2</v>
      </c>
      <c r="T91">
        <v>3.067141537615219E-2</v>
      </c>
    </row>
    <row r="92" spans="1:20" x14ac:dyDescent="0.35">
      <c r="A92" s="66">
        <v>25385</v>
      </c>
      <c r="N92">
        <v>4971.3490000000002</v>
      </c>
      <c r="O92">
        <v>6.6051420527715021E-3</v>
      </c>
      <c r="P92">
        <v>2.9500970408946881E-2</v>
      </c>
      <c r="Q92">
        <v>2.6683490197652041E-2</v>
      </c>
      <c r="R92">
        <v>6.6051420527715021E-3</v>
      </c>
      <c r="S92">
        <v>2.6683490197652041E-2</v>
      </c>
      <c r="T92">
        <v>2.9500970408946881E-2</v>
      </c>
    </row>
    <row r="93" spans="1:20" x14ac:dyDescent="0.35">
      <c r="A93" s="66">
        <v>25477</v>
      </c>
      <c r="N93">
        <v>4947.1040000000003</v>
      </c>
      <c r="O93">
        <v>-4.8769458752543609E-3</v>
      </c>
      <c r="P93">
        <v>2.0466450833714091E-2</v>
      </c>
      <c r="Q93">
        <v>-1.9365539313737409E-2</v>
      </c>
      <c r="R93">
        <v>-4.8769458752543609E-3</v>
      </c>
      <c r="S93">
        <v>-1.9365539313737409E-2</v>
      </c>
      <c r="T93">
        <v>2.0466450833714091E-2</v>
      </c>
    </row>
    <row r="94" spans="1:20" x14ac:dyDescent="0.35">
      <c r="A94" s="66">
        <v>25569</v>
      </c>
      <c r="N94">
        <v>4939.759</v>
      </c>
      <c r="O94">
        <v>-1.4847070124259069E-3</v>
      </c>
      <c r="P94">
        <v>3.249346028238541E-3</v>
      </c>
      <c r="Q94">
        <v>-5.9256150066525626E-3</v>
      </c>
      <c r="R94">
        <v>-1.4847070124259069E-3</v>
      </c>
      <c r="S94">
        <v>-5.9256150066525626E-3</v>
      </c>
      <c r="T94">
        <v>3.249346028238541E-3</v>
      </c>
    </row>
    <row r="95" spans="1:20" x14ac:dyDescent="0.35">
      <c r="A95" s="66">
        <v>25659</v>
      </c>
      <c r="N95">
        <v>4946.7700000000004</v>
      </c>
      <c r="O95">
        <v>1.419300010385208E-3</v>
      </c>
      <c r="P95">
        <v>1.628354507476494E-3</v>
      </c>
      <c r="Q95">
        <v>5.6892979569385096E-3</v>
      </c>
      <c r="R95">
        <v>1.419300010385208E-3</v>
      </c>
      <c r="S95">
        <v>5.6892979569385096E-3</v>
      </c>
      <c r="T95">
        <v>1.628354507476494E-3</v>
      </c>
    </row>
    <row r="96" spans="1:20" x14ac:dyDescent="0.35">
      <c r="A96" s="66">
        <v>25750</v>
      </c>
      <c r="N96">
        <v>4992.357</v>
      </c>
      <c r="O96">
        <v>9.2155083013763586E-3</v>
      </c>
      <c r="P96">
        <v>4.2258147637592551E-3</v>
      </c>
      <c r="Q96">
        <v>3.7374724507416517E-2</v>
      </c>
      <c r="R96">
        <v>9.2155083013763586E-3</v>
      </c>
      <c r="S96">
        <v>3.7374724507416517E-2</v>
      </c>
      <c r="T96">
        <v>4.2258147637592551E-3</v>
      </c>
    </row>
    <row r="97" spans="1:20" x14ac:dyDescent="0.35">
      <c r="A97" s="66">
        <v>25842</v>
      </c>
      <c r="N97">
        <v>4938.857</v>
      </c>
      <c r="O97">
        <v>-1.071638106008845E-2</v>
      </c>
      <c r="P97">
        <v>-1.667035906259561E-3</v>
      </c>
      <c r="Q97">
        <v>-4.2181388825872079E-2</v>
      </c>
      <c r="R97">
        <v>-1.071638106008845E-2</v>
      </c>
      <c r="S97">
        <v>-4.2181388825872079E-2</v>
      </c>
      <c r="T97">
        <v>-1.667035906259561E-3</v>
      </c>
    </row>
    <row r="98" spans="1:20" x14ac:dyDescent="0.35">
      <c r="A98" s="66">
        <v>25934</v>
      </c>
      <c r="N98">
        <v>5072.9960000000001</v>
      </c>
      <c r="O98">
        <v>2.7159927894247621E-2</v>
      </c>
      <c r="P98">
        <v>2.697236849004174E-2</v>
      </c>
      <c r="Q98">
        <v>0.1131463651735802</v>
      </c>
      <c r="R98">
        <v>2.7159927894247621E-2</v>
      </c>
      <c r="S98">
        <v>0.1131463651735802</v>
      </c>
      <c r="T98">
        <v>2.697236849004174E-2</v>
      </c>
    </row>
    <row r="99" spans="1:20" x14ac:dyDescent="0.35">
      <c r="A99" s="66">
        <v>26024</v>
      </c>
      <c r="N99">
        <v>5100.4470000000001</v>
      </c>
      <c r="O99">
        <v>5.4112007973197733E-3</v>
      </c>
      <c r="P99">
        <v>3.106613002019493E-2</v>
      </c>
      <c r="Q99">
        <v>2.1821124394593161E-2</v>
      </c>
      <c r="R99">
        <v>5.4112007973197733E-3</v>
      </c>
      <c r="S99">
        <v>2.1821124394593161E-2</v>
      </c>
      <c r="T99">
        <v>3.106613002019493E-2</v>
      </c>
    </row>
    <row r="100" spans="1:20" x14ac:dyDescent="0.35">
      <c r="A100" s="66">
        <v>26115</v>
      </c>
      <c r="N100">
        <v>5142.4219999999996</v>
      </c>
      <c r="O100">
        <v>8.2296708504175139E-3</v>
      </c>
      <c r="P100">
        <v>3.0058948108077931E-2</v>
      </c>
      <c r="Q100">
        <v>3.3327282382066732E-2</v>
      </c>
      <c r="R100">
        <v>8.2296708504175139E-3</v>
      </c>
      <c r="S100">
        <v>3.3327282382066732E-2</v>
      </c>
      <c r="T100">
        <v>3.0058948108077931E-2</v>
      </c>
    </row>
    <row r="101" spans="1:20" x14ac:dyDescent="0.35">
      <c r="A101" s="66">
        <v>26207</v>
      </c>
      <c r="N101">
        <v>5154.5469999999996</v>
      </c>
      <c r="O101">
        <v>2.357838388214737E-3</v>
      </c>
      <c r="P101">
        <v>4.3672048006249138E-2</v>
      </c>
      <c r="Q101">
        <v>9.464762427640272E-3</v>
      </c>
      <c r="R101">
        <v>2.357838388214737E-3</v>
      </c>
      <c r="S101">
        <v>9.464762427640272E-3</v>
      </c>
      <c r="T101">
        <v>4.3672048006249138E-2</v>
      </c>
    </row>
    <row r="102" spans="1:20" x14ac:dyDescent="0.35">
      <c r="A102" s="66">
        <v>26299</v>
      </c>
      <c r="N102">
        <v>5249.3370000000004</v>
      </c>
      <c r="O102">
        <v>1.8389588842627851E-2</v>
      </c>
      <c r="P102">
        <v>3.4760721277919467E-2</v>
      </c>
      <c r="Q102">
        <v>7.5612407343295995E-2</v>
      </c>
      <c r="R102">
        <v>1.8389588842627851E-2</v>
      </c>
      <c r="S102">
        <v>7.5612407343295995E-2</v>
      </c>
      <c r="T102">
        <v>3.4760721277919467E-2</v>
      </c>
    </row>
    <row r="103" spans="1:20" x14ac:dyDescent="0.35">
      <c r="A103" s="66">
        <v>26390</v>
      </c>
      <c r="N103">
        <v>5368.4849999999997</v>
      </c>
      <c r="O103">
        <v>2.2697723541087039E-2</v>
      </c>
      <c r="P103">
        <v>5.2551864571869791E-2</v>
      </c>
      <c r="Q103">
        <v>9.3929053762295656E-2</v>
      </c>
      <c r="R103">
        <v>2.2697723541087039E-2</v>
      </c>
      <c r="S103">
        <v>9.3929053762295656E-2</v>
      </c>
      <c r="T103">
        <v>5.2551864571869791E-2</v>
      </c>
    </row>
    <row r="104" spans="1:20" x14ac:dyDescent="0.35">
      <c r="A104" s="66">
        <v>26481</v>
      </c>
      <c r="N104">
        <v>5419.1840000000002</v>
      </c>
      <c r="O104">
        <v>9.4438188800006935E-3</v>
      </c>
      <c r="P104">
        <v>5.3819387051471212E-2</v>
      </c>
      <c r="Q104">
        <v>3.8313766779282547E-2</v>
      </c>
      <c r="R104">
        <v>9.4438188800006935E-3</v>
      </c>
      <c r="S104">
        <v>3.8313766779282547E-2</v>
      </c>
      <c r="T104">
        <v>5.3819387051471212E-2</v>
      </c>
    </row>
    <row r="105" spans="1:20" x14ac:dyDescent="0.35">
      <c r="A105" s="66">
        <v>26573</v>
      </c>
      <c r="N105">
        <v>5509.9260000000004</v>
      </c>
      <c r="O105">
        <v>1.6744587376992581E-2</v>
      </c>
      <c r="P105">
        <v>6.8944758870178285E-2</v>
      </c>
      <c r="Q105">
        <v>6.8679494830585552E-2</v>
      </c>
      <c r="R105">
        <v>1.6744587376992581E-2</v>
      </c>
      <c r="S105">
        <v>6.8679494830585552E-2</v>
      </c>
      <c r="T105">
        <v>6.8944758870178285E-2</v>
      </c>
    </row>
    <row r="106" spans="1:20" x14ac:dyDescent="0.35">
      <c r="A106" s="66">
        <v>26665</v>
      </c>
      <c r="N106">
        <v>5646.2860000000001</v>
      </c>
      <c r="O106">
        <v>2.474806376709953E-2</v>
      </c>
      <c r="P106">
        <v>7.5618882917976041E-2</v>
      </c>
      <c r="Q106">
        <v>0.1027280596009803</v>
      </c>
      <c r="R106">
        <v>2.474806376709953E-2</v>
      </c>
      <c r="S106">
        <v>0.1027280596009803</v>
      </c>
      <c r="T106">
        <v>7.5618882917976041E-2</v>
      </c>
    </row>
    <row r="107" spans="1:20" x14ac:dyDescent="0.35">
      <c r="A107" s="66">
        <v>26755</v>
      </c>
      <c r="N107">
        <v>5707.7550000000001</v>
      </c>
      <c r="O107">
        <v>1.0886625296699469E-2</v>
      </c>
      <c r="P107">
        <v>6.3196600158145266E-2</v>
      </c>
      <c r="Q107">
        <v>4.4262787966369732E-2</v>
      </c>
      <c r="R107">
        <v>1.0886625296699469E-2</v>
      </c>
      <c r="S107">
        <v>4.4262787966369732E-2</v>
      </c>
      <c r="T107">
        <v>6.3196600158145266E-2</v>
      </c>
    </row>
    <row r="108" spans="1:20" x14ac:dyDescent="0.35">
      <c r="A108" s="66">
        <v>26846</v>
      </c>
      <c r="N108">
        <v>5677.7380000000003</v>
      </c>
      <c r="O108">
        <v>-5.2589853628965894E-3</v>
      </c>
      <c r="P108">
        <v>4.7710873076094118E-2</v>
      </c>
      <c r="Q108">
        <v>-2.0870580913895931E-2</v>
      </c>
      <c r="R108">
        <v>-5.2589853628965894E-3</v>
      </c>
      <c r="S108">
        <v>-2.0870580913895931E-2</v>
      </c>
      <c r="T108">
        <v>4.7710873076094118E-2</v>
      </c>
    </row>
    <row r="109" spans="1:20" x14ac:dyDescent="0.35">
      <c r="A109" s="66">
        <v>26938</v>
      </c>
      <c r="N109">
        <v>5731.6319999999996</v>
      </c>
      <c r="O109">
        <v>9.4921604343136869E-3</v>
      </c>
      <c r="P109">
        <v>4.0237563989062503E-2</v>
      </c>
      <c r="Q109">
        <v>3.8512677530483819E-2</v>
      </c>
      <c r="R109">
        <v>9.4921604343136869E-3</v>
      </c>
      <c r="S109">
        <v>3.8512677530483819E-2</v>
      </c>
      <c r="T109">
        <v>4.0237563989062503E-2</v>
      </c>
    </row>
    <row r="110" spans="1:20" x14ac:dyDescent="0.35">
      <c r="A110" s="66">
        <v>27030</v>
      </c>
      <c r="N110">
        <v>5682.3530000000001</v>
      </c>
      <c r="O110">
        <v>-8.5977257437322464E-3</v>
      </c>
      <c r="P110">
        <v>6.3877387719998612E-3</v>
      </c>
      <c r="Q110">
        <v>-3.3949914388930691E-2</v>
      </c>
      <c r="R110">
        <v>-8.5977257437322464E-3</v>
      </c>
      <c r="S110">
        <v>-3.3949914388930691E-2</v>
      </c>
      <c r="T110">
        <v>6.3877387719998612E-3</v>
      </c>
    </row>
    <row r="111" spans="1:20" x14ac:dyDescent="0.35">
      <c r="A111" s="66">
        <v>27120</v>
      </c>
      <c r="N111">
        <v>5695.8590000000004</v>
      </c>
      <c r="O111">
        <v>2.3768322735318119E-3</v>
      </c>
      <c r="P111">
        <v>-2.0841819594568669E-3</v>
      </c>
      <c r="Q111">
        <v>9.5412788260365033E-3</v>
      </c>
      <c r="R111">
        <v>2.3768322735318119E-3</v>
      </c>
      <c r="S111">
        <v>9.5412788260365033E-3</v>
      </c>
      <c r="T111">
        <v>-2.0841819594568669E-3</v>
      </c>
    </row>
    <row r="112" spans="1:20" x14ac:dyDescent="0.35">
      <c r="A112" s="66">
        <v>27211</v>
      </c>
      <c r="N112">
        <v>5642.0249999999996</v>
      </c>
      <c r="O112">
        <v>-9.4514277828859072E-3</v>
      </c>
      <c r="P112">
        <v>-6.2900049280189829E-3</v>
      </c>
      <c r="Q112">
        <v>-3.7273103393761782E-2</v>
      </c>
      <c r="R112">
        <v>-9.4514277828859072E-3</v>
      </c>
      <c r="S112">
        <v>-3.7273103393761782E-2</v>
      </c>
      <c r="T112">
        <v>-6.2900049280189829E-3</v>
      </c>
    </row>
    <row r="113" spans="1:20" x14ac:dyDescent="0.35">
      <c r="A113" s="66">
        <v>27303</v>
      </c>
      <c r="N113">
        <v>5620.1260000000002</v>
      </c>
      <c r="O113">
        <v>-3.881407827863123E-3</v>
      </c>
      <c r="P113">
        <v>-1.945449393820109E-2</v>
      </c>
      <c r="Q113">
        <v>-1.5435473022839759E-2</v>
      </c>
      <c r="R113">
        <v>-3.881407827863123E-3</v>
      </c>
      <c r="S113">
        <v>-1.5435473022839759E-2</v>
      </c>
      <c r="T113">
        <v>-1.945449393820109E-2</v>
      </c>
    </row>
    <row r="114" spans="1:20" x14ac:dyDescent="0.35">
      <c r="A114" s="66">
        <v>27395</v>
      </c>
      <c r="N114">
        <v>5551.7129999999997</v>
      </c>
      <c r="O114">
        <v>-1.217285875797099E-2</v>
      </c>
      <c r="P114">
        <v>-2.2990475952479598E-2</v>
      </c>
      <c r="Q114">
        <v>-4.7809557156305638E-2</v>
      </c>
      <c r="R114">
        <v>-1.217285875797099E-2</v>
      </c>
      <c r="S114">
        <v>-4.7809557156305638E-2</v>
      </c>
      <c r="T114">
        <v>-2.2990475952479598E-2</v>
      </c>
    </row>
    <row r="115" spans="1:20" x14ac:dyDescent="0.35">
      <c r="A115" s="66">
        <v>27485</v>
      </c>
      <c r="N115">
        <v>5591.3819999999996</v>
      </c>
      <c r="O115">
        <v>7.1453621611923873E-3</v>
      </c>
      <c r="P115">
        <v>-1.834262400105072E-2</v>
      </c>
      <c r="Q115">
        <v>2.888924771416268E-2</v>
      </c>
      <c r="R115">
        <v>7.1453621611923873E-3</v>
      </c>
      <c r="S115">
        <v>2.888924771416268E-2</v>
      </c>
      <c r="T115">
        <v>-1.834262400105072E-2</v>
      </c>
    </row>
    <row r="116" spans="1:20" x14ac:dyDescent="0.35">
      <c r="A116" s="66">
        <v>27576</v>
      </c>
      <c r="N116">
        <v>5687.0870000000004</v>
      </c>
      <c r="O116">
        <v>1.7116519672596298E-2</v>
      </c>
      <c r="P116">
        <v>7.9868486935100094E-3</v>
      </c>
      <c r="Q116">
        <v>7.0244074865320139E-2</v>
      </c>
      <c r="R116">
        <v>1.7116519672596298E-2</v>
      </c>
      <c r="S116">
        <v>7.0244074865320139E-2</v>
      </c>
      <c r="T116">
        <v>7.9868486935100094E-3</v>
      </c>
    </row>
    <row r="117" spans="1:20" x14ac:dyDescent="0.35">
      <c r="A117" s="66">
        <v>27668</v>
      </c>
      <c r="N117">
        <v>5763.665</v>
      </c>
      <c r="O117">
        <v>1.3465241519955561E-2</v>
      </c>
      <c r="P117">
        <v>2.5540174722061351E-2</v>
      </c>
      <c r="Q117">
        <v>5.4958641008029607E-2</v>
      </c>
      <c r="R117">
        <v>1.3465241519955561E-2</v>
      </c>
      <c r="S117">
        <v>5.4958641008029607E-2</v>
      </c>
      <c r="T117">
        <v>2.5540174722061351E-2</v>
      </c>
    </row>
    <row r="118" spans="1:20" x14ac:dyDescent="0.35">
      <c r="A118" s="66">
        <v>27760</v>
      </c>
      <c r="N118">
        <v>5893.2759999999998</v>
      </c>
      <c r="O118">
        <v>2.2487601205135949E-2</v>
      </c>
      <c r="P118">
        <v>6.1523893616258638E-2</v>
      </c>
      <c r="Q118">
        <v>9.3030301011741479E-2</v>
      </c>
      <c r="R118">
        <v>2.2487601205135949E-2</v>
      </c>
      <c r="S118">
        <v>9.3030301011741479E-2</v>
      </c>
      <c r="T118">
        <v>6.1523893616258638E-2</v>
      </c>
    </row>
    <row r="119" spans="1:20" x14ac:dyDescent="0.35">
      <c r="A119" s="66">
        <v>27851</v>
      </c>
      <c r="N119">
        <v>5936.5150000000003</v>
      </c>
      <c r="O119">
        <v>7.3370057672507601E-3</v>
      </c>
      <c r="P119">
        <v>6.1725884584526818E-2</v>
      </c>
      <c r="Q119">
        <v>2.9672595741234709E-2</v>
      </c>
      <c r="R119">
        <v>7.3370057672507601E-3</v>
      </c>
      <c r="S119">
        <v>2.9672595741234709E-2</v>
      </c>
      <c r="T119">
        <v>6.1725884584526818E-2</v>
      </c>
    </row>
    <row r="120" spans="1:20" x14ac:dyDescent="0.35">
      <c r="A120" s="66">
        <v>27942</v>
      </c>
      <c r="N120">
        <v>5969.0889999999999</v>
      </c>
      <c r="O120">
        <v>5.4870576424046113E-3</v>
      </c>
      <c r="P120">
        <v>4.958636996409576E-2</v>
      </c>
      <c r="Q120">
        <v>2.2129539098495469E-2</v>
      </c>
      <c r="R120">
        <v>5.4870576424046113E-3</v>
      </c>
      <c r="S120">
        <v>2.2129539098495469E-2</v>
      </c>
      <c r="T120">
        <v>4.958636996409576E-2</v>
      </c>
    </row>
    <row r="121" spans="1:20" x14ac:dyDescent="0.35">
      <c r="A121" s="66">
        <v>28034</v>
      </c>
      <c r="N121">
        <v>6012.3559999999998</v>
      </c>
      <c r="O121">
        <v>7.2485097809732481E-3</v>
      </c>
      <c r="P121">
        <v>4.314806637790361E-2</v>
      </c>
      <c r="Q121">
        <v>2.931081062144569E-2</v>
      </c>
      <c r="R121">
        <v>7.2485097809732481E-3</v>
      </c>
      <c r="S121">
        <v>2.931081062144569E-2</v>
      </c>
      <c r="T121">
        <v>4.314806637790361E-2</v>
      </c>
    </row>
    <row r="122" spans="1:20" x14ac:dyDescent="0.35">
      <c r="A122" s="66">
        <v>28126</v>
      </c>
      <c r="N122">
        <v>6083.3909999999996</v>
      </c>
      <c r="O122">
        <v>1.1814835981102891E-2</v>
      </c>
      <c r="P122">
        <v>3.225964641737461E-2</v>
      </c>
      <c r="Q122">
        <v>4.8103502453763942E-2</v>
      </c>
      <c r="R122">
        <v>1.1814835981102891E-2</v>
      </c>
      <c r="S122">
        <v>4.8103502453763942E-2</v>
      </c>
      <c r="T122">
        <v>3.225964641737461E-2</v>
      </c>
    </row>
    <row r="123" spans="1:20" x14ac:dyDescent="0.35">
      <c r="A123" s="66">
        <v>28216</v>
      </c>
      <c r="N123">
        <v>6201.6589999999997</v>
      </c>
      <c r="O123">
        <v>1.9441130777226059E-2</v>
      </c>
      <c r="P123">
        <v>4.4663240975555407E-2</v>
      </c>
      <c r="Q123">
        <v>8.0061803046076241E-2</v>
      </c>
      <c r="R123">
        <v>1.9441130777226059E-2</v>
      </c>
      <c r="S123">
        <v>8.0061803046076241E-2</v>
      </c>
      <c r="T123">
        <v>4.4663240975555407E-2</v>
      </c>
    </row>
    <row r="124" spans="1:20" x14ac:dyDescent="0.35">
      <c r="A124" s="66">
        <v>28307</v>
      </c>
      <c r="N124">
        <v>6313.5590000000002</v>
      </c>
      <c r="O124">
        <v>1.8043558989618839E-2</v>
      </c>
      <c r="P124">
        <v>5.7708973680908472E-2</v>
      </c>
      <c r="Q124">
        <v>7.4151259847902606E-2</v>
      </c>
      <c r="R124">
        <v>1.8043558989618839E-2</v>
      </c>
      <c r="S124">
        <v>7.4151259847902606E-2</v>
      </c>
      <c r="T124">
        <v>5.7708973680908472E-2</v>
      </c>
    </row>
    <row r="125" spans="1:20" x14ac:dyDescent="0.35">
      <c r="A125" s="66">
        <v>28399</v>
      </c>
      <c r="N125">
        <v>6313.6970000000001</v>
      </c>
      <c r="O125">
        <v>2.185771923568307E-5</v>
      </c>
      <c r="P125">
        <v>5.0120285625136027E-2</v>
      </c>
      <c r="Q125">
        <v>8.7433743543918752E-5</v>
      </c>
      <c r="R125">
        <v>2.185771923568307E-5</v>
      </c>
      <c r="S125">
        <v>8.7433743543918752E-5</v>
      </c>
      <c r="T125">
        <v>5.0120285625136027E-2</v>
      </c>
    </row>
    <row r="126" spans="1:20" x14ac:dyDescent="0.35">
      <c r="A126" s="66">
        <v>28491</v>
      </c>
      <c r="N126">
        <v>6333.848</v>
      </c>
      <c r="O126">
        <v>3.191632414415807E-3</v>
      </c>
      <c r="P126">
        <v>4.1170623423679387E-2</v>
      </c>
      <c r="Q126">
        <v>1.282777891271847E-2</v>
      </c>
      <c r="R126">
        <v>3.191632414415807E-3</v>
      </c>
      <c r="S126">
        <v>1.282777891271847E-2</v>
      </c>
      <c r="T126">
        <v>4.1170623423679387E-2</v>
      </c>
    </row>
    <row r="127" spans="1:20" x14ac:dyDescent="0.35">
      <c r="A127" s="66">
        <v>28581</v>
      </c>
      <c r="N127">
        <v>6578.6049999999996</v>
      </c>
      <c r="O127">
        <v>3.8642701877278973E-2</v>
      </c>
      <c r="P127">
        <v>6.078147798838987E-2</v>
      </c>
      <c r="Q127">
        <v>0.16376340193805031</v>
      </c>
      <c r="R127">
        <v>3.8642701877278973E-2</v>
      </c>
      <c r="S127">
        <v>0.16376340193805031</v>
      </c>
      <c r="T127">
        <v>6.078147798838987E-2</v>
      </c>
    </row>
    <row r="128" spans="1:20" x14ac:dyDescent="0.35">
      <c r="A128" s="66">
        <v>28672</v>
      </c>
      <c r="N128">
        <v>6644.7539999999999</v>
      </c>
      <c r="O128">
        <v>1.0055171271113E-2</v>
      </c>
      <c r="P128">
        <v>5.2457734219320623E-2</v>
      </c>
      <c r="Q128">
        <v>4.0831400694179898E-2</v>
      </c>
      <c r="R128">
        <v>1.0055171271113E-2</v>
      </c>
      <c r="S128">
        <v>4.0831400694179898E-2</v>
      </c>
      <c r="T128">
        <v>5.2457734219320623E-2</v>
      </c>
    </row>
    <row r="129" spans="1:20" x14ac:dyDescent="0.35">
      <c r="A129" s="66">
        <v>28764</v>
      </c>
      <c r="N129">
        <v>6734.0690000000004</v>
      </c>
      <c r="O129">
        <v>1.344143063836532E-2</v>
      </c>
      <c r="P129">
        <v>6.6580958826500586E-2</v>
      </c>
      <c r="Q129">
        <v>5.4859501505211572E-2</v>
      </c>
      <c r="R129">
        <v>1.344143063836532E-2</v>
      </c>
      <c r="S129">
        <v>5.4859501505211572E-2</v>
      </c>
      <c r="T129">
        <v>6.6580958826500586E-2</v>
      </c>
    </row>
    <row r="130" spans="1:20" x14ac:dyDescent="0.35">
      <c r="A130" s="66">
        <v>28856</v>
      </c>
      <c r="N130">
        <v>6746.1760000000004</v>
      </c>
      <c r="O130">
        <v>1.797872875968448E-3</v>
      </c>
      <c r="P130">
        <v>6.509913089167918E-2</v>
      </c>
      <c r="Q130">
        <v>7.2109088409857414E-3</v>
      </c>
      <c r="R130">
        <v>1.797872875968448E-3</v>
      </c>
      <c r="S130">
        <v>7.2109088409857414E-3</v>
      </c>
      <c r="T130">
        <v>6.509913089167918E-2</v>
      </c>
    </row>
    <row r="131" spans="1:20" x14ac:dyDescent="0.35">
      <c r="A131" s="66">
        <v>28946</v>
      </c>
      <c r="N131">
        <v>6753.3890000000001</v>
      </c>
      <c r="O131">
        <v>1.069198313236971E-3</v>
      </c>
      <c r="P131">
        <v>2.6568550627374739E-2</v>
      </c>
      <c r="Q131">
        <v>4.2836572536188999E-3</v>
      </c>
      <c r="R131">
        <v>1.069198313236971E-3</v>
      </c>
      <c r="S131">
        <v>4.2836572536188999E-3</v>
      </c>
      <c r="T131">
        <v>2.6568550627374739E-2</v>
      </c>
    </row>
    <row r="132" spans="1:20" x14ac:dyDescent="0.35">
      <c r="A132" s="66">
        <v>29037</v>
      </c>
      <c r="N132">
        <v>6803.558</v>
      </c>
      <c r="O132">
        <v>7.4287146794002048E-3</v>
      </c>
      <c r="P132">
        <v>2.3899154129708951E-2</v>
      </c>
      <c r="Q132">
        <v>3.0047616412103961E-2</v>
      </c>
      <c r="R132">
        <v>7.4287146794002048E-3</v>
      </c>
      <c r="S132">
        <v>3.0047616412103961E-2</v>
      </c>
      <c r="T132">
        <v>2.3899154129708951E-2</v>
      </c>
    </row>
    <row r="133" spans="1:20" x14ac:dyDescent="0.35">
      <c r="A133" s="66">
        <v>29129</v>
      </c>
      <c r="N133">
        <v>6820.5720000000001</v>
      </c>
      <c r="O133">
        <v>2.500750342688359E-3</v>
      </c>
      <c r="P133">
        <v>1.2845576723374779E-2</v>
      </c>
      <c r="Q133">
        <v>1.0040586479814319E-2</v>
      </c>
      <c r="R133">
        <v>2.500750342688359E-3</v>
      </c>
      <c r="S133">
        <v>1.0040586479814319E-2</v>
      </c>
      <c r="T133">
        <v>1.2845576723374779E-2</v>
      </c>
    </row>
    <row r="134" spans="1:20" x14ac:dyDescent="0.35">
      <c r="A134" s="66">
        <v>29221</v>
      </c>
      <c r="N134">
        <v>6842.0240000000003</v>
      </c>
      <c r="O134">
        <v>3.1451907552622021E-3</v>
      </c>
      <c r="P134">
        <v>1.420775265869138E-2</v>
      </c>
      <c r="Q134">
        <v>1.264024091996396E-2</v>
      </c>
      <c r="R134">
        <v>3.1451907552622021E-3</v>
      </c>
      <c r="S134">
        <v>1.264024091996396E-2</v>
      </c>
      <c r="T134">
        <v>1.420775265869138E-2</v>
      </c>
    </row>
    <row r="135" spans="1:20" x14ac:dyDescent="0.35">
      <c r="A135" s="66">
        <v>29312</v>
      </c>
      <c r="N135">
        <v>6701.0460000000003</v>
      </c>
      <c r="O135">
        <v>-2.0604721643770911E-2</v>
      </c>
      <c r="P135">
        <v>-7.7506271295789192E-3</v>
      </c>
      <c r="Q135">
        <v>-7.9906370318043152E-2</v>
      </c>
      <c r="R135">
        <v>-2.0604721643770911E-2</v>
      </c>
      <c r="S135">
        <v>-7.9906370318043152E-2</v>
      </c>
      <c r="T135">
        <v>-7.7506271295789192E-3</v>
      </c>
    </row>
    <row r="136" spans="1:20" x14ac:dyDescent="0.35">
      <c r="A136" s="66">
        <v>29403</v>
      </c>
      <c r="N136">
        <v>6693.0820000000003</v>
      </c>
      <c r="O136">
        <v>-1.188471173007907E-3</v>
      </c>
      <c r="P136">
        <v>-1.6237974306972859E-2</v>
      </c>
      <c r="Q136">
        <v>-4.745416622351839E-3</v>
      </c>
      <c r="R136">
        <v>-1.188471173007907E-3</v>
      </c>
      <c r="S136">
        <v>-4.745416622351839E-3</v>
      </c>
      <c r="T136">
        <v>-1.6237974306972859E-2</v>
      </c>
    </row>
    <row r="137" spans="1:20" x14ac:dyDescent="0.35">
      <c r="A137" s="66">
        <v>29495</v>
      </c>
      <c r="N137">
        <v>6817.9030000000002</v>
      </c>
      <c r="O137">
        <v>1.8649256052742209E-2</v>
      </c>
      <c r="P137">
        <v>-3.9131615354252831E-4</v>
      </c>
      <c r="Q137">
        <v>7.6709858133567232E-2</v>
      </c>
      <c r="R137">
        <v>1.8649256052742209E-2</v>
      </c>
      <c r="S137">
        <v>7.6709858133567232E-2</v>
      </c>
      <c r="T137">
        <v>-3.9131615354252831E-4</v>
      </c>
    </row>
    <row r="138" spans="1:20" x14ac:dyDescent="0.35">
      <c r="A138" s="66">
        <v>29587</v>
      </c>
      <c r="N138">
        <v>6951.4949999999999</v>
      </c>
      <c r="O138">
        <v>1.959429460935417E-2</v>
      </c>
      <c r="P138">
        <v>1.5999797720674402E-2</v>
      </c>
      <c r="Q138">
        <v>8.0711035982251378E-2</v>
      </c>
      <c r="R138">
        <v>1.959429460935417E-2</v>
      </c>
      <c r="S138">
        <v>8.0711035982251378E-2</v>
      </c>
      <c r="T138">
        <v>1.5999797720674402E-2</v>
      </c>
    </row>
    <row r="139" spans="1:20" x14ac:dyDescent="0.35">
      <c r="A139" s="66">
        <v>29677</v>
      </c>
      <c r="N139">
        <v>6899.98</v>
      </c>
      <c r="O139">
        <v>-7.4106361293506404E-3</v>
      </c>
      <c r="P139">
        <v>2.968700707322398E-2</v>
      </c>
      <c r="Q139">
        <v>-2.931466422968176E-2</v>
      </c>
      <c r="R139">
        <v>-7.4106361293506404E-3</v>
      </c>
      <c r="S139">
        <v>-2.931466422968176E-2</v>
      </c>
      <c r="T139">
        <v>2.968700707322398E-2</v>
      </c>
    </row>
    <row r="140" spans="1:20" x14ac:dyDescent="0.35">
      <c r="A140" s="66">
        <v>29768</v>
      </c>
      <c r="N140">
        <v>6982.6090000000004</v>
      </c>
      <c r="O140">
        <v>1.1975252102180129E-2</v>
      </c>
      <c r="P140">
        <v>4.3257650212562768E-2</v>
      </c>
      <c r="Q140">
        <v>4.8768338275421819E-2</v>
      </c>
      <c r="R140">
        <v>1.1975252102180129E-2</v>
      </c>
      <c r="S140">
        <v>4.8768338275421819E-2</v>
      </c>
      <c r="T140">
        <v>4.3257650212562768E-2</v>
      </c>
    </row>
    <row r="141" spans="1:20" x14ac:dyDescent="0.35">
      <c r="A141" s="66">
        <v>29860</v>
      </c>
      <c r="N141">
        <v>6906.5290000000005</v>
      </c>
      <c r="O141">
        <v>-1.0895640870053E-2</v>
      </c>
      <c r="P141">
        <v>1.2999011572913281E-2</v>
      </c>
      <c r="Q141">
        <v>-4.2875433350734633E-2</v>
      </c>
      <c r="R141">
        <v>-1.0895640870053E-2</v>
      </c>
      <c r="S141">
        <v>-4.2875433350734633E-2</v>
      </c>
      <c r="T141">
        <v>1.2999011572913281E-2</v>
      </c>
    </row>
    <row r="142" spans="1:20" x14ac:dyDescent="0.35">
      <c r="A142" s="66">
        <v>29952</v>
      </c>
      <c r="N142">
        <v>6799.2330000000002</v>
      </c>
      <c r="O142">
        <v>-1.5535444794338851E-2</v>
      </c>
      <c r="P142">
        <v>-2.1903489824850589E-2</v>
      </c>
      <c r="Q142">
        <v>-6.0708618578961808E-2</v>
      </c>
      <c r="R142">
        <v>-1.5535444794338851E-2</v>
      </c>
      <c r="S142">
        <v>-6.0708618578961808E-2</v>
      </c>
      <c r="T142">
        <v>-2.1903489824850589E-2</v>
      </c>
    </row>
    <row r="143" spans="1:20" x14ac:dyDescent="0.35">
      <c r="A143" s="66">
        <v>30042</v>
      </c>
      <c r="N143">
        <v>6830.2510000000002</v>
      </c>
      <c r="O143">
        <v>4.5619851533253864E-3</v>
      </c>
      <c r="P143">
        <v>-1.0105681465743289E-2</v>
      </c>
      <c r="Q143">
        <v>1.8373191068485228E-2</v>
      </c>
      <c r="R143">
        <v>4.5619851533253864E-3</v>
      </c>
      <c r="S143">
        <v>1.8373191068485228E-2</v>
      </c>
      <c r="T143">
        <v>-1.0105681465743289E-2</v>
      </c>
    </row>
    <row r="144" spans="1:20" x14ac:dyDescent="0.35">
      <c r="A144" s="66">
        <v>30133</v>
      </c>
      <c r="N144">
        <v>6804.1390000000001</v>
      </c>
      <c r="O144">
        <v>-3.82299274214082E-3</v>
      </c>
      <c r="P144">
        <v>-2.5559214328054209E-2</v>
      </c>
      <c r="Q144">
        <v>-1.520450261025641E-2</v>
      </c>
      <c r="R144">
        <v>-3.82299274214082E-3</v>
      </c>
      <c r="S144">
        <v>-1.520450261025641E-2</v>
      </c>
      <c r="T144">
        <v>-2.5559214328054209E-2</v>
      </c>
    </row>
    <row r="145" spans="1:20" x14ac:dyDescent="0.35">
      <c r="A145" s="66">
        <v>30225</v>
      </c>
      <c r="N145">
        <v>6806.857</v>
      </c>
      <c r="O145">
        <v>3.9946273878294482E-4</v>
      </c>
      <c r="P145">
        <v>-1.443156178740442E-2</v>
      </c>
      <c r="Q145">
        <v>1.5988086330049891E-3</v>
      </c>
      <c r="R145">
        <v>3.9946273878294482E-4</v>
      </c>
      <c r="S145">
        <v>1.5988086330049891E-3</v>
      </c>
      <c r="T145">
        <v>-1.443156178740442E-2</v>
      </c>
    </row>
    <row r="146" spans="1:20" x14ac:dyDescent="0.35">
      <c r="A146" s="66">
        <v>30317</v>
      </c>
      <c r="N146">
        <v>6896.5609999999997</v>
      </c>
      <c r="O146">
        <v>1.317847576348375E-2</v>
      </c>
      <c r="P146">
        <v>1.431455577415857E-2</v>
      </c>
      <c r="Q146">
        <v>5.3765121497419077E-2</v>
      </c>
      <c r="R146">
        <v>1.317847576348375E-2</v>
      </c>
      <c r="S146">
        <v>5.3765121497419077E-2</v>
      </c>
      <c r="T146">
        <v>1.431455577415857E-2</v>
      </c>
    </row>
    <row r="147" spans="1:20" x14ac:dyDescent="0.35">
      <c r="A147" s="66">
        <v>30407</v>
      </c>
      <c r="N147">
        <v>7053.5</v>
      </c>
      <c r="O147">
        <v>2.275612439301274E-2</v>
      </c>
      <c r="P147">
        <v>3.2685328840770238E-2</v>
      </c>
      <c r="Q147">
        <v>9.4178949150713009E-2</v>
      </c>
      <c r="R147">
        <v>2.275612439301274E-2</v>
      </c>
      <c r="S147">
        <v>9.4178949150713009E-2</v>
      </c>
      <c r="T147">
        <v>3.2685328840770238E-2</v>
      </c>
    </row>
    <row r="148" spans="1:20" x14ac:dyDescent="0.35">
      <c r="A148" s="66">
        <v>30498</v>
      </c>
      <c r="N148">
        <v>7194.5039999999999</v>
      </c>
      <c r="O148">
        <v>1.9990642943219668E-2</v>
      </c>
      <c r="P148">
        <v>5.7371696845111453E-2</v>
      </c>
      <c r="Q148">
        <v>8.2392441412500128E-2</v>
      </c>
      <c r="R148">
        <v>1.9990642943219668E-2</v>
      </c>
      <c r="S148">
        <v>8.2392441412500128E-2</v>
      </c>
      <c r="T148">
        <v>5.7371696845111453E-2</v>
      </c>
    </row>
    <row r="149" spans="1:20" x14ac:dyDescent="0.35">
      <c r="A149" s="66">
        <v>30590</v>
      </c>
      <c r="N149">
        <v>7344.5969999999998</v>
      </c>
      <c r="O149">
        <v>2.0862174793425631E-2</v>
      </c>
      <c r="P149">
        <v>7.8999749811109563E-2</v>
      </c>
      <c r="Q149">
        <v>8.6096590027290532E-2</v>
      </c>
      <c r="R149">
        <v>2.0862174793425631E-2</v>
      </c>
      <c r="S149">
        <v>8.6096590027290532E-2</v>
      </c>
      <c r="T149">
        <v>7.8999749811109563E-2</v>
      </c>
    </row>
    <row r="150" spans="1:20" x14ac:dyDescent="0.35">
      <c r="A150" s="66">
        <v>30682</v>
      </c>
      <c r="N150">
        <v>7488.1670000000004</v>
      </c>
      <c r="O150">
        <v>1.9547702889620849E-2</v>
      </c>
      <c r="P150">
        <v>8.5782754622195131E-2</v>
      </c>
      <c r="Q150">
        <v>8.0513511399357585E-2</v>
      </c>
      <c r="R150">
        <v>1.9547702889620849E-2</v>
      </c>
      <c r="S150">
        <v>8.0513511399357585E-2</v>
      </c>
      <c r="T150">
        <v>8.5782754622195131E-2</v>
      </c>
    </row>
    <row r="151" spans="1:20" x14ac:dyDescent="0.35">
      <c r="A151" s="66">
        <v>30773</v>
      </c>
      <c r="N151">
        <v>7617.5469999999996</v>
      </c>
      <c r="O151">
        <v>1.7277926627437559E-2</v>
      </c>
      <c r="P151">
        <v>7.9966966754093649E-2</v>
      </c>
      <c r="Q151">
        <v>7.0923587812259603E-2</v>
      </c>
      <c r="R151">
        <v>1.7277926627437559E-2</v>
      </c>
      <c r="S151">
        <v>7.0923587812259603E-2</v>
      </c>
      <c r="T151">
        <v>7.9966966754093649E-2</v>
      </c>
    </row>
    <row r="152" spans="1:20" x14ac:dyDescent="0.35">
      <c r="A152" s="66">
        <v>30864</v>
      </c>
      <c r="N152">
        <v>7690.9849999999997</v>
      </c>
      <c r="O152">
        <v>9.64063628357004E-3</v>
      </c>
      <c r="P152">
        <v>6.9008370834181168E-2</v>
      </c>
      <c r="Q152">
        <v>3.9123789055161673E-2</v>
      </c>
      <c r="R152">
        <v>9.64063628357004E-3</v>
      </c>
      <c r="S152">
        <v>3.9123789055161673E-2</v>
      </c>
      <c r="T152">
        <v>6.9008370834181168E-2</v>
      </c>
    </row>
    <row r="153" spans="1:20" x14ac:dyDescent="0.35">
      <c r="A153" s="66">
        <v>30956</v>
      </c>
      <c r="N153">
        <v>7754.1170000000002</v>
      </c>
      <c r="O153">
        <v>8.208571463863279E-3</v>
      </c>
      <c r="P153">
        <v>5.5757994618356933E-2</v>
      </c>
      <c r="Q153">
        <v>3.3240786663843558E-2</v>
      </c>
      <c r="R153">
        <v>8.208571463863279E-3</v>
      </c>
      <c r="S153">
        <v>3.3240786663843558E-2</v>
      </c>
      <c r="T153">
        <v>5.5757994618356933E-2</v>
      </c>
    </row>
    <row r="154" spans="1:20" x14ac:dyDescent="0.35">
      <c r="A154" s="66">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35">
      <c r="A155" s="66">
        <v>31079</v>
      </c>
      <c r="M155">
        <v>181.17999267578119</v>
      </c>
      <c r="O155">
        <v>9.6907230055981904E-3</v>
      </c>
      <c r="P155">
        <v>4.5550933893434779E-2</v>
      </c>
      <c r="Q155">
        <v>3.9330001743275167E-2</v>
      </c>
    </row>
    <row r="156" spans="1:20" x14ac:dyDescent="0.35">
      <c r="A156" s="66">
        <v>31107</v>
      </c>
      <c r="M156">
        <v>180.6600036621094</v>
      </c>
      <c r="O156">
        <v>9.6907230055981904E-3</v>
      </c>
      <c r="P156">
        <v>4.5550933893434779E-2</v>
      </c>
      <c r="Q156">
        <v>3.9330001743275167E-2</v>
      </c>
    </row>
    <row r="157" spans="1:20" x14ac:dyDescent="0.35">
      <c r="A157" s="66">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35">
      <c r="A158" s="66">
        <v>31168</v>
      </c>
      <c r="M158">
        <v>189.55000305175781</v>
      </c>
      <c r="O158">
        <v>8.8046635314193416E-3</v>
      </c>
      <c r="P158">
        <v>3.6842175046639142E-2</v>
      </c>
      <c r="Q158">
        <v>3.568652295878616E-2</v>
      </c>
    </row>
    <row r="159" spans="1:20" x14ac:dyDescent="0.35">
      <c r="A159" s="66">
        <v>31199</v>
      </c>
      <c r="M159">
        <v>191.8500061035156</v>
      </c>
      <c r="O159">
        <v>8.8046635314193416E-3</v>
      </c>
      <c r="P159">
        <v>3.6842175046639142E-2</v>
      </c>
      <c r="Q159">
        <v>3.568652295878616E-2</v>
      </c>
    </row>
    <row r="160" spans="1:20" x14ac:dyDescent="0.35">
      <c r="A160" s="66">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35">
      <c r="A161" s="66">
        <v>31260</v>
      </c>
      <c r="M161">
        <v>188.6300048828125</v>
      </c>
      <c r="O161">
        <v>1.527121263417938E-2</v>
      </c>
      <c r="P161">
        <v>4.2624449274052741E-2</v>
      </c>
      <c r="Q161">
        <v>6.2498410129544053E-2</v>
      </c>
    </row>
    <row r="162" spans="1:20" x14ac:dyDescent="0.35">
      <c r="A162" s="66">
        <v>31291</v>
      </c>
      <c r="M162">
        <v>182.08000183105469</v>
      </c>
      <c r="O162">
        <v>1.527121263417938E-2</v>
      </c>
      <c r="P162">
        <v>4.2624449274052741E-2</v>
      </c>
      <c r="Q162">
        <v>6.2498410129544053E-2</v>
      </c>
    </row>
    <row r="163" spans="1:20" x14ac:dyDescent="0.35">
      <c r="A163" s="66">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35">
      <c r="A164" s="66">
        <v>31352</v>
      </c>
      <c r="M164">
        <v>202.16999816894531</v>
      </c>
      <c r="O164">
        <v>7.4332734449716617E-3</v>
      </c>
      <c r="P164">
        <v>4.1822685935742232E-2</v>
      </c>
      <c r="Q164">
        <v>3.006626101659382E-2</v>
      </c>
    </row>
    <row r="165" spans="1:20" x14ac:dyDescent="0.35">
      <c r="A165" s="66">
        <v>31382</v>
      </c>
      <c r="M165">
        <v>211.2799987792969</v>
      </c>
      <c r="O165">
        <v>7.4332734449716617E-3</v>
      </c>
      <c r="P165">
        <v>4.1822685935742232E-2</v>
      </c>
      <c r="Q165">
        <v>3.006626101659382E-2</v>
      </c>
    </row>
    <row r="166" spans="1:20" x14ac:dyDescent="0.35">
      <c r="A166" s="66">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35">
      <c r="A167" s="66">
        <v>31444</v>
      </c>
      <c r="M167">
        <v>226.91999816894531</v>
      </c>
      <c r="O167">
        <v>9.3352470750759607E-3</v>
      </c>
      <c r="P167">
        <v>4.1455897492227813E-2</v>
      </c>
      <c r="Q167">
        <v>3.7867131071648297E-2</v>
      </c>
    </row>
    <row r="168" spans="1:20" x14ac:dyDescent="0.35">
      <c r="A168" s="66">
        <v>31472</v>
      </c>
      <c r="M168">
        <v>238.8999938964844</v>
      </c>
      <c r="O168">
        <v>9.3352470750759607E-3</v>
      </c>
      <c r="P168">
        <v>4.1455897492227813E-2</v>
      </c>
      <c r="Q168">
        <v>3.7867131071648297E-2</v>
      </c>
    </row>
    <row r="169" spans="1:20" x14ac:dyDescent="0.35">
      <c r="A169" s="66">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35">
      <c r="A170" s="66">
        <v>31533</v>
      </c>
      <c r="M170">
        <v>247.3500061035156</v>
      </c>
      <c r="O170">
        <v>4.5037736258633776E-3</v>
      </c>
      <c r="P170">
        <v>3.7015803866048268E-2</v>
      </c>
      <c r="Q170">
        <v>1.813716419389122E-2</v>
      </c>
    </row>
    <row r="171" spans="1:20" x14ac:dyDescent="0.35">
      <c r="A171" s="66">
        <v>31564</v>
      </c>
      <c r="M171">
        <v>250.8399963378906</v>
      </c>
      <c r="O171">
        <v>4.5037736258633776E-3</v>
      </c>
      <c r="P171">
        <v>3.7015803866048268E-2</v>
      </c>
      <c r="Q171">
        <v>1.813716419389122E-2</v>
      </c>
    </row>
    <row r="172" spans="1:20" x14ac:dyDescent="0.35">
      <c r="A172" s="66">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35">
      <c r="A173" s="66">
        <v>31625</v>
      </c>
      <c r="M173">
        <v>252.92999267578119</v>
      </c>
      <c r="O173">
        <v>9.5699288643793252E-3</v>
      </c>
      <c r="P173">
        <v>3.1192412738599871E-2</v>
      </c>
      <c r="Q173">
        <v>3.8832730867670813E-2</v>
      </c>
    </row>
    <row r="174" spans="1:20" x14ac:dyDescent="0.35">
      <c r="A174" s="66">
        <v>31656</v>
      </c>
      <c r="M174">
        <v>231.32000732421881</v>
      </c>
      <c r="O174">
        <v>9.5699288643793252E-3</v>
      </c>
      <c r="P174">
        <v>3.1192412738599871E-2</v>
      </c>
      <c r="Q174">
        <v>3.8832730867670813E-2</v>
      </c>
    </row>
    <row r="175" spans="1:20" x14ac:dyDescent="0.35">
      <c r="A175" s="66">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35">
      <c r="A176" s="66">
        <v>31717</v>
      </c>
      <c r="M176">
        <v>249.2200012207031</v>
      </c>
      <c r="O176">
        <v>5.3698571823336677E-3</v>
      </c>
      <c r="P176">
        <v>2.9080333208927719E-2</v>
      </c>
      <c r="Q176">
        <v>2.1653061124957459E-2</v>
      </c>
    </row>
    <row r="177" spans="1:20" x14ac:dyDescent="0.35">
      <c r="A177" s="66">
        <v>31747</v>
      </c>
      <c r="M177">
        <v>242.16999816894531</v>
      </c>
      <c r="O177">
        <v>5.3698571823336677E-3</v>
      </c>
      <c r="P177">
        <v>2.9080333208927719E-2</v>
      </c>
      <c r="Q177">
        <v>2.1653061124957459E-2</v>
      </c>
    </row>
    <row r="178" spans="1:20" x14ac:dyDescent="0.35">
      <c r="A178" s="66">
        <v>31778</v>
      </c>
      <c r="M178">
        <v>274.07998657226563</v>
      </c>
      <c r="N178">
        <v>8375.2739999999994</v>
      </c>
      <c r="O178">
        <v>7.4501962990076546E-3</v>
      </c>
      <c r="P178">
        <v>2.7158406191741289E-2</v>
      </c>
      <c r="Q178">
        <v>3.013547493148994E-2</v>
      </c>
      <c r="R178">
        <v>7.4501962990076546E-3</v>
      </c>
      <c r="S178">
        <v>3.013547493148994E-2</v>
      </c>
      <c r="T178">
        <v>2.7158406191741289E-2</v>
      </c>
    </row>
    <row r="179" spans="1:20" x14ac:dyDescent="0.35">
      <c r="A179" s="66">
        <v>31809</v>
      </c>
      <c r="M179">
        <v>284.20001220703119</v>
      </c>
      <c r="O179">
        <v>7.4501962990076546E-3</v>
      </c>
      <c r="P179">
        <v>2.7158406191741289E-2</v>
      </c>
      <c r="Q179">
        <v>3.013547493148994E-2</v>
      </c>
    </row>
    <row r="180" spans="1:20" x14ac:dyDescent="0.35">
      <c r="A180" s="66">
        <v>31837</v>
      </c>
      <c r="M180">
        <v>291.70001220703119</v>
      </c>
      <c r="O180">
        <v>7.4501962990076546E-3</v>
      </c>
      <c r="P180">
        <v>2.7158406191741289E-2</v>
      </c>
      <c r="Q180">
        <v>3.013547493148994E-2</v>
      </c>
    </row>
    <row r="181" spans="1:20" x14ac:dyDescent="0.35">
      <c r="A181" s="66">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35">
      <c r="A182" s="66">
        <v>31898</v>
      </c>
      <c r="M182">
        <v>290.10000610351563</v>
      </c>
      <c r="O182">
        <v>1.078842316084223E-2</v>
      </c>
      <c r="P182">
        <v>3.3584793796559688E-2</v>
      </c>
      <c r="Q182">
        <v>4.3857069297295492E-2</v>
      </c>
    </row>
    <row r="183" spans="1:20" x14ac:dyDescent="0.35">
      <c r="A183" s="66">
        <v>31929</v>
      </c>
      <c r="M183">
        <v>304</v>
      </c>
      <c r="O183">
        <v>1.078842316084223E-2</v>
      </c>
      <c r="P183">
        <v>3.3584793796559688E-2</v>
      </c>
      <c r="Q183">
        <v>4.3857069297295492E-2</v>
      </c>
    </row>
    <row r="184" spans="1:20" x14ac:dyDescent="0.35">
      <c r="A184" s="66">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35">
      <c r="A185" s="66">
        <v>31990</v>
      </c>
      <c r="M185">
        <v>329.79998779296881</v>
      </c>
      <c r="O185">
        <v>8.6756685562682911E-3</v>
      </c>
      <c r="P185">
        <v>3.2669261519167977E-2</v>
      </c>
      <c r="Q185">
        <v>3.5156895213603212E-2</v>
      </c>
    </row>
    <row r="186" spans="1:20" x14ac:dyDescent="0.35">
      <c r="A186" s="66">
        <v>32021</v>
      </c>
      <c r="M186">
        <v>321.82998657226563</v>
      </c>
      <c r="O186">
        <v>8.6756685562682911E-3</v>
      </c>
      <c r="P186">
        <v>3.2669261519167977E-2</v>
      </c>
      <c r="Q186">
        <v>3.5156895213603212E-2</v>
      </c>
    </row>
    <row r="187" spans="1:20" x14ac:dyDescent="0.35">
      <c r="A187" s="66">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35">
      <c r="A188" s="66">
        <v>32082</v>
      </c>
      <c r="M188">
        <v>230.30000305175781</v>
      </c>
      <c r="O188">
        <v>1.7170360958300369E-2</v>
      </c>
      <c r="P188">
        <v>4.4790191376797107E-2</v>
      </c>
      <c r="Q188">
        <v>7.0470707277670686E-2</v>
      </c>
    </row>
    <row r="189" spans="1:20" x14ac:dyDescent="0.35">
      <c r="A189" s="66">
        <v>32112</v>
      </c>
      <c r="M189">
        <v>247.08000183105469</v>
      </c>
      <c r="O189">
        <v>1.7170360958300369E-2</v>
      </c>
      <c r="P189">
        <v>4.4790191376797107E-2</v>
      </c>
      <c r="Q189">
        <v>7.0470707277670686E-2</v>
      </c>
    </row>
    <row r="190" spans="1:20" x14ac:dyDescent="0.35">
      <c r="A190" s="66">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35">
      <c r="A191" s="66">
        <v>32174</v>
      </c>
      <c r="M191">
        <v>267.82000732421881</v>
      </c>
      <c r="O191">
        <v>5.1665416718571942E-3</v>
      </c>
      <c r="P191">
        <v>4.2421895689621632E-2</v>
      </c>
      <c r="Q191">
        <v>2.0826877962181412E-2</v>
      </c>
    </row>
    <row r="192" spans="1:20" x14ac:dyDescent="0.35">
      <c r="A192" s="66">
        <v>32203</v>
      </c>
      <c r="M192">
        <v>258.8900146484375</v>
      </c>
      <c r="O192">
        <v>5.1665416718571942E-3</v>
      </c>
      <c r="P192">
        <v>4.2421895689621632E-2</v>
      </c>
      <c r="Q192">
        <v>2.0826877962181412E-2</v>
      </c>
    </row>
    <row r="193" spans="1:20" x14ac:dyDescent="0.35">
      <c r="A193" s="66">
        <v>32234</v>
      </c>
      <c r="M193">
        <v>261.32998657226563</v>
      </c>
      <c r="N193">
        <v>8845.2800000000007</v>
      </c>
      <c r="O193">
        <v>1.3139006174740861E-2</v>
      </c>
      <c r="P193">
        <v>4.48460421728804E-2</v>
      </c>
      <c r="Q193">
        <v>5.3600928330452602E-2</v>
      </c>
      <c r="R193">
        <v>1.3139006174740861E-2</v>
      </c>
      <c r="S193">
        <v>5.3600928330452602E-2</v>
      </c>
      <c r="T193">
        <v>4.48460421728804E-2</v>
      </c>
    </row>
    <row r="194" spans="1:20" x14ac:dyDescent="0.35">
      <c r="A194" s="66">
        <v>32264</v>
      </c>
      <c r="M194">
        <v>262.16000366210938</v>
      </c>
      <c r="O194">
        <v>1.3139006174740861E-2</v>
      </c>
      <c r="P194">
        <v>4.48460421728804E-2</v>
      </c>
      <c r="Q194">
        <v>5.3600928330452602E-2</v>
      </c>
    </row>
    <row r="195" spans="1:20" x14ac:dyDescent="0.35">
      <c r="A195" s="66">
        <v>32295</v>
      </c>
      <c r="M195">
        <v>273.5</v>
      </c>
      <c r="O195">
        <v>1.3139006174740861E-2</v>
      </c>
      <c r="P195">
        <v>4.48460421728804E-2</v>
      </c>
      <c r="Q195">
        <v>5.3600928330452602E-2</v>
      </c>
    </row>
    <row r="196" spans="1:20" x14ac:dyDescent="0.35">
      <c r="A196" s="66">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35">
      <c r="A197" s="66">
        <v>32356</v>
      </c>
      <c r="M197">
        <v>261.51998901367188</v>
      </c>
      <c r="O197">
        <v>5.859283143099971E-3</v>
      </c>
      <c r="P197">
        <v>4.192866323342976E-2</v>
      </c>
      <c r="Q197">
        <v>2.364392556959816E-2</v>
      </c>
    </row>
    <row r="198" spans="1:20" x14ac:dyDescent="0.35">
      <c r="A198" s="66">
        <v>32387</v>
      </c>
      <c r="M198">
        <v>271.91000366210938</v>
      </c>
      <c r="O198">
        <v>5.859283143099971E-3</v>
      </c>
      <c r="P198">
        <v>4.192866323342976E-2</v>
      </c>
      <c r="Q198">
        <v>2.364392556959816E-2</v>
      </c>
    </row>
    <row r="199" spans="1:20" x14ac:dyDescent="0.35">
      <c r="A199" s="66">
        <v>32417</v>
      </c>
      <c r="M199">
        <v>278.97000122070313</v>
      </c>
      <c r="N199">
        <v>9015.6610000000001</v>
      </c>
      <c r="O199">
        <v>1.3325005532697319E-2</v>
      </c>
      <c r="P199">
        <v>3.7989710436494843E-2</v>
      </c>
      <c r="Q199">
        <v>5.4374852018120423E-2</v>
      </c>
      <c r="R199">
        <v>1.3325005532697319E-2</v>
      </c>
      <c r="S199">
        <v>5.4374852018120423E-2</v>
      </c>
      <c r="T199">
        <v>3.7989710436494843E-2</v>
      </c>
    </row>
    <row r="200" spans="1:20" x14ac:dyDescent="0.35">
      <c r="A200" s="66">
        <v>32448</v>
      </c>
      <c r="M200">
        <v>273.70001220703119</v>
      </c>
      <c r="O200">
        <v>1.3325005532697319E-2</v>
      </c>
      <c r="P200">
        <v>3.7989710436494843E-2</v>
      </c>
      <c r="Q200">
        <v>5.4374852018120423E-2</v>
      </c>
    </row>
    <row r="201" spans="1:20" x14ac:dyDescent="0.35">
      <c r="A201" s="66">
        <v>32478</v>
      </c>
      <c r="M201">
        <v>277.72000122070313</v>
      </c>
      <c r="O201">
        <v>1.3325005532697319E-2</v>
      </c>
      <c r="P201">
        <v>3.7989710436494843E-2</v>
      </c>
      <c r="Q201">
        <v>5.4374852018120423E-2</v>
      </c>
    </row>
    <row r="202" spans="1:20" x14ac:dyDescent="0.35">
      <c r="A202" s="66">
        <v>32509</v>
      </c>
      <c r="M202">
        <v>297.47000122070313</v>
      </c>
      <c r="N202">
        <v>9107.3140000000003</v>
      </c>
      <c r="O202">
        <v>1.0165976737590321E-2</v>
      </c>
      <c r="P202">
        <v>4.3152399345334859E-2</v>
      </c>
      <c r="Q202">
        <v>4.1288202625324288E-2</v>
      </c>
      <c r="R202">
        <v>1.0165976737590321E-2</v>
      </c>
      <c r="S202">
        <v>4.1288202625324288E-2</v>
      </c>
      <c r="T202">
        <v>4.3152399345334859E-2</v>
      </c>
    </row>
    <row r="203" spans="1:20" x14ac:dyDescent="0.35">
      <c r="A203" s="66">
        <v>32540</v>
      </c>
      <c r="M203">
        <v>288.8599853515625</v>
      </c>
      <c r="O203">
        <v>1.0165976737590321E-2</v>
      </c>
      <c r="P203">
        <v>4.3152399345334859E-2</v>
      </c>
      <c r="Q203">
        <v>4.1288202625324288E-2</v>
      </c>
    </row>
    <row r="204" spans="1:20" x14ac:dyDescent="0.35">
      <c r="A204" s="66">
        <v>32568</v>
      </c>
      <c r="M204">
        <v>294.8699951171875</v>
      </c>
      <c r="O204">
        <v>1.0165976737590321E-2</v>
      </c>
      <c r="P204">
        <v>4.3152399345334859E-2</v>
      </c>
      <c r="Q204">
        <v>4.1288202625324288E-2</v>
      </c>
    </row>
    <row r="205" spans="1:20" x14ac:dyDescent="0.35">
      <c r="A205" s="66">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35">
      <c r="A206" s="66">
        <v>32629</v>
      </c>
      <c r="M206">
        <v>320.51998901367188</v>
      </c>
      <c r="O206">
        <v>7.6326565659204249E-3</v>
      </c>
      <c r="P206">
        <v>3.7482928748439691E-2</v>
      </c>
      <c r="Q206">
        <v>3.0881952971449911E-2</v>
      </c>
    </row>
    <row r="207" spans="1:20" x14ac:dyDescent="0.35">
      <c r="A207" s="66">
        <v>32660</v>
      </c>
      <c r="M207">
        <v>317.98001098632813</v>
      </c>
      <c r="O207">
        <v>7.6326565659204249E-3</v>
      </c>
      <c r="P207">
        <v>3.7482928748439691E-2</v>
      </c>
      <c r="Q207">
        <v>3.0881952971449911E-2</v>
      </c>
    </row>
    <row r="208" spans="1:20" x14ac:dyDescent="0.35">
      <c r="A208" s="66">
        <v>32690</v>
      </c>
      <c r="M208">
        <v>346.07998657226563</v>
      </c>
      <c r="N208">
        <v>9244.8160000000007</v>
      </c>
      <c r="O208">
        <v>7.4087699375831543E-3</v>
      </c>
      <c r="P208">
        <v>3.9081130529283373E-2</v>
      </c>
      <c r="Q208">
        <v>2.9966048660892589E-2</v>
      </c>
      <c r="R208">
        <v>7.4087699375831543E-3</v>
      </c>
      <c r="S208">
        <v>2.9966048660892589E-2</v>
      </c>
      <c r="T208">
        <v>3.9081130529283373E-2</v>
      </c>
    </row>
    <row r="209" spans="1:20" x14ac:dyDescent="0.35">
      <c r="A209" s="66">
        <v>32721</v>
      </c>
      <c r="M209">
        <v>351.45001220703119</v>
      </c>
      <c r="O209">
        <v>7.4087699375831543E-3</v>
      </c>
      <c r="P209">
        <v>3.9081130529283373E-2</v>
      </c>
      <c r="Q209">
        <v>2.9966048660892589E-2</v>
      </c>
    </row>
    <row r="210" spans="1:20" x14ac:dyDescent="0.35">
      <c r="A210" s="66">
        <v>32752</v>
      </c>
      <c r="M210">
        <v>349.14999389648438</v>
      </c>
      <c r="O210">
        <v>7.4087699375831543E-3</v>
      </c>
      <c r="P210">
        <v>3.9081130529283373E-2</v>
      </c>
      <c r="Q210">
        <v>2.9966048660892589E-2</v>
      </c>
    </row>
    <row r="211" spans="1:20" x14ac:dyDescent="0.35">
      <c r="A211" s="66">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35">
      <c r="A212" s="66">
        <v>32813</v>
      </c>
      <c r="M212">
        <v>345.989990234375</v>
      </c>
      <c r="O212">
        <v>1.9705097429736549E-3</v>
      </c>
      <c r="P212">
        <v>2.743803255246614E-2</v>
      </c>
      <c r="Q212">
        <v>7.9053670440918378E-3</v>
      </c>
    </row>
    <row r="213" spans="1:20" x14ac:dyDescent="0.35">
      <c r="A213" s="66">
        <v>32843</v>
      </c>
      <c r="M213">
        <v>353.39999389648438</v>
      </c>
      <c r="O213">
        <v>1.9705097429736549E-3</v>
      </c>
      <c r="P213">
        <v>2.743803255246614E-2</v>
      </c>
      <c r="Q213">
        <v>7.9053670440918378E-3</v>
      </c>
    </row>
    <row r="214" spans="1:20" x14ac:dyDescent="0.35">
      <c r="A214" s="66">
        <v>32874</v>
      </c>
      <c r="M214">
        <v>329.07998657226563</v>
      </c>
      <c r="N214">
        <v>9364.259</v>
      </c>
      <c r="O214">
        <v>1.092795415929108E-2</v>
      </c>
      <c r="P214">
        <v>2.8213038443606939E-2</v>
      </c>
      <c r="Q214">
        <v>4.4433572064092493E-2</v>
      </c>
      <c r="R214">
        <v>1.092795415929108E-2</v>
      </c>
      <c r="S214">
        <v>4.4433572064092493E-2</v>
      </c>
      <c r="T214">
        <v>2.8213038443606939E-2</v>
      </c>
    </row>
    <row r="215" spans="1:20" x14ac:dyDescent="0.35">
      <c r="A215" s="66">
        <v>32905</v>
      </c>
      <c r="M215">
        <v>331.8900146484375</v>
      </c>
      <c r="O215">
        <v>1.092795415929108E-2</v>
      </c>
      <c r="P215">
        <v>2.8213038443606939E-2</v>
      </c>
      <c r="Q215">
        <v>4.4433572064092493E-2</v>
      </c>
    </row>
    <row r="216" spans="1:20" x14ac:dyDescent="0.35">
      <c r="A216" s="66">
        <v>32933</v>
      </c>
      <c r="M216">
        <v>339.94000244140619</v>
      </c>
      <c r="O216">
        <v>1.092795415929108E-2</v>
      </c>
      <c r="P216">
        <v>2.8213038443606939E-2</v>
      </c>
      <c r="Q216">
        <v>4.4433572064092493E-2</v>
      </c>
    </row>
    <row r="217" spans="1:20" x14ac:dyDescent="0.35">
      <c r="A217" s="66">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35">
      <c r="A218" s="66">
        <v>32994</v>
      </c>
      <c r="M218">
        <v>361.23001098632813</v>
      </c>
      <c r="O218">
        <v>3.6291179045774341E-3</v>
      </c>
      <c r="P218">
        <v>2.412772955183759E-2</v>
      </c>
      <c r="Q218">
        <v>1.459568596150662E-2</v>
      </c>
    </row>
    <row r="219" spans="1:20" x14ac:dyDescent="0.35">
      <c r="A219" s="66">
        <v>33025</v>
      </c>
      <c r="M219">
        <v>358.01998901367188</v>
      </c>
      <c r="O219">
        <v>3.6291179045774341E-3</v>
      </c>
      <c r="P219">
        <v>2.412772955183759E-2</v>
      </c>
      <c r="Q219">
        <v>1.459568596150662E-2</v>
      </c>
    </row>
    <row r="220" spans="1:20" x14ac:dyDescent="0.35">
      <c r="A220" s="66">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35">
      <c r="A221" s="66">
        <v>33086</v>
      </c>
      <c r="M221">
        <v>322.55999755859381</v>
      </c>
      <c r="O221">
        <v>6.6512432164184338E-4</v>
      </c>
      <c r="P221">
        <v>1.7272166368697859E-2</v>
      </c>
      <c r="Q221">
        <v>2.6631528059206659E-3</v>
      </c>
    </row>
    <row r="222" spans="1:20" x14ac:dyDescent="0.35">
      <c r="A222" s="66">
        <v>33117</v>
      </c>
      <c r="M222">
        <v>306.04998779296881</v>
      </c>
      <c r="O222">
        <v>6.6512432164184338E-4</v>
      </c>
      <c r="P222">
        <v>1.7272166368697859E-2</v>
      </c>
      <c r="Q222">
        <v>2.6631528059206659E-3</v>
      </c>
    </row>
    <row r="223" spans="1:20" x14ac:dyDescent="0.35">
      <c r="A223" s="66">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35">
      <c r="A224" s="66">
        <v>33178</v>
      </c>
      <c r="M224">
        <v>322.22000122070313</v>
      </c>
      <c r="O224">
        <v>-9.1039454116298435E-3</v>
      </c>
      <c r="P224">
        <v>6.0285869649822858E-3</v>
      </c>
      <c r="Q224">
        <v>-3.5921502051109888E-2</v>
      </c>
    </row>
    <row r="225" spans="1:20" x14ac:dyDescent="0.35">
      <c r="A225" s="66">
        <v>33208</v>
      </c>
      <c r="M225">
        <v>330.22000122070313</v>
      </c>
      <c r="O225">
        <v>-9.1039454116298435E-3</v>
      </c>
      <c r="P225">
        <v>6.0285869649822858E-3</v>
      </c>
      <c r="Q225">
        <v>-3.5921502051109888E-2</v>
      </c>
    </row>
    <row r="226" spans="1:20" x14ac:dyDescent="0.35">
      <c r="A226" s="66">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35">
      <c r="A227" s="66">
        <v>33270</v>
      </c>
      <c r="M227">
        <v>367.07000732421881</v>
      </c>
      <c r="O227">
        <v>-4.6786758403052431E-3</v>
      </c>
      <c r="P227">
        <v>-9.5024069710160919E-3</v>
      </c>
      <c r="Q227">
        <v>-1.858377250133569E-2</v>
      </c>
    </row>
    <row r="228" spans="1:20" x14ac:dyDescent="0.35">
      <c r="A228" s="66">
        <v>33298</v>
      </c>
      <c r="M228">
        <v>375.22000122070313</v>
      </c>
      <c r="O228">
        <v>-4.6786758403052431E-3</v>
      </c>
      <c r="P228">
        <v>-9.5024069710160919E-3</v>
      </c>
      <c r="Q228">
        <v>-1.858377250133569E-2</v>
      </c>
    </row>
    <row r="229" spans="1:20" x14ac:dyDescent="0.35">
      <c r="A229" s="66">
        <v>33329</v>
      </c>
      <c r="M229">
        <v>375.33999633789063</v>
      </c>
      <c r="N229">
        <v>9347.5969999999998</v>
      </c>
      <c r="O229">
        <v>7.7971803750098564E-3</v>
      </c>
      <c r="P229">
        <v>-5.3888796022831757E-3</v>
      </c>
      <c r="Q229">
        <v>3.1555397477190723E-2</v>
      </c>
      <c r="R229">
        <v>7.7971803750098564E-3</v>
      </c>
      <c r="S229">
        <v>3.1555397477190723E-2</v>
      </c>
      <c r="T229">
        <v>-5.3888796022831757E-3</v>
      </c>
    </row>
    <row r="230" spans="1:20" x14ac:dyDescent="0.35">
      <c r="A230" s="66">
        <v>33359</v>
      </c>
      <c r="M230">
        <v>389.82998657226563</v>
      </c>
      <c r="O230">
        <v>7.7971803750098564E-3</v>
      </c>
      <c r="P230">
        <v>-5.3888796022831757E-3</v>
      </c>
      <c r="Q230">
        <v>3.1555397477190723E-2</v>
      </c>
    </row>
    <row r="231" spans="1:20" x14ac:dyDescent="0.35">
      <c r="A231" s="66">
        <v>33390</v>
      </c>
      <c r="M231">
        <v>371.16000366210938</v>
      </c>
      <c r="O231">
        <v>7.7971803750098564E-3</v>
      </c>
      <c r="P231">
        <v>-5.3888796022831757E-3</v>
      </c>
      <c r="Q231">
        <v>3.1555397477190723E-2</v>
      </c>
    </row>
    <row r="232" spans="1:20" x14ac:dyDescent="0.35">
      <c r="A232" s="66">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35">
      <c r="A233" s="66">
        <v>33451</v>
      </c>
      <c r="M233">
        <v>395.42999267578119</v>
      </c>
      <c r="O233">
        <v>5.0533843082881079E-3</v>
      </c>
      <c r="P233">
        <v>-1.0271685005062319E-3</v>
      </c>
      <c r="Q233">
        <v>2.0367274229972528E-2</v>
      </c>
    </row>
    <row r="234" spans="1:20" x14ac:dyDescent="0.35">
      <c r="A234" s="66">
        <v>33482</v>
      </c>
      <c r="M234">
        <v>387.8599853515625</v>
      </c>
      <c r="O234">
        <v>5.0533843082881079E-3</v>
      </c>
      <c r="P234">
        <v>-1.0271685005062319E-3</v>
      </c>
      <c r="Q234">
        <v>2.0367274229972528E-2</v>
      </c>
    </row>
    <row r="235" spans="1:20" x14ac:dyDescent="0.35">
      <c r="A235" s="66">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35">
      <c r="A236" s="66">
        <v>33543</v>
      </c>
      <c r="M236">
        <v>375.22000122070313</v>
      </c>
      <c r="O236">
        <v>3.4856390224669632E-3</v>
      </c>
      <c r="P236">
        <v>1.166503342248571E-2</v>
      </c>
      <c r="Q236">
        <v>1.401562371143839E-2</v>
      </c>
    </row>
    <row r="237" spans="1:20" x14ac:dyDescent="0.35">
      <c r="A237" s="66">
        <v>33573</v>
      </c>
      <c r="M237">
        <v>417.08999633789063</v>
      </c>
      <c r="O237">
        <v>3.4856390224669632E-3</v>
      </c>
      <c r="P237">
        <v>1.166503342248571E-2</v>
      </c>
      <c r="Q237">
        <v>1.401562371143839E-2</v>
      </c>
    </row>
    <row r="238" spans="1:20" x14ac:dyDescent="0.35">
      <c r="A238" s="66">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35">
      <c r="A239" s="66">
        <v>33635</v>
      </c>
      <c r="M239">
        <v>412.70001220703119</v>
      </c>
      <c r="O239">
        <v>1.19715757414335E-2</v>
      </c>
      <c r="P239">
        <v>2.8588691053506081E-2</v>
      </c>
      <c r="Q239">
        <v>4.8753098259492589E-2</v>
      </c>
    </row>
    <row r="240" spans="1:20" x14ac:dyDescent="0.35">
      <c r="A240" s="66">
        <v>33664</v>
      </c>
      <c r="M240">
        <v>403.69000244140619</v>
      </c>
      <c r="O240">
        <v>1.19715757414335E-2</v>
      </c>
      <c r="P240">
        <v>2.8588691053506081E-2</v>
      </c>
      <c r="Q240">
        <v>4.8753098259492589E-2</v>
      </c>
    </row>
    <row r="241" spans="1:20" x14ac:dyDescent="0.35">
      <c r="A241" s="66">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35">
      <c r="A242" s="66">
        <v>33725</v>
      </c>
      <c r="M242">
        <v>415.35000610351563</v>
      </c>
      <c r="O242">
        <v>1.0843206039467399E-2</v>
      </c>
      <c r="P242">
        <v>3.1697558206670688E-2</v>
      </c>
      <c r="Q242">
        <v>4.4083388249948292E-2</v>
      </c>
    </row>
    <row r="243" spans="1:20" x14ac:dyDescent="0.35">
      <c r="A243" s="66">
        <v>33756</v>
      </c>
      <c r="M243">
        <v>408.1400146484375</v>
      </c>
      <c r="O243">
        <v>1.0843206039467399E-2</v>
      </c>
      <c r="P243">
        <v>3.1697558206670688E-2</v>
      </c>
      <c r="Q243">
        <v>4.4083388249948292E-2</v>
      </c>
    </row>
    <row r="244" spans="1:20" x14ac:dyDescent="0.35">
      <c r="A244" s="66">
        <v>33786</v>
      </c>
      <c r="M244">
        <v>424.20999145507813</v>
      </c>
      <c r="N244">
        <v>9739.1849999999995</v>
      </c>
      <c r="O244">
        <v>9.8810718866332772E-3</v>
      </c>
      <c r="P244">
        <v>3.6653228785096012E-2</v>
      </c>
      <c r="Q244">
        <v>4.0113969545816142E-2</v>
      </c>
      <c r="R244">
        <v>9.8810718866332772E-3</v>
      </c>
      <c r="S244">
        <v>4.0113969545816142E-2</v>
      </c>
      <c r="T244">
        <v>3.6653228785096012E-2</v>
      </c>
    </row>
    <row r="245" spans="1:20" x14ac:dyDescent="0.35">
      <c r="A245" s="66">
        <v>33817</v>
      </c>
      <c r="M245">
        <v>414.02999877929688</v>
      </c>
      <c r="O245">
        <v>9.8810718866332772E-3</v>
      </c>
      <c r="P245">
        <v>3.6653228785096012E-2</v>
      </c>
      <c r="Q245">
        <v>4.0113969545816142E-2</v>
      </c>
    </row>
    <row r="246" spans="1:20" x14ac:dyDescent="0.35">
      <c r="A246" s="66">
        <v>33848</v>
      </c>
      <c r="M246">
        <v>417.79998779296881</v>
      </c>
      <c r="O246">
        <v>9.8810718866332772E-3</v>
      </c>
      <c r="P246">
        <v>3.6653228785096012E-2</v>
      </c>
      <c r="Q246">
        <v>4.0113969545816142E-2</v>
      </c>
    </row>
    <row r="247" spans="1:20" x14ac:dyDescent="0.35">
      <c r="A247" s="66">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35">
      <c r="A248" s="66">
        <v>33909</v>
      </c>
      <c r="M248">
        <v>431.35000610351563</v>
      </c>
      <c r="O248">
        <v>1.042879871365018E-2</v>
      </c>
      <c r="P248">
        <v>4.3825876436383887E-2</v>
      </c>
      <c r="Q248">
        <v>4.2372302676989992E-2</v>
      </c>
    </row>
    <row r="249" spans="1:20" x14ac:dyDescent="0.35">
      <c r="A249" s="66">
        <v>33939</v>
      </c>
      <c r="M249">
        <v>435.70999145507813</v>
      </c>
      <c r="O249">
        <v>1.042879871365018E-2</v>
      </c>
      <c r="P249">
        <v>4.3825876436383887E-2</v>
      </c>
      <c r="Q249">
        <v>4.2372302676989992E-2</v>
      </c>
    </row>
    <row r="250" spans="1:20" x14ac:dyDescent="0.35">
      <c r="A250" s="66">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35">
      <c r="A251" s="66">
        <v>34001</v>
      </c>
      <c r="M251">
        <v>443.3800048828125</v>
      </c>
      <c r="O251">
        <v>1.6697909194549321E-3</v>
      </c>
      <c r="P251">
        <v>3.319981753469755E-2</v>
      </c>
      <c r="Q251">
        <v>6.6959115187377183E-3</v>
      </c>
    </row>
    <row r="252" spans="1:20" x14ac:dyDescent="0.35">
      <c r="A252" s="66">
        <v>34029</v>
      </c>
      <c r="M252">
        <v>451.67001342773438</v>
      </c>
      <c r="O252">
        <v>1.6697909194549321E-3</v>
      </c>
      <c r="P252">
        <v>3.319981753469755E-2</v>
      </c>
      <c r="Q252">
        <v>6.6959115187377183E-3</v>
      </c>
    </row>
    <row r="253" spans="1:20" x14ac:dyDescent="0.35">
      <c r="A253" s="66">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35">
      <c r="A254" s="66">
        <v>34090</v>
      </c>
      <c r="M254">
        <v>450.19000244140619</v>
      </c>
      <c r="O254">
        <v>5.8211345328307244E-3</v>
      </c>
      <c r="P254">
        <v>2.806667390440774E-2</v>
      </c>
      <c r="Q254">
        <v>2.348864193376721E-2</v>
      </c>
    </row>
    <row r="255" spans="1:20" x14ac:dyDescent="0.35">
      <c r="A255" s="66">
        <v>34121</v>
      </c>
      <c r="M255">
        <v>450.52999877929688</v>
      </c>
      <c r="O255">
        <v>5.8211345328307244E-3</v>
      </c>
      <c r="P255">
        <v>2.806667390440774E-2</v>
      </c>
      <c r="Q255">
        <v>2.348864193376721E-2</v>
      </c>
    </row>
    <row r="256" spans="1:20" x14ac:dyDescent="0.35">
      <c r="A256" s="66">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35">
      <c r="A257" s="66">
        <v>34182</v>
      </c>
      <c r="M257">
        <v>463.55999755859381</v>
      </c>
      <c r="O257">
        <v>4.771565873036193E-3</v>
      </c>
      <c r="P257">
        <v>2.2865157608157161E-2</v>
      </c>
      <c r="Q257">
        <v>1.9223305608814249E-2</v>
      </c>
    </row>
    <row r="258" spans="1:20" x14ac:dyDescent="0.35">
      <c r="A258" s="66">
        <v>34213</v>
      </c>
      <c r="M258">
        <v>458.92999267578119</v>
      </c>
      <c r="O258">
        <v>4.771565873036193E-3</v>
      </c>
      <c r="P258">
        <v>2.2865157608157161E-2</v>
      </c>
      <c r="Q258">
        <v>1.9223305608814249E-2</v>
      </c>
    </row>
    <row r="259" spans="1:20" x14ac:dyDescent="0.35">
      <c r="A259" s="66">
        <v>34243</v>
      </c>
      <c r="M259">
        <v>467.82998657226563</v>
      </c>
      <c r="N259">
        <v>10097.361999999999</v>
      </c>
      <c r="O259">
        <v>1.360075560087943E-2</v>
      </c>
      <c r="P259">
        <v>2.6076154944646868E-2</v>
      </c>
      <c r="Q259">
        <v>5.5523003439976508E-2</v>
      </c>
      <c r="R259">
        <v>1.360075560087943E-2</v>
      </c>
      <c r="S259">
        <v>5.5523003439976508E-2</v>
      </c>
      <c r="T259">
        <v>2.6076154944646868E-2</v>
      </c>
    </row>
    <row r="260" spans="1:20" x14ac:dyDescent="0.35">
      <c r="A260" s="66">
        <v>34274</v>
      </c>
      <c r="M260">
        <v>461.79000854492188</v>
      </c>
      <c r="O260">
        <v>1.360075560087943E-2</v>
      </c>
      <c r="P260">
        <v>2.6076154944646868E-2</v>
      </c>
      <c r="Q260">
        <v>5.5523003439976508E-2</v>
      </c>
    </row>
    <row r="261" spans="1:20" x14ac:dyDescent="0.35">
      <c r="A261" s="66">
        <v>34304</v>
      </c>
      <c r="M261">
        <v>466.45001220703119</v>
      </c>
      <c r="O261">
        <v>1.360075560087943E-2</v>
      </c>
      <c r="P261">
        <v>2.6076154944646868E-2</v>
      </c>
      <c r="Q261">
        <v>5.5523003439976508E-2</v>
      </c>
    </row>
    <row r="262" spans="1:20" x14ac:dyDescent="0.35">
      <c r="A262" s="66">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35">
      <c r="A263" s="66">
        <v>34366</v>
      </c>
      <c r="M263">
        <v>467.1400146484375</v>
      </c>
      <c r="O263">
        <v>9.7031284012597131E-3</v>
      </c>
      <c r="P263">
        <v>3.4305230144305927E-2</v>
      </c>
      <c r="Q263">
        <v>3.9381080899375531E-2</v>
      </c>
    </row>
    <row r="264" spans="1:20" x14ac:dyDescent="0.35">
      <c r="A264" s="66">
        <v>34394</v>
      </c>
      <c r="M264">
        <v>445.76998901367188</v>
      </c>
      <c r="O264">
        <v>9.7031284012597131E-3</v>
      </c>
      <c r="P264">
        <v>3.4305230144305927E-2</v>
      </c>
      <c r="Q264">
        <v>3.9381080899375531E-2</v>
      </c>
    </row>
    <row r="265" spans="1:20" x14ac:dyDescent="0.35">
      <c r="A265" s="66">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35">
      <c r="A266" s="66">
        <v>34455</v>
      </c>
      <c r="M266">
        <v>456.5</v>
      </c>
      <c r="O266">
        <v>1.3550997524554961E-2</v>
      </c>
      <c r="P266">
        <v>4.2253997023570897E-2</v>
      </c>
      <c r="Q266">
        <v>5.5315754474926093E-2</v>
      </c>
    </row>
    <row r="267" spans="1:20" x14ac:dyDescent="0.35">
      <c r="A267" s="66">
        <v>34486</v>
      </c>
      <c r="M267">
        <v>444.26998901367188</v>
      </c>
      <c r="O267">
        <v>1.3550997524554961E-2</v>
      </c>
      <c r="P267">
        <v>4.2253997023570897E-2</v>
      </c>
      <c r="Q267">
        <v>5.5315754474926093E-2</v>
      </c>
    </row>
    <row r="268" spans="1:20" x14ac:dyDescent="0.35">
      <c r="A268" s="66">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35">
      <c r="A269" s="66">
        <v>34547</v>
      </c>
      <c r="M269">
        <v>475.489990234375</v>
      </c>
      <c r="O269">
        <v>5.8453601613005493E-3</v>
      </c>
      <c r="P269">
        <v>4.3367848596343253E-2</v>
      </c>
      <c r="Q269">
        <v>2.358725012773033E-2</v>
      </c>
    </row>
    <row r="270" spans="1:20" x14ac:dyDescent="0.35">
      <c r="A270" s="66">
        <v>34578</v>
      </c>
      <c r="M270">
        <v>462.70999145507813</v>
      </c>
      <c r="O270">
        <v>5.8453601613005493E-3</v>
      </c>
      <c r="P270">
        <v>4.3367848596343253E-2</v>
      </c>
      <c r="Q270">
        <v>2.358725012773033E-2</v>
      </c>
    </row>
    <row r="271" spans="1:20" x14ac:dyDescent="0.35">
      <c r="A271" s="66">
        <v>34608</v>
      </c>
      <c r="M271">
        <v>472.35000610351563</v>
      </c>
      <c r="N271">
        <v>10512.962</v>
      </c>
      <c r="O271">
        <v>1.1455182646587479E-2</v>
      </c>
      <c r="P271">
        <v>4.1159265162524668E-2</v>
      </c>
      <c r="Q271">
        <v>4.6614087713841679E-2</v>
      </c>
      <c r="R271">
        <v>1.1455182646587479E-2</v>
      </c>
      <c r="S271">
        <v>4.6614087713841679E-2</v>
      </c>
      <c r="T271">
        <v>4.1159265162524668E-2</v>
      </c>
    </row>
    <row r="272" spans="1:20" x14ac:dyDescent="0.35">
      <c r="A272" s="66">
        <v>34639</v>
      </c>
      <c r="M272">
        <v>453.69000244140619</v>
      </c>
      <c r="O272">
        <v>1.1455182646587479E-2</v>
      </c>
      <c r="P272">
        <v>4.1159265162524668E-2</v>
      </c>
      <c r="Q272">
        <v>4.6614087713841679E-2</v>
      </c>
    </row>
    <row r="273" spans="1:20" x14ac:dyDescent="0.35">
      <c r="A273" s="66">
        <v>34669</v>
      </c>
      <c r="M273">
        <v>459.26998901367188</v>
      </c>
      <c r="O273">
        <v>1.1455182646587479E-2</v>
      </c>
      <c r="P273">
        <v>4.1159265162524668E-2</v>
      </c>
      <c r="Q273">
        <v>4.6614087713841679E-2</v>
      </c>
    </row>
    <row r="274" spans="1:20" x14ac:dyDescent="0.35">
      <c r="A274" s="66">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35">
      <c r="A275" s="66">
        <v>34731</v>
      </c>
      <c r="M275">
        <v>487.3900146484375</v>
      </c>
      <c r="O275">
        <v>3.5469547022048279E-3</v>
      </c>
      <c r="P275">
        <v>3.4811302970043798E-2</v>
      </c>
      <c r="Q275">
        <v>1.426348278840983E-2</v>
      </c>
    </row>
    <row r="276" spans="1:20" x14ac:dyDescent="0.35">
      <c r="A276" s="66">
        <v>34759</v>
      </c>
      <c r="M276">
        <v>500.70999145507813</v>
      </c>
      <c r="O276">
        <v>3.5469547022048279E-3</v>
      </c>
      <c r="P276">
        <v>3.4811302970043798E-2</v>
      </c>
      <c r="Q276">
        <v>1.426348278840983E-2</v>
      </c>
    </row>
    <row r="277" spans="1:20" x14ac:dyDescent="0.35">
      <c r="A277" s="66">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35">
      <c r="A278" s="66">
        <v>34820</v>
      </c>
      <c r="M278">
        <v>533.4000244140625</v>
      </c>
      <c r="O278">
        <v>2.983056990776784E-3</v>
      </c>
      <c r="P278">
        <v>2.4021688692934879E-2</v>
      </c>
      <c r="Q278">
        <v>1.198572599682368E-2</v>
      </c>
    </row>
    <row r="279" spans="1:20" x14ac:dyDescent="0.35">
      <c r="A279" s="66">
        <v>34851</v>
      </c>
      <c r="M279">
        <v>544.75</v>
      </c>
      <c r="O279">
        <v>2.983056990776784E-3</v>
      </c>
      <c r="P279">
        <v>2.4021688692934879E-2</v>
      </c>
      <c r="Q279">
        <v>1.198572599682368E-2</v>
      </c>
    </row>
    <row r="280" spans="1:20" x14ac:dyDescent="0.35">
      <c r="A280" s="66">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35">
      <c r="A281" s="66">
        <v>34912</v>
      </c>
      <c r="M281">
        <v>561.8800048828125</v>
      </c>
      <c r="O281">
        <v>8.5066486809378221E-3</v>
      </c>
      <c r="P281">
        <v>2.6731068555800739E-2</v>
      </c>
      <c r="Q281">
        <v>3.4463240659767143E-2</v>
      </c>
    </row>
    <row r="282" spans="1:20" x14ac:dyDescent="0.35">
      <c r="A282" s="66">
        <v>34943</v>
      </c>
      <c r="M282">
        <v>584.40997314453125</v>
      </c>
      <c r="O282">
        <v>8.5066486809378221E-3</v>
      </c>
      <c r="P282">
        <v>2.6731068555800739E-2</v>
      </c>
      <c r="Q282">
        <v>3.4463240659767143E-2</v>
      </c>
    </row>
    <row r="283" spans="1:20" x14ac:dyDescent="0.35">
      <c r="A283" s="66">
        <v>34973</v>
      </c>
      <c r="M283">
        <v>581.5</v>
      </c>
      <c r="N283">
        <v>10744.203</v>
      </c>
      <c r="O283">
        <v>6.7903653556712273E-3</v>
      </c>
      <c r="P283">
        <v>2.1995799090684429E-2</v>
      </c>
      <c r="Q283">
        <v>2.743937030821075E-2</v>
      </c>
      <c r="R283">
        <v>6.7903653556712273E-3</v>
      </c>
      <c r="S283">
        <v>2.743937030821075E-2</v>
      </c>
      <c r="T283">
        <v>2.1995799090684429E-2</v>
      </c>
    </row>
    <row r="284" spans="1:20" x14ac:dyDescent="0.35">
      <c r="A284" s="66">
        <v>35004</v>
      </c>
      <c r="M284">
        <v>605.3699951171875</v>
      </c>
      <c r="O284">
        <v>6.7903653556712273E-3</v>
      </c>
      <c r="P284">
        <v>2.1995799090684429E-2</v>
      </c>
      <c r="Q284">
        <v>2.743937030821075E-2</v>
      </c>
    </row>
    <row r="285" spans="1:20" x14ac:dyDescent="0.35">
      <c r="A285" s="66">
        <v>35034</v>
      </c>
      <c r="M285">
        <v>615.92999267578125</v>
      </c>
      <c r="O285">
        <v>6.7903653556712273E-3</v>
      </c>
      <c r="P285">
        <v>2.1995799090684429E-2</v>
      </c>
      <c r="Q285">
        <v>2.743937030821075E-2</v>
      </c>
    </row>
    <row r="286" spans="1:20" x14ac:dyDescent="0.35">
      <c r="A286" s="66">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35">
      <c r="A287" s="66">
        <v>35096</v>
      </c>
      <c r="M287">
        <v>640.42999267578125</v>
      </c>
      <c r="O287">
        <v>7.4897132900412786E-3</v>
      </c>
      <c r="P287">
        <v>2.6011039926917438E-2</v>
      </c>
      <c r="Q287">
        <v>3.0297111703896821E-2</v>
      </c>
    </row>
    <row r="288" spans="1:20" x14ac:dyDescent="0.35">
      <c r="A288" s="66">
        <v>35125</v>
      </c>
      <c r="M288">
        <v>645.5</v>
      </c>
      <c r="O288">
        <v>7.4897132900412786E-3</v>
      </c>
      <c r="P288">
        <v>2.6011039926917438E-2</v>
      </c>
      <c r="Q288">
        <v>3.0297111703896821E-2</v>
      </c>
    </row>
    <row r="289" spans="1:20" x14ac:dyDescent="0.35">
      <c r="A289" s="66">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35">
      <c r="A290" s="66">
        <v>35186</v>
      </c>
      <c r="M290">
        <v>669.1199951171875</v>
      </c>
      <c r="O290">
        <v>1.6678839473595199E-2</v>
      </c>
      <c r="P290">
        <v>4.0021270638061553E-2</v>
      </c>
      <c r="Q290">
        <v>6.8403096521844287E-2</v>
      </c>
    </row>
    <row r="291" spans="1:20" x14ac:dyDescent="0.35">
      <c r="A291" s="66">
        <v>35217</v>
      </c>
      <c r="M291">
        <v>670.6300048828125</v>
      </c>
      <c r="O291">
        <v>1.6678839473595199E-2</v>
      </c>
      <c r="P291">
        <v>4.0021270638061553E-2</v>
      </c>
      <c r="Q291">
        <v>6.8403096521844287E-2</v>
      </c>
    </row>
    <row r="292" spans="1:20" x14ac:dyDescent="0.35">
      <c r="A292" s="66">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35">
      <c r="A293" s="66">
        <v>35278</v>
      </c>
      <c r="M293">
        <v>651.989990234375</v>
      </c>
      <c r="O293">
        <v>8.970109358134323E-3</v>
      </c>
      <c r="P293">
        <v>4.0499213904989062E-2</v>
      </c>
      <c r="Q293">
        <v>3.6366108120872383E-2</v>
      </c>
    </row>
    <row r="294" spans="1:20" x14ac:dyDescent="0.35">
      <c r="A294" s="66">
        <v>35309</v>
      </c>
      <c r="M294">
        <v>687.33001708984375</v>
      </c>
      <c r="O294">
        <v>8.970109358134323E-3</v>
      </c>
      <c r="P294">
        <v>4.0499213904989062E-2</v>
      </c>
      <c r="Q294">
        <v>3.6366108120872383E-2</v>
      </c>
    </row>
    <row r="295" spans="1:20" x14ac:dyDescent="0.35">
      <c r="A295" s="66">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35">
      <c r="A296" s="66">
        <v>35370</v>
      </c>
      <c r="M296">
        <v>757.02001953125</v>
      </c>
      <c r="O296">
        <v>1.0383976491216839E-2</v>
      </c>
      <c r="P296">
        <v>4.4213144520817399E-2</v>
      </c>
      <c r="Q296">
        <v>4.2187358088936922E-2</v>
      </c>
    </row>
    <row r="297" spans="1:20" x14ac:dyDescent="0.35">
      <c r="A297" s="66">
        <v>35400</v>
      </c>
      <c r="M297">
        <v>740.739990234375</v>
      </c>
      <c r="O297">
        <v>1.0383976491216839E-2</v>
      </c>
      <c r="P297">
        <v>4.4213144520817399E-2</v>
      </c>
      <c r="Q297">
        <v>4.2187358088936922E-2</v>
      </c>
    </row>
    <row r="298" spans="1:20" x14ac:dyDescent="0.35">
      <c r="A298" s="66">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35">
      <c r="A299" s="66">
        <v>35462</v>
      </c>
      <c r="M299">
        <v>790.82000732421875</v>
      </c>
      <c r="O299">
        <v>6.4556077694404466E-3</v>
      </c>
      <c r="P299">
        <v>4.314134541141839E-2</v>
      </c>
      <c r="Q299">
        <v>2.6073558191095358E-2</v>
      </c>
    </row>
    <row r="300" spans="1:20" x14ac:dyDescent="0.35">
      <c r="A300" s="66">
        <v>35490</v>
      </c>
      <c r="M300">
        <v>757.1199951171875</v>
      </c>
      <c r="O300">
        <v>6.4556077694404466E-3</v>
      </c>
      <c r="P300">
        <v>4.314134541141839E-2</v>
      </c>
      <c r="Q300">
        <v>2.6073558191095358E-2</v>
      </c>
    </row>
    <row r="301" spans="1:20" x14ac:dyDescent="0.35">
      <c r="A301" s="66">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35">
      <c r="A302" s="66">
        <v>35551</v>
      </c>
      <c r="M302">
        <v>848.280029296875</v>
      </c>
      <c r="O302">
        <v>1.6619781050890112E-2</v>
      </c>
      <c r="P302">
        <v>4.3080749793484252E-2</v>
      </c>
      <c r="Q302">
        <v>6.8154865904908712E-2</v>
      </c>
    </row>
    <row r="303" spans="1:20" x14ac:dyDescent="0.35">
      <c r="A303" s="66">
        <v>35582</v>
      </c>
      <c r="M303">
        <v>885.1400146484375</v>
      </c>
      <c r="O303">
        <v>1.6619781050890112E-2</v>
      </c>
      <c r="P303">
        <v>4.3080749793484252E-2</v>
      </c>
      <c r="Q303">
        <v>6.8154865904908712E-2</v>
      </c>
    </row>
    <row r="304" spans="1:20" x14ac:dyDescent="0.35">
      <c r="A304" s="66">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35">
      <c r="A305" s="66">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35">
      <c r="A306" s="66">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35">
      <c r="A307" s="66">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35">
      <c r="A308" s="66">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35">
      <c r="A309" s="66">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35">
      <c r="A310" s="66">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35">
      <c r="A311" s="66">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35">
      <c r="A312" s="66">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35">
      <c r="A313" s="66">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35">
      <c r="A314" s="66">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35">
      <c r="A315" s="66">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35">
      <c r="A316" s="66">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35">
      <c r="A317" s="66">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35">
      <c r="A318" s="66">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35">
      <c r="A319" s="66">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35">
      <c r="A320" s="66">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35">
      <c r="A321" s="66">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35">
      <c r="A322" s="66">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35">
      <c r="A323" s="66">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35">
      <c r="A324" s="66">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35">
      <c r="A325" s="66">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35">
      <c r="A326" s="66">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35">
      <c r="A327" s="66">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35">
      <c r="A328" s="66">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35">
      <c r="A329" s="66">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35">
      <c r="A330" s="66">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35">
      <c r="A331" s="66">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35">
      <c r="A332" s="66">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35">
      <c r="A333" s="66">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35">
      <c r="A334" s="66">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35">
      <c r="A335" s="66">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35">
      <c r="A336" s="66">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35">
      <c r="A337" s="66">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35">
      <c r="A338" s="66">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35">
      <c r="A339" s="66">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35">
      <c r="A340" s="66">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35">
      <c r="A341" s="66">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35">
      <c r="A342" s="66">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35">
      <c r="A343" s="66">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35">
      <c r="A344" s="66">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35">
      <c r="A345" s="66">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35">
      <c r="A346" s="66">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35">
      <c r="A347" s="66">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35">
      <c r="A348" s="66">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35">
      <c r="A349" s="66">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35">
      <c r="A350" s="66">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35">
      <c r="A351" s="66">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35">
      <c r="A352" s="66">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35">
      <c r="A353" s="66">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35">
      <c r="A354" s="66">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35">
      <c r="A355" s="66">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35">
      <c r="A356" s="66">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35">
      <c r="A357" s="66">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35">
      <c r="A358" s="66">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35">
      <c r="A359" s="66">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35">
      <c r="A360" s="66">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35">
      <c r="A361" s="66">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35">
      <c r="A362" s="66">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35">
      <c r="A363" s="66">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35">
      <c r="A364" s="66">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35">
      <c r="A365" s="66">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35">
      <c r="A366" s="66">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35">
      <c r="A367" s="66">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35">
      <c r="A368" s="66">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35">
      <c r="A369" s="66">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35">
      <c r="A370" s="66">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35">
      <c r="A371" s="66">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35">
      <c r="A372" s="66">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35">
      <c r="A373" s="66">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35">
      <c r="A374" s="66">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35">
      <c r="A375" s="66">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35">
      <c r="A376" s="66">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35">
      <c r="A377" s="66">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35">
      <c r="A378" s="66">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35">
      <c r="A379" s="66">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35">
      <c r="A380" s="66">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35">
      <c r="A381" s="66">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35">
      <c r="A382" s="66">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35">
      <c r="A383" s="66">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35">
      <c r="A384" s="66">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35">
      <c r="A385" s="66">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35">
      <c r="A386" s="66">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35">
      <c r="A387" s="66">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35">
      <c r="A388" s="66">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35">
      <c r="A389" s="66">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35">
      <c r="A390" s="66">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35">
      <c r="A391" s="66">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35">
      <c r="A392" s="66">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35">
      <c r="A393" s="66">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35">
      <c r="A394" s="66">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35">
      <c r="A395" s="66">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35">
      <c r="A396" s="66">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35">
      <c r="A397" s="66">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35">
      <c r="A398" s="66">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35">
      <c r="A399" s="66">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35">
      <c r="A400" s="66">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35">
      <c r="A401" s="66">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35">
      <c r="A402" s="66">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35">
      <c r="A403" s="66">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35">
      <c r="A404" s="66">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35">
      <c r="A405" s="66">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35">
      <c r="A406" s="66">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35">
      <c r="A407" s="66">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35">
      <c r="A408" s="66">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35">
      <c r="A409" s="66">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35">
      <c r="A410" s="66">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35">
      <c r="A411" s="66">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35">
      <c r="A412" s="66">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35">
      <c r="A413" s="66">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35">
      <c r="A414" s="66">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35">
      <c r="A415" s="66">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35">
      <c r="A416" s="66">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35">
      <c r="A417" s="66">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35">
      <c r="A418" s="66">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35">
      <c r="A419" s="66">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35">
      <c r="A420" s="66">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35">
      <c r="A421" s="66">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35">
      <c r="A422" s="66">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35">
      <c r="A423" s="66">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35">
      <c r="A424" s="66">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35">
      <c r="A425" s="66">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35">
      <c r="A426" s="66">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35">
      <c r="A427" s="66">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35">
      <c r="A428" s="66">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35">
      <c r="A429" s="66">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35">
      <c r="A430" s="66">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35">
      <c r="A431" s="66">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35">
      <c r="A432" s="66">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35">
      <c r="A433" s="66">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35">
      <c r="A434" s="66">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35">
      <c r="A435" s="66">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35">
      <c r="A436" s="66">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35">
      <c r="A437" s="66">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35">
      <c r="A438" s="66">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35">
      <c r="A439" s="66">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35">
      <c r="A440" s="66">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35">
      <c r="A441" s="66">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35">
      <c r="A442" s="66">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35">
      <c r="A443" s="66">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35">
      <c r="A444" s="66">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35">
      <c r="A445" s="66">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35">
      <c r="A446" s="66">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35">
      <c r="A447" s="66">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35">
      <c r="A448" s="66">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35">
      <c r="A449" s="66">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35">
      <c r="A450" s="66">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35">
      <c r="A451" s="66">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35">
      <c r="A452" s="66">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35">
      <c r="A453" s="66">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35">
      <c r="A454" s="66">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35">
      <c r="A455" s="66">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35">
      <c r="A456" s="66">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35">
      <c r="A457" s="66">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35">
      <c r="A458" s="66">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35">
      <c r="A459" s="66">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35">
      <c r="A460" s="66">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35">
      <c r="A461" s="66">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35">
      <c r="A462" s="66">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35">
      <c r="A463" s="66">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35">
      <c r="A464" s="66">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35">
      <c r="A465" s="66">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35">
      <c r="A466" s="66">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35">
      <c r="A467" s="66">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35">
      <c r="A468" s="66">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35">
      <c r="A469" s="66">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35">
      <c r="A470" s="66">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35">
      <c r="A471" s="66">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35">
      <c r="A472" s="66">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35">
      <c r="A473" s="66">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35">
      <c r="A474" s="66">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35">
      <c r="A475" s="66">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35">
      <c r="A476" s="66">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35">
      <c r="A477" s="66">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35">
      <c r="A478" s="66">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35">
      <c r="A479" s="66">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35">
      <c r="A480" s="66">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35">
      <c r="A481" s="66">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35">
      <c r="A482" s="66">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35">
      <c r="A483" s="66">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35">
      <c r="A484" s="66">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35">
      <c r="A485" s="66">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35">
      <c r="A486" s="66">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35">
      <c r="A487" s="66">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35">
      <c r="A488" s="66">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35">
      <c r="A489" s="66">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35">
      <c r="A490" s="66">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35">
      <c r="A491" s="66">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35">
      <c r="A492" s="66">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35">
      <c r="A493" s="66">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35">
      <c r="A494" s="66">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35">
      <c r="A495" s="66">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35">
      <c r="A496" s="66">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35">
      <c r="A497" s="66">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35">
      <c r="A498" s="66">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35">
      <c r="A499" s="66">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35">
      <c r="A500" s="66">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35">
      <c r="A501" s="66">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35">
      <c r="A502" s="66">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35">
      <c r="A503" s="66">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35">
      <c r="A504" s="66">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35">
      <c r="A505" s="66">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35">
      <c r="A506" s="66">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35">
      <c r="A507" s="66">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35">
      <c r="A508" s="66">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35">
      <c r="A509" s="66">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35">
      <c r="A510" s="66">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35">
      <c r="A511" s="66">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35">
      <c r="A512" s="66">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35">
      <c r="A513" s="66">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35">
      <c r="A514" s="66">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35">
      <c r="A515" s="66">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35">
      <c r="A516" s="66">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35">
      <c r="A517" s="66">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35">
      <c r="A518" s="66">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35">
      <c r="A519" s="66">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35">
      <c r="A520" s="66">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35">
      <c r="A521" s="66">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35">
      <c r="A522" s="66">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35">
      <c r="A523" s="66">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35">
      <c r="A524" s="66">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35">
      <c r="A525" s="66">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35">
      <c r="A526" s="66">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35">
      <c r="A527" s="66">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35">
      <c r="A528" s="66">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35">
      <c r="A529" s="66">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35">
      <c r="A530" s="66">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35">
      <c r="A531" s="66">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35">
      <c r="A532" s="66">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35">
      <c r="A533" s="66">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35">
      <c r="A534" s="66">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35">
      <c r="A535" s="66">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35">
      <c r="A536" s="66">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35">
      <c r="A537" s="66">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35">
      <c r="A538" s="66">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35">
      <c r="A539" s="66">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35">
      <c r="A540" s="66">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35">
      <c r="A541" s="66">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35">
      <c r="A542" s="66">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35">
      <c r="A543" s="66">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35">
      <c r="A544" s="66">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35">
      <c r="A545" s="66">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35">
      <c r="A546" s="66">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35">
      <c r="A547" s="66">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35">
      <c r="A548" s="66">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35">
      <c r="A549" s="66">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35">
      <c r="A550" s="66">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35">
      <c r="A551" s="66">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35">
      <c r="A552" s="66">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35">
      <c r="A553" s="66">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35">
      <c r="A554" s="66">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35">
      <c r="A555" s="66">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35">
      <c r="A556" s="66">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35">
      <c r="A557" s="66">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35">
      <c r="A558" s="66">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35">
      <c r="A559" s="66">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35">
      <c r="A560" s="66">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35">
      <c r="A561" s="66">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35">
      <c r="A562" s="66">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35">
      <c r="A563" s="66">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35">
      <c r="A564" s="66">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35">
      <c r="A565" s="66">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35">
      <c r="A566" s="66">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35">
      <c r="A567" s="66">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35">
      <c r="A568" s="66">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35">
      <c r="A569" s="66">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35">
      <c r="A570" s="66">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35">
      <c r="A571" s="66">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35">
      <c r="A572" s="66">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35">
      <c r="A573" s="66">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35">
      <c r="A574" s="66">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35">
      <c r="A575" s="66">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35">
      <c r="A576" s="66">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35">
      <c r="A577" s="66">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35">
      <c r="A578" s="66">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35">
      <c r="A579" s="66">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35">
      <c r="A580" s="66">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35">
      <c r="A581" s="66">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35">
      <c r="A582" s="66">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35">
      <c r="A583" s="66">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35">
      <c r="A584" s="66">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35">
      <c r="A585" s="66">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35">
      <c r="A586" s="66">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35">
      <c r="A587" s="66">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35">
      <c r="A588" s="66">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35">
      <c r="A589" s="66">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35">
      <c r="A590" s="66">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35">
      <c r="A591" s="66">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35">
      <c r="A592" s="66">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35">
      <c r="A593" s="66">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35">
      <c r="A594" s="66">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35">
      <c r="A595" s="66">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35">
      <c r="A596" s="66">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35">
      <c r="A597" s="66">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35">
      <c r="A598" s="66">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35">
      <c r="A599" s="66">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35">
      <c r="A600" s="66">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35">
      <c r="A601" s="66">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35">
      <c r="A602" s="66">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35">
      <c r="A603" s="66">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35">
      <c r="A604" s="66">
        <v>44743</v>
      </c>
      <c r="B604">
        <v>59.9</v>
      </c>
      <c r="C604">
        <v>48</v>
      </c>
      <c r="D604">
        <v>58.3</v>
      </c>
      <c r="E604">
        <v>72.3</v>
      </c>
      <c r="F604">
        <v>59.9</v>
      </c>
      <c r="G604">
        <v>50.1</v>
      </c>
      <c r="H604">
        <v>45</v>
      </c>
      <c r="I604">
        <v>57.8</v>
      </c>
      <c r="J604">
        <v>49.1</v>
      </c>
      <c r="K604">
        <v>59.5</v>
      </c>
      <c r="L604">
        <v>56.7</v>
      </c>
      <c r="M604">
        <v>4130.2900390625</v>
      </c>
      <c r="N604">
        <v>20039.405999999999</v>
      </c>
      <c r="O604">
        <v>1.6790943920683761E-2</v>
      </c>
      <c r="P604">
        <v>5.5317363621841711E-2</v>
      </c>
      <c r="Q604">
        <v>6.8874405829691066E-2</v>
      </c>
      <c r="R604">
        <v>7.2446864382997543E-3</v>
      </c>
      <c r="S604">
        <v>2.9295182360887351E-2</v>
      </c>
      <c r="T604">
        <v>1.8645837961175742E-2</v>
      </c>
    </row>
    <row r="605" spans="1:20" x14ac:dyDescent="0.35">
      <c r="A605" s="66">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35">
      <c r="A606" s="66">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35">
      <c r="A607" s="66">
        <v>44834</v>
      </c>
      <c r="M607">
        <v>3585.6201171875</v>
      </c>
      <c r="O607">
        <v>1.6790943920683761E-2</v>
      </c>
      <c r="P607">
        <v>5.5317363621841711E-2</v>
      </c>
      <c r="Q607">
        <v>6.8874405829691066E-2</v>
      </c>
    </row>
    <row r="608" spans="1:20" x14ac:dyDescent="0.35">
      <c r="A608" s="66">
        <v>44835</v>
      </c>
      <c r="B608">
        <v>56.5</v>
      </c>
      <c r="C608">
        <v>50.4</v>
      </c>
      <c r="D608">
        <v>52.2</v>
      </c>
      <c r="E608">
        <v>70.7</v>
      </c>
      <c r="F608">
        <v>55.7</v>
      </c>
      <c r="G608">
        <v>46.4</v>
      </c>
      <c r="H608">
        <v>47.2</v>
      </c>
      <c r="I608">
        <v>56.2</v>
      </c>
      <c r="J608">
        <v>49.1</v>
      </c>
      <c r="K608">
        <v>47.7</v>
      </c>
      <c r="L608">
        <v>54.4</v>
      </c>
      <c r="M608">
        <v>3871.97998046875</v>
      </c>
      <c r="O608">
        <v>1.6790943920683761E-2</v>
      </c>
      <c r="P608">
        <v>5.5317363621841711E-2</v>
      </c>
      <c r="Q608">
        <v>6.8874405829691066E-2</v>
      </c>
    </row>
    <row r="609" spans="1:17" x14ac:dyDescent="0.35">
      <c r="A609" s="66">
        <v>44866</v>
      </c>
      <c r="B609">
        <v>56</v>
      </c>
      <c r="C609">
        <v>59.5</v>
      </c>
      <c r="D609">
        <v>51.8</v>
      </c>
      <c r="E609">
        <v>70</v>
      </c>
      <c r="F609">
        <v>64.7</v>
      </c>
      <c r="G609">
        <v>44.2</v>
      </c>
      <c r="H609">
        <v>47.9</v>
      </c>
      <c r="I609">
        <v>53.8</v>
      </c>
      <c r="J609">
        <v>51.5</v>
      </c>
      <c r="K609">
        <v>38.4</v>
      </c>
      <c r="L609">
        <v>56.5</v>
      </c>
      <c r="M609">
        <v>4080.110107421875</v>
      </c>
      <c r="O609">
        <v>1.6790943920683761E-2</v>
      </c>
      <c r="P609">
        <v>5.5317363621841711E-2</v>
      </c>
      <c r="Q609">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topLeftCell="A5" zoomScale="120" zoomScaleNormal="120" workbookViewId="0">
      <selection activeCell="L3" sqref="L3"/>
    </sheetView>
  </sheetViews>
  <sheetFormatPr defaultColWidth="9.1796875" defaultRowHeight="14.5" x14ac:dyDescent="0.35"/>
  <cols>
    <col min="1" max="1" width="9.6328125" style="63" customWidth="1"/>
    <col min="2" max="18" width="8.81640625" style="63" customWidth="1"/>
    <col min="19" max="19" width="12.453125" style="63" customWidth="1"/>
    <col min="20" max="20" width="8.81640625" style="63" customWidth="1"/>
    <col min="21" max="42" width="9.1796875" style="63" customWidth="1"/>
    <col min="43" max="16384" width="9.1796875" style="63"/>
  </cols>
  <sheetData>
    <row r="1" spans="1:26" x14ac:dyDescent="0.35">
      <c r="B1" s="14" t="s">
        <v>67</v>
      </c>
      <c r="J1" s="63" t="s">
        <v>68</v>
      </c>
      <c r="L1" s="41">
        <v>44866</v>
      </c>
      <c r="O1" s="6"/>
    </row>
    <row r="2" spans="1:26" x14ac:dyDescent="0.35">
      <c r="L2" s="14">
        <v>35</v>
      </c>
      <c r="Y2" s="7"/>
    </row>
    <row r="4" spans="1:26" x14ac:dyDescent="0.35">
      <c r="U4" s="7">
        <f t="shared" ref="U4:U10" si="0">DATE(YEAR(U5),MONTH(U5)-1,DAY(U5))</f>
        <v>44652</v>
      </c>
      <c r="V4" s="1">
        <f t="shared" ref="V4:V10" si="1">V5-1</f>
        <v>29</v>
      </c>
    </row>
    <row r="5" spans="1:26" ht="90" customHeight="1" thickBot="1" x14ac:dyDescent="0.4">
      <c r="A5" s="8"/>
      <c r="B5" s="42" t="s">
        <v>41</v>
      </c>
      <c r="C5" s="42" t="s">
        <v>28</v>
      </c>
      <c r="D5" s="42" t="s">
        <v>47</v>
      </c>
      <c r="E5" s="42" t="s">
        <v>23</v>
      </c>
      <c r="F5" s="42" t="s">
        <v>43</v>
      </c>
      <c r="G5" s="42" t="s">
        <v>14</v>
      </c>
      <c r="H5" s="42" t="s">
        <v>42</v>
      </c>
      <c r="I5" s="42" t="s">
        <v>40</v>
      </c>
      <c r="J5" s="42" t="s">
        <v>37</v>
      </c>
      <c r="K5" s="42" t="s">
        <v>17</v>
      </c>
      <c r="L5" s="42" t="s">
        <v>31</v>
      </c>
      <c r="M5" s="42" t="s">
        <v>26</v>
      </c>
      <c r="N5" s="42" t="s">
        <v>39</v>
      </c>
      <c r="O5" s="42" t="s">
        <v>44</v>
      </c>
      <c r="P5" s="42" t="s">
        <v>45</v>
      </c>
      <c r="Q5" s="42" t="s">
        <v>35</v>
      </c>
      <c r="R5" s="42" t="s">
        <v>33</v>
      </c>
      <c r="S5" s="42" t="s">
        <v>20</v>
      </c>
      <c r="U5" s="7">
        <f t="shared" si="0"/>
        <v>44682</v>
      </c>
      <c r="V5" s="1">
        <f t="shared" si="1"/>
        <v>30</v>
      </c>
      <c r="Y5" s="63" t="s">
        <v>69</v>
      </c>
      <c r="Z5" s="63" t="s">
        <v>70</v>
      </c>
    </row>
    <row r="6" spans="1:26" x14ac:dyDescent="0.35">
      <c r="A6" s="8">
        <f>DATE(YEAR(A7),MONTH(A7)-1,DAY(A7))</f>
        <v>44713</v>
      </c>
      <c r="B6" s="36">
        <f>VLOOKUP($B$5,'Sectors Trend'!$B$6:$AO$23,VLOOKUP(A6,$U:$V,2,),)</f>
        <v>14</v>
      </c>
      <c r="C6" s="36">
        <f>VLOOKUP($C$5,'Sectors Trend'!$B$6:$AO$23,VLOOKUP(A6,$U:$V,2,),)</f>
        <v>5</v>
      </c>
      <c r="D6" s="36">
        <f>VLOOKUP($D$5,'Sectors Trend'!$B$6:$AO$23,VLOOKUP(A6,$U:$V,2,),)</f>
        <v>18</v>
      </c>
      <c r="E6" s="36">
        <f>VLOOKUP($E$5,'Sectors Trend'!$B$6:$AO$23,VLOOKUP(A6,$U:$V,2,),)</f>
        <v>2</v>
      </c>
      <c r="F6" s="36">
        <f>VLOOKUP($F$5,'Sectors Trend'!$B$6:$AO$23,VLOOKUP(A6,$U:$V,2,),)</f>
        <v>4</v>
      </c>
      <c r="G6" s="36">
        <f>VLOOKUP($G$5,'Sectors Trend'!$B$6:$AO$23,VLOOKUP(A6,$U:$V,2,),)</f>
        <v>13</v>
      </c>
      <c r="H6" s="36">
        <f>VLOOKUP($H$5,'Sectors Trend'!$B$6:$AO$23,VLOOKUP(A6,$U:$V,2,),)</f>
        <v>7</v>
      </c>
      <c r="I6" s="36">
        <f>VLOOKUP($I$5,'Sectors Trend'!$B$6:$AO$23,VLOOKUP(A6,$U:$V,2,),)</f>
        <v>8</v>
      </c>
      <c r="J6" s="36">
        <f>VLOOKUP($J$5,'Sectors Trend'!$B$6:$AO$23,VLOOKUP(A6,$U:$V,2,),)</f>
        <v>16</v>
      </c>
      <c r="K6" s="36">
        <f>VLOOKUP($K$5,'Sectors Trend'!$B$6:$AO$23,VLOOKUP(A6,$U:$V,2,),)</f>
        <v>17</v>
      </c>
      <c r="L6" s="36">
        <f>VLOOKUP($L$5,'Sectors Trend'!$B$6:$AO$23,VLOOKUP(A6,$U:$V,2,),)</f>
        <v>6</v>
      </c>
      <c r="M6" s="36">
        <f>VLOOKUP($M$5,'Sectors Trend'!$B$6:$AO$23,VLOOKUP(A6,$U:$V,2,),)</f>
        <v>11</v>
      </c>
      <c r="N6" s="36">
        <f>VLOOKUP($N$5,'Sectors Trend'!$B$6:$AO$23,VLOOKUP(A6,$U:$V,2,),)</f>
        <v>15</v>
      </c>
      <c r="O6" s="36">
        <f>VLOOKUP($O$5,'Sectors Trend'!$B$6:$AO$23,VLOOKUP(A6,$U:$V,2,),)</f>
        <v>9</v>
      </c>
      <c r="P6" s="36">
        <f>VLOOKUP($P$5,'Sectors Trend'!$B$6:$AO$23,VLOOKUP(A6,$U:$V,2,),)</f>
        <v>1</v>
      </c>
      <c r="Q6" s="36">
        <f>VLOOKUP($Q$5,'Sectors Trend'!$B$6:$AO$23,VLOOKUP(A6,$U:$V,2,),)</f>
        <v>10</v>
      </c>
      <c r="R6" s="36">
        <f>VLOOKUP($R$5,'Sectors Trend'!$B$6:$AO$23,VLOOKUP(A6,$U:$V,2,),)</f>
        <v>12</v>
      </c>
      <c r="S6" s="37">
        <f>VLOOKUP($S$5,'Sectors Trend'!$B$6:$AO$23,VLOOKUP(A6,$U:$V,2,),)</f>
        <v>3</v>
      </c>
      <c r="U6" s="7">
        <f t="shared" si="0"/>
        <v>44713</v>
      </c>
      <c r="V6" s="1">
        <f t="shared" si="1"/>
        <v>31</v>
      </c>
      <c r="Y6" s="63">
        <f t="shared" ref="Y6:Y11" si="2">MIN(B6:S6)</f>
        <v>1</v>
      </c>
      <c r="Z6" s="63">
        <f t="shared" ref="Z6:Z11" si="3">MAX(B6:S6)</f>
        <v>18</v>
      </c>
    </row>
    <row r="7" spans="1:26" x14ac:dyDescent="0.35">
      <c r="A7" s="8">
        <f>DATE(YEAR(A8),MONTH(A8)-1,DAY(A8))</f>
        <v>44743</v>
      </c>
      <c r="B7" s="5">
        <f>VLOOKUP($B$5,'Sectors Trend'!$B$6:$AO$23,VLOOKUP(A7,$U:$V,2,),)</f>
        <v>0</v>
      </c>
      <c r="C7" s="5">
        <f>VLOOKUP($C$5,'Sectors Trend'!$B$6:$AO$23,VLOOKUP(A7,$U:$V,2,),)</f>
        <v>2</v>
      </c>
      <c r="D7" s="5">
        <f>VLOOKUP($D$5,'Sectors Trend'!$B$6:$AO$23,VLOOKUP(A7,$U:$V,2,),)</f>
        <v>0</v>
      </c>
      <c r="E7" s="5">
        <f>VLOOKUP($E$5,'Sectors Trend'!$B$6:$AO$23,VLOOKUP(A7,$U:$V,2,),)</f>
        <v>3</v>
      </c>
      <c r="F7" s="5">
        <f>VLOOKUP($F$5,'Sectors Trend'!$B$6:$AO$23,VLOOKUP(A7,$U:$V,2,),)</f>
        <v>4</v>
      </c>
      <c r="G7" s="5">
        <f>VLOOKUP($G$5,'Sectors Trend'!$B$6:$AO$23,VLOOKUP(A7,$U:$V,2,),)</f>
        <v>13</v>
      </c>
      <c r="H7" s="5">
        <f>VLOOKUP($H$5,'Sectors Trend'!$B$6:$AO$23,VLOOKUP(A7,$U:$V,2,),)</f>
        <v>10</v>
      </c>
      <c r="I7" s="5">
        <f>VLOOKUP($I$5,'Sectors Trend'!$B$6:$AO$23,VLOOKUP(A7,$U:$V,2,),)</f>
        <v>7</v>
      </c>
      <c r="J7" s="5">
        <f>VLOOKUP($J$5,'Sectors Trend'!$B$6:$AO$23,VLOOKUP(A7,$U:$V,2,),)</f>
        <v>6</v>
      </c>
      <c r="K7" s="5">
        <f>VLOOKUP($K$5,'Sectors Trend'!$B$6:$AO$23,VLOOKUP(A7,$U:$V,2,),)</f>
        <v>16</v>
      </c>
      <c r="L7" s="5">
        <f>VLOOKUP($L$5,'Sectors Trend'!$B$6:$AO$23,VLOOKUP(A7,$U:$V,2,),)</f>
        <v>5</v>
      </c>
      <c r="M7" s="5">
        <f>VLOOKUP($M$5,'Sectors Trend'!$B$6:$AO$23,VLOOKUP(A7,$U:$V,2,),)</f>
        <v>1</v>
      </c>
      <c r="N7" s="5">
        <f>VLOOKUP($N$5,'Sectors Trend'!$B$6:$AO$23,VLOOKUP(A7,$U:$V,2,),)</f>
        <v>15</v>
      </c>
      <c r="O7" s="5">
        <f>VLOOKUP($O$5,'Sectors Trend'!$B$6:$AO$23,VLOOKUP(A7,$U:$V,2,),)</f>
        <v>8</v>
      </c>
      <c r="P7" s="5">
        <f>VLOOKUP($P$5,'Sectors Trend'!$B$6:$AO$23,VLOOKUP(A7,$U:$V,2,),)</f>
        <v>12</v>
      </c>
      <c r="Q7" s="5">
        <f>VLOOKUP($Q$5,'Sectors Trend'!$B$6:$AO$23,VLOOKUP(A7,$U:$V,2,),)</f>
        <v>14</v>
      </c>
      <c r="R7" s="5">
        <f>VLOOKUP($R$5,'Sectors Trend'!$B$6:$AO$23,VLOOKUP(A7,$U:$V,2,),)</f>
        <v>11</v>
      </c>
      <c r="S7" s="38">
        <f>VLOOKUP($S$5,'Sectors Trend'!$B$6:$AO$23,VLOOKUP(A7,$U:$V,2,),)</f>
        <v>9</v>
      </c>
      <c r="U7" s="7">
        <f t="shared" si="0"/>
        <v>44743</v>
      </c>
      <c r="V7" s="1">
        <f t="shared" si="1"/>
        <v>32</v>
      </c>
      <c r="Y7" s="63">
        <f t="shared" si="2"/>
        <v>0</v>
      </c>
      <c r="Z7" s="63">
        <f t="shared" si="3"/>
        <v>16</v>
      </c>
    </row>
    <row r="8" spans="1:26" x14ac:dyDescent="0.35">
      <c r="A8" s="8">
        <f>DATE(YEAR(A9),MONTH(A9)-1,DAY(A9))</f>
        <v>44774</v>
      </c>
      <c r="B8" s="5">
        <f>VLOOKUP($B$5,'Sectors Trend'!$B$6:$AO$23,VLOOKUP(A8,$U:$V,2,),)</f>
        <v>3</v>
      </c>
      <c r="C8" s="5">
        <f>VLOOKUP($C$5,'Sectors Trend'!$B$6:$AO$23,VLOOKUP(A8,$U:$V,2,),)</f>
        <v>10</v>
      </c>
      <c r="D8" s="5">
        <f>VLOOKUP($D$5,'Sectors Trend'!$B$6:$AO$23,VLOOKUP(A8,$U:$V,2,),)</f>
        <v>15</v>
      </c>
      <c r="E8" s="5">
        <f>VLOOKUP($E$5,'Sectors Trend'!$B$6:$AO$23,VLOOKUP(A8,$U:$V,2,),)</f>
        <v>14</v>
      </c>
      <c r="F8" s="5">
        <f>VLOOKUP($F$5,'Sectors Trend'!$B$6:$AO$23,VLOOKUP(A8,$U:$V,2,),)</f>
        <v>13</v>
      </c>
      <c r="G8" s="5">
        <f>VLOOKUP($G$5,'Sectors Trend'!$B$6:$AO$23,VLOOKUP(A8,$U:$V,2,),)</f>
        <v>-1</v>
      </c>
      <c r="H8" s="5">
        <f>VLOOKUP($H$5,'Sectors Trend'!$B$6:$AO$23,VLOOKUP(A8,$U:$V,2,),)</f>
        <v>7</v>
      </c>
      <c r="I8" s="5">
        <f>VLOOKUP($I$5,'Sectors Trend'!$B$6:$AO$23,VLOOKUP(A8,$U:$V,2,),)</f>
        <v>16</v>
      </c>
      <c r="J8" s="5">
        <f>VLOOKUP($J$5,'Sectors Trend'!$B$6:$AO$23,VLOOKUP(A8,$U:$V,2,),)</f>
        <v>12</v>
      </c>
      <c r="K8" s="5">
        <f>VLOOKUP($K$5,'Sectors Trend'!$B$6:$AO$23,VLOOKUP(A8,$U:$V,2,),)</f>
        <v>17</v>
      </c>
      <c r="L8" s="5">
        <f>VLOOKUP($L$5,'Sectors Trend'!$B$6:$AO$23,VLOOKUP(A8,$U:$V,2,),)</f>
        <v>4</v>
      </c>
      <c r="M8" s="5">
        <f>VLOOKUP($M$5,'Sectors Trend'!$B$6:$AO$23,VLOOKUP(A8,$U:$V,2,),)</f>
        <v>2</v>
      </c>
      <c r="N8" s="5">
        <f>VLOOKUP($N$5,'Sectors Trend'!$B$6:$AO$23,VLOOKUP(A8,$U:$V,2,),)</f>
        <v>11</v>
      </c>
      <c r="O8" s="5">
        <f>VLOOKUP($O$5,'Sectors Trend'!$B$6:$AO$23,VLOOKUP(A8,$U:$V,2,),)</f>
        <v>1</v>
      </c>
      <c r="P8" s="5">
        <f>VLOOKUP($P$5,'Sectors Trend'!$B$6:$AO$23,VLOOKUP(A8,$U:$V,2,),)</f>
        <v>9</v>
      </c>
      <c r="Q8" s="5">
        <f>VLOOKUP($Q$5,'Sectors Trend'!$B$6:$AO$23,VLOOKUP(A8,$U:$V,2,),)</f>
        <v>5</v>
      </c>
      <c r="R8" s="5">
        <f>VLOOKUP($R$5,'Sectors Trend'!$B$6:$AO$23,VLOOKUP(A8,$U:$V,2,),)</f>
        <v>8</v>
      </c>
      <c r="S8" s="38">
        <f>VLOOKUP($S$5,'Sectors Trend'!$B$6:$AO$23,VLOOKUP(A8,$U:$V,2,),)</f>
        <v>6</v>
      </c>
      <c r="U8" s="7">
        <f t="shared" si="0"/>
        <v>44774</v>
      </c>
      <c r="V8" s="1">
        <f t="shared" si="1"/>
        <v>33</v>
      </c>
      <c r="Y8" s="63">
        <f t="shared" si="2"/>
        <v>-1</v>
      </c>
      <c r="Z8" s="63">
        <f t="shared" si="3"/>
        <v>17</v>
      </c>
    </row>
    <row r="9" spans="1:26" x14ac:dyDescent="0.35">
      <c r="A9" s="8">
        <f>DATE(YEAR(A10),MONTH(A10)-1,DAY(A10))</f>
        <v>44805</v>
      </c>
      <c r="B9" s="5">
        <f>VLOOKUP($B$5,'Sectors Trend'!$B$6:$AO$23,VLOOKUP(A9,$U:$V,2,),)</f>
        <v>9</v>
      </c>
      <c r="C9" s="5">
        <f>VLOOKUP($C$5,'Sectors Trend'!$B$6:$AO$23,VLOOKUP(A9,$U:$V,2,),)</f>
        <v>13</v>
      </c>
      <c r="D9" s="5">
        <f>VLOOKUP($D$5,'Sectors Trend'!$B$6:$AO$23,VLOOKUP(A9,$U:$V,2,),)</f>
        <v>18</v>
      </c>
      <c r="E9" s="5">
        <f>VLOOKUP($E$5,'Sectors Trend'!$B$6:$AO$23,VLOOKUP(A9,$U:$V,2,),)</f>
        <v>7</v>
      </c>
      <c r="F9" s="5">
        <f>VLOOKUP($F$5,'Sectors Trend'!$B$6:$AO$23,VLOOKUP(A9,$U:$V,2,),)</f>
        <v>16</v>
      </c>
      <c r="G9" s="5">
        <f>VLOOKUP($G$5,'Sectors Trend'!$B$6:$AO$23,VLOOKUP(A9,$U:$V,2,),)</f>
        <v>3</v>
      </c>
      <c r="H9" s="5">
        <f>VLOOKUP($H$5,'Sectors Trend'!$B$6:$AO$23,VLOOKUP(A9,$U:$V,2,),)</f>
        <v>11</v>
      </c>
      <c r="I9" s="5">
        <f>VLOOKUP($I$5,'Sectors Trend'!$B$6:$AO$23,VLOOKUP(A9,$U:$V,2,),)</f>
        <v>12</v>
      </c>
      <c r="J9" s="5">
        <f>VLOOKUP($J$5,'Sectors Trend'!$B$6:$AO$23,VLOOKUP(A9,$U:$V,2,),)</f>
        <v>1</v>
      </c>
      <c r="K9" s="5">
        <f>VLOOKUP($K$5,'Sectors Trend'!$B$6:$AO$23,VLOOKUP(A9,$U:$V,2,),)</f>
        <v>6</v>
      </c>
      <c r="L9" s="5">
        <f>VLOOKUP($L$5,'Sectors Trend'!$B$6:$AO$23,VLOOKUP(A9,$U:$V,2,),)</f>
        <v>8</v>
      </c>
      <c r="M9" s="5">
        <f>VLOOKUP($M$5,'Sectors Trend'!$B$6:$AO$23,VLOOKUP(A9,$U:$V,2,),)</f>
        <v>2</v>
      </c>
      <c r="N9" s="5">
        <f>VLOOKUP($N$5,'Sectors Trend'!$B$6:$AO$23,VLOOKUP(A9,$U:$V,2,),)</f>
        <v>17</v>
      </c>
      <c r="O9" s="5">
        <f>VLOOKUP($O$5,'Sectors Trend'!$B$6:$AO$23,VLOOKUP(A9,$U:$V,2,),)</f>
        <v>5</v>
      </c>
      <c r="P9" s="5">
        <f>VLOOKUP($P$5,'Sectors Trend'!$B$6:$AO$23,VLOOKUP(A9,$U:$V,2,),)</f>
        <v>15</v>
      </c>
      <c r="Q9" s="5">
        <f>VLOOKUP($Q$5,'Sectors Trend'!$B$6:$AO$23,VLOOKUP(A9,$U:$V,2,),)</f>
        <v>10</v>
      </c>
      <c r="R9" s="5">
        <f>VLOOKUP($R$5,'Sectors Trend'!$B$6:$AO$23,VLOOKUP(A9,$U:$V,2,),)</f>
        <v>4</v>
      </c>
      <c r="S9" s="38">
        <f>VLOOKUP($S$5,'Sectors Trend'!$B$6:$AO$23,VLOOKUP(A9,$U:$V,2,),)</f>
        <v>14</v>
      </c>
      <c r="U9" s="7">
        <f t="shared" si="0"/>
        <v>44805</v>
      </c>
      <c r="V9" s="1">
        <f t="shared" si="1"/>
        <v>34</v>
      </c>
      <c r="Y9" s="63">
        <f t="shared" si="2"/>
        <v>1</v>
      </c>
      <c r="Z9" s="63">
        <f t="shared" si="3"/>
        <v>18</v>
      </c>
    </row>
    <row r="10" spans="1:26" x14ac:dyDescent="0.35">
      <c r="A10" s="8">
        <f>DATE(YEAR(A11),MONTH(A11)-1,DAY(A11))</f>
        <v>44835</v>
      </c>
      <c r="B10" s="5">
        <f>VLOOKUP($B$5,'Sectors Trend'!$B$6:$AO$23,VLOOKUP(A10,$U:$V,2,),)</f>
        <v>1</v>
      </c>
      <c r="C10" s="5">
        <f>VLOOKUP($C$5,'Sectors Trend'!$B$6:$AO$23,VLOOKUP(A10,$U:$V,2,),)</f>
        <v>12</v>
      </c>
      <c r="D10" s="5">
        <f>VLOOKUP($D$5,'Sectors Trend'!$B$6:$AO$23,VLOOKUP(A10,$U:$V,2,),)</f>
        <v>5</v>
      </c>
      <c r="E10" s="5">
        <f>VLOOKUP($E$5,'Sectors Trend'!$B$6:$AO$23,VLOOKUP(A10,$U:$V,2,),)</f>
        <v>4</v>
      </c>
      <c r="F10" s="5">
        <f>VLOOKUP($F$5,'Sectors Trend'!$B$6:$AO$23,VLOOKUP(A10,$U:$V,2,),)</f>
        <v>14</v>
      </c>
      <c r="G10" s="5">
        <f>VLOOKUP($G$5,'Sectors Trend'!$B$6:$AO$23,VLOOKUP(A10,$U:$V,2,),)</f>
        <v>2</v>
      </c>
      <c r="H10" s="5">
        <f>VLOOKUP($H$5,'Sectors Trend'!$B$6:$AO$23,VLOOKUP(A10,$U:$V,2,),)</f>
        <v>15</v>
      </c>
      <c r="I10" s="5">
        <f>VLOOKUP($I$5,'Sectors Trend'!$B$6:$AO$23,VLOOKUP(A10,$U:$V,2,),)</f>
        <v>17</v>
      </c>
      <c r="J10" s="5">
        <f>VLOOKUP($J$5,'Sectors Trend'!$B$6:$AO$23,VLOOKUP(A10,$U:$V,2,),)</f>
        <v>10</v>
      </c>
      <c r="K10" s="5">
        <f>VLOOKUP($K$5,'Sectors Trend'!$B$6:$AO$23,VLOOKUP(A10,$U:$V,2,),)</f>
        <v>13</v>
      </c>
      <c r="L10" s="5">
        <f>VLOOKUP($L$5,'Sectors Trend'!$B$6:$AO$23,VLOOKUP(A10,$U:$V,2,),)</f>
        <v>11</v>
      </c>
      <c r="M10" s="5">
        <f>VLOOKUP($M$5,'Sectors Trend'!$B$6:$AO$23,VLOOKUP(A10,$U:$V,2,),)</f>
        <v>-1</v>
      </c>
      <c r="N10" s="5">
        <f>VLOOKUP($N$5,'Sectors Trend'!$B$6:$AO$23,VLOOKUP(A10,$U:$V,2,),)</f>
        <v>7</v>
      </c>
      <c r="O10" s="5">
        <f>VLOOKUP($O$5,'Sectors Trend'!$B$6:$AO$23,VLOOKUP(A10,$U:$V,2,),)</f>
        <v>8</v>
      </c>
      <c r="P10" s="5">
        <f>VLOOKUP($P$5,'Sectors Trend'!$B$6:$AO$23,VLOOKUP(A10,$U:$V,2,),)</f>
        <v>3</v>
      </c>
      <c r="Q10" s="5">
        <f>VLOOKUP($Q$5,'Sectors Trend'!$B$6:$AO$23,VLOOKUP(A10,$U:$V,2,),)</f>
        <v>16</v>
      </c>
      <c r="R10" s="5">
        <f>VLOOKUP($R$5,'Sectors Trend'!$B$6:$AO$23,VLOOKUP(A10,$U:$V,2,),)</f>
        <v>9</v>
      </c>
      <c r="S10" s="38">
        <f>VLOOKUP($S$5,'Sectors Trend'!$B$6:$AO$23,VLOOKUP(A10,$U:$V,2,),)</f>
        <v>6</v>
      </c>
      <c r="U10" s="7">
        <f t="shared" si="0"/>
        <v>44835</v>
      </c>
      <c r="V10" s="1">
        <f t="shared" si="1"/>
        <v>35</v>
      </c>
      <c r="Y10" s="63">
        <f t="shared" si="2"/>
        <v>-1</v>
      </c>
      <c r="Z10" s="63">
        <f t="shared" si="3"/>
        <v>17</v>
      </c>
    </row>
    <row r="11" spans="1:26" ht="16" customHeight="1" thickBot="1" x14ac:dyDescent="0.4">
      <c r="A11" s="8">
        <f>L1</f>
        <v>44866</v>
      </c>
      <c r="B11" s="39">
        <f>VLOOKUP($B$5,'Sectors Trend'!$B$6:$AO$23,VLOOKUP(A11,$U:$V,2,),)</f>
        <v>3</v>
      </c>
      <c r="C11" s="39">
        <f>VLOOKUP($C$5,'Sectors Trend'!$B$6:$AO$23,VLOOKUP(A11,$U:$V,2,),)</f>
        <v>10</v>
      </c>
      <c r="D11" s="39">
        <f>VLOOKUP($D$5,'Sectors Trend'!$B$6:$AO$23,VLOOKUP(A11,$U:$V,2,),)</f>
        <v>5</v>
      </c>
      <c r="E11" s="39">
        <f>VLOOKUP($E$5,'Sectors Trend'!$B$6:$AO$23,VLOOKUP(A11,$U:$V,2,),)</f>
        <v>7</v>
      </c>
      <c r="F11" s="39">
        <f>VLOOKUP($F$5,'Sectors Trend'!$B$6:$AO$23,VLOOKUP(A11,$U:$V,2,),)</f>
        <v>14</v>
      </c>
      <c r="G11" s="39">
        <f>VLOOKUP($G$5,'Sectors Trend'!$B$6:$AO$23,VLOOKUP(A11,$U:$V,2,),)</f>
        <v>16</v>
      </c>
      <c r="H11" s="39">
        <f>VLOOKUP($H$5,'Sectors Trend'!$B$6:$AO$23,VLOOKUP(A11,$U:$V,2,),)</f>
        <v>1</v>
      </c>
      <c r="I11" s="39">
        <f>VLOOKUP($I$5,'Sectors Trend'!$B$6:$AO$23,VLOOKUP(A11,$U:$V,2,),)</f>
        <v>15</v>
      </c>
      <c r="J11" s="39">
        <f>VLOOKUP($J$5,'Sectors Trend'!$B$6:$AO$23,VLOOKUP(A11,$U:$V,2,),)</f>
        <v>2</v>
      </c>
      <c r="K11" s="39">
        <f>VLOOKUP($K$5,'Sectors Trend'!$B$6:$AO$23,VLOOKUP(A11,$U:$V,2,),)</f>
        <v>4</v>
      </c>
      <c r="L11" s="39">
        <f>VLOOKUP($L$5,'Sectors Trend'!$B$6:$AO$23,VLOOKUP(A11,$U:$V,2,),)</f>
        <v>-1</v>
      </c>
      <c r="M11" s="39">
        <f>VLOOKUP($M$5,'Sectors Trend'!$B$6:$AO$23,VLOOKUP(A11,$U:$V,2,),)</f>
        <v>-2</v>
      </c>
      <c r="N11" s="39">
        <f>VLOOKUP($N$5,'Sectors Trend'!$B$6:$AO$23,VLOOKUP(A11,$U:$V,2,),)</f>
        <v>12</v>
      </c>
      <c r="O11" s="39">
        <f>VLOOKUP($O$5,'Sectors Trend'!$B$6:$AO$23,VLOOKUP(A11,$U:$V,2,),)</f>
        <v>6</v>
      </c>
      <c r="P11" s="39">
        <f>VLOOKUP($P$5,'Sectors Trend'!$B$6:$AO$23,VLOOKUP(A11,$U:$V,2,),)</f>
        <v>8</v>
      </c>
      <c r="Q11" s="39">
        <f>VLOOKUP($Q$5,'Sectors Trend'!$B$6:$AO$23,VLOOKUP(A11,$U:$V,2,),)</f>
        <v>9</v>
      </c>
      <c r="R11" s="39">
        <f>VLOOKUP($R$5,'Sectors Trend'!$B$6:$AO$23,VLOOKUP(A11,$U:$V,2,),)</f>
        <v>11</v>
      </c>
      <c r="S11" s="40">
        <f>VLOOKUP($S$5,'Sectors Trend'!$B$6:$AO$23,VLOOKUP(A11,$U:$V,2,),)</f>
        <v>13</v>
      </c>
      <c r="U11" s="7">
        <f>L1</f>
        <v>44866</v>
      </c>
      <c r="V11" s="1">
        <f>L2+1</f>
        <v>36</v>
      </c>
      <c r="Y11" s="63">
        <f t="shared" si="2"/>
        <v>-2</v>
      </c>
      <c r="Z11" s="63">
        <f t="shared" si="3"/>
        <v>16</v>
      </c>
    </row>
    <row r="12" spans="1:26" x14ac:dyDescent="0.35">
      <c r="R12" s="7"/>
    </row>
    <row r="13" spans="1:26" x14ac:dyDescent="0.35">
      <c r="R13" s="7"/>
    </row>
    <row r="14" spans="1:26" x14ac:dyDescent="0.35">
      <c r="R14" s="7"/>
    </row>
    <row r="15" spans="1:26" x14ac:dyDescent="0.35">
      <c r="R15" s="7"/>
    </row>
    <row r="16" spans="1:26" x14ac:dyDescent="0.35">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20" zoomScaleNormal="120" workbookViewId="0">
      <selection activeCell="C362" sqref="C362"/>
    </sheetView>
  </sheetViews>
  <sheetFormatPr defaultColWidth="9.1796875" defaultRowHeight="14.5" x14ac:dyDescent="0.35"/>
  <cols>
    <col min="1" max="1" width="9.6328125" style="63" customWidth="1"/>
    <col min="2" max="18" width="8.81640625" style="63" customWidth="1"/>
    <col min="19" max="19" width="10.453125" style="63" customWidth="1"/>
    <col min="20" max="20" width="8.81640625" style="63" customWidth="1"/>
    <col min="21" max="42" width="9.1796875" style="63" customWidth="1"/>
    <col min="43" max="16384" width="9.1796875" style="63"/>
  </cols>
  <sheetData>
    <row r="1" spans="1:26" x14ac:dyDescent="0.35">
      <c r="J1" s="63" t="s">
        <v>68</v>
      </c>
      <c r="L1" s="7">
        <f>Sectors!L1</f>
        <v>44866</v>
      </c>
      <c r="O1" s="6"/>
    </row>
    <row r="2" spans="1:26" x14ac:dyDescent="0.35">
      <c r="L2" s="63">
        <f>Sectors!L2</f>
        <v>35</v>
      </c>
      <c r="Y2" s="7"/>
    </row>
    <row r="4" spans="1:26" x14ac:dyDescent="0.35">
      <c r="U4" s="7">
        <f t="shared" ref="U4:U10" si="0">DATE(YEAR(U5),MONTH(U5)-1,DAY(U5))</f>
        <v>44652</v>
      </c>
      <c r="V4" s="1">
        <f t="shared" ref="V4:V10" si="1">V5-1</f>
        <v>29</v>
      </c>
    </row>
    <row r="5" spans="1:26" ht="89.25" customHeight="1" thickBot="1" x14ac:dyDescent="0.4">
      <c r="A5" s="8"/>
      <c r="B5" s="42" t="s">
        <v>41</v>
      </c>
      <c r="C5" s="42" t="s">
        <v>28</v>
      </c>
      <c r="D5" s="42" t="s">
        <v>47</v>
      </c>
      <c r="E5" s="42" t="s">
        <v>23</v>
      </c>
      <c r="F5" s="42" t="s">
        <v>43</v>
      </c>
      <c r="G5" s="42" t="s">
        <v>14</v>
      </c>
      <c r="H5" s="42" t="s">
        <v>42</v>
      </c>
      <c r="I5" s="42" t="s">
        <v>40</v>
      </c>
      <c r="J5" s="42" t="s">
        <v>37</v>
      </c>
      <c r="K5" s="42" t="s">
        <v>17</v>
      </c>
      <c r="L5" s="42" t="s">
        <v>31</v>
      </c>
      <c r="M5" s="42" t="s">
        <v>26</v>
      </c>
      <c r="N5" s="42" t="s">
        <v>39</v>
      </c>
      <c r="O5" s="42" t="s">
        <v>44</v>
      </c>
      <c r="P5" s="42" t="s">
        <v>45</v>
      </c>
      <c r="Q5" s="42" t="s">
        <v>35</v>
      </c>
      <c r="R5" s="42" t="s">
        <v>33</v>
      </c>
      <c r="S5" s="42" t="s">
        <v>20</v>
      </c>
      <c r="U5" s="7">
        <f t="shared" si="0"/>
        <v>44682</v>
      </c>
      <c r="V5" s="1">
        <f t="shared" si="1"/>
        <v>30</v>
      </c>
      <c r="Y5" s="63" t="s">
        <v>69</v>
      </c>
      <c r="Z5" s="63" t="s">
        <v>70</v>
      </c>
    </row>
    <row r="6" spans="1:26" x14ac:dyDescent="0.35">
      <c r="A6" s="8">
        <f>DATE(YEAR(A7),MONTH(A7)-1,DAY(A7))</f>
        <v>44713</v>
      </c>
      <c r="B6" s="36">
        <f>VLOOKUP($B$5,'Sectors Trend'!$B$28:$AO$45,VLOOKUP(A6,$U:$V,2,),)</f>
        <v>0</v>
      </c>
      <c r="C6" s="36">
        <f>VLOOKUP($C$5,'Sectors Trend'!$B$28:$AO$45,VLOOKUP(A6,$U:$V,2,),)</f>
        <v>8</v>
      </c>
      <c r="D6" s="36">
        <f>VLOOKUP($D$5,'Sectors Trend'!$B$28:$AO$45,VLOOKUP(A6,$U:$V,2,),)</f>
        <v>11</v>
      </c>
      <c r="E6" s="36">
        <f>VLOOKUP($E$5,'Sectors Trend'!$B$28:$AO$45,VLOOKUP(A6,$U:$V,2,),)</f>
        <v>13</v>
      </c>
      <c r="F6" s="36">
        <f>VLOOKUP($F$5,'Sectors Trend'!$B$28:$AO$45,VLOOKUP(A6,$U:$V,2,),)</f>
        <v>4</v>
      </c>
      <c r="G6" s="36">
        <f>VLOOKUP($G$5,'Sectors Trend'!$B$28:$AO$45,VLOOKUP(A6,$U:$V,2,),)</f>
        <v>12</v>
      </c>
      <c r="H6" s="36">
        <f>VLOOKUP($H$5,'Sectors Trend'!$B$28:$AO$45,VLOOKUP(A6,$U:$V,2,),)</f>
        <v>7</v>
      </c>
      <c r="I6" s="36">
        <f>VLOOKUP($I$5,'Sectors Trend'!$B$28:$AO$45,VLOOKUP(A6,$U:$V,2,),)</f>
        <v>0</v>
      </c>
      <c r="J6" s="36">
        <f>VLOOKUP($J$5,'Sectors Trend'!$B$28:$AO$45,VLOOKUP(A6,$U:$V,2,),)</f>
        <v>2</v>
      </c>
      <c r="K6" s="36">
        <f>VLOOKUP($K$5,'Sectors Trend'!$B$28:$AO$45,VLOOKUP(A6,$U:$V,2,),)</f>
        <v>10</v>
      </c>
      <c r="L6" s="36">
        <f>VLOOKUP($L$5,'Sectors Trend'!$B$28:$AO$45,VLOOKUP(A6,$U:$V,2,),)</f>
        <v>14</v>
      </c>
      <c r="M6" s="36">
        <f>VLOOKUP($M$5,'Sectors Trend'!$B$28:$AO$45,VLOOKUP(A6,$U:$V,2,),)</f>
        <v>6</v>
      </c>
      <c r="N6" s="36">
        <f>VLOOKUP($N$5,'Sectors Trend'!$B$28:$AO$45,VLOOKUP(A6,$U:$V,2,),)</f>
        <v>1</v>
      </c>
      <c r="O6" s="36">
        <f>VLOOKUP($O$5,'Sectors Trend'!$B$28:$AO$45,VLOOKUP(A6,$U:$V,2,),)</f>
        <v>9</v>
      </c>
      <c r="P6" s="36">
        <f>VLOOKUP($P$5,'Sectors Trend'!$B$28:$AO$45,VLOOKUP(A6,$U:$V,2,),)</f>
        <v>0</v>
      </c>
      <c r="Q6" s="36">
        <f>VLOOKUP($Q$5,'Sectors Trend'!$B$28:$AO$45,VLOOKUP(A6,$U:$V,2,),)</f>
        <v>3</v>
      </c>
      <c r="R6" s="36">
        <f>VLOOKUP($R$5,'Sectors Trend'!$B$28:$AO$45,VLOOKUP(A6,$U:$V,2,),)</f>
        <v>5</v>
      </c>
      <c r="S6" s="37">
        <f>VLOOKUP($S$5,'Sectors Trend'!$B$28:$AO$45,VLOOKUP(A6,$U:$V,2,),)</f>
        <v>15</v>
      </c>
      <c r="U6" s="7">
        <f t="shared" si="0"/>
        <v>44713</v>
      </c>
      <c r="V6" s="1">
        <f t="shared" si="1"/>
        <v>31</v>
      </c>
      <c r="Y6" s="63">
        <f t="shared" ref="Y6:Y11" si="2">MIN(B6:S6)</f>
        <v>0</v>
      </c>
      <c r="Z6" s="63">
        <f t="shared" ref="Z6:Z11" si="3">MAX(B6:S6)</f>
        <v>15</v>
      </c>
    </row>
    <row r="7" spans="1:26" x14ac:dyDescent="0.35">
      <c r="A7" s="8">
        <f>DATE(YEAR(A8),MONTH(A8)-1,DAY(A8))</f>
        <v>44743</v>
      </c>
      <c r="B7" s="5">
        <f>VLOOKUP($B$5,'Sectors Trend'!$B$28:$AO$45,VLOOKUP(A7,$U:$V,2,),)</f>
        <v>-2</v>
      </c>
      <c r="C7" s="5">
        <f>VLOOKUP($C$5,'Sectors Trend'!$B$28:$AO$45,VLOOKUP(A7,$U:$V,2,),)</f>
        <v>8</v>
      </c>
      <c r="D7" s="5">
        <f>VLOOKUP($D$5,'Sectors Trend'!$B$28:$AO$45,VLOOKUP(A7,$U:$V,2,),)</f>
        <v>0</v>
      </c>
      <c r="E7" s="5">
        <f>VLOOKUP($E$5,'Sectors Trend'!$B$28:$AO$45,VLOOKUP(A7,$U:$V,2,),)</f>
        <v>6</v>
      </c>
      <c r="F7" s="5">
        <f>VLOOKUP($F$5,'Sectors Trend'!$B$28:$AO$45,VLOOKUP(A7,$U:$V,2,),)</f>
        <v>4</v>
      </c>
      <c r="G7" s="5">
        <f>VLOOKUP($G$5,'Sectors Trend'!$B$28:$AO$45,VLOOKUP(A7,$U:$V,2,),)</f>
        <v>-3</v>
      </c>
      <c r="H7" s="5">
        <f>VLOOKUP($H$5,'Sectors Trend'!$B$28:$AO$45,VLOOKUP(A7,$U:$V,2,),)</f>
        <v>-1</v>
      </c>
      <c r="I7" s="5">
        <f>VLOOKUP($I$5,'Sectors Trend'!$B$28:$AO$45,VLOOKUP(A7,$U:$V,2,),)</f>
        <v>12</v>
      </c>
      <c r="J7" s="5">
        <f>VLOOKUP($J$5,'Sectors Trend'!$B$28:$AO$45,VLOOKUP(A7,$U:$V,2,),)</f>
        <v>2</v>
      </c>
      <c r="K7" s="5">
        <f>VLOOKUP($K$5,'Sectors Trend'!$B$28:$AO$45,VLOOKUP(A7,$U:$V,2,),)</f>
        <v>13</v>
      </c>
      <c r="L7" s="5">
        <f>VLOOKUP($L$5,'Sectors Trend'!$B$28:$AO$45,VLOOKUP(A7,$U:$V,2,),)</f>
        <v>7</v>
      </c>
      <c r="M7" s="5">
        <f>VLOOKUP($M$5,'Sectors Trend'!$B$28:$AO$45,VLOOKUP(A7,$U:$V,2,),)</f>
        <v>3</v>
      </c>
      <c r="N7" s="5">
        <f>VLOOKUP($N$5,'Sectors Trend'!$B$28:$AO$45,VLOOKUP(A7,$U:$V,2,),)</f>
        <v>10</v>
      </c>
      <c r="O7" s="5">
        <f>VLOOKUP($O$5,'Sectors Trend'!$B$28:$AO$45,VLOOKUP(A7,$U:$V,2,),)</f>
        <v>5</v>
      </c>
      <c r="P7" s="5">
        <f>VLOOKUP($P$5,'Sectors Trend'!$B$28:$AO$45,VLOOKUP(A7,$U:$V,2,),)</f>
        <v>-4</v>
      </c>
      <c r="Q7" s="5">
        <f>VLOOKUP($Q$5,'Sectors Trend'!$B$28:$AO$45,VLOOKUP(A7,$U:$V,2,),)</f>
        <v>1</v>
      </c>
      <c r="R7" s="5">
        <f>VLOOKUP($R$5,'Sectors Trend'!$B$28:$AO$45,VLOOKUP(A7,$U:$V,2,),)</f>
        <v>11</v>
      </c>
      <c r="S7" s="38">
        <f>VLOOKUP($S$5,'Sectors Trend'!$B$28:$AO$45,VLOOKUP(A7,$U:$V,2,),)</f>
        <v>9</v>
      </c>
      <c r="U7" s="7">
        <f t="shared" si="0"/>
        <v>44743</v>
      </c>
      <c r="V7" s="1">
        <f t="shared" si="1"/>
        <v>32</v>
      </c>
      <c r="Y7" s="63">
        <f t="shared" si="2"/>
        <v>-4</v>
      </c>
      <c r="Z7" s="63">
        <f t="shared" si="3"/>
        <v>13</v>
      </c>
    </row>
    <row r="8" spans="1:26" x14ac:dyDescent="0.35">
      <c r="A8" s="8">
        <f>DATE(YEAR(A9),MONTH(A9)-1,DAY(A9))</f>
        <v>44774</v>
      </c>
      <c r="B8" s="5">
        <f>VLOOKUP($B$5,'Sectors Trend'!$B$28:$AO$45,VLOOKUP(A8,$U:$V,2,),)</f>
        <v>0</v>
      </c>
      <c r="C8" s="5">
        <f>VLOOKUP($C$5,'Sectors Trend'!$B$28:$AO$45,VLOOKUP(A8,$U:$V,2,),)</f>
        <v>10</v>
      </c>
      <c r="D8" s="5">
        <f>VLOOKUP($D$5,'Sectors Trend'!$B$28:$AO$45,VLOOKUP(A8,$U:$V,2,),)</f>
        <v>-1</v>
      </c>
      <c r="E8" s="5">
        <f>VLOOKUP($E$5,'Sectors Trend'!$B$28:$AO$45,VLOOKUP(A8,$U:$V,2,),)</f>
        <v>0</v>
      </c>
      <c r="F8" s="5">
        <f>VLOOKUP($F$5,'Sectors Trend'!$B$28:$AO$45,VLOOKUP(A8,$U:$V,2,),)</f>
        <v>2</v>
      </c>
      <c r="G8" s="5">
        <f>VLOOKUP($G$5,'Sectors Trend'!$B$28:$AO$45,VLOOKUP(A8,$U:$V,2,),)</f>
        <v>-2</v>
      </c>
      <c r="H8" s="5">
        <f>VLOOKUP($H$5,'Sectors Trend'!$B$28:$AO$45,VLOOKUP(A8,$U:$V,2,),)</f>
        <v>1</v>
      </c>
      <c r="I8" s="5">
        <f>VLOOKUP($I$5,'Sectors Trend'!$B$28:$AO$45,VLOOKUP(A8,$U:$V,2,),)</f>
        <v>11</v>
      </c>
      <c r="J8" s="5">
        <f>VLOOKUP($J$5,'Sectors Trend'!$B$28:$AO$45,VLOOKUP(A8,$U:$V,2,),)</f>
        <v>5</v>
      </c>
      <c r="K8" s="5">
        <f>VLOOKUP($K$5,'Sectors Trend'!$B$28:$AO$45,VLOOKUP(A8,$U:$V,2,),)</f>
        <v>0</v>
      </c>
      <c r="L8" s="5">
        <f>VLOOKUP($L$5,'Sectors Trend'!$B$28:$AO$45,VLOOKUP(A8,$U:$V,2,),)</f>
        <v>7</v>
      </c>
      <c r="M8" s="5">
        <f>VLOOKUP($M$5,'Sectors Trend'!$B$28:$AO$45,VLOOKUP(A8,$U:$V,2,),)</f>
        <v>6</v>
      </c>
      <c r="N8" s="5">
        <f>VLOOKUP($N$5,'Sectors Trend'!$B$28:$AO$45,VLOOKUP(A8,$U:$V,2,),)</f>
        <v>4</v>
      </c>
      <c r="O8" s="5">
        <f>VLOOKUP($O$5,'Sectors Trend'!$B$28:$AO$45,VLOOKUP(A8,$U:$V,2,),)</f>
        <v>3</v>
      </c>
      <c r="P8" s="5">
        <f>VLOOKUP($P$5,'Sectors Trend'!$B$28:$AO$45,VLOOKUP(A8,$U:$V,2,),)</f>
        <v>-3</v>
      </c>
      <c r="Q8" s="5">
        <f>VLOOKUP($Q$5,'Sectors Trend'!$B$28:$AO$45,VLOOKUP(A8,$U:$V,2,),)</f>
        <v>9</v>
      </c>
      <c r="R8" s="5">
        <f>VLOOKUP($R$5,'Sectors Trend'!$B$28:$AO$45,VLOOKUP(A8,$U:$V,2,),)</f>
        <v>8</v>
      </c>
      <c r="S8" s="38">
        <f>VLOOKUP($S$5,'Sectors Trend'!$B$28:$AO$45,VLOOKUP(A8,$U:$V,2,),)</f>
        <v>0</v>
      </c>
      <c r="U8" s="7">
        <f t="shared" si="0"/>
        <v>44774</v>
      </c>
      <c r="V8" s="1">
        <f t="shared" si="1"/>
        <v>33</v>
      </c>
      <c r="Y8" s="63">
        <f t="shared" si="2"/>
        <v>-3</v>
      </c>
      <c r="Z8" s="63">
        <f t="shared" si="3"/>
        <v>11</v>
      </c>
    </row>
    <row r="9" spans="1:26" x14ac:dyDescent="0.35">
      <c r="A9" s="8">
        <f>DATE(YEAR(A10),MONTH(A10)-1,DAY(A10))</f>
        <v>44805</v>
      </c>
      <c r="B9" s="5">
        <f>VLOOKUP($B$5,'Sectors Trend'!$B$28:$AO$45,VLOOKUP(A9,$U:$V,2,),)</f>
        <v>2</v>
      </c>
      <c r="C9" s="5">
        <f>VLOOKUP($C$5,'Sectors Trend'!$B$28:$AO$45,VLOOKUP(A9,$U:$V,2,),)</f>
        <v>7</v>
      </c>
      <c r="D9" s="5">
        <f>VLOOKUP($D$5,'Sectors Trend'!$B$28:$AO$45,VLOOKUP(A9,$U:$V,2,),)</f>
        <v>-1</v>
      </c>
      <c r="E9" s="5">
        <f>VLOOKUP($E$5,'Sectors Trend'!$B$28:$AO$45,VLOOKUP(A9,$U:$V,2,),)</f>
        <v>12</v>
      </c>
      <c r="F9" s="5">
        <f>VLOOKUP($F$5,'Sectors Trend'!$B$28:$AO$45,VLOOKUP(A9,$U:$V,2,),)</f>
        <v>9</v>
      </c>
      <c r="G9" s="5">
        <f>VLOOKUP($G$5,'Sectors Trend'!$B$28:$AO$45,VLOOKUP(A9,$U:$V,2,),)</f>
        <v>-2</v>
      </c>
      <c r="H9" s="5">
        <f>VLOOKUP($H$5,'Sectors Trend'!$B$28:$AO$45,VLOOKUP(A9,$U:$V,2,),)</f>
        <v>8</v>
      </c>
      <c r="I9" s="5">
        <f>VLOOKUP($I$5,'Sectors Trend'!$B$28:$AO$45,VLOOKUP(A9,$U:$V,2,),)</f>
        <v>5</v>
      </c>
      <c r="J9" s="5">
        <f>VLOOKUP($J$5,'Sectors Trend'!$B$28:$AO$45,VLOOKUP(A9,$U:$V,2,),)</f>
        <v>1</v>
      </c>
      <c r="K9" s="5">
        <f>VLOOKUP($K$5,'Sectors Trend'!$B$28:$AO$45,VLOOKUP(A9,$U:$V,2,),)</f>
        <v>14</v>
      </c>
      <c r="L9" s="5">
        <f>VLOOKUP($L$5,'Sectors Trend'!$B$28:$AO$45,VLOOKUP(A9,$U:$V,2,),)</f>
        <v>0</v>
      </c>
      <c r="M9" s="5">
        <f>VLOOKUP($M$5,'Sectors Trend'!$B$28:$AO$45,VLOOKUP(A9,$U:$V,2,),)</f>
        <v>10</v>
      </c>
      <c r="N9" s="5">
        <f>VLOOKUP($N$5,'Sectors Trend'!$B$28:$AO$45,VLOOKUP(A9,$U:$V,2,),)</f>
        <v>4</v>
      </c>
      <c r="O9" s="5">
        <f>VLOOKUP($O$5,'Sectors Trend'!$B$28:$AO$45,VLOOKUP(A9,$U:$V,2,),)</f>
        <v>3</v>
      </c>
      <c r="P9" s="5">
        <f>VLOOKUP($P$5,'Sectors Trend'!$B$28:$AO$45,VLOOKUP(A9,$U:$V,2,),)</f>
        <v>6</v>
      </c>
      <c r="Q9" s="5">
        <f>VLOOKUP($Q$5,'Sectors Trend'!$B$28:$AO$45,VLOOKUP(A9,$U:$V,2,),)</f>
        <v>13</v>
      </c>
      <c r="R9" s="5">
        <f>VLOOKUP($R$5,'Sectors Trend'!$B$28:$AO$45,VLOOKUP(A9,$U:$V,2,),)</f>
        <v>11</v>
      </c>
      <c r="S9" s="38">
        <f>VLOOKUP($S$5,'Sectors Trend'!$B$28:$AO$45,VLOOKUP(A9,$U:$V,2,),)</f>
        <v>0</v>
      </c>
      <c r="U9" s="7">
        <f t="shared" si="0"/>
        <v>44805</v>
      </c>
      <c r="V9" s="1">
        <f t="shared" si="1"/>
        <v>34</v>
      </c>
      <c r="Y9" s="63">
        <f t="shared" si="2"/>
        <v>-2</v>
      </c>
      <c r="Z9" s="63">
        <f t="shared" si="3"/>
        <v>14</v>
      </c>
    </row>
    <row r="10" spans="1:26" x14ac:dyDescent="0.35">
      <c r="A10" s="8">
        <f>DATE(YEAR(A11),MONTH(A11)-1,DAY(A11))</f>
        <v>44835</v>
      </c>
      <c r="B10" s="5">
        <f>VLOOKUP($B$5,'Sectors Trend'!$B$28:$AO$45,VLOOKUP(A10,$U:$V,2,),)</f>
        <v>3</v>
      </c>
      <c r="C10" s="5">
        <f>VLOOKUP($C$5,'Sectors Trend'!$B$28:$AO$45,VLOOKUP(A10,$U:$V,2,),)</f>
        <v>8</v>
      </c>
      <c r="D10" s="5">
        <f>VLOOKUP($D$5,'Sectors Trend'!$B$28:$AO$45,VLOOKUP(A10,$U:$V,2,),)</f>
        <v>11</v>
      </c>
      <c r="E10" s="5">
        <f>VLOOKUP($E$5,'Sectors Trend'!$B$28:$AO$45,VLOOKUP(A10,$U:$V,2,),)</f>
        <v>5</v>
      </c>
      <c r="F10" s="5">
        <f>VLOOKUP($F$5,'Sectors Trend'!$B$28:$AO$45,VLOOKUP(A10,$U:$V,2,),)</f>
        <v>1</v>
      </c>
      <c r="G10" s="5">
        <f>VLOOKUP($G$5,'Sectors Trend'!$B$28:$AO$45,VLOOKUP(A10,$U:$V,2,),)</f>
        <v>7</v>
      </c>
      <c r="H10" s="5">
        <f>VLOOKUP($H$5,'Sectors Trend'!$B$28:$AO$45,VLOOKUP(A10,$U:$V,2,),)</f>
        <v>4</v>
      </c>
      <c r="I10" s="5">
        <f>VLOOKUP($I$5,'Sectors Trend'!$B$28:$AO$45,VLOOKUP(A10,$U:$V,2,),)</f>
        <v>-2</v>
      </c>
      <c r="J10" s="5">
        <f>VLOOKUP($J$5,'Sectors Trend'!$B$28:$AO$45,VLOOKUP(A10,$U:$V,2,),)</f>
        <v>9</v>
      </c>
      <c r="K10" s="5">
        <f>VLOOKUP($K$5,'Sectors Trend'!$B$28:$AO$45,VLOOKUP(A10,$U:$V,2,),)</f>
        <v>15</v>
      </c>
      <c r="L10" s="5">
        <f>VLOOKUP($L$5,'Sectors Trend'!$B$28:$AO$45,VLOOKUP(A10,$U:$V,2,),)</f>
        <v>13</v>
      </c>
      <c r="M10" s="5">
        <f>VLOOKUP($M$5,'Sectors Trend'!$B$28:$AO$45,VLOOKUP(A10,$U:$V,2,),)</f>
        <v>2</v>
      </c>
      <c r="N10" s="5">
        <f>VLOOKUP($N$5,'Sectors Trend'!$B$28:$AO$45,VLOOKUP(A10,$U:$V,2,),)</f>
        <v>0</v>
      </c>
      <c r="O10" s="5">
        <f>VLOOKUP($O$5,'Sectors Trend'!$B$28:$AO$45,VLOOKUP(A10,$U:$V,2,),)</f>
        <v>6</v>
      </c>
      <c r="P10" s="5">
        <f>VLOOKUP($P$5,'Sectors Trend'!$B$28:$AO$45,VLOOKUP(A10,$U:$V,2,),)</f>
        <v>14</v>
      </c>
      <c r="Q10" s="5">
        <f>VLOOKUP($Q$5,'Sectors Trend'!$B$28:$AO$45,VLOOKUP(A10,$U:$V,2,),)</f>
        <v>12</v>
      </c>
      <c r="R10" s="5">
        <f>VLOOKUP($R$5,'Sectors Trend'!$B$28:$AO$45,VLOOKUP(A10,$U:$V,2,),)</f>
        <v>10</v>
      </c>
      <c r="S10" s="38">
        <f>VLOOKUP($S$5,'Sectors Trend'!$B$28:$AO$45,VLOOKUP(A10,$U:$V,2,),)</f>
        <v>-1</v>
      </c>
      <c r="U10" s="7">
        <f t="shared" si="0"/>
        <v>44835</v>
      </c>
      <c r="V10" s="1">
        <f t="shared" si="1"/>
        <v>35</v>
      </c>
      <c r="Y10" s="63">
        <f t="shared" si="2"/>
        <v>-2</v>
      </c>
      <c r="Z10" s="63">
        <f t="shared" si="3"/>
        <v>15</v>
      </c>
    </row>
    <row r="11" spans="1:26" ht="16" customHeight="1" thickBot="1" x14ac:dyDescent="0.4">
      <c r="A11" s="8">
        <f>L1</f>
        <v>44866</v>
      </c>
      <c r="B11" s="39">
        <f>VLOOKUP($B$5,'Sectors Trend'!$B$28:$AO$45,VLOOKUP(A11,$U:$V,2,),)</f>
        <v>3</v>
      </c>
      <c r="C11" s="39">
        <f>VLOOKUP($C$5,'Sectors Trend'!$B$28:$AO$45,VLOOKUP(A11,$U:$V,2,),)</f>
        <v>0</v>
      </c>
      <c r="D11" s="39">
        <f>VLOOKUP($D$5,'Sectors Trend'!$B$28:$AO$45,VLOOKUP(A11,$U:$V,2,),)</f>
        <v>0</v>
      </c>
      <c r="E11" s="39">
        <f>VLOOKUP($E$5,'Sectors Trend'!$B$28:$AO$45,VLOOKUP(A11,$U:$V,2,),)</f>
        <v>10</v>
      </c>
      <c r="F11" s="39">
        <f>VLOOKUP($F$5,'Sectors Trend'!$B$28:$AO$45,VLOOKUP(A11,$U:$V,2,),)</f>
        <v>6</v>
      </c>
      <c r="G11" s="39">
        <f>VLOOKUP($G$5,'Sectors Trend'!$B$28:$AO$45,VLOOKUP(A11,$U:$V,2,),)</f>
        <v>12</v>
      </c>
      <c r="H11" s="39">
        <f>VLOOKUP($H$5,'Sectors Trend'!$B$28:$AO$45,VLOOKUP(A11,$U:$V,2,),)</f>
        <v>0</v>
      </c>
      <c r="I11" s="39">
        <f>VLOOKUP($I$5,'Sectors Trend'!$B$28:$AO$45,VLOOKUP(A11,$U:$V,2,),)</f>
        <v>13</v>
      </c>
      <c r="J11" s="39">
        <f>VLOOKUP($J$5,'Sectors Trend'!$B$28:$AO$45,VLOOKUP(A11,$U:$V,2,),)</f>
        <v>2</v>
      </c>
      <c r="K11" s="39">
        <f>VLOOKUP($K$5,'Sectors Trend'!$B$28:$AO$45,VLOOKUP(A11,$U:$V,2,),)</f>
        <v>11</v>
      </c>
      <c r="L11" s="39">
        <f>VLOOKUP($L$5,'Sectors Trend'!$B$28:$AO$45,VLOOKUP(A11,$U:$V,2,),)</f>
        <v>8</v>
      </c>
      <c r="M11" s="39">
        <f>VLOOKUP($M$5,'Sectors Trend'!$B$28:$AO$45,VLOOKUP(A11,$U:$V,2,),)</f>
        <v>1</v>
      </c>
      <c r="N11" s="39">
        <f>VLOOKUP($N$5,'Sectors Trend'!$B$28:$AO$45,VLOOKUP(A11,$U:$V,2,),)</f>
        <v>9</v>
      </c>
      <c r="O11" s="39">
        <f>VLOOKUP($O$5,'Sectors Trend'!$B$28:$AO$45,VLOOKUP(A11,$U:$V,2,),)</f>
        <v>4</v>
      </c>
      <c r="P11" s="39">
        <f>VLOOKUP($P$5,'Sectors Trend'!$B$28:$AO$45,VLOOKUP(A11,$U:$V,2,),)</f>
        <v>7</v>
      </c>
      <c r="Q11" s="39">
        <f>VLOOKUP($Q$5,'Sectors Trend'!$B$28:$AO$45,VLOOKUP(A11,$U:$V,2,),)</f>
        <v>5</v>
      </c>
      <c r="R11" s="39">
        <f>VLOOKUP($R$5,'Sectors Trend'!$B$28:$AO$45,VLOOKUP(A11,$U:$V,2,),)</f>
        <v>0</v>
      </c>
      <c r="S11" s="40">
        <f>VLOOKUP($S$5,'Sectors Trend'!$B$28:$AO$45,VLOOKUP(A11,$U:$V,2,),)</f>
        <v>0</v>
      </c>
      <c r="U11" s="7">
        <f>L1</f>
        <v>44866</v>
      </c>
      <c r="V11" s="1">
        <f>L2+1</f>
        <v>36</v>
      </c>
      <c r="Y11" s="63">
        <f t="shared" si="2"/>
        <v>0</v>
      </c>
      <c r="Z11" s="63">
        <f t="shared" si="3"/>
        <v>13</v>
      </c>
    </row>
    <row r="12" spans="1:26" x14ac:dyDescent="0.35">
      <c r="R12" s="7"/>
    </row>
    <row r="13" spans="1:26" x14ac:dyDescent="0.35">
      <c r="R13" s="7"/>
    </row>
    <row r="14" spans="1:26" x14ac:dyDescent="0.35">
      <c r="R14" s="7"/>
    </row>
    <row r="15" spans="1:26" x14ac:dyDescent="0.35">
      <c r="R15" s="7"/>
    </row>
    <row r="16" spans="1:26" x14ac:dyDescent="0.35">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10" zoomScaleNormal="110" workbookViewId="0">
      <selection activeCell="AC25" sqref="AC25"/>
    </sheetView>
  </sheetViews>
  <sheetFormatPr defaultColWidth="9.1796875" defaultRowHeight="14.5" x14ac:dyDescent="0.35"/>
  <cols>
    <col min="1" max="1" width="9.6328125" style="63" customWidth="1"/>
    <col min="2" max="20" width="8.81640625" style="63" customWidth="1"/>
    <col min="21" max="42" width="9.1796875" style="63" customWidth="1"/>
    <col min="43" max="16384" width="9.1796875" style="63"/>
  </cols>
  <sheetData>
    <row r="1" spans="1:26" x14ac:dyDescent="0.35">
      <c r="J1" s="63" t="s">
        <v>68</v>
      </c>
      <c r="L1" s="7">
        <f>Sectors!L1</f>
        <v>44866</v>
      </c>
      <c r="O1" s="6"/>
    </row>
    <row r="2" spans="1:26" x14ac:dyDescent="0.35">
      <c r="L2" s="63">
        <f>Sectors!L2</f>
        <v>35</v>
      </c>
      <c r="Y2" s="7"/>
    </row>
    <row r="4" spans="1:26" x14ac:dyDescent="0.35">
      <c r="U4" s="7">
        <f t="shared" ref="U4:U10" si="0">DATE(YEAR(U5),MONTH(U5)-1,DAY(U5))</f>
        <v>44652</v>
      </c>
      <c r="V4" s="1">
        <f t="shared" ref="V4:V10" si="1">V5-1</f>
        <v>29</v>
      </c>
    </row>
    <row r="5" spans="1:26" ht="67.5" customHeight="1" thickBot="1" x14ac:dyDescent="0.4">
      <c r="A5" s="8"/>
      <c r="B5" s="42" t="s">
        <v>41</v>
      </c>
      <c r="C5" s="42" t="s">
        <v>28</v>
      </c>
      <c r="D5" s="42" t="s">
        <v>47</v>
      </c>
      <c r="E5" s="42" t="s">
        <v>23</v>
      </c>
      <c r="F5" s="42" t="s">
        <v>43</v>
      </c>
      <c r="G5" s="42" t="s">
        <v>14</v>
      </c>
      <c r="H5" s="42" t="s">
        <v>42</v>
      </c>
      <c r="I5" s="42" t="s">
        <v>40</v>
      </c>
      <c r="J5" s="42" t="s">
        <v>37</v>
      </c>
      <c r="K5" s="42" t="s">
        <v>17</v>
      </c>
      <c r="L5" s="42" t="s">
        <v>31</v>
      </c>
      <c r="M5" s="42" t="s">
        <v>26</v>
      </c>
      <c r="N5" s="42" t="s">
        <v>39</v>
      </c>
      <c r="O5" s="42" t="s">
        <v>44</v>
      </c>
      <c r="P5" s="42" t="s">
        <v>45</v>
      </c>
      <c r="Q5" s="42" t="s">
        <v>35</v>
      </c>
      <c r="R5" s="42" t="s">
        <v>33</v>
      </c>
      <c r="S5" s="42" t="s">
        <v>20</v>
      </c>
      <c r="U5" s="7">
        <f t="shared" si="0"/>
        <v>44682</v>
      </c>
      <c r="V5" s="1">
        <f t="shared" si="1"/>
        <v>30</v>
      </c>
      <c r="Y5" s="63" t="s">
        <v>69</v>
      </c>
      <c r="Z5" s="63" t="s">
        <v>70</v>
      </c>
    </row>
    <row r="6" spans="1:26" x14ac:dyDescent="0.35">
      <c r="A6" s="8">
        <f>DATE(YEAR(A7),MONTH(A7)-1,DAY(A7))</f>
        <v>44713</v>
      </c>
      <c r="B6" s="36">
        <f>VLOOKUP($B$5,'Sectors Trend'!$B$50:$AO$67,VLOOKUP(A6,$U:$V,2,),)</f>
        <v>0</v>
      </c>
      <c r="C6" s="36">
        <f>VLOOKUP($C$5,'Sectors Trend'!$B$50:$AO$67,VLOOKUP(A6,$U:$V,2,),)</f>
        <v>6</v>
      </c>
      <c r="D6" s="36">
        <f>VLOOKUP($D$5,'Sectors Trend'!$B$50:$AO$67,VLOOKUP(A6,$U:$V,2,),)</f>
        <v>9</v>
      </c>
      <c r="E6" s="36">
        <f>VLOOKUP($E$5,'Sectors Trend'!$B$50:$AO$67,VLOOKUP(A6,$U:$V,2,),)</f>
        <v>10</v>
      </c>
      <c r="F6" s="36">
        <f>VLOOKUP($F$5,'Sectors Trend'!$B$50:$AO$67,VLOOKUP(A6,$U:$V,2,),)</f>
        <v>5</v>
      </c>
      <c r="G6" s="36">
        <f>VLOOKUP($G$5,'Sectors Trend'!$B$50:$AO$67,VLOOKUP(A6,$U:$V,2,),)</f>
        <v>13</v>
      </c>
      <c r="H6" s="36">
        <f>VLOOKUP($H$5,'Sectors Trend'!$B$50:$AO$67,VLOOKUP(A6,$U:$V,2,),)</f>
        <v>3</v>
      </c>
      <c r="I6" s="36">
        <f>VLOOKUP($I$5,'Sectors Trend'!$B$50:$AO$67,VLOOKUP(A6,$U:$V,2,),)</f>
        <v>7</v>
      </c>
      <c r="J6" s="36">
        <f>VLOOKUP($J$5,'Sectors Trend'!$B$50:$AO$67,VLOOKUP(A6,$U:$V,2,),)</f>
        <v>8</v>
      </c>
      <c r="K6" s="36">
        <f>VLOOKUP($K$5,'Sectors Trend'!$B$50:$AO$67,VLOOKUP(A6,$U:$V,2,),)</f>
        <v>12</v>
      </c>
      <c r="L6" s="36">
        <f>VLOOKUP($L$5,'Sectors Trend'!$B$50:$AO$67,VLOOKUP(A6,$U:$V,2,),)</f>
        <v>-2</v>
      </c>
      <c r="M6" s="36">
        <f>VLOOKUP($M$5,'Sectors Trend'!$B$50:$AO$67,VLOOKUP(A6,$U:$V,2,),)</f>
        <v>4</v>
      </c>
      <c r="N6" s="36">
        <f>VLOOKUP($N$5,'Sectors Trend'!$B$50:$AO$67,VLOOKUP(A6,$U:$V,2,),)</f>
        <v>1</v>
      </c>
      <c r="O6" s="36">
        <f>VLOOKUP($O$5,'Sectors Trend'!$B$50:$AO$67,VLOOKUP(A6,$U:$V,2,),)</f>
        <v>2</v>
      </c>
      <c r="P6" s="36">
        <f>VLOOKUP($P$5,'Sectors Trend'!$B$50:$AO$67,VLOOKUP(A6,$U:$V,2,),)</f>
        <v>0</v>
      </c>
      <c r="Q6" s="36">
        <f>VLOOKUP($Q$5,'Sectors Trend'!$B$50:$AO$67,VLOOKUP(A6,$U:$V,2,),)</f>
        <v>0</v>
      </c>
      <c r="R6" s="36">
        <f>VLOOKUP($R$5,'Sectors Trend'!$B$50:$AO$67,VLOOKUP(A6,$U:$V,2,),)</f>
        <v>-1</v>
      </c>
      <c r="S6" s="37">
        <f>VLOOKUP($S$5,'Sectors Trend'!$B$50:$AO$67,VLOOKUP(A6,$U:$V,2,),)</f>
        <v>11</v>
      </c>
      <c r="U6" s="7">
        <f t="shared" si="0"/>
        <v>44713</v>
      </c>
      <c r="V6" s="1">
        <f t="shared" si="1"/>
        <v>31</v>
      </c>
      <c r="Y6" s="63">
        <f t="shared" ref="Y6:Y11" si="2">MIN(B6:S6)</f>
        <v>-2</v>
      </c>
      <c r="Z6" s="63">
        <f t="shared" ref="Z6:Z11" si="3">MAX(B6:S6)</f>
        <v>13</v>
      </c>
    </row>
    <row r="7" spans="1:26" x14ac:dyDescent="0.35">
      <c r="A7" s="8">
        <f>DATE(YEAR(A8),MONTH(A8)-1,DAY(A8))</f>
        <v>44743</v>
      </c>
      <c r="B7" s="5">
        <f>VLOOKUP($B$5,'Sectors Trend'!$B$50:$AO$67,VLOOKUP(A7,$U:$V,2,),)</f>
        <v>-3</v>
      </c>
      <c r="C7" s="5">
        <f>VLOOKUP($C$5,'Sectors Trend'!$B$50:$AO$67,VLOOKUP(A7,$U:$V,2,),)</f>
        <v>5</v>
      </c>
      <c r="D7" s="5">
        <f>VLOOKUP($D$5,'Sectors Trend'!$B$50:$AO$67,VLOOKUP(A7,$U:$V,2,),)</f>
        <v>0</v>
      </c>
      <c r="E7" s="5">
        <f>VLOOKUP($E$5,'Sectors Trend'!$B$50:$AO$67,VLOOKUP(A7,$U:$V,2,),)</f>
        <v>6</v>
      </c>
      <c r="F7" s="5">
        <f>VLOOKUP($F$5,'Sectors Trend'!$B$50:$AO$67,VLOOKUP(A7,$U:$V,2,),)</f>
        <v>1</v>
      </c>
      <c r="G7" s="5">
        <f>VLOOKUP($G$5,'Sectors Trend'!$B$50:$AO$67,VLOOKUP(A7,$U:$V,2,),)</f>
        <v>-4</v>
      </c>
      <c r="H7" s="5">
        <f>VLOOKUP($H$5,'Sectors Trend'!$B$50:$AO$67,VLOOKUP(A7,$U:$V,2,),)</f>
        <v>0</v>
      </c>
      <c r="I7" s="5">
        <f>VLOOKUP($I$5,'Sectors Trend'!$B$50:$AO$67,VLOOKUP(A7,$U:$V,2,),)</f>
        <v>11</v>
      </c>
      <c r="J7" s="5">
        <f>VLOOKUP($J$5,'Sectors Trend'!$B$50:$AO$67,VLOOKUP(A7,$U:$V,2,),)</f>
        <v>7</v>
      </c>
      <c r="K7" s="5">
        <f>VLOOKUP($K$5,'Sectors Trend'!$B$50:$AO$67,VLOOKUP(A7,$U:$V,2,),)</f>
        <v>10</v>
      </c>
      <c r="L7" s="5">
        <f>VLOOKUP($L$5,'Sectors Trend'!$B$50:$AO$67,VLOOKUP(A7,$U:$V,2,),)</f>
        <v>3</v>
      </c>
      <c r="M7" s="5">
        <f>VLOOKUP($M$5,'Sectors Trend'!$B$50:$AO$67,VLOOKUP(A7,$U:$V,2,),)</f>
        <v>-1</v>
      </c>
      <c r="N7" s="5">
        <f>VLOOKUP($N$5,'Sectors Trend'!$B$50:$AO$67,VLOOKUP(A7,$U:$V,2,),)</f>
        <v>8</v>
      </c>
      <c r="O7" s="5">
        <f>VLOOKUP($O$5,'Sectors Trend'!$B$50:$AO$67,VLOOKUP(A7,$U:$V,2,),)</f>
        <v>2</v>
      </c>
      <c r="P7" s="5">
        <f>VLOOKUP($P$5,'Sectors Trend'!$B$50:$AO$67,VLOOKUP(A7,$U:$V,2,),)</f>
        <v>-5</v>
      </c>
      <c r="Q7" s="5">
        <f>VLOOKUP($Q$5,'Sectors Trend'!$B$50:$AO$67,VLOOKUP(A7,$U:$V,2,),)</f>
        <v>-2</v>
      </c>
      <c r="R7" s="5">
        <f>VLOOKUP($R$5,'Sectors Trend'!$B$50:$AO$67,VLOOKUP(A7,$U:$V,2,),)</f>
        <v>9</v>
      </c>
      <c r="S7" s="38">
        <f>VLOOKUP($S$5,'Sectors Trend'!$B$50:$AO$67,VLOOKUP(A7,$U:$V,2,),)</f>
        <v>4</v>
      </c>
      <c r="U7" s="7">
        <f t="shared" si="0"/>
        <v>44743</v>
      </c>
      <c r="V7" s="1">
        <f t="shared" si="1"/>
        <v>32</v>
      </c>
      <c r="Y7" s="63">
        <f t="shared" si="2"/>
        <v>-5</v>
      </c>
      <c r="Z7" s="63">
        <f t="shared" si="3"/>
        <v>11</v>
      </c>
    </row>
    <row r="8" spans="1:26" x14ac:dyDescent="0.35">
      <c r="A8" s="8">
        <f>DATE(YEAR(A9),MONTH(A9)-1,DAY(A9))</f>
        <v>44774</v>
      </c>
      <c r="B8" s="5">
        <f>VLOOKUP($B$5,'Sectors Trend'!$B$50:$AO$67,VLOOKUP(A8,$U:$V,2,),)</f>
        <v>5</v>
      </c>
      <c r="C8" s="5">
        <f>VLOOKUP($C$5,'Sectors Trend'!$B$50:$AO$67,VLOOKUP(A8,$U:$V,2,),)</f>
        <v>9</v>
      </c>
      <c r="D8" s="5">
        <f>VLOOKUP($D$5,'Sectors Trend'!$B$50:$AO$67,VLOOKUP(A8,$U:$V,2,),)</f>
        <v>0</v>
      </c>
      <c r="E8" s="5">
        <f>VLOOKUP($E$5,'Sectors Trend'!$B$50:$AO$67,VLOOKUP(A8,$U:$V,2,),)</f>
        <v>0</v>
      </c>
      <c r="F8" s="5">
        <f>VLOOKUP($F$5,'Sectors Trend'!$B$50:$AO$67,VLOOKUP(A8,$U:$V,2,),)</f>
        <v>4</v>
      </c>
      <c r="G8" s="5">
        <f>VLOOKUP($G$5,'Sectors Trend'!$B$50:$AO$67,VLOOKUP(A8,$U:$V,2,),)</f>
        <v>0</v>
      </c>
      <c r="H8" s="5">
        <f>VLOOKUP($H$5,'Sectors Trend'!$B$50:$AO$67,VLOOKUP(A8,$U:$V,2,),)</f>
        <v>2</v>
      </c>
      <c r="I8" s="5">
        <f>VLOOKUP($I$5,'Sectors Trend'!$B$50:$AO$67,VLOOKUP(A8,$U:$V,2,),)</f>
        <v>8</v>
      </c>
      <c r="J8" s="5">
        <f>VLOOKUP($J$5,'Sectors Trend'!$B$50:$AO$67,VLOOKUP(A8,$U:$V,2,),)</f>
        <v>0</v>
      </c>
      <c r="K8" s="5">
        <f>VLOOKUP($K$5,'Sectors Trend'!$B$50:$AO$67,VLOOKUP(A8,$U:$V,2,),)</f>
        <v>11</v>
      </c>
      <c r="L8" s="5">
        <f>VLOOKUP($L$5,'Sectors Trend'!$B$50:$AO$67,VLOOKUP(A8,$U:$V,2,),)</f>
        <v>0</v>
      </c>
      <c r="M8" s="5">
        <f>VLOOKUP($M$5,'Sectors Trend'!$B$50:$AO$67,VLOOKUP(A8,$U:$V,2,),)</f>
        <v>6</v>
      </c>
      <c r="N8" s="5">
        <f>VLOOKUP($N$5,'Sectors Trend'!$B$50:$AO$67,VLOOKUP(A8,$U:$V,2,),)</f>
        <v>7</v>
      </c>
      <c r="O8" s="5">
        <f>VLOOKUP($O$5,'Sectors Trend'!$B$50:$AO$67,VLOOKUP(A8,$U:$V,2,),)</f>
        <v>1</v>
      </c>
      <c r="P8" s="5">
        <f>VLOOKUP($P$5,'Sectors Trend'!$B$50:$AO$67,VLOOKUP(A8,$U:$V,2,),)</f>
        <v>-1</v>
      </c>
      <c r="Q8" s="5">
        <f>VLOOKUP($Q$5,'Sectors Trend'!$B$50:$AO$67,VLOOKUP(A8,$U:$V,2,),)</f>
        <v>10</v>
      </c>
      <c r="R8" s="5">
        <f>VLOOKUP($R$5,'Sectors Trend'!$B$50:$AO$67,VLOOKUP(A8,$U:$V,2,),)</f>
        <v>12</v>
      </c>
      <c r="S8" s="38">
        <f>VLOOKUP($S$5,'Sectors Trend'!$B$50:$AO$67,VLOOKUP(A8,$U:$V,2,),)</f>
        <v>3</v>
      </c>
      <c r="U8" s="7">
        <f t="shared" si="0"/>
        <v>44774</v>
      </c>
      <c r="V8" s="1">
        <f t="shared" si="1"/>
        <v>33</v>
      </c>
      <c r="Y8" s="63">
        <f t="shared" si="2"/>
        <v>-1</v>
      </c>
      <c r="Z8" s="63">
        <f t="shared" si="3"/>
        <v>12</v>
      </c>
    </row>
    <row r="9" spans="1:26" x14ac:dyDescent="0.35">
      <c r="A9" s="8">
        <f>DATE(YEAR(A10),MONTH(A10)-1,DAY(A10))</f>
        <v>44805</v>
      </c>
      <c r="B9" s="5">
        <f>VLOOKUP($B$5,'Sectors Trend'!$B$50:$AO$67,VLOOKUP(A9,$U:$V,2,),)</f>
        <v>11</v>
      </c>
      <c r="C9" s="5">
        <f>VLOOKUP($C$5,'Sectors Trend'!$B$50:$AO$67,VLOOKUP(A9,$U:$V,2,),)</f>
        <v>1</v>
      </c>
      <c r="D9" s="5">
        <f>VLOOKUP($D$5,'Sectors Trend'!$B$50:$AO$67,VLOOKUP(A9,$U:$V,2,),)</f>
        <v>-2</v>
      </c>
      <c r="E9" s="5">
        <f>VLOOKUP($E$5,'Sectors Trend'!$B$50:$AO$67,VLOOKUP(A9,$U:$V,2,),)</f>
        <v>12</v>
      </c>
      <c r="F9" s="5">
        <f>VLOOKUP($F$5,'Sectors Trend'!$B$50:$AO$67,VLOOKUP(A9,$U:$V,2,),)</f>
        <v>5</v>
      </c>
      <c r="G9" s="5">
        <f>VLOOKUP($G$5,'Sectors Trend'!$B$50:$AO$67,VLOOKUP(A9,$U:$V,2,),)</f>
        <v>0</v>
      </c>
      <c r="H9" s="5">
        <f>VLOOKUP($H$5,'Sectors Trend'!$B$50:$AO$67,VLOOKUP(A9,$U:$V,2,),)</f>
        <v>2</v>
      </c>
      <c r="I9" s="5">
        <f>VLOOKUP($I$5,'Sectors Trend'!$B$50:$AO$67,VLOOKUP(A9,$U:$V,2,),)</f>
        <v>9</v>
      </c>
      <c r="J9" s="5">
        <f>VLOOKUP($J$5,'Sectors Trend'!$B$50:$AO$67,VLOOKUP(A9,$U:$V,2,),)</f>
        <v>-1</v>
      </c>
      <c r="K9" s="5">
        <f>VLOOKUP($K$5,'Sectors Trend'!$B$50:$AO$67,VLOOKUP(A9,$U:$V,2,),)</f>
        <v>13</v>
      </c>
      <c r="L9" s="5">
        <f>VLOOKUP($L$5,'Sectors Trend'!$B$50:$AO$67,VLOOKUP(A9,$U:$V,2,),)</f>
        <v>0</v>
      </c>
      <c r="M9" s="5">
        <f>VLOOKUP($M$5,'Sectors Trend'!$B$50:$AO$67,VLOOKUP(A9,$U:$V,2,),)</f>
        <v>6</v>
      </c>
      <c r="N9" s="5">
        <f>VLOOKUP($N$5,'Sectors Trend'!$B$50:$AO$67,VLOOKUP(A9,$U:$V,2,),)</f>
        <v>7</v>
      </c>
      <c r="O9" s="5">
        <f>VLOOKUP($O$5,'Sectors Trend'!$B$50:$AO$67,VLOOKUP(A9,$U:$V,2,),)</f>
        <v>3</v>
      </c>
      <c r="P9" s="5">
        <f>VLOOKUP($P$5,'Sectors Trend'!$B$50:$AO$67,VLOOKUP(A9,$U:$V,2,),)</f>
        <v>4</v>
      </c>
      <c r="Q9" s="5">
        <f>VLOOKUP($Q$5,'Sectors Trend'!$B$50:$AO$67,VLOOKUP(A9,$U:$V,2,),)</f>
        <v>8</v>
      </c>
      <c r="R9" s="5">
        <f>VLOOKUP($R$5,'Sectors Trend'!$B$50:$AO$67,VLOOKUP(A9,$U:$V,2,),)</f>
        <v>10</v>
      </c>
      <c r="S9" s="38">
        <f>VLOOKUP($S$5,'Sectors Trend'!$B$50:$AO$67,VLOOKUP(A9,$U:$V,2,),)</f>
        <v>0</v>
      </c>
      <c r="U9" s="7">
        <f t="shared" si="0"/>
        <v>44805</v>
      </c>
      <c r="V9" s="1">
        <f t="shared" si="1"/>
        <v>34</v>
      </c>
      <c r="Y9" s="63">
        <f t="shared" si="2"/>
        <v>-2</v>
      </c>
      <c r="Z9" s="63">
        <f t="shared" si="3"/>
        <v>13</v>
      </c>
    </row>
    <row r="10" spans="1:26" x14ac:dyDescent="0.35">
      <c r="A10" s="8">
        <f>DATE(YEAR(A11),MONTH(A11)-1,DAY(A11))</f>
        <v>44835</v>
      </c>
      <c r="B10" s="5">
        <f>VLOOKUP($B$5,'Sectors Trend'!$B$50:$AO$67,VLOOKUP(A10,$U:$V,2,),)</f>
        <v>8</v>
      </c>
      <c r="C10" s="5">
        <f>VLOOKUP($C$5,'Sectors Trend'!$B$50:$AO$67,VLOOKUP(A10,$U:$V,2,),)</f>
        <v>3</v>
      </c>
      <c r="D10" s="5">
        <f>VLOOKUP($D$5,'Sectors Trend'!$B$50:$AO$67,VLOOKUP(A10,$U:$V,2,),)</f>
        <v>0</v>
      </c>
      <c r="E10" s="5">
        <f>VLOOKUP($E$5,'Sectors Trend'!$B$50:$AO$67,VLOOKUP(A10,$U:$V,2,),)</f>
        <v>11</v>
      </c>
      <c r="F10" s="5">
        <f>VLOOKUP($F$5,'Sectors Trend'!$B$50:$AO$67,VLOOKUP(A10,$U:$V,2,),)</f>
        <v>1</v>
      </c>
      <c r="G10" s="5">
        <f>VLOOKUP($G$5,'Sectors Trend'!$B$50:$AO$67,VLOOKUP(A10,$U:$V,2,),)</f>
        <v>7</v>
      </c>
      <c r="H10" s="5">
        <f>VLOOKUP($H$5,'Sectors Trend'!$B$50:$AO$67,VLOOKUP(A10,$U:$V,2,),)</f>
        <v>4</v>
      </c>
      <c r="I10" s="5">
        <f>VLOOKUP($I$5,'Sectors Trend'!$B$50:$AO$67,VLOOKUP(A10,$U:$V,2,),)</f>
        <v>-2</v>
      </c>
      <c r="J10" s="5">
        <f>VLOOKUP($J$5,'Sectors Trend'!$B$50:$AO$67,VLOOKUP(A10,$U:$V,2,),)</f>
        <v>10</v>
      </c>
      <c r="K10" s="5">
        <f>VLOOKUP($K$5,'Sectors Trend'!$B$50:$AO$67,VLOOKUP(A10,$U:$V,2,),)</f>
        <v>13</v>
      </c>
      <c r="L10" s="5">
        <f>VLOOKUP($L$5,'Sectors Trend'!$B$50:$AO$67,VLOOKUP(A10,$U:$V,2,),)</f>
        <v>5</v>
      </c>
      <c r="M10" s="5">
        <f>VLOOKUP($M$5,'Sectors Trend'!$B$50:$AO$67,VLOOKUP(A10,$U:$V,2,),)</f>
        <v>-1</v>
      </c>
      <c r="N10" s="5">
        <f>VLOOKUP($N$5,'Sectors Trend'!$B$50:$AO$67,VLOOKUP(A10,$U:$V,2,),)</f>
        <v>0</v>
      </c>
      <c r="O10" s="5">
        <f>VLOOKUP($O$5,'Sectors Trend'!$B$50:$AO$67,VLOOKUP(A10,$U:$V,2,),)</f>
        <v>6</v>
      </c>
      <c r="P10" s="5">
        <f>VLOOKUP($P$5,'Sectors Trend'!$B$50:$AO$67,VLOOKUP(A10,$U:$V,2,),)</f>
        <v>9</v>
      </c>
      <c r="Q10" s="5">
        <f>VLOOKUP($Q$5,'Sectors Trend'!$B$50:$AO$67,VLOOKUP(A10,$U:$V,2,),)</f>
        <v>12</v>
      </c>
      <c r="R10" s="5">
        <f>VLOOKUP($R$5,'Sectors Trend'!$B$50:$AO$67,VLOOKUP(A10,$U:$V,2,),)</f>
        <v>2</v>
      </c>
      <c r="S10" s="38">
        <f>VLOOKUP($S$5,'Sectors Trend'!$B$50:$AO$67,VLOOKUP(A10,$U:$V,2,),)</f>
        <v>0</v>
      </c>
      <c r="U10" s="7">
        <f t="shared" si="0"/>
        <v>44835</v>
      </c>
      <c r="V10" s="1">
        <f t="shared" si="1"/>
        <v>35</v>
      </c>
      <c r="Y10" s="63">
        <f t="shared" si="2"/>
        <v>-2</v>
      </c>
      <c r="Z10" s="63">
        <f t="shared" si="3"/>
        <v>13</v>
      </c>
    </row>
    <row r="11" spans="1:26" ht="16" customHeight="1" thickBot="1" x14ac:dyDescent="0.4">
      <c r="A11" s="8">
        <f>L1</f>
        <v>44866</v>
      </c>
      <c r="B11" s="39">
        <f>VLOOKUP($B$5,'Sectors Trend'!$B$50:$AO$67,VLOOKUP(A11,$U:$V,2,),)</f>
        <v>10</v>
      </c>
      <c r="C11" s="39">
        <f>VLOOKUP($C$5,'Sectors Trend'!$B$50:$AO$67,VLOOKUP(A11,$U:$V,2,),)</f>
        <v>1</v>
      </c>
      <c r="D11" s="39">
        <f>VLOOKUP($D$5,'Sectors Trend'!$B$50:$AO$67,VLOOKUP(A11,$U:$V,2,),)</f>
        <v>0</v>
      </c>
      <c r="E11" s="39">
        <f>VLOOKUP($E$5,'Sectors Trend'!$B$50:$AO$67,VLOOKUP(A11,$U:$V,2,),)</f>
        <v>11</v>
      </c>
      <c r="F11" s="39">
        <f>VLOOKUP($F$5,'Sectors Trend'!$B$50:$AO$67,VLOOKUP(A11,$U:$V,2,),)</f>
        <v>4</v>
      </c>
      <c r="G11" s="39">
        <f>VLOOKUP($G$5,'Sectors Trend'!$B$50:$AO$67,VLOOKUP(A11,$U:$V,2,),)</f>
        <v>9</v>
      </c>
      <c r="H11" s="39">
        <f>VLOOKUP($H$5,'Sectors Trend'!$B$50:$AO$67,VLOOKUP(A11,$U:$V,2,),)</f>
        <v>0</v>
      </c>
      <c r="I11" s="39">
        <f>VLOOKUP($I$5,'Sectors Trend'!$B$50:$AO$67,VLOOKUP(A11,$U:$V,2,),)</f>
        <v>12</v>
      </c>
      <c r="J11" s="39">
        <f>VLOOKUP($J$5,'Sectors Trend'!$B$50:$AO$67,VLOOKUP(A11,$U:$V,2,),)</f>
        <v>5</v>
      </c>
      <c r="K11" s="39">
        <f>VLOOKUP($K$5,'Sectors Trend'!$B$50:$AO$67,VLOOKUP(A11,$U:$V,2,),)</f>
        <v>7</v>
      </c>
      <c r="L11" s="39">
        <f>VLOOKUP($L$5,'Sectors Trend'!$B$50:$AO$67,VLOOKUP(A11,$U:$V,2,),)</f>
        <v>3</v>
      </c>
      <c r="M11" s="39">
        <f>VLOOKUP($M$5,'Sectors Trend'!$B$50:$AO$67,VLOOKUP(A11,$U:$V,2,),)</f>
        <v>-3</v>
      </c>
      <c r="N11" s="39">
        <f>VLOOKUP($N$5,'Sectors Trend'!$B$50:$AO$67,VLOOKUP(A11,$U:$V,2,),)</f>
        <v>6</v>
      </c>
      <c r="O11" s="39">
        <f>VLOOKUP($O$5,'Sectors Trend'!$B$50:$AO$67,VLOOKUP(A11,$U:$V,2,),)</f>
        <v>2</v>
      </c>
      <c r="P11" s="39">
        <f>VLOOKUP($P$5,'Sectors Trend'!$B$50:$AO$67,VLOOKUP(A11,$U:$V,2,),)</f>
        <v>8</v>
      </c>
      <c r="Q11" s="39">
        <f>VLOOKUP($Q$5,'Sectors Trend'!$B$50:$AO$67,VLOOKUP(A11,$U:$V,2,),)</f>
        <v>-2</v>
      </c>
      <c r="R11" s="39">
        <f>VLOOKUP($R$5,'Sectors Trend'!$B$50:$AO$67,VLOOKUP(A11,$U:$V,2,),)</f>
        <v>-1</v>
      </c>
      <c r="S11" s="40">
        <f>VLOOKUP($S$5,'Sectors Trend'!$B$50:$AO$67,VLOOKUP(A11,$U:$V,2,),)</f>
        <v>-4</v>
      </c>
      <c r="U11" s="7">
        <f>L1</f>
        <v>44866</v>
      </c>
      <c r="V11" s="1">
        <f>L2+1</f>
        <v>36</v>
      </c>
      <c r="Y11" s="63">
        <f t="shared" si="2"/>
        <v>-4</v>
      </c>
      <c r="Z11" s="63">
        <f t="shared" si="3"/>
        <v>12</v>
      </c>
    </row>
    <row r="12" spans="1:26" x14ac:dyDescent="0.35">
      <c r="R12" s="7"/>
    </row>
    <row r="13" spans="1:26" x14ac:dyDescent="0.35">
      <c r="R13" s="7"/>
    </row>
    <row r="14" spans="1:26" x14ac:dyDescent="0.35">
      <c r="R14" s="7"/>
    </row>
    <row r="15" spans="1:26" x14ac:dyDescent="0.35">
      <c r="R15" s="7"/>
    </row>
    <row r="16" spans="1:26" x14ac:dyDescent="0.35">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T68"/>
  <sheetViews>
    <sheetView zoomScale="120" zoomScaleNormal="120" workbookViewId="0">
      <pane xSplit="2" ySplit="5" topLeftCell="Z35" activePane="bottomRight" state="frozen"/>
      <selection activeCell="C362" sqref="C362"/>
      <selection pane="topRight" activeCell="C362" sqref="C362"/>
      <selection pane="bottomLeft" activeCell="C362" sqref="C362"/>
      <selection pane="bottomRight" activeCell="AT62" sqref="AT62"/>
    </sheetView>
  </sheetViews>
  <sheetFormatPr defaultColWidth="8.81640625" defaultRowHeight="14.5" x14ac:dyDescent="0.35"/>
  <cols>
    <col min="1" max="1" width="9.1796875" style="63" customWidth="1"/>
    <col min="2" max="2" width="30.453125" style="63" customWidth="1"/>
    <col min="3" max="37" width="10.453125" style="27" customWidth="1"/>
    <col min="38" max="41" width="10.1796875" style="63" customWidth="1"/>
    <col min="42" max="43" width="9.1796875" style="63" customWidth="1"/>
    <col min="44" max="44" width="10.6328125" style="63" bestFit="1" customWidth="1"/>
    <col min="45" max="244" width="9.1796875" style="63" customWidth="1"/>
    <col min="245" max="245" width="28.6328125" style="63" customWidth="1"/>
    <col min="246" max="246" width="9" style="63" bestFit="1" customWidth="1"/>
    <col min="247" max="247" width="5.36328125" style="63" customWidth="1"/>
    <col min="248" max="248" width="9" style="63" bestFit="1" customWidth="1"/>
    <col min="249" max="249" width="5.36328125" style="63" customWidth="1"/>
    <col min="250" max="250" width="9" style="63" bestFit="1" customWidth="1"/>
    <col min="251" max="251" width="5" style="63" customWidth="1"/>
    <col min="252" max="252" width="9" style="63" bestFit="1" customWidth="1"/>
    <col min="253" max="253" width="5.1796875" style="63" customWidth="1"/>
    <col min="254" max="254" width="9.1796875" style="63" customWidth="1"/>
    <col min="255" max="255" width="6" style="63" customWidth="1"/>
    <col min="256" max="256" width="9.1796875" style="63" customWidth="1"/>
    <col min="257" max="257" width="6" style="63" customWidth="1"/>
    <col min="258" max="259" width="10.1796875" style="63" customWidth="1"/>
    <col min="260" max="260" width="10" style="63" customWidth="1"/>
    <col min="261" max="261" width="10.36328125" style="63" customWidth="1"/>
    <col min="262" max="272" width="9.1796875" style="63" customWidth="1"/>
    <col min="273" max="273" width="11.36328125" style="63" customWidth="1"/>
    <col min="274" max="294" width="13" style="63" hidden="1" customWidth="1"/>
    <col min="295" max="500" width="9.1796875" style="63" customWidth="1"/>
    <col min="501" max="501" width="28.6328125" style="63" customWidth="1"/>
    <col min="502" max="502" width="9" style="63" bestFit="1" customWidth="1"/>
    <col min="503" max="503" width="5.36328125" style="63" customWidth="1"/>
    <col min="504" max="504" width="9" style="63" bestFit="1" customWidth="1"/>
    <col min="505" max="505" width="5.36328125" style="63" customWidth="1"/>
    <col min="506" max="506" width="9" style="63" bestFit="1" customWidth="1"/>
    <col min="507" max="507" width="5" style="63" customWidth="1"/>
    <col min="508" max="508" width="9" style="63" bestFit="1" customWidth="1"/>
    <col min="509" max="509" width="5.1796875" style="63" customWidth="1"/>
    <col min="510" max="510" width="9.1796875" style="63" customWidth="1"/>
    <col min="511" max="511" width="6" style="63" customWidth="1"/>
    <col min="512" max="512" width="9.1796875" style="63" customWidth="1"/>
    <col min="513" max="513" width="6" style="63" customWidth="1"/>
    <col min="514" max="515" width="10.1796875" style="63" customWidth="1"/>
    <col min="516" max="516" width="10" style="63" customWidth="1"/>
    <col min="517" max="517" width="10.36328125" style="63" customWidth="1"/>
    <col min="518" max="528" width="9.1796875" style="63" customWidth="1"/>
    <col min="529" max="529" width="11.36328125" style="63" customWidth="1"/>
    <col min="530" max="550" width="13" style="63" hidden="1" customWidth="1"/>
    <col min="551" max="756" width="9.1796875" style="63" customWidth="1"/>
    <col min="757" max="757" width="28.6328125" style="63" customWidth="1"/>
    <col min="758" max="758" width="9" style="63" bestFit="1" customWidth="1"/>
    <col min="759" max="759" width="5.36328125" style="63" customWidth="1"/>
    <col min="760" max="760" width="9" style="63" bestFit="1" customWidth="1"/>
    <col min="761" max="761" width="5.36328125" style="63" customWidth="1"/>
    <col min="762" max="762" width="9" style="63" bestFit="1" customWidth="1"/>
    <col min="763" max="763" width="5" style="63" customWidth="1"/>
    <col min="764" max="764" width="9" style="63" bestFit="1" customWidth="1"/>
    <col min="765" max="765" width="5.1796875" style="63" customWidth="1"/>
    <col min="766" max="766" width="9.1796875" style="63" customWidth="1"/>
    <col min="767" max="767" width="6" style="63" customWidth="1"/>
    <col min="768" max="768" width="9.1796875" style="63" customWidth="1"/>
    <col min="769" max="769" width="6" style="63" customWidth="1"/>
    <col min="770" max="771" width="10.1796875" style="63" customWidth="1"/>
    <col min="772" max="772" width="10" style="63" customWidth="1"/>
    <col min="773" max="773" width="10.36328125" style="63" customWidth="1"/>
    <col min="774" max="784" width="9.1796875" style="63" customWidth="1"/>
    <col min="785" max="785" width="11.36328125" style="63" customWidth="1"/>
    <col min="786" max="806" width="13" style="63" hidden="1" customWidth="1"/>
    <col min="807" max="1012" width="9.1796875" style="63" customWidth="1"/>
    <col min="1013" max="1013" width="28.6328125" style="63" customWidth="1"/>
    <col min="1014" max="1014" width="9" style="63" bestFit="1" customWidth="1"/>
    <col min="1015" max="1015" width="5.36328125" style="63" customWidth="1"/>
    <col min="1016" max="1016" width="9" style="63" bestFit="1" customWidth="1"/>
    <col min="1017" max="1017" width="5.36328125" style="63" customWidth="1"/>
    <col min="1018" max="1018" width="9" style="63" bestFit="1" customWidth="1"/>
    <col min="1019" max="1019" width="5" style="63" customWidth="1"/>
    <col min="1020" max="1020" width="9" style="63" bestFit="1" customWidth="1"/>
    <col min="1021" max="1021" width="5.1796875" style="63" customWidth="1"/>
    <col min="1022" max="1022" width="9.1796875" style="63" customWidth="1"/>
    <col min="1023" max="1023" width="6" style="63" customWidth="1"/>
    <col min="1024" max="1024" width="9.1796875" style="63" customWidth="1"/>
    <col min="1025" max="1025" width="6" style="63" customWidth="1"/>
    <col min="1026" max="1027" width="10.1796875" style="63" customWidth="1"/>
    <col min="1028" max="1028" width="10" style="63" customWidth="1"/>
    <col min="1029" max="1029" width="10.36328125" style="63" customWidth="1"/>
    <col min="1030" max="1040" width="9.1796875" style="63" customWidth="1"/>
    <col min="1041" max="1041" width="11.36328125" style="63" customWidth="1"/>
    <col min="1042" max="1062" width="13" style="63" hidden="1" customWidth="1"/>
    <col min="1063" max="1268" width="9.1796875" style="63" customWidth="1"/>
    <col min="1269" max="1269" width="28.6328125" style="63" customWidth="1"/>
    <col min="1270" max="1270" width="9" style="63" bestFit="1" customWidth="1"/>
    <col min="1271" max="1271" width="5.36328125" style="63" customWidth="1"/>
    <col min="1272" max="1272" width="9" style="63" bestFit="1" customWidth="1"/>
    <col min="1273" max="1273" width="5.36328125" style="63" customWidth="1"/>
    <col min="1274" max="1274" width="9" style="63" bestFit="1" customWidth="1"/>
    <col min="1275" max="1275" width="5" style="63" customWidth="1"/>
    <col min="1276" max="1276" width="9" style="63" bestFit="1" customWidth="1"/>
    <col min="1277" max="1277" width="5.1796875" style="63" customWidth="1"/>
    <col min="1278" max="1278" width="9.1796875" style="63" customWidth="1"/>
    <col min="1279" max="1279" width="6" style="63" customWidth="1"/>
    <col min="1280" max="1280" width="9.1796875" style="63" customWidth="1"/>
    <col min="1281" max="1281" width="6" style="63" customWidth="1"/>
    <col min="1282" max="1283" width="10.1796875" style="63" customWidth="1"/>
    <col min="1284" max="1284" width="10" style="63" customWidth="1"/>
    <col min="1285" max="1285" width="10.36328125" style="63" customWidth="1"/>
    <col min="1286" max="1296" width="9.1796875" style="63" customWidth="1"/>
    <col min="1297" max="1297" width="11.36328125" style="63" customWidth="1"/>
    <col min="1298" max="1318" width="13" style="63" hidden="1" customWidth="1"/>
    <col min="1319" max="1524" width="9.1796875" style="63" customWidth="1"/>
    <col min="1525" max="1525" width="28.6328125" style="63" customWidth="1"/>
    <col min="1526" max="1526" width="9" style="63" bestFit="1" customWidth="1"/>
    <col min="1527" max="1527" width="5.36328125" style="63" customWidth="1"/>
    <col min="1528" max="1528" width="9" style="63" bestFit="1" customWidth="1"/>
    <col min="1529" max="1529" width="5.36328125" style="63" customWidth="1"/>
    <col min="1530" max="1530" width="9" style="63" bestFit="1" customWidth="1"/>
    <col min="1531" max="1531" width="5" style="63" customWidth="1"/>
    <col min="1532" max="1532" width="9" style="63" bestFit="1" customWidth="1"/>
    <col min="1533" max="1533" width="5.1796875" style="63" customWidth="1"/>
    <col min="1534" max="1534" width="9.1796875" style="63" customWidth="1"/>
    <col min="1535" max="1535" width="6" style="63" customWidth="1"/>
    <col min="1536" max="1536" width="9.1796875" style="63" customWidth="1"/>
    <col min="1537" max="1537" width="6" style="63" customWidth="1"/>
    <col min="1538" max="1539" width="10.1796875" style="63" customWidth="1"/>
    <col min="1540" max="1540" width="10" style="63" customWidth="1"/>
    <col min="1541" max="1541" width="10.36328125" style="63" customWidth="1"/>
    <col min="1542" max="1552" width="9.1796875" style="63" customWidth="1"/>
    <col min="1553" max="1553" width="11.36328125" style="63" customWidth="1"/>
    <col min="1554" max="1574" width="13" style="63" hidden="1" customWidth="1"/>
    <col min="1575" max="1780" width="9.1796875" style="63" customWidth="1"/>
    <col min="1781" max="1781" width="28.6328125" style="63" customWidth="1"/>
    <col min="1782" max="1782" width="9" style="63" bestFit="1" customWidth="1"/>
    <col min="1783" max="1783" width="5.36328125" style="63" customWidth="1"/>
    <col min="1784" max="1784" width="9" style="63" bestFit="1" customWidth="1"/>
    <col min="1785" max="1785" width="5.36328125" style="63" customWidth="1"/>
    <col min="1786" max="1786" width="9" style="63" bestFit="1" customWidth="1"/>
    <col min="1787" max="1787" width="5" style="63" customWidth="1"/>
    <col min="1788" max="1788" width="9" style="63" bestFit="1" customWidth="1"/>
    <col min="1789" max="1789" width="5.1796875" style="63" customWidth="1"/>
    <col min="1790" max="1790" width="9.1796875" style="63" customWidth="1"/>
    <col min="1791" max="1791" width="6" style="63" customWidth="1"/>
    <col min="1792" max="1792" width="9.1796875" style="63" customWidth="1"/>
    <col min="1793" max="1793" width="6" style="63" customWidth="1"/>
    <col min="1794" max="1795" width="10.1796875" style="63" customWidth="1"/>
    <col min="1796" max="1796" width="10" style="63" customWidth="1"/>
    <col min="1797" max="1797" width="10.36328125" style="63" customWidth="1"/>
    <col min="1798" max="1808" width="9.1796875" style="63" customWidth="1"/>
    <col min="1809" max="1809" width="11.36328125" style="63" customWidth="1"/>
    <col min="1810" max="1830" width="13" style="63" hidden="1" customWidth="1"/>
    <col min="1831" max="2036" width="9.1796875" style="63" customWidth="1"/>
    <col min="2037" max="2037" width="28.6328125" style="63" customWidth="1"/>
    <col min="2038" max="2038" width="9" style="63" bestFit="1" customWidth="1"/>
    <col min="2039" max="2039" width="5.36328125" style="63" customWidth="1"/>
    <col min="2040" max="2040" width="9" style="63" bestFit="1" customWidth="1"/>
    <col min="2041" max="2041" width="5.36328125" style="63" customWidth="1"/>
    <col min="2042" max="2042" width="9" style="63" bestFit="1" customWidth="1"/>
    <col min="2043" max="2043" width="5" style="63" customWidth="1"/>
    <col min="2044" max="2044" width="9" style="63" bestFit="1" customWidth="1"/>
    <col min="2045" max="2045" width="5.1796875" style="63" customWidth="1"/>
    <col min="2046" max="2046" width="9.1796875" style="63" customWidth="1"/>
    <col min="2047" max="2047" width="6" style="63" customWidth="1"/>
    <col min="2048" max="2048" width="9.1796875" style="63" customWidth="1"/>
    <col min="2049" max="2049" width="6" style="63" customWidth="1"/>
    <col min="2050" max="2051" width="10.1796875" style="63" customWidth="1"/>
    <col min="2052" max="2052" width="10" style="63" customWidth="1"/>
    <col min="2053" max="2053" width="10.36328125" style="63" customWidth="1"/>
    <col min="2054" max="2064" width="9.1796875" style="63" customWidth="1"/>
    <col min="2065" max="2065" width="11.36328125" style="63" customWidth="1"/>
    <col min="2066" max="2086" width="13" style="63" hidden="1" customWidth="1"/>
    <col min="2087" max="2292" width="9.1796875" style="63" customWidth="1"/>
    <col min="2293" max="2293" width="28.6328125" style="63" customWidth="1"/>
    <col min="2294" max="2294" width="9" style="63" bestFit="1" customWidth="1"/>
    <col min="2295" max="2295" width="5.36328125" style="63" customWidth="1"/>
    <col min="2296" max="2296" width="9" style="63" bestFit="1" customWidth="1"/>
    <col min="2297" max="2297" width="5.36328125" style="63" customWidth="1"/>
    <col min="2298" max="2298" width="9" style="63" bestFit="1" customWidth="1"/>
    <col min="2299" max="2299" width="5" style="63" customWidth="1"/>
    <col min="2300" max="2300" width="9" style="63" bestFit="1" customWidth="1"/>
    <col min="2301" max="2301" width="5.1796875" style="63" customWidth="1"/>
    <col min="2302" max="2302" width="9.1796875" style="63" customWidth="1"/>
    <col min="2303" max="2303" width="6" style="63" customWidth="1"/>
    <col min="2304" max="2304" width="9.1796875" style="63" customWidth="1"/>
    <col min="2305" max="2305" width="6" style="63" customWidth="1"/>
    <col min="2306" max="2307" width="10.1796875" style="63" customWidth="1"/>
    <col min="2308" max="2308" width="10" style="63" customWidth="1"/>
    <col min="2309" max="2309" width="10.36328125" style="63" customWidth="1"/>
    <col min="2310" max="2320" width="9.1796875" style="63" customWidth="1"/>
    <col min="2321" max="2321" width="11.36328125" style="63" customWidth="1"/>
    <col min="2322" max="2342" width="13" style="63" hidden="1" customWidth="1"/>
    <col min="2343" max="2548" width="9.1796875" style="63" customWidth="1"/>
    <col min="2549" max="2549" width="28.6328125" style="63" customWidth="1"/>
    <col min="2550" max="2550" width="9" style="63" bestFit="1" customWidth="1"/>
    <col min="2551" max="2551" width="5.36328125" style="63" customWidth="1"/>
    <col min="2552" max="2552" width="9" style="63" bestFit="1" customWidth="1"/>
    <col min="2553" max="2553" width="5.36328125" style="63" customWidth="1"/>
    <col min="2554" max="2554" width="9" style="63" bestFit="1" customWidth="1"/>
    <col min="2555" max="2555" width="5" style="63" customWidth="1"/>
    <col min="2556" max="2556" width="9" style="63" bestFit="1" customWidth="1"/>
    <col min="2557" max="2557" width="5.1796875" style="63" customWidth="1"/>
    <col min="2558" max="2558" width="9.1796875" style="63" customWidth="1"/>
    <col min="2559" max="2559" width="6" style="63" customWidth="1"/>
    <col min="2560" max="2560" width="9.1796875" style="63" customWidth="1"/>
    <col min="2561" max="2561" width="6" style="63" customWidth="1"/>
    <col min="2562" max="2563" width="10.1796875" style="63" customWidth="1"/>
    <col min="2564" max="2564" width="10" style="63" customWidth="1"/>
    <col min="2565" max="2565" width="10.36328125" style="63" customWidth="1"/>
    <col min="2566" max="2576" width="9.1796875" style="63" customWidth="1"/>
    <col min="2577" max="2577" width="11.36328125" style="63" customWidth="1"/>
    <col min="2578" max="2598" width="13" style="63" hidden="1" customWidth="1"/>
    <col min="2599" max="2804" width="9.1796875" style="63" customWidth="1"/>
    <col min="2805" max="2805" width="28.6328125" style="63" customWidth="1"/>
    <col min="2806" max="2806" width="9" style="63" bestFit="1" customWidth="1"/>
    <col min="2807" max="2807" width="5.36328125" style="63" customWidth="1"/>
    <col min="2808" max="2808" width="9" style="63" bestFit="1" customWidth="1"/>
    <col min="2809" max="2809" width="5.36328125" style="63" customWidth="1"/>
    <col min="2810" max="2810" width="9" style="63" bestFit="1" customWidth="1"/>
    <col min="2811" max="2811" width="5" style="63" customWidth="1"/>
    <col min="2812" max="2812" width="9" style="63" bestFit="1" customWidth="1"/>
    <col min="2813" max="2813" width="5.1796875" style="63" customWidth="1"/>
    <col min="2814" max="2814" width="9.1796875" style="63" customWidth="1"/>
    <col min="2815" max="2815" width="6" style="63" customWidth="1"/>
    <col min="2816" max="2816" width="9.1796875" style="63" customWidth="1"/>
    <col min="2817" max="2817" width="6" style="63" customWidth="1"/>
    <col min="2818" max="2819" width="10.1796875" style="63" customWidth="1"/>
    <col min="2820" max="2820" width="10" style="63" customWidth="1"/>
    <col min="2821" max="2821" width="10.36328125" style="63" customWidth="1"/>
    <col min="2822" max="2832" width="9.1796875" style="63" customWidth="1"/>
    <col min="2833" max="2833" width="11.36328125" style="63" customWidth="1"/>
    <col min="2834" max="2854" width="13" style="63" hidden="1" customWidth="1"/>
    <col min="2855" max="3060" width="9.1796875" style="63" customWidth="1"/>
    <col min="3061" max="3061" width="28.6328125" style="63" customWidth="1"/>
    <col min="3062" max="3062" width="9" style="63" bestFit="1" customWidth="1"/>
    <col min="3063" max="3063" width="5.36328125" style="63" customWidth="1"/>
    <col min="3064" max="3064" width="9" style="63" bestFit="1" customWidth="1"/>
    <col min="3065" max="3065" width="5.36328125" style="63" customWidth="1"/>
    <col min="3066" max="3066" width="9" style="63" bestFit="1" customWidth="1"/>
    <col min="3067" max="3067" width="5" style="63" customWidth="1"/>
    <col min="3068" max="3068" width="9" style="63" bestFit="1" customWidth="1"/>
    <col min="3069" max="3069" width="5.1796875" style="63" customWidth="1"/>
    <col min="3070" max="3070" width="9.1796875" style="63" customWidth="1"/>
    <col min="3071" max="3071" width="6" style="63" customWidth="1"/>
    <col min="3072" max="3072" width="9.1796875" style="63" customWidth="1"/>
    <col min="3073" max="3073" width="6" style="63" customWidth="1"/>
    <col min="3074" max="3075" width="10.1796875" style="63" customWidth="1"/>
    <col min="3076" max="3076" width="10" style="63" customWidth="1"/>
    <col min="3077" max="3077" width="10.36328125" style="63" customWidth="1"/>
    <col min="3078" max="3088" width="9.1796875" style="63" customWidth="1"/>
    <col min="3089" max="3089" width="11.36328125" style="63" customWidth="1"/>
    <col min="3090" max="3110" width="13" style="63" hidden="1" customWidth="1"/>
    <col min="3111" max="3316" width="9.1796875" style="63" customWidth="1"/>
    <col min="3317" max="3317" width="28.6328125" style="63" customWidth="1"/>
    <col min="3318" max="3318" width="9" style="63" bestFit="1" customWidth="1"/>
    <col min="3319" max="3319" width="5.36328125" style="63" customWidth="1"/>
    <col min="3320" max="3320" width="9" style="63" bestFit="1" customWidth="1"/>
    <col min="3321" max="3321" width="5.36328125" style="63" customWidth="1"/>
    <col min="3322" max="3322" width="9" style="63" bestFit="1" customWidth="1"/>
    <col min="3323" max="3323" width="5" style="63" customWidth="1"/>
    <col min="3324" max="3324" width="9" style="63" bestFit="1" customWidth="1"/>
    <col min="3325" max="3325" width="5.1796875" style="63" customWidth="1"/>
    <col min="3326" max="3326" width="9.1796875" style="63" customWidth="1"/>
    <col min="3327" max="3327" width="6" style="63" customWidth="1"/>
    <col min="3328" max="3328" width="9.1796875" style="63" customWidth="1"/>
    <col min="3329" max="3329" width="6" style="63" customWidth="1"/>
    <col min="3330" max="3331" width="10.1796875" style="63" customWidth="1"/>
    <col min="3332" max="3332" width="10" style="63" customWidth="1"/>
    <col min="3333" max="3333" width="10.36328125" style="63" customWidth="1"/>
    <col min="3334" max="3344" width="9.1796875" style="63" customWidth="1"/>
    <col min="3345" max="3345" width="11.36328125" style="63" customWidth="1"/>
    <col min="3346" max="3366" width="13" style="63" hidden="1" customWidth="1"/>
    <col min="3367" max="3572" width="9.1796875" style="63" customWidth="1"/>
    <col min="3573" max="3573" width="28.6328125" style="63" customWidth="1"/>
    <col min="3574" max="3574" width="9" style="63" bestFit="1" customWidth="1"/>
    <col min="3575" max="3575" width="5.36328125" style="63" customWidth="1"/>
    <col min="3576" max="3576" width="9" style="63" bestFit="1" customWidth="1"/>
    <col min="3577" max="3577" width="5.36328125" style="63" customWidth="1"/>
    <col min="3578" max="3578" width="9" style="63" bestFit="1" customWidth="1"/>
    <col min="3579" max="3579" width="5" style="63" customWidth="1"/>
    <col min="3580" max="3580" width="9" style="63" bestFit="1" customWidth="1"/>
    <col min="3581" max="3581" width="5.1796875" style="63" customWidth="1"/>
    <col min="3582" max="3582" width="9.1796875" style="63" customWidth="1"/>
    <col min="3583" max="3583" width="6" style="63" customWidth="1"/>
    <col min="3584" max="3584" width="9.1796875" style="63" customWidth="1"/>
    <col min="3585" max="3585" width="6" style="63" customWidth="1"/>
    <col min="3586" max="3587" width="10.1796875" style="63" customWidth="1"/>
    <col min="3588" max="3588" width="10" style="63" customWidth="1"/>
    <col min="3589" max="3589" width="10.36328125" style="63" customWidth="1"/>
    <col min="3590" max="3600" width="9.1796875" style="63" customWidth="1"/>
    <col min="3601" max="3601" width="11.36328125" style="63" customWidth="1"/>
    <col min="3602" max="3622" width="13" style="63" hidden="1" customWidth="1"/>
    <col min="3623" max="3828" width="9.1796875" style="63" customWidth="1"/>
    <col min="3829" max="3829" width="28.6328125" style="63" customWidth="1"/>
    <col min="3830" max="3830" width="9" style="63" bestFit="1" customWidth="1"/>
    <col min="3831" max="3831" width="5.36328125" style="63" customWidth="1"/>
    <col min="3832" max="3832" width="9" style="63" bestFit="1" customWidth="1"/>
    <col min="3833" max="3833" width="5.36328125" style="63" customWidth="1"/>
    <col min="3834" max="3834" width="9" style="63" bestFit="1" customWidth="1"/>
    <col min="3835" max="3835" width="5" style="63" customWidth="1"/>
    <col min="3836" max="3836" width="9" style="63" bestFit="1" customWidth="1"/>
    <col min="3837" max="3837" width="5.1796875" style="63" customWidth="1"/>
    <col min="3838" max="3838" width="9.1796875" style="63" customWidth="1"/>
    <col min="3839" max="3839" width="6" style="63" customWidth="1"/>
    <col min="3840" max="3840" width="9.1796875" style="63" customWidth="1"/>
    <col min="3841" max="3841" width="6" style="63" customWidth="1"/>
    <col min="3842" max="3843" width="10.1796875" style="63" customWidth="1"/>
    <col min="3844" max="3844" width="10" style="63" customWidth="1"/>
    <col min="3845" max="3845" width="10.36328125" style="63" customWidth="1"/>
    <col min="3846" max="3856" width="9.1796875" style="63" customWidth="1"/>
    <col min="3857" max="3857" width="11.36328125" style="63" customWidth="1"/>
    <col min="3858" max="3878" width="13" style="63" hidden="1" customWidth="1"/>
    <col min="3879" max="4084" width="9.1796875" style="63" customWidth="1"/>
    <col min="4085" max="4085" width="28.6328125" style="63" customWidth="1"/>
    <col min="4086" max="4086" width="9" style="63" bestFit="1" customWidth="1"/>
    <col min="4087" max="4087" width="5.36328125" style="63" customWidth="1"/>
    <col min="4088" max="4088" width="9" style="63" bestFit="1" customWidth="1"/>
    <col min="4089" max="4089" width="5.36328125" style="63" customWidth="1"/>
    <col min="4090" max="4090" width="9" style="63" bestFit="1" customWidth="1"/>
    <col min="4091" max="4091" width="5" style="63" customWidth="1"/>
    <col min="4092" max="4092" width="9" style="63" bestFit="1" customWidth="1"/>
    <col min="4093" max="4093" width="5.1796875" style="63" customWidth="1"/>
    <col min="4094" max="4094" width="9.1796875" style="63" customWidth="1"/>
    <col min="4095" max="4095" width="6" style="63" customWidth="1"/>
    <col min="4096" max="4096" width="9.1796875" style="63" customWidth="1"/>
    <col min="4097" max="4097" width="6" style="63" customWidth="1"/>
    <col min="4098" max="4099" width="10.1796875" style="63" customWidth="1"/>
    <col min="4100" max="4100" width="10" style="63" customWidth="1"/>
    <col min="4101" max="4101" width="10.36328125" style="63" customWidth="1"/>
    <col min="4102" max="4112" width="9.1796875" style="63" customWidth="1"/>
    <col min="4113" max="4113" width="11.36328125" style="63" customWidth="1"/>
    <col min="4114" max="4134" width="13" style="63" hidden="1" customWidth="1"/>
    <col min="4135" max="4340" width="9.1796875" style="63" customWidth="1"/>
    <col min="4341" max="4341" width="28.6328125" style="63" customWidth="1"/>
    <col min="4342" max="4342" width="9" style="63" bestFit="1" customWidth="1"/>
    <col min="4343" max="4343" width="5.36328125" style="63" customWidth="1"/>
    <col min="4344" max="4344" width="9" style="63" bestFit="1" customWidth="1"/>
    <col min="4345" max="4345" width="5.36328125" style="63" customWidth="1"/>
    <col min="4346" max="4346" width="9" style="63" bestFit="1" customWidth="1"/>
    <col min="4347" max="4347" width="5" style="63" customWidth="1"/>
    <col min="4348" max="4348" width="9" style="63" bestFit="1" customWidth="1"/>
    <col min="4349" max="4349" width="5.1796875" style="63" customWidth="1"/>
    <col min="4350" max="4350" width="9.1796875" style="63" customWidth="1"/>
    <col min="4351" max="4351" width="6" style="63" customWidth="1"/>
    <col min="4352" max="4352" width="9.1796875" style="63" customWidth="1"/>
    <col min="4353" max="4353" width="6" style="63" customWidth="1"/>
    <col min="4354" max="4355" width="10.1796875" style="63" customWidth="1"/>
    <col min="4356" max="4356" width="10" style="63" customWidth="1"/>
    <col min="4357" max="4357" width="10.36328125" style="63" customWidth="1"/>
    <col min="4358" max="4368" width="9.1796875" style="63" customWidth="1"/>
    <col min="4369" max="4369" width="11.36328125" style="63" customWidth="1"/>
    <col min="4370" max="4390" width="13" style="63" hidden="1" customWidth="1"/>
    <col min="4391" max="4596" width="9.1796875" style="63" customWidth="1"/>
    <col min="4597" max="4597" width="28.6328125" style="63" customWidth="1"/>
    <col min="4598" max="4598" width="9" style="63" bestFit="1" customWidth="1"/>
    <col min="4599" max="4599" width="5.36328125" style="63" customWidth="1"/>
    <col min="4600" max="4600" width="9" style="63" bestFit="1" customWidth="1"/>
    <col min="4601" max="4601" width="5.36328125" style="63" customWidth="1"/>
    <col min="4602" max="4602" width="9" style="63" bestFit="1" customWidth="1"/>
    <col min="4603" max="4603" width="5" style="63" customWidth="1"/>
    <col min="4604" max="4604" width="9" style="63" bestFit="1" customWidth="1"/>
    <col min="4605" max="4605" width="5.1796875" style="63" customWidth="1"/>
    <col min="4606" max="4606" width="9.1796875" style="63" customWidth="1"/>
    <col min="4607" max="4607" width="6" style="63" customWidth="1"/>
    <col min="4608" max="4608" width="9.1796875" style="63" customWidth="1"/>
    <col min="4609" max="4609" width="6" style="63" customWidth="1"/>
    <col min="4610" max="4611" width="10.1796875" style="63" customWidth="1"/>
    <col min="4612" max="4612" width="10" style="63" customWidth="1"/>
    <col min="4613" max="4613" width="10.36328125" style="63" customWidth="1"/>
    <col min="4614" max="4624" width="9.1796875" style="63" customWidth="1"/>
    <col min="4625" max="4625" width="11.36328125" style="63" customWidth="1"/>
    <col min="4626" max="4646" width="13" style="63" hidden="1" customWidth="1"/>
    <col min="4647" max="4852" width="9.1796875" style="63" customWidth="1"/>
    <col min="4853" max="4853" width="28.6328125" style="63" customWidth="1"/>
    <col min="4854" max="4854" width="9" style="63" bestFit="1" customWidth="1"/>
    <col min="4855" max="4855" width="5.36328125" style="63" customWidth="1"/>
    <col min="4856" max="4856" width="9" style="63" bestFit="1" customWidth="1"/>
    <col min="4857" max="4857" width="5.36328125" style="63" customWidth="1"/>
    <col min="4858" max="4858" width="9" style="63" bestFit="1" customWidth="1"/>
    <col min="4859" max="4859" width="5" style="63" customWidth="1"/>
    <col min="4860" max="4860" width="9" style="63" bestFit="1" customWidth="1"/>
    <col min="4861" max="4861" width="5.1796875" style="63" customWidth="1"/>
    <col min="4862" max="4862" width="9.1796875" style="63" customWidth="1"/>
    <col min="4863" max="4863" width="6" style="63" customWidth="1"/>
    <col min="4864" max="4864" width="9.1796875" style="63" customWidth="1"/>
    <col min="4865" max="4865" width="6" style="63" customWidth="1"/>
    <col min="4866" max="4867" width="10.1796875" style="63" customWidth="1"/>
    <col min="4868" max="4868" width="10" style="63" customWidth="1"/>
    <col min="4869" max="4869" width="10.36328125" style="63" customWidth="1"/>
    <col min="4870" max="4880" width="9.1796875" style="63" customWidth="1"/>
    <col min="4881" max="4881" width="11.36328125" style="63" customWidth="1"/>
    <col min="4882" max="4902" width="13" style="63" hidden="1" customWidth="1"/>
    <col min="4903" max="5108" width="9.1796875" style="63" customWidth="1"/>
    <col min="5109" max="5109" width="28.6328125" style="63" customWidth="1"/>
    <col min="5110" max="5110" width="9" style="63" bestFit="1" customWidth="1"/>
    <col min="5111" max="5111" width="5.36328125" style="63" customWidth="1"/>
    <col min="5112" max="5112" width="9" style="63" bestFit="1" customWidth="1"/>
    <col min="5113" max="5113" width="5.36328125" style="63" customWidth="1"/>
    <col min="5114" max="5114" width="9" style="63" bestFit="1" customWidth="1"/>
    <col min="5115" max="5115" width="5" style="63" customWidth="1"/>
    <col min="5116" max="5116" width="9" style="63" bestFit="1" customWidth="1"/>
    <col min="5117" max="5117" width="5.1796875" style="63" customWidth="1"/>
    <col min="5118" max="5118" width="9.1796875" style="63" customWidth="1"/>
    <col min="5119" max="5119" width="6" style="63" customWidth="1"/>
    <col min="5120" max="5120" width="9.1796875" style="63" customWidth="1"/>
    <col min="5121" max="5121" width="6" style="63" customWidth="1"/>
    <col min="5122" max="5123" width="10.1796875" style="63" customWidth="1"/>
    <col min="5124" max="5124" width="10" style="63" customWidth="1"/>
    <col min="5125" max="5125" width="10.36328125" style="63" customWidth="1"/>
    <col min="5126" max="5136" width="9.1796875" style="63" customWidth="1"/>
    <col min="5137" max="5137" width="11.36328125" style="63" customWidth="1"/>
    <col min="5138" max="5158" width="13" style="63" hidden="1" customWidth="1"/>
    <col min="5159" max="5364" width="9.1796875" style="63" customWidth="1"/>
    <col min="5365" max="5365" width="28.6328125" style="63" customWidth="1"/>
    <col min="5366" max="5366" width="9" style="63" bestFit="1" customWidth="1"/>
    <col min="5367" max="5367" width="5.36328125" style="63" customWidth="1"/>
    <col min="5368" max="5368" width="9" style="63" bestFit="1" customWidth="1"/>
    <col min="5369" max="5369" width="5.36328125" style="63" customWidth="1"/>
    <col min="5370" max="5370" width="9" style="63" bestFit="1" customWidth="1"/>
    <col min="5371" max="5371" width="5" style="63" customWidth="1"/>
    <col min="5372" max="5372" width="9" style="63" bestFit="1" customWidth="1"/>
    <col min="5373" max="5373" width="5.1796875" style="63" customWidth="1"/>
    <col min="5374" max="5374" width="9.1796875" style="63" customWidth="1"/>
    <col min="5375" max="5375" width="6" style="63" customWidth="1"/>
    <col min="5376" max="5376" width="9.1796875" style="63" customWidth="1"/>
    <col min="5377" max="5377" width="6" style="63" customWidth="1"/>
    <col min="5378" max="5379" width="10.1796875" style="63" customWidth="1"/>
    <col min="5380" max="5380" width="10" style="63" customWidth="1"/>
    <col min="5381" max="5381" width="10.36328125" style="63" customWidth="1"/>
    <col min="5382" max="5392" width="9.1796875" style="63" customWidth="1"/>
    <col min="5393" max="5393" width="11.36328125" style="63" customWidth="1"/>
    <col min="5394" max="5414" width="13" style="63" hidden="1" customWidth="1"/>
    <col min="5415" max="5620" width="9.1796875" style="63" customWidth="1"/>
    <col min="5621" max="5621" width="28.6328125" style="63" customWidth="1"/>
    <col min="5622" max="5622" width="9" style="63" bestFit="1" customWidth="1"/>
    <col min="5623" max="5623" width="5.36328125" style="63" customWidth="1"/>
    <col min="5624" max="5624" width="9" style="63" bestFit="1" customWidth="1"/>
    <col min="5625" max="5625" width="5.36328125" style="63" customWidth="1"/>
    <col min="5626" max="5626" width="9" style="63" bestFit="1" customWidth="1"/>
    <col min="5627" max="5627" width="5" style="63" customWidth="1"/>
    <col min="5628" max="5628" width="9" style="63" bestFit="1" customWidth="1"/>
    <col min="5629" max="5629" width="5.1796875" style="63" customWidth="1"/>
    <col min="5630" max="5630" width="9.1796875" style="63" customWidth="1"/>
    <col min="5631" max="5631" width="6" style="63" customWidth="1"/>
    <col min="5632" max="5632" width="9.1796875" style="63" customWidth="1"/>
    <col min="5633" max="5633" width="6" style="63" customWidth="1"/>
    <col min="5634" max="5635" width="10.1796875" style="63" customWidth="1"/>
    <col min="5636" max="5636" width="10" style="63" customWidth="1"/>
    <col min="5637" max="5637" width="10.36328125" style="63" customWidth="1"/>
    <col min="5638" max="5648" width="9.1796875" style="63" customWidth="1"/>
    <col min="5649" max="5649" width="11.36328125" style="63" customWidth="1"/>
    <col min="5650" max="5670" width="13" style="63" hidden="1" customWidth="1"/>
    <col min="5671" max="5876" width="9.1796875" style="63" customWidth="1"/>
    <col min="5877" max="5877" width="28.6328125" style="63" customWidth="1"/>
    <col min="5878" max="5878" width="9" style="63" bestFit="1" customWidth="1"/>
    <col min="5879" max="5879" width="5.36328125" style="63" customWidth="1"/>
    <col min="5880" max="5880" width="9" style="63" bestFit="1" customWidth="1"/>
    <col min="5881" max="5881" width="5.36328125" style="63" customWidth="1"/>
    <col min="5882" max="5882" width="9" style="63" bestFit="1" customWidth="1"/>
    <col min="5883" max="5883" width="5" style="63" customWidth="1"/>
    <col min="5884" max="5884" width="9" style="63" bestFit="1" customWidth="1"/>
    <col min="5885" max="5885" width="5.1796875" style="63" customWidth="1"/>
    <col min="5886" max="5886" width="9.1796875" style="63" customWidth="1"/>
    <col min="5887" max="5887" width="6" style="63" customWidth="1"/>
    <col min="5888" max="5888" width="9.1796875" style="63" customWidth="1"/>
    <col min="5889" max="5889" width="6" style="63" customWidth="1"/>
    <col min="5890" max="5891" width="10.1796875" style="63" customWidth="1"/>
    <col min="5892" max="5892" width="10" style="63" customWidth="1"/>
    <col min="5893" max="5893" width="10.36328125" style="63" customWidth="1"/>
    <col min="5894" max="5904" width="9.1796875" style="63" customWidth="1"/>
    <col min="5905" max="5905" width="11.36328125" style="63" customWidth="1"/>
    <col min="5906" max="5926" width="13" style="63" hidden="1" customWidth="1"/>
    <col min="5927" max="6132" width="9.1796875" style="63" customWidth="1"/>
    <col min="6133" max="6133" width="28.6328125" style="63" customWidth="1"/>
    <col min="6134" max="6134" width="9" style="63" bestFit="1" customWidth="1"/>
    <col min="6135" max="6135" width="5.36328125" style="63" customWidth="1"/>
    <col min="6136" max="6136" width="9" style="63" bestFit="1" customWidth="1"/>
    <col min="6137" max="6137" width="5.36328125" style="63" customWidth="1"/>
    <col min="6138" max="6138" width="9" style="63" bestFit="1" customWidth="1"/>
    <col min="6139" max="6139" width="5" style="63" customWidth="1"/>
    <col min="6140" max="6140" width="9" style="63" bestFit="1" customWidth="1"/>
    <col min="6141" max="6141" width="5.1796875" style="63" customWidth="1"/>
    <col min="6142" max="6142" width="9.1796875" style="63" customWidth="1"/>
    <col min="6143" max="6143" width="6" style="63" customWidth="1"/>
    <col min="6144" max="6144" width="9.1796875" style="63" customWidth="1"/>
    <col min="6145" max="6145" width="6" style="63" customWidth="1"/>
    <col min="6146" max="6147" width="10.1796875" style="63" customWidth="1"/>
    <col min="6148" max="6148" width="10" style="63" customWidth="1"/>
    <col min="6149" max="6149" width="10.36328125" style="63" customWidth="1"/>
    <col min="6150" max="6160" width="9.1796875" style="63" customWidth="1"/>
    <col min="6161" max="6161" width="11.36328125" style="63" customWidth="1"/>
    <col min="6162" max="6182" width="13" style="63" hidden="1" customWidth="1"/>
    <col min="6183" max="6388" width="9.1796875" style="63" customWidth="1"/>
    <col min="6389" max="6389" width="28.6328125" style="63" customWidth="1"/>
    <col min="6390" max="6390" width="9" style="63" bestFit="1" customWidth="1"/>
    <col min="6391" max="6391" width="5.36328125" style="63" customWidth="1"/>
    <col min="6392" max="6392" width="9" style="63" bestFit="1" customWidth="1"/>
    <col min="6393" max="6393" width="5.36328125" style="63" customWidth="1"/>
    <col min="6394" max="6394" width="9" style="63" bestFit="1" customWidth="1"/>
    <col min="6395" max="6395" width="5" style="63" customWidth="1"/>
    <col min="6396" max="6396" width="9" style="63" bestFit="1" customWidth="1"/>
    <col min="6397" max="6397" width="5.1796875" style="63" customWidth="1"/>
    <col min="6398" max="6398" width="9.1796875" style="63" customWidth="1"/>
    <col min="6399" max="6399" width="6" style="63" customWidth="1"/>
    <col min="6400" max="6400" width="9.1796875" style="63" customWidth="1"/>
    <col min="6401" max="6401" width="6" style="63" customWidth="1"/>
    <col min="6402" max="6403" width="10.1796875" style="63" customWidth="1"/>
    <col min="6404" max="6404" width="10" style="63" customWidth="1"/>
    <col min="6405" max="6405" width="10.36328125" style="63" customWidth="1"/>
    <col min="6406" max="6416" width="9.1796875" style="63" customWidth="1"/>
    <col min="6417" max="6417" width="11.36328125" style="63" customWidth="1"/>
    <col min="6418" max="6438" width="13" style="63" hidden="1" customWidth="1"/>
    <col min="6439" max="6644" width="9.1796875" style="63" customWidth="1"/>
    <col min="6645" max="6645" width="28.6328125" style="63" customWidth="1"/>
    <col min="6646" max="6646" width="9" style="63" bestFit="1" customWidth="1"/>
    <col min="6647" max="6647" width="5.36328125" style="63" customWidth="1"/>
    <col min="6648" max="6648" width="9" style="63" bestFit="1" customWidth="1"/>
    <col min="6649" max="6649" width="5.36328125" style="63" customWidth="1"/>
    <col min="6650" max="6650" width="9" style="63" bestFit="1" customWidth="1"/>
    <col min="6651" max="6651" width="5" style="63" customWidth="1"/>
    <col min="6652" max="6652" width="9" style="63" bestFit="1" customWidth="1"/>
    <col min="6653" max="6653" width="5.1796875" style="63" customWidth="1"/>
    <col min="6654" max="6654" width="9.1796875" style="63" customWidth="1"/>
    <col min="6655" max="6655" width="6" style="63" customWidth="1"/>
    <col min="6656" max="6656" width="9.1796875" style="63" customWidth="1"/>
    <col min="6657" max="6657" width="6" style="63" customWidth="1"/>
    <col min="6658" max="6659" width="10.1796875" style="63" customWidth="1"/>
    <col min="6660" max="6660" width="10" style="63" customWidth="1"/>
    <col min="6661" max="6661" width="10.36328125" style="63" customWidth="1"/>
    <col min="6662" max="6672" width="9.1796875" style="63" customWidth="1"/>
    <col min="6673" max="6673" width="11.36328125" style="63" customWidth="1"/>
    <col min="6674" max="6694" width="13" style="63" hidden="1" customWidth="1"/>
    <col min="6695" max="6900" width="9.1796875" style="63" customWidth="1"/>
    <col min="6901" max="6901" width="28.6328125" style="63" customWidth="1"/>
    <col min="6902" max="6902" width="9" style="63" bestFit="1" customWidth="1"/>
    <col min="6903" max="6903" width="5.36328125" style="63" customWidth="1"/>
    <col min="6904" max="6904" width="9" style="63" bestFit="1" customWidth="1"/>
    <col min="6905" max="6905" width="5.36328125" style="63" customWidth="1"/>
    <col min="6906" max="6906" width="9" style="63" bestFit="1" customWidth="1"/>
    <col min="6907" max="6907" width="5" style="63" customWidth="1"/>
    <col min="6908" max="6908" width="9" style="63" bestFit="1" customWidth="1"/>
    <col min="6909" max="6909" width="5.1796875" style="63" customWidth="1"/>
    <col min="6910" max="6910" width="9.1796875" style="63" customWidth="1"/>
    <col min="6911" max="6911" width="6" style="63" customWidth="1"/>
    <col min="6912" max="6912" width="9.1796875" style="63" customWidth="1"/>
    <col min="6913" max="6913" width="6" style="63" customWidth="1"/>
    <col min="6914" max="6915" width="10.1796875" style="63" customWidth="1"/>
    <col min="6916" max="6916" width="10" style="63" customWidth="1"/>
    <col min="6917" max="6917" width="10.36328125" style="63" customWidth="1"/>
    <col min="6918" max="6928" width="9.1796875" style="63" customWidth="1"/>
    <col min="6929" max="6929" width="11.36328125" style="63" customWidth="1"/>
    <col min="6930" max="6950" width="13" style="63" hidden="1" customWidth="1"/>
    <col min="6951" max="7156" width="9.1796875" style="63" customWidth="1"/>
    <col min="7157" max="7157" width="28.6328125" style="63" customWidth="1"/>
    <col min="7158" max="7158" width="9" style="63" bestFit="1" customWidth="1"/>
    <col min="7159" max="7159" width="5.36328125" style="63" customWidth="1"/>
    <col min="7160" max="7160" width="9" style="63" bestFit="1" customWidth="1"/>
    <col min="7161" max="7161" width="5.36328125" style="63" customWidth="1"/>
    <col min="7162" max="7162" width="9" style="63" bestFit="1" customWidth="1"/>
    <col min="7163" max="7163" width="5" style="63" customWidth="1"/>
    <col min="7164" max="7164" width="9" style="63" bestFit="1" customWidth="1"/>
    <col min="7165" max="7165" width="5.1796875" style="63" customWidth="1"/>
    <col min="7166" max="7166" width="9.1796875" style="63" customWidth="1"/>
    <col min="7167" max="7167" width="6" style="63" customWidth="1"/>
    <col min="7168" max="7168" width="9.1796875" style="63" customWidth="1"/>
    <col min="7169" max="7169" width="6" style="63" customWidth="1"/>
    <col min="7170" max="7171" width="10.1796875" style="63" customWidth="1"/>
    <col min="7172" max="7172" width="10" style="63" customWidth="1"/>
    <col min="7173" max="7173" width="10.36328125" style="63" customWidth="1"/>
    <col min="7174" max="7184" width="9.1796875" style="63" customWidth="1"/>
    <col min="7185" max="7185" width="11.36328125" style="63" customWidth="1"/>
    <col min="7186" max="7206" width="13" style="63" hidden="1" customWidth="1"/>
    <col min="7207" max="7412" width="9.1796875" style="63" customWidth="1"/>
    <col min="7413" max="7413" width="28.6328125" style="63" customWidth="1"/>
    <col min="7414" max="7414" width="9" style="63" bestFit="1" customWidth="1"/>
    <col min="7415" max="7415" width="5.36328125" style="63" customWidth="1"/>
    <col min="7416" max="7416" width="9" style="63" bestFit="1" customWidth="1"/>
    <col min="7417" max="7417" width="5.36328125" style="63" customWidth="1"/>
    <col min="7418" max="7418" width="9" style="63" bestFit="1" customWidth="1"/>
    <col min="7419" max="7419" width="5" style="63" customWidth="1"/>
    <col min="7420" max="7420" width="9" style="63" bestFit="1" customWidth="1"/>
    <col min="7421" max="7421" width="5.1796875" style="63" customWidth="1"/>
    <col min="7422" max="7422" width="9.1796875" style="63" customWidth="1"/>
    <col min="7423" max="7423" width="6" style="63" customWidth="1"/>
    <col min="7424" max="7424" width="9.1796875" style="63" customWidth="1"/>
    <col min="7425" max="7425" width="6" style="63" customWidth="1"/>
    <col min="7426" max="7427" width="10.1796875" style="63" customWidth="1"/>
    <col min="7428" max="7428" width="10" style="63" customWidth="1"/>
    <col min="7429" max="7429" width="10.36328125" style="63" customWidth="1"/>
    <col min="7430" max="7440" width="9.1796875" style="63" customWidth="1"/>
    <col min="7441" max="7441" width="11.36328125" style="63" customWidth="1"/>
    <col min="7442" max="7462" width="13" style="63" hidden="1" customWidth="1"/>
    <col min="7463" max="7668" width="9.1796875" style="63" customWidth="1"/>
    <col min="7669" max="7669" width="28.6328125" style="63" customWidth="1"/>
    <col min="7670" max="7670" width="9" style="63" bestFit="1" customWidth="1"/>
    <col min="7671" max="7671" width="5.36328125" style="63" customWidth="1"/>
    <col min="7672" max="7672" width="9" style="63" bestFit="1" customWidth="1"/>
    <col min="7673" max="7673" width="5.36328125" style="63" customWidth="1"/>
    <col min="7674" max="7674" width="9" style="63" bestFit="1" customWidth="1"/>
    <col min="7675" max="7675" width="5" style="63" customWidth="1"/>
    <col min="7676" max="7676" width="9" style="63" bestFit="1" customWidth="1"/>
    <col min="7677" max="7677" width="5.1796875" style="63" customWidth="1"/>
    <col min="7678" max="7678" width="9.1796875" style="63" customWidth="1"/>
    <col min="7679" max="7679" width="6" style="63" customWidth="1"/>
    <col min="7680" max="7680" width="9.1796875" style="63" customWidth="1"/>
    <col min="7681" max="7681" width="6" style="63" customWidth="1"/>
    <col min="7682" max="7683" width="10.1796875" style="63" customWidth="1"/>
    <col min="7684" max="7684" width="10" style="63" customWidth="1"/>
    <col min="7685" max="7685" width="10.36328125" style="63" customWidth="1"/>
    <col min="7686" max="7696" width="9.1796875" style="63" customWidth="1"/>
    <col min="7697" max="7697" width="11.36328125" style="63" customWidth="1"/>
    <col min="7698" max="7718" width="13" style="63" hidden="1" customWidth="1"/>
    <col min="7719" max="7924" width="9.1796875" style="63" customWidth="1"/>
    <col min="7925" max="7925" width="28.6328125" style="63" customWidth="1"/>
    <col min="7926" max="7926" width="9" style="63" bestFit="1" customWidth="1"/>
    <col min="7927" max="7927" width="5.36328125" style="63" customWidth="1"/>
    <col min="7928" max="7928" width="9" style="63" bestFit="1" customWidth="1"/>
    <col min="7929" max="7929" width="5.36328125" style="63" customWidth="1"/>
    <col min="7930" max="7930" width="9" style="63" bestFit="1" customWidth="1"/>
    <col min="7931" max="7931" width="5" style="63" customWidth="1"/>
    <col min="7932" max="7932" width="9" style="63" bestFit="1" customWidth="1"/>
    <col min="7933" max="7933" width="5.1796875" style="63" customWidth="1"/>
    <col min="7934" max="7934" width="9.1796875" style="63" customWidth="1"/>
    <col min="7935" max="7935" width="6" style="63" customWidth="1"/>
    <col min="7936" max="7936" width="9.1796875" style="63" customWidth="1"/>
    <col min="7937" max="7937" width="6" style="63" customWidth="1"/>
    <col min="7938" max="7939" width="10.1796875" style="63" customWidth="1"/>
    <col min="7940" max="7940" width="10" style="63" customWidth="1"/>
    <col min="7941" max="7941" width="10.36328125" style="63" customWidth="1"/>
    <col min="7942" max="7952" width="9.1796875" style="63" customWidth="1"/>
    <col min="7953" max="7953" width="11.36328125" style="63" customWidth="1"/>
    <col min="7954" max="7974" width="13" style="63" hidden="1" customWidth="1"/>
    <col min="7975" max="8180" width="9.1796875" style="63" customWidth="1"/>
    <col min="8181" max="8181" width="28.6328125" style="63" customWidth="1"/>
    <col min="8182" max="8182" width="9" style="63" bestFit="1" customWidth="1"/>
    <col min="8183" max="8183" width="5.36328125" style="63" customWidth="1"/>
    <col min="8184" max="8184" width="9" style="63" bestFit="1" customWidth="1"/>
    <col min="8185" max="8185" width="5.36328125" style="63" customWidth="1"/>
    <col min="8186" max="8186" width="9" style="63" bestFit="1" customWidth="1"/>
    <col min="8187" max="8187" width="5" style="63" customWidth="1"/>
    <col min="8188" max="8188" width="9" style="63" bestFit="1" customWidth="1"/>
    <col min="8189" max="8189" width="5.1796875" style="63" customWidth="1"/>
    <col min="8190" max="8190" width="9.1796875" style="63" customWidth="1"/>
    <col min="8191" max="8191" width="6" style="63" customWidth="1"/>
    <col min="8192" max="8192" width="9.1796875" style="63" customWidth="1"/>
    <col min="8193" max="8193" width="6" style="63" customWidth="1"/>
    <col min="8194" max="8195" width="10.1796875" style="63" customWidth="1"/>
    <col min="8196" max="8196" width="10" style="63" customWidth="1"/>
    <col min="8197" max="8197" width="10.36328125" style="63" customWidth="1"/>
    <col min="8198" max="8208" width="9.1796875" style="63" customWidth="1"/>
    <col min="8209" max="8209" width="11.36328125" style="63" customWidth="1"/>
    <col min="8210" max="8230" width="13" style="63" hidden="1" customWidth="1"/>
    <col min="8231" max="8436" width="9.1796875" style="63" customWidth="1"/>
    <col min="8437" max="8437" width="28.6328125" style="63" customWidth="1"/>
    <col min="8438" max="8438" width="9" style="63" bestFit="1" customWidth="1"/>
    <col min="8439" max="8439" width="5.36328125" style="63" customWidth="1"/>
    <col min="8440" max="8440" width="9" style="63" bestFit="1" customWidth="1"/>
    <col min="8441" max="8441" width="5.36328125" style="63" customWidth="1"/>
    <col min="8442" max="8442" width="9" style="63" bestFit="1" customWidth="1"/>
    <col min="8443" max="8443" width="5" style="63" customWidth="1"/>
    <col min="8444" max="8444" width="9" style="63" bestFit="1" customWidth="1"/>
    <col min="8445" max="8445" width="5.1796875" style="63" customWidth="1"/>
    <col min="8446" max="8446" width="9.1796875" style="63" customWidth="1"/>
    <col min="8447" max="8447" width="6" style="63" customWidth="1"/>
    <col min="8448" max="8448" width="9.1796875" style="63" customWidth="1"/>
    <col min="8449" max="8449" width="6" style="63" customWidth="1"/>
    <col min="8450" max="8451" width="10.1796875" style="63" customWidth="1"/>
    <col min="8452" max="8452" width="10" style="63" customWidth="1"/>
    <col min="8453" max="8453" width="10.36328125" style="63" customWidth="1"/>
    <col min="8454" max="8464" width="9.1796875" style="63" customWidth="1"/>
    <col min="8465" max="8465" width="11.36328125" style="63" customWidth="1"/>
    <col min="8466" max="8486" width="13" style="63" hidden="1" customWidth="1"/>
    <col min="8487" max="8692" width="9.1796875" style="63" customWidth="1"/>
    <col min="8693" max="8693" width="28.6328125" style="63" customWidth="1"/>
    <col min="8694" max="8694" width="9" style="63" bestFit="1" customWidth="1"/>
    <col min="8695" max="8695" width="5.36328125" style="63" customWidth="1"/>
    <col min="8696" max="8696" width="9" style="63" bestFit="1" customWidth="1"/>
    <col min="8697" max="8697" width="5.36328125" style="63" customWidth="1"/>
    <col min="8698" max="8698" width="9" style="63" bestFit="1" customWidth="1"/>
    <col min="8699" max="8699" width="5" style="63" customWidth="1"/>
    <col min="8700" max="8700" width="9" style="63" bestFit="1" customWidth="1"/>
    <col min="8701" max="8701" width="5.1796875" style="63" customWidth="1"/>
    <col min="8702" max="8702" width="9.1796875" style="63" customWidth="1"/>
    <col min="8703" max="8703" width="6" style="63" customWidth="1"/>
    <col min="8704" max="8704" width="9.1796875" style="63" customWidth="1"/>
    <col min="8705" max="8705" width="6" style="63" customWidth="1"/>
    <col min="8706" max="8707" width="10.1796875" style="63" customWidth="1"/>
    <col min="8708" max="8708" width="10" style="63" customWidth="1"/>
    <col min="8709" max="8709" width="10.36328125" style="63" customWidth="1"/>
    <col min="8710" max="8720" width="9.1796875" style="63" customWidth="1"/>
    <col min="8721" max="8721" width="11.36328125" style="63" customWidth="1"/>
    <col min="8722" max="8742" width="13" style="63" hidden="1" customWidth="1"/>
    <col min="8743" max="8948" width="9.1796875" style="63" customWidth="1"/>
    <col min="8949" max="8949" width="28.6328125" style="63" customWidth="1"/>
    <col min="8950" max="8950" width="9" style="63" bestFit="1" customWidth="1"/>
    <col min="8951" max="8951" width="5.36328125" style="63" customWidth="1"/>
    <col min="8952" max="8952" width="9" style="63" bestFit="1" customWidth="1"/>
    <col min="8953" max="8953" width="5.36328125" style="63" customWidth="1"/>
    <col min="8954" max="8954" width="9" style="63" bestFit="1" customWidth="1"/>
    <col min="8955" max="8955" width="5" style="63" customWidth="1"/>
    <col min="8956" max="8956" width="9" style="63" bestFit="1" customWidth="1"/>
    <col min="8957" max="8957" width="5.1796875" style="63" customWidth="1"/>
    <col min="8958" max="8958" width="9.1796875" style="63" customWidth="1"/>
    <col min="8959" max="8959" width="6" style="63" customWidth="1"/>
    <col min="8960" max="8960" width="9.1796875" style="63" customWidth="1"/>
    <col min="8961" max="8961" width="6" style="63" customWidth="1"/>
    <col min="8962" max="8963" width="10.1796875" style="63" customWidth="1"/>
    <col min="8964" max="8964" width="10" style="63" customWidth="1"/>
    <col min="8965" max="8965" width="10.36328125" style="63" customWidth="1"/>
    <col min="8966" max="8976" width="9.1796875" style="63" customWidth="1"/>
    <col min="8977" max="8977" width="11.36328125" style="63" customWidth="1"/>
    <col min="8978" max="8998" width="13" style="63" hidden="1" customWidth="1"/>
    <col min="8999" max="9204" width="9.1796875" style="63" customWidth="1"/>
    <col min="9205" max="9205" width="28.6328125" style="63" customWidth="1"/>
    <col min="9206" max="9206" width="9" style="63" bestFit="1" customWidth="1"/>
    <col min="9207" max="9207" width="5.36328125" style="63" customWidth="1"/>
    <col min="9208" max="9208" width="9" style="63" bestFit="1" customWidth="1"/>
    <col min="9209" max="9209" width="5.36328125" style="63" customWidth="1"/>
    <col min="9210" max="9210" width="9" style="63" bestFit="1" customWidth="1"/>
    <col min="9211" max="9211" width="5" style="63" customWidth="1"/>
    <col min="9212" max="9212" width="9" style="63" bestFit="1" customWidth="1"/>
    <col min="9213" max="9213" width="5.1796875" style="63" customWidth="1"/>
    <col min="9214" max="9214" width="9.1796875" style="63" customWidth="1"/>
    <col min="9215" max="9215" width="6" style="63" customWidth="1"/>
    <col min="9216" max="9216" width="9.1796875" style="63" customWidth="1"/>
    <col min="9217" max="9217" width="6" style="63" customWidth="1"/>
    <col min="9218" max="9219" width="10.1796875" style="63" customWidth="1"/>
    <col min="9220" max="9220" width="10" style="63" customWidth="1"/>
    <col min="9221" max="9221" width="10.36328125" style="63" customWidth="1"/>
    <col min="9222" max="9232" width="9.1796875" style="63" customWidth="1"/>
    <col min="9233" max="9233" width="11.36328125" style="63" customWidth="1"/>
    <col min="9234" max="9254" width="13" style="63" hidden="1" customWidth="1"/>
    <col min="9255" max="9460" width="9.1796875" style="63" customWidth="1"/>
    <col min="9461" max="9461" width="28.6328125" style="63" customWidth="1"/>
    <col min="9462" max="9462" width="9" style="63" bestFit="1" customWidth="1"/>
    <col min="9463" max="9463" width="5.36328125" style="63" customWidth="1"/>
    <col min="9464" max="9464" width="9" style="63" bestFit="1" customWidth="1"/>
    <col min="9465" max="9465" width="5.36328125" style="63" customWidth="1"/>
    <col min="9466" max="9466" width="9" style="63" bestFit="1" customWidth="1"/>
    <col min="9467" max="9467" width="5" style="63" customWidth="1"/>
    <col min="9468" max="9468" width="9" style="63" bestFit="1" customWidth="1"/>
    <col min="9469" max="9469" width="5.1796875" style="63" customWidth="1"/>
    <col min="9470" max="9470" width="9.1796875" style="63" customWidth="1"/>
    <col min="9471" max="9471" width="6" style="63" customWidth="1"/>
    <col min="9472" max="9472" width="9.1796875" style="63" customWidth="1"/>
    <col min="9473" max="9473" width="6" style="63" customWidth="1"/>
    <col min="9474" max="9475" width="10.1796875" style="63" customWidth="1"/>
    <col min="9476" max="9476" width="10" style="63" customWidth="1"/>
    <col min="9477" max="9477" width="10.36328125" style="63" customWidth="1"/>
    <col min="9478" max="9488" width="9.1796875" style="63" customWidth="1"/>
    <col min="9489" max="9489" width="11.36328125" style="63" customWidth="1"/>
    <col min="9490" max="9510" width="13" style="63" hidden="1" customWidth="1"/>
    <col min="9511" max="9716" width="9.1796875" style="63" customWidth="1"/>
    <col min="9717" max="9717" width="28.6328125" style="63" customWidth="1"/>
    <col min="9718" max="9718" width="9" style="63" bestFit="1" customWidth="1"/>
    <col min="9719" max="9719" width="5.36328125" style="63" customWidth="1"/>
    <col min="9720" max="9720" width="9" style="63" bestFit="1" customWidth="1"/>
    <col min="9721" max="9721" width="5.36328125" style="63" customWidth="1"/>
    <col min="9722" max="9722" width="9" style="63" bestFit="1" customWidth="1"/>
    <col min="9723" max="9723" width="5" style="63" customWidth="1"/>
    <col min="9724" max="9724" width="9" style="63" bestFit="1" customWidth="1"/>
    <col min="9725" max="9725" width="5.1796875" style="63" customWidth="1"/>
    <col min="9726" max="9726" width="9.1796875" style="63" customWidth="1"/>
    <col min="9727" max="9727" width="6" style="63" customWidth="1"/>
    <col min="9728" max="9728" width="9.1796875" style="63" customWidth="1"/>
    <col min="9729" max="9729" width="6" style="63" customWidth="1"/>
    <col min="9730" max="9731" width="10.1796875" style="63" customWidth="1"/>
    <col min="9732" max="9732" width="10" style="63" customWidth="1"/>
    <col min="9733" max="9733" width="10.36328125" style="63" customWidth="1"/>
    <col min="9734" max="9744" width="9.1796875" style="63" customWidth="1"/>
    <col min="9745" max="9745" width="11.36328125" style="63" customWidth="1"/>
    <col min="9746" max="9766" width="13" style="63" hidden="1" customWidth="1"/>
    <col min="9767" max="9972" width="9.1796875" style="63" customWidth="1"/>
    <col min="9973" max="9973" width="28.6328125" style="63" customWidth="1"/>
    <col min="9974" max="9974" width="9" style="63" bestFit="1" customWidth="1"/>
    <col min="9975" max="9975" width="5.36328125" style="63" customWidth="1"/>
    <col min="9976" max="9976" width="9" style="63" bestFit="1" customWidth="1"/>
    <col min="9977" max="9977" width="5.36328125" style="63" customWidth="1"/>
    <col min="9978" max="9978" width="9" style="63" bestFit="1" customWidth="1"/>
    <col min="9979" max="9979" width="5" style="63" customWidth="1"/>
    <col min="9980" max="9980" width="9" style="63" bestFit="1" customWidth="1"/>
    <col min="9981" max="9981" width="5.1796875" style="63" customWidth="1"/>
    <col min="9982" max="9982" width="9.1796875" style="63" customWidth="1"/>
    <col min="9983" max="9983" width="6" style="63" customWidth="1"/>
    <col min="9984" max="9984" width="9.1796875" style="63" customWidth="1"/>
    <col min="9985" max="9985" width="6" style="63" customWidth="1"/>
    <col min="9986" max="9987" width="10.1796875" style="63" customWidth="1"/>
    <col min="9988" max="9988" width="10" style="63" customWidth="1"/>
    <col min="9989" max="9989" width="10.36328125" style="63" customWidth="1"/>
    <col min="9990" max="10000" width="9.1796875" style="63" customWidth="1"/>
    <col min="10001" max="10001" width="11.36328125" style="63" customWidth="1"/>
    <col min="10002" max="10022" width="13" style="63" hidden="1" customWidth="1"/>
    <col min="10023" max="10228" width="9.1796875" style="63" customWidth="1"/>
    <col min="10229" max="10229" width="28.6328125" style="63" customWidth="1"/>
    <col min="10230" max="10230" width="9" style="63" bestFit="1" customWidth="1"/>
    <col min="10231" max="10231" width="5.36328125" style="63" customWidth="1"/>
    <col min="10232" max="10232" width="9" style="63" bestFit="1" customWidth="1"/>
    <col min="10233" max="10233" width="5.36328125" style="63" customWidth="1"/>
    <col min="10234" max="10234" width="9" style="63" bestFit="1" customWidth="1"/>
    <col min="10235" max="10235" width="5" style="63" customWidth="1"/>
    <col min="10236" max="10236" width="9" style="63" bestFit="1" customWidth="1"/>
    <col min="10237" max="10237" width="5.1796875" style="63" customWidth="1"/>
    <col min="10238" max="10238" width="9.1796875" style="63" customWidth="1"/>
    <col min="10239" max="10239" width="6" style="63" customWidth="1"/>
    <col min="10240" max="10240" width="9.1796875" style="63" customWidth="1"/>
    <col min="10241" max="10241" width="6" style="63" customWidth="1"/>
    <col min="10242" max="10243" width="10.1796875" style="63" customWidth="1"/>
    <col min="10244" max="10244" width="10" style="63" customWidth="1"/>
    <col min="10245" max="10245" width="10.36328125" style="63" customWidth="1"/>
    <col min="10246" max="10256" width="9.1796875" style="63" customWidth="1"/>
    <col min="10257" max="10257" width="11.36328125" style="63" customWidth="1"/>
    <col min="10258" max="10278" width="13" style="63" hidden="1" customWidth="1"/>
    <col min="10279" max="10484" width="9.1796875" style="63" customWidth="1"/>
    <col min="10485" max="10485" width="28.6328125" style="63" customWidth="1"/>
    <col min="10486" max="10486" width="9" style="63" bestFit="1" customWidth="1"/>
    <col min="10487" max="10487" width="5.36328125" style="63" customWidth="1"/>
    <col min="10488" max="10488" width="9" style="63" bestFit="1" customWidth="1"/>
    <col min="10489" max="10489" width="5.36328125" style="63" customWidth="1"/>
    <col min="10490" max="10490" width="9" style="63" bestFit="1" customWidth="1"/>
    <col min="10491" max="10491" width="5" style="63" customWidth="1"/>
    <col min="10492" max="10492" width="9" style="63" bestFit="1" customWidth="1"/>
    <col min="10493" max="10493" width="5.1796875" style="63" customWidth="1"/>
    <col min="10494" max="10494" width="9.1796875" style="63" customWidth="1"/>
    <col min="10495" max="10495" width="6" style="63" customWidth="1"/>
    <col min="10496" max="10496" width="9.1796875" style="63" customWidth="1"/>
    <col min="10497" max="10497" width="6" style="63" customWidth="1"/>
    <col min="10498" max="10499" width="10.1796875" style="63" customWidth="1"/>
    <col min="10500" max="10500" width="10" style="63" customWidth="1"/>
    <col min="10501" max="10501" width="10.36328125" style="63" customWidth="1"/>
    <col min="10502" max="10512" width="9.1796875" style="63" customWidth="1"/>
    <col min="10513" max="10513" width="11.36328125" style="63" customWidth="1"/>
    <col min="10514" max="10534" width="13" style="63" hidden="1" customWidth="1"/>
    <col min="10535" max="10740" width="9.1796875" style="63" customWidth="1"/>
    <col min="10741" max="10741" width="28.6328125" style="63" customWidth="1"/>
    <col min="10742" max="10742" width="9" style="63" bestFit="1" customWidth="1"/>
    <col min="10743" max="10743" width="5.36328125" style="63" customWidth="1"/>
    <col min="10744" max="10744" width="9" style="63" bestFit="1" customWidth="1"/>
    <col min="10745" max="10745" width="5.36328125" style="63" customWidth="1"/>
    <col min="10746" max="10746" width="9" style="63" bestFit="1" customWidth="1"/>
    <col min="10747" max="10747" width="5" style="63" customWidth="1"/>
    <col min="10748" max="10748" width="9" style="63" bestFit="1" customWidth="1"/>
    <col min="10749" max="10749" width="5.1796875" style="63" customWidth="1"/>
    <col min="10750" max="10750" width="9.1796875" style="63" customWidth="1"/>
    <col min="10751" max="10751" width="6" style="63" customWidth="1"/>
    <col min="10752" max="10752" width="9.1796875" style="63" customWidth="1"/>
    <col min="10753" max="10753" width="6" style="63" customWidth="1"/>
    <col min="10754" max="10755" width="10.1796875" style="63" customWidth="1"/>
    <col min="10756" max="10756" width="10" style="63" customWidth="1"/>
    <col min="10757" max="10757" width="10.36328125" style="63" customWidth="1"/>
    <col min="10758" max="10768" width="9.1796875" style="63" customWidth="1"/>
    <col min="10769" max="10769" width="11.36328125" style="63" customWidth="1"/>
    <col min="10770" max="10790" width="13" style="63" hidden="1" customWidth="1"/>
    <col min="10791" max="10996" width="9.1796875" style="63" customWidth="1"/>
    <col min="10997" max="10997" width="28.6328125" style="63" customWidth="1"/>
    <col min="10998" max="10998" width="9" style="63" bestFit="1" customWidth="1"/>
    <col min="10999" max="10999" width="5.36328125" style="63" customWidth="1"/>
    <col min="11000" max="11000" width="9" style="63" bestFit="1" customWidth="1"/>
    <col min="11001" max="11001" width="5.36328125" style="63" customWidth="1"/>
    <col min="11002" max="11002" width="9" style="63" bestFit="1" customWidth="1"/>
    <col min="11003" max="11003" width="5" style="63" customWidth="1"/>
    <col min="11004" max="11004" width="9" style="63" bestFit="1" customWidth="1"/>
    <col min="11005" max="11005" width="5.1796875" style="63" customWidth="1"/>
    <col min="11006" max="11006" width="9.1796875" style="63" customWidth="1"/>
    <col min="11007" max="11007" width="6" style="63" customWidth="1"/>
    <col min="11008" max="11008" width="9.1796875" style="63" customWidth="1"/>
    <col min="11009" max="11009" width="6" style="63" customWidth="1"/>
    <col min="11010" max="11011" width="10.1796875" style="63" customWidth="1"/>
    <col min="11012" max="11012" width="10" style="63" customWidth="1"/>
    <col min="11013" max="11013" width="10.36328125" style="63" customWidth="1"/>
    <col min="11014" max="11024" width="9.1796875" style="63" customWidth="1"/>
    <col min="11025" max="11025" width="11.36328125" style="63" customWidth="1"/>
    <col min="11026" max="11046" width="13" style="63" hidden="1" customWidth="1"/>
    <col min="11047" max="11252" width="9.1796875" style="63" customWidth="1"/>
    <col min="11253" max="11253" width="28.6328125" style="63" customWidth="1"/>
    <col min="11254" max="11254" width="9" style="63" bestFit="1" customWidth="1"/>
    <col min="11255" max="11255" width="5.36328125" style="63" customWidth="1"/>
    <col min="11256" max="11256" width="9" style="63" bestFit="1" customWidth="1"/>
    <col min="11257" max="11257" width="5.36328125" style="63" customWidth="1"/>
    <col min="11258" max="11258" width="9" style="63" bestFit="1" customWidth="1"/>
    <col min="11259" max="11259" width="5" style="63" customWidth="1"/>
    <col min="11260" max="11260" width="9" style="63" bestFit="1" customWidth="1"/>
    <col min="11261" max="11261" width="5.1796875" style="63" customWidth="1"/>
    <col min="11262" max="11262" width="9.1796875" style="63" customWidth="1"/>
    <col min="11263" max="11263" width="6" style="63" customWidth="1"/>
    <col min="11264" max="11264" width="9.1796875" style="63" customWidth="1"/>
    <col min="11265" max="11265" width="6" style="63" customWidth="1"/>
    <col min="11266" max="11267" width="10.1796875" style="63" customWidth="1"/>
    <col min="11268" max="11268" width="10" style="63" customWidth="1"/>
    <col min="11269" max="11269" width="10.36328125" style="63" customWidth="1"/>
    <col min="11270" max="11280" width="9.1796875" style="63" customWidth="1"/>
    <col min="11281" max="11281" width="11.36328125" style="63" customWidth="1"/>
    <col min="11282" max="11302" width="13" style="63" hidden="1" customWidth="1"/>
    <col min="11303" max="11508" width="9.1796875" style="63" customWidth="1"/>
    <col min="11509" max="11509" width="28.6328125" style="63" customWidth="1"/>
    <col min="11510" max="11510" width="9" style="63" bestFit="1" customWidth="1"/>
    <col min="11511" max="11511" width="5.36328125" style="63" customWidth="1"/>
    <col min="11512" max="11512" width="9" style="63" bestFit="1" customWidth="1"/>
    <col min="11513" max="11513" width="5.36328125" style="63" customWidth="1"/>
    <col min="11514" max="11514" width="9" style="63" bestFit="1" customWidth="1"/>
    <col min="11515" max="11515" width="5" style="63" customWidth="1"/>
    <col min="11516" max="11516" width="9" style="63" bestFit="1" customWidth="1"/>
    <col min="11517" max="11517" width="5.1796875" style="63" customWidth="1"/>
    <col min="11518" max="11518" width="9.1796875" style="63" customWidth="1"/>
    <col min="11519" max="11519" width="6" style="63" customWidth="1"/>
    <col min="11520" max="11520" width="9.1796875" style="63" customWidth="1"/>
    <col min="11521" max="11521" width="6" style="63" customWidth="1"/>
    <col min="11522" max="11523" width="10.1796875" style="63" customWidth="1"/>
    <col min="11524" max="11524" width="10" style="63" customWidth="1"/>
    <col min="11525" max="11525" width="10.36328125" style="63" customWidth="1"/>
    <col min="11526" max="11536" width="9.1796875" style="63" customWidth="1"/>
    <col min="11537" max="11537" width="11.36328125" style="63" customWidth="1"/>
    <col min="11538" max="11558" width="13" style="63" hidden="1" customWidth="1"/>
    <col min="11559" max="11764" width="9.1796875" style="63" customWidth="1"/>
    <col min="11765" max="11765" width="28.6328125" style="63" customWidth="1"/>
    <col min="11766" max="11766" width="9" style="63" bestFit="1" customWidth="1"/>
    <col min="11767" max="11767" width="5.36328125" style="63" customWidth="1"/>
    <col min="11768" max="11768" width="9" style="63" bestFit="1" customWidth="1"/>
    <col min="11769" max="11769" width="5.36328125" style="63" customWidth="1"/>
    <col min="11770" max="11770" width="9" style="63" bestFit="1" customWidth="1"/>
    <col min="11771" max="11771" width="5" style="63" customWidth="1"/>
    <col min="11772" max="11772" width="9" style="63" bestFit="1" customWidth="1"/>
    <col min="11773" max="11773" width="5.1796875" style="63" customWidth="1"/>
    <col min="11774" max="11774" width="9.1796875" style="63" customWidth="1"/>
    <col min="11775" max="11775" width="6" style="63" customWidth="1"/>
    <col min="11776" max="11776" width="9.1796875" style="63" customWidth="1"/>
    <col min="11777" max="11777" width="6" style="63" customWidth="1"/>
    <col min="11778" max="11779" width="10.1796875" style="63" customWidth="1"/>
    <col min="11780" max="11780" width="10" style="63" customWidth="1"/>
    <col min="11781" max="11781" width="10.36328125" style="63" customWidth="1"/>
    <col min="11782" max="11792" width="9.1796875" style="63" customWidth="1"/>
    <col min="11793" max="11793" width="11.36328125" style="63" customWidth="1"/>
    <col min="11794" max="11814" width="13" style="63" hidden="1" customWidth="1"/>
    <col min="11815" max="12020" width="9.1796875" style="63" customWidth="1"/>
    <col min="12021" max="12021" width="28.6328125" style="63" customWidth="1"/>
    <col min="12022" max="12022" width="9" style="63" bestFit="1" customWidth="1"/>
    <col min="12023" max="12023" width="5.36328125" style="63" customWidth="1"/>
    <col min="12024" max="12024" width="9" style="63" bestFit="1" customWidth="1"/>
    <col min="12025" max="12025" width="5.36328125" style="63" customWidth="1"/>
    <col min="12026" max="12026" width="9" style="63" bestFit="1" customWidth="1"/>
    <col min="12027" max="12027" width="5" style="63" customWidth="1"/>
    <col min="12028" max="12028" width="9" style="63" bestFit="1" customWidth="1"/>
    <col min="12029" max="12029" width="5.1796875" style="63" customWidth="1"/>
    <col min="12030" max="12030" width="9.1796875" style="63" customWidth="1"/>
    <col min="12031" max="12031" width="6" style="63" customWidth="1"/>
    <col min="12032" max="12032" width="9.1796875" style="63" customWidth="1"/>
    <col min="12033" max="12033" width="6" style="63" customWidth="1"/>
    <col min="12034" max="12035" width="10.1796875" style="63" customWidth="1"/>
    <col min="12036" max="12036" width="10" style="63" customWidth="1"/>
    <col min="12037" max="12037" width="10.36328125" style="63" customWidth="1"/>
    <col min="12038" max="12048" width="9.1796875" style="63" customWidth="1"/>
    <col min="12049" max="12049" width="11.36328125" style="63" customWidth="1"/>
    <col min="12050" max="12070" width="13" style="63" hidden="1" customWidth="1"/>
    <col min="12071" max="12276" width="9.1796875" style="63" customWidth="1"/>
    <col min="12277" max="12277" width="28.6328125" style="63" customWidth="1"/>
    <col min="12278" max="12278" width="9" style="63" bestFit="1" customWidth="1"/>
    <col min="12279" max="12279" width="5.36328125" style="63" customWidth="1"/>
    <col min="12280" max="12280" width="9" style="63" bestFit="1" customWidth="1"/>
    <col min="12281" max="12281" width="5.36328125" style="63" customWidth="1"/>
    <col min="12282" max="12282" width="9" style="63" bestFit="1" customWidth="1"/>
    <col min="12283" max="12283" width="5" style="63" customWidth="1"/>
    <col min="12284" max="12284" width="9" style="63" bestFit="1" customWidth="1"/>
    <col min="12285" max="12285" width="5.1796875" style="63" customWidth="1"/>
    <col min="12286" max="12286" width="9.1796875" style="63" customWidth="1"/>
    <col min="12287" max="12287" width="6" style="63" customWidth="1"/>
    <col min="12288" max="12288" width="9.1796875" style="63" customWidth="1"/>
    <col min="12289" max="12289" width="6" style="63" customWidth="1"/>
    <col min="12290" max="12291" width="10.1796875" style="63" customWidth="1"/>
    <col min="12292" max="12292" width="10" style="63" customWidth="1"/>
    <col min="12293" max="12293" width="10.36328125" style="63" customWidth="1"/>
    <col min="12294" max="12304" width="9.1796875" style="63" customWidth="1"/>
    <col min="12305" max="12305" width="11.36328125" style="63" customWidth="1"/>
    <col min="12306" max="12326" width="13" style="63" hidden="1" customWidth="1"/>
    <col min="12327" max="12532" width="9.1796875" style="63" customWidth="1"/>
    <col min="12533" max="12533" width="28.6328125" style="63" customWidth="1"/>
    <col min="12534" max="12534" width="9" style="63" bestFit="1" customWidth="1"/>
    <col min="12535" max="12535" width="5.36328125" style="63" customWidth="1"/>
    <col min="12536" max="12536" width="9" style="63" bestFit="1" customWidth="1"/>
    <col min="12537" max="12537" width="5.36328125" style="63" customWidth="1"/>
    <col min="12538" max="12538" width="9" style="63" bestFit="1" customWidth="1"/>
    <col min="12539" max="12539" width="5" style="63" customWidth="1"/>
    <col min="12540" max="12540" width="9" style="63" bestFit="1" customWidth="1"/>
    <col min="12541" max="12541" width="5.1796875" style="63" customWidth="1"/>
    <col min="12542" max="12542" width="9.1796875" style="63" customWidth="1"/>
    <col min="12543" max="12543" width="6" style="63" customWidth="1"/>
    <col min="12544" max="12544" width="9.1796875" style="63" customWidth="1"/>
    <col min="12545" max="12545" width="6" style="63" customWidth="1"/>
    <col min="12546" max="12547" width="10.1796875" style="63" customWidth="1"/>
    <col min="12548" max="12548" width="10" style="63" customWidth="1"/>
    <col min="12549" max="12549" width="10.36328125" style="63" customWidth="1"/>
    <col min="12550" max="12560" width="9.1796875" style="63" customWidth="1"/>
    <col min="12561" max="12561" width="11.36328125" style="63" customWidth="1"/>
    <col min="12562" max="12582" width="13" style="63" hidden="1" customWidth="1"/>
    <col min="12583" max="12788" width="9.1796875" style="63" customWidth="1"/>
    <col min="12789" max="12789" width="28.6328125" style="63" customWidth="1"/>
    <col min="12790" max="12790" width="9" style="63" bestFit="1" customWidth="1"/>
    <col min="12791" max="12791" width="5.36328125" style="63" customWidth="1"/>
    <col min="12792" max="12792" width="9" style="63" bestFit="1" customWidth="1"/>
    <col min="12793" max="12793" width="5.36328125" style="63" customWidth="1"/>
    <col min="12794" max="12794" width="9" style="63" bestFit="1" customWidth="1"/>
    <col min="12795" max="12795" width="5" style="63" customWidth="1"/>
    <col min="12796" max="12796" width="9" style="63" bestFit="1" customWidth="1"/>
    <col min="12797" max="12797" width="5.1796875" style="63" customWidth="1"/>
    <col min="12798" max="12798" width="9.1796875" style="63" customWidth="1"/>
    <col min="12799" max="12799" width="6" style="63" customWidth="1"/>
    <col min="12800" max="12800" width="9.1796875" style="63" customWidth="1"/>
    <col min="12801" max="12801" width="6" style="63" customWidth="1"/>
    <col min="12802" max="12803" width="10.1796875" style="63" customWidth="1"/>
    <col min="12804" max="12804" width="10" style="63" customWidth="1"/>
    <col min="12805" max="12805" width="10.36328125" style="63" customWidth="1"/>
    <col min="12806" max="12816" width="9.1796875" style="63" customWidth="1"/>
    <col min="12817" max="12817" width="11.36328125" style="63" customWidth="1"/>
    <col min="12818" max="12838" width="13" style="63" hidden="1" customWidth="1"/>
    <col min="12839" max="13044" width="9.1796875" style="63" customWidth="1"/>
    <col min="13045" max="13045" width="28.6328125" style="63" customWidth="1"/>
    <col min="13046" max="13046" width="9" style="63" bestFit="1" customWidth="1"/>
    <col min="13047" max="13047" width="5.36328125" style="63" customWidth="1"/>
    <col min="13048" max="13048" width="9" style="63" bestFit="1" customWidth="1"/>
    <col min="13049" max="13049" width="5.36328125" style="63" customWidth="1"/>
    <col min="13050" max="13050" width="9" style="63" bestFit="1" customWidth="1"/>
    <col min="13051" max="13051" width="5" style="63" customWidth="1"/>
    <col min="13052" max="13052" width="9" style="63" bestFit="1" customWidth="1"/>
    <col min="13053" max="13053" width="5.1796875" style="63" customWidth="1"/>
    <col min="13054" max="13054" width="9.1796875" style="63" customWidth="1"/>
    <col min="13055" max="13055" width="6" style="63" customWidth="1"/>
    <col min="13056" max="13056" width="9.1796875" style="63" customWidth="1"/>
    <col min="13057" max="13057" width="6" style="63" customWidth="1"/>
    <col min="13058" max="13059" width="10.1796875" style="63" customWidth="1"/>
    <col min="13060" max="13060" width="10" style="63" customWidth="1"/>
    <col min="13061" max="13061" width="10.36328125" style="63" customWidth="1"/>
    <col min="13062" max="13072" width="9.1796875" style="63" customWidth="1"/>
    <col min="13073" max="13073" width="11.36328125" style="63" customWidth="1"/>
    <col min="13074" max="13094" width="13" style="63" hidden="1" customWidth="1"/>
    <col min="13095" max="13300" width="9.1796875" style="63" customWidth="1"/>
    <col min="13301" max="13301" width="28.6328125" style="63" customWidth="1"/>
    <col min="13302" max="13302" width="9" style="63" bestFit="1" customWidth="1"/>
    <col min="13303" max="13303" width="5.36328125" style="63" customWidth="1"/>
    <col min="13304" max="13304" width="9" style="63" bestFit="1" customWidth="1"/>
    <col min="13305" max="13305" width="5.36328125" style="63" customWidth="1"/>
    <col min="13306" max="13306" width="9" style="63" bestFit="1" customWidth="1"/>
    <col min="13307" max="13307" width="5" style="63" customWidth="1"/>
    <col min="13308" max="13308" width="9" style="63" bestFit="1" customWidth="1"/>
    <col min="13309" max="13309" width="5.1796875" style="63" customWidth="1"/>
    <col min="13310" max="13310" width="9.1796875" style="63" customWidth="1"/>
    <col min="13311" max="13311" width="6" style="63" customWidth="1"/>
    <col min="13312" max="13312" width="9.1796875" style="63" customWidth="1"/>
    <col min="13313" max="13313" width="6" style="63" customWidth="1"/>
    <col min="13314" max="13315" width="10.1796875" style="63" customWidth="1"/>
    <col min="13316" max="13316" width="10" style="63" customWidth="1"/>
    <col min="13317" max="13317" width="10.36328125" style="63" customWidth="1"/>
    <col min="13318" max="13328" width="9.1796875" style="63" customWidth="1"/>
    <col min="13329" max="13329" width="11.36328125" style="63" customWidth="1"/>
    <col min="13330" max="13350" width="13" style="63" hidden="1" customWidth="1"/>
    <col min="13351" max="13556" width="9.1796875" style="63" customWidth="1"/>
    <col min="13557" max="13557" width="28.6328125" style="63" customWidth="1"/>
    <col min="13558" max="13558" width="9" style="63" bestFit="1" customWidth="1"/>
    <col min="13559" max="13559" width="5.36328125" style="63" customWidth="1"/>
    <col min="13560" max="13560" width="9" style="63" bestFit="1" customWidth="1"/>
    <col min="13561" max="13561" width="5.36328125" style="63" customWidth="1"/>
    <col min="13562" max="13562" width="9" style="63" bestFit="1" customWidth="1"/>
    <col min="13563" max="13563" width="5" style="63" customWidth="1"/>
    <col min="13564" max="13564" width="9" style="63" bestFit="1" customWidth="1"/>
    <col min="13565" max="13565" width="5.1796875" style="63" customWidth="1"/>
    <col min="13566" max="13566" width="9.1796875" style="63" customWidth="1"/>
    <col min="13567" max="13567" width="6" style="63" customWidth="1"/>
    <col min="13568" max="13568" width="9.1796875" style="63" customWidth="1"/>
    <col min="13569" max="13569" width="6" style="63" customWidth="1"/>
    <col min="13570" max="13571" width="10.1796875" style="63" customWidth="1"/>
    <col min="13572" max="13572" width="10" style="63" customWidth="1"/>
    <col min="13573" max="13573" width="10.36328125" style="63" customWidth="1"/>
    <col min="13574" max="13584" width="9.1796875" style="63" customWidth="1"/>
    <col min="13585" max="13585" width="11.36328125" style="63" customWidth="1"/>
    <col min="13586" max="13606" width="13" style="63" hidden="1" customWidth="1"/>
    <col min="13607" max="13812" width="9.1796875" style="63" customWidth="1"/>
    <col min="13813" max="13813" width="28.6328125" style="63" customWidth="1"/>
    <col min="13814" max="13814" width="9" style="63" bestFit="1" customWidth="1"/>
    <col min="13815" max="13815" width="5.36328125" style="63" customWidth="1"/>
    <col min="13816" max="13816" width="9" style="63" bestFit="1" customWidth="1"/>
    <col min="13817" max="13817" width="5.36328125" style="63" customWidth="1"/>
    <col min="13818" max="13818" width="9" style="63" bestFit="1" customWidth="1"/>
    <col min="13819" max="13819" width="5" style="63" customWidth="1"/>
    <col min="13820" max="13820" width="9" style="63" bestFit="1" customWidth="1"/>
    <col min="13821" max="13821" width="5.1796875" style="63" customWidth="1"/>
    <col min="13822" max="13822" width="9.1796875" style="63" customWidth="1"/>
    <col min="13823" max="13823" width="6" style="63" customWidth="1"/>
    <col min="13824" max="13824" width="9.1796875" style="63" customWidth="1"/>
    <col min="13825" max="13825" width="6" style="63" customWidth="1"/>
    <col min="13826" max="13827" width="10.1796875" style="63" customWidth="1"/>
    <col min="13828" max="13828" width="10" style="63" customWidth="1"/>
    <col min="13829" max="13829" width="10.36328125" style="63" customWidth="1"/>
    <col min="13830" max="13840" width="9.1796875" style="63" customWidth="1"/>
    <col min="13841" max="13841" width="11.36328125" style="63" customWidth="1"/>
    <col min="13842" max="13862" width="13" style="63" hidden="1" customWidth="1"/>
    <col min="13863" max="14068" width="9.1796875" style="63" customWidth="1"/>
    <col min="14069" max="14069" width="28.6328125" style="63" customWidth="1"/>
    <col min="14070" max="14070" width="9" style="63" bestFit="1" customWidth="1"/>
    <col min="14071" max="14071" width="5.36328125" style="63" customWidth="1"/>
    <col min="14072" max="14072" width="9" style="63" bestFit="1" customWidth="1"/>
    <col min="14073" max="14073" width="5.36328125" style="63" customWidth="1"/>
    <col min="14074" max="14074" width="9" style="63" bestFit="1" customWidth="1"/>
    <col min="14075" max="14075" width="5" style="63" customWidth="1"/>
    <col min="14076" max="14076" width="9" style="63" bestFit="1" customWidth="1"/>
    <col min="14077" max="14077" width="5.1796875" style="63" customWidth="1"/>
    <col min="14078" max="14078" width="9.1796875" style="63" customWidth="1"/>
    <col min="14079" max="14079" width="6" style="63" customWidth="1"/>
    <col min="14080" max="14080" width="9.1796875" style="63" customWidth="1"/>
    <col min="14081" max="14081" width="6" style="63" customWidth="1"/>
    <col min="14082" max="14083" width="10.1796875" style="63" customWidth="1"/>
    <col min="14084" max="14084" width="10" style="63" customWidth="1"/>
    <col min="14085" max="14085" width="10.36328125" style="63" customWidth="1"/>
    <col min="14086" max="14096" width="9.1796875" style="63" customWidth="1"/>
    <col min="14097" max="14097" width="11.36328125" style="63" customWidth="1"/>
    <col min="14098" max="14118" width="13" style="63" hidden="1" customWidth="1"/>
    <col min="14119" max="14324" width="9.1796875" style="63" customWidth="1"/>
    <col min="14325" max="14325" width="28.6328125" style="63" customWidth="1"/>
    <col min="14326" max="14326" width="9" style="63" bestFit="1" customWidth="1"/>
    <col min="14327" max="14327" width="5.36328125" style="63" customWidth="1"/>
    <col min="14328" max="14328" width="9" style="63" bestFit="1" customWidth="1"/>
    <col min="14329" max="14329" width="5.36328125" style="63" customWidth="1"/>
    <col min="14330" max="14330" width="9" style="63" bestFit="1" customWidth="1"/>
    <col min="14331" max="14331" width="5" style="63" customWidth="1"/>
    <col min="14332" max="14332" width="9" style="63" bestFit="1" customWidth="1"/>
    <col min="14333" max="14333" width="5.1796875" style="63" customWidth="1"/>
    <col min="14334" max="14334" width="9.1796875" style="63" customWidth="1"/>
    <col min="14335" max="14335" width="6" style="63" customWidth="1"/>
    <col min="14336" max="14336" width="9.1796875" style="63" customWidth="1"/>
    <col min="14337" max="14337" width="6" style="63" customWidth="1"/>
    <col min="14338" max="14339" width="10.1796875" style="63" customWidth="1"/>
    <col min="14340" max="14340" width="10" style="63" customWidth="1"/>
    <col min="14341" max="14341" width="10.36328125" style="63" customWidth="1"/>
    <col min="14342" max="14352" width="9.1796875" style="63" customWidth="1"/>
    <col min="14353" max="14353" width="11.36328125" style="63" customWidth="1"/>
    <col min="14354" max="14374" width="13" style="63" hidden="1" customWidth="1"/>
    <col min="14375" max="14580" width="9.1796875" style="63" customWidth="1"/>
    <col min="14581" max="14581" width="28.6328125" style="63" customWidth="1"/>
    <col min="14582" max="14582" width="9" style="63" bestFit="1" customWidth="1"/>
    <col min="14583" max="14583" width="5.36328125" style="63" customWidth="1"/>
    <col min="14584" max="14584" width="9" style="63" bestFit="1" customWidth="1"/>
    <col min="14585" max="14585" width="5.36328125" style="63" customWidth="1"/>
    <col min="14586" max="14586" width="9" style="63" bestFit="1" customWidth="1"/>
    <col min="14587" max="14587" width="5" style="63" customWidth="1"/>
    <col min="14588" max="14588" width="9" style="63" bestFit="1" customWidth="1"/>
    <col min="14589" max="14589" width="5.1796875" style="63" customWidth="1"/>
    <col min="14590" max="14590" width="9.1796875" style="63" customWidth="1"/>
    <col min="14591" max="14591" width="6" style="63" customWidth="1"/>
    <col min="14592" max="14592" width="9.1796875" style="63" customWidth="1"/>
    <col min="14593" max="14593" width="6" style="63" customWidth="1"/>
    <col min="14594" max="14595" width="10.1796875" style="63" customWidth="1"/>
    <col min="14596" max="14596" width="10" style="63" customWidth="1"/>
    <col min="14597" max="14597" width="10.36328125" style="63" customWidth="1"/>
    <col min="14598" max="14608" width="9.1796875" style="63" customWidth="1"/>
    <col min="14609" max="14609" width="11.36328125" style="63" customWidth="1"/>
    <col min="14610" max="14630" width="13" style="63" hidden="1" customWidth="1"/>
    <col min="14631" max="14836" width="9.1796875" style="63" customWidth="1"/>
    <col min="14837" max="14837" width="28.6328125" style="63" customWidth="1"/>
    <col min="14838" max="14838" width="9" style="63" bestFit="1" customWidth="1"/>
    <col min="14839" max="14839" width="5.36328125" style="63" customWidth="1"/>
    <col min="14840" max="14840" width="9" style="63" bestFit="1" customWidth="1"/>
    <col min="14841" max="14841" width="5.36328125" style="63" customWidth="1"/>
    <col min="14842" max="14842" width="9" style="63" bestFit="1" customWidth="1"/>
    <col min="14843" max="14843" width="5" style="63" customWidth="1"/>
    <col min="14844" max="14844" width="9" style="63" bestFit="1" customWidth="1"/>
    <col min="14845" max="14845" width="5.1796875" style="63" customWidth="1"/>
    <col min="14846" max="14846" width="9.1796875" style="63" customWidth="1"/>
    <col min="14847" max="14847" width="6" style="63" customWidth="1"/>
    <col min="14848" max="14848" width="9.1796875" style="63" customWidth="1"/>
    <col min="14849" max="14849" width="6" style="63" customWidth="1"/>
    <col min="14850" max="14851" width="10.1796875" style="63" customWidth="1"/>
    <col min="14852" max="14852" width="10" style="63" customWidth="1"/>
    <col min="14853" max="14853" width="10.36328125" style="63" customWidth="1"/>
    <col min="14854" max="14864" width="9.1796875" style="63" customWidth="1"/>
    <col min="14865" max="14865" width="11.36328125" style="63" customWidth="1"/>
    <col min="14866" max="14886" width="13" style="63" hidden="1" customWidth="1"/>
    <col min="14887" max="15092" width="9.1796875" style="63" customWidth="1"/>
    <col min="15093" max="15093" width="28.6328125" style="63" customWidth="1"/>
    <col min="15094" max="15094" width="9" style="63" bestFit="1" customWidth="1"/>
    <col min="15095" max="15095" width="5.36328125" style="63" customWidth="1"/>
    <col min="15096" max="15096" width="9" style="63" bestFit="1" customWidth="1"/>
    <col min="15097" max="15097" width="5.36328125" style="63" customWidth="1"/>
    <col min="15098" max="15098" width="9" style="63" bestFit="1" customWidth="1"/>
    <col min="15099" max="15099" width="5" style="63" customWidth="1"/>
    <col min="15100" max="15100" width="9" style="63" bestFit="1" customWidth="1"/>
    <col min="15101" max="15101" width="5.1796875" style="63" customWidth="1"/>
    <col min="15102" max="15102" width="9.1796875" style="63" customWidth="1"/>
    <col min="15103" max="15103" width="6" style="63" customWidth="1"/>
    <col min="15104" max="15104" width="9.1796875" style="63" customWidth="1"/>
    <col min="15105" max="15105" width="6" style="63" customWidth="1"/>
    <col min="15106" max="15107" width="10.1796875" style="63" customWidth="1"/>
    <col min="15108" max="15108" width="10" style="63" customWidth="1"/>
    <col min="15109" max="15109" width="10.36328125" style="63" customWidth="1"/>
    <col min="15110" max="15120" width="9.1796875" style="63" customWidth="1"/>
    <col min="15121" max="15121" width="11.36328125" style="63" customWidth="1"/>
    <col min="15122" max="15142" width="13" style="63" hidden="1" customWidth="1"/>
    <col min="15143" max="15348" width="9.1796875" style="63" customWidth="1"/>
    <col min="15349" max="15349" width="28.6328125" style="63" customWidth="1"/>
    <col min="15350" max="15350" width="9" style="63" bestFit="1" customWidth="1"/>
    <col min="15351" max="15351" width="5.36328125" style="63" customWidth="1"/>
    <col min="15352" max="15352" width="9" style="63" bestFit="1" customWidth="1"/>
    <col min="15353" max="15353" width="5.36328125" style="63" customWidth="1"/>
    <col min="15354" max="15354" width="9" style="63" bestFit="1" customWidth="1"/>
    <col min="15355" max="15355" width="5" style="63" customWidth="1"/>
    <col min="15356" max="15356" width="9" style="63" bestFit="1" customWidth="1"/>
    <col min="15357" max="15357" width="5.1796875" style="63" customWidth="1"/>
    <col min="15358" max="15358" width="9.1796875" style="63" customWidth="1"/>
    <col min="15359" max="15359" width="6" style="63" customWidth="1"/>
    <col min="15360" max="15360" width="9.1796875" style="63" customWidth="1"/>
    <col min="15361" max="15361" width="6" style="63" customWidth="1"/>
    <col min="15362" max="15363" width="10.1796875" style="63" customWidth="1"/>
    <col min="15364" max="15364" width="10" style="63" customWidth="1"/>
    <col min="15365" max="15365" width="10.36328125" style="63" customWidth="1"/>
    <col min="15366" max="15376" width="9.1796875" style="63" customWidth="1"/>
    <col min="15377" max="15377" width="11.36328125" style="63" customWidth="1"/>
    <col min="15378" max="15398" width="13" style="63" hidden="1" customWidth="1"/>
    <col min="15399" max="15604" width="9.1796875" style="63" customWidth="1"/>
    <col min="15605" max="15605" width="28.6328125" style="63" customWidth="1"/>
    <col min="15606" max="15606" width="9" style="63" bestFit="1" customWidth="1"/>
    <col min="15607" max="15607" width="5.36328125" style="63" customWidth="1"/>
    <col min="15608" max="15608" width="9" style="63" bestFit="1" customWidth="1"/>
    <col min="15609" max="15609" width="5.36328125" style="63" customWidth="1"/>
    <col min="15610" max="15610" width="9" style="63" bestFit="1" customWidth="1"/>
    <col min="15611" max="15611" width="5" style="63" customWidth="1"/>
    <col min="15612" max="15612" width="9" style="63" bestFit="1" customWidth="1"/>
    <col min="15613" max="15613" width="5.1796875" style="63" customWidth="1"/>
    <col min="15614" max="15614" width="9.1796875" style="63" customWidth="1"/>
    <col min="15615" max="15615" width="6" style="63" customWidth="1"/>
    <col min="15616" max="15616" width="9.1796875" style="63" customWidth="1"/>
    <col min="15617" max="15617" width="6" style="63" customWidth="1"/>
    <col min="15618" max="15619" width="10.1796875" style="63" customWidth="1"/>
    <col min="15620" max="15620" width="10" style="63" customWidth="1"/>
    <col min="15621" max="15621" width="10.36328125" style="63" customWidth="1"/>
    <col min="15622" max="15632" width="9.1796875" style="63" customWidth="1"/>
    <col min="15633" max="15633" width="11.36328125" style="63" customWidth="1"/>
    <col min="15634" max="15654" width="13" style="63" hidden="1" customWidth="1"/>
    <col min="15655" max="15860" width="9.1796875" style="63" customWidth="1"/>
    <col min="15861" max="15861" width="28.6328125" style="63" customWidth="1"/>
    <col min="15862" max="15862" width="9" style="63" bestFit="1" customWidth="1"/>
    <col min="15863" max="15863" width="5.36328125" style="63" customWidth="1"/>
    <col min="15864" max="15864" width="9" style="63" bestFit="1" customWidth="1"/>
    <col min="15865" max="15865" width="5.36328125" style="63" customWidth="1"/>
    <col min="15866" max="15866" width="9" style="63" bestFit="1" customWidth="1"/>
    <col min="15867" max="15867" width="5" style="63" customWidth="1"/>
    <col min="15868" max="15868" width="9" style="63" bestFit="1" customWidth="1"/>
    <col min="15869" max="15869" width="5.1796875" style="63" customWidth="1"/>
    <col min="15870" max="15870" width="9.1796875" style="63" customWidth="1"/>
    <col min="15871" max="15871" width="6" style="63" customWidth="1"/>
    <col min="15872" max="15872" width="9.1796875" style="63" customWidth="1"/>
    <col min="15873" max="15873" width="6" style="63" customWidth="1"/>
    <col min="15874" max="15875" width="10.1796875" style="63" customWidth="1"/>
    <col min="15876" max="15876" width="10" style="63" customWidth="1"/>
    <col min="15877" max="15877" width="10.36328125" style="63" customWidth="1"/>
    <col min="15878" max="15888" width="9.1796875" style="63" customWidth="1"/>
    <col min="15889" max="15889" width="11.36328125" style="63" customWidth="1"/>
    <col min="15890" max="15910" width="13" style="63" hidden="1" customWidth="1"/>
    <col min="15911" max="16116" width="9.1796875" style="63" customWidth="1"/>
    <col min="16117" max="16117" width="28.6328125" style="63" customWidth="1"/>
    <col min="16118" max="16118" width="9" style="63" bestFit="1" customWidth="1"/>
    <col min="16119" max="16119" width="5.36328125" style="63" customWidth="1"/>
    <col min="16120" max="16120" width="9" style="63" bestFit="1" customWidth="1"/>
    <col min="16121" max="16121" width="5.36328125" style="63" customWidth="1"/>
    <col min="16122" max="16122" width="9" style="63" bestFit="1" customWidth="1"/>
    <col min="16123" max="16123" width="5" style="63" customWidth="1"/>
    <col min="16124" max="16124" width="9" style="63" bestFit="1" customWidth="1"/>
    <col min="16125" max="16125" width="5.1796875" style="63" customWidth="1"/>
    <col min="16126" max="16126" width="9.1796875" style="63" customWidth="1"/>
    <col min="16127" max="16127" width="6" style="63" customWidth="1"/>
    <col min="16128" max="16128" width="9.1796875" style="63" customWidth="1"/>
    <col min="16129" max="16129" width="6" style="63" customWidth="1"/>
    <col min="16130" max="16131" width="10.1796875" style="63" customWidth="1"/>
    <col min="16132" max="16132" width="10" style="63" customWidth="1"/>
    <col min="16133" max="16133" width="10.36328125" style="63" customWidth="1"/>
    <col min="16134" max="16144" width="9.1796875" style="63" customWidth="1"/>
    <col min="16145" max="16145" width="11.36328125" style="63" customWidth="1"/>
    <col min="16146" max="16166" width="13" style="63" hidden="1" customWidth="1"/>
    <col min="16167" max="16384" width="9.1796875" style="63" customWidth="1"/>
  </cols>
  <sheetData>
    <row r="1" spans="2:41" x14ac:dyDescent="0.35">
      <c r="AL1" s="14" t="s">
        <v>71</v>
      </c>
      <c r="AM1" s="87" t="s">
        <v>72</v>
      </c>
      <c r="AN1" s="73"/>
      <c r="AO1" s="73"/>
    </row>
    <row r="2" spans="2:41" x14ac:dyDescent="0.35">
      <c r="B2" s="28"/>
    </row>
    <row r="3" spans="2:41" ht="16" customHeight="1" thickBot="1" x14ac:dyDescent="0.4">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N3" s="88" t="s">
        <v>73</v>
      </c>
      <c r="AO3" s="76"/>
    </row>
    <row r="4" spans="2:41" ht="16" customHeight="1" thickBot="1" x14ac:dyDescent="0.4">
      <c r="B4" s="83" t="s">
        <v>16</v>
      </c>
      <c r="C4" s="29">
        <v>43831</v>
      </c>
      <c r="D4" s="29">
        <v>43862</v>
      </c>
      <c r="E4" s="29">
        <v>43891</v>
      </c>
      <c r="F4" s="29">
        <v>43922</v>
      </c>
      <c r="G4" s="29">
        <v>43952</v>
      </c>
      <c r="H4" s="29">
        <v>43983</v>
      </c>
      <c r="I4" s="29">
        <v>44013</v>
      </c>
      <c r="J4" s="29">
        <v>44044</v>
      </c>
      <c r="K4" s="29">
        <v>44075</v>
      </c>
      <c r="L4" s="29">
        <v>44105</v>
      </c>
      <c r="M4" s="29">
        <v>44136</v>
      </c>
      <c r="N4" s="29">
        <v>44166</v>
      </c>
      <c r="O4" s="29">
        <v>44197</v>
      </c>
      <c r="P4" s="29">
        <v>44228</v>
      </c>
      <c r="Q4" s="29">
        <v>44256</v>
      </c>
      <c r="R4" s="29">
        <v>44287</v>
      </c>
      <c r="S4" s="29">
        <v>44317</v>
      </c>
      <c r="T4" s="29">
        <v>44348</v>
      </c>
      <c r="U4" s="29">
        <v>44378</v>
      </c>
      <c r="V4" s="29">
        <v>44409</v>
      </c>
      <c r="W4" s="29">
        <v>44440</v>
      </c>
      <c r="X4" s="29">
        <v>44470</v>
      </c>
      <c r="Y4" s="29">
        <v>44501</v>
      </c>
      <c r="Z4" s="29">
        <v>44531</v>
      </c>
      <c r="AA4" s="29">
        <v>44562</v>
      </c>
      <c r="AB4" s="29">
        <v>44593</v>
      </c>
      <c r="AC4" s="29">
        <v>44621</v>
      </c>
      <c r="AD4" s="29">
        <v>44652</v>
      </c>
      <c r="AE4" s="29">
        <v>44682</v>
      </c>
      <c r="AF4" s="29">
        <v>44713</v>
      </c>
      <c r="AG4" s="29">
        <v>44743</v>
      </c>
      <c r="AH4" s="29">
        <v>44774</v>
      </c>
      <c r="AI4" s="29">
        <v>44805</v>
      </c>
      <c r="AJ4" s="29">
        <v>44835</v>
      </c>
      <c r="AK4" s="29">
        <v>44866</v>
      </c>
      <c r="AL4" s="10"/>
      <c r="AM4" s="85" t="s">
        <v>74</v>
      </c>
      <c r="AN4" s="85" t="s">
        <v>75</v>
      </c>
      <c r="AO4" s="85" t="s">
        <v>76</v>
      </c>
    </row>
    <row r="5" spans="2:41" ht="16" customHeight="1" thickBot="1" x14ac:dyDescent="0.4">
      <c r="B5" s="84"/>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10"/>
      <c r="AM5" s="86"/>
      <c r="AN5" s="86"/>
      <c r="AO5" s="86"/>
    </row>
    <row r="6" spans="2:41" x14ac:dyDescent="0.35">
      <c r="B6" s="3" t="s">
        <v>41</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2">
        <f>VLOOKUP(AB$4,'DB Services ISM'!$A:$S,MATCH($B6,'DB Services ISM'!$A$1:$S$1,0),0)</f>
        <v>1</v>
      </c>
      <c r="AC6" s="2">
        <f>VLOOKUP(AC$4,'DB Services ISM'!$A:$S,MATCH($B6,'DB Services ISM'!$A$1:$S$1,0),0)</f>
        <v>5</v>
      </c>
      <c r="AD6" s="2">
        <f>VLOOKUP(AD$4,'DB Services ISM'!$A:$S,MATCH($B6,'DB Services ISM'!$A$1:$S$1,0),0)</f>
        <v>3</v>
      </c>
      <c r="AE6" s="2">
        <f>VLOOKUP(AE$4,'DB Services ISM'!$A:$S,MATCH($B6,'DB Services ISM'!$A$1:$S$1,0),0)</f>
        <v>6</v>
      </c>
      <c r="AF6" s="2">
        <f>VLOOKUP(AF$4,'DB Services ISM'!$A:$S,MATCH($B6,'DB Services ISM'!$A$1:$S$1,0),0)</f>
        <v>14</v>
      </c>
      <c r="AG6" s="2">
        <f>VLOOKUP(AG$4,'DB Services ISM'!$A:$S,MATCH($B6,'DB Services ISM'!$A$1:$S$1,0),0)</f>
        <v>0</v>
      </c>
      <c r="AH6" s="2">
        <f>VLOOKUP(AH$4,'DB Services ISM'!$A:$S,MATCH($B6,'DB Services ISM'!$A$1:$S$1,0),0)</f>
        <v>3</v>
      </c>
      <c r="AI6" s="2">
        <f>VLOOKUP(AI$4,'DB Services ISM'!$A:$S,MATCH($B6,'DB Services ISM'!$A$1:$S$1,0),0)</f>
        <v>9</v>
      </c>
      <c r="AJ6" s="2">
        <f>VLOOKUP(AJ$4,'DB Services ISM'!$A:$S,MATCH($B6,'DB Services ISM'!$A$1:$S$1,0),0)</f>
        <v>1</v>
      </c>
      <c r="AK6" s="2">
        <f>VLOOKUP(AK$4,'DB Services ISM'!$A:$S,MATCH($B6,'DB Services ISM'!$A$1:$S$1,0),0)</f>
        <v>3</v>
      </c>
      <c r="AL6" s="31"/>
      <c r="AM6" s="20">
        <f>AK6-AJ6</f>
        <v>2</v>
      </c>
      <c r="AN6" s="32">
        <f>AVERAGE(AI6:AK6)</f>
        <v>4.333333333333333</v>
      </c>
      <c r="AO6" s="32">
        <f>AVERAGE(AF6:AK6)</f>
        <v>5</v>
      </c>
    </row>
    <row r="7" spans="2:41" x14ac:dyDescent="0.35">
      <c r="B7" s="3" t="s">
        <v>28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2">
        <f>VLOOKUP(AB$4,'DB Services ISM'!$A:$S,MATCH($B7,'DB Services ISM'!$A$1:$S$1,0),0)</f>
        <v>14</v>
      </c>
      <c r="AC7" s="2">
        <f>VLOOKUP(AC$4,'DB Services ISM'!$A:$S,MATCH($B7,'DB Services ISM'!$A$1:$S$1,0),0)</f>
        <v>14</v>
      </c>
      <c r="AD7" s="2">
        <f>VLOOKUP(AD$4,'DB Services ISM'!$A:$S,MATCH($B7,'DB Services ISM'!$A$1:$S$1,0),0)</f>
        <v>8</v>
      </c>
      <c r="AE7" s="2">
        <f>VLOOKUP(AE$4,'DB Services ISM'!$A:$S,MATCH($B7,'DB Services ISM'!$A$1:$S$1,0),0)</f>
        <v>2</v>
      </c>
      <c r="AF7" s="2">
        <f>VLOOKUP(AF$4,'DB Services ISM'!$A:$S,MATCH($B7,'DB Services ISM'!$A$1:$S$1,0),0)</f>
        <v>5</v>
      </c>
      <c r="AG7" s="2">
        <f>VLOOKUP(AG$4,'DB Services ISM'!$A:$S,MATCH($B7,'DB Services ISM'!$A$1:$S$1,0),0)</f>
        <v>2</v>
      </c>
      <c r="AH7" s="2">
        <f>VLOOKUP(AH$4,'DB Services ISM'!$A:$S,MATCH($B7,'DB Services ISM'!$A$1:$S$1,0),0)</f>
        <v>10</v>
      </c>
      <c r="AI7" s="2">
        <f>VLOOKUP(AI$4,'DB Services ISM'!$A:$S,MATCH($B7,'DB Services ISM'!$A$1:$S$1,0),0)</f>
        <v>13</v>
      </c>
      <c r="AJ7" s="2">
        <f>VLOOKUP(AJ$4,'DB Services ISM'!$A:$S,MATCH($B7,'DB Services ISM'!$A$1:$S$1,0),0)</f>
        <v>12</v>
      </c>
      <c r="AK7" s="2">
        <f>VLOOKUP(AK$4,'DB Services ISM'!$A:$S,MATCH($B7,'DB Services ISM'!$A$1:$S$1,0),0)</f>
        <v>10</v>
      </c>
      <c r="AL7" s="31"/>
      <c r="AM7" s="20">
        <f t="shared" ref="AM7:AM23" si="0">AK7-AJ7</f>
        <v>-2</v>
      </c>
      <c r="AN7" s="32">
        <f t="shared" ref="AN7:AN23" si="1">AVERAGE(AI7:AK7)</f>
        <v>11.666666666666666</v>
      </c>
      <c r="AO7" s="32">
        <f t="shared" ref="AO7:AO23" si="2">AVERAGE(AF7:AK7)</f>
        <v>8.6666666666666661</v>
      </c>
    </row>
    <row r="8" spans="2:41" x14ac:dyDescent="0.35">
      <c r="B8" s="3" t="s">
        <v>47</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2">
        <f>VLOOKUP(AB$4,'DB Services ISM'!$A:$S,MATCH($B8,'DB Services ISM'!$A$1:$S$1,0),0)</f>
        <v>11</v>
      </c>
      <c r="AC8" s="2">
        <f>VLOOKUP(AC$4,'DB Services ISM'!$A:$S,MATCH($B8,'DB Services ISM'!$A$1:$S$1,0),0)</f>
        <v>9</v>
      </c>
      <c r="AD8" s="2">
        <f>VLOOKUP(AD$4,'DB Services ISM'!$A:$S,MATCH($B8,'DB Services ISM'!$A$1:$S$1,0),0)</f>
        <v>18</v>
      </c>
      <c r="AE8" s="2">
        <f>VLOOKUP(AE$4,'DB Services ISM'!$A:$S,MATCH($B8,'DB Services ISM'!$A$1:$S$1,0),0)</f>
        <v>18</v>
      </c>
      <c r="AF8" s="2">
        <f>VLOOKUP(AF$4,'DB Services ISM'!$A:$S,MATCH($B8,'DB Services ISM'!$A$1:$S$1,0),0)</f>
        <v>18</v>
      </c>
      <c r="AG8" s="2">
        <f>VLOOKUP(AG$4,'DB Services ISM'!$A:$S,MATCH($B8,'DB Services ISM'!$A$1:$S$1,0),0)</f>
        <v>0</v>
      </c>
      <c r="AH8" s="2">
        <f>VLOOKUP(AH$4,'DB Services ISM'!$A:$S,MATCH($B8,'DB Services ISM'!$A$1:$S$1,0),0)</f>
        <v>15</v>
      </c>
      <c r="AI8" s="2">
        <f>VLOOKUP(AI$4,'DB Services ISM'!$A:$S,MATCH($B8,'DB Services ISM'!$A$1:$S$1,0),0)</f>
        <v>18</v>
      </c>
      <c r="AJ8" s="2">
        <f>VLOOKUP(AJ$4,'DB Services ISM'!$A:$S,MATCH($B8,'DB Services ISM'!$A$1:$S$1,0),0)</f>
        <v>5</v>
      </c>
      <c r="AK8" s="2">
        <f>VLOOKUP(AK$4,'DB Services ISM'!$A:$S,MATCH($B8,'DB Services ISM'!$A$1:$S$1,0),0)</f>
        <v>5</v>
      </c>
      <c r="AL8" s="31"/>
      <c r="AM8" s="20">
        <f t="shared" si="0"/>
        <v>0</v>
      </c>
      <c r="AN8" s="32">
        <f t="shared" si="1"/>
        <v>9.3333333333333339</v>
      </c>
      <c r="AO8" s="32">
        <f t="shared" si="2"/>
        <v>10.166666666666666</v>
      </c>
    </row>
    <row r="9" spans="2:41" x14ac:dyDescent="0.35">
      <c r="B9" s="3" t="s">
        <v>23</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2">
        <f>VLOOKUP(AB$4,'DB Services ISM'!$A:$S,MATCH($B9,'DB Services ISM'!$A$1:$S$1,0),0)</f>
        <v>5</v>
      </c>
      <c r="AC9" s="2">
        <f>VLOOKUP(AC$4,'DB Services ISM'!$A:$S,MATCH($B9,'DB Services ISM'!$A$1:$S$1,0),0)</f>
        <v>6</v>
      </c>
      <c r="AD9" s="2">
        <f>VLOOKUP(AD$4,'DB Services ISM'!$A:$S,MATCH($B9,'DB Services ISM'!$A$1:$S$1,0),0)</f>
        <v>2</v>
      </c>
      <c r="AE9" s="2">
        <f>VLOOKUP(AE$4,'DB Services ISM'!$A:$S,MATCH($B9,'DB Services ISM'!$A$1:$S$1,0),0)</f>
        <v>10</v>
      </c>
      <c r="AF9" s="2">
        <f>VLOOKUP(AF$4,'DB Services ISM'!$A:$S,MATCH($B9,'DB Services ISM'!$A$1:$S$1,0),0)</f>
        <v>2</v>
      </c>
      <c r="AG9" s="2">
        <f>VLOOKUP(AG$4,'DB Services ISM'!$A:$S,MATCH($B9,'DB Services ISM'!$A$1:$S$1,0),0)</f>
        <v>3</v>
      </c>
      <c r="AH9" s="2">
        <f>VLOOKUP(AH$4,'DB Services ISM'!$A:$S,MATCH($B9,'DB Services ISM'!$A$1:$S$1,0),0)</f>
        <v>14</v>
      </c>
      <c r="AI9" s="2">
        <f>VLOOKUP(AI$4,'DB Services ISM'!$A:$S,MATCH($B9,'DB Services ISM'!$A$1:$S$1,0),0)</f>
        <v>7</v>
      </c>
      <c r="AJ9" s="2">
        <f>VLOOKUP(AJ$4,'DB Services ISM'!$A:$S,MATCH($B9,'DB Services ISM'!$A$1:$S$1,0),0)</f>
        <v>4</v>
      </c>
      <c r="AK9" s="2">
        <f>VLOOKUP(AK$4,'DB Services ISM'!$A:$S,MATCH($B9,'DB Services ISM'!$A$1:$S$1,0),0)</f>
        <v>7</v>
      </c>
      <c r="AL9" s="31"/>
      <c r="AM9" s="20">
        <f t="shared" si="0"/>
        <v>3</v>
      </c>
      <c r="AN9" s="32">
        <f t="shared" si="1"/>
        <v>6</v>
      </c>
      <c r="AO9" s="32">
        <f t="shared" si="2"/>
        <v>6.166666666666667</v>
      </c>
    </row>
    <row r="10" spans="2:41" x14ac:dyDescent="0.35">
      <c r="B10" s="3" t="s">
        <v>43</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2">
        <f>VLOOKUP(AB$4,'DB Services ISM'!$A:$S,MATCH($B10,'DB Services ISM'!$A$1:$S$1,0),0)</f>
        <v>3</v>
      </c>
      <c r="AC10" s="2">
        <f>VLOOKUP(AC$4,'DB Services ISM'!$A:$S,MATCH($B10,'DB Services ISM'!$A$1:$S$1,0),0)</f>
        <v>2</v>
      </c>
      <c r="AD10" s="2">
        <f>VLOOKUP(AD$4,'DB Services ISM'!$A:$S,MATCH($B10,'DB Services ISM'!$A$1:$S$1,0),0)</f>
        <v>4</v>
      </c>
      <c r="AE10" s="2">
        <f>VLOOKUP(AE$4,'DB Services ISM'!$A:$S,MATCH($B10,'DB Services ISM'!$A$1:$S$1,0),0)</f>
        <v>3</v>
      </c>
      <c r="AF10" s="2">
        <f>VLOOKUP(AF$4,'DB Services ISM'!$A:$S,MATCH($B10,'DB Services ISM'!$A$1:$S$1,0),0)</f>
        <v>4</v>
      </c>
      <c r="AG10" s="2">
        <f>VLOOKUP(AG$4,'DB Services ISM'!$A:$S,MATCH($B10,'DB Services ISM'!$A$1:$S$1,0),0)</f>
        <v>4</v>
      </c>
      <c r="AH10" s="2">
        <f>VLOOKUP(AH$4,'DB Services ISM'!$A:$S,MATCH($B10,'DB Services ISM'!$A$1:$S$1,0),0)</f>
        <v>13</v>
      </c>
      <c r="AI10" s="2">
        <f>VLOOKUP(AI$4,'DB Services ISM'!$A:$S,MATCH($B10,'DB Services ISM'!$A$1:$S$1,0),0)</f>
        <v>16</v>
      </c>
      <c r="AJ10" s="2">
        <f>VLOOKUP(AJ$4,'DB Services ISM'!$A:$S,MATCH($B10,'DB Services ISM'!$A$1:$S$1,0),0)</f>
        <v>14</v>
      </c>
      <c r="AK10" s="2">
        <f>VLOOKUP(AK$4,'DB Services ISM'!$A:$S,MATCH($B10,'DB Services ISM'!$A$1:$S$1,0),0)</f>
        <v>14</v>
      </c>
      <c r="AL10" s="31"/>
      <c r="AM10" s="20">
        <f t="shared" si="0"/>
        <v>0</v>
      </c>
      <c r="AN10" s="32">
        <f t="shared" si="1"/>
        <v>14.666666666666666</v>
      </c>
      <c r="AO10" s="32">
        <f t="shared" si="2"/>
        <v>10.833333333333334</v>
      </c>
    </row>
    <row r="11" spans="2:41" x14ac:dyDescent="0.35">
      <c r="B11" s="3" t="s">
        <v>14</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2">
        <f>VLOOKUP(AB$4,'DB Services ISM'!$A:$S,MATCH($B11,'DB Services ISM'!$A$1:$S$1,0),0)</f>
        <v>2</v>
      </c>
      <c r="AC11" s="2">
        <f>VLOOKUP(AC$4,'DB Services ISM'!$A:$S,MATCH($B11,'DB Services ISM'!$A$1:$S$1,0),0)</f>
        <v>3</v>
      </c>
      <c r="AD11" s="2">
        <f>VLOOKUP(AD$4,'DB Services ISM'!$A:$S,MATCH($B11,'DB Services ISM'!$A$1:$S$1,0),0)</f>
        <v>13</v>
      </c>
      <c r="AE11" s="2">
        <f>VLOOKUP(AE$4,'DB Services ISM'!$A:$S,MATCH($B11,'DB Services ISM'!$A$1:$S$1,0),0)</f>
        <v>14</v>
      </c>
      <c r="AF11" s="2">
        <f>VLOOKUP(AF$4,'DB Services ISM'!$A:$S,MATCH($B11,'DB Services ISM'!$A$1:$S$1,0),0)</f>
        <v>13</v>
      </c>
      <c r="AG11" s="2">
        <f>VLOOKUP(AG$4,'DB Services ISM'!$A:$S,MATCH($B11,'DB Services ISM'!$A$1:$S$1,0),0)</f>
        <v>13</v>
      </c>
      <c r="AH11" s="2">
        <f>VLOOKUP(AH$4,'DB Services ISM'!$A:$S,MATCH($B11,'DB Services ISM'!$A$1:$S$1,0),0)</f>
        <v>-1</v>
      </c>
      <c r="AI11" s="2">
        <f>VLOOKUP(AI$4,'DB Services ISM'!$A:$S,MATCH($B11,'DB Services ISM'!$A$1:$S$1,0),0)</f>
        <v>3</v>
      </c>
      <c r="AJ11" s="2">
        <f>VLOOKUP(AJ$4,'DB Services ISM'!$A:$S,MATCH($B11,'DB Services ISM'!$A$1:$S$1,0),0)</f>
        <v>2</v>
      </c>
      <c r="AK11" s="2">
        <f>VLOOKUP(AK$4,'DB Services ISM'!$A:$S,MATCH($B11,'DB Services ISM'!$A$1:$S$1,0),0)</f>
        <v>16</v>
      </c>
      <c r="AL11" s="31"/>
      <c r="AM11" s="20">
        <f t="shared" si="0"/>
        <v>14</v>
      </c>
      <c r="AN11" s="32">
        <f t="shared" si="1"/>
        <v>7</v>
      </c>
      <c r="AO11" s="32">
        <f t="shared" si="2"/>
        <v>7.666666666666667</v>
      </c>
    </row>
    <row r="12" spans="2:41" x14ac:dyDescent="0.35">
      <c r="B12" s="3" t="s">
        <v>42</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2">
        <f>VLOOKUP(AB$4,'DB Services ISM'!$A:$S,MATCH($B12,'DB Services ISM'!$A$1:$S$1,0),0)</f>
        <v>7</v>
      </c>
      <c r="AC12" s="2">
        <f>VLOOKUP(AC$4,'DB Services ISM'!$A:$S,MATCH($B12,'DB Services ISM'!$A$1:$S$1,0),0)</f>
        <v>1</v>
      </c>
      <c r="AD12" s="2">
        <f>VLOOKUP(AD$4,'DB Services ISM'!$A:$S,MATCH($B12,'DB Services ISM'!$A$1:$S$1,0),0)</f>
        <v>10</v>
      </c>
      <c r="AE12" s="2">
        <f>VLOOKUP(AE$4,'DB Services ISM'!$A:$S,MATCH($B12,'DB Services ISM'!$A$1:$S$1,0),0)</f>
        <v>7</v>
      </c>
      <c r="AF12" s="2">
        <f>VLOOKUP(AF$4,'DB Services ISM'!$A:$S,MATCH($B12,'DB Services ISM'!$A$1:$S$1,0),0)</f>
        <v>7</v>
      </c>
      <c r="AG12" s="2">
        <f>VLOOKUP(AG$4,'DB Services ISM'!$A:$S,MATCH($B12,'DB Services ISM'!$A$1:$S$1,0),0)</f>
        <v>10</v>
      </c>
      <c r="AH12" s="2">
        <f>VLOOKUP(AH$4,'DB Services ISM'!$A:$S,MATCH($B12,'DB Services ISM'!$A$1:$S$1,0),0)</f>
        <v>7</v>
      </c>
      <c r="AI12" s="2">
        <f>VLOOKUP(AI$4,'DB Services ISM'!$A:$S,MATCH($B12,'DB Services ISM'!$A$1:$S$1,0),0)</f>
        <v>11</v>
      </c>
      <c r="AJ12" s="2">
        <f>VLOOKUP(AJ$4,'DB Services ISM'!$A:$S,MATCH($B12,'DB Services ISM'!$A$1:$S$1,0),0)</f>
        <v>15</v>
      </c>
      <c r="AK12" s="2">
        <f>VLOOKUP(AK$4,'DB Services ISM'!$A:$S,MATCH($B12,'DB Services ISM'!$A$1:$S$1,0),0)</f>
        <v>1</v>
      </c>
      <c r="AL12" s="31"/>
      <c r="AM12" s="20">
        <f t="shared" si="0"/>
        <v>-14</v>
      </c>
      <c r="AN12" s="32">
        <f t="shared" si="1"/>
        <v>9</v>
      </c>
      <c r="AO12" s="32">
        <f t="shared" si="2"/>
        <v>8.5</v>
      </c>
    </row>
    <row r="13" spans="2:41" x14ac:dyDescent="0.35">
      <c r="B13" s="3" t="s">
        <v>40</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2">
        <f>VLOOKUP(AB$4,'DB Services ISM'!$A:$S,MATCH($B13,'DB Services ISM'!$A$1:$S$1,0),0)</f>
        <v>6</v>
      </c>
      <c r="AC13" s="2">
        <f>VLOOKUP(AC$4,'DB Services ISM'!$A:$S,MATCH($B13,'DB Services ISM'!$A$1:$S$1,0),0)</f>
        <v>12</v>
      </c>
      <c r="AD13" s="2">
        <f>VLOOKUP(AD$4,'DB Services ISM'!$A:$S,MATCH($B13,'DB Services ISM'!$A$1:$S$1,0),0)</f>
        <v>16</v>
      </c>
      <c r="AE13" s="2">
        <f>VLOOKUP(AE$4,'DB Services ISM'!$A:$S,MATCH($B13,'DB Services ISM'!$A$1:$S$1,0),0)</f>
        <v>12</v>
      </c>
      <c r="AF13" s="2">
        <f>VLOOKUP(AF$4,'DB Services ISM'!$A:$S,MATCH($B13,'DB Services ISM'!$A$1:$S$1,0),0)</f>
        <v>8</v>
      </c>
      <c r="AG13" s="2">
        <f>VLOOKUP(AG$4,'DB Services ISM'!$A:$S,MATCH($B13,'DB Services ISM'!$A$1:$S$1,0),0)</f>
        <v>7</v>
      </c>
      <c r="AH13" s="2">
        <f>VLOOKUP(AH$4,'DB Services ISM'!$A:$S,MATCH($B13,'DB Services ISM'!$A$1:$S$1,0),0)</f>
        <v>16</v>
      </c>
      <c r="AI13" s="2">
        <f>VLOOKUP(AI$4,'DB Services ISM'!$A:$S,MATCH($B13,'DB Services ISM'!$A$1:$S$1,0),0)</f>
        <v>12</v>
      </c>
      <c r="AJ13" s="2">
        <f>VLOOKUP(AJ$4,'DB Services ISM'!$A:$S,MATCH($B13,'DB Services ISM'!$A$1:$S$1,0),0)</f>
        <v>17</v>
      </c>
      <c r="AK13" s="2">
        <f>VLOOKUP(AK$4,'DB Services ISM'!$A:$S,MATCH($B13,'DB Services ISM'!$A$1:$S$1,0),0)</f>
        <v>15</v>
      </c>
      <c r="AL13" s="31"/>
      <c r="AM13" s="20">
        <f t="shared" si="0"/>
        <v>-2</v>
      </c>
      <c r="AN13" s="32">
        <f t="shared" si="1"/>
        <v>14.666666666666666</v>
      </c>
      <c r="AO13" s="32">
        <f t="shared" si="2"/>
        <v>12.5</v>
      </c>
    </row>
    <row r="14" spans="2:41" x14ac:dyDescent="0.35">
      <c r="B14" s="3" t="s">
        <v>37</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2">
        <f>VLOOKUP(AB$4,'DB Services ISM'!$A:$S,MATCH($B14,'DB Services ISM'!$A$1:$S$1,0),0)</f>
        <v>9</v>
      </c>
      <c r="AC14" s="2">
        <f>VLOOKUP(AC$4,'DB Services ISM'!$A:$S,MATCH($B14,'DB Services ISM'!$A$1:$S$1,0),0)</f>
        <v>15</v>
      </c>
      <c r="AD14" s="2">
        <f>VLOOKUP(AD$4,'DB Services ISM'!$A:$S,MATCH($B14,'DB Services ISM'!$A$1:$S$1,0),0)</f>
        <v>6</v>
      </c>
      <c r="AE14" s="2">
        <f>VLOOKUP(AE$4,'DB Services ISM'!$A:$S,MATCH($B14,'DB Services ISM'!$A$1:$S$1,0),0)</f>
        <v>13</v>
      </c>
      <c r="AF14" s="2">
        <f>VLOOKUP(AF$4,'DB Services ISM'!$A:$S,MATCH($B14,'DB Services ISM'!$A$1:$S$1,0),0)</f>
        <v>16</v>
      </c>
      <c r="AG14" s="2">
        <f>VLOOKUP(AG$4,'DB Services ISM'!$A:$S,MATCH($B14,'DB Services ISM'!$A$1:$S$1,0),0)</f>
        <v>6</v>
      </c>
      <c r="AH14" s="2">
        <f>VLOOKUP(AH$4,'DB Services ISM'!$A:$S,MATCH($B14,'DB Services ISM'!$A$1:$S$1,0),0)</f>
        <v>12</v>
      </c>
      <c r="AI14" s="2">
        <f>VLOOKUP(AI$4,'DB Services ISM'!$A:$S,MATCH($B14,'DB Services ISM'!$A$1:$S$1,0),0)</f>
        <v>1</v>
      </c>
      <c r="AJ14" s="2">
        <f>VLOOKUP(AJ$4,'DB Services ISM'!$A:$S,MATCH($B14,'DB Services ISM'!$A$1:$S$1,0),0)</f>
        <v>10</v>
      </c>
      <c r="AK14" s="2">
        <f>VLOOKUP(AK$4,'DB Services ISM'!$A:$S,MATCH($B14,'DB Services ISM'!$A$1:$S$1,0),0)</f>
        <v>2</v>
      </c>
      <c r="AL14" s="31"/>
      <c r="AM14" s="20">
        <f t="shared" si="0"/>
        <v>-8</v>
      </c>
      <c r="AN14" s="32">
        <f t="shared" si="1"/>
        <v>4.333333333333333</v>
      </c>
      <c r="AO14" s="32">
        <f t="shared" si="2"/>
        <v>7.833333333333333</v>
      </c>
    </row>
    <row r="15" spans="2:41" x14ac:dyDescent="0.35">
      <c r="B15" s="3" t="s">
        <v>17</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2">
        <f>VLOOKUP(AB$4,'DB Services ISM'!$A:$S,MATCH($B15,'DB Services ISM'!$A$1:$S$1,0),0)</f>
        <v>10</v>
      </c>
      <c r="AC15" s="2">
        <f>VLOOKUP(AC$4,'DB Services ISM'!$A:$S,MATCH($B15,'DB Services ISM'!$A$1:$S$1,0),0)</f>
        <v>16</v>
      </c>
      <c r="AD15" s="2">
        <f>VLOOKUP(AD$4,'DB Services ISM'!$A:$S,MATCH($B15,'DB Services ISM'!$A$1:$S$1,0),0)</f>
        <v>17</v>
      </c>
      <c r="AE15" s="2">
        <f>VLOOKUP(AE$4,'DB Services ISM'!$A:$S,MATCH($B15,'DB Services ISM'!$A$1:$S$1,0),0)</f>
        <v>17</v>
      </c>
      <c r="AF15" s="2">
        <f>VLOOKUP(AF$4,'DB Services ISM'!$A:$S,MATCH($B15,'DB Services ISM'!$A$1:$S$1,0),0)</f>
        <v>17</v>
      </c>
      <c r="AG15" s="2">
        <f>VLOOKUP(AG$4,'DB Services ISM'!$A:$S,MATCH($B15,'DB Services ISM'!$A$1:$S$1,0),0)</f>
        <v>16</v>
      </c>
      <c r="AH15" s="2">
        <f>VLOOKUP(AH$4,'DB Services ISM'!$A:$S,MATCH($B15,'DB Services ISM'!$A$1:$S$1,0),0)</f>
        <v>17</v>
      </c>
      <c r="AI15" s="2">
        <f>VLOOKUP(AI$4,'DB Services ISM'!$A:$S,MATCH($B15,'DB Services ISM'!$A$1:$S$1,0),0)</f>
        <v>6</v>
      </c>
      <c r="AJ15" s="2">
        <f>VLOOKUP(AJ$4,'DB Services ISM'!$A:$S,MATCH($B15,'DB Services ISM'!$A$1:$S$1,0),0)</f>
        <v>13</v>
      </c>
      <c r="AK15" s="2">
        <f>VLOOKUP(AK$4,'DB Services ISM'!$A:$S,MATCH($B15,'DB Services ISM'!$A$1:$S$1,0),0)</f>
        <v>4</v>
      </c>
      <c r="AL15" s="31"/>
      <c r="AM15" s="20">
        <f t="shared" si="0"/>
        <v>-9</v>
      </c>
      <c r="AN15" s="32">
        <f t="shared" si="1"/>
        <v>7.666666666666667</v>
      </c>
      <c r="AO15" s="32">
        <f t="shared" si="2"/>
        <v>12.166666666666666</v>
      </c>
    </row>
    <row r="16" spans="2:41" x14ac:dyDescent="0.35">
      <c r="B16" s="3" t="s">
        <v>31</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2">
        <f>VLOOKUP(AB$4,'DB Services ISM'!$A:$S,MATCH($B16,'DB Services ISM'!$A$1:$S$1,0),0)</f>
        <v>18</v>
      </c>
      <c r="AC16" s="2">
        <f>VLOOKUP(AC$4,'DB Services ISM'!$A:$S,MATCH($B16,'DB Services ISM'!$A$1:$S$1,0),0)</f>
        <v>18</v>
      </c>
      <c r="AD16" s="2">
        <f>VLOOKUP(AD$4,'DB Services ISM'!$A:$S,MATCH($B16,'DB Services ISM'!$A$1:$S$1,0),0)</f>
        <v>14</v>
      </c>
      <c r="AE16" s="2">
        <f>VLOOKUP(AE$4,'DB Services ISM'!$A:$S,MATCH($B16,'DB Services ISM'!$A$1:$S$1,0),0)</f>
        <v>16</v>
      </c>
      <c r="AF16" s="2">
        <f>VLOOKUP(AF$4,'DB Services ISM'!$A:$S,MATCH($B16,'DB Services ISM'!$A$1:$S$1,0),0)</f>
        <v>6</v>
      </c>
      <c r="AG16" s="2">
        <f>VLOOKUP(AG$4,'DB Services ISM'!$A:$S,MATCH($B16,'DB Services ISM'!$A$1:$S$1,0),0)</f>
        <v>5</v>
      </c>
      <c r="AH16" s="2">
        <f>VLOOKUP(AH$4,'DB Services ISM'!$A:$S,MATCH($B16,'DB Services ISM'!$A$1:$S$1,0),0)</f>
        <v>4</v>
      </c>
      <c r="AI16" s="2">
        <f>VLOOKUP(AI$4,'DB Services ISM'!$A:$S,MATCH($B16,'DB Services ISM'!$A$1:$S$1,0),0)</f>
        <v>8</v>
      </c>
      <c r="AJ16" s="2">
        <f>VLOOKUP(AJ$4,'DB Services ISM'!$A:$S,MATCH($B16,'DB Services ISM'!$A$1:$S$1,0),0)</f>
        <v>11</v>
      </c>
      <c r="AK16" s="2">
        <f>VLOOKUP(AK$4,'DB Services ISM'!$A:$S,MATCH($B16,'DB Services ISM'!$A$1:$S$1,0),0)</f>
        <v>-1</v>
      </c>
      <c r="AL16" s="31"/>
      <c r="AM16" s="20">
        <f t="shared" si="0"/>
        <v>-12</v>
      </c>
      <c r="AN16" s="32">
        <f t="shared" si="1"/>
        <v>6</v>
      </c>
      <c r="AO16" s="32">
        <f t="shared" si="2"/>
        <v>5.5</v>
      </c>
    </row>
    <row r="17" spans="2:44" x14ac:dyDescent="0.35">
      <c r="B17" s="3" t="s">
        <v>26</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2">
        <f>VLOOKUP(AB$4,'DB Services ISM'!$A:$S,MATCH($B17,'DB Services ISM'!$A$1:$S$1,0),0)</f>
        <v>17</v>
      </c>
      <c r="AC17" s="2">
        <f>VLOOKUP(AC$4,'DB Services ISM'!$A:$S,MATCH($B17,'DB Services ISM'!$A$1:$S$1,0),0)</f>
        <v>10</v>
      </c>
      <c r="AD17" s="2">
        <f>VLOOKUP(AD$4,'DB Services ISM'!$A:$S,MATCH($B17,'DB Services ISM'!$A$1:$S$1,0),0)</f>
        <v>15</v>
      </c>
      <c r="AE17" s="2">
        <f>VLOOKUP(AE$4,'DB Services ISM'!$A:$S,MATCH($B17,'DB Services ISM'!$A$1:$S$1,0),0)</f>
        <v>11</v>
      </c>
      <c r="AF17" s="2">
        <f>VLOOKUP(AF$4,'DB Services ISM'!$A:$S,MATCH($B17,'DB Services ISM'!$A$1:$S$1,0),0)</f>
        <v>11</v>
      </c>
      <c r="AG17" s="2">
        <f>VLOOKUP(AG$4,'DB Services ISM'!$A:$S,MATCH($B17,'DB Services ISM'!$A$1:$S$1,0),0)</f>
        <v>1</v>
      </c>
      <c r="AH17" s="2">
        <f>VLOOKUP(AH$4,'DB Services ISM'!$A:$S,MATCH($B17,'DB Services ISM'!$A$1:$S$1,0),0)</f>
        <v>2</v>
      </c>
      <c r="AI17" s="2">
        <f>VLOOKUP(AI$4,'DB Services ISM'!$A:$S,MATCH($B17,'DB Services ISM'!$A$1:$S$1,0),0)</f>
        <v>2</v>
      </c>
      <c r="AJ17" s="2">
        <f>VLOOKUP(AJ$4,'DB Services ISM'!$A:$S,MATCH($B17,'DB Services ISM'!$A$1:$S$1,0),0)</f>
        <v>-1</v>
      </c>
      <c r="AK17" s="2">
        <f>VLOOKUP(AK$4,'DB Services ISM'!$A:$S,MATCH($B17,'DB Services ISM'!$A$1:$S$1,0),0)</f>
        <v>-2</v>
      </c>
      <c r="AL17" s="31"/>
      <c r="AM17" s="20">
        <f t="shared" si="0"/>
        <v>-1</v>
      </c>
      <c r="AN17" s="32">
        <f t="shared" si="1"/>
        <v>-0.33333333333333331</v>
      </c>
      <c r="AO17" s="32">
        <f t="shared" si="2"/>
        <v>2.1666666666666665</v>
      </c>
    </row>
    <row r="18" spans="2:44" x14ac:dyDescent="0.35">
      <c r="B18" s="3" t="s">
        <v>39</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2">
        <f>VLOOKUP(AB$4,'DB Services ISM'!$A:$S,MATCH($B18,'DB Services ISM'!$A$1:$S$1,0),0)</f>
        <v>13</v>
      </c>
      <c r="AC18" s="2">
        <f>VLOOKUP(AC$4,'DB Services ISM'!$A:$S,MATCH($B18,'DB Services ISM'!$A$1:$S$1,0),0)</f>
        <v>7</v>
      </c>
      <c r="AD18" s="2">
        <f>VLOOKUP(AD$4,'DB Services ISM'!$A:$S,MATCH($B18,'DB Services ISM'!$A$1:$S$1,0),0)</f>
        <v>9</v>
      </c>
      <c r="AE18" s="2">
        <f>VLOOKUP(AE$4,'DB Services ISM'!$A:$S,MATCH($B18,'DB Services ISM'!$A$1:$S$1,0),0)</f>
        <v>9</v>
      </c>
      <c r="AF18" s="2">
        <f>VLOOKUP(AF$4,'DB Services ISM'!$A:$S,MATCH($B18,'DB Services ISM'!$A$1:$S$1,0),0)</f>
        <v>15</v>
      </c>
      <c r="AG18" s="2">
        <f>VLOOKUP(AG$4,'DB Services ISM'!$A:$S,MATCH($B18,'DB Services ISM'!$A$1:$S$1,0),0)</f>
        <v>15</v>
      </c>
      <c r="AH18" s="2">
        <f>VLOOKUP(AH$4,'DB Services ISM'!$A:$S,MATCH($B18,'DB Services ISM'!$A$1:$S$1,0),0)</f>
        <v>11</v>
      </c>
      <c r="AI18" s="2">
        <f>VLOOKUP(AI$4,'DB Services ISM'!$A:$S,MATCH($B18,'DB Services ISM'!$A$1:$S$1,0),0)</f>
        <v>17</v>
      </c>
      <c r="AJ18" s="2">
        <f>VLOOKUP(AJ$4,'DB Services ISM'!$A:$S,MATCH($B18,'DB Services ISM'!$A$1:$S$1,0),0)</f>
        <v>7</v>
      </c>
      <c r="AK18" s="2">
        <f>VLOOKUP(AK$4,'DB Services ISM'!$A:$S,MATCH($B18,'DB Services ISM'!$A$1:$S$1,0),0)</f>
        <v>12</v>
      </c>
      <c r="AL18" s="31"/>
      <c r="AM18" s="20">
        <f t="shared" si="0"/>
        <v>5</v>
      </c>
      <c r="AN18" s="32">
        <f t="shared" si="1"/>
        <v>12</v>
      </c>
      <c r="AO18" s="32">
        <f t="shared" si="2"/>
        <v>12.833333333333334</v>
      </c>
      <c r="AR18" s="33"/>
    </row>
    <row r="19" spans="2:44" x14ac:dyDescent="0.35">
      <c r="B19" s="3" t="s">
        <v>44</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2">
        <f>VLOOKUP(AB$4,'DB Services ISM'!$A:$S,MATCH($B19,'DB Services ISM'!$A$1:$S$1,0),0)</f>
        <v>4</v>
      </c>
      <c r="AC19" s="2">
        <f>VLOOKUP(AC$4,'DB Services ISM'!$A:$S,MATCH($B19,'DB Services ISM'!$A$1:$S$1,0),0)</f>
        <v>4</v>
      </c>
      <c r="AD19" s="2">
        <f>VLOOKUP(AD$4,'DB Services ISM'!$A:$S,MATCH($B19,'DB Services ISM'!$A$1:$S$1,0),0)</f>
        <v>5</v>
      </c>
      <c r="AE19" s="2">
        <f>VLOOKUP(AE$4,'DB Services ISM'!$A:$S,MATCH($B19,'DB Services ISM'!$A$1:$S$1,0),0)</f>
        <v>4</v>
      </c>
      <c r="AF19" s="2">
        <f>VLOOKUP(AF$4,'DB Services ISM'!$A:$S,MATCH($B19,'DB Services ISM'!$A$1:$S$1,0),0)</f>
        <v>9</v>
      </c>
      <c r="AG19" s="2">
        <f>VLOOKUP(AG$4,'DB Services ISM'!$A:$S,MATCH($B19,'DB Services ISM'!$A$1:$S$1,0),0)</f>
        <v>8</v>
      </c>
      <c r="AH19" s="2">
        <f>VLOOKUP(AH$4,'DB Services ISM'!$A:$S,MATCH($B19,'DB Services ISM'!$A$1:$S$1,0),0)</f>
        <v>1</v>
      </c>
      <c r="AI19" s="2">
        <f>VLOOKUP(AI$4,'DB Services ISM'!$A:$S,MATCH($B19,'DB Services ISM'!$A$1:$S$1,0),0)</f>
        <v>5</v>
      </c>
      <c r="AJ19" s="2">
        <f>VLOOKUP(AJ$4,'DB Services ISM'!$A:$S,MATCH($B19,'DB Services ISM'!$A$1:$S$1,0),0)</f>
        <v>8</v>
      </c>
      <c r="AK19" s="2">
        <f>VLOOKUP(AK$4,'DB Services ISM'!$A:$S,MATCH($B19,'DB Services ISM'!$A$1:$S$1,0),0)</f>
        <v>6</v>
      </c>
      <c r="AL19" s="31"/>
      <c r="AM19" s="20">
        <f t="shared" si="0"/>
        <v>-2</v>
      </c>
      <c r="AN19" s="32">
        <f t="shared" si="1"/>
        <v>6.333333333333333</v>
      </c>
      <c r="AO19" s="32">
        <f t="shared" si="2"/>
        <v>6.166666666666667</v>
      </c>
    </row>
    <row r="20" spans="2:44" x14ac:dyDescent="0.35">
      <c r="B20" s="3" t="s">
        <v>45</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2">
        <f>VLOOKUP(AB$4,'DB Services ISM'!$A:$S,MATCH($B20,'DB Services ISM'!$A$1:$S$1,0),0)</f>
        <v>12</v>
      </c>
      <c r="AC20" s="2">
        <f>VLOOKUP(AC$4,'DB Services ISM'!$A:$S,MATCH($B20,'DB Services ISM'!$A$1:$S$1,0),0)</f>
        <v>13</v>
      </c>
      <c r="AD20" s="2">
        <f>VLOOKUP(AD$4,'DB Services ISM'!$A:$S,MATCH($B20,'DB Services ISM'!$A$1:$S$1,0),0)</f>
        <v>1</v>
      </c>
      <c r="AE20" s="2">
        <f>VLOOKUP(AE$4,'DB Services ISM'!$A:$S,MATCH($B20,'DB Services ISM'!$A$1:$S$1,0),0)</f>
        <v>1</v>
      </c>
      <c r="AF20" s="2">
        <f>VLOOKUP(AF$4,'DB Services ISM'!$A:$S,MATCH($B20,'DB Services ISM'!$A$1:$S$1,0),0)</f>
        <v>1</v>
      </c>
      <c r="AG20" s="2">
        <f>VLOOKUP(AG$4,'DB Services ISM'!$A:$S,MATCH($B20,'DB Services ISM'!$A$1:$S$1,0),0)</f>
        <v>12</v>
      </c>
      <c r="AH20" s="2">
        <f>VLOOKUP(AH$4,'DB Services ISM'!$A:$S,MATCH($B20,'DB Services ISM'!$A$1:$S$1,0),0)</f>
        <v>9</v>
      </c>
      <c r="AI20" s="2">
        <f>VLOOKUP(AI$4,'DB Services ISM'!$A:$S,MATCH($B20,'DB Services ISM'!$A$1:$S$1,0),0)</f>
        <v>15</v>
      </c>
      <c r="AJ20" s="2">
        <f>VLOOKUP(AJ$4,'DB Services ISM'!$A:$S,MATCH($B20,'DB Services ISM'!$A$1:$S$1,0),0)</f>
        <v>3</v>
      </c>
      <c r="AK20" s="2">
        <f>VLOOKUP(AK$4,'DB Services ISM'!$A:$S,MATCH($B20,'DB Services ISM'!$A$1:$S$1,0),0)</f>
        <v>8</v>
      </c>
      <c r="AL20" s="31"/>
      <c r="AM20" s="20">
        <f t="shared" si="0"/>
        <v>5</v>
      </c>
      <c r="AN20" s="32">
        <f t="shared" si="1"/>
        <v>8.6666666666666661</v>
      </c>
      <c r="AO20" s="32">
        <f t="shared" si="2"/>
        <v>8</v>
      </c>
    </row>
    <row r="21" spans="2:44" x14ac:dyDescent="0.35">
      <c r="B21" s="3" t="s">
        <v>35</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2">
        <f>VLOOKUP(AB$4,'DB Services ISM'!$A:$S,MATCH($B21,'DB Services ISM'!$A$1:$S$1,0),0)</f>
        <v>8</v>
      </c>
      <c r="AC21" s="2">
        <f>VLOOKUP(AC$4,'DB Services ISM'!$A:$S,MATCH($B21,'DB Services ISM'!$A$1:$S$1,0),0)</f>
        <v>11</v>
      </c>
      <c r="AD21" s="2">
        <f>VLOOKUP(AD$4,'DB Services ISM'!$A:$S,MATCH($B21,'DB Services ISM'!$A$1:$S$1,0),0)</f>
        <v>7</v>
      </c>
      <c r="AE21" s="2">
        <f>VLOOKUP(AE$4,'DB Services ISM'!$A:$S,MATCH($B21,'DB Services ISM'!$A$1:$S$1,0),0)</f>
        <v>5</v>
      </c>
      <c r="AF21" s="2">
        <f>VLOOKUP(AF$4,'DB Services ISM'!$A:$S,MATCH($B21,'DB Services ISM'!$A$1:$S$1,0),0)</f>
        <v>10</v>
      </c>
      <c r="AG21" s="2">
        <f>VLOOKUP(AG$4,'DB Services ISM'!$A:$S,MATCH($B21,'DB Services ISM'!$A$1:$S$1,0),0)</f>
        <v>14</v>
      </c>
      <c r="AH21" s="2">
        <f>VLOOKUP(AH$4,'DB Services ISM'!$A:$S,MATCH($B21,'DB Services ISM'!$A$1:$S$1,0),0)</f>
        <v>5</v>
      </c>
      <c r="AI21" s="2">
        <f>VLOOKUP(AI$4,'DB Services ISM'!$A:$S,MATCH($B21,'DB Services ISM'!$A$1:$S$1,0),0)</f>
        <v>10</v>
      </c>
      <c r="AJ21" s="2">
        <f>VLOOKUP(AJ$4,'DB Services ISM'!$A:$S,MATCH($B21,'DB Services ISM'!$A$1:$S$1,0),0)</f>
        <v>16</v>
      </c>
      <c r="AK21" s="2">
        <f>VLOOKUP(AK$4,'DB Services ISM'!$A:$S,MATCH($B21,'DB Services ISM'!$A$1:$S$1,0),0)</f>
        <v>9</v>
      </c>
      <c r="AL21" s="31"/>
      <c r="AM21" s="20">
        <f t="shared" si="0"/>
        <v>-7</v>
      </c>
      <c r="AN21" s="32">
        <f t="shared" si="1"/>
        <v>11.666666666666666</v>
      </c>
      <c r="AO21" s="32">
        <f t="shared" si="2"/>
        <v>10.666666666666666</v>
      </c>
    </row>
    <row r="22" spans="2:44" x14ac:dyDescent="0.35">
      <c r="B22" s="3" t="s">
        <v>33</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2">
        <f>VLOOKUP(AB$4,'DB Services ISM'!$A:$S,MATCH($B22,'DB Services ISM'!$A$1:$S$1,0),0)</f>
        <v>15</v>
      </c>
      <c r="AC22" s="2">
        <f>VLOOKUP(AC$4,'DB Services ISM'!$A:$S,MATCH($B22,'DB Services ISM'!$A$1:$S$1,0),0)</f>
        <v>8</v>
      </c>
      <c r="AD22" s="2">
        <f>VLOOKUP(AD$4,'DB Services ISM'!$A:$S,MATCH($B22,'DB Services ISM'!$A$1:$S$1,0),0)</f>
        <v>11</v>
      </c>
      <c r="AE22" s="2">
        <f>VLOOKUP(AE$4,'DB Services ISM'!$A:$S,MATCH($B22,'DB Services ISM'!$A$1:$S$1,0),0)</f>
        <v>8</v>
      </c>
      <c r="AF22" s="2">
        <f>VLOOKUP(AF$4,'DB Services ISM'!$A:$S,MATCH($B22,'DB Services ISM'!$A$1:$S$1,0),0)</f>
        <v>12</v>
      </c>
      <c r="AG22" s="2">
        <f>VLOOKUP(AG$4,'DB Services ISM'!$A:$S,MATCH($B22,'DB Services ISM'!$A$1:$S$1,0),0)</f>
        <v>11</v>
      </c>
      <c r="AH22" s="2">
        <f>VLOOKUP(AH$4,'DB Services ISM'!$A:$S,MATCH($B22,'DB Services ISM'!$A$1:$S$1,0),0)</f>
        <v>8</v>
      </c>
      <c r="AI22" s="2">
        <f>VLOOKUP(AI$4,'DB Services ISM'!$A:$S,MATCH($B22,'DB Services ISM'!$A$1:$S$1,0),0)</f>
        <v>4</v>
      </c>
      <c r="AJ22" s="2">
        <f>VLOOKUP(AJ$4,'DB Services ISM'!$A:$S,MATCH($B22,'DB Services ISM'!$A$1:$S$1,0),0)</f>
        <v>9</v>
      </c>
      <c r="AK22" s="2">
        <f>VLOOKUP(AK$4,'DB Services ISM'!$A:$S,MATCH($B22,'DB Services ISM'!$A$1:$S$1,0),0)</f>
        <v>11</v>
      </c>
      <c r="AL22" s="31"/>
      <c r="AM22" s="20">
        <f t="shared" si="0"/>
        <v>2</v>
      </c>
      <c r="AN22" s="32">
        <f t="shared" si="1"/>
        <v>8</v>
      </c>
      <c r="AO22" s="32">
        <f t="shared" si="2"/>
        <v>9.1666666666666661</v>
      </c>
    </row>
    <row r="23" spans="2:44" x14ac:dyDescent="0.35">
      <c r="B23" s="4" t="s">
        <v>20</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2">
        <f>VLOOKUP(AB$4,'DB Services ISM'!$A:$S,MATCH($B23,'DB Services ISM'!$A$1:$S$1,0),0)</f>
        <v>16</v>
      </c>
      <c r="AC23" s="2">
        <f>VLOOKUP(AC$4,'DB Services ISM'!$A:$S,MATCH($B23,'DB Services ISM'!$A$1:$S$1,0),0)</f>
        <v>17</v>
      </c>
      <c r="AD23" s="2">
        <f>VLOOKUP(AD$4,'DB Services ISM'!$A:$S,MATCH($B23,'DB Services ISM'!$A$1:$S$1,0),0)</f>
        <v>12</v>
      </c>
      <c r="AE23" s="2">
        <f>VLOOKUP(AE$4,'DB Services ISM'!$A:$S,MATCH($B23,'DB Services ISM'!$A$1:$S$1,0),0)</f>
        <v>15</v>
      </c>
      <c r="AF23" s="2">
        <f>VLOOKUP(AF$4,'DB Services ISM'!$A:$S,MATCH($B23,'DB Services ISM'!$A$1:$S$1,0),0)</f>
        <v>3</v>
      </c>
      <c r="AG23" s="2">
        <f>VLOOKUP(AG$4,'DB Services ISM'!$A:$S,MATCH($B23,'DB Services ISM'!$A$1:$S$1,0),0)</f>
        <v>9</v>
      </c>
      <c r="AH23" s="2">
        <f>VLOOKUP(AH$4,'DB Services ISM'!$A:$S,MATCH($B23,'DB Services ISM'!$A$1:$S$1,0),0)</f>
        <v>6</v>
      </c>
      <c r="AI23" s="2">
        <f>VLOOKUP(AI$4,'DB Services ISM'!$A:$S,MATCH($B23,'DB Services ISM'!$A$1:$S$1,0),0)</f>
        <v>14</v>
      </c>
      <c r="AJ23" s="2">
        <f>VLOOKUP(AJ$4,'DB Services ISM'!$A:$S,MATCH($B23,'DB Services ISM'!$A$1:$S$1,0),0)</f>
        <v>6</v>
      </c>
      <c r="AK23" s="2">
        <f>VLOOKUP(AK$4,'DB Services ISM'!$A:$S,MATCH($B23,'DB Services ISM'!$A$1:$S$1,0),0)</f>
        <v>13</v>
      </c>
      <c r="AL23" s="31"/>
      <c r="AM23" s="20">
        <f t="shared" si="0"/>
        <v>7</v>
      </c>
      <c r="AN23" s="32">
        <f t="shared" si="1"/>
        <v>11</v>
      </c>
      <c r="AO23" s="32">
        <f t="shared" si="2"/>
        <v>8.5</v>
      </c>
    </row>
    <row r="24" spans="2:44" x14ac:dyDescent="0.35">
      <c r="B24" s="31"/>
      <c r="C24" s="34">
        <v>1</v>
      </c>
      <c r="D24" s="34">
        <v>2</v>
      </c>
      <c r="E24" s="34">
        <v>3</v>
      </c>
      <c r="F24" s="34">
        <v>4</v>
      </c>
      <c r="G24" s="34">
        <v>5</v>
      </c>
      <c r="H24" s="34">
        <v>6</v>
      </c>
      <c r="I24" s="34">
        <v>7</v>
      </c>
      <c r="J24" s="34">
        <v>8</v>
      </c>
      <c r="K24" s="34">
        <v>9</v>
      </c>
      <c r="L24" s="34">
        <v>10</v>
      </c>
      <c r="M24" s="34">
        <v>11</v>
      </c>
      <c r="N24" s="34">
        <v>12</v>
      </c>
      <c r="O24" s="34">
        <v>13</v>
      </c>
      <c r="P24" s="34">
        <v>14</v>
      </c>
      <c r="Q24" s="34">
        <v>15</v>
      </c>
      <c r="R24" s="34">
        <v>16</v>
      </c>
      <c r="S24" s="34">
        <v>17</v>
      </c>
      <c r="T24" s="34">
        <v>18</v>
      </c>
      <c r="U24" s="34">
        <v>19</v>
      </c>
      <c r="V24" s="34">
        <v>20</v>
      </c>
      <c r="W24" s="34">
        <v>21</v>
      </c>
      <c r="X24" s="34">
        <v>22</v>
      </c>
      <c r="Y24" s="34">
        <v>23</v>
      </c>
      <c r="Z24" s="34">
        <v>24</v>
      </c>
      <c r="AA24" s="34">
        <v>25</v>
      </c>
      <c r="AB24" s="34">
        <v>26</v>
      </c>
      <c r="AC24" s="34">
        <v>27</v>
      </c>
      <c r="AD24" s="34">
        <v>28</v>
      </c>
      <c r="AE24" s="34">
        <v>29</v>
      </c>
      <c r="AF24" s="34">
        <v>30</v>
      </c>
      <c r="AG24" s="34">
        <v>31</v>
      </c>
      <c r="AH24" s="34">
        <v>32</v>
      </c>
      <c r="AI24" s="34">
        <v>33</v>
      </c>
      <c r="AJ24" s="34">
        <v>34</v>
      </c>
      <c r="AK24" s="34">
        <v>35</v>
      </c>
      <c r="AL24" s="31"/>
      <c r="AM24" s="31"/>
      <c r="AN24" s="31"/>
      <c r="AO24" s="31"/>
    </row>
    <row r="25" spans="2:44" ht="16" customHeight="1" thickBot="1" x14ac:dyDescent="0.4">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row>
    <row r="26" spans="2:44" ht="16" customHeight="1" thickBot="1" x14ac:dyDescent="0.4">
      <c r="B26" s="83" t="s">
        <v>29</v>
      </c>
      <c r="C26" s="29">
        <v>43831</v>
      </c>
      <c r="D26" s="29">
        <v>43862</v>
      </c>
      <c r="E26" s="29">
        <v>43891</v>
      </c>
      <c r="F26" s="29">
        <v>43922</v>
      </c>
      <c r="G26" s="29">
        <v>43952</v>
      </c>
      <c r="H26" s="29">
        <v>43983</v>
      </c>
      <c r="I26" s="29">
        <v>44013</v>
      </c>
      <c r="J26" s="29">
        <v>44044</v>
      </c>
      <c r="K26" s="29">
        <v>44075</v>
      </c>
      <c r="L26" s="29">
        <v>44105</v>
      </c>
      <c r="M26" s="29">
        <v>44136</v>
      </c>
      <c r="N26" s="29">
        <v>44166</v>
      </c>
      <c r="O26" s="29">
        <v>44197</v>
      </c>
      <c r="P26" s="29">
        <v>44228</v>
      </c>
      <c r="Q26" s="29">
        <v>44256</v>
      </c>
      <c r="R26" s="29">
        <v>44287</v>
      </c>
      <c r="S26" s="29">
        <v>44317</v>
      </c>
      <c r="T26" s="29">
        <v>44348</v>
      </c>
      <c r="U26" s="29">
        <v>44378</v>
      </c>
      <c r="V26" s="29">
        <v>44409</v>
      </c>
      <c r="W26" s="29">
        <v>44440</v>
      </c>
      <c r="X26" s="29">
        <v>44470</v>
      </c>
      <c r="Y26" s="29">
        <v>44501</v>
      </c>
      <c r="Z26" s="29">
        <v>44531</v>
      </c>
      <c r="AA26" s="29">
        <v>44562</v>
      </c>
      <c r="AB26" s="29">
        <v>44593</v>
      </c>
      <c r="AC26" s="29">
        <v>44621</v>
      </c>
      <c r="AD26" s="29">
        <v>44652</v>
      </c>
      <c r="AE26" s="29">
        <v>44682</v>
      </c>
      <c r="AF26" s="29">
        <v>44713</v>
      </c>
      <c r="AG26" s="29">
        <v>44743</v>
      </c>
      <c r="AH26" s="29">
        <v>44774</v>
      </c>
      <c r="AI26" s="29">
        <v>44805</v>
      </c>
      <c r="AJ26" s="29">
        <v>44835</v>
      </c>
      <c r="AK26" s="29">
        <v>44866</v>
      </c>
      <c r="AL26" s="10"/>
      <c r="AM26" s="85" t="s">
        <v>74</v>
      </c>
      <c r="AN26" s="85" t="s">
        <v>75</v>
      </c>
      <c r="AO26" s="85" t="s">
        <v>76</v>
      </c>
    </row>
    <row r="27" spans="2:44" ht="16" customHeight="1" thickBot="1" x14ac:dyDescent="0.4">
      <c r="B27" s="84"/>
      <c r="C27" s="30"/>
      <c r="D27" s="30"/>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10"/>
      <c r="AM27" s="86"/>
      <c r="AN27" s="86"/>
      <c r="AO27" s="86"/>
    </row>
    <row r="28" spans="2:44" x14ac:dyDescent="0.35">
      <c r="B28" s="3" t="s">
        <v>28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B28" s="2">
        <f>VLOOKUP(AB$26,'DB Business'!$A:$S,MATCH($B28,'DB Business'!$A$1:$S$1,0),0)</f>
        <v>5</v>
      </c>
      <c r="AC28" s="2">
        <f>VLOOKUP(AC$26,'DB Business'!$A:$S,MATCH($B28,'DB Business'!$A$1:$S$1,0),0)</f>
        <v>9</v>
      </c>
      <c r="AD28" s="2">
        <f>VLOOKUP(AD$26,'DB Business'!$A:$S,MATCH($B28,'DB Business'!$A$1:$S$1,0),0)</f>
        <v>9</v>
      </c>
      <c r="AE28" s="2">
        <f>VLOOKUP(AE$26,'DB Business'!$A:$S,MATCH($B28,'DB Business'!$A$1:$S$1,0),0)</f>
        <v>7</v>
      </c>
      <c r="AF28" s="2">
        <f>VLOOKUP(AF$26,'DB Business'!$A:$S,MATCH($B28,'DB Business'!$A$1:$S$1,0),0)</f>
        <v>8</v>
      </c>
      <c r="AG28" s="2">
        <f>VLOOKUP(AG$26,'DB Business'!$A:$S,MATCH($B28,'DB Business'!$A$1:$S$1,0),0)</f>
        <v>8</v>
      </c>
      <c r="AH28" s="2">
        <f>VLOOKUP(AH$26,'DB Business'!$A:$S,MATCH($B28,'DB Business'!$A$1:$S$1,0),0)</f>
        <v>10</v>
      </c>
      <c r="AI28" s="2">
        <f>VLOOKUP(AI$26,'DB Business'!$A:$S,MATCH($B28,'DB Business'!$A$1:$S$1,0),0)</f>
        <v>7</v>
      </c>
      <c r="AJ28" s="2">
        <f>VLOOKUP(AJ$26,'DB Business'!$A:$S,MATCH($B28,'DB Business'!$A$1:$S$1,0),0)</f>
        <v>8</v>
      </c>
      <c r="AK28" s="2">
        <f>VLOOKUP(AK$26,'DB Business'!$A:$S,MATCH($B28,'DB Business'!$A$1:$S$1,0),0)</f>
        <v>0</v>
      </c>
      <c r="AM28" s="20">
        <f>AK28-AJ28</f>
        <v>-8</v>
      </c>
      <c r="AN28" s="32">
        <f>AVERAGE(AI28:AK28)</f>
        <v>5</v>
      </c>
      <c r="AO28" s="32">
        <f>AVERAGE(AF28:AK28)</f>
        <v>6.833333333333333</v>
      </c>
    </row>
    <row r="29" spans="2:44" x14ac:dyDescent="0.35">
      <c r="B29" s="3" t="s">
        <v>41</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B29" s="2">
        <f>VLOOKUP(AB$26,'DB Business'!$A:$S,MATCH($B29,'DB Business'!$A$1:$S$1,0),0)</f>
        <v>2</v>
      </c>
      <c r="AC29" s="2">
        <f>VLOOKUP(AC$26,'DB Business'!$A:$S,MATCH($B29,'DB Business'!$A$1:$S$1,0),0)</f>
        <v>0</v>
      </c>
      <c r="AD29" s="2">
        <f>VLOOKUP(AD$26,'DB Business'!$A:$S,MATCH($B29,'DB Business'!$A$1:$S$1,0),0)</f>
        <v>0</v>
      </c>
      <c r="AE29" s="2">
        <f>VLOOKUP(AE$26,'DB Business'!$A:$S,MATCH($B29,'DB Business'!$A$1:$S$1,0),0)</f>
        <v>-2</v>
      </c>
      <c r="AF29" s="2">
        <f>VLOOKUP(AF$26,'DB Business'!$A:$S,MATCH($B29,'DB Business'!$A$1:$S$1,0),0)</f>
        <v>0</v>
      </c>
      <c r="AG29" s="2">
        <f>VLOOKUP(AG$26,'DB Business'!$A:$S,MATCH($B29,'DB Business'!$A$1:$S$1,0),0)</f>
        <v>-2</v>
      </c>
      <c r="AH29" s="2">
        <f>VLOOKUP(AH$26,'DB Business'!$A:$S,MATCH($B29,'DB Business'!$A$1:$S$1,0),0)</f>
        <v>0</v>
      </c>
      <c r="AI29" s="2">
        <f>VLOOKUP(AI$26,'DB Business'!$A:$S,MATCH($B29,'DB Business'!$A$1:$S$1,0),0)</f>
        <v>2</v>
      </c>
      <c r="AJ29" s="2">
        <f>VLOOKUP(AJ$26,'DB Business'!$A:$S,MATCH($B29,'DB Business'!$A$1:$S$1,0),0)</f>
        <v>3</v>
      </c>
      <c r="AK29" s="2">
        <f>VLOOKUP(AK$26,'DB Business'!$A:$S,MATCH($B29,'DB Business'!$A$1:$S$1,0),0)</f>
        <v>3</v>
      </c>
      <c r="AM29" s="20">
        <f t="shared" ref="AM29:AM45" si="3">AK29-AJ29</f>
        <v>0</v>
      </c>
      <c r="AN29" s="32">
        <f t="shared" ref="AN29:AN45" si="4">AVERAGE(AI29:AK29)</f>
        <v>2.6666666666666665</v>
      </c>
      <c r="AO29" s="32">
        <f t="shared" ref="AO29:AO45" si="5">AVERAGE(AF29:AK29)</f>
        <v>1</v>
      </c>
    </row>
    <row r="30" spans="2:44" x14ac:dyDescent="0.35">
      <c r="B30" s="3" t="s">
        <v>47</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B30" s="2">
        <f>VLOOKUP(AB$26,'DB Business'!$A:$S,MATCH($B30,'DB Business'!$A$1:$S$1,0),0)</f>
        <v>-3</v>
      </c>
      <c r="AC30" s="2">
        <f>VLOOKUP(AC$26,'DB Business'!$A:$S,MATCH($B30,'DB Business'!$A$1:$S$1,0),0)</f>
        <v>13</v>
      </c>
      <c r="AD30" s="2">
        <f>VLOOKUP(AD$26,'DB Business'!$A:$S,MATCH($B30,'DB Business'!$A$1:$S$1,0),0)</f>
        <v>0</v>
      </c>
      <c r="AE30" s="2">
        <f>VLOOKUP(AE$26,'DB Business'!$A:$S,MATCH($B30,'DB Business'!$A$1:$S$1,0),0)</f>
        <v>10</v>
      </c>
      <c r="AF30" s="2">
        <f>VLOOKUP(AF$26,'DB Business'!$A:$S,MATCH($B30,'DB Business'!$A$1:$S$1,0),0)</f>
        <v>11</v>
      </c>
      <c r="AG30" s="2">
        <f>VLOOKUP(AG$26,'DB Business'!$A:$S,MATCH($B30,'DB Business'!$A$1:$S$1,0),0)</f>
        <v>0</v>
      </c>
      <c r="AH30" s="2">
        <f>VLOOKUP(AH$26,'DB Business'!$A:$S,MATCH($B30,'DB Business'!$A$1:$S$1,0),0)</f>
        <v>-1</v>
      </c>
      <c r="AI30" s="2">
        <f>VLOOKUP(AI$26,'DB Business'!$A:$S,MATCH($B30,'DB Business'!$A$1:$S$1,0),0)</f>
        <v>-1</v>
      </c>
      <c r="AJ30" s="2">
        <f>VLOOKUP(AJ$26,'DB Business'!$A:$S,MATCH($B30,'DB Business'!$A$1:$S$1,0),0)</f>
        <v>11</v>
      </c>
      <c r="AK30" s="2">
        <f>VLOOKUP(AK$26,'DB Business'!$A:$S,MATCH($B30,'DB Business'!$A$1:$S$1,0),0)</f>
        <v>0</v>
      </c>
      <c r="AM30" s="20">
        <f t="shared" si="3"/>
        <v>-11</v>
      </c>
      <c r="AN30" s="32">
        <f t="shared" si="4"/>
        <v>3.3333333333333335</v>
      </c>
      <c r="AO30" s="32">
        <f t="shared" si="5"/>
        <v>3.3333333333333335</v>
      </c>
    </row>
    <row r="31" spans="2:44" x14ac:dyDescent="0.35">
      <c r="B31" s="3" t="s">
        <v>23</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B31" s="2">
        <f>VLOOKUP(AB$26,'DB Business'!$A:$S,MATCH($B31,'DB Business'!$A$1:$S$1,0),0)</f>
        <v>3</v>
      </c>
      <c r="AC31" s="2">
        <f>VLOOKUP(AC$26,'DB Business'!$A:$S,MATCH($B31,'DB Business'!$A$1:$S$1,0),0)</f>
        <v>10</v>
      </c>
      <c r="AD31" s="2">
        <f>VLOOKUP(AD$26,'DB Business'!$A:$S,MATCH($B31,'DB Business'!$A$1:$S$1,0),0)</f>
        <v>2</v>
      </c>
      <c r="AE31" s="2">
        <f>VLOOKUP(AE$26,'DB Business'!$A:$S,MATCH($B31,'DB Business'!$A$1:$S$1,0),0)</f>
        <v>0</v>
      </c>
      <c r="AF31" s="2">
        <f>VLOOKUP(AF$26,'DB Business'!$A:$S,MATCH($B31,'DB Business'!$A$1:$S$1,0),0)</f>
        <v>13</v>
      </c>
      <c r="AG31" s="2">
        <f>VLOOKUP(AG$26,'DB Business'!$A:$S,MATCH($B31,'DB Business'!$A$1:$S$1,0),0)</f>
        <v>6</v>
      </c>
      <c r="AH31" s="2">
        <f>VLOOKUP(AH$26,'DB Business'!$A:$S,MATCH($B31,'DB Business'!$A$1:$S$1,0),0)</f>
        <v>0</v>
      </c>
      <c r="AI31" s="2">
        <f>VLOOKUP(AI$26,'DB Business'!$A:$S,MATCH($B31,'DB Business'!$A$1:$S$1,0),0)</f>
        <v>12</v>
      </c>
      <c r="AJ31" s="2">
        <f>VLOOKUP(AJ$26,'DB Business'!$A:$S,MATCH($B31,'DB Business'!$A$1:$S$1,0),0)</f>
        <v>5</v>
      </c>
      <c r="AK31" s="2">
        <f>VLOOKUP(AK$26,'DB Business'!$A:$S,MATCH($B31,'DB Business'!$A$1:$S$1,0),0)</f>
        <v>10</v>
      </c>
      <c r="AM31" s="20">
        <f t="shared" si="3"/>
        <v>5</v>
      </c>
      <c r="AN31" s="32">
        <f t="shared" si="4"/>
        <v>9</v>
      </c>
      <c r="AO31" s="32">
        <f t="shared" si="5"/>
        <v>7.666666666666667</v>
      </c>
    </row>
    <row r="32" spans="2:44" x14ac:dyDescent="0.35">
      <c r="B32" s="3" t="s">
        <v>43</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B32" s="2">
        <f>VLOOKUP(AB$26,'DB Business'!$A:$S,MATCH($B32,'DB Business'!$A$1:$S$1,0),0)</f>
        <v>1</v>
      </c>
      <c r="AC32" s="2">
        <f>VLOOKUP(AC$26,'DB Business'!$A:$S,MATCH($B32,'DB Business'!$A$1:$S$1,0),0)</f>
        <v>-1</v>
      </c>
      <c r="AD32" s="2">
        <f>VLOOKUP(AD$26,'DB Business'!$A:$S,MATCH($B32,'DB Business'!$A$1:$S$1,0),0)</f>
        <v>4</v>
      </c>
      <c r="AE32" s="2">
        <f>VLOOKUP(AE$26,'DB Business'!$A:$S,MATCH($B32,'DB Business'!$A$1:$S$1,0),0)</f>
        <v>1</v>
      </c>
      <c r="AF32" s="2">
        <f>VLOOKUP(AF$26,'DB Business'!$A:$S,MATCH($B32,'DB Business'!$A$1:$S$1,0),0)</f>
        <v>4</v>
      </c>
      <c r="AG32" s="2">
        <f>VLOOKUP(AG$26,'DB Business'!$A:$S,MATCH($B32,'DB Business'!$A$1:$S$1,0),0)</f>
        <v>4</v>
      </c>
      <c r="AH32" s="2">
        <f>VLOOKUP(AH$26,'DB Business'!$A:$S,MATCH($B32,'DB Business'!$A$1:$S$1,0),0)</f>
        <v>2</v>
      </c>
      <c r="AI32" s="2">
        <f>VLOOKUP(AI$26,'DB Business'!$A:$S,MATCH($B32,'DB Business'!$A$1:$S$1,0),0)</f>
        <v>9</v>
      </c>
      <c r="AJ32" s="2">
        <f>VLOOKUP(AJ$26,'DB Business'!$A:$S,MATCH($B32,'DB Business'!$A$1:$S$1,0),0)</f>
        <v>1</v>
      </c>
      <c r="AK32" s="2">
        <f>VLOOKUP(AK$26,'DB Business'!$A:$S,MATCH($B32,'DB Business'!$A$1:$S$1,0),0)</f>
        <v>6</v>
      </c>
      <c r="AM32" s="20">
        <f t="shared" si="3"/>
        <v>5</v>
      </c>
      <c r="AN32" s="32">
        <f t="shared" si="4"/>
        <v>5.333333333333333</v>
      </c>
      <c r="AO32" s="32">
        <f t="shared" si="5"/>
        <v>4.333333333333333</v>
      </c>
    </row>
    <row r="33" spans="2:41" x14ac:dyDescent="0.35">
      <c r="B33" s="3" t="s">
        <v>14</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B33" s="2">
        <f>VLOOKUP(AB$26,'DB Business'!$A:$S,MATCH($B33,'DB Business'!$A$1:$S$1,0),0)</f>
        <v>-1</v>
      </c>
      <c r="AC33" s="2">
        <f>VLOOKUP(AC$26,'DB Business'!$A:$S,MATCH($B33,'DB Business'!$A$1:$S$1,0),0)</f>
        <v>8</v>
      </c>
      <c r="AD33" s="2">
        <f>VLOOKUP(AD$26,'DB Business'!$A:$S,MATCH($B33,'DB Business'!$A$1:$S$1,0),0)</f>
        <v>13</v>
      </c>
      <c r="AE33" s="2">
        <f>VLOOKUP(AE$26,'DB Business'!$A:$S,MATCH($B33,'DB Business'!$A$1:$S$1,0),0)</f>
        <v>5</v>
      </c>
      <c r="AF33" s="2">
        <f>VLOOKUP(AF$26,'DB Business'!$A:$S,MATCH($B33,'DB Business'!$A$1:$S$1,0),0)</f>
        <v>12</v>
      </c>
      <c r="AG33" s="2">
        <f>VLOOKUP(AG$26,'DB Business'!$A:$S,MATCH($B33,'DB Business'!$A$1:$S$1,0),0)</f>
        <v>-3</v>
      </c>
      <c r="AH33" s="2">
        <f>VLOOKUP(AH$26,'DB Business'!$A:$S,MATCH($B33,'DB Business'!$A$1:$S$1,0),0)</f>
        <v>-2</v>
      </c>
      <c r="AI33" s="2">
        <f>VLOOKUP(AI$26,'DB Business'!$A:$S,MATCH($B33,'DB Business'!$A$1:$S$1,0),0)</f>
        <v>-2</v>
      </c>
      <c r="AJ33" s="2">
        <f>VLOOKUP(AJ$26,'DB Business'!$A:$S,MATCH($B33,'DB Business'!$A$1:$S$1,0),0)</f>
        <v>7</v>
      </c>
      <c r="AK33" s="2">
        <f>VLOOKUP(AK$26,'DB Business'!$A:$S,MATCH($B33,'DB Business'!$A$1:$S$1,0),0)</f>
        <v>12</v>
      </c>
      <c r="AM33" s="20">
        <f t="shared" si="3"/>
        <v>5</v>
      </c>
      <c r="AN33" s="32">
        <f t="shared" si="4"/>
        <v>5.666666666666667</v>
      </c>
      <c r="AO33" s="32">
        <f t="shared" si="5"/>
        <v>4</v>
      </c>
    </row>
    <row r="34" spans="2:41" x14ac:dyDescent="0.35">
      <c r="B34" s="3" t="s">
        <v>37</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B34" s="2">
        <f>VLOOKUP(AB$26,'DB Business'!$A:$S,MATCH($B34,'DB Business'!$A$1:$S$1,0),0)</f>
        <v>11</v>
      </c>
      <c r="AC34" s="2">
        <f>VLOOKUP(AC$26,'DB Business'!$A:$S,MATCH($B34,'DB Business'!$A$1:$S$1,0),0)</f>
        <v>4</v>
      </c>
      <c r="AD34" s="2">
        <f>VLOOKUP(AD$26,'DB Business'!$A:$S,MATCH($B34,'DB Business'!$A$1:$S$1,0),0)</f>
        <v>8</v>
      </c>
      <c r="AE34" s="2">
        <f>VLOOKUP(AE$26,'DB Business'!$A:$S,MATCH($B34,'DB Business'!$A$1:$S$1,0),0)</f>
        <v>2</v>
      </c>
      <c r="AF34" s="2">
        <f>VLOOKUP(AF$26,'DB Business'!$A:$S,MATCH($B34,'DB Business'!$A$1:$S$1,0),0)</f>
        <v>2</v>
      </c>
      <c r="AG34" s="2">
        <f>VLOOKUP(AG$26,'DB Business'!$A:$S,MATCH($B34,'DB Business'!$A$1:$S$1,0),0)</f>
        <v>2</v>
      </c>
      <c r="AH34" s="2">
        <f>VLOOKUP(AH$26,'DB Business'!$A:$S,MATCH($B34,'DB Business'!$A$1:$S$1,0),0)</f>
        <v>5</v>
      </c>
      <c r="AI34" s="2">
        <f>VLOOKUP(AI$26,'DB Business'!$A:$S,MATCH($B34,'DB Business'!$A$1:$S$1,0),0)</f>
        <v>1</v>
      </c>
      <c r="AJ34" s="2">
        <f>VLOOKUP(AJ$26,'DB Business'!$A:$S,MATCH($B34,'DB Business'!$A$1:$S$1,0),0)</f>
        <v>9</v>
      </c>
      <c r="AK34" s="2">
        <f>VLOOKUP(AK$26,'DB Business'!$A:$S,MATCH($B34,'DB Business'!$A$1:$S$1,0),0)</f>
        <v>2</v>
      </c>
      <c r="AM34" s="20">
        <f t="shared" si="3"/>
        <v>-7</v>
      </c>
      <c r="AN34" s="32">
        <f t="shared" si="4"/>
        <v>4</v>
      </c>
      <c r="AO34" s="32">
        <f t="shared" si="5"/>
        <v>3.5</v>
      </c>
    </row>
    <row r="35" spans="2:41" x14ac:dyDescent="0.35">
      <c r="B35" s="3" t="s">
        <v>42</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B35" s="2">
        <f>VLOOKUP(AB$26,'DB Business'!$A:$S,MATCH($B35,'DB Business'!$A$1:$S$1,0),0)</f>
        <v>8</v>
      </c>
      <c r="AC35" s="2">
        <f>VLOOKUP(AC$26,'DB Business'!$A:$S,MATCH($B35,'DB Business'!$A$1:$S$1,0),0)</f>
        <v>3</v>
      </c>
      <c r="AD35" s="2">
        <f>VLOOKUP(AD$26,'DB Business'!$A:$S,MATCH($B35,'DB Business'!$A$1:$S$1,0),0)</f>
        <v>1</v>
      </c>
      <c r="AE35" s="2">
        <f>VLOOKUP(AE$26,'DB Business'!$A:$S,MATCH($B35,'DB Business'!$A$1:$S$1,0),0)</f>
        <v>0</v>
      </c>
      <c r="AF35" s="2">
        <f>VLOOKUP(AF$26,'DB Business'!$A:$S,MATCH($B35,'DB Business'!$A$1:$S$1,0),0)</f>
        <v>7</v>
      </c>
      <c r="AG35" s="2">
        <f>VLOOKUP(AG$26,'DB Business'!$A:$S,MATCH($B35,'DB Business'!$A$1:$S$1,0),0)</f>
        <v>-1</v>
      </c>
      <c r="AH35" s="2">
        <f>VLOOKUP(AH$26,'DB Business'!$A:$S,MATCH($B35,'DB Business'!$A$1:$S$1,0),0)</f>
        <v>1</v>
      </c>
      <c r="AI35" s="2">
        <f>VLOOKUP(AI$26,'DB Business'!$A:$S,MATCH($B35,'DB Business'!$A$1:$S$1,0),0)</f>
        <v>8</v>
      </c>
      <c r="AJ35" s="2">
        <f>VLOOKUP(AJ$26,'DB Business'!$A:$S,MATCH($B35,'DB Business'!$A$1:$S$1,0),0)</f>
        <v>4</v>
      </c>
      <c r="AK35" s="2">
        <f>VLOOKUP(AK$26,'DB Business'!$A:$S,MATCH($B35,'DB Business'!$A$1:$S$1,0),0)</f>
        <v>0</v>
      </c>
      <c r="AM35" s="20">
        <f t="shared" si="3"/>
        <v>-4</v>
      </c>
      <c r="AN35" s="32">
        <f t="shared" si="4"/>
        <v>4</v>
      </c>
      <c r="AO35" s="32">
        <f t="shared" si="5"/>
        <v>3.1666666666666665</v>
      </c>
    </row>
    <row r="36" spans="2:41" x14ac:dyDescent="0.35">
      <c r="B36" s="3" t="s">
        <v>40</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B36" s="2">
        <f>VLOOKUP(AB$26,'DB Business'!$A:$S,MATCH($B36,'DB Business'!$A$1:$S$1,0),0)</f>
        <v>-4</v>
      </c>
      <c r="AC36" s="2">
        <f>VLOOKUP(AC$26,'DB Business'!$A:$S,MATCH($B36,'DB Business'!$A$1:$S$1,0),0)</f>
        <v>0</v>
      </c>
      <c r="AD36" s="2">
        <f>VLOOKUP(AD$26,'DB Business'!$A:$S,MATCH($B36,'DB Business'!$A$1:$S$1,0),0)</f>
        <v>14</v>
      </c>
      <c r="AE36" s="2">
        <f>VLOOKUP(AE$26,'DB Business'!$A:$S,MATCH($B36,'DB Business'!$A$1:$S$1,0),0)</f>
        <v>8</v>
      </c>
      <c r="AF36" s="2">
        <f>VLOOKUP(AF$26,'DB Business'!$A:$S,MATCH($B36,'DB Business'!$A$1:$S$1,0),0)</f>
        <v>0</v>
      </c>
      <c r="AG36" s="2">
        <f>VLOOKUP(AG$26,'DB Business'!$A:$S,MATCH($B36,'DB Business'!$A$1:$S$1,0),0)</f>
        <v>12</v>
      </c>
      <c r="AH36" s="2">
        <f>VLOOKUP(AH$26,'DB Business'!$A:$S,MATCH($B36,'DB Business'!$A$1:$S$1,0),0)</f>
        <v>11</v>
      </c>
      <c r="AI36" s="2">
        <f>VLOOKUP(AI$26,'DB Business'!$A:$S,MATCH($B36,'DB Business'!$A$1:$S$1,0),0)</f>
        <v>5</v>
      </c>
      <c r="AJ36" s="2">
        <f>VLOOKUP(AJ$26,'DB Business'!$A:$S,MATCH($B36,'DB Business'!$A$1:$S$1,0),0)</f>
        <v>-2</v>
      </c>
      <c r="AK36" s="2">
        <f>VLOOKUP(AK$26,'DB Business'!$A:$S,MATCH($B36,'DB Business'!$A$1:$S$1,0),0)</f>
        <v>13</v>
      </c>
      <c r="AM36" s="20">
        <f t="shared" si="3"/>
        <v>15</v>
      </c>
      <c r="AN36" s="32">
        <f t="shared" si="4"/>
        <v>5.333333333333333</v>
      </c>
      <c r="AO36" s="32">
        <f t="shared" si="5"/>
        <v>6.5</v>
      </c>
    </row>
    <row r="37" spans="2:41" x14ac:dyDescent="0.35">
      <c r="B37" s="3" t="s">
        <v>39</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B37" s="2">
        <f>VLOOKUP(AB$26,'DB Business'!$A:$S,MATCH($B37,'DB Business'!$A$1:$S$1,0),0)</f>
        <v>6</v>
      </c>
      <c r="AC37" s="2">
        <f>VLOOKUP(AC$26,'DB Business'!$A:$S,MATCH($B37,'DB Business'!$A$1:$S$1,0),0)</f>
        <v>5</v>
      </c>
      <c r="AD37" s="2">
        <f>VLOOKUP(AD$26,'DB Business'!$A:$S,MATCH($B37,'DB Business'!$A$1:$S$1,0),0)</f>
        <v>10</v>
      </c>
      <c r="AE37" s="2">
        <f>VLOOKUP(AE$26,'DB Business'!$A:$S,MATCH($B37,'DB Business'!$A$1:$S$1,0),0)</f>
        <v>3</v>
      </c>
      <c r="AF37" s="2">
        <f>VLOOKUP(AF$26,'DB Business'!$A:$S,MATCH($B37,'DB Business'!$A$1:$S$1,0),0)</f>
        <v>1</v>
      </c>
      <c r="AG37" s="2">
        <f>VLOOKUP(AG$26,'DB Business'!$A:$S,MATCH($B37,'DB Business'!$A$1:$S$1,0),0)</f>
        <v>10</v>
      </c>
      <c r="AH37" s="2">
        <f>VLOOKUP(AH$26,'DB Business'!$A:$S,MATCH($B37,'DB Business'!$A$1:$S$1,0),0)</f>
        <v>4</v>
      </c>
      <c r="AI37" s="2">
        <f>VLOOKUP(AI$26,'DB Business'!$A:$S,MATCH($B37,'DB Business'!$A$1:$S$1,0),0)</f>
        <v>4</v>
      </c>
      <c r="AJ37" s="2">
        <f>VLOOKUP(AJ$26,'DB Business'!$A:$S,MATCH($B37,'DB Business'!$A$1:$S$1,0),0)</f>
        <v>0</v>
      </c>
      <c r="AK37" s="2">
        <f>VLOOKUP(AK$26,'DB Business'!$A:$S,MATCH($B37,'DB Business'!$A$1:$S$1,0),0)</f>
        <v>9</v>
      </c>
      <c r="AM37" s="20">
        <f t="shared" si="3"/>
        <v>9</v>
      </c>
      <c r="AN37" s="32">
        <f t="shared" si="4"/>
        <v>4.333333333333333</v>
      </c>
      <c r="AO37" s="32">
        <f t="shared" si="5"/>
        <v>4.666666666666667</v>
      </c>
    </row>
    <row r="38" spans="2:41" x14ac:dyDescent="0.35">
      <c r="B38" s="3" t="s">
        <v>45</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B38" s="2">
        <f>VLOOKUP(AB$26,'DB Business'!$A:$S,MATCH($B38,'DB Business'!$A$1:$S$1,0),0)</f>
        <v>-2</v>
      </c>
      <c r="AC38" s="2">
        <f>VLOOKUP(AC$26,'DB Business'!$A:$S,MATCH($B38,'DB Business'!$A$1:$S$1,0),0)</f>
        <v>-2</v>
      </c>
      <c r="AD38" s="2">
        <f>VLOOKUP(AD$26,'DB Business'!$A:$S,MATCH($B38,'DB Business'!$A$1:$S$1,0),0)</f>
        <v>0</v>
      </c>
      <c r="AE38" s="2">
        <f>VLOOKUP(AE$26,'DB Business'!$A:$S,MATCH($B38,'DB Business'!$A$1:$S$1,0),0)</f>
        <v>-3</v>
      </c>
      <c r="AF38" s="2">
        <f>VLOOKUP(AF$26,'DB Business'!$A:$S,MATCH($B38,'DB Business'!$A$1:$S$1,0),0)</f>
        <v>0</v>
      </c>
      <c r="AG38" s="2">
        <f>VLOOKUP(AG$26,'DB Business'!$A:$S,MATCH($B38,'DB Business'!$A$1:$S$1,0),0)</f>
        <v>-4</v>
      </c>
      <c r="AH38" s="2">
        <f>VLOOKUP(AH$26,'DB Business'!$A:$S,MATCH($B38,'DB Business'!$A$1:$S$1,0),0)</f>
        <v>-3</v>
      </c>
      <c r="AI38" s="2">
        <f>VLOOKUP(AI$26,'DB Business'!$A:$S,MATCH($B38,'DB Business'!$A$1:$S$1,0),0)</f>
        <v>6</v>
      </c>
      <c r="AJ38" s="2">
        <f>VLOOKUP(AJ$26,'DB Business'!$A:$S,MATCH($B38,'DB Business'!$A$1:$S$1,0),0)</f>
        <v>14</v>
      </c>
      <c r="AK38" s="2">
        <f>VLOOKUP(AK$26,'DB Business'!$A:$S,MATCH($B38,'DB Business'!$A$1:$S$1,0),0)</f>
        <v>7</v>
      </c>
      <c r="AM38" s="20">
        <f t="shared" si="3"/>
        <v>-7</v>
      </c>
      <c r="AN38" s="32">
        <f t="shared" si="4"/>
        <v>9</v>
      </c>
      <c r="AO38" s="32">
        <f t="shared" si="5"/>
        <v>3.3333333333333335</v>
      </c>
    </row>
    <row r="39" spans="2:41" x14ac:dyDescent="0.35">
      <c r="B39" s="3" t="s">
        <v>31</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B39" s="2">
        <f>VLOOKUP(AB$26,'DB Business'!$A:$S,MATCH($B39,'DB Business'!$A$1:$S$1,0),0)</f>
        <v>7</v>
      </c>
      <c r="AC39" s="2">
        <f>VLOOKUP(AC$26,'DB Business'!$A:$S,MATCH($B39,'DB Business'!$A$1:$S$1,0),0)</f>
        <v>6</v>
      </c>
      <c r="AD39" s="2">
        <f>VLOOKUP(AD$26,'DB Business'!$A:$S,MATCH($B39,'DB Business'!$A$1:$S$1,0),0)</f>
        <v>6</v>
      </c>
      <c r="AE39" s="2">
        <f>VLOOKUP(AE$26,'DB Business'!$A:$S,MATCH($B39,'DB Business'!$A$1:$S$1,0),0)</f>
        <v>12</v>
      </c>
      <c r="AF39" s="2">
        <f>VLOOKUP(AF$26,'DB Business'!$A:$S,MATCH($B39,'DB Business'!$A$1:$S$1,0),0)</f>
        <v>14</v>
      </c>
      <c r="AG39" s="2">
        <f>VLOOKUP(AG$26,'DB Business'!$A:$S,MATCH($B39,'DB Business'!$A$1:$S$1,0),0)</f>
        <v>7</v>
      </c>
      <c r="AH39" s="2">
        <f>VLOOKUP(AH$26,'DB Business'!$A:$S,MATCH($B39,'DB Business'!$A$1:$S$1,0),0)</f>
        <v>7</v>
      </c>
      <c r="AI39" s="2">
        <f>VLOOKUP(AI$26,'DB Business'!$A:$S,MATCH($B39,'DB Business'!$A$1:$S$1,0),0)</f>
        <v>0</v>
      </c>
      <c r="AJ39" s="2">
        <f>VLOOKUP(AJ$26,'DB Business'!$A:$S,MATCH($B39,'DB Business'!$A$1:$S$1,0),0)</f>
        <v>13</v>
      </c>
      <c r="AK39" s="2">
        <f>VLOOKUP(AK$26,'DB Business'!$A:$S,MATCH($B39,'DB Business'!$A$1:$S$1,0),0)</f>
        <v>8</v>
      </c>
      <c r="AM39" s="20">
        <f t="shared" si="3"/>
        <v>-5</v>
      </c>
      <c r="AN39" s="32">
        <f t="shared" si="4"/>
        <v>7</v>
      </c>
      <c r="AO39" s="32">
        <f t="shared" si="5"/>
        <v>8.1666666666666661</v>
      </c>
    </row>
    <row r="40" spans="2:41" x14ac:dyDescent="0.35">
      <c r="B40" s="3" t="s">
        <v>44</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B40" s="2">
        <f>VLOOKUP(AB$26,'DB Business'!$A:$S,MATCH($B40,'DB Business'!$A$1:$S$1,0),0)</f>
        <v>4</v>
      </c>
      <c r="AC40" s="2">
        <f>VLOOKUP(AC$26,'DB Business'!$A:$S,MATCH($B40,'DB Business'!$A$1:$S$1,0),0)</f>
        <v>1</v>
      </c>
      <c r="AD40" s="2">
        <f>VLOOKUP(AD$26,'DB Business'!$A:$S,MATCH($B40,'DB Business'!$A$1:$S$1,0),0)</f>
        <v>7</v>
      </c>
      <c r="AE40" s="2">
        <f>VLOOKUP(AE$26,'DB Business'!$A:$S,MATCH($B40,'DB Business'!$A$1:$S$1,0),0)</f>
        <v>6</v>
      </c>
      <c r="AF40" s="2">
        <f>VLOOKUP(AF$26,'DB Business'!$A:$S,MATCH($B40,'DB Business'!$A$1:$S$1,0),0)</f>
        <v>9</v>
      </c>
      <c r="AG40" s="2">
        <f>VLOOKUP(AG$26,'DB Business'!$A:$S,MATCH($B40,'DB Business'!$A$1:$S$1,0),0)</f>
        <v>5</v>
      </c>
      <c r="AH40" s="2">
        <f>VLOOKUP(AH$26,'DB Business'!$A:$S,MATCH($B40,'DB Business'!$A$1:$S$1,0),0)</f>
        <v>3</v>
      </c>
      <c r="AI40" s="2">
        <f>VLOOKUP(AI$26,'DB Business'!$A:$S,MATCH($B40,'DB Business'!$A$1:$S$1,0),0)</f>
        <v>3</v>
      </c>
      <c r="AJ40" s="2">
        <f>VLOOKUP(AJ$26,'DB Business'!$A:$S,MATCH($B40,'DB Business'!$A$1:$S$1,0),0)</f>
        <v>6</v>
      </c>
      <c r="AK40" s="2">
        <f>VLOOKUP(AK$26,'DB Business'!$A:$S,MATCH($B40,'DB Business'!$A$1:$S$1,0),0)</f>
        <v>4</v>
      </c>
      <c r="AM40" s="20">
        <f t="shared" si="3"/>
        <v>-2</v>
      </c>
      <c r="AN40" s="32">
        <f t="shared" si="4"/>
        <v>4.333333333333333</v>
      </c>
      <c r="AO40" s="32">
        <f t="shared" si="5"/>
        <v>5</v>
      </c>
    </row>
    <row r="41" spans="2:41" x14ac:dyDescent="0.35">
      <c r="B41" s="3" t="s">
        <v>26</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B41" s="2">
        <f>VLOOKUP(AB$26,'DB Business'!$A:$S,MATCH($B41,'DB Business'!$A$1:$S$1,0),0)</f>
        <v>9</v>
      </c>
      <c r="AC41" s="2">
        <f>VLOOKUP(AC$26,'DB Business'!$A:$S,MATCH($B41,'DB Business'!$A$1:$S$1,0),0)</f>
        <v>11</v>
      </c>
      <c r="AD41" s="2">
        <f>VLOOKUP(AD$26,'DB Business'!$A:$S,MATCH($B41,'DB Business'!$A$1:$S$1,0),0)</f>
        <v>3</v>
      </c>
      <c r="AE41" s="2">
        <f>VLOOKUP(AE$26,'DB Business'!$A:$S,MATCH($B41,'DB Business'!$A$1:$S$1,0),0)</f>
        <v>4</v>
      </c>
      <c r="AF41" s="2">
        <f>VLOOKUP(AF$26,'DB Business'!$A:$S,MATCH($B41,'DB Business'!$A$1:$S$1,0),0)</f>
        <v>6</v>
      </c>
      <c r="AG41" s="2">
        <f>VLOOKUP(AG$26,'DB Business'!$A:$S,MATCH($B41,'DB Business'!$A$1:$S$1,0),0)</f>
        <v>3</v>
      </c>
      <c r="AH41" s="2">
        <f>VLOOKUP(AH$26,'DB Business'!$A:$S,MATCH($B41,'DB Business'!$A$1:$S$1,0),0)</f>
        <v>6</v>
      </c>
      <c r="AI41" s="2">
        <f>VLOOKUP(AI$26,'DB Business'!$A:$S,MATCH($B41,'DB Business'!$A$1:$S$1,0),0)</f>
        <v>10</v>
      </c>
      <c r="AJ41" s="2">
        <f>VLOOKUP(AJ$26,'DB Business'!$A:$S,MATCH($B41,'DB Business'!$A$1:$S$1,0),0)</f>
        <v>2</v>
      </c>
      <c r="AK41" s="2">
        <f>VLOOKUP(AK$26,'DB Business'!$A:$S,MATCH($B41,'DB Business'!$A$1:$S$1,0),0)</f>
        <v>1</v>
      </c>
      <c r="AM41" s="20">
        <f t="shared" si="3"/>
        <v>-1</v>
      </c>
      <c r="AN41" s="32">
        <f t="shared" si="4"/>
        <v>4.333333333333333</v>
      </c>
      <c r="AO41" s="32">
        <f t="shared" si="5"/>
        <v>4.666666666666667</v>
      </c>
    </row>
    <row r="42" spans="2:41" x14ac:dyDescent="0.35">
      <c r="B42" s="3" t="s">
        <v>20</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B42" s="2">
        <f>VLOOKUP(AB$26,'DB Business'!$A:$S,MATCH($B42,'DB Business'!$A$1:$S$1,0),0)</f>
        <v>13</v>
      </c>
      <c r="AC42" s="2">
        <f>VLOOKUP(AC$26,'DB Business'!$A:$S,MATCH($B42,'DB Business'!$A$1:$S$1,0),0)</f>
        <v>2</v>
      </c>
      <c r="AD42" s="2">
        <f>VLOOKUP(AD$26,'DB Business'!$A:$S,MATCH($B42,'DB Business'!$A$1:$S$1,0),0)</f>
        <v>5</v>
      </c>
      <c r="AE42" s="2">
        <f>VLOOKUP(AE$26,'DB Business'!$A:$S,MATCH($B42,'DB Business'!$A$1:$S$1,0),0)</f>
        <v>9</v>
      </c>
      <c r="AF42" s="2">
        <f>VLOOKUP(AF$26,'DB Business'!$A:$S,MATCH($B42,'DB Business'!$A$1:$S$1,0),0)</f>
        <v>15</v>
      </c>
      <c r="AG42" s="2">
        <f>VLOOKUP(AG$26,'DB Business'!$A:$S,MATCH($B42,'DB Business'!$A$1:$S$1,0),0)</f>
        <v>9</v>
      </c>
      <c r="AH42" s="2">
        <f>VLOOKUP(AH$26,'DB Business'!$A:$S,MATCH($B42,'DB Business'!$A$1:$S$1,0),0)</f>
        <v>0</v>
      </c>
      <c r="AI42" s="2">
        <f>VLOOKUP(AI$26,'DB Business'!$A:$S,MATCH($B42,'DB Business'!$A$1:$S$1,0),0)</f>
        <v>0</v>
      </c>
      <c r="AJ42" s="2">
        <f>VLOOKUP(AJ$26,'DB Business'!$A:$S,MATCH($B42,'DB Business'!$A$1:$S$1,0),0)</f>
        <v>-1</v>
      </c>
      <c r="AK42" s="2">
        <f>VLOOKUP(AK$26,'DB Business'!$A:$S,MATCH($B42,'DB Business'!$A$1:$S$1,0),0)</f>
        <v>0</v>
      </c>
      <c r="AM42" s="20">
        <f t="shared" si="3"/>
        <v>1</v>
      </c>
      <c r="AN42" s="32">
        <f t="shared" si="4"/>
        <v>-0.33333333333333331</v>
      </c>
      <c r="AO42" s="32">
        <f t="shared" si="5"/>
        <v>3.8333333333333335</v>
      </c>
    </row>
    <row r="43" spans="2:41" x14ac:dyDescent="0.35">
      <c r="B43" s="3" t="s">
        <v>17</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B43" s="2">
        <f>VLOOKUP(AB$26,'DB Business'!$A:$S,MATCH($B43,'DB Business'!$A$1:$S$1,0),0)</f>
        <v>10</v>
      </c>
      <c r="AC43" s="2">
        <f>VLOOKUP(AC$26,'DB Business'!$A:$S,MATCH($B43,'DB Business'!$A$1:$S$1,0),0)</f>
        <v>0</v>
      </c>
      <c r="AD43" s="2">
        <f>VLOOKUP(AD$26,'DB Business'!$A:$S,MATCH($B43,'DB Business'!$A$1:$S$1,0),0)</f>
        <v>11</v>
      </c>
      <c r="AE43" s="2">
        <f>VLOOKUP(AE$26,'DB Business'!$A:$S,MATCH($B43,'DB Business'!$A$1:$S$1,0),0)</f>
        <v>13</v>
      </c>
      <c r="AF43" s="2">
        <f>VLOOKUP(AF$26,'DB Business'!$A:$S,MATCH($B43,'DB Business'!$A$1:$S$1,0),0)</f>
        <v>10</v>
      </c>
      <c r="AG43" s="2">
        <f>VLOOKUP(AG$26,'DB Business'!$A:$S,MATCH($B43,'DB Business'!$A$1:$S$1,0),0)</f>
        <v>13</v>
      </c>
      <c r="AH43" s="2">
        <f>VLOOKUP(AH$26,'DB Business'!$A:$S,MATCH($B43,'DB Business'!$A$1:$S$1,0),0)</f>
        <v>0</v>
      </c>
      <c r="AI43" s="2">
        <f>VLOOKUP(AI$26,'DB Business'!$A:$S,MATCH($B43,'DB Business'!$A$1:$S$1,0),0)</f>
        <v>14</v>
      </c>
      <c r="AJ43" s="2">
        <f>VLOOKUP(AJ$26,'DB Business'!$A:$S,MATCH($B43,'DB Business'!$A$1:$S$1,0),0)</f>
        <v>15</v>
      </c>
      <c r="AK43" s="2">
        <f>VLOOKUP(AK$26,'DB Business'!$A:$S,MATCH($B43,'DB Business'!$A$1:$S$1,0),0)</f>
        <v>11</v>
      </c>
      <c r="AM43" s="20">
        <f t="shared" si="3"/>
        <v>-4</v>
      </c>
      <c r="AN43" s="32">
        <f t="shared" si="4"/>
        <v>13.333333333333334</v>
      </c>
      <c r="AO43" s="32">
        <f t="shared" si="5"/>
        <v>10.5</v>
      </c>
    </row>
    <row r="44" spans="2:41" x14ac:dyDescent="0.35">
      <c r="B44" s="3" t="s">
        <v>35</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B44" s="2">
        <f>VLOOKUP(AB$26,'DB Business'!$A:$S,MATCH($B44,'DB Business'!$A$1:$S$1,0),0)</f>
        <v>0</v>
      </c>
      <c r="AC44" s="2">
        <f>VLOOKUP(AC$26,'DB Business'!$A:$S,MATCH($B44,'DB Business'!$A$1:$S$1,0),0)</f>
        <v>7</v>
      </c>
      <c r="AD44" s="2">
        <f>VLOOKUP(AD$26,'DB Business'!$A:$S,MATCH($B44,'DB Business'!$A$1:$S$1,0),0)</f>
        <v>0</v>
      </c>
      <c r="AE44" s="2">
        <f>VLOOKUP(AE$26,'DB Business'!$A:$S,MATCH($B44,'DB Business'!$A$1:$S$1,0),0)</f>
        <v>-1</v>
      </c>
      <c r="AF44" s="2">
        <f>VLOOKUP(AF$26,'DB Business'!$A:$S,MATCH($B44,'DB Business'!$A$1:$S$1,0),0)</f>
        <v>3</v>
      </c>
      <c r="AG44" s="2">
        <f>VLOOKUP(AG$26,'DB Business'!$A:$S,MATCH($B44,'DB Business'!$A$1:$S$1,0),0)</f>
        <v>1</v>
      </c>
      <c r="AH44" s="2">
        <f>VLOOKUP(AH$26,'DB Business'!$A:$S,MATCH($B44,'DB Business'!$A$1:$S$1,0),0)</f>
        <v>9</v>
      </c>
      <c r="AI44" s="2">
        <f>VLOOKUP(AI$26,'DB Business'!$A:$S,MATCH($B44,'DB Business'!$A$1:$S$1,0),0)</f>
        <v>13</v>
      </c>
      <c r="AJ44" s="2">
        <f>VLOOKUP(AJ$26,'DB Business'!$A:$S,MATCH($B44,'DB Business'!$A$1:$S$1,0),0)</f>
        <v>12</v>
      </c>
      <c r="AK44" s="2">
        <f>VLOOKUP(AK$26,'DB Business'!$A:$S,MATCH($B44,'DB Business'!$A$1:$S$1,0),0)</f>
        <v>5</v>
      </c>
      <c r="AM44" s="20">
        <f t="shared" si="3"/>
        <v>-7</v>
      </c>
      <c r="AN44" s="32">
        <f t="shared" si="4"/>
        <v>10</v>
      </c>
      <c r="AO44" s="32">
        <f t="shared" si="5"/>
        <v>7.166666666666667</v>
      </c>
    </row>
    <row r="45" spans="2:41" x14ac:dyDescent="0.35">
      <c r="B45" s="4" t="s">
        <v>33</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B45" s="2">
        <f>VLOOKUP(AB$26,'DB Business'!$A:$S,MATCH($B45,'DB Business'!$A$1:$S$1,0),0)</f>
        <v>12</v>
      </c>
      <c r="AC45" s="2">
        <f>VLOOKUP(AC$26,'DB Business'!$A:$S,MATCH($B45,'DB Business'!$A$1:$S$1,0),0)</f>
        <v>12</v>
      </c>
      <c r="AD45" s="2">
        <f>VLOOKUP(AD$26,'DB Business'!$A:$S,MATCH($B45,'DB Business'!$A$1:$S$1,0),0)</f>
        <v>12</v>
      </c>
      <c r="AE45" s="2">
        <f>VLOOKUP(AE$26,'DB Business'!$A:$S,MATCH($B45,'DB Business'!$A$1:$S$1,0),0)</f>
        <v>11</v>
      </c>
      <c r="AF45" s="2">
        <f>VLOOKUP(AF$26,'DB Business'!$A:$S,MATCH($B45,'DB Business'!$A$1:$S$1,0),0)</f>
        <v>5</v>
      </c>
      <c r="AG45" s="2">
        <f>VLOOKUP(AG$26,'DB Business'!$A:$S,MATCH($B45,'DB Business'!$A$1:$S$1,0),0)</f>
        <v>11</v>
      </c>
      <c r="AH45" s="2">
        <f>VLOOKUP(AH$26,'DB Business'!$A:$S,MATCH($B45,'DB Business'!$A$1:$S$1,0),0)</f>
        <v>8</v>
      </c>
      <c r="AI45" s="2">
        <f>VLOOKUP(AI$26,'DB Business'!$A:$S,MATCH($B45,'DB Business'!$A$1:$S$1,0),0)</f>
        <v>11</v>
      </c>
      <c r="AJ45" s="2">
        <f>VLOOKUP(AJ$26,'DB Business'!$A:$S,MATCH($B45,'DB Business'!$A$1:$S$1,0),0)</f>
        <v>10</v>
      </c>
      <c r="AK45" s="2">
        <f>VLOOKUP(AK$26,'DB Business'!$A:$S,MATCH($B45,'DB Business'!$A$1:$S$1,0),0)</f>
        <v>0</v>
      </c>
      <c r="AM45" s="20">
        <f t="shared" si="3"/>
        <v>-10</v>
      </c>
      <c r="AN45" s="32">
        <f t="shared" si="4"/>
        <v>7</v>
      </c>
      <c r="AO45" s="32">
        <f t="shared" si="5"/>
        <v>7.5</v>
      </c>
    </row>
    <row r="46" spans="2:41" x14ac:dyDescent="0.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row>
    <row r="47" spans="2:41" ht="16" customHeight="1" thickBot="1" x14ac:dyDescent="0.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row>
    <row r="48" spans="2:41" ht="16" customHeight="1" thickBot="1" x14ac:dyDescent="0.4">
      <c r="B48" s="83" t="s">
        <v>19</v>
      </c>
      <c r="C48" s="29">
        <v>43831</v>
      </c>
      <c r="D48" s="29">
        <v>43862</v>
      </c>
      <c r="E48" s="29">
        <v>43891</v>
      </c>
      <c r="F48" s="29">
        <v>43922</v>
      </c>
      <c r="G48" s="29">
        <v>43952</v>
      </c>
      <c r="H48" s="29">
        <v>43983</v>
      </c>
      <c r="I48" s="29">
        <v>44013</v>
      </c>
      <c r="J48" s="29">
        <v>44044</v>
      </c>
      <c r="K48" s="29">
        <v>44075</v>
      </c>
      <c r="L48" s="29">
        <v>44105</v>
      </c>
      <c r="M48" s="29">
        <v>44136</v>
      </c>
      <c r="N48" s="29">
        <v>44166</v>
      </c>
      <c r="O48" s="29">
        <v>44197</v>
      </c>
      <c r="P48" s="29">
        <v>44228</v>
      </c>
      <c r="Q48" s="29">
        <v>44256</v>
      </c>
      <c r="R48" s="29">
        <v>44287</v>
      </c>
      <c r="S48" s="29">
        <v>44317</v>
      </c>
      <c r="T48" s="29">
        <v>44348</v>
      </c>
      <c r="U48" s="29">
        <v>44378</v>
      </c>
      <c r="V48" s="29">
        <v>44409</v>
      </c>
      <c r="W48" s="29">
        <v>44440</v>
      </c>
      <c r="X48" s="29">
        <v>44470</v>
      </c>
      <c r="Y48" s="29">
        <v>44501</v>
      </c>
      <c r="Z48" s="29">
        <v>44531</v>
      </c>
      <c r="AA48" s="29">
        <v>44562</v>
      </c>
      <c r="AB48" s="29">
        <v>44593</v>
      </c>
      <c r="AC48" s="29">
        <v>44621</v>
      </c>
      <c r="AD48" s="29">
        <v>44652</v>
      </c>
      <c r="AE48" s="29">
        <v>44682</v>
      </c>
      <c r="AF48" s="29">
        <v>44713</v>
      </c>
      <c r="AG48" s="29">
        <v>44743</v>
      </c>
      <c r="AH48" s="29">
        <v>44774</v>
      </c>
      <c r="AI48" s="29">
        <v>44805</v>
      </c>
      <c r="AJ48" s="29">
        <v>44835</v>
      </c>
      <c r="AK48" s="29">
        <v>44866</v>
      </c>
      <c r="AL48" s="10"/>
      <c r="AM48" s="85" t="s">
        <v>74</v>
      </c>
      <c r="AN48" s="85" t="s">
        <v>75</v>
      </c>
      <c r="AO48" s="85" t="s">
        <v>76</v>
      </c>
    </row>
    <row r="49" spans="2:41" ht="16" customHeight="1" thickBot="1" x14ac:dyDescent="0.4">
      <c r="B49" s="84"/>
      <c r="C49" s="30"/>
      <c r="D49" s="30"/>
      <c r="E49" s="30"/>
      <c r="F49" s="30"/>
      <c r="G49" s="30"/>
      <c r="H49" s="30"/>
      <c r="I49" s="30"/>
      <c r="J49" s="30"/>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10"/>
      <c r="AM49" s="86"/>
      <c r="AN49" s="86"/>
      <c r="AO49" s="86"/>
    </row>
    <row r="50" spans="2:41" x14ac:dyDescent="0.35">
      <c r="B50" s="3" t="s">
        <v>41</v>
      </c>
      <c r="C50" s="20">
        <f>VLOOKUP(C$48,'DB New Orders'!$A:$S,MATCH($B50,'DB New Orders'!$A$1:$S$1,0),0)</f>
        <v>-3</v>
      </c>
      <c r="D50" s="20">
        <f>VLOOKUP(D$48,'DB New Orders'!$A:$S,MATCH($B50,'DB New Orders'!$A$1:$S$1,0),0)</f>
        <v>0</v>
      </c>
      <c r="E50" s="20">
        <f>VLOOKUP(E$48,'DB New Orders'!$A:$S,MATCH($B50,'DB New Orders'!$A$1:$S$1,0),0)</f>
        <v>-7</v>
      </c>
      <c r="F50" s="20">
        <f>VLOOKUP(F$48,'DB New Orders'!$A:$S,MATCH($B50,'DB New Orders'!$A$1:$S$1,0),0)</f>
        <v>-14</v>
      </c>
      <c r="G50" s="20">
        <f>VLOOKUP(G$48,'DB New Orders'!$A:$S,MATCH($B50,'DB New Orders'!$A$1:$S$1,0),0)</f>
        <v>-2</v>
      </c>
      <c r="H50" s="20">
        <f>VLOOKUP(H$48,'DB New Orders'!$A:$S,MATCH($B50,'DB New Orders'!$A$1:$S$1,0),0)</f>
        <v>9</v>
      </c>
      <c r="I50" s="20">
        <f>VLOOKUP(I$48,'DB New Orders'!$A:$S,MATCH($B50,'DB New Orders'!$A$1:$S$1,0),0)</f>
        <v>12</v>
      </c>
      <c r="J50" s="20">
        <f>VLOOKUP(J$48,'DB New Orders'!$A:$S,MATCH($B50,'DB New Orders'!$A$1:$S$1,0),0)</f>
        <v>3</v>
      </c>
      <c r="K50" s="20">
        <f>VLOOKUP(K$48,'DB New Orders'!$A:$S,MATCH($B50,'DB New Orders'!$A$1:$S$1,0),0)</f>
        <v>-1</v>
      </c>
      <c r="L50" s="20">
        <f>VLOOKUP(L$48,'DB New Orders'!$A:$S,MATCH($B50,'DB New Orders'!$A$1:$S$1,0),0)</f>
        <v>4</v>
      </c>
      <c r="M50" s="20">
        <f>VLOOKUP(M$48,'DB New Orders'!$A:$S,MATCH($B50,'DB New Orders'!$A$1:$S$1,0),0)</f>
        <v>6</v>
      </c>
      <c r="N50" s="20">
        <f>VLOOKUP(N$48,'DB New Orders'!$A:$S,MATCH($B50,'DB New Orders'!$A$1:$S$1,0),0)</f>
        <v>9</v>
      </c>
      <c r="O50" s="20">
        <f>VLOOKUP(O$48,'DB New Orders'!$A:$S,MATCH($B50,'DB New Orders'!$A$1:$S$1,0),0)</f>
        <v>0</v>
      </c>
      <c r="P50" s="20">
        <f>VLOOKUP(P$48,'DB New Orders'!$A:$S,MATCH($B50,'DB New Orders'!$A$1:$S$1,0),0)</f>
        <v>0</v>
      </c>
      <c r="Q50" s="20">
        <f>VLOOKUP(Q$48,'DB New Orders'!$A:$S,MATCH($B50,'DB New Orders'!$A$1:$S$1,0),0)</f>
        <v>8</v>
      </c>
      <c r="R50" s="20">
        <f>VLOOKUP(R$48,'DB New Orders'!$A:$S,MATCH($B50,'DB New Orders'!$A$1:$S$1,0),0)</f>
        <v>12</v>
      </c>
      <c r="S50" s="20">
        <f>VLOOKUP(S$48,'DB New Orders'!$A:$S,MATCH($B50,'DB New Orders'!$A$1:$S$1,0),0)</f>
        <v>18</v>
      </c>
      <c r="T50" s="20">
        <f>VLOOKUP(T$48,'DB New Orders'!$A:$S,MATCH($B50,'DB New Orders'!$A$1:$S$1,0),0)</f>
        <v>11</v>
      </c>
      <c r="U50" s="20">
        <f>VLOOKUP(U$48,'DB New Orders'!$A:$S,MATCH($B50,'DB New Orders'!$A$1:$S$1,0),0)</f>
        <v>7</v>
      </c>
      <c r="V50" s="20">
        <f>VLOOKUP(V$48,'DB New Orders'!$A:$S,MATCH($B50,'DB New Orders'!$A$1:$S$1,0),0)</f>
        <v>11</v>
      </c>
      <c r="W50" s="20">
        <f>VLOOKUP(W$48,'DB New Orders'!$A:$S,MATCH($B50,'DB New Orders'!$A$1:$S$1,0),0)</f>
        <v>17</v>
      </c>
      <c r="X50" s="20">
        <f>VLOOKUP(X$48,'DB New Orders'!$A:$S,MATCH($B50,'DB New Orders'!$A$1:$S$1,0),0)</f>
        <v>16</v>
      </c>
      <c r="Y50" s="20">
        <f>VLOOKUP(Y$48,'DB New Orders'!$A:$S,MATCH($B50,'DB New Orders'!$A$1:$S$1,0),0)</f>
        <v>17</v>
      </c>
      <c r="Z50" s="20">
        <f>VLOOKUP(Z$48,'DB New Orders'!$A:$S,MATCH($B50,'DB New Orders'!$A$1:$S$1,0),0)</f>
        <v>6</v>
      </c>
      <c r="AA50" s="20">
        <f>VLOOKUP(AA$48,'DB New Orders'!$A:$S,MATCH($B50,'DB New Orders'!$A$1:$S$1,0),0)</f>
        <v>10</v>
      </c>
      <c r="AB50" s="20">
        <f>VLOOKUP(AB$48,'DB New Orders'!$A:$S,MATCH($B50,'DB New Orders'!$A$1:$S$1,0),0)</f>
        <v>1</v>
      </c>
      <c r="AC50" s="20">
        <f>VLOOKUP(AC$48,'DB New Orders'!$A:$S,MATCH($B50,'DB New Orders'!$A$1:$S$1,0),0)</f>
        <v>0</v>
      </c>
      <c r="AD50" s="20">
        <f>VLOOKUP(AD$48,'DB New Orders'!$A:$S,MATCH($B50,'DB New Orders'!$A$1:$S$1,0),0)</f>
        <v>0</v>
      </c>
      <c r="AE50" s="20">
        <f>VLOOKUP(AE$48,'DB New Orders'!$A:$S,MATCH($B50,'DB New Orders'!$A$1:$S$1,0),0)</f>
        <v>0</v>
      </c>
      <c r="AF50" s="20">
        <f>VLOOKUP(AF$48,'DB New Orders'!$A:$S,MATCH($B50,'DB New Orders'!$A$1:$S$1,0),0)</f>
        <v>0</v>
      </c>
      <c r="AG50" s="20">
        <f>VLOOKUP(AG$48,'DB New Orders'!$A:$S,MATCH($B50,'DB New Orders'!$A$1:$S$1,0),0)</f>
        <v>-3</v>
      </c>
      <c r="AH50" s="20">
        <f>VLOOKUP(AH$48,'DB New Orders'!$A:$S,MATCH($B50,'DB New Orders'!$A$1:$S$1,0),0)</f>
        <v>5</v>
      </c>
      <c r="AI50" s="20">
        <f>VLOOKUP(AI$48,'DB New Orders'!$A:$S,MATCH($B50,'DB New Orders'!$A$1:$S$1,0),0)</f>
        <v>11</v>
      </c>
      <c r="AJ50" s="20">
        <f>VLOOKUP(AJ$48,'DB New Orders'!$A:$S,MATCH($B50,'DB New Orders'!$A$1:$S$1,0),0)</f>
        <v>8</v>
      </c>
      <c r="AK50" s="20">
        <f>VLOOKUP(AK$48,'DB New Orders'!$A:$S,MATCH($B50,'DB New Orders'!$A$1:$S$1,0),0)</f>
        <v>10</v>
      </c>
      <c r="AM50" s="20">
        <f>AK50-AJ50</f>
        <v>2</v>
      </c>
      <c r="AN50" s="32">
        <f>AVERAGE(AI50:AK50)</f>
        <v>9.6666666666666661</v>
      </c>
      <c r="AO50" s="32">
        <f>AVERAGE(AF50:AK50)</f>
        <v>5.166666666666667</v>
      </c>
    </row>
    <row r="51" spans="2:41" x14ac:dyDescent="0.35">
      <c r="B51" s="3" t="s">
        <v>42</v>
      </c>
      <c r="C51" s="20">
        <f>VLOOKUP(C$48,'DB New Orders'!$A:$S,MATCH($B51,'DB New Orders'!$A$1:$S$1,0),0)</f>
        <v>6</v>
      </c>
      <c r="D51" s="20">
        <f>VLOOKUP(D$48,'DB New Orders'!$A:$S,MATCH($B51,'DB New Orders'!$A$1:$S$1,0),0)</f>
        <v>10</v>
      </c>
      <c r="E51" s="20">
        <f>VLOOKUP(E$48,'DB New Orders'!$A:$S,MATCH($B51,'DB New Orders'!$A$1:$S$1,0),0)</f>
        <v>0</v>
      </c>
      <c r="F51" s="20">
        <f>VLOOKUP(F$48,'DB New Orders'!$A:$S,MATCH($B51,'DB New Orders'!$A$1:$S$1,0),0)</f>
        <v>1</v>
      </c>
      <c r="G51" s="20">
        <f>VLOOKUP(G$48,'DB New Orders'!$A:$S,MATCH($B51,'DB New Orders'!$A$1:$S$1,0),0)</f>
        <v>0</v>
      </c>
      <c r="H51" s="20">
        <f>VLOOKUP(H$48,'DB New Orders'!$A:$S,MATCH($B51,'DB New Orders'!$A$1:$S$1,0),0)</f>
        <v>8</v>
      </c>
      <c r="I51" s="20">
        <f>VLOOKUP(I$48,'DB New Orders'!$A:$S,MATCH($B51,'DB New Orders'!$A$1:$S$1,0),0)</f>
        <v>2</v>
      </c>
      <c r="J51" s="20">
        <f>VLOOKUP(J$48,'DB New Orders'!$A:$S,MATCH($B51,'DB New Orders'!$A$1:$S$1,0),0)</f>
        <v>4</v>
      </c>
      <c r="K51" s="20">
        <f>VLOOKUP(K$48,'DB New Orders'!$A:$S,MATCH($B51,'DB New Orders'!$A$1:$S$1,0),0)</f>
        <v>2</v>
      </c>
      <c r="L51" s="20">
        <f>VLOOKUP(L$48,'DB New Orders'!$A:$S,MATCH($B51,'DB New Orders'!$A$1:$S$1,0),0)</f>
        <v>9</v>
      </c>
      <c r="M51" s="20">
        <f>VLOOKUP(M$48,'DB New Orders'!$A:$S,MATCH($B51,'DB New Orders'!$A$1:$S$1,0),0)</f>
        <v>9</v>
      </c>
      <c r="N51" s="20">
        <f>VLOOKUP(N$48,'DB New Orders'!$A:$S,MATCH($B51,'DB New Orders'!$A$1:$S$1,0),0)</f>
        <v>5</v>
      </c>
      <c r="O51" s="20">
        <f>VLOOKUP(O$48,'DB New Orders'!$A:$S,MATCH($B51,'DB New Orders'!$A$1:$S$1,0),0)</f>
        <v>7</v>
      </c>
      <c r="P51" s="20">
        <f>VLOOKUP(P$48,'DB New Orders'!$A:$S,MATCH($B51,'DB New Orders'!$A$1:$S$1,0),0)</f>
        <v>2</v>
      </c>
      <c r="Q51" s="20">
        <f>VLOOKUP(Q$48,'DB New Orders'!$A:$S,MATCH($B51,'DB New Orders'!$A$1:$S$1,0),0)</f>
        <v>4</v>
      </c>
      <c r="R51" s="20">
        <f>VLOOKUP(R$48,'DB New Orders'!$A:$S,MATCH($B51,'DB New Orders'!$A$1:$S$1,0),0)</f>
        <v>4</v>
      </c>
      <c r="S51" s="20">
        <f>VLOOKUP(S$48,'DB New Orders'!$A:$S,MATCH($B51,'DB New Orders'!$A$1:$S$1,0),0)</f>
        <v>16</v>
      </c>
      <c r="T51" s="20">
        <f>VLOOKUP(T$48,'DB New Orders'!$A:$S,MATCH($B51,'DB New Orders'!$A$1:$S$1,0),0)</f>
        <v>5</v>
      </c>
      <c r="U51" s="20">
        <f>VLOOKUP(U$48,'DB New Orders'!$A:$S,MATCH($B51,'DB New Orders'!$A$1:$S$1,0),0)</f>
        <v>5</v>
      </c>
      <c r="V51" s="20">
        <f>VLOOKUP(V$48,'DB New Orders'!$A:$S,MATCH($B51,'DB New Orders'!$A$1:$S$1,0),0)</f>
        <v>5</v>
      </c>
      <c r="W51" s="20">
        <f>VLOOKUP(W$48,'DB New Orders'!$A:$S,MATCH($B51,'DB New Orders'!$A$1:$S$1,0),0)</f>
        <v>3</v>
      </c>
      <c r="X51" s="20">
        <f>VLOOKUP(X$48,'DB New Orders'!$A:$S,MATCH($B51,'DB New Orders'!$A$1:$S$1,0),0)</f>
        <v>3</v>
      </c>
      <c r="Y51" s="20">
        <f>VLOOKUP(Y$48,'DB New Orders'!$A:$S,MATCH($B51,'DB New Orders'!$A$1:$S$1,0),0)</f>
        <v>5</v>
      </c>
      <c r="Z51" s="20">
        <f>VLOOKUP(Z$48,'DB New Orders'!$A:$S,MATCH($B51,'DB New Orders'!$A$1:$S$1,0),0)</f>
        <v>4</v>
      </c>
      <c r="AA51" s="20">
        <f>VLOOKUP(AA$48,'DB New Orders'!$A:$S,MATCH($B51,'DB New Orders'!$A$1:$S$1,0),0)</f>
        <v>3</v>
      </c>
      <c r="AB51" s="20">
        <f>VLOOKUP(AB$48,'DB New Orders'!$A:$S,MATCH($B51,'DB New Orders'!$A$1:$S$1,0),0)</f>
        <v>5</v>
      </c>
      <c r="AC51" s="20">
        <f>VLOOKUP(AC$48,'DB New Orders'!$A:$S,MATCH($B51,'DB New Orders'!$A$1:$S$1,0),0)</f>
        <v>3</v>
      </c>
      <c r="AD51" s="20">
        <f>VLOOKUP(AD$48,'DB New Orders'!$A:$S,MATCH($B51,'DB New Orders'!$A$1:$S$1,0),0)</f>
        <v>1</v>
      </c>
      <c r="AE51" s="20">
        <f>VLOOKUP(AE$48,'DB New Orders'!$A:$S,MATCH($B51,'DB New Orders'!$A$1:$S$1,0),0)</f>
        <v>4</v>
      </c>
      <c r="AF51" s="20">
        <f>VLOOKUP(AF$48,'DB New Orders'!$A:$S,MATCH($B51,'DB New Orders'!$A$1:$S$1,0),0)</f>
        <v>3</v>
      </c>
      <c r="AG51" s="20">
        <f>VLOOKUP(AG$48,'DB New Orders'!$A:$S,MATCH($B51,'DB New Orders'!$A$1:$S$1,0),0)</f>
        <v>0</v>
      </c>
      <c r="AH51" s="20">
        <f>VLOOKUP(AH$48,'DB New Orders'!$A:$S,MATCH($B51,'DB New Orders'!$A$1:$S$1,0),0)</f>
        <v>2</v>
      </c>
      <c r="AI51" s="20">
        <f>VLOOKUP(AI$48,'DB New Orders'!$A:$S,MATCH($B51,'DB New Orders'!$A$1:$S$1,0),0)</f>
        <v>2</v>
      </c>
      <c r="AJ51" s="20">
        <f>VLOOKUP(AJ$48,'DB New Orders'!$A:$S,MATCH($B51,'DB New Orders'!$A$1:$S$1,0),0)</f>
        <v>4</v>
      </c>
      <c r="AK51" s="20">
        <f>VLOOKUP(AK$48,'DB New Orders'!$A:$S,MATCH($B51,'DB New Orders'!$A$1:$S$1,0),0)</f>
        <v>0</v>
      </c>
      <c r="AM51" s="20">
        <f t="shared" ref="AM51:AM67" si="6">AK51-AJ51</f>
        <v>-4</v>
      </c>
      <c r="AN51" s="32">
        <f t="shared" ref="AN51:AN67" si="7">AVERAGE(AI51:AK51)</f>
        <v>2</v>
      </c>
      <c r="AO51" s="32">
        <f t="shared" ref="AO51:AO67" si="8">AVERAGE(AF51:AK51)</f>
        <v>1.8333333333333333</v>
      </c>
    </row>
    <row r="52" spans="2:41" x14ac:dyDescent="0.35">
      <c r="B52" s="3" t="s">
        <v>43</v>
      </c>
      <c r="C52" s="20">
        <f>VLOOKUP(C$48,'DB New Orders'!$A:$S,MATCH($B52,'DB New Orders'!$A$1:$S$1,0),0)</f>
        <v>5</v>
      </c>
      <c r="D52" s="20">
        <f>VLOOKUP(D$48,'DB New Orders'!$A:$S,MATCH($B52,'DB New Orders'!$A$1:$S$1,0),0)</f>
        <v>5</v>
      </c>
      <c r="E52" s="20">
        <f>VLOOKUP(E$48,'DB New Orders'!$A:$S,MATCH($B52,'DB New Orders'!$A$1:$S$1,0),0)</f>
        <v>4</v>
      </c>
      <c r="F52" s="20">
        <f>VLOOKUP(F$48,'DB New Orders'!$A:$S,MATCH($B52,'DB New Orders'!$A$1:$S$1,0),0)</f>
        <v>-1</v>
      </c>
      <c r="G52" s="20">
        <f>VLOOKUP(G$48,'DB New Orders'!$A:$S,MATCH($B52,'DB New Orders'!$A$1:$S$1,0),0)</f>
        <v>-3</v>
      </c>
      <c r="H52" s="20">
        <f>VLOOKUP(H$48,'DB New Orders'!$A:$S,MATCH($B52,'DB New Orders'!$A$1:$S$1,0),0)</f>
        <v>11</v>
      </c>
      <c r="I52" s="20">
        <f>VLOOKUP(I$48,'DB New Orders'!$A:$S,MATCH($B52,'DB New Orders'!$A$1:$S$1,0),0)</f>
        <v>11</v>
      </c>
      <c r="J52" s="20">
        <f>VLOOKUP(J$48,'DB New Orders'!$A:$S,MATCH($B52,'DB New Orders'!$A$1:$S$1,0),0)</f>
        <v>8</v>
      </c>
      <c r="K52" s="20">
        <f>VLOOKUP(K$48,'DB New Orders'!$A:$S,MATCH($B52,'DB New Orders'!$A$1:$S$1,0),0)</f>
        <v>11</v>
      </c>
      <c r="L52" s="20">
        <f>VLOOKUP(L$48,'DB New Orders'!$A:$S,MATCH($B52,'DB New Orders'!$A$1:$S$1,0),0)</f>
        <v>13</v>
      </c>
      <c r="M52" s="20">
        <f>VLOOKUP(M$48,'DB New Orders'!$A:$S,MATCH($B52,'DB New Orders'!$A$1:$S$1,0),0)</f>
        <v>10</v>
      </c>
      <c r="N52" s="20">
        <f>VLOOKUP(N$48,'DB New Orders'!$A:$S,MATCH($B52,'DB New Orders'!$A$1:$S$1,0),0)</f>
        <v>8</v>
      </c>
      <c r="O52" s="20">
        <f>VLOOKUP(O$48,'DB New Orders'!$A:$S,MATCH($B52,'DB New Orders'!$A$1:$S$1,0),0)</f>
        <v>0</v>
      </c>
      <c r="P52" s="20">
        <f>VLOOKUP(P$48,'DB New Orders'!$A:$S,MATCH($B52,'DB New Orders'!$A$1:$S$1,0),0)</f>
        <v>1</v>
      </c>
      <c r="Q52" s="20">
        <f>VLOOKUP(Q$48,'DB New Orders'!$A:$S,MATCH($B52,'DB New Orders'!$A$1:$S$1,0),0)</f>
        <v>10</v>
      </c>
      <c r="R52" s="20">
        <f>VLOOKUP(R$48,'DB New Orders'!$A:$S,MATCH($B52,'DB New Orders'!$A$1:$S$1,0),0)</f>
        <v>5</v>
      </c>
      <c r="S52" s="20">
        <f>VLOOKUP(S$48,'DB New Orders'!$A:$S,MATCH($B52,'DB New Orders'!$A$1:$S$1,0),0)</f>
        <v>12</v>
      </c>
      <c r="T52" s="20">
        <f>VLOOKUP(T$48,'DB New Orders'!$A:$S,MATCH($B52,'DB New Orders'!$A$1:$S$1,0),0)</f>
        <v>7</v>
      </c>
      <c r="U52" s="20">
        <f>VLOOKUP(U$48,'DB New Orders'!$A:$S,MATCH($B52,'DB New Orders'!$A$1:$S$1,0),0)</f>
        <v>9</v>
      </c>
      <c r="V52" s="20">
        <f>VLOOKUP(V$48,'DB New Orders'!$A:$S,MATCH($B52,'DB New Orders'!$A$1:$S$1,0),0)</f>
        <v>6</v>
      </c>
      <c r="W52" s="20">
        <f>VLOOKUP(W$48,'DB New Orders'!$A:$S,MATCH($B52,'DB New Orders'!$A$1:$S$1,0),0)</f>
        <v>5</v>
      </c>
      <c r="X52" s="20">
        <f>VLOOKUP(X$48,'DB New Orders'!$A:$S,MATCH($B52,'DB New Orders'!$A$1:$S$1,0),0)</f>
        <v>7</v>
      </c>
      <c r="Y52" s="20">
        <f>VLOOKUP(Y$48,'DB New Orders'!$A:$S,MATCH($B52,'DB New Orders'!$A$1:$S$1,0),0)</f>
        <v>12</v>
      </c>
      <c r="Z52" s="20">
        <f>VLOOKUP(Z$48,'DB New Orders'!$A:$S,MATCH($B52,'DB New Orders'!$A$1:$S$1,0),0)</f>
        <v>5</v>
      </c>
      <c r="AA52" s="20">
        <f>VLOOKUP(AA$48,'DB New Orders'!$A:$S,MATCH($B52,'DB New Orders'!$A$1:$S$1,0),0)</f>
        <v>7</v>
      </c>
      <c r="AB52" s="20">
        <f>VLOOKUP(AB$48,'DB New Orders'!$A:$S,MATCH($B52,'DB New Orders'!$A$1:$S$1,0),0)</f>
        <v>0</v>
      </c>
      <c r="AC52" s="20">
        <f>VLOOKUP(AC$48,'DB New Orders'!$A:$S,MATCH($B52,'DB New Orders'!$A$1:$S$1,0),0)</f>
        <v>-1</v>
      </c>
      <c r="AD52" s="20">
        <f>VLOOKUP(AD$48,'DB New Orders'!$A:$S,MATCH($B52,'DB New Orders'!$A$1:$S$1,0),0)</f>
        <v>3</v>
      </c>
      <c r="AE52" s="20">
        <f>VLOOKUP(AE$48,'DB New Orders'!$A:$S,MATCH($B52,'DB New Orders'!$A$1:$S$1,0),0)</f>
        <v>2</v>
      </c>
      <c r="AF52" s="20">
        <f>VLOOKUP(AF$48,'DB New Orders'!$A:$S,MATCH($B52,'DB New Orders'!$A$1:$S$1,0),0)</f>
        <v>5</v>
      </c>
      <c r="AG52" s="20">
        <f>VLOOKUP(AG$48,'DB New Orders'!$A:$S,MATCH($B52,'DB New Orders'!$A$1:$S$1,0),0)</f>
        <v>1</v>
      </c>
      <c r="AH52" s="20">
        <f>VLOOKUP(AH$48,'DB New Orders'!$A:$S,MATCH($B52,'DB New Orders'!$A$1:$S$1,0),0)</f>
        <v>4</v>
      </c>
      <c r="AI52" s="20">
        <f>VLOOKUP(AI$48,'DB New Orders'!$A:$S,MATCH($B52,'DB New Orders'!$A$1:$S$1,0),0)</f>
        <v>5</v>
      </c>
      <c r="AJ52" s="20">
        <f>VLOOKUP(AJ$48,'DB New Orders'!$A:$S,MATCH($B52,'DB New Orders'!$A$1:$S$1,0),0)</f>
        <v>1</v>
      </c>
      <c r="AK52" s="20">
        <f>VLOOKUP(AK$48,'DB New Orders'!$A:$S,MATCH($B52,'DB New Orders'!$A$1:$S$1,0),0)</f>
        <v>4</v>
      </c>
      <c r="AM52" s="20">
        <f t="shared" si="6"/>
        <v>3</v>
      </c>
      <c r="AN52" s="32">
        <f t="shared" si="7"/>
        <v>3.3333333333333335</v>
      </c>
      <c r="AO52" s="32">
        <f t="shared" si="8"/>
        <v>3.3333333333333335</v>
      </c>
    </row>
    <row r="53" spans="2:41" x14ac:dyDescent="0.35">
      <c r="B53" s="3" t="s">
        <v>28</v>
      </c>
      <c r="C53" s="20">
        <f>VLOOKUP(C$48,'DB New Orders'!$A:$S,MATCH($B53,'DB New Orders'!$A$1:$S$1,0),0)</f>
        <v>4</v>
      </c>
      <c r="D53" s="20">
        <f>VLOOKUP(D$48,'DB New Orders'!$A:$S,MATCH($B53,'DB New Orders'!$A$1:$S$1,0),0)</f>
        <v>1</v>
      </c>
      <c r="E53" s="20">
        <f>VLOOKUP(E$48,'DB New Orders'!$A:$S,MATCH($B53,'DB New Orders'!$A$1:$S$1,0),0)</f>
        <v>0</v>
      </c>
      <c r="F53" s="20">
        <f>VLOOKUP(F$48,'DB New Orders'!$A:$S,MATCH($B53,'DB New Orders'!$A$1:$S$1,0),0)</f>
        <v>-12</v>
      </c>
      <c r="G53" s="20">
        <f>VLOOKUP(G$48,'DB New Orders'!$A:$S,MATCH($B53,'DB New Orders'!$A$1:$S$1,0),0)</f>
        <v>-10</v>
      </c>
      <c r="H53" s="20">
        <f>VLOOKUP(H$48,'DB New Orders'!$A:$S,MATCH($B53,'DB New Orders'!$A$1:$S$1,0),0)</f>
        <v>-1</v>
      </c>
      <c r="I53" s="20">
        <f>VLOOKUP(I$48,'DB New Orders'!$A:$S,MATCH($B53,'DB New Orders'!$A$1:$S$1,0),0)</f>
        <v>1</v>
      </c>
      <c r="J53" s="20">
        <f>VLOOKUP(J$48,'DB New Orders'!$A:$S,MATCH($B53,'DB New Orders'!$A$1:$S$1,0),0)</f>
        <v>11</v>
      </c>
      <c r="K53" s="20">
        <f>VLOOKUP(K$48,'DB New Orders'!$A:$S,MATCH($B53,'DB New Orders'!$A$1:$S$1,0),0)</f>
        <v>12</v>
      </c>
      <c r="L53" s="20">
        <f>VLOOKUP(L$48,'DB New Orders'!$A:$S,MATCH($B53,'DB New Orders'!$A$1:$S$1,0),0)</f>
        <v>2</v>
      </c>
      <c r="M53" s="20">
        <f>VLOOKUP(M$48,'DB New Orders'!$A:$S,MATCH($B53,'DB New Orders'!$A$1:$S$1,0),0)</f>
        <v>5</v>
      </c>
      <c r="N53" s="20">
        <f>VLOOKUP(N$48,'DB New Orders'!$A:$S,MATCH($B53,'DB New Orders'!$A$1:$S$1,0),0)</f>
        <v>0</v>
      </c>
      <c r="O53" s="20">
        <f>VLOOKUP(O$48,'DB New Orders'!$A:$S,MATCH($B53,'DB New Orders'!$A$1:$S$1,0),0)</f>
        <v>0</v>
      </c>
      <c r="P53" s="20">
        <f>VLOOKUP(P$48,'DB New Orders'!$A:$S,MATCH($B53,'DB New Orders'!$A$1:$S$1,0),0)</f>
        <v>4</v>
      </c>
      <c r="Q53" s="20">
        <f>VLOOKUP(Q$48,'DB New Orders'!$A:$S,MATCH($B53,'DB New Orders'!$A$1:$S$1,0),0)</f>
        <v>12</v>
      </c>
      <c r="R53" s="20">
        <f>VLOOKUP(R$48,'DB New Orders'!$A:$S,MATCH($B53,'DB New Orders'!$A$1:$S$1,0),0)</f>
        <v>13</v>
      </c>
      <c r="S53" s="20">
        <f>VLOOKUP(S$48,'DB New Orders'!$A:$S,MATCH($B53,'DB New Orders'!$A$1:$S$1,0),0)</f>
        <v>6</v>
      </c>
      <c r="T53" s="20">
        <f>VLOOKUP(T$48,'DB New Orders'!$A:$S,MATCH($B53,'DB New Orders'!$A$1:$S$1,0),0)</f>
        <v>8</v>
      </c>
      <c r="U53" s="20">
        <f>VLOOKUP(U$48,'DB New Orders'!$A:$S,MATCH($B53,'DB New Orders'!$A$1:$S$1,0),0)</f>
        <v>8</v>
      </c>
      <c r="V53" s="20">
        <f>VLOOKUP(V$48,'DB New Orders'!$A:$S,MATCH($B53,'DB New Orders'!$A$1:$S$1,0),0)</f>
        <v>3</v>
      </c>
      <c r="W53" s="20">
        <f>VLOOKUP(W$48,'DB New Orders'!$A:$S,MATCH($B53,'DB New Orders'!$A$1:$S$1,0),0)</f>
        <v>6</v>
      </c>
      <c r="X53" s="20">
        <f>VLOOKUP(X$48,'DB New Orders'!$A:$S,MATCH($B53,'DB New Orders'!$A$1:$S$1,0),0)</f>
        <v>12</v>
      </c>
      <c r="Y53" s="20">
        <f>VLOOKUP(Y$48,'DB New Orders'!$A:$S,MATCH($B53,'DB New Orders'!$A$1:$S$1,0),0)</f>
        <v>6</v>
      </c>
      <c r="Z53" s="20">
        <f>VLOOKUP(Z$48,'DB New Orders'!$A:$S,MATCH($B53,'DB New Orders'!$A$1:$S$1,0),0)</f>
        <v>2</v>
      </c>
      <c r="AA53" s="20">
        <f>VLOOKUP(AA$48,'DB New Orders'!$A:$S,MATCH($B53,'DB New Orders'!$A$1:$S$1,0),0)</f>
        <v>5</v>
      </c>
      <c r="AB53" s="20">
        <f>VLOOKUP(AB$48,'DB New Orders'!$A:$S,MATCH($B53,'DB New Orders'!$A$1:$S$1,0),0)</f>
        <v>8</v>
      </c>
      <c r="AC53" s="20">
        <f>VLOOKUP(AC$48,'DB New Orders'!$A:$S,MATCH($B53,'DB New Orders'!$A$1:$S$1,0),0)</f>
        <v>10</v>
      </c>
      <c r="AD53" s="20">
        <f>VLOOKUP(AD$48,'DB New Orders'!$A:$S,MATCH($B53,'DB New Orders'!$A$1:$S$1,0),0)</f>
        <v>13</v>
      </c>
      <c r="AE53" s="20">
        <f>VLOOKUP(AE$48,'DB New Orders'!$A:$S,MATCH($B53,'DB New Orders'!$A$1:$S$1,0),0)</f>
        <v>9</v>
      </c>
      <c r="AF53" s="20">
        <f>VLOOKUP(AF$48,'DB New Orders'!$A:$S,MATCH($B53,'DB New Orders'!$A$1:$S$1,0),0)</f>
        <v>6</v>
      </c>
      <c r="AG53" s="20">
        <f>VLOOKUP(AG$48,'DB New Orders'!$A:$S,MATCH($B53,'DB New Orders'!$A$1:$S$1,0),0)</f>
        <v>5</v>
      </c>
      <c r="AH53" s="20">
        <f>VLOOKUP(AH$48,'DB New Orders'!$A:$S,MATCH($B53,'DB New Orders'!$A$1:$S$1,0),0)</f>
        <v>9</v>
      </c>
      <c r="AI53" s="20">
        <f>VLOOKUP(AI$48,'DB New Orders'!$A:$S,MATCH($B53,'DB New Orders'!$A$1:$S$1,0),0)</f>
        <v>1</v>
      </c>
      <c r="AJ53" s="20">
        <f>VLOOKUP(AJ$48,'DB New Orders'!$A:$S,MATCH($B53,'DB New Orders'!$A$1:$S$1,0),0)</f>
        <v>3</v>
      </c>
      <c r="AK53" s="20">
        <f>VLOOKUP(AK$48,'DB New Orders'!$A:$S,MATCH($B53,'DB New Orders'!$A$1:$S$1,0),0)</f>
        <v>1</v>
      </c>
      <c r="AM53" s="20">
        <f t="shared" si="6"/>
        <v>-2</v>
      </c>
      <c r="AN53" s="32">
        <f t="shared" si="7"/>
        <v>1.6666666666666667</v>
      </c>
      <c r="AO53" s="32">
        <f t="shared" si="8"/>
        <v>4.166666666666667</v>
      </c>
    </row>
    <row r="54" spans="2:41" x14ac:dyDescent="0.35">
      <c r="B54" s="3" t="s">
        <v>23</v>
      </c>
      <c r="C54" s="20">
        <f>VLOOKUP(C$48,'DB New Orders'!$A:$S,MATCH($B54,'DB New Orders'!$A$1:$S$1,0),0)</f>
        <v>-2</v>
      </c>
      <c r="D54" s="20">
        <f>VLOOKUP(D$48,'DB New Orders'!$A:$S,MATCH($B54,'DB New Orders'!$A$1:$S$1,0),0)</f>
        <v>6</v>
      </c>
      <c r="E54" s="20">
        <f>VLOOKUP(E$48,'DB New Orders'!$A:$S,MATCH($B54,'DB New Orders'!$A$1:$S$1,0),0)</f>
        <v>-9</v>
      </c>
      <c r="F54" s="20">
        <f>VLOOKUP(F$48,'DB New Orders'!$A:$S,MATCH($B54,'DB New Orders'!$A$1:$S$1,0),0)</f>
        <v>-8</v>
      </c>
      <c r="G54" s="20">
        <f>VLOOKUP(G$48,'DB New Orders'!$A:$S,MATCH($B54,'DB New Orders'!$A$1:$S$1,0),0)</f>
        <v>-13</v>
      </c>
      <c r="H54" s="20">
        <f>VLOOKUP(H$48,'DB New Orders'!$A:$S,MATCH($B54,'DB New Orders'!$A$1:$S$1,0),0)</f>
        <v>10</v>
      </c>
      <c r="I54" s="20">
        <f>VLOOKUP(I$48,'DB New Orders'!$A:$S,MATCH($B54,'DB New Orders'!$A$1:$S$1,0),0)</f>
        <v>0</v>
      </c>
      <c r="J54" s="20">
        <f>VLOOKUP(J$48,'DB New Orders'!$A:$S,MATCH($B54,'DB New Orders'!$A$1:$S$1,0),0)</f>
        <v>0</v>
      </c>
      <c r="K54" s="20">
        <f>VLOOKUP(K$48,'DB New Orders'!$A:$S,MATCH($B54,'DB New Orders'!$A$1:$S$1,0),0)</f>
        <v>7</v>
      </c>
      <c r="L54" s="20">
        <f>VLOOKUP(L$48,'DB New Orders'!$A:$S,MATCH($B54,'DB New Orders'!$A$1:$S$1,0),0)</f>
        <v>5</v>
      </c>
      <c r="M54" s="20">
        <f>VLOOKUP(M$48,'DB New Orders'!$A:$S,MATCH($B54,'DB New Orders'!$A$1:$S$1,0),0)</f>
        <v>-2</v>
      </c>
      <c r="N54" s="20">
        <f>VLOOKUP(N$48,'DB New Orders'!$A:$S,MATCH($B54,'DB New Orders'!$A$1:$S$1,0),0)</f>
        <v>-1</v>
      </c>
      <c r="O54" s="20">
        <f>VLOOKUP(O$48,'DB New Orders'!$A:$S,MATCH($B54,'DB New Orders'!$A$1:$S$1,0),0)</f>
        <v>0</v>
      </c>
      <c r="P54" s="20">
        <f>VLOOKUP(P$48,'DB New Orders'!$A:$S,MATCH($B54,'DB New Orders'!$A$1:$S$1,0),0)</f>
        <v>-1</v>
      </c>
      <c r="Q54" s="20">
        <f>VLOOKUP(Q$48,'DB New Orders'!$A:$S,MATCH($B54,'DB New Orders'!$A$1:$S$1,0),0)</f>
        <v>0</v>
      </c>
      <c r="R54" s="20">
        <f>VLOOKUP(R$48,'DB New Orders'!$A:$S,MATCH($B54,'DB New Orders'!$A$1:$S$1,0),0)</f>
        <v>14</v>
      </c>
      <c r="S54" s="20">
        <f>VLOOKUP(S$48,'DB New Orders'!$A:$S,MATCH($B54,'DB New Orders'!$A$1:$S$1,0),0)</f>
        <v>8</v>
      </c>
      <c r="T54" s="20">
        <f>VLOOKUP(T$48,'DB New Orders'!$A:$S,MATCH($B54,'DB New Orders'!$A$1:$S$1,0),0)</f>
        <v>13</v>
      </c>
      <c r="U54" s="20">
        <f>VLOOKUP(U$48,'DB New Orders'!$A:$S,MATCH($B54,'DB New Orders'!$A$1:$S$1,0),0)</f>
        <v>12</v>
      </c>
      <c r="V54" s="20">
        <f>VLOOKUP(V$48,'DB New Orders'!$A:$S,MATCH($B54,'DB New Orders'!$A$1:$S$1,0),0)</f>
        <v>8</v>
      </c>
      <c r="W54" s="20">
        <f>VLOOKUP(W$48,'DB New Orders'!$A:$S,MATCH($B54,'DB New Orders'!$A$1:$S$1,0),0)</f>
        <v>15</v>
      </c>
      <c r="X54" s="20">
        <f>VLOOKUP(X$48,'DB New Orders'!$A:$S,MATCH($B54,'DB New Orders'!$A$1:$S$1,0),0)</f>
        <v>14</v>
      </c>
      <c r="Y54" s="20">
        <f>VLOOKUP(Y$48,'DB New Orders'!$A:$S,MATCH($B54,'DB New Orders'!$A$1:$S$1,0),0)</f>
        <v>8</v>
      </c>
      <c r="Z54" s="20">
        <f>VLOOKUP(Z$48,'DB New Orders'!$A:$S,MATCH($B54,'DB New Orders'!$A$1:$S$1,0),0)</f>
        <v>7</v>
      </c>
      <c r="AA54" s="20">
        <f>VLOOKUP(AA$48,'DB New Orders'!$A:$S,MATCH($B54,'DB New Orders'!$A$1:$S$1,0),0)</f>
        <v>0</v>
      </c>
      <c r="AB54" s="20">
        <f>VLOOKUP(AB$48,'DB New Orders'!$A:$S,MATCH($B54,'DB New Orders'!$A$1:$S$1,0),0)</f>
        <v>0</v>
      </c>
      <c r="AC54" s="20">
        <f>VLOOKUP(AC$48,'DB New Orders'!$A:$S,MATCH($B54,'DB New Orders'!$A$1:$S$1,0),0)</f>
        <v>8</v>
      </c>
      <c r="AD54" s="20">
        <f>VLOOKUP(AD$48,'DB New Orders'!$A:$S,MATCH($B54,'DB New Orders'!$A$1:$S$1,0),0)</f>
        <v>2</v>
      </c>
      <c r="AE54" s="20">
        <f>VLOOKUP(AE$48,'DB New Orders'!$A:$S,MATCH($B54,'DB New Orders'!$A$1:$S$1,0),0)</f>
        <v>3</v>
      </c>
      <c r="AF54" s="20">
        <f>VLOOKUP(AF$48,'DB New Orders'!$A:$S,MATCH($B54,'DB New Orders'!$A$1:$S$1,0),0)</f>
        <v>10</v>
      </c>
      <c r="AG54" s="20">
        <f>VLOOKUP(AG$48,'DB New Orders'!$A:$S,MATCH($B54,'DB New Orders'!$A$1:$S$1,0),0)</f>
        <v>6</v>
      </c>
      <c r="AH54" s="20">
        <f>VLOOKUP(AH$48,'DB New Orders'!$A:$S,MATCH($B54,'DB New Orders'!$A$1:$S$1,0),0)</f>
        <v>0</v>
      </c>
      <c r="AI54" s="20">
        <f>VLOOKUP(AI$48,'DB New Orders'!$A:$S,MATCH($B54,'DB New Orders'!$A$1:$S$1,0),0)</f>
        <v>12</v>
      </c>
      <c r="AJ54" s="20">
        <f>VLOOKUP(AJ$48,'DB New Orders'!$A:$S,MATCH($B54,'DB New Orders'!$A$1:$S$1,0),0)</f>
        <v>11</v>
      </c>
      <c r="AK54" s="20">
        <f>VLOOKUP(AK$48,'DB New Orders'!$A:$S,MATCH($B54,'DB New Orders'!$A$1:$S$1,0),0)</f>
        <v>11</v>
      </c>
      <c r="AM54" s="20">
        <f t="shared" si="6"/>
        <v>0</v>
      </c>
      <c r="AN54" s="32">
        <f t="shared" si="7"/>
        <v>11.333333333333334</v>
      </c>
      <c r="AO54" s="32">
        <f t="shared" si="8"/>
        <v>8.3333333333333339</v>
      </c>
    </row>
    <row r="55" spans="2:41" x14ac:dyDescent="0.35">
      <c r="B55" s="3" t="s">
        <v>40</v>
      </c>
      <c r="C55" s="20">
        <f>VLOOKUP(C$48,'DB New Orders'!$A:$S,MATCH($B55,'DB New Orders'!$A$1:$S$1,0),0)</f>
        <v>-4</v>
      </c>
      <c r="D55" s="20">
        <f>VLOOKUP(D$48,'DB New Orders'!$A:$S,MATCH($B55,'DB New Orders'!$A$1:$S$1,0),0)</f>
        <v>0</v>
      </c>
      <c r="E55" s="20">
        <f>VLOOKUP(E$48,'DB New Orders'!$A:$S,MATCH($B55,'DB New Orders'!$A$1:$S$1,0),0)</f>
        <v>5</v>
      </c>
      <c r="F55" s="20">
        <f>VLOOKUP(F$48,'DB New Orders'!$A:$S,MATCH($B55,'DB New Orders'!$A$1:$S$1,0),0)</f>
        <v>-6</v>
      </c>
      <c r="G55" s="20">
        <f>VLOOKUP(G$48,'DB New Orders'!$A:$S,MATCH($B55,'DB New Orders'!$A$1:$S$1,0),0)</f>
        <v>0</v>
      </c>
      <c r="H55" s="20">
        <f>VLOOKUP(H$48,'DB New Orders'!$A:$S,MATCH($B55,'DB New Orders'!$A$1:$S$1,0),0)</f>
        <v>14</v>
      </c>
      <c r="I55" s="20">
        <f>VLOOKUP(I$48,'DB New Orders'!$A:$S,MATCH($B55,'DB New Orders'!$A$1:$S$1,0),0)</f>
        <v>7</v>
      </c>
      <c r="J55" s="20">
        <f>VLOOKUP(J$48,'DB New Orders'!$A:$S,MATCH($B55,'DB New Orders'!$A$1:$S$1,0),0)</f>
        <v>-3</v>
      </c>
      <c r="K55" s="20">
        <f>VLOOKUP(K$48,'DB New Orders'!$A:$S,MATCH($B55,'DB New Orders'!$A$1:$S$1,0),0)</f>
        <v>13</v>
      </c>
      <c r="L55" s="20">
        <f>VLOOKUP(L$48,'DB New Orders'!$A:$S,MATCH($B55,'DB New Orders'!$A$1:$S$1,0),0)</f>
        <v>0</v>
      </c>
      <c r="M55" s="20">
        <f>VLOOKUP(M$48,'DB New Orders'!$A:$S,MATCH($B55,'DB New Orders'!$A$1:$S$1,0),0)</f>
        <v>0</v>
      </c>
      <c r="N55" s="20">
        <f>VLOOKUP(N$48,'DB New Orders'!$A:$S,MATCH($B55,'DB New Orders'!$A$1:$S$1,0),0)</f>
        <v>-4</v>
      </c>
      <c r="O55" s="20">
        <f>VLOOKUP(O$48,'DB New Orders'!$A:$S,MATCH($B55,'DB New Orders'!$A$1:$S$1,0),0)</f>
        <v>8</v>
      </c>
      <c r="P55" s="20">
        <f>VLOOKUP(P$48,'DB New Orders'!$A:$S,MATCH($B55,'DB New Orders'!$A$1:$S$1,0),0)</f>
        <v>-2</v>
      </c>
      <c r="Q55" s="20">
        <f>VLOOKUP(Q$48,'DB New Orders'!$A:$S,MATCH($B55,'DB New Orders'!$A$1:$S$1,0),0)</f>
        <v>5</v>
      </c>
      <c r="R55" s="20">
        <f>VLOOKUP(R$48,'DB New Orders'!$A:$S,MATCH($B55,'DB New Orders'!$A$1:$S$1,0),0)</f>
        <v>10</v>
      </c>
      <c r="S55" s="20">
        <f>VLOOKUP(S$48,'DB New Orders'!$A:$S,MATCH($B55,'DB New Orders'!$A$1:$S$1,0),0)</f>
        <v>4</v>
      </c>
      <c r="T55" s="20">
        <f>VLOOKUP(T$48,'DB New Orders'!$A:$S,MATCH($B55,'DB New Orders'!$A$1:$S$1,0),0)</f>
        <v>0</v>
      </c>
      <c r="U55" s="20">
        <f>VLOOKUP(U$48,'DB New Orders'!$A:$S,MATCH($B55,'DB New Orders'!$A$1:$S$1,0),0)</f>
        <v>13</v>
      </c>
      <c r="V55" s="20">
        <f>VLOOKUP(V$48,'DB New Orders'!$A:$S,MATCH($B55,'DB New Orders'!$A$1:$S$1,0),0)</f>
        <v>-2</v>
      </c>
      <c r="W55" s="20">
        <f>VLOOKUP(W$48,'DB New Orders'!$A:$S,MATCH($B55,'DB New Orders'!$A$1:$S$1,0),0)</f>
        <v>14</v>
      </c>
      <c r="X55" s="20">
        <f>VLOOKUP(X$48,'DB New Orders'!$A:$S,MATCH($B55,'DB New Orders'!$A$1:$S$1,0),0)</f>
        <v>13</v>
      </c>
      <c r="Y55" s="20">
        <f>VLOOKUP(Y$48,'DB New Orders'!$A:$S,MATCH($B55,'DB New Orders'!$A$1:$S$1,0),0)</f>
        <v>7</v>
      </c>
      <c r="Z55" s="20">
        <f>VLOOKUP(Z$48,'DB New Orders'!$A:$S,MATCH($B55,'DB New Orders'!$A$1:$S$1,0),0)</f>
        <v>0</v>
      </c>
      <c r="AA55" s="20">
        <f>VLOOKUP(AA$48,'DB New Orders'!$A:$S,MATCH($B55,'DB New Orders'!$A$1:$S$1,0),0)</f>
        <v>0</v>
      </c>
      <c r="AB55" s="20">
        <f>VLOOKUP(AB$48,'DB New Orders'!$A:$S,MATCH($B55,'DB New Orders'!$A$1:$S$1,0),0)</f>
        <v>0</v>
      </c>
      <c r="AC55" s="20">
        <f>VLOOKUP(AC$48,'DB New Orders'!$A:$S,MATCH($B55,'DB New Orders'!$A$1:$S$1,0),0)</f>
        <v>11</v>
      </c>
      <c r="AD55" s="20">
        <f>VLOOKUP(AD$48,'DB New Orders'!$A:$S,MATCH($B55,'DB New Orders'!$A$1:$S$1,0),0)</f>
        <v>11</v>
      </c>
      <c r="AE55" s="20">
        <f>VLOOKUP(AE$48,'DB New Orders'!$A:$S,MATCH($B55,'DB New Orders'!$A$1:$S$1,0),0)</f>
        <v>10</v>
      </c>
      <c r="AF55" s="20">
        <f>VLOOKUP(AF$48,'DB New Orders'!$A:$S,MATCH($B55,'DB New Orders'!$A$1:$S$1,0),0)</f>
        <v>7</v>
      </c>
      <c r="AG55" s="20">
        <f>VLOOKUP(AG$48,'DB New Orders'!$A:$S,MATCH($B55,'DB New Orders'!$A$1:$S$1,0),0)</f>
        <v>11</v>
      </c>
      <c r="AH55" s="20">
        <f>VLOOKUP(AH$48,'DB New Orders'!$A:$S,MATCH($B55,'DB New Orders'!$A$1:$S$1,0),0)</f>
        <v>8</v>
      </c>
      <c r="AI55" s="20">
        <f>VLOOKUP(AI$48,'DB New Orders'!$A:$S,MATCH($B55,'DB New Orders'!$A$1:$S$1,0),0)</f>
        <v>9</v>
      </c>
      <c r="AJ55" s="20">
        <f>VLOOKUP(AJ$48,'DB New Orders'!$A:$S,MATCH($B55,'DB New Orders'!$A$1:$S$1,0),0)</f>
        <v>-2</v>
      </c>
      <c r="AK55" s="20">
        <f>VLOOKUP(AK$48,'DB New Orders'!$A:$S,MATCH($B55,'DB New Orders'!$A$1:$S$1,0),0)</f>
        <v>12</v>
      </c>
      <c r="AM55" s="20">
        <f t="shared" si="6"/>
        <v>14</v>
      </c>
      <c r="AN55" s="32">
        <f t="shared" si="7"/>
        <v>6.333333333333333</v>
      </c>
      <c r="AO55" s="32">
        <f t="shared" si="8"/>
        <v>7.5</v>
      </c>
    </row>
    <row r="56" spans="2:41" x14ac:dyDescent="0.35">
      <c r="B56" s="3" t="s">
        <v>37</v>
      </c>
      <c r="C56" s="20">
        <f>VLOOKUP(C$48,'DB New Orders'!$A:$S,MATCH($B56,'DB New Orders'!$A$1:$S$1,0),0)</f>
        <v>0</v>
      </c>
      <c r="D56" s="20">
        <f>VLOOKUP(D$48,'DB New Orders'!$A:$S,MATCH($B56,'DB New Orders'!$A$1:$S$1,0),0)</f>
        <v>11</v>
      </c>
      <c r="E56" s="20">
        <f>VLOOKUP(E$48,'DB New Orders'!$A:$S,MATCH($B56,'DB New Orders'!$A$1:$S$1,0),0)</f>
        <v>0</v>
      </c>
      <c r="F56" s="20">
        <f>VLOOKUP(F$48,'DB New Orders'!$A:$S,MATCH($B56,'DB New Orders'!$A$1:$S$1,0),0)</f>
        <v>-4</v>
      </c>
      <c r="G56" s="20">
        <f>VLOOKUP(G$48,'DB New Orders'!$A:$S,MATCH($B56,'DB New Orders'!$A$1:$S$1,0),0)</f>
        <v>-4</v>
      </c>
      <c r="H56" s="20">
        <f>VLOOKUP(H$48,'DB New Orders'!$A:$S,MATCH($B56,'DB New Orders'!$A$1:$S$1,0),0)</f>
        <v>2</v>
      </c>
      <c r="I56" s="20">
        <f>VLOOKUP(I$48,'DB New Orders'!$A:$S,MATCH($B56,'DB New Orders'!$A$1:$S$1,0),0)</f>
        <v>3</v>
      </c>
      <c r="J56" s="20">
        <f>VLOOKUP(J$48,'DB New Orders'!$A:$S,MATCH($B56,'DB New Orders'!$A$1:$S$1,0),0)</f>
        <v>2</v>
      </c>
      <c r="K56" s="20">
        <f>VLOOKUP(K$48,'DB New Orders'!$A:$S,MATCH($B56,'DB New Orders'!$A$1:$S$1,0),0)</f>
        <v>6</v>
      </c>
      <c r="L56" s="20">
        <f>VLOOKUP(L$48,'DB New Orders'!$A:$S,MATCH($B56,'DB New Orders'!$A$1:$S$1,0),0)</f>
        <v>15</v>
      </c>
      <c r="M56" s="20">
        <f>VLOOKUP(M$48,'DB New Orders'!$A:$S,MATCH($B56,'DB New Orders'!$A$1:$S$1,0),0)</f>
        <v>13</v>
      </c>
      <c r="N56" s="20">
        <f>VLOOKUP(N$48,'DB New Orders'!$A:$S,MATCH($B56,'DB New Orders'!$A$1:$S$1,0),0)</f>
        <v>7</v>
      </c>
      <c r="O56" s="20">
        <f>VLOOKUP(O$48,'DB New Orders'!$A:$S,MATCH($B56,'DB New Orders'!$A$1:$S$1,0),0)</f>
        <v>3</v>
      </c>
      <c r="P56" s="20">
        <f>VLOOKUP(P$48,'DB New Orders'!$A:$S,MATCH($B56,'DB New Orders'!$A$1:$S$1,0),0)</f>
        <v>7</v>
      </c>
      <c r="Q56" s="20">
        <f>VLOOKUP(Q$48,'DB New Orders'!$A:$S,MATCH($B56,'DB New Orders'!$A$1:$S$1,0),0)</f>
        <v>7</v>
      </c>
      <c r="R56" s="20">
        <f>VLOOKUP(R$48,'DB New Orders'!$A:$S,MATCH($B56,'DB New Orders'!$A$1:$S$1,0),0)</f>
        <v>9</v>
      </c>
      <c r="S56" s="20">
        <f>VLOOKUP(S$48,'DB New Orders'!$A:$S,MATCH($B56,'DB New Orders'!$A$1:$S$1,0),0)</f>
        <v>15</v>
      </c>
      <c r="T56" s="20">
        <f>VLOOKUP(T$48,'DB New Orders'!$A:$S,MATCH($B56,'DB New Orders'!$A$1:$S$1,0),0)</f>
        <v>14</v>
      </c>
      <c r="U56" s="20">
        <f>VLOOKUP(U$48,'DB New Orders'!$A:$S,MATCH($B56,'DB New Orders'!$A$1:$S$1,0),0)</f>
        <v>6</v>
      </c>
      <c r="V56" s="20">
        <f>VLOOKUP(V$48,'DB New Orders'!$A:$S,MATCH($B56,'DB New Orders'!$A$1:$S$1,0),0)</f>
        <v>2</v>
      </c>
      <c r="W56" s="20">
        <f>VLOOKUP(W$48,'DB New Orders'!$A:$S,MATCH($B56,'DB New Orders'!$A$1:$S$1,0),0)</f>
        <v>10</v>
      </c>
      <c r="X56" s="20">
        <f>VLOOKUP(X$48,'DB New Orders'!$A:$S,MATCH($B56,'DB New Orders'!$A$1:$S$1,0),0)</f>
        <v>15</v>
      </c>
      <c r="Y56" s="20">
        <f>VLOOKUP(Y$48,'DB New Orders'!$A:$S,MATCH($B56,'DB New Orders'!$A$1:$S$1,0),0)</f>
        <v>18</v>
      </c>
      <c r="Z56" s="20">
        <f>VLOOKUP(Z$48,'DB New Orders'!$A:$S,MATCH($B56,'DB New Orders'!$A$1:$S$1,0),0)</f>
        <v>10</v>
      </c>
      <c r="AA56" s="20">
        <f>VLOOKUP(AA$48,'DB New Orders'!$A:$S,MATCH($B56,'DB New Orders'!$A$1:$S$1,0),0)</f>
        <v>2</v>
      </c>
      <c r="AB56" s="20">
        <f>VLOOKUP(AB$48,'DB New Orders'!$A:$S,MATCH($B56,'DB New Orders'!$A$1:$S$1,0),0)</f>
        <v>6</v>
      </c>
      <c r="AC56" s="20">
        <f>VLOOKUP(AC$48,'DB New Orders'!$A:$S,MATCH($B56,'DB New Orders'!$A$1:$S$1,0),0)</f>
        <v>1</v>
      </c>
      <c r="AD56" s="20">
        <f>VLOOKUP(AD$48,'DB New Orders'!$A:$S,MATCH($B56,'DB New Orders'!$A$1:$S$1,0),0)</f>
        <v>8</v>
      </c>
      <c r="AE56" s="20">
        <f>VLOOKUP(AE$48,'DB New Orders'!$A:$S,MATCH($B56,'DB New Orders'!$A$1:$S$1,0),0)</f>
        <v>6</v>
      </c>
      <c r="AF56" s="20">
        <f>VLOOKUP(AF$48,'DB New Orders'!$A:$S,MATCH($B56,'DB New Orders'!$A$1:$S$1,0),0)</f>
        <v>8</v>
      </c>
      <c r="AG56" s="20">
        <f>VLOOKUP(AG$48,'DB New Orders'!$A:$S,MATCH($B56,'DB New Orders'!$A$1:$S$1,0),0)</f>
        <v>7</v>
      </c>
      <c r="AH56" s="20">
        <f>VLOOKUP(AH$48,'DB New Orders'!$A:$S,MATCH($B56,'DB New Orders'!$A$1:$S$1,0),0)</f>
        <v>0</v>
      </c>
      <c r="AI56" s="20">
        <f>VLOOKUP(AI$48,'DB New Orders'!$A:$S,MATCH($B56,'DB New Orders'!$A$1:$S$1,0),0)</f>
        <v>-1</v>
      </c>
      <c r="AJ56" s="20">
        <f>VLOOKUP(AJ$48,'DB New Orders'!$A:$S,MATCH($B56,'DB New Orders'!$A$1:$S$1,0),0)</f>
        <v>10</v>
      </c>
      <c r="AK56" s="20">
        <f>VLOOKUP(AK$48,'DB New Orders'!$A:$S,MATCH($B56,'DB New Orders'!$A$1:$S$1,0),0)</f>
        <v>5</v>
      </c>
      <c r="AM56" s="20">
        <f t="shared" si="6"/>
        <v>-5</v>
      </c>
      <c r="AN56" s="32">
        <f t="shared" si="7"/>
        <v>4.666666666666667</v>
      </c>
      <c r="AO56" s="32">
        <f t="shared" si="8"/>
        <v>4.833333333333333</v>
      </c>
    </row>
    <row r="57" spans="2:41" x14ac:dyDescent="0.35">
      <c r="B57" s="3" t="s">
        <v>14</v>
      </c>
      <c r="C57" s="20">
        <f>VLOOKUP(C$48,'DB New Orders'!$A:$S,MATCH($B57,'DB New Orders'!$A$1:$S$1,0),0)</f>
        <v>8</v>
      </c>
      <c r="D57" s="20">
        <f>VLOOKUP(D$48,'DB New Orders'!$A:$S,MATCH($B57,'DB New Orders'!$A$1:$S$1,0),0)</f>
        <v>16</v>
      </c>
      <c r="E57" s="20">
        <f>VLOOKUP(E$48,'DB New Orders'!$A:$S,MATCH($B57,'DB New Orders'!$A$1:$S$1,0),0)</f>
        <v>3</v>
      </c>
      <c r="F57" s="20">
        <f>VLOOKUP(F$48,'DB New Orders'!$A:$S,MATCH($B57,'DB New Orders'!$A$1:$S$1,0),0)</f>
        <v>-2</v>
      </c>
      <c r="G57" s="20">
        <f>VLOOKUP(G$48,'DB New Orders'!$A:$S,MATCH($B57,'DB New Orders'!$A$1:$S$1,0),0)</f>
        <v>-5</v>
      </c>
      <c r="H57" s="20">
        <f>VLOOKUP(H$48,'DB New Orders'!$A:$S,MATCH($B57,'DB New Orders'!$A$1:$S$1,0),0)</f>
        <v>13</v>
      </c>
      <c r="I57" s="20">
        <f>VLOOKUP(I$48,'DB New Orders'!$A:$S,MATCH($B57,'DB New Orders'!$A$1:$S$1,0),0)</f>
        <v>0</v>
      </c>
      <c r="J57" s="20">
        <f>VLOOKUP(J$48,'DB New Orders'!$A:$S,MATCH($B57,'DB New Orders'!$A$1:$S$1,0),0)</f>
        <v>9</v>
      </c>
      <c r="K57" s="20">
        <f>VLOOKUP(K$48,'DB New Orders'!$A:$S,MATCH($B57,'DB New Orders'!$A$1:$S$1,0),0)</f>
        <v>5</v>
      </c>
      <c r="L57" s="20">
        <f>VLOOKUP(L$48,'DB New Orders'!$A:$S,MATCH($B57,'DB New Orders'!$A$1:$S$1,0),0)</f>
        <v>12</v>
      </c>
      <c r="M57" s="20">
        <f>VLOOKUP(M$48,'DB New Orders'!$A:$S,MATCH($B57,'DB New Orders'!$A$1:$S$1,0),0)</f>
        <v>4</v>
      </c>
      <c r="N57" s="20">
        <f>VLOOKUP(N$48,'DB New Orders'!$A:$S,MATCH($B57,'DB New Orders'!$A$1:$S$1,0),0)</f>
        <v>-2</v>
      </c>
      <c r="O57" s="20">
        <f>VLOOKUP(O$48,'DB New Orders'!$A:$S,MATCH($B57,'DB New Orders'!$A$1:$S$1,0),0)</f>
        <v>-2</v>
      </c>
      <c r="P57" s="20">
        <f>VLOOKUP(P$48,'DB New Orders'!$A:$S,MATCH($B57,'DB New Orders'!$A$1:$S$1,0),0)</f>
        <v>10</v>
      </c>
      <c r="Q57" s="20">
        <f>VLOOKUP(Q$48,'DB New Orders'!$A:$S,MATCH($B57,'DB New Orders'!$A$1:$S$1,0),0)</f>
        <v>13</v>
      </c>
      <c r="R57" s="20">
        <f>VLOOKUP(R$48,'DB New Orders'!$A:$S,MATCH($B57,'DB New Orders'!$A$1:$S$1,0),0)</f>
        <v>1</v>
      </c>
      <c r="S57" s="20">
        <f>VLOOKUP(S$48,'DB New Orders'!$A:$S,MATCH($B57,'DB New Orders'!$A$1:$S$1,0),0)</f>
        <v>3</v>
      </c>
      <c r="T57" s="20">
        <f>VLOOKUP(T$48,'DB New Orders'!$A:$S,MATCH($B57,'DB New Orders'!$A$1:$S$1,0),0)</f>
        <v>10</v>
      </c>
      <c r="U57" s="20">
        <f>VLOOKUP(U$48,'DB New Orders'!$A:$S,MATCH($B57,'DB New Orders'!$A$1:$S$1,0),0)</f>
        <v>10</v>
      </c>
      <c r="V57" s="20">
        <f>VLOOKUP(V$48,'DB New Orders'!$A:$S,MATCH($B57,'DB New Orders'!$A$1:$S$1,0),0)</f>
        <v>12</v>
      </c>
      <c r="W57" s="20">
        <f>VLOOKUP(W$48,'DB New Orders'!$A:$S,MATCH($B57,'DB New Orders'!$A$1:$S$1,0),0)</f>
        <v>2</v>
      </c>
      <c r="X57" s="20">
        <f>VLOOKUP(X$48,'DB New Orders'!$A:$S,MATCH($B57,'DB New Orders'!$A$1:$S$1,0),0)</f>
        <v>9</v>
      </c>
      <c r="Y57" s="20">
        <f>VLOOKUP(Y$48,'DB New Orders'!$A:$S,MATCH($B57,'DB New Orders'!$A$1:$S$1,0),0)</f>
        <v>3</v>
      </c>
      <c r="Z57" s="20">
        <f>VLOOKUP(Z$48,'DB New Orders'!$A:$S,MATCH($B57,'DB New Orders'!$A$1:$S$1,0),0)</f>
        <v>12</v>
      </c>
      <c r="AA57" s="20">
        <f>VLOOKUP(AA$48,'DB New Orders'!$A:$S,MATCH($B57,'DB New Orders'!$A$1:$S$1,0),0)</f>
        <v>-3</v>
      </c>
      <c r="AB57" s="20">
        <f>VLOOKUP(AB$48,'DB New Orders'!$A:$S,MATCH($B57,'DB New Orders'!$A$1:$S$1,0),0)</f>
        <v>-3</v>
      </c>
      <c r="AC57" s="20">
        <f>VLOOKUP(AC$48,'DB New Orders'!$A:$S,MATCH($B57,'DB New Orders'!$A$1:$S$1,0),0)</f>
        <v>5</v>
      </c>
      <c r="AD57" s="20">
        <f>VLOOKUP(AD$48,'DB New Orders'!$A:$S,MATCH($B57,'DB New Orders'!$A$1:$S$1,0),0)</f>
        <v>10</v>
      </c>
      <c r="AE57" s="20">
        <f>VLOOKUP(AE$48,'DB New Orders'!$A:$S,MATCH($B57,'DB New Orders'!$A$1:$S$1,0),0)</f>
        <v>5</v>
      </c>
      <c r="AF57" s="20">
        <f>VLOOKUP(AF$48,'DB New Orders'!$A:$S,MATCH($B57,'DB New Orders'!$A$1:$S$1,0),0)</f>
        <v>13</v>
      </c>
      <c r="AG57" s="20">
        <f>VLOOKUP(AG$48,'DB New Orders'!$A:$S,MATCH($B57,'DB New Orders'!$A$1:$S$1,0),0)</f>
        <v>-4</v>
      </c>
      <c r="AH57" s="20">
        <f>VLOOKUP(AH$48,'DB New Orders'!$A:$S,MATCH($B57,'DB New Orders'!$A$1:$S$1,0),0)</f>
        <v>0</v>
      </c>
      <c r="AI57" s="20">
        <f>VLOOKUP(AI$48,'DB New Orders'!$A:$S,MATCH($B57,'DB New Orders'!$A$1:$S$1,0),0)</f>
        <v>0</v>
      </c>
      <c r="AJ57" s="20">
        <f>VLOOKUP(AJ$48,'DB New Orders'!$A:$S,MATCH($B57,'DB New Orders'!$A$1:$S$1,0),0)</f>
        <v>7</v>
      </c>
      <c r="AK57" s="20">
        <f>VLOOKUP(AK$48,'DB New Orders'!$A:$S,MATCH($B57,'DB New Orders'!$A$1:$S$1,0),0)</f>
        <v>9</v>
      </c>
      <c r="AM57" s="20">
        <f t="shared" si="6"/>
        <v>2</v>
      </c>
      <c r="AN57" s="32">
        <f t="shared" si="7"/>
        <v>5.333333333333333</v>
      </c>
      <c r="AO57" s="32">
        <f t="shared" si="8"/>
        <v>4.166666666666667</v>
      </c>
    </row>
    <row r="58" spans="2:41" x14ac:dyDescent="0.35">
      <c r="B58" s="3" t="s">
        <v>31</v>
      </c>
      <c r="C58" s="20">
        <f>VLOOKUP(C$48,'DB New Orders'!$A:$S,MATCH($B58,'DB New Orders'!$A$1:$S$1,0),0)</f>
        <v>2</v>
      </c>
      <c r="D58" s="20">
        <f>VLOOKUP(D$48,'DB New Orders'!$A:$S,MATCH($B58,'DB New Orders'!$A$1:$S$1,0),0)</f>
        <v>12</v>
      </c>
      <c r="E58" s="20">
        <f>VLOOKUP(E$48,'DB New Orders'!$A:$S,MATCH($B58,'DB New Orders'!$A$1:$S$1,0),0)</f>
        <v>1</v>
      </c>
      <c r="F58" s="20">
        <f>VLOOKUP(F$48,'DB New Orders'!$A:$S,MATCH($B58,'DB New Orders'!$A$1:$S$1,0),0)</f>
        <v>-7</v>
      </c>
      <c r="G58" s="20">
        <f>VLOOKUP(G$48,'DB New Orders'!$A:$S,MATCH($B58,'DB New Orders'!$A$1:$S$1,0),0)</f>
        <v>-8</v>
      </c>
      <c r="H58" s="20">
        <f>VLOOKUP(H$48,'DB New Orders'!$A:$S,MATCH($B58,'DB New Orders'!$A$1:$S$1,0),0)</f>
        <v>6</v>
      </c>
      <c r="I58" s="20">
        <f>VLOOKUP(I$48,'DB New Orders'!$A:$S,MATCH($B58,'DB New Orders'!$A$1:$S$1,0),0)</f>
        <v>5</v>
      </c>
      <c r="J58" s="20">
        <f>VLOOKUP(J$48,'DB New Orders'!$A:$S,MATCH($B58,'DB New Orders'!$A$1:$S$1,0),0)</f>
        <v>1</v>
      </c>
      <c r="K58" s="20">
        <f>VLOOKUP(K$48,'DB New Orders'!$A:$S,MATCH($B58,'DB New Orders'!$A$1:$S$1,0),0)</f>
        <v>0</v>
      </c>
      <c r="L58" s="20">
        <f>VLOOKUP(L$48,'DB New Orders'!$A:$S,MATCH($B58,'DB New Orders'!$A$1:$S$1,0),0)</f>
        <v>14</v>
      </c>
      <c r="M58" s="20">
        <f>VLOOKUP(M$48,'DB New Orders'!$A:$S,MATCH($B58,'DB New Orders'!$A$1:$S$1,0),0)</f>
        <v>7</v>
      </c>
      <c r="N58" s="20">
        <f>VLOOKUP(N$48,'DB New Orders'!$A:$S,MATCH($B58,'DB New Orders'!$A$1:$S$1,0),0)</f>
        <v>3</v>
      </c>
      <c r="O58" s="20">
        <f>VLOOKUP(O$48,'DB New Orders'!$A:$S,MATCH($B58,'DB New Orders'!$A$1:$S$1,0),0)</f>
        <v>4</v>
      </c>
      <c r="P58" s="20">
        <f>VLOOKUP(P$48,'DB New Orders'!$A:$S,MATCH($B58,'DB New Orders'!$A$1:$S$1,0),0)</f>
        <v>9</v>
      </c>
      <c r="Q58" s="20">
        <f>VLOOKUP(Q$48,'DB New Orders'!$A:$S,MATCH($B58,'DB New Orders'!$A$1:$S$1,0),0)</f>
        <v>3</v>
      </c>
      <c r="R58" s="20">
        <f>VLOOKUP(R$48,'DB New Orders'!$A:$S,MATCH($B58,'DB New Orders'!$A$1:$S$1,0),0)</f>
        <v>7</v>
      </c>
      <c r="S58" s="20">
        <f>VLOOKUP(S$48,'DB New Orders'!$A:$S,MATCH($B58,'DB New Orders'!$A$1:$S$1,0),0)</f>
        <v>13</v>
      </c>
      <c r="T58" s="20">
        <f>VLOOKUP(T$48,'DB New Orders'!$A:$S,MATCH($B58,'DB New Orders'!$A$1:$S$1,0),0)</f>
        <v>1</v>
      </c>
      <c r="U58" s="20">
        <f>VLOOKUP(U$48,'DB New Orders'!$A:$S,MATCH($B58,'DB New Orders'!$A$1:$S$1,0),0)</f>
        <v>1</v>
      </c>
      <c r="V58" s="20">
        <f>VLOOKUP(V$48,'DB New Orders'!$A:$S,MATCH($B58,'DB New Orders'!$A$1:$S$1,0),0)</f>
        <v>9</v>
      </c>
      <c r="W58" s="20">
        <f>VLOOKUP(W$48,'DB New Orders'!$A:$S,MATCH($B58,'DB New Orders'!$A$1:$S$1,0),0)</f>
        <v>8</v>
      </c>
      <c r="X58" s="20">
        <f>VLOOKUP(X$48,'DB New Orders'!$A:$S,MATCH($B58,'DB New Orders'!$A$1:$S$1,0),0)</f>
        <v>5</v>
      </c>
      <c r="Y58" s="20">
        <f>VLOOKUP(Y$48,'DB New Orders'!$A:$S,MATCH($B58,'DB New Orders'!$A$1:$S$1,0),0)</f>
        <v>15</v>
      </c>
      <c r="Z58" s="20">
        <f>VLOOKUP(Z$48,'DB New Orders'!$A:$S,MATCH($B58,'DB New Orders'!$A$1:$S$1,0),0)</f>
        <v>13</v>
      </c>
      <c r="AA58" s="20">
        <f>VLOOKUP(AA$48,'DB New Orders'!$A:$S,MATCH($B58,'DB New Orders'!$A$1:$S$1,0),0)</f>
        <v>9</v>
      </c>
      <c r="AB58" s="20">
        <f>VLOOKUP(AB$48,'DB New Orders'!$A:$S,MATCH($B58,'DB New Orders'!$A$1:$S$1,0),0)</f>
        <v>10</v>
      </c>
      <c r="AC58" s="20">
        <f>VLOOKUP(AC$48,'DB New Orders'!$A:$S,MATCH($B58,'DB New Orders'!$A$1:$S$1,0),0)</f>
        <v>7</v>
      </c>
      <c r="AD58" s="20">
        <f>VLOOKUP(AD$48,'DB New Orders'!$A:$S,MATCH($B58,'DB New Orders'!$A$1:$S$1,0),0)</f>
        <v>5</v>
      </c>
      <c r="AE58" s="20">
        <f>VLOOKUP(AE$48,'DB New Orders'!$A:$S,MATCH($B58,'DB New Orders'!$A$1:$S$1,0),0)</f>
        <v>15</v>
      </c>
      <c r="AF58" s="20">
        <f>VLOOKUP(AF$48,'DB New Orders'!$A:$S,MATCH($B58,'DB New Orders'!$A$1:$S$1,0),0)</f>
        <v>-2</v>
      </c>
      <c r="AG58" s="20">
        <f>VLOOKUP(AG$48,'DB New Orders'!$A:$S,MATCH($B58,'DB New Orders'!$A$1:$S$1,0),0)</f>
        <v>3</v>
      </c>
      <c r="AH58" s="20">
        <f>VLOOKUP(AH$48,'DB New Orders'!$A:$S,MATCH($B58,'DB New Orders'!$A$1:$S$1,0),0)</f>
        <v>0</v>
      </c>
      <c r="AI58" s="20">
        <f>VLOOKUP(AI$48,'DB New Orders'!$A:$S,MATCH($B58,'DB New Orders'!$A$1:$S$1,0),0)</f>
        <v>0</v>
      </c>
      <c r="AJ58" s="20">
        <f>VLOOKUP(AJ$48,'DB New Orders'!$A:$S,MATCH($B58,'DB New Orders'!$A$1:$S$1,0),0)</f>
        <v>5</v>
      </c>
      <c r="AK58" s="20">
        <f>VLOOKUP(AK$48,'DB New Orders'!$A:$S,MATCH($B58,'DB New Orders'!$A$1:$S$1,0),0)</f>
        <v>3</v>
      </c>
      <c r="AM58" s="20">
        <f t="shared" si="6"/>
        <v>-2</v>
      </c>
      <c r="AN58" s="32">
        <f t="shared" si="7"/>
        <v>2.6666666666666665</v>
      </c>
      <c r="AO58" s="32">
        <f t="shared" si="8"/>
        <v>1.5</v>
      </c>
    </row>
    <row r="59" spans="2:41" x14ac:dyDescent="0.35">
      <c r="B59" s="3" t="s">
        <v>45</v>
      </c>
      <c r="C59" s="20">
        <f>VLOOKUP(C$48,'DB New Orders'!$A:$S,MATCH($B59,'DB New Orders'!$A$1:$S$1,0),0)</f>
        <v>10</v>
      </c>
      <c r="D59" s="20">
        <f>VLOOKUP(D$48,'DB New Orders'!$A:$S,MATCH($B59,'DB New Orders'!$A$1:$S$1,0),0)</f>
        <v>9</v>
      </c>
      <c r="E59" s="20">
        <f>VLOOKUP(E$48,'DB New Orders'!$A:$S,MATCH($B59,'DB New Orders'!$A$1:$S$1,0),0)</f>
        <v>0</v>
      </c>
      <c r="F59" s="20">
        <f>VLOOKUP(F$48,'DB New Orders'!$A:$S,MATCH($B59,'DB New Orders'!$A$1:$S$1,0),0)</f>
        <v>-15</v>
      </c>
      <c r="G59" s="20">
        <f>VLOOKUP(G$48,'DB New Orders'!$A:$S,MATCH($B59,'DB New Orders'!$A$1:$S$1,0),0)</f>
        <v>0</v>
      </c>
      <c r="H59" s="20">
        <f>VLOOKUP(H$48,'DB New Orders'!$A:$S,MATCH($B59,'DB New Orders'!$A$1:$S$1,0),0)</f>
        <v>0</v>
      </c>
      <c r="I59" s="20">
        <f>VLOOKUP(I$48,'DB New Orders'!$A:$S,MATCH($B59,'DB New Orders'!$A$1:$S$1,0),0)</f>
        <v>0</v>
      </c>
      <c r="J59" s="20">
        <f>VLOOKUP(J$48,'DB New Orders'!$A:$S,MATCH($B59,'DB New Orders'!$A$1:$S$1,0),0)</f>
        <v>-4</v>
      </c>
      <c r="K59" s="20">
        <f>VLOOKUP(K$48,'DB New Orders'!$A:$S,MATCH($B59,'DB New Orders'!$A$1:$S$1,0),0)</f>
        <v>-2</v>
      </c>
      <c r="L59" s="20">
        <f>VLOOKUP(L$48,'DB New Orders'!$A:$S,MATCH($B59,'DB New Orders'!$A$1:$S$1,0),0)</f>
        <v>8</v>
      </c>
      <c r="M59" s="20">
        <f>VLOOKUP(M$48,'DB New Orders'!$A:$S,MATCH($B59,'DB New Orders'!$A$1:$S$1,0),0)</f>
        <v>0</v>
      </c>
      <c r="N59" s="20">
        <f>VLOOKUP(N$48,'DB New Orders'!$A:$S,MATCH($B59,'DB New Orders'!$A$1:$S$1,0),0)</f>
        <v>-3</v>
      </c>
      <c r="O59" s="20">
        <f>VLOOKUP(O$48,'DB New Orders'!$A:$S,MATCH($B59,'DB New Orders'!$A$1:$S$1,0),0)</f>
        <v>6</v>
      </c>
      <c r="P59" s="20">
        <f>VLOOKUP(P$48,'DB New Orders'!$A:$S,MATCH($B59,'DB New Orders'!$A$1:$S$1,0),0)</f>
        <v>0</v>
      </c>
      <c r="Q59" s="20">
        <f>VLOOKUP(Q$48,'DB New Orders'!$A:$S,MATCH($B59,'DB New Orders'!$A$1:$S$1,0),0)</f>
        <v>6</v>
      </c>
      <c r="R59" s="20">
        <f>VLOOKUP(R$48,'DB New Orders'!$A:$S,MATCH($B59,'DB New Orders'!$A$1:$S$1,0),0)</f>
        <v>-1</v>
      </c>
      <c r="S59" s="20">
        <f>VLOOKUP(S$48,'DB New Orders'!$A:$S,MATCH($B59,'DB New Orders'!$A$1:$S$1,0),0)</f>
        <v>5</v>
      </c>
      <c r="T59" s="20">
        <f>VLOOKUP(T$48,'DB New Orders'!$A:$S,MATCH($B59,'DB New Orders'!$A$1:$S$1,0),0)</f>
        <v>0</v>
      </c>
      <c r="U59" s="20">
        <f>VLOOKUP(U$48,'DB New Orders'!$A:$S,MATCH($B59,'DB New Orders'!$A$1:$S$1,0),0)</f>
        <v>0</v>
      </c>
      <c r="V59" s="20">
        <f>VLOOKUP(V$48,'DB New Orders'!$A:$S,MATCH($B59,'DB New Orders'!$A$1:$S$1,0),0)</f>
        <v>0</v>
      </c>
      <c r="W59" s="20">
        <f>VLOOKUP(W$48,'DB New Orders'!$A:$S,MATCH($B59,'DB New Orders'!$A$1:$S$1,0),0)</f>
        <v>-1</v>
      </c>
      <c r="X59" s="20">
        <f>VLOOKUP(X$48,'DB New Orders'!$A:$S,MATCH($B59,'DB New Orders'!$A$1:$S$1,0),0)</f>
        <v>0</v>
      </c>
      <c r="Y59" s="20">
        <f>VLOOKUP(Y$48,'DB New Orders'!$A:$S,MATCH($B59,'DB New Orders'!$A$1:$S$1,0),0)</f>
        <v>10</v>
      </c>
      <c r="Z59" s="20">
        <f>VLOOKUP(Z$48,'DB New Orders'!$A:$S,MATCH($B59,'DB New Orders'!$A$1:$S$1,0),0)</f>
        <v>-2</v>
      </c>
      <c r="AA59" s="20">
        <f>VLOOKUP(AA$48,'DB New Orders'!$A:$S,MATCH($B59,'DB New Orders'!$A$1:$S$1,0),0)</f>
        <v>0</v>
      </c>
      <c r="AB59" s="20">
        <f>VLOOKUP(AB$48,'DB New Orders'!$A:$S,MATCH($B59,'DB New Orders'!$A$1:$S$1,0),0)</f>
        <v>0</v>
      </c>
      <c r="AC59" s="20">
        <f>VLOOKUP(AC$48,'DB New Orders'!$A:$S,MATCH($B59,'DB New Orders'!$A$1:$S$1,0),0)</f>
        <v>-2</v>
      </c>
      <c r="AD59" s="20">
        <f>VLOOKUP(AD$48,'DB New Orders'!$A:$S,MATCH($B59,'DB New Orders'!$A$1:$S$1,0),0)</f>
        <v>0</v>
      </c>
      <c r="AE59" s="20">
        <f>VLOOKUP(AE$48,'DB New Orders'!$A:$S,MATCH($B59,'DB New Orders'!$A$1:$S$1,0),0)</f>
        <v>-2</v>
      </c>
      <c r="AF59" s="20">
        <f>VLOOKUP(AF$48,'DB New Orders'!$A:$S,MATCH($B59,'DB New Orders'!$A$1:$S$1,0),0)</f>
        <v>0</v>
      </c>
      <c r="AG59" s="20">
        <f>VLOOKUP(AG$48,'DB New Orders'!$A:$S,MATCH($B59,'DB New Orders'!$A$1:$S$1,0),0)</f>
        <v>-5</v>
      </c>
      <c r="AH59" s="20">
        <f>VLOOKUP(AH$48,'DB New Orders'!$A:$S,MATCH($B59,'DB New Orders'!$A$1:$S$1,0),0)</f>
        <v>-1</v>
      </c>
      <c r="AI59" s="20">
        <f>VLOOKUP(AI$48,'DB New Orders'!$A:$S,MATCH($B59,'DB New Orders'!$A$1:$S$1,0),0)</f>
        <v>4</v>
      </c>
      <c r="AJ59" s="20">
        <f>VLOOKUP(AJ$48,'DB New Orders'!$A:$S,MATCH($B59,'DB New Orders'!$A$1:$S$1,0),0)</f>
        <v>9</v>
      </c>
      <c r="AK59" s="20">
        <f>VLOOKUP(AK$48,'DB New Orders'!$A:$S,MATCH($B59,'DB New Orders'!$A$1:$S$1,0),0)</f>
        <v>8</v>
      </c>
      <c r="AM59" s="20">
        <f t="shared" si="6"/>
        <v>-1</v>
      </c>
      <c r="AN59" s="32">
        <f t="shared" si="7"/>
        <v>7</v>
      </c>
      <c r="AO59" s="32">
        <f t="shared" si="8"/>
        <v>2.5</v>
      </c>
    </row>
    <row r="60" spans="2:41" x14ac:dyDescent="0.35">
      <c r="B60" s="3" t="s">
        <v>47</v>
      </c>
      <c r="C60" s="20">
        <f>VLOOKUP(C$48,'DB New Orders'!$A:$S,MATCH($B60,'DB New Orders'!$A$1:$S$1,0),0)</f>
        <v>0</v>
      </c>
      <c r="D60" s="20">
        <f>VLOOKUP(D$48,'DB New Orders'!$A:$S,MATCH($B60,'DB New Orders'!$A$1:$S$1,0),0)</f>
        <v>-1</v>
      </c>
      <c r="E60" s="20">
        <f>VLOOKUP(E$48,'DB New Orders'!$A:$S,MATCH($B60,'DB New Orders'!$A$1:$S$1,0),0)</f>
        <v>-8</v>
      </c>
      <c r="F60" s="20">
        <f>VLOOKUP(F$48,'DB New Orders'!$A:$S,MATCH($B60,'DB New Orders'!$A$1:$S$1,0),0)</f>
        <v>-16</v>
      </c>
      <c r="G60" s="20">
        <f>VLOOKUP(G$48,'DB New Orders'!$A:$S,MATCH($B60,'DB New Orders'!$A$1:$S$1,0),0)</f>
        <v>-9</v>
      </c>
      <c r="H60" s="20">
        <f>VLOOKUP(H$48,'DB New Orders'!$A:$S,MATCH($B60,'DB New Orders'!$A$1:$S$1,0),0)</f>
        <v>7</v>
      </c>
      <c r="I60" s="20">
        <f>VLOOKUP(I$48,'DB New Orders'!$A:$S,MATCH($B60,'DB New Orders'!$A$1:$S$1,0),0)</f>
        <v>9</v>
      </c>
      <c r="J60" s="20">
        <f>VLOOKUP(J$48,'DB New Orders'!$A:$S,MATCH($B60,'DB New Orders'!$A$1:$S$1,0),0)</f>
        <v>12</v>
      </c>
      <c r="K60" s="20">
        <f>VLOOKUP(K$48,'DB New Orders'!$A:$S,MATCH($B60,'DB New Orders'!$A$1:$S$1,0),0)</f>
        <v>14</v>
      </c>
      <c r="L60" s="20">
        <f>VLOOKUP(L$48,'DB New Orders'!$A:$S,MATCH($B60,'DB New Orders'!$A$1:$S$1,0),0)</f>
        <v>0</v>
      </c>
      <c r="M60" s="20">
        <f>VLOOKUP(M$48,'DB New Orders'!$A:$S,MATCH($B60,'DB New Orders'!$A$1:$S$1,0),0)</f>
        <v>-3</v>
      </c>
      <c r="N60" s="20">
        <f>VLOOKUP(N$48,'DB New Orders'!$A:$S,MATCH($B60,'DB New Orders'!$A$1:$S$1,0),0)</f>
        <v>-5</v>
      </c>
      <c r="O60" s="20">
        <f>VLOOKUP(O$48,'DB New Orders'!$A:$S,MATCH($B60,'DB New Orders'!$A$1:$S$1,0),0)</f>
        <v>-3</v>
      </c>
      <c r="P60" s="20">
        <f>VLOOKUP(P$48,'DB New Orders'!$A:$S,MATCH($B60,'DB New Orders'!$A$1:$S$1,0),0)</f>
        <v>0</v>
      </c>
      <c r="Q60" s="20">
        <f>VLOOKUP(Q$48,'DB New Orders'!$A:$S,MATCH($B60,'DB New Orders'!$A$1:$S$1,0),0)</f>
        <v>17</v>
      </c>
      <c r="R60" s="20">
        <f>VLOOKUP(R$48,'DB New Orders'!$A:$S,MATCH($B60,'DB New Orders'!$A$1:$S$1,0),0)</f>
        <v>17</v>
      </c>
      <c r="S60" s="20">
        <f>VLOOKUP(S$48,'DB New Orders'!$A:$S,MATCH($B60,'DB New Orders'!$A$1:$S$1,0),0)</f>
        <v>11</v>
      </c>
      <c r="T60" s="20">
        <f>VLOOKUP(T$48,'DB New Orders'!$A:$S,MATCH($B60,'DB New Orders'!$A$1:$S$1,0),0)</f>
        <v>16</v>
      </c>
      <c r="U60" s="20">
        <f>VLOOKUP(U$48,'DB New Orders'!$A:$S,MATCH($B60,'DB New Orders'!$A$1:$S$1,0),0)</f>
        <v>16</v>
      </c>
      <c r="V60" s="20">
        <f>VLOOKUP(V$48,'DB New Orders'!$A:$S,MATCH($B60,'DB New Orders'!$A$1:$S$1,0),0)</f>
        <v>-3</v>
      </c>
      <c r="W60" s="20">
        <f>VLOOKUP(W$48,'DB New Orders'!$A:$S,MATCH($B60,'DB New Orders'!$A$1:$S$1,0),0)</f>
        <v>16</v>
      </c>
      <c r="X60" s="20">
        <f>VLOOKUP(X$48,'DB New Orders'!$A:$S,MATCH($B60,'DB New Orders'!$A$1:$S$1,0),0)</f>
        <v>8</v>
      </c>
      <c r="Y60" s="20">
        <f>VLOOKUP(Y$48,'DB New Orders'!$A:$S,MATCH($B60,'DB New Orders'!$A$1:$S$1,0),0)</f>
        <v>9</v>
      </c>
      <c r="Z60" s="20">
        <f>VLOOKUP(Z$48,'DB New Orders'!$A:$S,MATCH($B60,'DB New Orders'!$A$1:$S$1,0),0)</f>
        <v>8</v>
      </c>
      <c r="AA60" s="20">
        <f>VLOOKUP(AA$48,'DB New Orders'!$A:$S,MATCH($B60,'DB New Orders'!$A$1:$S$1,0),0)</f>
        <v>-4</v>
      </c>
      <c r="AB60" s="20">
        <f>VLOOKUP(AB$48,'DB New Orders'!$A:$S,MATCH($B60,'DB New Orders'!$A$1:$S$1,0),0)</f>
        <v>-2</v>
      </c>
      <c r="AC60" s="20">
        <f>VLOOKUP(AC$48,'DB New Orders'!$A:$S,MATCH($B60,'DB New Orders'!$A$1:$S$1,0),0)</f>
        <v>15</v>
      </c>
      <c r="AD60" s="20">
        <f>VLOOKUP(AD$48,'DB New Orders'!$A:$S,MATCH($B60,'DB New Orders'!$A$1:$S$1,0),0)</f>
        <v>0</v>
      </c>
      <c r="AE60" s="20">
        <f>VLOOKUP(AE$48,'DB New Orders'!$A:$S,MATCH($B60,'DB New Orders'!$A$1:$S$1,0),0)</f>
        <v>14</v>
      </c>
      <c r="AF60" s="20">
        <f>VLOOKUP(AF$48,'DB New Orders'!$A:$S,MATCH($B60,'DB New Orders'!$A$1:$S$1,0),0)</f>
        <v>9</v>
      </c>
      <c r="AG60" s="20">
        <f>VLOOKUP(AG$48,'DB New Orders'!$A:$S,MATCH($B60,'DB New Orders'!$A$1:$S$1,0),0)</f>
        <v>0</v>
      </c>
      <c r="AH60" s="20">
        <f>VLOOKUP(AH$48,'DB New Orders'!$A:$S,MATCH($B60,'DB New Orders'!$A$1:$S$1,0),0)</f>
        <v>0</v>
      </c>
      <c r="AI60" s="20">
        <f>VLOOKUP(AI$48,'DB New Orders'!$A:$S,MATCH($B60,'DB New Orders'!$A$1:$S$1,0),0)</f>
        <v>-2</v>
      </c>
      <c r="AJ60" s="20">
        <f>VLOOKUP(AJ$48,'DB New Orders'!$A:$S,MATCH($B60,'DB New Orders'!$A$1:$S$1,0),0)</f>
        <v>0</v>
      </c>
      <c r="AK60" s="20">
        <f>VLOOKUP(AK$48,'DB New Orders'!$A:$S,MATCH($B60,'DB New Orders'!$A$1:$S$1,0),0)</f>
        <v>0</v>
      </c>
      <c r="AM60" s="20">
        <f t="shared" si="6"/>
        <v>0</v>
      </c>
      <c r="AN60" s="32">
        <f t="shared" si="7"/>
        <v>-0.66666666666666663</v>
      </c>
      <c r="AO60" s="32">
        <f t="shared" si="8"/>
        <v>1.1666666666666667</v>
      </c>
    </row>
    <row r="61" spans="2:41" x14ac:dyDescent="0.35">
      <c r="B61" s="3" t="s">
        <v>17</v>
      </c>
      <c r="C61" s="20">
        <f>VLOOKUP(C$48,'DB New Orders'!$A:$S,MATCH($B61,'DB New Orders'!$A$1:$S$1,0),0)</f>
        <v>0</v>
      </c>
      <c r="D61" s="20">
        <f>VLOOKUP(D$48,'DB New Orders'!$A:$S,MATCH($B61,'DB New Orders'!$A$1:$S$1,0),0)</f>
        <v>13</v>
      </c>
      <c r="E61" s="20">
        <f>VLOOKUP(E$48,'DB New Orders'!$A:$S,MATCH($B61,'DB New Orders'!$A$1:$S$1,0),0)</f>
        <v>-3</v>
      </c>
      <c r="F61" s="20">
        <f>VLOOKUP(F$48,'DB New Orders'!$A:$S,MATCH($B61,'DB New Orders'!$A$1:$S$1,0),0)</f>
        <v>-13</v>
      </c>
      <c r="G61" s="20">
        <f>VLOOKUP(G$48,'DB New Orders'!$A:$S,MATCH($B61,'DB New Orders'!$A$1:$S$1,0),0)</f>
        <v>-14</v>
      </c>
      <c r="H61" s="20">
        <f>VLOOKUP(H$48,'DB New Orders'!$A:$S,MATCH($B61,'DB New Orders'!$A$1:$S$1,0),0)</f>
        <v>12</v>
      </c>
      <c r="I61" s="20">
        <f>VLOOKUP(I$48,'DB New Orders'!$A:$S,MATCH($B61,'DB New Orders'!$A$1:$S$1,0),0)</f>
        <v>-2</v>
      </c>
      <c r="J61" s="20">
        <f>VLOOKUP(J$48,'DB New Orders'!$A:$S,MATCH($B61,'DB New Orders'!$A$1:$S$1,0),0)</f>
        <v>-5</v>
      </c>
      <c r="K61" s="20">
        <f>VLOOKUP(K$48,'DB New Orders'!$A:$S,MATCH($B61,'DB New Orders'!$A$1:$S$1,0),0)</f>
        <v>4</v>
      </c>
      <c r="L61" s="20">
        <f>VLOOKUP(L$48,'DB New Orders'!$A:$S,MATCH($B61,'DB New Orders'!$A$1:$S$1,0),0)</f>
        <v>7</v>
      </c>
      <c r="M61" s="20">
        <f>VLOOKUP(M$48,'DB New Orders'!$A:$S,MATCH($B61,'DB New Orders'!$A$1:$S$1,0),0)</f>
        <v>11</v>
      </c>
      <c r="N61" s="20">
        <f>VLOOKUP(N$48,'DB New Orders'!$A:$S,MATCH($B61,'DB New Orders'!$A$1:$S$1,0),0)</f>
        <v>0</v>
      </c>
      <c r="O61" s="20">
        <f>VLOOKUP(O$48,'DB New Orders'!$A:$S,MATCH($B61,'DB New Orders'!$A$1:$S$1,0),0)</f>
        <v>0</v>
      </c>
      <c r="P61" s="20">
        <f>VLOOKUP(P$48,'DB New Orders'!$A:$S,MATCH($B61,'DB New Orders'!$A$1:$S$1,0),0)</f>
        <v>0</v>
      </c>
      <c r="Q61" s="20">
        <f>VLOOKUP(Q$48,'DB New Orders'!$A:$S,MATCH($B61,'DB New Orders'!$A$1:$S$1,0),0)</f>
        <v>16</v>
      </c>
      <c r="R61" s="20">
        <f>VLOOKUP(R$48,'DB New Orders'!$A:$S,MATCH($B61,'DB New Orders'!$A$1:$S$1,0),0)</f>
        <v>8</v>
      </c>
      <c r="S61" s="20">
        <f>VLOOKUP(S$48,'DB New Orders'!$A:$S,MATCH($B61,'DB New Orders'!$A$1:$S$1,0),0)</f>
        <v>14</v>
      </c>
      <c r="T61" s="20">
        <f>VLOOKUP(T$48,'DB New Orders'!$A:$S,MATCH($B61,'DB New Orders'!$A$1:$S$1,0),0)</f>
        <v>9</v>
      </c>
      <c r="U61" s="20">
        <f>VLOOKUP(U$48,'DB New Orders'!$A:$S,MATCH($B61,'DB New Orders'!$A$1:$S$1,0),0)</f>
        <v>-1</v>
      </c>
      <c r="V61" s="20">
        <f>VLOOKUP(V$48,'DB New Orders'!$A:$S,MATCH($B61,'DB New Orders'!$A$1:$S$1,0),0)</f>
        <v>7</v>
      </c>
      <c r="W61" s="20">
        <f>VLOOKUP(W$48,'DB New Orders'!$A:$S,MATCH($B61,'DB New Orders'!$A$1:$S$1,0),0)</f>
        <v>11</v>
      </c>
      <c r="X61" s="20">
        <f>VLOOKUP(X$48,'DB New Orders'!$A:$S,MATCH($B61,'DB New Orders'!$A$1:$S$1,0),0)</f>
        <v>0</v>
      </c>
      <c r="Y61" s="20">
        <f>VLOOKUP(Y$48,'DB New Orders'!$A:$S,MATCH($B61,'DB New Orders'!$A$1:$S$1,0),0)</f>
        <v>13</v>
      </c>
      <c r="Z61" s="20">
        <f>VLOOKUP(Z$48,'DB New Orders'!$A:$S,MATCH($B61,'DB New Orders'!$A$1:$S$1,0),0)</f>
        <v>-3</v>
      </c>
      <c r="AA61" s="20">
        <f>VLOOKUP(AA$48,'DB New Orders'!$A:$S,MATCH($B61,'DB New Orders'!$A$1:$S$1,0),0)</f>
        <v>0</v>
      </c>
      <c r="AB61" s="20">
        <f>VLOOKUP(AB$48,'DB New Orders'!$A:$S,MATCH($B61,'DB New Orders'!$A$1:$S$1,0),0)</f>
        <v>7</v>
      </c>
      <c r="AC61" s="20">
        <f>VLOOKUP(AC$48,'DB New Orders'!$A:$S,MATCH($B61,'DB New Orders'!$A$1:$S$1,0),0)</f>
        <v>9</v>
      </c>
      <c r="AD61" s="20">
        <f>VLOOKUP(AD$48,'DB New Orders'!$A:$S,MATCH($B61,'DB New Orders'!$A$1:$S$1,0),0)</f>
        <v>0</v>
      </c>
      <c r="AE61" s="20">
        <f>VLOOKUP(AE$48,'DB New Orders'!$A:$S,MATCH($B61,'DB New Orders'!$A$1:$S$1,0),0)</f>
        <v>12</v>
      </c>
      <c r="AF61" s="20">
        <f>VLOOKUP(AF$48,'DB New Orders'!$A:$S,MATCH($B61,'DB New Orders'!$A$1:$S$1,0),0)</f>
        <v>12</v>
      </c>
      <c r="AG61" s="20">
        <f>VLOOKUP(AG$48,'DB New Orders'!$A:$S,MATCH($B61,'DB New Orders'!$A$1:$S$1,0),0)</f>
        <v>10</v>
      </c>
      <c r="AH61" s="20">
        <f>VLOOKUP(AH$48,'DB New Orders'!$A:$S,MATCH($B61,'DB New Orders'!$A$1:$S$1,0),0)</f>
        <v>11</v>
      </c>
      <c r="AI61" s="20">
        <f>VLOOKUP(AI$48,'DB New Orders'!$A:$S,MATCH($B61,'DB New Orders'!$A$1:$S$1,0),0)</f>
        <v>13</v>
      </c>
      <c r="AJ61" s="20">
        <f>VLOOKUP(AJ$48,'DB New Orders'!$A:$S,MATCH($B61,'DB New Orders'!$A$1:$S$1,0),0)</f>
        <v>13</v>
      </c>
      <c r="AK61" s="20">
        <f>VLOOKUP(AK$48,'DB New Orders'!$A:$S,MATCH($B61,'DB New Orders'!$A$1:$S$1,0),0)</f>
        <v>7</v>
      </c>
      <c r="AM61" s="20">
        <f t="shared" si="6"/>
        <v>-6</v>
      </c>
      <c r="AN61" s="32">
        <f t="shared" si="7"/>
        <v>11</v>
      </c>
      <c r="AO61" s="32">
        <f t="shared" si="8"/>
        <v>11</v>
      </c>
    </row>
    <row r="62" spans="2:41" x14ac:dyDescent="0.35">
      <c r="B62" s="3" t="s">
        <v>44</v>
      </c>
      <c r="C62" s="20">
        <f>VLOOKUP(C$48,'DB New Orders'!$A:$S,MATCH($B62,'DB New Orders'!$A$1:$S$1,0),0)</f>
        <v>-1</v>
      </c>
      <c r="D62" s="20">
        <f>VLOOKUP(D$48,'DB New Orders'!$A:$S,MATCH($B62,'DB New Orders'!$A$1:$S$1,0),0)</f>
        <v>3</v>
      </c>
      <c r="E62" s="20">
        <f>VLOOKUP(E$48,'DB New Orders'!$A:$S,MATCH($B62,'DB New Orders'!$A$1:$S$1,0),0)</f>
        <v>-5</v>
      </c>
      <c r="F62" s="20">
        <f>VLOOKUP(F$48,'DB New Orders'!$A:$S,MATCH($B62,'DB New Orders'!$A$1:$S$1,0),0)</f>
        <v>-10</v>
      </c>
      <c r="G62" s="20">
        <f>VLOOKUP(G$48,'DB New Orders'!$A:$S,MATCH($B62,'DB New Orders'!$A$1:$S$1,0),0)</f>
        <v>-7</v>
      </c>
      <c r="H62" s="20">
        <f>VLOOKUP(H$48,'DB New Orders'!$A:$S,MATCH($B62,'DB New Orders'!$A$1:$S$1,0),0)</f>
        <v>1</v>
      </c>
      <c r="I62" s="20">
        <f>VLOOKUP(I$48,'DB New Orders'!$A:$S,MATCH($B62,'DB New Orders'!$A$1:$S$1,0),0)</f>
        <v>-1</v>
      </c>
      <c r="J62" s="20">
        <f>VLOOKUP(J$48,'DB New Orders'!$A:$S,MATCH($B62,'DB New Orders'!$A$1:$S$1,0),0)</f>
        <v>-1</v>
      </c>
      <c r="K62" s="20">
        <f>VLOOKUP(K$48,'DB New Orders'!$A:$S,MATCH($B62,'DB New Orders'!$A$1:$S$1,0),0)</f>
        <v>0</v>
      </c>
      <c r="L62" s="20">
        <f>VLOOKUP(L$48,'DB New Orders'!$A:$S,MATCH($B62,'DB New Orders'!$A$1:$S$1,0),0)</f>
        <v>6</v>
      </c>
      <c r="M62" s="20">
        <f>VLOOKUP(M$48,'DB New Orders'!$A:$S,MATCH($B62,'DB New Orders'!$A$1:$S$1,0),0)</f>
        <v>8</v>
      </c>
      <c r="N62" s="20">
        <f>VLOOKUP(N$48,'DB New Orders'!$A:$S,MATCH($B62,'DB New Orders'!$A$1:$S$1,0),0)</f>
        <v>1</v>
      </c>
      <c r="O62" s="20">
        <f>VLOOKUP(O$48,'DB New Orders'!$A:$S,MATCH($B62,'DB New Orders'!$A$1:$S$1,0),0)</f>
        <v>1</v>
      </c>
      <c r="P62" s="20">
        <f>VLOOKUP(P$48,'DB New Orders'!$A:$S,MATCH($B62,'DB New Orders'!$A$1:$S$1,0),0)</f>
        <v>6</v>
      </c>
      <c r="Q62" s="20">
        <f>VLOOKUP(Q$48,'DB New Orders'!$A:$S,MATCH($B62,'DB New Orders'!$A$1:$S$1,0),0)</f>
        <v>9</v>
      </c>
      <c r="R62" s="20">
        <f>VLOOKUP(R$48,'DB New Orders'!$A:$S,MATCH($B62,'DB New Orders'!$A$1:$S$1,0),0)</f>
        <v>3</v>
      </c>
      <c r="S62" s="20">
        <f>VLOOKUP(S$48,'DB New Orders'!$A:$S,MATCH($B62,'DB New Orders'!$A$1:$S$1,0),0)</f>
        <v>2</v>
      </c>
      <c r="T62" s="20">
        <f>VLOOKUP(T$48,'DB New Orders'!$A:$S,MATCH($B62,'DB New Orders'!$A$1:$S$1,0),0)</f>
        <v>2</v>
      </c>
      <c r="U62" s="20">
        <f>VLOOKUP(U$48,'DB New Orders'!$A:$S,MATCH($B62,'DB New Orders'!$A$1:$S$1,0),0)</f>
        <v>2</v>
      </c>
      <c r="V62" s="20">
        <f>VLOOKUP(V$48,'DB New Orders'!$A:$S,MATCH($B62,'DB New Orders'!$A$1:$S$1,0),0)</f>
        <v>1</v>
      </c>
      <c r="W62" s="20">
        <f>VLOOKUP(W$48,'DB New Orders'!$A:$S,MATCH($B62,'DB New Orders'!$A$1:$S$1,0),0)</f>
        <v>12</v>
      </c>
      <c r="X62" s="20">
        <f>VLOOKUP(X$48,'DB New Orders'!$A:$S,MATCH($B62,'DB New Orders'!$A$1:$S$1,0),0)</f>
        <v>2</v>
      </c>
      <c r="Y62" s="20">
        <f>VLOOKUP(Y$48,'DB New Orders'!$A:$S,MATCH($B62,'DB New Orders'!$A$1:$S$1,0),0)</f>
        <v>4</v>
      </c>
      <c r="Z62" s="20">
        <f>VLOOKUP(Z$48,'DB New Orders'!$A:$S,MATCH($B62,'DB New Orders'!$A$1:$S$1,0),0)</f>
        <v>3</v>
      </c>
      <c r="AA62" s="20">
        <f>VLOOKUP(AA$48,'DB New Orders'!$A:$S,MATCH($B62,'DB New Orders'!$A$1:$S$1,0),0)</f>
        <v>4</v>
      </c>
      <c r="AB62" s="20">
        <f>VLOOKUP(AB$48,'DB New Orders'!$A:$S,MATCH($B62,'DB New Orders'!$A$1:$S$1,0),0)</f>
        <v>2</v>
      </c>
      <c r="AC62" s="20">
        <f>VLOOKUP(AC$48,'DB New Orders'!$A:$S,MATCH($B62,'DB New Orders'!$A$1:$S$1,0),0)</f>
        <v>4</v>
      </c>
      <c r="AD62" s="20">
        <f>VLOOKUP(AD$48,'DB New Orders'!$A:$S,MATCH($B62,'DB New Orders'!$A$1:$S$1,0),0)</f>
        <v>7</v>
      </c>
      <c r="AE62" s="20">
        <f>VLOOKUP(AE$48,'DB New Orders'!$A:$S,MATCH($B62,'DB New Orders'!$A$1:$S$1,0),0)</f>
        <v>8</v>
      </c>
      <c r="AF62" s="20">
        <f>VLOOKUP(AF$48,'DB New Orders'!$A:$S,MATCH($B62,'DB New Orders'!$A$1:$S$1,0),0)</f>
        <v>2</v>
      </c>
      <c r="AG62" s="20">
        <f>VLOOKUP(AG$48,'DB New Orders'!$A:$S,MATCH($B62,'DB New Orders'!$A$1:$S$1,0),0)</f>
        <v>2</v>
      </c>
      <c r="AH62" s="20">
        <f>VLOOKUP(AH$48,'DB New Orders'!$A:$S,MATCH($B62,'DB New Orders'!$A$1:$S$1,0),0)</f>
        <v>1</v>
      </c>
      <c r="AI62" s="20">
        <f>VLOOKUP(AI$48,'DB New Orders'!$A:$S,MATCH($B62,'DB New Orders'!$A$1:$S$1,0),0)</f>
        <v>3</v>
      </c>
      <c r="AJ62" s="20">
        <f>VLOOKUP(AJ$48,'DB New Orders'!$A:$S,MATCH($B62,'DB New Orders'!$A$1:$S$1,0),0)</f>
        <v>6</v>
      </c>
      <c r="AK62" s="20">
        <f>VLOOKUP(AK$48,'DB New Orders'!$A:$S,MATCH($B62,'DB New Orders'!$A$1:$S$1,0),0)</f>
        <v>2</v>
      </c>
      <c r="AM62" s="20">
        <f t="shared" si="6"/>
        <v>-4</v>
      </c>
      <c r="AN62" s="32">
        <f t="shared" si="7"/>
        <v>3.6666666666666665</v>
      </c>
      <c r="AO62" s="32">
        <f t="shared" si="8"/>
        <v>2.6666666666666665</v>
      </c>
    </row>
    <row r="63" spans="2:41" x14ac:dyDescent="0.35">
      <c r="B63" s="3" t="s">
        <v>26</v>
      </c>
      <c r="C63" s="20">
        <f>VLOOKUP(C$48,'DB New Orders'!$A:$S,MATCH($B63,'DB New Orders'!$A$1:$S$1,0),0)</f>
        <v>1</v>
      </c>
      <c r="D63" s="20">
        <f>VLOOKUP(D$48,'DB New Orders'!$A:$S,MATCH($B63,'DB New Orders'!$A$1:$S$1,0),0)</f>
        <v>7</v>
      </c>
      <c r="E63" s="20">
        <f>VLOOKUP(E$48,'DB New Orders'!$A:$S,MATCH($B63,'DB New Orders'!$A$1:$S$1,0),0)</f>
        <v>-4</v>
      </c>
      <c r="F63" s="20">
        <f>VLOOKUP(F$48,'DB New Orders'!$A:$S,MATCH($B63,'DB New Orders'!$A$1:$S$1,0),0)</f>
        <v>-11</v>
      </c>
      <c r="G63" s="20">
        <f>VLOOKUP(G$48,'DB New Orders'!$A:$S,MATCH($B63,'DB New Orders'!$A$1:$S$1,0),0)</f>
        <v>-6</v>
      </c>
      <c r="H63" s="20">
        <f>VLOOKUP(H$48,'DB New Orders'!$A:$S,MATCH($B63,'DB New Orders'!$A$1:$S$1,0),0)</f>
        <v>5</v>
      </c>
      <c r="I63" s="20">
        <f>VLOOKUP(I$48,'DB New Orders'!$A:$S,MATCH($B63,'DB New Orders'!$A$1:$S$1,0),0)</f>
        <v>10</v>
      </c>
      <c r="J63" s="20">
        <f>VLOOKUP(J$48,'DB New Orders'!$A:$S,MATCH($B63,'DB New Orders'!$A$1:$S$1,0),0)</f>
        <v>5</v>
      </c>
      <c r="K63" s="20">
        <f>VLOOKUP(K$48,'DB New Orders'!$A:$S,MATCH($B63,'DB New Orders'!$A$1:$S$1,0),0)</f>
        <v>10</v>
      </c>
      <c r="L63" s="20">
        <f>VLOOKUP(L$48,'DB New Orders'!$A:$S,MATCH($B63,'DB New Orders'!$A$1:$S$1,0),0)</f>
        <v>3</v>
      </c>
      <c r="M63" s="20">
        <f>VLOOKUP(M$48,'DB New Orders'!$A:$S,MATCH($B63,'DB New Orders'!$A$1:$S$1,0),0)</f>
        <v>2</v>
      </c>
      <c r="N63" s="20">
        <f>VLOOKUP(N$48,'DB New Orders'!$A:$S,MATCH($B63,'DB New Orders'!$A$1:$S$1,0),0)</f>
        <v>6</v>
      </c>
      <c r="O63" s="20">
        <f>VLOOKUP(O$48,'DB New Orders'!$A:$S,MATCH($B63,'DB New Orders'!$A$1:$S$1,0),0)</f>
        <v>5</v>
      </c>
      <c r="P63" s="20">
        <f>VLOOKUP(P$48,'DB New Orders'!$A:$S,MATCH($B63,'DB New Orders'!$A$1:$S$1,0),0)</f>
        <v>11</v>
      </c>
      <c r="Q63" s="20">
        <f>VLOOKUP(Q$48,'DB New Orders'!$A:$S,MATCH($B63,'DB New Orders'!$A$1:$S$1,0),0)</f>
        <v>14</v>
      </c>
      <c r="R63" s="20">
        <f>VLOOKUP(R$48,'DB New Orders'!$A:$S,MATCH($B63,'DB New Orders'!$A$1:$S$1,0),0)</f>
        <v>16</v>
      </c>
      <c r="S63" s="20">
        <f>VLOOKUP(S$48,'DB New Orders'!$A:$S,MATCH($B63,'DB New Orders'!$A$1:$S$1,0),0)</f>
        <v>17</v>
      </c>
      <c r="T63" s="20">
        <f>VLOOKUP(T$48,'DB New Orders'!$A:$S,MATCH($B63,'DB New Orders'!$A$1:$S$1,0),0)</f>
        <v>12</v>
      </c>
      <c r="U63" s="20">
        <f>VLOOKUP(U$48,'DB New Orders'!$A:$S,MATCH($B63,'DB New Orders'!$A$1:$S$1,0),0)</f>
        <v>15</v>
      </c>
      <c r="V63" s="20">
        <f>VLOOKUP(V$48,'DB New Orders'!$A:$S,MATCH($B63,'DB New Orders'!$A$1:$S$1,0),0)</f>
        <v>-1</v>
      </c>
      <c r="W63" s="20">
        <f>VLOOKUP(W$48,'DB New Orders'!$A:$S,MATCH($B63,'DB New Orders'!$A$1:$S$1,0),0)</f>
        <v>1</v>
      </c>
      <c r="X63" s="20">
        <f>VLOOKUP(X$48,'DB New Orders'!$A:$S,MATCH($B63,'DB New Orders'!$A$1:$S$1,0),0)</f>
        <v>6</v>
      </c>
      <c r="Y63" s="20">
        <f>VLOOKUP(Y$48,'DB New Orders'!$A:$S,MATCH($B63,'DB New Orders'!$A$1:$S$1,0),0)</f>
        <v>14</v>
      </c>
      <c r="Z63" s="20">
        <f>VLOOKUP(Z$48,'DB New Orders'!$A:$S,MATCH($B63,'DB New Orders'!$A$1:$S$1,0),0)</f>
        <v>11</v>
      </c>
      <c r="AA63" s="20">
        <f>VLOOKUP(AA$48,'DB New Orders'!$A:$S,MATCH($B63,'DB New Orders'!$A$1:$S$1,0),0)</f>
        <v>-1</v>
      </c>
      <c r="AB63" s="20">
        <f>VLOOKUP(AB$48,'DB New Orders'!$A:$S,MATCH($B63,'DB New Orders'!$A$1:$S$1,0),0)</f>
        <v>3</v>
      </c>
      <c r="AC63" s="20">
        <f>VLOOKUP(AC$48,'DB New Orders'!$A:$S,MATCH($B63,'DB New Orders'!$A$1:$S$1,0),0)</f>
        <v>13</v>
      </c>
      <c r="AD63" s="20">
        <f>VLOOKUP(AD$48,'DB New Orders'!$A:$S,MATCH($B63,'DB New Orders'!$A$1:$S$1,0),0)</f>
        <v>4</v>
      </c>
      <c r="AE63" s="20">
        <f>VLOOKUP(AE$48,'DB New Orders'!$A:$S,MATCH($B63,'DB New Orders'!$A$1:$S$1,0),0)</f>
        <v>7</v>
      </c>
      <c r="AF63" s="20">
        <f>VLOOKUP(AF$48,'DB New Orders'!$A:$S,MATCH($B63,'DB New Orders'!$A$1:$S$1,0),0)</f>
        <v>4</v>
      </c>
      <c r="AG63" s="20">
        <f>VLOOKUP(AG$48,'DB New Orders'!$A:$S,MATCH($B63,'DB New Orders'!$A$1:$S$1,0),0)</f>
        <v>-1</v>
      </c>
      <c r="AH63" s="20">
        <f>VLOOKUP(AH$48,'DB New Orders'!$A:$S,MATCH($B63,'DB New Orders'!$A$1:$S$1,0),0)</f>
        <v>6</v>
      </c>
      <c r="AI63" s="20">
        <f>VLOOKUP(AI$48,'DB New Orders'!$A:$S,MATCH($B63,'DB New Orders'!$A$1:$S$1,0),0)</f>
        <v>6</v>
      </c>
      <c r="AJ63" s="20">
        <f>VLOOKUP(AJ$48,'DB New Orders'!$A:$S,MATCH($B63,'DB New Orders'!$A$1:$S$1,0),0)</f>
        <v>-1</v>
      </c>
      <c r="AK63" s="20">
        <f>VLOOKUP(AK$48,'DB New Orders'!$A:$S,MATCH($B63,'DB New Orders'!$A$1:$S$1,0),0)</f>
        <v>-3</v>
      </c>
      <c r="AM63" s="20">
        <f t="shared" si="6"/>
        <v>-2</v>
      </c>
      <c r="AN63" s="32">
        <f t="shared" si="7"/>
        <v>0.66666666666666663</v>
      </c>
      <c r="AO63" s="32">
        <f t="shared" si="8"/>
        <v>1.8333333333333333</v>
      </c>
    </row>
    <row r="64" spans="2:41" x14ac:dyDescent="0.35">
      <c r="B64" s="3" t="s">
        <v>39</v>
      </c>
      <c r="C64" s="20">
        <f>VLOOKUP(C$48,'DB New Orders'!$A:$S,MATCH($B64,'DB New Orders'!$A$1:$S$1,0),0)</f>
        <v>7</v>
      </c>
      <c r="D64" s="20">
        <f>VLOOKUP(D$48,'DB New Orders'!$A:$S,MATCH($B64,'DB New Orders'!$A$1:$S$1,0),0)</f>
        <v>8</v>
      </c>
      <c r="E64" s="20">
        <f>VLOOKUP(E$48,'DB New Orders'!$A:$S,MATCH($B64,'DB New Orders'!$A$1:$S$1,0),0)</f>
        <v>2</v>
      </c>
      <c r="F64" s="20">
        <f>VLOOKUP(F$48,'DB New Orders'!$A:$S,MATCH($B64,'DB New Orders'!$A$1:$S$1,0),0)</f>
        <v>2</v>
      </c>
      <c r="G64" s="20">
        <f>VLOOKUP(G$48,'DB New Orders'!$A:$S,MATCH($B64,'DB New Orders'!$A$1:$S$1,0),0)</f>
        <v>-1</v>
      </c>
      <c r="H64" s="20">
        <f>VLOOKUP(H$48,'DB New Orders'!$A:$S,MATCH($B64,'DB New Orders'!$A$1:$S$1,0),0)</f>
        <v>0</v>
      </c>
      <c r="I64" s="20">
        <f>VLOOKUP(I$48,'DB New Orders'!$A:$S,MATCH($B64,'DB New Orders'!$A$1:$S$1,0),0)</f>
        <v>6</v>
      </c>
      <c r="J64" s="20">
        <f>VLOOKUP(J$48,'DB New Orders'!$A:$S,MATCH($B64,'DB New Orders'!$A$1:$S$1,0),0)</f>
        <v>10</v>
      </c>
      <c r="K64" s="20">
        <f>VLOOKUP(K$48,'DB New Orders'!$A:$S,MATCH($B64,'DB New Orders'!$A$1:$S$1,0),0)</f>
        <v>3</v>
      </c>
      <c r="L64" s="20">
        <f>VLOOKUP(L$48,'DB New Orders'!$A:$S,MATCH($B64,'DB New Orders'!$A$1:$S$1,0),0)</f>
        <v>-1</v>
      </c>
      <c r="M64" s="20">
        <f>VLOOKUP(M$48,'DB New Orders'!$A:$S,MATCH($B64,'DB New Orders'!$A$1:$S$1,0),0)</f>
        <v>1</v>
      </c>
      <c r="N64" s="20">
        <f>VLOOKUP(N$48,'DB New Orders'!$A:$S,MATCH($B64,'DB New Orders'!$A$1:$S$1,0),0)</f>
        <v>2</v>
      </c>
      <c r="O64" s="20">
        <f>VLOOKUP(O$48,'DB New Orders'!$A:$S,MATCH($B64,'DB New Orders'!$A$1:$S$1,0),0)</f>
        <v>0</v>
      </c>
      <c r="P64" s="20">
        <f>VLOOKUP(P$48,'DB New Orders'!$A:$S,MATCH($B64,'DB New Orders'!$A$1:$S$1,0),0)</f>
        <v>8</v>
      </c>
      <c r="Q64" s="20">
        <f>VLOOKUP(Q$48,'DB New Orders'!$A:$S,MATCH($B64,'DB New Orders'!$A$1:$S$1,0),0)</f>
        <v>11</v>
      </c>
      <c r="R64" s="20">
        <f>VLOOKUP(R$48,'DB New Orders'!$A:$S,MATCH($B64,'DB New Orders'!$A$1:$S$1,0),0)</f>
        <v>11</v>
      </c>
      <c r="S64" s="20">
        <f>VLOOKUP(S$48,'DB New Orders'!$A:$S,MATCH($B64,'DB New Orders'!$A$1:$S$1,0),0)</f>
        <v>1</v>
      </c>
      <c r="T64" s="20">
        <f>VLOOKUP(T$48,'DB New Orders'!$A:$S,MATCH($B64,'DB New Orders'!$A$1:$S$1,0),0)</f>
        <v>4</v>
      </c>
      <c r="U64" s="20">
        <f>VLOOKUP(U$48,'DB New Orders'!$A:$S,MATCH($B64,'DB New Orders'!$A$1:$S$1,0),0)</f>
        <v>11</v>
      </c>
      <c r="V64" s="20">
        <f>VLOOKUP(V$48,'DB New Orders'!$A:$S,MATCH($B64,'DB New Orders'!$A$1:$S$1,0),0)</f>
        <v>4</v>
      </c>
      <c r="W64" s="20">
        <f>VLOOKUP(W$48,'DB New Orders'!$A:$S,MATCH($B64,'DB New Orders'!$A$1:$S$1,0),0)</f>
        <v>9</v>
      </c>
      <c r="X64" s="20">
        <f>VLOOKUP(X$48,'DB New Orders'!$A:$S,MATCH($B64,'DB New Orders'!$A$1:$S$1,0),0)</f>
        <v>1</v>
      </c>
      <c r="Y64" s="20">
        <f>VLOOKUP(Y$48,'DB New Orders'!$A:$S,MATCH($B64,'DB New Orders'!$A$1:$S$1,0),0)</f>
        <v>11</v>
      </c>
      <c r="Z64" s="20">
        <f>VLOOKUP(Z$48,'DB New Orders'!$A:$S,MATCH($B64,'DB New Orders'!$A$1:$S$1,0),0)</f>
        <v>1</v>
      </c>
      <c r="AA64" s="20">
        <f>VLOOKUP(AA$48,'DB New Orders'!$A:$S,MATCH($B64,'DB New Orders'!$A$1:$S$1,0),0)</f>
        <v>8</v>
      </c>
      <c r="AB64" s="20">
        <f>VLOOKUP(AB$48,'DB New Orders'!$A:$S,MATCH($B64,'DB New Orders'!$A$1:$S$1,0),0)</f>
        <v>4</v>
      </c>
      <c r="AC64" s="20">
        <f>VLOOKUP(AC$48,'DB New Orders'!$A:$S,MATCH($B64,'DB New Orders'!$A$1:$S$1,0),0)</f>
        <v>2</v>
      </c>
      <c r="AD64" s="20">
        <f>VLOOKUP(AD$48,'DB New Orders'!$A:$S,MATCH($B64,'DB New Orders'!$A$1:$S$1,0),0)</f>
        <v>6</v>
      </c>
      <c r="AE64" s="20">
        <f>VLOOKUP(AE$48,'DB New Orders'!$A:$S,MATCH($B64,'DB New Orders'!$A$1:$S$1,0),0)</f>
        <v>1</v>
      </c>
      <c r="AF64" s="20">
        <f>VLOOKUP(AF$48,'DB New Orders'!$A:$S,MATCH($B64,'DB New Orders'!$A$1:$S$1,0),0)</f>
        <v>1</v>
      </c>
      <c r="AG64" s="20">
        <f>VLOOKUP(AG$48,'DB New Orders'!$A:$S,MATCH($B64,'DB New Orders'!$A$1:$S$1,0),0)</f>
        <v>8</v>
      </c>
      <c r="AH64" s="20">
        <f>VLOOKUP(AH$48,'DB New Orders'!$A:$S,MATCH($B64,'DB New Orders'!$A$1:$S$1,0),0)</f>
        <v>7</v>
      </c>
      <c r="AI64" s="20">
        <f>VLOOKUP(AI$48,'DB New Orders'!$A:$S,MATCH($B64,'DB New Orders'!$A$1:$S$1,0),0)</f>
        <v>7</v>
      </c>
      <c r="AJ64" s="20">
        <f>VLOOKUP(AJ$48,'DB New Orders'!$A:$S,MATCH($B64,'DB New Orders'!$A$1:$S$1,0),0)</f>
        <v>0</v>
      </c>
      <c r="AK64" s="20">
        <f>VLOOKUP(AK$48,'DB New Orders'!$A:$S,MATCH($B64,'DB New Orders'!$A$1:$S$1,0),0)</f>
        <v>6</v>
      </c>
      <c r="AM64" s="20">
        <f t="shared" si="6"/>
        <v>6</v>
      </c>
      <c r="AN64" s="32">
        <f t="shared" si="7"/>
        <v>4.333333333333333</v>
      </c>
      <c r="AO64" s="32">
        <f t="shared" si="8"/>
        <v>4.833333333333333</v>
      </c>
    </row>
    <row r="65" spans="2:41" x14ac:dyDescent="0.35">
      <c r="B65" s="3" t="s">
        <v>35</v>
      </c>
      <c r="C65" s="20">
        <f>VLOOKUP(C$48,'DB New Orders'!$A:$S,MATCH($B65,'DB New Orders'!$A$1:$S$1,0),0)</f>
        <v>0</v>
      </c>
      <c r="D65" s="20">
        <f>VLOOKUP(D$48,'DB New Orders'!$A:$S,MATCH($B65,'DB New Orders'!$A$1:$S$1,0),0)</f>
        <v>2</v>
      </c>
      <c r="E65" s="20">
        <f>VLOOKUP(E$48,'DB New Orders'!$A:$S,MATCH($B65,'DB New Orders'!$A$1:$S$1,0),0)</f>
        <v>-1</v>
      </c>
      <c r="F65" s="20">
        <f>VLOOKUP(F$48,'DB New Orders'!$A:$S,MATCH($B65,'DB New Orders'!$A$1:$S$1,0),0)</f>
        <v>-5</v>
      </c>
      <c r="G65" s="20">
        <f>VLOOKUP(G$48,'DB New Orders'!$A:$S,MATCH($B65,'DB New Orders'!$A$1:$S$1,0),0)</f>
        <v>0</v>
      </c>
      <c r="H65" s="20">
        <f>VLOOKUP(H$48,'DB New Orders'!$A:$S,MATCH($B65,'DB New Orders'!$A$1:$S$1,0),0)</f>
        <v>4</v>
      </c>
      <c r="I65" s="20">
        <f>VLOOKUP(I$48,'DB New Orders'!$A:$S,MATCH($B65,'DB New Orders'!$A$1:$S$1,0),0)</f>
        <v>0</v>
      </c>
      <c r="J65" s="20">
        <f>VLOOKUP(J$48,'DB New Orders'!$A:$S,MATCH($B65,'DB New Orders'!$A$1:$S$1,0),0)</f>
        <v>-2</v>
      </c>
      <c r="K65" s="20">
        <f>VLOOKUP(K$48,'DB New Orders'!$A:$S,MATCH($B65,'DB New Orders'!$A$1:$S$1,0),0)</f>
        <v>1</v>
      </c>
      <c r="L65" s="20">
        <f>VLOOKUP(L$48,'DB New Orders'!$A:$S,MATCH($B65,'DB New Orders'!$A$1:$S$1,0),0)</f>
        <v>1</v>
      </c>
      <c r="M65" s="20">
        <f>VLOOKUP(M$48,'DB New Orders'!$A:$S,MATCH($B65,'DB New Orders'!$A$1:$S$1,0),0)</f>
        <v>-1</v>
      </c>
      <c r="N65" s="20">
        <f>VLOOKUP(N$48,'DB New Orders'!$A:$S,MATCH($B65,'DB New Orders'!$A$1:$S$1,0),0)</f>
        <v>4</v>
      </c>
      <c r="O65" s="20">
        <f>VLOOKUP(O$48,'DB New Orders'!$A:$S,MATCH($B65,'DB New Orders'!$A$1:$S$1,0),0)</f>
        <v>2</v>
      </c>
      <c r="P65" s="20">
        <f>VLOOKUP(P$48,'DB New Orders'!$A:$S,MATCH($B65,'DB New Orders'!$A$1:$S$1,0),0)</f>
        <v>0</v>
      </c>
      <c r="Q65" s="20">
        <f>VLOOKUP(Q$48,'DB New Orders'!$A:$S,MATCH($B65,'DB New Orders'!$A$1:$S$1,0),0)</f>
        <v>2</v>
      </c>
      <c r="R65" s="20">
        <f>VLOOKUP(R$48,'DB New Orders'!$A:$S,MATCH($B65,'DB New Orders'!$A$1:$S$1,0),0)</f>
        <v>2</v>
      </c>
      <c r="S65" s="20">
        <f>VLOOKUP(S$48,'DB New Orders'!$A:$S,MATCH($B65,'DB New Orders'!$A$1:$S$1,0),0)</f>
        <v>10</v>
      </c>
      <c r="T65" s="20">
        <f>VLOOKUP(T$48,'DB New Orders'!$A:$S,MATCH($B65,'DB New Orders'!$A$1:$S$1,0),0)</f>
        <v>6</v>
      </c>
      <c r="U65" s="20">
        <f>VLOOKUP(U$48,'DB New Orders'!$A:$S,MATCH($B65,'DB New Orders'!$A$1:$S$1,0),0)</f>
        <v>3</v>
      </c>
      <c r="V65" s="20">
        <f>VLOOKUP(V$48,'DB New Orders'!$A:$S,MATCH($B65,'DB New Orders'!$A$1:$S$1,0),0)</f>
        <v>13</v>
      </c>
      <c r="W65" s="20">
        <f>VLOOKUP(W$48,'DB New Orders'!$A:$S,MATCH($B65,'DB New Orders'!$A$1:$S$1,0),0)</f>
        <v>4</v>
      </c>
      <c r="X65" s="20">
        <f>VLOOKUP(X$48,'DB New Orders'!$A:$S,MATCH($B65,'DB New Orders'!$A$1:$S$1,0),0)</f>
        <v>11</v>
      </c>
      <c r="Y65" s="20">
        <f>VLOOKUP(Y$48,'DB New Orders'!$A:$S,MATCH($B65,'DB New Orders'!$A$1:$S$1,0),0)</f>
        <v>2</v>
      </c>
      <c r="Z65" s="20">
        <f>VLOOKUP(Z$48,'DB New Orders'!$A:$S,MATCH($B65,'DB New Orders'!$A$1:$S$1,0),0)</f>
        <v>0</v>
      </c>
      <c r="AA65" s="20">
        <f>VLOOKUP(AA$48,'DB New Orders'!$A:$S,MATCH($B65,'DB New Orders'!$A$1:$S$1,0),0)</f>
        <v>-2</v>
      </c>
      <c r="AB65" s="20">
        <f>VLOOKUP(AB$48,'DB New Orders'!$A:$S,MATCH($B65,'DB New Orders'!$A$1:$S$1,0),0)</f>
        <v>-1</v>
      </c>
      <c r="AC65" s="20">
        <f>VLOOKUP(AC$48,'DB New Orders'!$A:$S,MATCH($B65,'DB New Orders'!$A$1:$S$1,0),0)</f>
        <v>6</v>
      </c>
      <c r="AD65" s="20">
        <f>VLOOKUP(AD$48,'DB New Orders'!$A:$S,MATCH($B65,'DB New Orders'!$A$1:$S$1,0),0)</f>
        <v>0</v>
      </c>
      <c r="AE65" s="20">
        <f>VLOOKUP(AE$48,'DB New Orders'!$A:$S,MATCH($B65,'DB New Orders'!$A$1:$S$1,0),0)</f>
        <v>-1</v>
      </c>
      <c r="AF65" s="20">
        <f>VLOOKUP(AF$48,'DB New Orders'!$A:$S,MATCH($B65,'DB New Orders'!$A$1:$S$1,0),0)</f>
        <v>0</v>
      </c>
      <c r="AG65" s="20">
        <f>VLOOKUP(AG$48,'DB New Orders'!$A:$S,MATCH($B65,'DB New Orders'!$A$1:$S$1,0),0)</f>
        <v>-2</v>
      </c>
      <c r="AH65" s="20">
        <f>VLOOKUP(AH$48,'DB New Orders'!$A:$S,MATCH($B65,'DB New Orders'!$A$1:$S$1,0),0)</f>
        <v>10</v>
      </c>
      <c r="AI65" s="20">
        <f>VLOOKUP(AI$48,'DB New Orders'!$A:$S,MATCH($B65,'DB New Orders'!$A$1:$S$1,0),0)</f>
        <v>8</v>
      </c>
      <c r="AJ65" s="20">
        <f>VLOOKUP(AJ$48,'DB New Orders'!$A:$S,MATCH($B65,'DB New Orders'!$A$1:$S$1,0),0)</f>
        <v>12</v>
      </c>
      <c r="AK65" s="20">
        <f>VLOOKUP(AK$48,'DB New Orders'!$A:$S,MATCH($B65,'DB New Orders'!$A$1:$S$1,0),0)</f>
        <v>-2</v>
      </c>
      <c r="AM65" s="20">
        <f t="shared" si="6"/>
        <v>-14</v>
      </c>
      <c r="AN65" s="32">
        <f t="shared" si="7"/>
        <v>6</v>
      </c>
      <c r="AO65" s="32">
        <f t="shared" si="8"/>
        <v>4.333333333333333</v>
      </c>
    </row>
    <row r="66" spans="2:41" x14ac:dyDescent="0.35">
      <c r="B66" s="3" t="s">
        <v>20</v>
      </c>
      <c r="C66" s="20">
        <f>VLOOKUP(C$48,'DB New Orders'!$A:$S,MATCH($B66,'DB New Orders'!$A$1:$S$1,0),0)</f>
        <v>9</v>
      </c>
      <c r="D66" s="20">
        <f>VLOOKUP(D$48,'DB New Orders'!$A:$S,MATCH($B66,'DB New Orders'!$A$1:$S$1,0),0)</f>
        <v>14</v>
      </c>
      <c r="E66" s="20">
        <f>VLOOKUP(E$48,'DB New Orders'!$A:$S,MATCH($B66,'DB New Orders'!$A$1:$S$1,0),0)</f>
        <v>-2</v>
      </c>
      <c r="F66" s="20">
        <f>VLOOKUP(F$48,'DB New Orders'!$A:$S,MATCH($B66,'DB New Orders'!$A$1:$S$1,0),0)</f>
        <v>-3</v>
      </c>
      <c r="G66" s="20">
        <f>VLOOKUP(G$48,'DB New Orders'!$A:$S,MATCH($B66,'DB New Orders'!$A$1:$S$1,0),0)</f>
        <v>-11</v>
      </c>
      <c r="H66" s="20">
        <f>VLOOKUP(H$48,'DB New Orders'!$A:$S,MATCH($B66,'DB New Orders'!$A$1:$S$1,0),0)</f>
        <v>0</v>
      </c>
      <c r="I66" s="20">
        <f>VLOOKUP(I$48,'DB New Orders'!$A:$S,MATCH($B66,'DB New Orders'!$A$1:$S$1,0),0)</f>
        <v>4</v>
      </c>
      <c r="J66" s="20">
        <f>VLOOKUP(J$48,'DB New Orders'!$A:$S,MATCH($B66,'DB New Orders'!$A$1:$S$1,0),0)</f>
        <v>6</v>
      </c>
      <c r="K66" s="20">
        <f>VLOOKUP(K$48,'DB New Orders'!$A:$S,MATCH($B66,'DB New Orders'!$A$1:$S$1,0),0)</f>
        <v>8</v>
      </c>
      <c r="L66" s="20">
        <f>VLOOKUP(L$48,'DB New Orders'!$A:$S,MATCH($B66,'DB New Orders'!$A$1:$S$1,0),0)</f>
        <v>11</v>
      </c>
      <c r="M66" s="20">
        <f>VLOOKUP(M$48,'DB New Orders'!$A:$S,MATCH($B66,'DB New Orders'!$A$1:$S$1,0),0)</f>
        <v>12</v>
      </c>
      <c r="N66" s="20">
        <f>VLOOKUP(N$48,'DB New Orders'!$A:$S,MATCH($B66,'DB New Orders'!$A$1:$S$1,0),0)</f>
        <v>10</v>
      </c>
      <c r="O66" s="20">
        <f>VLOOKUP(O$48,'DB New Orders'!$A:$S,MATCH($B66,'DB New Orders'!$A$1:$S$1,0),0)</f>
        <v>0</v>
      </c>
      <c r="P66" s="20">
        <f>VLOOKUP(P$48,'DB New Orders'!$A:$S,MATCH($B66,'DB New Orders'!$A$1:$S$1,0),0)</f>
        <v>5</v>
      </c>
      <c r="Q66" s="20">
        <f>VLOOKUP(Q$48,'DB New Orders'!$A:$S,MATCH($B66,'DB New Orders'!$A$1:$S$1,0),0)</f>
        <v>15</v>
      </c>
      <c r="R66" s="20">
        <f>VLOOKUP(R$48,'DB New Orders'!$A:$S,MATCH($B66,'DB New Orders'!$A$1:$S$1,0),0)</f>
        <v>15</v>
      </c>
      <c r="S66" s="20">
        <f>VLOOKUP(S$48,'DB New Orders'!$A:$S,MATCH($B66,'DB New Orders'!$A$1:$S$1,0),0)</f>
        <v>9</v>
      </c>
      <c r="T66" s="20">
        <f>VLOOKUP(T$48,'DB New Orders'!$A:$S,MATCH($B66,'DB New Orders'!$A$1:$S$1,0),0)</f>
        <v>15</v>
      </c>
      <c r="U66" s="20">
        <f>VLOOKUP(U$48,'DB New Orders'!$A:$S,MATCH($B66,'DB New Orders'!$A$1:$S$1,0),0)</f>
        <v>14</v>
      </c>
      <c r="V66" s="20">
        <f>VLOOKUP(V$48,'DB New Orders'!$A:$S,MATCH($B66,'DB New Orders'!$A$1:$S$1,0),0)</f>
        <v>0</v>
      </c>
      <c r="W66" s="20">
        <f>VLOOKUP(W$48,'DB New Orders'!$A:$S,MATCH($B66,'DB New Orders'!$A$1:$S$1,0),0)</f>
        <v>7</v>
      </c>
      <c r="X66" s="20">
        <f>VLOOKUP(X$48,'DB New Orders'!$A:$S,MATCH($B66,'DB New Orders'!$A$1:$S$1,0),0)</f>
        <v>10</v>
      </c>
      <c r="Y66" s="20">
        <f>VLOOKUP(Y$48,'DB New Orders'!$A:$S,MATCH($B66,'DB New Orders'!$A$1:$S$1,0),0)</f>
        <v>16</v>
      </c>
      <c r="Z66" s="20">
        <f>VLOOKUP(Z$48,'DB New Orders'!$A:$S,MATCH($B66,'DB New Orders'!$A$1:$S$1,0),0)</f>
        <v>9</v>
      </c>
      <c r="AA66" s="20">
        <f>VLOOKUP(AA$48,'DB New Orders'!$A:$S,MATCH($B66,'DB New Orders'!$A$1:$S$1,0),0)</f>
        <v>6</v>
      </c>
      <c r="AB66" s="20">
        <f>VLOOKUP(AB$48,'DB New Orders'!$A:$S,MATCH($B66,'DB New Orders'!$A$1:$S$1,0),0)</f>
        <v>11</v>
      </c>
      <c r="AC66" s="20">
        <f>VLOOKUP(AC$48,'DB New Orders'!$A:$S,MATCH($B66,'DB New Orders'!$A$1:$S$1,0),0)</f>
        <v>12</v>
      </c>
      <c r="AD66" s="20">
        <f>VLOOKUP(AD$48,'DB New Orders'!$A:$S,MATCH($B66,'DB New Orders'!$A$1:$S$1,0),0)</f>
        <v>12</v>
      </c>
      <c r="AE66" s="20">
        <f>VLOOKUP(AE$48,'DB New Orders'!$A:$S,MATCH($B66,'DB New Orders'!$A$1:$S$1,0),0)</f>
        <v>11</v>
      </c>
      <c r="AF66" s="20">
        <f>VLOOKUP(AF$48,'DB New Orders'!$A:$S,MATCH($B66,'DB New Orders'!$A$1:$S$1,0),0)</f>
        <v>11</v>
      </c>
      <c r="AG66" s="20">
        <f>VLOOKUP(AG$48,'DB New Orders'!$A:$S,MATCH($B66,'DB New Orders'!$A$1:$S$1,0),0)</f>
        <v>4</v>
      </c>
      <c r="AH66" s="20">
        <f>VLOOKUP(AH$48,'DB New Orders'!$A:$S,MATCH($B66,'DB New Orders'!$A$1:$S$1,0),0)</f>
        <v>3</v>
      </c>
      <c r="AI66" s="20">
        <f>VLOOKUP(AI$48,'DB New Orders'!$A:$S,MATCH($B66,'DB New Orders'!$A$1:$S$1,0),0)</f>
        <v>0</v>
      </c>
      <c r="AJ66" s="20">
        <f>VLOOKUP(AJ$48,'DB New Orders'!$A:$S,MATCH($B66,'DB New Orders'!$A$1:$S$1,0),0)</f>
        <v>0</v>
      </c>
      <c r="AK66" s="20">
        <f>VLOOKUP(AK$48,'DB New Orders'!$A:$S,MATCH($B66,'DB New Orders'!$A$1:$S$1,0),0)</f>
        <v>-4</v>
      </c>
      <c r="AM66" s="20">
        <f t="shared" si="6"/>
        <v>-4</v>
      </c>
      <c r="AN66" s="32">
        <f t="shared" si="7"/>
        <v>-1.3333333333333333</v>
      </c>
      <c r="AO66" s="32">
        <f t="shared" si="8"/>
        <v>2.3333333333333335</v>
      </c>
    </row>
    <row r="67" spans="2:41" x14ac:dyDescent="0.35">
      <c r="B67" s="4" t="s">
        <v>33</v>
      </c>
      <c r="C67" s="20">
        <f>VLOOKUP(C$48,'DB New Orders'!$A:$S,MATCH($B67,'DB New Orders'!$A$1:$S$1,0),0)</f>
        <v>3</v>
      </c>
      <c r="D67" s="20">
        <f>VLOOKUP(D$48,'DB New Orders'!$A:$S,MATCH($B67,'DB New Orders'!$A$1:$S$1,0),0)</f>
        <v>4</v>
      </c>
      <c r="E67" s="20">
        <f>VLOOKUP(E$48,'DB New Orders'!$A:$S,MATCH($B67,'DB New Orders'!$A$1:$S$1,0),0)</f>
        <v>-6</v>
      </c>
      <c r="F67" s="20">
        <f>VLOOKUP(F$48,'DB New Orders'!$A:$S,MATCH($B67,'DB New Orders'!$A$1:$S$1,0),0)</f>
        <v>-9</v>
      </c>
      <c r="G67" s="20">
        <f>VLOOKUP(G$48,'DB New Orders'!$A:$S,MATCH($B67,'DB New Orders'!$A$1:$S$1,0),0)</f>
        <v>-12</v>
      </c>
      <c r="H67" s="20">
        <f>VLOOKUP(H$48,'DB New Orders'!$A:$S,MATCH($B67,'DB New Orders'!$A$1:$S$1,0),0)</f>
        <v>3</v>
      </c>
      <c r="I67" s="20">
        <f>VLOOKUP(I$48,'DB New Orders'!$A:$S,MATCH($B67,'DB New Orders'!$A$1:$S$1,0),0)</f>
        <v>8</v>
      </c>
      <c r="J67" s="20">
        <f>VLOOKUP(J$48,'DB New Orders'!$A:$S,MATCH($B67,'DB New Orders'!$A$1:$S$1,0),0)</f>
        <v>7</v>
      </c>
      <c r="K67" s="20">
        <f>VLOOKUP(K$48,'DB New Orders'!$A:$S,MATCH($B67,'DB New Orders'!$A$1:$S$1,0),0)</f>
        <v>9</v>
      </c>
      <c r="L67" s="20">
        <f>VLOOKUP(L$48,'DB New Orders'!$A:$S,MATCH($B67,'DB New Orders'!$A$1:$S$1,0),0)</f>
        <v>10</v>
      </c>
      <c r="M67" s="20">
        <f>VLOOKUP(M$48,'DB New Orders'!$A:$S,MATCH($B67,'DB New Orders'!$A$1:$S$1,0),0)</f>
        <v>3</v>
      </c>
      <c r="N67" s="20">
        <f>VLOOKUP(N$48,'DB New Orders'!$A:$S,MATCH($B67,'DB New Orders'!$A$1:$S$1,0),0)</f>
        <v>0</v>
      </c>
      <c r="O67" s="20">
        <f>VLOOKUP(O$48,'DB New Orders'!$A:$S,MATCH($B67,'DB New Orders'!$A$1:$S$1,0),0)</f>
        <v>-1</v>
      </c>
      <c r="P67" s="20">
        <f>VLOOKUP(P$48,'DB New Orders'!$A:$S,MATCH($B67,'DB New Orders'!$A$1:$S$1,0),0)</f>
        <v>3</v>
      </c>
      <c r="Q67" s="20">
        <f>VLOOKUP(Q$48,'DB New Orders'!$A:$S,MATCH($B67,'DB New Orders'!$A$1:$S$1,0),0)</f>
        <v>1</v>
      </c>
      <c r="R67" s="20">
        <f>VLOOKUP(R$48,'DB New Orders'!$A:$S,MATCH($B67,'DB New Orders'!$A$1:$S$1,0),0)</f>
        <v>6</v>
      </c>
      <c r="S67" s="20">
        <f>VLOOKUP(S$48,'DB New Orders'!$A:$S,MATCH($B67,'DB New Orders'!$A$1:$S$1,0),0)</f>
        <v>7</v>
      </c>
      <c r="T67" s="20">
        <f>VLOOKUP(T$48,'DB New Orders'!$A:$S,MATCH($B67,'DB New Orders'!$A$1:$S$1,0),0)</f>
        <v>3</v>
      </c>
      <c r="U67" s="20">
        <f>VLOOKUP(U$48,'DB New Orders'!$A:$S,MATCH($B67,'DB New Orders'!$A$1:$S$1,0),0)</f>
        <v>4</v>
      </c>
      <c r="V67" s="20">
        <f>VLOOKUP(V$48,'DB New Orders'!$A:$S,MATCH($B67,'DB New Orders'!$A$1:$S$1,0),0)</f>
        <v>10</v>
      </c>
      <c r="W67" s="20">
        <f>VLOOKUP(W$48,'DB New Orders'!$A:$S,MATCH($B67,'DB New Orders'!$A$1:$S$1,0),0)</f>
        <v>13</v>
      </c>
      <c r="X67" s="20">
        <f>VLOOKUP(X$48,'DB New Orders'!$A:$S,MATCH($B67,'DB New Orders'!$A$1:$S$1,0),0)</f>
        <v>4</v>
      </c>
      <c r="Y67" s="20">
        <f>VLOOKUP(Y$48,'DB New Orders'!$A:$S,MATCH($B67,'DB New Orders'!$A$1:$S$1,0),0)</f>
        <v>1</v>
      </c>
      <c r="Z67" s="20">
        <f>VLOOKUP(Z$48,'DB New Orders'!$A:$S,MATCH($B67,'DB New Orders'!$A$1:$S$1,0),0)</f>
        <v>-1</v>
      </c>
      <c r="AA67" s="20">
        <f>VLOOKUP(AA$48,'DB New Orders'!$A:$S,MATCH($B67,'DB New Orders'!$A$1:$S$1,0),0)</f>
        <v>1</v>
      </c>
      <c r="AB67" s="20">
        <f>VLOOKUP(AB$48,'DB New Orders'!$A:$S,MATCH($B67,'DB New Orders'!$A$1:$S$1,0),0)</f>
        <v>9</v>
      </c>
      <c r="AC67" s="20">
        <f>VLOOKUP(AC$48,'DB New Orders'!$A:$S,MATCH($B67,'DB New Orders'!$A$1:$S$1,0),0)</f>
        <v>14</v>
      </c>
      <c r="AD67" s="20">
        <f>VLOOKUP(AD$48,'DB New Orders'!$A:$S,MATCH($B67,'DB New Orders'!$A$1:$S$1,0),0)</f>
        <v>9</v>
      </c>
      <c r="AE67" s="20">
        <f>VLOOKUP(AE$48,'DB New Orders'!$A:$S,MATCH($B67,'DB New Orders'!$A$1:$S$1,0),0)</f>
        <v>13</v>
      </c>
      <c r="AF67" s="20">
        <f>VLOOKUP(AF$48,'DB New Orders'!$A:$S,MATCH($B67,'DB New Orders'!$A$1:$S$1,0),0)</f>
        <v>-1</v>
      </c>
      <c r="AG67" s="20">
        <f>VLOOKUP(AG$48,'DB New Orders'!$A:$S,MATCH($B67,'DB New Orders'!$A$1:$S$1,0),0)</f>
        <v>9</v>
      </c>
      <c r="AH67" s="20">
        <f>VLOOKUP(AH$48,'DB New Orders'!$A:$S,MATCH($B67,'DB New Orders'!$A$1:$S$1,0),0)</f>
        <v>12</v>
      </c>
      <c r="AI67" s="20">
        <f>VLOOKUP(AI$48,'DB New Orders'!$A:$S,MATCH($B67,'DB New Orders'!$A$1:$S$1,0),0)</f>
        <v>10</v>
      </c>
      <c r="AJ67" s="20">
        <f>VLOOKUP(AJ$48,'DB New Orders'!$A:$S,MATCH($B67,'DB New Orders'!$A$1:$S$1,0),0)</f>
        <v>2</v>
      </c>
      <c r="AK67" s="20">
        <f>VLOOKUP(AK$48,'DB New Orders'!$A:$S,MATCH($B67,'DB New Orders'!$A$1:$S$1,0),0)</f>
        <v>-1</v>
      </c>
      <c r="AM67" s="20">
        <f t="shared" si="6"/>
        <v>-3</v>
      </c>
      <c r="AN67" s="32">
        <f t="shared" si="7"/>
        <v>3.6666666666666665</v>
      </c>
      <c r="AO67" s="32">
        <f t="shared" si="8"/>
        <v>5.166666666666667</v>
      </c>
    </row>
    <row r="68" spans="2:41" x14ac:dyDescent="0.3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row>
  </sheetData>
  <mergeCells count="14">
    <mergeCell ref="B48:B49"/>
    <mergeCell ref="AM48:AM49"/>
    <mergeCell ref="AN48:AN49"/>
    <mergeCell ref="AO48:AO49"/>
    <mergeCell ref="AM1:AO1"/>
    <mergeCell ref="AN3:AO3"/>
    <mergeCell ref="B4:B5"/>
    <mergeCell ref="AM4:AM5"/>
    <mergeCell ref="AN4:AN5"/>
    <mergeCell ref="AO4:AO5"/>
    <mergeCell ref="B26:B27"/>
    <mergeCell ref="AM26:AM27"/>
    <mergeCell ref="AN26:AN27"/>
    <mergeCell ref="AO26:AO27"/>
  </mergeCells>
  <conditionalFormatting sqref="AM6:AM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N6:AN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O6:AO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K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K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K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M28:AM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N28:AN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O28:AO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M50:AM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N50:AN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O50:AO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10"/>
  <sheetViews>
    <sheetView zoomScale="120" zoomScaleNormal="120" workbookViewId="0">
      <pane xSplit="1" ySplit="5" topLeftCell="B274" activePane="bottomRight" state="frozen"/>
      <selection pane="topRight" activeCell="B1" sqref="B1"/>
      <selection pane="bottomLeft" activeCell="A6" sqref="A6"/>
      <selection pane="bottomRight" activeCell="U306" sqref="U306"/>
    </sheetView>
  </sheetViews>
  <sheetFormatPr defaultColWidth="9.1796875" defaultRowHeight="14.5" x14ac:dyDescent="0.35"/>
  <cols>
    <col min="1" max="1" width="12" style="63" customWidth="1"/>
    <col min="2" max="2" width="13.1796875" style="63" customWidth="1"/>
    <col min="3" max="9" width="11.453125" style="63" customWidth="1"/>
    <col min="10" max="10" width="12.1796875" style="63" customWidth="1"/>
    <col min="11" max="11" width="11.453125" style="63" customWidth="1"/>
    <col min="12" max="12" width="15.36328125" style="63" customWidth="1"/>
    <col min="13" max="34" width="9.1796875" style="63" customWidth="1"/>
    <col min="35" max="16384" width="9.1796875" style="63"/>
  </cols>
  <sheetData>
    <row r="1" spans="1:12" x14ac:dyDescent="0.35">
      <c r="A1" s="26"/>
      <c r="B1" s="26"/>
      <c r="J1" s="43"/>
    </row>
    <row r="2" spans="1:12" x14ac:dyDescent="0.35">
      <c r="C2" s="43"/>
      <c r="D2" s="43"/>
    </row>
    <row r="3" spans="1:12" x14ac:dyDescent="0.35">
      <c r="C3" s="43"/>
      <c r="D3" s="43"/>
    </row>
    <row r="4" spans="1:12" ht="16" customHeight="1" thickBot="1" x14ac:dyDescent="0.4">
      <c r="C4" s="43"/>
      <c r="D4" s="43"/>
    </row>
    <row r="5" spans="1:12" ht="39" customHeight="1" thickBot="1" x14ac:dyDescent="0.4">
      <c r="A5" s="44" t="s">
        <v>77</v>
      </c>
      <c r="B5" s="45" t="s">
        <v>19</v>
      </c>
      <c r="C5" s="45" t="s">
        <v>22</v>
      </c>
      <c r="D5" s="45" t="s">
        <v>25</v>
      </c>
      <c r="E5" s="45" t="s">
        <v>27</v>
      </c>
      <c r="F5" s="45" t="s">
        <v>29</v>
      </c>
      <c r="G5" s="45" t="s">
        <v>30</v>
      </c>
      <c r="H5" s="45" t="s">
        <v>32</v>
      </c>
      <c r="I5" s="45" t="s">
        <v>34</v>
      </c>
      <c r="J5" s="45" t="s">
        <v>36</v>
      </c>
      <c r="K5" s="45" t="s">
        <v>38</v>
      </c>
      <c r="L5" s="46" t="s">
        <v>16</v>
      </c>
    </row>
    <row r="6" spans="1:12" ht="14.25" customHeight="1" x14ac:dyDescent="0.35">
      <c r="A6" s="47">
        <v>35612</v>
      </c>
      <c r="B6" s="48" t="str">
        <f>IF(VLOOKUP(Table91213[[#This Row],[Date]],'DB Details'!$A:$Q,2)=0,"",VLOOKUP(Table91213[[#This Row],[Date]],'DB Details'!$A:$Q,2))</f>
        <v/>
      </c>
      <c r="C6" s="49">
        <f>IF(VLOOKUP(Table91213[[#This Row],[Date]],'DB Details'!$A:$Q,3)=0,"",VLOOKUP(Table91213[[#This Row],[Date]],'DB Details'!$A:$Q,3))</f>
        <v>55.6</v>
      </c>
      <c r="D6" s="49">
        <f>IF(VLOOKUP(Table91213[[#This Row],[Date]],'DB Details'!$A:$Q,4)=0,"",VLOOKUP(Table91213[[#This Row],[Date]],'DB Details'!$A:$Q,4))</f>
        <v>49</v>
      </c>
      <c r="E6" s="50">
        <f>IF(VLOOKUP(Table91213[[#This Row],[Date]],'DB Details'!$A:$Q,5)=0,"",VLOOKUP(Table91213[[#This Row],[Date]],'DB Details'!$A:$Q,5))</f>
        <v>50.9</v>
      </c>
      <c r="F6" s="49">
        <f>IF(VLOOKUP(Table91213[[#This Row],[Date]],'DB Details'!$A:$Q,6)=0,"",VLOOKUP(Table91213[[#This Row],[Date]],'DB Details'!$A:$Q,6))</f>
        <v>58.6</v>
      </c>
      <c r="G6" s="50" t="str">
        <f>IF(VLOOKUP(Table91213[[#This Row],[Date]],'DB Details'!$A:$Q,7)=0,"",VLOOKUP(Table91213[[#This Row],[Date]],'DB Details'!$A:$Q,7))</f>
        <v/>
      </c>
      <c r="H6" s="50">
        <f>IF(VLOOKUP(Table91213[[#This Row],[Date]],'DB Details'!$A:$Q,8)=0,"",VLOOKUP(Table91213[[#This Row],[Date]],'DB Details'!$A:$Q,8))</f>
        <v>51</v>
      </c>
      <c r="I6" s="50" t="str">
        <f>IF(VLOOKUP(Table91213[[#This Row],[Date]],'DB Details'!$A:$Q,9)=0,"",VLOOKUP(Table91213[[#This Row],[Date]],'DB Details'!$A:$Q,9))</f>
        <v/>
      </c>
      <c r="J6" s="50">
        <f>IF(VLOOKUP(Table91213[[#This Row],[Date]],'DB Details'!$A:$Q,10)=0,"",VLOOKUP(Table91213[[#This Row],[Date]],'DB Details'!$A:$Q,10))</f>
        <v>53.8</v>
      </c>
      <c r="K6" s="50">
        <f>IF(VLOOKUP(Table91213[[#This Row],[Date]],'DB Details'!$A:$Q,11)=0,"",VLOOKUP(Table91213[[#This Row],[Date]],'DB Details'!$A:$Q,11))</f>
        <v>62</v>
      </c>
      <c r="L6" s="48">
        <f>IF(VLOOKUP(Table91213[[#This Row],[Date]],'DB Details'!$A:$Q,12)=0,"",VLOOKUP(Table91213[[#This Row],[Date]],'DB Details'!$A:$Q,12))</f>
        <v>56.7</v>
      </c>
    </row>
    <row r="7" spans="1:12" ht="14.25" customHeight="1" x14ac:dyDescent="0.35">
      <c r="A7" s="51">
        <v>35643</v>
      </c>
      <c r="B7" s="48" t="str">
        <f>IF(VLOOKUP(Table91213[[#This Row],[Date]],'DB Details'!$A:$Q,2)=0,"",VLOOKUP(Table91213[[#This Row],[Date]],'DB Details'!$A:$Q,2))</f>
        <v/>
      </c>
      <c r="C7" s="49">
        <f>IF(VLOOKUP(Table91213[[#This Row],[Date]],'DB Details'!$A:$Q,3)=0,"",VLOOKUP(Table91213[[#This Row],[Date]],'DB Details'!$A:$Q,3))</f>
        <v>48.4</v>
      </c>
      <c r="D7" s="49">
        <f>IF(VLOOKUP(Table91213[[#This Row],[Date]],'DB Details'!$A:$Q,4)=0,"",VLOOKUP(Table91213[[#This Row],[Date]],'DB Details'!$A:$Q,4))</f>
        <v>56.5</v>
      </c>
      <c r="E7" s="50">
        <f>IF(VLOOKUP(Table91213[[#This Row],[Date]],'DB Details'!$A:$Q,5)=0,"",VLOOKUP(Table91213[[#This Row],[Date]],'DB Details'!$A:$Q,5))</f>
        <v>53.3</v>
      </c>
      <c r="F7" s="49">
        <f>IF(VLOOKUP(Table91213[[#This Row],[Date]],'DB Details'!$A:$Q,6)=0,"",VLOOKUP(Table91213[[#This Row],[Date]],'DB Details'!$A:$Q,6))</f>
        <v>62.6</v>
      </c>
      <c r="G7" s="50">
        <f>IF(VLOOKUP(Table91213[[#This Row],[Date]],'DB Details'!$A:$Q,7)=0,"",VLOOKUP(Table91213[[#This Row],[Date]],'DB Details'!$A:$Q,7))</f>
        <v>62</v>
      </c>
      <c r="H7" s="50">
        <f>IF(VLOOKUP(Table91213[[#This Row],[Date]],'DB Details'!$A:$Q,8)=0,"",VLOOKUP(Table91213[[#This Row],[Date]],'DB Details'!$A:$Q,8))</f>
        <v>48.5</v>
      </c>
      <c r="I7" s="50" t="str">
        <f>IF(VLOOKUP(Table91213[[#This Row],[Date]],'DB Details'!$A:$Q,9)=0,"",VLOOKUP(Table91213[[#This Row],[Date]],'DB Details'!$A:$Q,9))</f>
        <v/>
      </c>
      <c r="J7" s="50">
        <f>IF(VLOOKUP(Table91213[[#This Row],[Date]],'DB Details'!$A:$Q,10)=0,"",VLOOKUP(Table91213[[#This Row],[Date]],'DB Details'!$A:$Q,10))</f>
        <v>53.8</v>
      </c>
      <c r="K7" s="50">
        <f>IF(VLOOKUP(Table91213[[#This Row],[Date]],'DB Details'!$A:$Q,11)=0,"",VLOOKUP(Table91213[[#This Row],[Date]],'DB Details'!$A:$Q,11))</f>
        <v>57.5</v>
      </c>
      <c r="L7" s="48">
        <f>IF(VLOOKUP(Table91213[[#This Row],[Date]],'DB Details'!$A:$Q,12)=0,"",VLOOKUP(Table91213[[#This Row],[Date]],'DB Details'!$A:$Q,12))</f>
        <v>62</v>
      </c>
    </row>
    <row r="8" spans="1:12" ht="14.25" customHeight="1" x14ac:dyDescent="0.35">
      <c r="A8" s="47">
        <v>35674</v>
      </c>
      <c r="B8" s="48" t="str">
        <f>IF(VLOOKUP(Table91213[[#This Row],[Date]],'DB Details'!$A:$Q,2)=0,"",VLOOKUP(Table91213[[#This Row],[Date]],'DB Details'!$A:$Q,2))</f>
        <v/>
      </c>
      <c r="C8" s="49">
        <f>IF(VLOOKUP(Table91213[[#This Row],[Date]],'DB Details'!$A:$Q,3)=0,"",VLOOKUP(Table91213[[#This Row],[Date]],'DB Details'!$A:$Q,3))</f>
        <v>47.5</v>
      </c>
      <c r="D8" s="49">
        <f>IF(VLOOKUP(Table91213[[#This Row],[Date]],'DB Details'!$A:$Q,4)=0,"",VLOOKUP(Table91213[[#This Row],[Date]],'DB Details'!$A:$Q,4))</f>
        <v>49.5</v>
      </c>
      <c r="E8" s="50">
        <f>IF(VLOOKUP(Table91213[[#This Row],[Date]],'DB Details'!$A:$Q,5)=0,"",VLOOKUP(Table91213[[#This Row],[Date]],'DB Details'!$A:$Q,5))</f>
        <v>53.1</v>
      </c>
      <c r="F8" s="49">
        <f>IF(VLOOKUP(Table91213[[#This Row],[Date]],'DB Details'!$A:$Q,6)=0,"",VLOOKUP(Table91213[[#This Row],[Date]],'DB Details'!$A:$Q,6))</f>
        <v>59.1</v>
      </c>
      <c r="G8" s="50">
        <f>IF(VLOOKUP(Table91213[[#This Row],[Date]],'DB Details'!$A:$Q,7)=0,"",VLOOKUP(Table91213[[#This Row],[Date]],'DB Details'!$A:$Q,7))</f>
        <v>63</v>
      </c>
      <c r="H8" s="50">
        <f>IF(VLOOKUP(Table91213[[#This Row],[Date]],'DB Details'!$A:$Q,8)=0,"",VLOOKUP(Table91213[[#This Row],[Date]],'DB Details'!$A:$Q,8))</f>
        <v>54</v>
      </c>
      <c r="I8" s="50" t="str">
        <f>IF(VLOOKUP(Table91213[[#This Row],[Date]],'DB Details'!$A:$Q,9)=0,"",VLOOKUP(Table91213[[#This Row],[Date]],'DB Details'!$A:$Q,9))</f>
        <v/>
      </c>
      <c r="J8" s="50">
        <f>IF(VLOOKUP(Table91213[[#This Row],[Date]],'DB Details'!$A:$Q,10)=0,"",VLOOKUP(Table91213[[#This Row],[Date]],'DB Details'!$A:$Q,10))</f>
        <v>53.2</v>
      </c>
      <c r="K8" s="50">
        <f>IF(VLOOKUP(Table91213[[#This Row],[Date]],'DB Details'!$A:$Q,11)=0,"",VLOOKUP(Table91213[[#This Row],[Date]],'DB Details'!$A:$Q,11))</f>
        <v>49.5</v>
      </c>
      <c r="L8" s="48">
        <f>IF(VLOOKUP(Table91213[[#This Row],[Date]],'DB Details'!$A:$Q,12)=0,"",VLOOKUP(Table91213[[#This Row],[Date]],'DB Details'!$A:$Q,12))</f>
        <v>56.2</v>
      </c>
    </row>
    <row r="9" spans="1:12" ht="14.25" customHeight="1" x14ac:dyDescent="0.35">
      <c r="A9" s="51">
        <v>35704</v>
      </c>
      <c r="B9" s="48" t="str">
        <f>IF(VLOOKUP(Table91213[[#This Row],[Date]],'DB Details'!$A:$Q,2)=0,"",VLOOKUP(Table91213[[#This Row],[Date]],'DB Details'!$A:$Q,2))</f>
        <v/>
      </c>
      <c r="C9" s="49">
        <f>IF(VLOOKUP(Table91213[[#This Row],[Date]],'DB Details'!$A:$Q,3)=0,"",VLOOKUP(Table91213[[#This Row],[Date]],'DB Details'!$A:$Q,3))</f>
        <v>50.7</v>
      </c>
      <c r="D9" s="49">
        <f>IF(VLOOKUP(Table91213[[#This Row],[Date]],'DB Details'!$A:$Q,4)=0,"",VLOOKUP(Table91213[[#This Row],[Date]],'DB Details'!$A:$Q,4))</f>
        <v>52</v>
      </c>
      <c r="E9" s="50">
        <f>IF(VLOOKUP(Table91213[[#This Row],[Date]],'DB Details'!$A:$Q,5)=0,"",VLOOKUP(Table91213[[#This Row],[Date]],'DB Details'!$A:$Q,5))</f>
        <v>53.1</v>
      </c>
      <c r="F9" s="49">
        <f>IF(VLOOKUP(Table91213[[#This Row],[Date]],'DB Details'!$A:$Q,6)=0,"",VLOOKUP(Table91213[[#This Row],[Date]],'DB Details'!$A:$Q,6))</f>
        <v>62.6</v>
      </c>
      <c r="G9" s="50">
        <f>IF(VLOOKUP(Table91213[[#This Row],[Date]],'DB Details'!$A:$Q,7)=0,"",VLOOKUP(Table91213[[#This Row],[Date]],'DB Details'!$A:$Q,7))</f>
        <v>66</v>
      </c>
      <c r="H9" s="50">
        <f>IF(VLOOKUP(Table91213[[#This Row],[Date]],'DB Details'!$A:$Q,8)=0,"",VLOOKUP(Table91213[[#This Row],[Date]],'DB Details'!$A:$Q,8))</f>
        <v>46.5</v>
      </c>
      <c r="I9" s="50" t="str">
        <f>IF(VLOOKUP(Table91213[[#This Row],[Date]],'DB Details'!$A:$Q,9)=0,"",VLOOKUP(Table91213[[#This Row],[Date]],'DB Details'!$A:$Q,9))</f>
        <v/>
      </c>
      <c r="J9" s="50">
        <f>IF(VLOOKUP(Table91213[[#This Row],[Date]],'DB Details'!$A:$Q,10)=0,"",VLOOKUP(Table91213[[#This Row],[Date]],'DB Details'!$A:$Q,10))</f>
        <v>51</v>
      </c>
      <c r="K9" s="50">
        <f>IF(VLOOKUP(Table91213[[#This Row],[Date]],'DB Details'!$A:$Q,11)=0,"",VLOOKUP(Table91213[[#This Row],[Date]],'DB Details'!$A:$Q,11))</f>
        <v>51.5</v>
      </c>
      <c r="L9" s="48">
        <f>IF(VLOOKUP(Table91213[[#This Row],[Date]],'DB Details'!$A:$Q,12)=0,"",VLOOKUP(Table91213[[#This Row],[Date]],'DB Details'!$A:$Q,12))</f>
        <v>56.6</v>
      </c>
    </row>
    <row r="10" spans="1:12" ht="14.25" customHeight="1" x14ac:dyDescent="0.35">
      <c r="A10" s="47">
        <v>35735</v>
      </c>
      <c r="B10" s="48" t="str">
        <f>IF(VLOOKUP(Table91213[[#This Row],[Date]],'DB Details'!$A:$Q,2)=0,"",VLOOKUP(Table91213[[#This Row],[Date]],'DB Details'!$A:$Q,2))</f>
        <v/>
      </c>
      <c r="C10" s="49">
        <f>IF(VLOOKUP(Table91213[[#This Row],[Date]],'DB Details'!$A:$Q,3)=0,"",VLOOKUP(Table91213[[#This Row],[Date]],'DB Details'!$A:$Q,3))</f>
        <v>50.3</v>
      </c>
      <c r="D10" s="49">
        <f>IF(VLOOKUP(Table91213[[#This Row],[Date]],'DB Details'!$A:$Q,4)=0,"",VLOOKUP(Table91213[[#This Row],[Date]],'DB Details'!$A:$Q,4))</f>
        <v>56</v>
      </c>
      <c r="E10" s="50">
        <f>IF(VLOOKUP(Table91213[[#This Row],[Date]],'DB Details'!$A:$Q,5)=0,"",VLOOKUP(Table91213[[#This Row],[Date]],'DB Details'!$A:$Q,5))</f>
        <v>54.3</v>
      </c>
      <c r="F10" s="49">
        <f>IF(VLOOKUP(Table91213[[#This Row],[Date]],'DB Details'!$A:$Q,6)=0,"",VLOOKUP(Table91213[[#This Row],[Date]],'DB Details'!$A:$Q,6))</f>
        <v>61.9</v>
      </c>
      <c r="G10" s="50">
        <f>IF(VLOOKUP(Table91213[[#This Row],[Date]],'DB Details'!$A:$Q,7)=0,"",VLOOKUP(Table91213[[#This Row],[Date]],'DB Details'!$A:$Q,7))</f>
        <v>64.5</v>
      </c>
      <c r="H10" s="50">
        <f>IF(VLOOKUP(Table91213[[#This Row],[Date]],'DB Details'!$A:$Q,8)=0,"",VLOOKUP(Table91213[[#This Row],[Date]],'DB Details'!$A:$Q,8))</f>
        <v>51</v>
      </c>
      <c r="I10" s="50" t="str">
        <f>IF(VLOOKUP(Table91213[[#This Row],[Date]],'DB Details'!$A:$Q,9)=0,"",VLOOKUP(Table91213[[#This Row],[Date]],'DB Details'!$A:$Q,9))</f>
        <v/>
      </c>
      <c r="J10" s="50">
        <f>IF(VLOOKUP(Table91213[[#This Row],[Date]],'DB Details'!$A:$Q,10)=0,"",VLOOKUP(Table91213[[#This Row],[Date]],'DB Details'!$A:$Q,10))</f>
        <v>56.7</v>
      </c>
      <c r="K10" s="50">
        <f>IF(VLOOKUP(Table91213[[#This Row],[Date]],'DB Details'!$A:$Q,11)=0,"",VLOOKUP(Table91213[[#This Row],[Date]],'DB Details'!$A:$Q,11))</f>
        <v>53.5</v>
      </c>
      <c r="L10" s="48">
        <f>IF(VLOOKUP(Table91213[[#This Row],[Date]],'DB Details'!$A:$Q,12)=0,"",VLOOKUP(Table91213[[#This Row],[Date]],'DB Details'!$A:$Q,12))</f>
        <v>58.5</v>
      </c>
    </row>
    <row r="11" spans="1:12" ht="14.25" customHeight="1" x14ac:dyDescent="0.35">
      <c r="A11" s="51">
        <v>35765</v>
      </c>
      <c r="B11" s="48" t="str">
        <f>IF(VLOOKUP(Table91213[[#This Row],[Date]],'DB Details'!$A:$Q,2)=0,"",VLOOKUP(Table91213[[#This Row],[Date]],'DB Details'!$A:$Q,2))</f>
        <v/>
      </c>
      <c r="C11" s="49">
        <f>IF(VLOOKUP(Table91213[[#This Row],[Date]],'DB Details'!$A:$Q,3)=0,"",VLOOKUP(Table91213[[#This Row],[Date]],'DB Details'!$A:$Q,3))</f>
        <v>52.2</v>
      </c>
      <c r="D11" s="49">
        <f>IF(VLOOKUP(Table91213[[#This Row],[Date]],'DB Details'!$A:$Q,4)=0,"",VLOOKUP(Table91213[[#This Row],[Date]],'DB Details'!$A:$Q,4))</f>
        <v>49</v>
      </c>
      <c r="E11" s="50">
        <f>IF(VLOOKUP(Table91213[[#This Row],[Date]],'DB Details'!$A:$Q,5)=0,"",VLOOKUP(Table91213[[#This Row],[Date]],'DB Details'!$A:$Q,5))</f>
        <v>54.9</v>
      </c>
      <c r="F11" s="49">
        <f>IF(VLOOKUP(Table91213[[#This Row],[Date]],'DB Details'!$A:$Q,6)=0,"",VLOOKUP(Table91213[[#This Row],[Date]],'DB Details'!$A:$Q,6))</f>
        <v>56.5</v>
      </c>
      <c r="G11" s="50">
        <f>IF(VLOOKUP(Table91213[[#This Row],[Date]],'DB Details'!$A:$Q,7)=0,"",VLOOKUP(Table91213[[#This Row],[Date]],'DB Details'!$A:$Q,7))</f>
        <v>67</v>
      </c>
      <c r="H11" s="50">
        <f>IF(VLOOKUP(Table91213[[#This Row],[Date]],'DB Details'!$A:$Q,8)=0,"",VLOOKUP(Table91213[[#This Row],[Date]],'DB Details'!$A:$Q,8))</f>
        <v>49</v>
      </c>
      <c r="I11" s="50" t="str">
        <f>IF(VLOOKUP(Table91213[[#This Row],[Date]],'DB Details'!$A:$Q,9)=0,"",VLOOKUP(Table91213[[#This Row],[Date]],'DB Details'!$A:$Q,9))</f>
        <v/>
      </c>
      <c r="J11" s="50">
        <f>IF(VLOOKUP(Table91213[[#This Row],[Date]],'DB Details'!$A:$Q,10)=0,"",VLOOKUP(Table91213[[#This Row],[Date]],'DB Details'!$A:$Q,10))</f>
        <v>55</v>
      </c>
      <c r="K11" s="50">
        <f>IF(VLOOKUP(Table91213[[#This Row],[Date]],'DB Details'!$A:$Q,11)=0,"",VLOOKUP(Table91213[[#This Row],[Date]],'DB Details'!$A:$Q,11))</f>
        <v>48.5</v>
      </c>
      <c r="L11" s="48">
        <f>IF(VLOOKUP(Table91213[[#This Row],[Date]],'DB Details'!$A:$Q,12)=0,"",VLOOKUP(Table91213[[#This Row],[Date]],'DB Details'!$A:$Q,12))</f>
        <v>55.5</v>
      </c>
    </row>
    <row r="12" spans="1:12" ht="14.25" customHeight="1" x14ac:dyDescent="0.35">
      <c r="A12" s="47">
        <v>35796</v>
      </c>
      <c r="B12" s="48">
        <f>IF(VLOOKUP(Table91213[[#This Row],[Date]],'DB Details'!$A:$Q,2)=0,"",VLOOKUP(Table91213[[#This Row],[Date]],'DB Details'!$A:$Q,2))</f>
        <v>57.4</v>
      </c>
      <c r="C12" s="49">
        <f>IF(VLOOKUP(Table91213[[#This Row],[Date]],'DB Details'!$A:$Q,3)=0,"",VLOOKUP(Table91213[[#This Row],[Date]],'DB Details'!$A:$Q,3))</f>
        <v>51.5</v>
      </c>
      <c r="D12" s="49">
        <f>IF(VLOOKUP(Table91213[[#This Row],[Date]],'DB Details'!$A:$Q,4)=0,"",VLOOKUP(Table91213[[#This Row],[Date]],'DB Details'!$A:$Q,4))</f>
        <v>49</v>
      </c>
      <c r="E12" s="50">
        <f>IF(VLOOKUP(Table91213[[#This Row],[Date]],'DB Details'!$A:$Q,5)=0,"",VLOOKUP(Table91213[[#This Row],[Date]],'DB Details'!$A:$Q,5))</f>
        <v>52.7</v>
      </c>
      <c r="F12" s="49">
        <f>IF(VLOOKUP(Table91213[[#This Row],[Date]],'DB Details'!$A:$Q,6)=0,"",VLOOKUP(Table91213[[#This Row],[Date]],'DB Details'!$A:$Q,6))</f>
        <v>61.4</v>
      </c>
      <c r="G12" s="50">
        <f>IF(VLOOKUP(Table91213[[#This Row],[Date]],'DB Details'!$A:$Q,7)=0,"",VLOOKUP(Table91213[[#This Row],[Date]],'DB Details'!$A:$Q,7))</f>
        <v>61.5</v>
      </c>
      <c r="H12" s="50">
        <f>IF(VLOOKUP(Table91213[[#This Row],[Date]],'DB Details'!$A:$Q,8)=0,"",VLOOKUP(Table91213[[#This Row],[Date]],'DB Details'!$A:$Q,8))</f>
        <v>48.5</v>
      </c>
      <c r="I12" s="50">
        <f>IF(VLOOKUP(Table91213[[#This Row],[Date]],'DB Details'!$A:$Q,9)=0,"",VLOOKUP(Table91213[[#This Row],[Date]],'DB Details'!$A:$Q,9))</f>
        <v>54</v>
      </c>
      <c r="J12" s="50">
        <f>IF(VLOOKUP(Table91213[[#This Row],[Date]],'DB Details'!$A:$Q,10)=0,"",VLOOKUP(Table91213[[#This Row],[Date]],'DB Details'!$A:$Q,10))</f>
        <v>55</v>
      </c>
      <c r="K12" s="50">
        <f>IF(VLOOKUP(Table91213[[#This Row],[Date]],'DB Details'!$A:$Q,11)=0,"",VLOOKUP(Table91213[[#This Row],[Date]],'DB Details'!$A:$Q,11))</f>
        <v>52</v>
      </c>
      <c r="L12" s="48">
        <f>IF(VLOOKUP(Table91213[[#This Row],[Date]],'DB Details'!$A:$Q,12)=0,"",VLOOKUP(Table91213[[#This Row],[Date]],'DB Details'!$A:$Q,12))</f>
        <v>57</v>
      </c>
    </row>
    <row r="13" spans="1:12" ht="14.25" customHeight="1" x14ac:dyDescent="0.35">
      <c r="A13" s="51">
        <v>35827</v>
      </c>
      <c r="B13" s="48">
        <f>IF(VLOOKUP(Table91213[[#This Row],[Date]],'DB Details'!$A:$Q,2)=0,"",VLOOKUP(Table91213[[#This Row],[Date]],'DB Details'!$A:$Q,2))</f>
        <v>59.1</v>
      </c>
      <c r="C13" s="49">
        <f>IF(VLOOKUP(Table91213[[#This Row],[Date]],'DB Details'!$A:$Q,3)=0,"",VLOOKUP(Table91213[[#This Row],[Date]],'DB Details'!$A:$Q,3))</f>
        <v>52.6</v>
      </c>
      <c r="D13" s="49">
        <f>IF(VLOOKUP(Table91213[[#This Row],[Date]],'DB Details'!$A:$Q,4)=0,"",VLOOKUP(Table91213[[#This Row],[Date]],'DB Details'!$A:$Q,4))</f>
        <v>51.5</v>
      </c>
      <c r="E13" s="50">
        <f>IF(VLOOKUP(Table91213[[#This Row],[Date]],'DB Details'!$A:$Q,5)=0,"",VLOOKUP(Table91213[[#This Row],[Date]],'DB Details'!$A:$Q,5))</f>
        <v>51.6</v>
      </c>
      <c r="F13" s="49">
        <f>IF(VLOOKUP(Table91213[[#This Row],[Date]],'DB Details'!$A:$Q,6)=0,"",VLOOKUP(Table91213[[#This Row],[Date]],'DB Details'!$A:$Q,6))</f>
        <v>58.9</v>
      </c>
      <c r="G13" s="50">
        <f>IF(VLOOKUP(Table91213[[#This Row],[Date]],'DB Details'!$A:$Q,7)=0,"",VLOOKUP(Table91213[[#This Row],[Date]],'DB Details'!$A:$Q,7))</f>
        <v>59.5</v>
      </c>
      <c r="H13" s="50">
        <f>IF(VLOOKUP(Table91213[[#This Row],[Date]],'DB Details'!$A:$Q,8)=0,"",VLOOKUP(Table91213[[#This Row],[Date]],'DB Details'!$A:$Q,8))</f>
        <v>50.5</v>
      </c>
      <c r="I13" s="50">
        <f>IF(VLOOKUP(Table91213[[#This Row],[Date]],'DB Details'!$A:$Q,9)=0,"",VLOOKUP(Table91213[[#This Row],[Date]],'DB Details'!$A:$Q,9))</f>
        <v>52</v>
      </c>
      <c r="J13" s="50">
        <f>IF(VLOOKUP(Table91213[[#This Row],[Date]],'DB Details'!$A:$Q,10)=0,"",VLOOKUP(Table91213[[#This Row],[Date]],'DB Details'!$A:$Q,10))</f>
        <v>54.8</v>
      </c>
      <c r="K13" s="50">
        <f>IF(VLOOKUP(Table91213[[#This Row],[Date]],'DB Details'!$A:$Q,11)=0,"",VLOOKUP(Table91213[[#This Row],[Date]],'DB Details'!$A:$Q,11))</f>
        <v>51.5</v>
      </c>
      <c r="L13" s="48">
        <f>IF(VLOOKUP(Table91213[[#This Row],[Date]],'DB Details'!$A:$Q,12)=0,"",VLOOKUP(Table91213[[#This Row],[Date]],'DB Details'!$A:$Q,12))</f>
        <v>56.2</v>
      </c>
    </row>
    <row r="14" spans="1:12" ht="14.25" customHeight="1" x14ac:dyDescent="0.35">
      <c r="A14" s="47">
        <v>35855</v>
      </c>
      <c r="B14" s="48">
        <f>IF(VLOOKUP(Table91213[[#This Row],[Date]],'DB Details'!$A:$Q,2)=0,"",VLOOKUP(Table91213[[#This Row],[Date]],'DB Details'!$A:$Q,2))</f>
        <v>55.1</v>
      </c>
      <c r="C14" s="49">
        <f>IF(VLOOKUP(Table91213[[#This Row],[Date]],'DB Details'!$A:$Q,3)=0,"",VLOOKUP(Table91213[[#This Row],[Date]],'DB Details'!$A:$Q,3))</f>
        <v>50</v>
      </c>
      <c r="D14" s="49">
        <f>IF(VLOOKUP(Table91213[[#This Row],[Date]],'DB Details'!$A:$Q,4)=0,"",VLOOKUP(Table91213[[#This Row],[Date]],'DB Details'!$A:$Q,4))</f>
        <v>51.5</v>
      </c>
      <c r="E14" s="50">
        <f>IF(VLOOKUP(Table91213[[#This Row],[Date]],'DB Details'!$A:$Q,5)=0,"",VLOOKUP(Table91213[[#This Row],[Date]],'DB Details'!$A:$Q,5))</f>
        <v>47.9</v>
      </c>
      <c r="F14" s="49">
        <f>IF(VLOOKUP(Table91213[[#This Row],[Date]],'DB Details'!$A:$Q,6)=0,"",VLOOKUP(Table91213[[#This Row],[Date]],'DB Details'!$A:$Q,6))</f>
        <v>57</v>
      </c>
      <c r="G14" s="50">
        <f>IF(VLOOKUP(Table91213[[#This Row],[Date]],'DB Details'!$A:$Q,7)=0,"",VLOOKUP(Table91213[[#This Row],[Date]],'DB Details'!$A:$Q,7))</f>
        <v>64</v>
      </c>
      <c r="H14" s="50">
        <f>IF(VLOOKUP(Table91213[[#This Row],[Date]],'DB Details'!$A:$Q,8)=0,"",VLOOKUP(Table91213[[#This Row],[Date]],'DB Details'!$A:$Q,8))</f>
        <v>52.5</v>
      </c>
      <c r="I14" s="50">
        <f>IF(VLOOKUP(Table91213[[#This Row],[Date]],'DB Details'!$A:$Q,9)=0,"",VLOOKUP(Table91213[[#This Row],[Date]],'DB Details'!$A:$Q,9))</f>
        <v>52.5</v>
      </c>
      <c r="J14" s="50">
        <f>IF(VLOOKUP(Table91213[[#This Row],[Date]],'DB Details'!$A:$Q,10)=0,"",VLOOKUP(Table91213[[#This Row],[Date]],'DB Details'!$A:$Q,10))</f>
        <v>54.1</v>
      </c>
      <c r="K14" s="50">
        <f>IF(VLOOKUP(Table91213[[#This Row],[Date]],'DB Details'!$A:$Q,11)=0,"",VLOOKUP(Table91213[[#This Row],[Date]],'DB Details'!$A:$Q,11))</f>
        <v>58.5</v>
      </c>
      <c r="L14" s="48">
        <f>IF(VLOOKUP(Table91213[[#This Row],[Date]],'DB Details'!$A:$Q,12)=0,"",VLOOKUP(Table91213[[#This Row],[Date]],'DB Details'!$A:$Q,12))</f>
        <v>54.7</v>
      </c>
    </row>
    <row r="15" spans="1:12" x14ac:dyDescent="0.35">
      <c r="A15" s="51">
        <v>35886</v>
      </c>
      <c r="B15" s="48">
        <f>IF(VLOOKUP(Table91213[[#This Row],[Date]],'DB Details'!$A:$Q,2)=0,"",VLOOKUP(Table91213[[#This Row],[Date]],'DB Details'!$A:$Q,2))</f>
        <v>57.5</v>
      </c>
      <c r="C15" s="49">
        <f>IF(VLOOKUP(Table91213[[#This Row],[Date]],'DB Details'!$A:$Q,3)=0,"",VLOOKUP(Table91213[[#This Row],[Date]],'DB Details'!$A:$Q,3))</f>
        <v>52.1</v>
      </c>
      <c r="D15" s="49">
        <f>IF(VLOOKUP(Table91213[[#This Row],[Date]],'DB Details'!$A:$Q,4)=0,"",VLOOKUP(Table91213[[#This Row],[Date]],'DB Details'!$A:$Q,4))</f>
        <v>51</v>
      </c>
      <c r="E15" s="50">
        <f>IF(VLOOKUP(Table91213[[#This Row],[Date]],'DB Details'!$A:$Q,5)=0,"",VLOOKUP(Table91213[[#This Row],[Date]],'DB Details'!$A:$Q,5))</f>
        <v>46.8</v>
      </c>
      <c r="F15" s="49">
        <f>IF(VLOOKUP(Table91213[[#This Row],[Date]],'DB Details'!$A:$Q,6)=0,"",VLOOKUP(Table91213[[#This Row],[Date]],'DB Details'!$A:$Q,6))</f>
        <v>58.6</v>
      </c>
      <c r="G15" s="50">
        <f>IF(VLOOKUP(Table91213[[#This Row],[Date]],'DB Details'!$A:$Q,7)=0,"",VLOOKUP(Table91213[[#This Row],[Date]],'DB Details'!$A:$Q,7))</f>
        <v>66.5</v>
      </c>
      <c r="H15" s="50">
        <f>IF(VLOOKUP(Table91213[[#This Row],[Date]],'DB Details'!$A:$Q,8)=0,"",VLOOKUP(Table91213[[#This Row],[Date]],'DB Details'!$A:$Q,8))</f>
        <v>52.5</v>
      </c>
      <c r="I15" s="50">
        <f>IF(VLOOKUP(Table91213[[#This Row],[Date]],'DB Details'!$A:$Q,9)=0,"",VLOOKUP(Table91213[[#This Row],[Date]],'DB Details'!$A:$Q,9))</f>
        <v>52</v>
      </c>
      <c r="J15" s="50">
        <f>IF(VLOOKUP(Table91213[[#This Row],[Date]],'DB Details'!$A:$Q,10)=0,"",VLOOKUP(Table91213[[#This Row],[Date]],'DB Details'!$A:$Q,10))</f>
        <v>51.6</v>
      </c>
      <c r="K15" s="50">
        <f>IF(VLOOKUP(Table91213[[#This Row],[Date]],'DB Details'!$A:$Q,11)=0,"",VLOOKUP(Table91213[[#This Row],[Date]],'DB Details'!$A:$Q,11))</f>
        <v>56.5</v>
      </c>
      <c r="L15" s="48">
        <f>IF(VLOOKUP(Table91213[[#This Row],[Date]],'DB Details'!$A:$Q,12)=0,"",VLOOKUP(Table91213[[#This Row],[Date]],'DB Details'!$A:$Q,12))</f>
        <v>54.9</v>
      </c>
    </row>
    <row r="16" spans="1:12" x14ac:dyDescent="0.35">
      <c r="A16" s="51">
        <v>35916</v>
      </c>
      <c r="B16" s="48">
        <f>IF(VLOOKUP(Table91213[[#This Row],[Date]],'DB Details'!$A:$Q,2)=0,"",VLOOKUP(Table91213[[#This Row],[Date]],'DB Details'!$A:$Q,2))</f>
        <v>60.2</v>
      </c>
      <c r="C16" s="49">
        <f>IF(VLOOKUP(Table91213[[#This Row],[Date]],'DB Details'!$A:$Q,3)=0,"",VLOOKUP(Table91213[[#This Row],[Date]],'DB Details'!$A:$Q,3))</f>
        <v>52.8</v>
      </c>
      <c r="D16" s="49">
        <f>IF(VLOOKUP(Table91213[[#This Row],[Date]],'DB Details'!$A:$Q,4)=0,"",VLOOKUP(Table91213[[#This Row],[Date]],'DB Details'!$A:$Q,4))</f>
        <v>53</v>
      </c>
      <c r="E16" s="50">
        <f>IF(VLOOKUP(Table91213[[#This Row],[Date]],'DB Details'!$A:$Q,5)=0,"",VLOOKUP(Table91213[[#This Row],[Date]],'DB Details'!$A:$Q,5))</f>
        <v>47.2</v>
      </c>
      <c r="F16" s="49">
        <f>IF(VLOOKUP(Table91213[[#This Row],[Date]],'DB Details'!$A:$Q,6)=0,"",VLOOKUP(Table91213[[#This Row],[Date]],'DB Details'!$A:$Q,6))</f>
        <v>61.2</v>
      </c>
      <c r="G16" s="50">
        <f>IF(VLOOKUP(Table91213[[#This Row],[Date]],'DB Details'!$A:$Q,7)=0,"",VLOOKUP(Table91213[[#This Row],[Date]],'DB Details'!$A:$Q,7))</f>
        <v>63.5</v>
      </c>
      <c r="H16" s="50">
        <f>IF(VLOOKUP(Table91213[[#This Row],[Date]],'DB Details'!$A:$Q,8)=0,"",VLOOKUP(Table91213[[#This Row],[Date]],'DB Details'!$A:$Q,8))</f>
        <v>50</v>
      </c>
      <c r="I16" s="50">
        <f>IF(VLOOKUP(Table91213[[#This Row],[Date]],'DB Details'!$A:$Q,9)=0,"",VLOOKUP(Table91213[[#This Row],[Date]],'DB Details'!$A:$Q,9))</f>
        <v>50.5</v>
      </c>
      <c r="J16" s="50">
        <f>IF(VLOOKUP(Table91213[[#This Row],[Date]],'DB Details'!$A:$Q,10)=0,"",VLOOKUP(Table91213[[#This Row],[Date]],'DB Details'!$A:$Q,10))</f>
        <v>52.8</v>
      </c>
      <c r="K16" s="50">
        <f>IF(VLOOKUP(Table91213[[#This Row],[Date]],'DB Details'!$A:$Q,11)=0,"",VLOOKUP(Table91213[[#This Row],[Date]],'DB Details'!$A:$Q,11))</f>
        <v>48.5</v>
      </c>
      <c r="L16" s="48">
        <f>IF(VLOOKUP(Table91213[[#This Row],[Date]],'DB Details'!$A:$Q,12)=0,"",VLOOKUP(Table91213[[#This Row],[Date]],'DB Details'!$A:$Q,12))</f>
        <v>56.2</v>
      </c>
    </row>
    <row r="17" spans="1:12" x14ac:dyDescent="0.35">
      <c r="A17" s="51">
        <v>35947</v>
      </c>
      <c r="B17" s="48">
        <f>IF(VLOOKUP(Table91213[[#This Row],[Date]],'DB Details'!$A:$Q,2)=0,"",VLOOKUP(Table91213[[#This Row],[Date]],'DB Details'!$A:$Q,2))</f>
        <v>55.8</v>
      </c>
      <c r="C17" s="49">
        <f>IF(VLOOKUP(Table91213[[#This Row],[Date]],'DB Details'!$A:$Q,3)=0,"",VLOOKUP(Table91213[[#This Row],[Date]],'DB Details'!$A:$Q,3))</f>
        <v>54.5</v>
      </c>
      <c r="D17" s="49">
        <f>IF(VLOOKUP(Table91213[[#This Row],[Date]],'DB Details'!$A:$Q,4)=0,"",VLOOKUP(Table91213[[#This Row],[Date]],'DB Details'!$A:$Q,4))</f>
        <v>50</v>
      </c>
      <c r="E17" s="50">
        <f>IF(VLOOKUP(Table91213[[#This Row],[Date]],'DB Details'!$A:$Q,5)=0,"",VLOOKUP(Table91213[[#This Row],[Date]],'DB Details'!$A:$Q,5))</f>
        <v>45.5</v>
      </c>
      <c r="F17" s="49">
        <f>IF(VLOOKUP(Table91213[[#This Row],[Date]],'DB Details'!$A:$Q,6)=0,"",VLOOKUP(Table91213[[#This Row],[Date]],'DB Details'!$A:$Q,6))</f>
        <v>58.7</v>
      </c>
      <c r="G17" s="50">
        <f>IF(VLOOKUP(Table91213[[#This Row],[Date]],'DB Details'!$A:$Q,7)=0,"",VLOOKUP(Table91213[[#This Row],[Date]],'DB Details'!$A:$Q,7))</f>
        <v>69</v>
      </c>
      <c r="H17" s="50">
        <f>IF(VLOOKUP(Table91213[[#This Row],[Date]],'DB Details'!$A:$Q,8)=0,"",VLOOKUP(Table91213[[#This Row],[Date]],'DB Details'!$A:$Q,8))</f>
        <v>49.5</v>
      </c>
      <c r="I17" s="50">
        <f>IF(VLOOKUP(Table91213[[#This Row],[Date]],'DB Details'!$A:$Q,9)=0,"",VLOOKUP(Table91213[[#This Row],[Date]],'DB Details'!$A:$Q,9))</f>
        <v>53.5</v>
      </c>
      <c r="J17" s="50">
        <f>IF(VLOOKUP(Table91213[[#This Row],[Date]],'DB Details'!$A:$Q,10)=0,"",VLOOKUP(Table91213[[#This Row],[Date]],'DB Details'!$A:$Q,10))</f>
        <v>52.5</v>
      </c>
      <c r="K17" s="50">
        <f>IF(VLOOKUP(Table91213[[#This Row],[Date]],'DB Details'!$A:$Q,11)=0,"",VLOOKUP(Table91213[[#This Row],[Date]],'DB Details'!$A:$Q,11))</f>
        <v>55</v>
      </c>
      <c r="L17" s="48">
        <f>IF(VLOOKUP(Table91213[[#This Row],[Date]],'DB Details'!$A:$Q,12)=0,"",VLOOKUP(Table91213[[#This Row],[Date]],'DB Details'!$A:$Q,12))</f>
        <v>55.1</v>
      </c>
    </row>
    <row r="18" spans="1:12" x14ac:dyDescent="0.35">
      <c r="A18" s="51">
        <v>35977</v>
      </c>
      <c r="B18" s="48">
        <f>IF(VLOOKUP(Table91213[[#This Row],[Date]],'DB Details'!$A:$Q,2)=0,"",VLOOKUP(Table91213[[#This Row],[Date]],'DB Details'!$A:$Q,2))</f>
        <v>58.2</v>
      </c>
      <c r="C18" s="49">
        <f>IF(VLOOKUP(Table91213[[#This Row],[Date]],'DB Details'!$A:$Q,3)=0,"",VLOOKUP(Table91213[[#This Row],[Date]],'DB Details'!$A:$Q,3))</f>
        <v>50.9</v>
      </c>
      <c r="D18" s="49">
        <f>IF(VLOOKUP(Table91213[[#This Row],[Date]],'DB Details'!$A:$Q,4)=0,"",VLOOKUP(Table91213[[#This Row],[Date]],'DB Details'!$A:$Q,4))</f>
        <v>52</v>
      </c>
      <c r="E18" s="50">
        <f>IF(VLOOKUP(Table91213[[#This Row],[Date]],'DB Details'!$A:$Q,5)=0,"",VLOOKUP(Table91213[[#This Row],[Date]],'DB Details'!$A:$Q,5))</f>
        <v>47</v>
      </c>
      <c r="F18" s="49">
        <f>IF(VLOOKUP(Table91213[[#This Row],[Date]],'DB Details'!$A:$Q,6)=0,"",VLOOKUP(Table91213[[#This Row],[Date]],'DB Details'!$A:$Q,6))</f>
        <v>58.6</v>
      </c>
      <c r="G18" s="50">
        <f>IF(VLOOKUP(Table91213[[#This Row],[Date]],'DB Details'!$A:$Q,7)=0,"",VLOOKUP(Table91213[[#This Row],[Date]],'DB Details'!$A:$Q,7))</f>
        <v>60.5</v>
      </c>
      <c r="H18" s="50">
        <f>IF(VLOOKUP(Table91213[[#This Row],[Date]],'DB Details'!$A:$Q,8)=0,"",VLOOKUP(Table91213[[#This Row],[Date]],'DB Details'!$A:$Q,8))</f>
        <v>48</v>
      </c>
      <c r="I18" s="50">
        <f>IF(VLOOKUP(Table91213[[#This Row],[Date]],'DB Details'!$A:$Q,9)=0,"",VLOOKUP(Table91213[[#This Row],[Date]],'DB Details'!$A:$Q,9))</f>
        <v>54.5</v>
      </c>
      <c r="J18" s="50">
        <f>IF(VLOOKUP(Table91213[[#This Row],[Date]],'DB Details'!$A:$Q,10)=0,"",VLOOKUP(Table91213[[#This Row],[Date]],'DB Details'!$A:$Q,10))</f>
        <v>51.9</v>
      </c>
      <c r="K18" s="50">
        <f>IF(VLOOKUP(Table91213[[#This Row],[Date]],'DB Details'!$A:$Q,11)=0,"",VLOOKUP(Table91213[[#This Row],[Date]],'DB Details'!$A:$Q,11))</f>
        <v>51.5</v>
      </c>
      <c r="L18" s="48">
        <f>IF(VLOOKUP(Table91213[[#This Row],[Date]],'DB Details'!$A:$Q,12)=0,"",VLOOKUP(Table91213[[#This Row],[Date]],'DB Details'!$A:$Q,12))</f>
        <v>55.8</v>
      </c>
    </row>
    <row r="19" spans="1:12" x14ac:dyDescent="0.35">
      <c r="A19" s="51">
        <v>36008</v>
      </c>
      <c r="B19" s="48">
        <f>IF(VLOOKUP(Table91213[[#This Row],[Date]],'DB Details'!$A:$Q,2)=0,"",VLOOKUP(Table91213[[#This Row],[Date]],'DB Details'!$A:$Q,2))</f>
        <v>55.3</v>
      </c>
      <c r="C19" s="49">
        <f>IF(VLOOKUP(Table91213[[#This Row],[Date]],'DB Details'!$A:$Q,3)=0,"",VLOOKUP(Table91213[[#This Row],[Date]],'DB Details'!$A:$Q,3))</f>
        <v>55.2</v>
      </c>
      <c r="D19" s="49">
        <f>IF(VLOOKUP(Table91213[[#This Row],[Date]],'DB Details'!$A:$Q,4)=0,"",VLOOKUP(Table91213[[#This Row],[Date]],'DB Details'!$A:$Q,4))</f>
        <v>56.5</v>
      </c>
      <c r="E19" s="50">
        <f>IF(VLOOKUP(Table91213[[#This Row],[Date]],'DB Details'!$A:$Q,5)=0,"",VLOOKUP(Table91213[[#This Row],[Date]],'DB Details'!$A:$Q,5))</f>
        <v>47.9</v>
      </c>
      <c r="F19" s="49">
        <f>IF(VLOOKUP(Table91213[[#This Row],[Date]],'DB Details'!$A:$Q,6)=0,"",VLOOKUP(Table91213[[#This Row],[Date]],'DB Details'!$A:$Q,6))</f>
        <v>52.2</v>
      </c>
      <c r="G19" s="50">
        <f>IF(VLOOKUP(Table91213[[#This Row],[Date]],'DB Details'!$A:$Q,7)=0,"",VLOOKUP(Table91213[[#This Row],[Date]],'DB Details'!$A:$Q,7))</f>
        <v>62.5</v>
      </c>
      <c r="H19" s="50">
        <f>IF(VLOOKUP(Table91213[[#This Row],[Date]],'DB Details'!$A:$Q,8)=0,"",VLOOKUP(Table91213[[#This Row],[Date]],'DB Details'!$A:$Q,8))</f>
        <v>48</v>
      </c>
      <c r="I19" s="50">
        <f>IF(VLOOKUP(Table91213[[#This Row],[Date]],'DB Details'!$A:$Q,9)=0,"",VLOOKUP(Table91213[[#This Row],[Date]],'DB Details'!$A:$Q,9))</f>
        <v>54</v>
      </c>
      <c r="J19" s="50">
        <f>IF(VLOOKUP(Table91213[[#This Row],[Date]],'DB Details'!$A:$Q,10)=0,"",VLOOKUP(Table91213[[#This Row],[Date]],'DB Details'!$A:$Q,10))</f>
        <v>52.3</v>
      </c>
      <c r="K19" s="50">
        <f>IF(VLOOKUP(Table91213[[#This Row],[Date]],'DB Details'!$A:$Q,11)=0,"",VLOOKUP(Table91213[[#This Row],[Date]],'DB Details'!$A:$Q,11))</f>
        <v>54</v>
      </c>
      <c r="L19" s="48">
        <f>IF(VLOOKUP(Table91213[[#This Row],[Date]],'DB Details'!$A:$Q,12)=0,"",VLOOKUP(Table91213[[#This Row],[Date]],'DB Details'!$A:$Q,12))</f>
        <v>53.5</v>
      </c>
    </row>
    <row r="20" spans="1:12" x14ac:dyDescent="0.35">
      <c r="A20" s="51">
        <v>36039</v>
      </c>
      <c r="B20" s="48">
        <f>IF(VLOOKUP(Table91213[[#This Row],[Date]],'DB Details'!$A:$Q,2)=0,"",VLOOKUP(Table91213[[#This Row],[Date]],'DB Details'!$A:$Q,2))</f>
        <v>55.9</v>
      </c>
      <c r="C20" s="49">
        <f>IF(VLOOKUP(Table91213[[#This Row],[Date]],'DB Details'!$A:$Q,3)=0,"",VLOOKUP(Table91213[[#This Row],[Date]],'DB Details'!$A:$Q,3))</f>
        <v>52</v>
      </c>
      <c r="D20" s="49">
        <f>IF(VLOOKUP(Table91213[[#This Row],[Date]],'DB Details'!$A:$Q,4)=0,"",VLOOKUP(Table91213[[#This Row],[Date]],'DB Details'!$A:$Q,4))</f>
        <v>54</v>
      </c>
      <c r="E20" s="50">
        <f>IF(VLOOKUP(Table91213[[#This Row],[Date]],'DB Details'!$A:$Q,5)=0,"",VLOOKUP(Table91213[[#This Row],[Date]],'DB Details'!$A:$Q,5))</f>
        <v>46.2</v>
      </c>
      <c r="F20" s="49">
        <f>IF(VLOOKUP(Table91213[[#This Row],[Date]],'DB Details'!$A:$Q,6)=0,"",VLOOKUP(Table91213[[#This Row],[Date]],'DB Details'!$A:$Q,6))</f>
        <v>57.4</v>
      </c>
      <c r="G20" s="50">
        <f>IF(VLOOKUP(Table91213[[#This Row],[Date]],'DB Details'!$A:$Q,7)=0,"",VLOOKUP(Table91213[[#This Row],[Date]],'DB Details'!$A:$Q,7))</f>
        <v>65</v>
      </c>
      <c r="H20" s="50">
        <f>IF(VLOOKUP(Table91213[[#This Row],[Date]],'DB Details'!$A:$Q,8)=0,"",VLOOKUP(Table91213[[#This Row],[Date]],'DB Details'!$A:$Q,8))</f>
        <v>50.5</v>
      </c>
      <c r="I20" s="50">
        <f>IF(VLOOKUP(Table91213[[#This Row],[Date]],'DB Details'!$A:$Q,9)=0,"",VLOOKUP(Table91213[[#This Row],[Date]],'DB Details'!$A:$Q,9))</f>
        <v>53</v>
      </c>
      <c r="J20" s="50">
        <f>IF(VLOOKUP(Table91213[[#This Row],[Date]],'DB Details'!$A:$Q,10)=0,"",VLOOKUP(Table91213[[#This Row],[Date]],'DB Details'!$A:$Q,10))</f>
        <v>53.7</v>
      </c>
      <c r="K20" s="50">
        <f>IF(VLOOKUP(Table91213[[#This Row],[Date]],'DB Details'!$A:$Q,11)=0,"",VLOOKUP(Table91213[[#This Row],[Date]],'DB Details'!$A:$Q,11))</f>
        <v>54</v>
      </c>
      <c r="L20" s="48">
        <f>IF(VLOOKUP(Table91213[[#This Row],[Date]],'DB Details'!$A:$Q,12)=0,"",VLOOKUP(Table91213[[#This Row],[Date]],'DB Details'!$A:$Q,12))</f>
        <v>55</v>
      </c>
    </row>
    <row r="21" spans="1:12" x14ac:dyDescent="0.35">
      <c r="A21" s="51">
        <v>36069</v>
      </c>
      <c r="B21" s="48">
        <f>IF(VLOOKUP(Table91213[[#This Row],[Date]],'DB Details'!$A:$Q,2)=0,"",VLOOKUP(Table91213[[#This Row],[Date]],'DB Details'!$A:$Q,2))</f>
        <v>54.7</v>
      </c>
      <c r="C21" s="49">
        <f>IF(VLOOKUP(Table91213[[#This Row],[Date]],'DB Details'!$A:$Q,3)=0,"",VLOOKUP(Table91213[[#This Row],[Date]],'DB Details'!$A:$Q,3))</f>
        <v>48.8</v>
      </c>
      <c r="D21" s="49">
        <f>IF(VLOOKUP(Table91213[[#This Row],[Date]],'DB Details'!$A:$Q,4)=0,"",VLOOKUP(Table91213[[#This Row],[Date]],'DB Details'!$A:$Q,4))</f>
        <v>49</v>
      </c>
      <c r="E21" s="50">
        <f>IF(VLOOKUP(Table91213[[#This Row],[Date]],'DB Details'!$A:$Q,5)=0,"",VLOOKUP(Table91213[[#This Row],[Date]],'DB Details'!$A:$Q,5))</f>
        <v>49.3</v>
      </c>
      <c r="F21" s="49">
        <f>IF(VLOOKUP(Table91213[[#This Row],[Date]],'DB Details'!$A:$Q,6)=0,"",VLOOKUP(Table91213[[#This Row],[Date]],'DB Details'!$A:$Q,6))</f>
        <v>54</v>
      </c>
      <c r="G21" s="50">
        <f>IF(VLOOKUP(Table91213[[#This Row],[Date]],'DB Details'!$A:$Q,7)=0,"",VLOOKUP(Table91213[[#This Row],[Date]],'DB Details'!$A:$Q,7))</f>
        <v>65.5</v>
      </c>
      <c r="H21" s="50">
        <f>IF(VLOOKUP(Table91213[[#This Row],[Date]],'DB Details'!$A:$Q,8)=0,"",VLOOKUP(Table91213[[#This Row],[Date]],'DB Details'!$A:$Q,8))</f>
        <v>48.5</v>
      </c>
      <c r="I21" s="50">
        <f>IF(VLOOKUP(Table91213[[#This Row],[Date]],'DB Details'!$A:$Q,9)=0,"",VLOOKUP(Table91213[[#This Row],[Date]],'DB Details'!$A:$Q,9))</f>
        <v>53.5</v>
      </c>
      <c r="J21" s="50">
        <f>IF(VLOOKUP(Table91213[[#This Row],[Date]],'DB Details'!$A:$Q,10)=0,"",VLOOKUP(Table91213[[#This Row],[Date]],'DB Details'!$A:$Q,10))</f>
        <v>53.1</v>
      </c>
      <c r="K21" s="50">
        <f>IF(VLOOKUP(Table91213[[#This Row],[Date]],'DB Details'!$A:$Q,11)=0,"",VLOOKUP(Table91213[[#This Row],[Date]],'DB Details'!$A:$Q,11))</f>
        <v>48.5</v>
      </c>
      <c r="L21" s="48">
        <f>IF(VLOOKUP(Table91213[[#This Row],[Date]],'DB Details'!$A:$Q,12)=0,"",VLOOKUP(Table91213[[#This Row],[Date]],'DB Details'!$A:$Q,12))</f>
        <v>53.8</v>
      </c>
    </row>
    <row r="22" spans="1:12" x14ac:dyDescent="0.35">
      <c r="A22" s="51">
        <v>36100</v>
      </c>
      <c r="B22" s="48">
        <f>IF(VLOOKUP(Table91213[[#This Row],[Date]],'DB Details'!$A:$Q,2)=0,"",VLOOKUP(Table91213[[#This Row],[Date]],'DB Details'!$A:$Q,2))</f>
        <v>52.7</v>
      </c>
      <c r="C22" s="49">
        <f>IF(VLOOKUP(Table91213[[#This Row],[Date]],'DB Details'!$A:$Q,3)=0,"",VLOOKUP(Table91213[[#This Row],[Date]],'DB Details'!$A:$Q,3))</f>
        <v>50.7</v>
      </c>
      <c r="D22" s="49">
        <f>IF(VLOOKUP(Table91213[[#This Row],[Date]],'DB Details'!$A:$Q,4)=0,"",VLOOKUP(Table91213[[#This Row],[Date]],'DB Details'!$A:$Q,4))</f>
        <v>46.5</v>
      </c>
      <c r="E22" s="50">
        <f>IF(VLOOKUP(Table91213[[#This Row],[Date]],'DB Details'!$A:$Q,5)=0,"",VLOOKUP(Table91213[[#This Row],[Date]],'DB Details'!$A:$Q,5))</f>
        <v>47.3</v>
      </c>
      <c r="F22" s="49">
        <f>IF(VLOOKUP(Table91213[[#This Row],[Date]],'DB Details'!$A:$Q,6)=0,"",VLOOKUP(Table91213[[#This Row],[Date]],'DB Details'!$A:$Q,6))</f>
        <v>54.9</v>
      </c>
      <c r="G22" s="50">
        <f>IF(VLOOKUP(Table91213[[#This Row],[Date]],'DB Details'!$A:$Q,7)=0,"",VLOOKUP(Table91213[[#This Row],[Date]],'DB Details'!$A:$Q,7))</f>
        <v>63</v>
      </c>
      <c r="H22" s="50">
        <f>IF(VLOOKUP(Table91213[[#This Row],[Date]],'DB Details'!$A:$Q,8)=0,"",VLOOKUP(Table91213[[#This Row],[Date]],'DB Details'!$A:$Q,8))</f>
        <v>50</v>
      </c>
      <c r="I22" s="50">
        <f>IF(VLOOKUP(Table91213[[#This Row],[Date]],'DB Details'!$A:$Q,9)=0,"",VLOOKUP(Table91213[[#This Row],[Date]],'DB Details'!$A:$Q,9))</f>
        <v>50</v>
      </c>
      <c r="J22" s="50">
        <f>IF(VLOOKUP(Table91213[[#This Row],[Date]],'DB Details'!$A:$Q,10)=0,"",VLOOKUP(Table91213[[#This Row],[Date]],'DB Details'!$A:$Q,10))</f>
        <v>52.6</v>
      </c>
      <c r="K22" s="50">
        <f>IF(VLOOKUP(Table91213[[#This Row],[Date]],'DB Details'!$A:$Q,11)=0,"",VLOOKUP(Table91213[[#This Row],[Date]],'DB Details'!$A:$Q,11))</f>
        <v>45</v>
      </c>
      <c r="L22" s="48">
        <f>IF(VLOOKUP(Table91213[[#This Row],[Date]],'DB Details'!$A:$Q,12)=0,"",VLOOKUP(Table91213[[#This Row],[Date]],'DB Details'!$A:$Q,12))</f>
        <v>52.6</v>
      </c>
    </row>
    <row r="23" spans="1:12" x14ac:dyDescent="0.35">
      <c r="A23" s="51">
        <v>36130</v>
      </c>
      <c r="B23" s="48">
        <f>IF(VLOOKUP(Table91213[[#This Row],[Date]],'DB Details'!$A:$Q,2)=0,"",VLOOKUP(Table91213[[#This Row],[Date]],'DB Details'!$A:$Q,2))</f>
        <v>53.5</v>
      </c>
      <c r="C23" s="49">
        <f>IF(VLOOKUP(Table91213[[#This Row],[Date]],'DB Details'!$A:$Q,3)=0,"",VLOOKUP(Table91213[[#This Row],[Date]],'DB Details'!$A:$Q,3))</f>
        <v>50.3</v>
      </c>
      <c r="D23" s="49">
        <f>IF(VLOOKUP(Table91213[[#This Row],[Date]],'DB Details'!$A:$Q,4)=0,"",VLOOKUP(Table91213[[#This Row],[Date]],'DB Details'!$A:$Q,4))</f>
        <v>47</v>
      </c>
      <c r="E23" s="50">
        <f>IF(VLOOKUP(Table91213[[#This Row],[Date]],'DB Details'!$A:$Q,5)=0,"",VLOOKUP(Table91213[[#This Row],[Date]],'DB Details'!$A:$Q,5))</f>
        <v>48.5</v>
      </c>
      <c r="F23" s="49">
        <f>IF(VLOOKUP(Table91213[[#This Row],[Date]],'DB Details'!$A:$Q,6)=0,"",VLOOKUP(Table91213[[#This Row],[Date]],'DB Details'!$A:$Q,6))</f>
        <v>54.2</v>
      </c>
      <c r="G23" s="50">
        <f>IF(VLOOKUP(Table91213[[#This Row],[Date]],'DB Details'!$A:$Q,7)=0,"",VLOOKUP(Table91213[[#This Row],[Date]],'DB Details'!$A:$Q,7))</f>
        <v>64.5</v>
      </c>
      <c r="H23" s="50">
        <f>IF(VLOOKUP(Table91213[[#This Row],[Date]],'DB Details'!$A:$Q,8)=0,"",VLOOKUP(Table91213[[#This Row],[Date]],'DB Details'!$A:$Q,8))</f>
        <v>50.5</v>
      </c>
      <c r="I23" s="50">
        <f>IF(VLOOKUP(Table91213[[#This Row],[Date]],'DB Details'!$A:$Q,9)=0,"",VLOOKUP(Table91213[[#This Row],[Date]],'DB Details'!$A:$Q,9))</f>
        <v>53</v>
      </c>
      <c r="J23" s="50">
        <f>IF(VLOOKUP(Table91213[[#This Row],[Date]],'DB Details'!$A:$Q,10)=0,"",VLOOKUP(Table91213[[#This Row],[Date]],'DB Details'!$A:$Q,10))</f>
        <v>50.9</v>
      </c>
      <c r="K23" s="50">
        <f>IF(VLOOKUP(Table91213[[#This Row],[Date]],'DB Details'!$A:$Q,11)=0,"",VLOOKUP(Table91213[[#This Row],[Date]],'DB Details'!$A:$Q,11))</f>
        <v>49</v>
      </c>
      <c r="L23" s="48">
        <f>IF(VLOOKUP(Table91213[[#This Row],[Date]],'DB Details'!$A:$Q,12)=0,"",VLOOKUP(Table91213[[#This Row],[Date]],'DB Details'!$A:$Q,12))</f>
        <v>52.9</v>
      </c>
    </row>
    <row r="24" spans="1:12" x14ac:dyDescent="0.35">
      <c r="A24" s="51">
        <v>36161</v>
      </c>
      <c r="B24" s="48">
        <f>IF(VLOOKUP(Table91213[[#This Row],[Date]],'DB Details'!$A:$Q,2)=0,"",VLOOKUP(Table91213[[#This Row],[Date]],'DB Details'!$A:$Q,2))</f>
        <v>57.5</v>
      </c>
      <c r="C24" s="49">
        <f>IF(VLOOKUP(Table91213[[#This Row],[Date]],'DB Details'!$A:$Q,3)=0,"",VLOOKUP(Table91213[[#This Row],[Date]],'DB Details'!$A:$Q,3))</f>
        <v>53.1</v>
      </c>
      <c r="D24" s="49">
        <f>IF(VLOOKUP(Table91213[[#This Row],[Date]],'DB Details'!$A:$Q,4)=0,"",VLOOKUP(Table91213[[#This Row],[Date]],'DB Details'!$A:$Q,4))</f>
        <v>49</v>
      </c>
      <c r="E24" s="50">
        <f>IF(VLOOKUP(Table91213[[#This Row],[Date]],'DB Details'!$A:$Q,5)=0,"",VLOOKUP(Table91213[[#This Row],[Date]],'DB Details'!$A:$Q,5))</f>
        <v>47</v>
      </c>
      <c r="F24" s="49">
        <f>IF(VLOOKUP(Table91213[[#This Row],[Date]],'DB Details'!$A:$Q,6)=0,"",VLOOKUP(Table91213[[#This Row],[Date]],'DB Details'!$A:$Q,6))</f>
        <v>58.8</v>
      </c>
      <c r="G24" s="50">
        <f>IF(VLOOKUP(Table91213[[#This Row],[Date]],'DB Details'!$A:$Q,7)=0,"",VLOOKUP(Table91213[[#This Row],[Date]],'DB Details'!$A:$Q,7))</f>
        <v>61</v>
      </c>
      <c r="H24" s="50">
        <f>IF(VLOOKUP(Table91213[[#This Row],[Date]],'DB Details'!$A:$Q,8)=0,"",VLOOKUP(Table91213[[#This Row],[Date]],'DB Details'!$A:$Q,8))</f>
        <v>47</v>
      </c>
      <c r="I24" s="50">
        <f>IF(VLOOKUP(Table91213[[#This Row],[Date]],'DB Details'!$A:$Q,9)=0,"",VLOOKUP(Table91213[[#This Row],[Date]],'DB Details'!$A:$Q,9))</f>
        <v>54.5</v>
      </c>
      <c r="J24" s="50">
        <f>IF(VLOOKUP(Table91213[[#This Row],[Date]],'DB Details'!$A:$Q,10)=0,"",VLOOKUP(Table91213[[#This Row],[Date]],'DB Details'!$A:$Q,10))</f>
        <v>51.4</v>
      </c>
      <c r="K24" s="50">
        <f>IF(VLOOKUP(Table91213[[#This Row],[Date]],'DB Details'!$A:$Q,11)=0,"",VLOOKUP(Table91213[[#This Row],[Date]],'DB Details'!$A:$Q,11))</f>
        <v>46.5</v>
      </c>
      <c r="L24" s="48">
        <f>IF(VLOOKUP(Table91213[[#This Row],[Date]],'DB Details'!$A:$Q,12)=0,"",VLOOKUP(Table91213[[#This Row],[Date]],'DB Details'!$A:$Q,12))</f>
        <v>55.6</v>
      </c>
    </row>
    <row r="25" spans="1:12" x14ac:dyDescent="0.35">
      <c r="A25" s="51">
        <v>36192</v>
      </c>
      <c r="B25" s="48">
        <f>IF(VLOOKUP(Table91213[[#This Row],[Date]],'DB Details'!$A:$Q,2)=0,"",VLOOKUP(Table91213[[#This Row],[Date]],'DB Details'!$A:$Q,2))</f>
        <v>56.6</v>
      </c>
      <c r="C25" s="49">
        <f>IF(VLOOKUP(Table91213[[#This Row],[Date]],'DB Details'!$A:$Q,3)=0,"",VLOOKUP(Table91213[[#This Row],[Date]],'DB Details'!$A:$Q,3))</f>
        <v>52.7</v>
      </c>
      <c r="D25" s="49">
        <f>IF(VLOOKUP(Table91213[[#This Row],[Date]],'DB Details'!$A:$Q,4)=0,"",VLOOKUP(Table91213[[#This Row],[Date]],'DB Details'!$A:$Q,4))</f>
        <v>51.5</v>
      </c>
      <c r="E25" s="50">
        <f>IF(VLOOKUP(Table91213[[#This Row],[Date]],'DB Details'!$A:$Q,5)=0,"",VLOOKUP(Table91213[[#This Row],[Date]],'DB Details'!$A:$Q,5))</f>
        <v>45.5</v>
      </c>
      <c r="F25" s="49">
        <f>IF(VLOOKUP(Table91213[[#This Row],[Date]],'DB Details'!$A:$Q,6)=0,"",VLOOKUP(Table91213[[#This Row],[Date]],'DB Details'!$A:$Q,6))</f>
        <v>57.3</v>
      </c>
      <c r="G25" s="50">
        <f>IF(VLOOKUP(Table91213[[#This Row],[Date]],'DB Details'!$A:$Q,7)=0,"",VLOOKUP(Table91213[[#This Row],[Date]],'DB Details'!$A:$Q,7))</f>
        <v>60.5</v>
      </c>
      <c r="H25" s="50">
        <f>IF(VLOOKUP(Table91213[[#This Row],[Date]],'DB Details'!$A:$Q,8)=0,"",VLOOKUP(Table91213[[#This Row],[Date]],'DB Details'!$A:$Q,8))</f>
        <v>49.5</v>
      </c>
      <c r="I25" s="50">
        <f>IF(VLOOKUP(Table91213[[#This Row],[Date]],'DB Details'!$A:$Q,9)=0,"",VLOOKUP(Table91213[[#This Row],[Date]],'DB Details'!$A:$Q,9))</f>
        <v>51.5</v>
      </c>
      <c r="J25" s="50">
        <f>IF(VLOOKUP(Table91213[[#This Row],[Date]],'DB Details'!$A:$Q,10)=0,"",VLOOKUP(Table91213[[#This Row],[Date]],'DB Details'!$A:$Q,10))</f>
        <v>52.2</v>
      </c>
      <c r="K25" s="50">
        <f>IF(VLOOKUP(Table91213[[#This Row],[Date]],'DB Details'!$A:$Q,11)=0,"",VLOOKUP(Table91213[[#This Row],[Date]],'DB Details'!$A:$Q,11))</f>
        <v>47.5</v>
      </c>
      <c r="L25" s="48">
        <f>IF(VLOOKUP(Table91213[[#This Row],[Date]],'DB Details'!$A:$Q,12)=0,"",VLOOKUP(Table91213[[#This Row],[Date]],'DB Details'!$A:$Q,12))</f>
        <v>54.4</v>
      </c>
    </row>
    <row r="26" spans="1:12" x14ac:dyDescent="0.35">
      <c r="A26" s="51">
        <v>36220</v>
      </c>
      <c r="B26" s="48">
        <f>IF(VLOOKUP(Table91213[[#This Row],[Date]],'DB Details'!$A:$Q,2)=0,"",VLOOKUP(Table91213[[#This Row],[Date]],'DB Details'!$A:$Q,2))</f>
        <v>58.1</v>
      </c>
      <c r="C26" s="49">
        <f>IF(VLOOKUP(Table91213[[#This Row],[Date]],'DB Details'!$A:$Q,3)=0,"",VLOOKUP(Table91213[[#This Row],[Date]],'DB Details'!$A:$Q,3))</f>
        <v>55.3</v>
      </c>
      <c r="D26" s="49">
        <f>IF(VLOOKUP(Table91213[[#This Row],[Date]],'DB Details'!$A:$Q,4)=0,"",VLOOKUP(Table91213[[#This Row],[Date]],'DB Details'!$A:$Q,4))</f>
        <v>55.5</v>
      </c>
      <c r="E26" s="50">
        <f>IF(VLOOKUP(Table91213[[#This Row],[Date]],'DB Details'!$A:$Q,5)=0,"",VLOOKUP(Table91213[[#This Row],[Date]],'DB Details'!$A:$Q,5))</f>
        <v>48.9</v>
      </c>
      <c r="F26" s="49">
        <f>IF(VLOOKUP(Table91213[[#This Row],[Date]],'DB Details'!$A:$Q,6)=0,"",VLOOKUP(Table91213[[#This Row],[Date]],'DB Details'!$A:$Q,6))</f>
        <v>59.5</v>
      </c>
      <c r="G26" s="50">
        <f>IF(VLOOKUP(Table91213[[#This Row],[Date]],'DB Details'!$A:$Q,7)=0,"",VLOOKUP(Table91213[[#This Row],[Date]],'DB Details'!$A:$Q,7))</f>
        <v>61.5</v>
      </c>
      <c r="H26" s="50">
        <f>IF(VLOOKUP(Table91213[[#This Row],[Date]],'DB Details'!$A:$Q,8)=0,"",VLOOKUP(Table91213[[#This Row],[Date]],'DB Details'!$A:$Q,8))</f>
        <v>47.5</v>
      </c>
      <c r="I26" s="50">
        <f>IF(VLOOKUP(Table91213[[#This Row],[Date]],'DB Details'!$A:$Q,9)=0,"",VLOOKUP(Table91213[[#This Row],[Date]],'DB Details'!$A:$Q,9))</f>
        <v>52.5</v>
      </c>
      <c r="J26" s="50">
        <f>IF(VLOOKUP(Table91213[[#This Row],[Date]],'DB Details'!$A:$Q,10)=0,"",VLOOKUP(Table91213[[#This Row],[Date]],'DB Details'!$A:$Q,10))</f>
        <v>51.1</v>
      </c>
      <c r="K26" s="50">
        <f>IF(VLOOKUP(Table91213[[#This Row],[Date]],'DB Details'!$A:$Q,11)=0,"",VLOOKUP(Table91213[[#This Row],[Date]],'DB Details'!$A:$Q,11))</f>
        <v>58.5</v>
      </c>
      <c r="L26" s="48">
        <f>IF(VLOOKUP(Table91213[[#This Row],[Date]],'DB Details'!$A:$Q,12)=0,"",VLOOKUP(Table91213[[#This Row],[Date]],'DB Details'!$A:$Q,12))</f>
        <v>55.3</v>
      </c>
    </row>
    <row r="27" spans="1:12" x14ac:dyDescent="0.35">
      <c r="A27" s="51">
        <v>36251</v>
      </c>
      <c r="B27" s="48">
        <f>IF(VLOOKUP(Table91213[[#This Row],[Date]],'DB Details'!$A:$Q,2)=0,"",VLOOKUP(Table91213[[#This Row],[Date]],'DB Details'!$A:$Q,2))</f>
        <v>58.6</v>
      </c>
      <c r="C27" s="49">
        <f>IF(VLOOKUP(Table91213[[#This Row],[Date]],'DB Details'!$A:$Q,3)=0,"",VLOOKUP(Table91213[[#This Row],[Date]],'DB Details'!$A:$Q,3))</f>
        <v>52.6</v>
      </c>
      <c r="D27" s="49">
        <f>IF(VLOOKUP(Table91213[[#This Row],[Date]],'DB Details'!$A:$Q,4)=0,"",VLOOKUP(Table91213[[#This Row],[Date]],'DB Details'!$A:$Q,4))</f>
        <v>51</v>
      </c>
      <c r="E27" s="50">
        <f>IF(VLOOKUP(Table91213[[#This Row],[Date]],'DB Details'!$A:$Q,5)=0,"",VLOOKUP(Table91213[[#This Row],[Date]],'DB Details'!$A:$Q,5))</f>
        <v>51.4</v>
      </c>
      <c r="F27" s="49">
        <f>IF(VLOOKUP(Table91213[[#This Row],[Date]],'DB Details'!$A:$Q,6)=0,"",VLOOKUP(Table91213[[#This Row],[Date]],'DB Details'!$A:$Q,6))</f>
        <v>59.8</v>
      </c>
      <c r="G27" s="50">
        <f>IF(VLOOKUP(Table91213[[#This Row],[Date]],'DB Details'!$A:$Q,7)=0,"",VLOOKUP(Table91213[[#This Row],[Date]],'DB Details'!$A:$Q,7))</f>
        <v>63</v>
      </c>
      <c r="H27" s="50">
        <f>IF(VLOOKUP(Table91213[[#This Row],[Date]],'DB Details'!$A:$Q,8)=0,"",VLOOKUP(Table91213[[#This Row],[Date]],'DB Details'!$A:$Q,8))</f>
        <v>48.5</v>
      </c>
      <c r="I27" s="50">
        <f>IF(VLOOKUP(Table91213[[#This Row],[Date]],'DB Details'!$A:$Q,9)=0,"",VLOOKUP(Table91213[[#This Row],[Date]],'DB Details'!$A:$Q,9))</f>
        <v>51.5</v>
      </c>
      <c r="J27" s="50">
        <f>IF(VLOOKUP(Table91213[[#This Row],[Date]],'DB Details'!$A:$Q,10)=0,"",VLOOKUP(Table91213[[#This Row],[Date]],'DB Details'!$A:$Q,10))</f>
        <v>52</v>
      </c>
      <c r="K27" s="50">
        <f>IF(VLOOKUP(Table91213[[#This Row],[Date]],'DB Details'!$A:$Q,11)=0,"",VLOOKUP(Table91213[[#This Row],[Date]],'DB Details'!$A:$Q,11))</f>
        <v>56.5</v>
      </c>
      <c r="L27" s="48">
        <f>IF(VLOOKUP(Table91213[[#This Row],[Date]],'DB Details'!$A:$Q,12)=0,"",VLOOKUP(Table91213[[#This Row],[Date]],'DB Details'!$A:$Q,12))</f>
        <v>55.5</v>
      </c>
    </row>
    <row r="28" spans="1:12" x14ac:dyDescent="0.35">
      <c r="A28" s="51">
        <v>36281</v>
      </c>
      <c r="B28" s="48">
        <f>IF(VLOOKUP(Table91213[[#This Row],[Date]],'DB Details'!$A:$Q,2)=0,"",VLOOKUP(Table91213[[#This Row],[Date]],'DB Details'!$A:$Q,2))</f>
        <v>56.4</v>
      </c>
      <c r="C28" s="49">
        <f>IF(VLOOKUP(Table91213[[#This Row],[Date]],'DB Details'!$A:$Q,3)=0,"",VLOOKUP(Table91213[[#This Row],[Date]],'DB Details'!$A:$Q,3))</f>
        <v>54.4</v>
      </c>
      <c r="D28" s="49">
        <f>IF(VLOOKUP(Table91213[[#This Row],[Date]],'DB Details'!$A:$Q,4)=0,"",VLOOKUP(Table91213[[#This Row],[Date]],'DB Details'!$A:$Q,4))</f>
        <v>50.5</v>
      </c>
      <c r="E28" s="50">
        <f>IF(VLOOKUP(Table91213[[#This Row],[Date]],'DB Details'!$A:$Q,5)=0,"",VLOOKUP(Table91213[[#This Row],[Date]],'DB Details'!$A:$Q,5))</f>
        <v>52.9</v>
      </c>
      <c r="F28" s="49">
        <f>IF(VLOOKUP(Table91213[[#This Row],[Date]],'DB Details'!$A:$Q,6)=0,"",VLOOKUP(Table91213[[#This Row],[Date]],'DB Details'!$A:$Q,6))</f>
        <v>57.7</v>
      </c>
      <c r="G28" s="50">
        <f>IF(VLOOKUP(Table91213[[#This Row],[Date]],'DB Details'!$A:$Q,7)=0,"",VLOOKUP(Table91213[[#This Row],[Date]],'DB Details'!$A:$Q,7))</f>
        <v>61</v>
      </c>
      <c r="H28" s="50">
        <f>IF(VLOOKUP(Table91213[[#This Row],[Date]],'DB Details'!$A:$Q,8)=0,"",VLOOKUP(Table91213[[#This Row],[Date]],'DB Details'!$A:$Q,8))</f>
        <v>51.5</v>
      </c>
      <c r="I28" s="50">
        <f>IF(VLOOKUP(Table91213[[#This Row],[Date]],'DB Details'!$A:$Q,9)=0,"",VLOOKUP(Table91213[[#This Row],[Date]],'DB Details'!$A:$Q,9))</f>
        <v>54</v>
      </c>
      <c r="J28" s="50">
        <f>IF(VLOOKUP(Table91213[[#This Row],[Date]],'DB Details'!$A:$Q,10)=0,"",VLOOKUP(Table91213[[#This Row],[Date]],'DB Details'!$A:$Q,10))</f>
        <v>52.9</v>
      </c>
      <c r="K28" s="50">
        <f>IF(VLOOKUP(Table91213[[#This Row],[Date]],'DB Details'!$A:$Q,11)=0,"",VLOOKUP(Table91213[[#This Row],[Date]],'DB Details'!$A:$Q,11))</f>
        <v>58.5</v>
      </c>
      <c r="L28" s="48">
        <f>IF(VLOOKUP(Table91213[[#This Row],[Date]],'DB Details'!$A:$Q,12)=0,"",VLOOKUP(Table91213[[#This Row],[Date]],'DB Details'!$A:$Q,12))</f>
        <v>55.3</v>
      </c>
    </row>
    <row r="29" spans="1:12" x14ac:dyDescent="0.35">
      <c r="A29" s="51">
        <v>36312</v>
      </c>
      <c r="B29" s="48">
        <f>IF(VLOOKUP(Table91213[[#This Row],[Date]],'DB Details'!$A:$Q,2)=0,"",VLOOKUP(Table91213[[#This Row],[Date]],'DB Details'!$A:$Q,2))</f>
        <v>59.7</v>
      </c>
      <c r="C29" s="49">
        <f>IF(VLOOKUP(Table91213[[#This Row],[Date]],'DB Details'!$A:$Q,3)=0,"",VLOOKUP(Table91213[[#This Row],[Date]],'DB Details'!$A:$Q,3))</f>
        <v>51.9</v>
      </c>
      <c r="D29" s="49">
        <f>IF(VLOOKUP(Table91213[[#This Row],[Date]],'DB Details'!$A:$Q,4)=0,"",VLOOKUP(Table91213[[#This Row],[Date]],'DB Details'!$A:$Q,4))</f>
        <v>52</v>
      </c>
      <c r="E29" s="50">
        <f>IF(VLOOKUP(Table91213[[#This Row],[Date]],'DB Details'!$A:$Q,5)=0,"",VLOOKUP(Table91213[[#This Row],[Date]],'DB Details'!$A:$Q,5))</f>
        <v>53.2</v>
      </c>
      <c r="F29" s="49">
        <f>IF(VLOOKUP(Table91213[[#This Row],[Date]],'DB Details'!$A:$Q,6)=0,"",VLOOKUP(Table91213[[#This Row],[Date]],'DB Details'!$A:$Q,6))</f>
        <v>57.9</v>
      </c>
      <c r="G29" s="50">
        <f>IF(VLOOKUP(Table91213[[#This Row],[Date]],'DB Details'!$A:$Q,7)=0,"",VLOOKUP(Table91213[[#This Row],[Date]],'DB Details'!$A:$Q,7))</f>
        <v>61</v>
      </c>
      <c r="H29" s="50">
        <f>IF(VLOOKUP(Table91213[[#This Row],[Date]],'DB Details'!$A:$Q,8)=0,"",VLOOKUP(Table91213[[#This Row],[Date]],'DB Details'!$A:$Q,8))</f>
        <v>49.5</v>
      </c>
      <c r="I29" s="50">
        <f>IF(VLOOKUP(Table91213[[#This Row],[Date]],'DB Details'!$A:$Q,9)=0,"",VLOOKUP(Table91213[[#This Row],[Date]],'DB Details'!$A:$Q,9))</f>
        <v>54</v>
      </c>
      <c r="J29" s="50">
        <f>IF(VLOOKUP(Table91213[[#This Row],[Date]],'DB Details'!$A:$Q,10)=0,"",VLOOKUP(Table91213[[#This Row],[Date]],'DB Details'!$A:$Q,10))</f>
        <v>55.3</v>
      </c>
      <c r="K29" s="50">
        <f>IF(VLOOKUP(Table91213[[#This Row],[Date]],'DB Details'!$A:$Q,11)=0,"",VLOOKUP(Table91213[[#This Row],[Date]],'DB Details'!$A:$Q,11))</f>
        <v>53.5</v>
      </c>
      <c r="L29" s="48">
        <f>IF(VLOOKUP(Table91213[[#This Row],[Date]],'DB Details'!$A:$Q,12)=0,"",VLOOKUP(Table91213[[#This Row],[Date]],'DB Details'!$A:$Q,12))</f>
        <v>56.7</v>
      </c>
    </row>
    <row r="30" spans="1:12" x14ac:dyDescent="0.35">
      <c r="A30" s="51">
        <v>36342</v>
      </c>
      <c r="B30" s="48">
        <f>IF(VLOOKUP(Table91213[[#This Row],[Date]],'DB Details'!$A:$Q,2)=0,"",VLOOKUP(Table91213[[#This Row],[Date]],'DB Details'!$A:$Q,2))</f>
        <v>58.1</v>
      </c>
      <c r="C30" s="49">
        <f>IF(VLOOKUP(Table91213[[#This Row],[Date]],'DB Details'!$A:$Q,3)=0,"",VLOOKUP(Table91213[[#This Row],[Date]],'DB Details'!$A:$Q,3))</f>
        <v>55.9</v>
      </c>
      <c r="D30" s="49">
        <f>IF(VLOOKUP(Table91213[[#This Row],[Date]],'DB Details'!$A:$Q,4)=0,"",VLOOKUP(Table91213[[#This Row],[Date]],'DB Details'!$A:$Q,4))</f>
        <v>50</v>
      </c>
      <c r="E30" s="50">
        <f>IF(VLOOKUP(Table91213[[#This Row],[Date]],'DB Details'!$A:$Q,5)=0,"",VLOOKUP(Table91213[[#This Row],[Date]],'DB Details'!$A:$Q,5))</f>
        <v>57.7</v>
      </c>
      <c r="F30" s="49">
        <f>IF(VLOOKUP(Table91213[[#This Row],[Date]],'DB Details'!$A:$Q,6)=0,"",VLOOKUP(Table91213[[#This Row],[Date]],'DB Details'!$A:$Q,6))</f>
        <v>60.7</v>
      </c>
      <c r="G30" s="50">
        <f>IF(VLOOKUP(Table91213[[#This Row],[Date]],'DB Details'!$A:$Q,7)=0,"",VLOOKUP(Table91213[[#This Row],[Date]],'DB Details'!$A:$Q,7))</f>
        <v>61</v>
      </c>
      <c r="H30" s="50">
        <f>IF(VLOOKUP(Table91213[[#This Row],[Date]],'DB Details'!$A:$Q,8)=0,"",VLOOKUP(Table91213[[#This Row],[Date]],'DB Details'!$A:$Q,8))</f>
        <v>49.5</v>
      </c>
      <c r="I30" s="50">
        <f>IF(VLOOKUP(Table91213[[#This Row],[Date]],'DB Details'!$A:$Q,9)=0,"",VLOOKUP(Table91213[[#This Row],[Date]],'DB Details'!$A:$Q,9))</f>
        <v>52.5</v>
      </c>
      <c r="J30" s="50">
        <f>IF(VLOOKUP(Table91213[[#This Row],[Date]],'DB Details'!$A:$Q,10)=0,"",VLOOKUP(Table91213[[#This Row],[Date]],'DB Details'!$A:$Q,10))</f>
        <v>53.4</v>
      </c>
      <c r="K30" s="50">
        <f>IF(VLOOKUP(Table91213[[#This Row],[Date]],'DB Details'!$A:$Q,11)=0,"",VLOOKUP(Table91213[[#This Row],[Date]],'DB Details'!$A:$Q,11))</f>
        <v>57.5</v>
      </c>
      <c r="L30" s="48">
        <f>IF(VLOOKUP(Table91213[[#This Row],[Date]],'DB Details'!$A:$Q,12)=0,"",VLOOKUP(Table91213[[#This Row],[Date]],'DB Details'!$A:$Q,12))</f>
        <v>56.2</v>
      </c>
    </row>
    <row r="31" spans="1:12" x14ac:dyDescent="0.35">
      <c r="A31" s="51">
        <v>36373</v>
      </c>
      <c r="B31" s="48">
        <f>IF(VLOOKUP(Table91213[[#This Row],[Date]],'DB Details'!$A:$Q,2)=0,"",VLOOKUP(Table91213[[#This Row],[Date]],'DB Details'!$A:$Q,2))</f>
        <v>59.6</v>
      </c>
      <c r="C31" s="49">
        <f>IF(VLOOKUP(Table91213[[#This Row],[Date]],'DB Details'!$A:$Q,3)=0,"",VLOOKUP(Table91213[[#This Row],[Date]],'DB Details'!$A:$Q,3))</f>
        <v>52.3</v>
      </c>
      <c r="D31" s="49">
        <f>IF(VLOOKUP(Table91213[[#This Row],[Date]],'DB Details'!$A:$Q,4)=0,"",VLOOKUP(Table91213[[#This Row],[Date]],'DB Details'!$A:$Q,4))</f>
        <v>51.5</v>
      </c>
      <c r="E31" s="50">
        <f>IF(VLOOKUP(Table91213[[#This Row],[Date]],'DB Details'!$A:$Q,5)=0,"",VLOOKUP(Table91213[[#This Row],[Date]],'DB Details'!$A:$Q,5))</f>
        <v>58.9</v>
      </c>
      <c r="F31" s="49">
        <f>IF(VLOOKUP(Table91213[[#This Row],[Date]],'DB Details'!$A:$Q,6)=0,"",VLOOKUP(Table91213[[#This Row],[Date]],'DB Details'!$A:$Q,6))</f>
        <v>60.3</v>
      </c>
      <c r="G31" s="50">
        <f>IF(VLOOKUP(Table91213[[#This Row],[Date]],'DB Details'!$A:$Q,7)=0,"",VLOOKUP(Table91213[[#This Row],[Date]],'DB Details'!$A:$Q,7))</f>
        <v>63</v>
      </c>
      <c r="H31" s="50">
        <f>IF(VLOOKUP(Table91213[[#This Row],[Date]],'DB Details'!$A:$Q,8)=0,"",VLOOKUP(Table91213[[#This Row],[Date]],'DB Details'!$A:$Q,8))</f>
        <v>52</v>
      </c>
      <c r="I31" s="50">
        <f>IF(VLOOKUP(Table91213[[#This Row],[Date]],'DB Details'!$A:$Q,9)=0,"",VLOOKUP(Table91213[[#This Row],[Date]],'DB Details'!$A:$Q,9))</f>
        <v>53.5</v>
      </c>
      <c r="J31" s="50">
        <f>IF(VLOOKUP(Table91213[[#This Row],[Date]],'DB Details'!$A:$Q,10)=0,"",VLOOKUP(Table91213[[#This Row],[Date]],'DB Details'!$A:$Q,10))</f>
        <v>52.3</v>
      </c>
      <c r="K31" s="50">
        <f>IF(VLOOKUP(Table91213[[#This Row],[Date]],'DB Details'!$A:$Q,11)=0,"",VLOOKUP(Table91213[[#This Row],[Date]],'DB Details'!$A:$Q,11))</f>
        <v>58</v>
      </c>
      <c r="L31" s="48">
        <f>IF(VLOOKUP(Table91213[[#This Row],[Date]],'DB Details'!$A:$Q,12)=0,"",VLOOKUP(Table91213[[#This Row],[Date]],'DB Details'!$A:$Q,12))</f>
        <v>56.4</v>
      </c>
    </row>
    <row r="32" spans="1:12" x14ac:dyDescent="0.35">
      <c r="A32" s="51">
        <v>36404</v>
      </c>
      <c r="B32" s="48">
        <f>IF(VLOOKUP(Table91213[[#This Row],[Date]],'DB Details'!$A:$Q,2)=0,"",VLOOKUP(Table91213[[#This Row],[Date]],'DB Details'!$A:$Q,2))</f>
        <v>60.1</v>
      </c>
      <c r="C32" s="49">
        <f>IF(VLOOKUP(Table91213[[#This Row],[Date]],'DB Details'!$A:$Q,3)=0,"",VLOOKUP(Table91213[[#This Row],[Date]],'DB Details'!$A:$Q,3))</f>
        <v>55.5</v>
      </c>
      <c r="D32" s="49">
        <f>IF(VLOOKUP(Table91213[[#This Row],[Date]],'DB Details'!$A:$Q,4)=0,"",VLOOKUP(Table91213[[#This Row],[Date]],'DB Details'!$A:$Q,4))</f>
        <v>52.5</v>
      </c>
      <c r="E32" s="50">
        <f>IF(VLOOKUP(Table91213[[#This Row],[Date]],'DB Details'!$A:$Q,5)=0,"",VLOOKUP(Table91213[[#This Row],[Date]],'DB Details'!$A:$Q,5))</f>
        <v>64.2</v>
      </c>
      <c r="F32" s="49">
        <f>IF(VLOOKUP(Table91213[[#This Row],[Date]],'DB Details'!$A:$Q,6)=0,"",VLOOKUP(Table91213[[#This Row],[Date]],'DB Details'!$A:$Q,6))</f>
        <v>59.1</v>
      </c>
      <c r="G32" s="50">
        <f>IF(VLOOKUP(Table91213[[#This Row],[Date]],'DB Details'!$A:$Q,7)=0,"",VLOOKUP(Table91213[[#This Row],[Date]],'DB Details'!$A:$Q,7))</f>
        <v>61.5</v>
      </c>
      <c r="H32" s="50">
        <f>IF(VLOOKUP(Table91213[[#This Row],[Date]],'DB Details'!$A:$Q,8)=0,"",VLOOKUP(Table91213[[#This Row],[Date]],'DB Details'!$A:$Q,8))</f>
        <v>52</v>
      </c>
      <c r="I32" s="50">
        <f>IF(VLOOKUP(Table91213[[#This Row],[Date]],'DB Details'!$A:$Q,9)=0,"",VLOOKUP(Table91213[[#This Row],[Date]],'DB Details'!$A:$Q,9))</f>
        <v>54</v>
      </c>
      <c r="J32" s="50">
        <f>IF(VLOOKUP(Table91213[[#This Row],[Date]],'DB Details'!$A:$Q,10)=0,"",VLOOKUP(Table91213[[#This Row],[Date]],'DB Details'!$A:$Q,10))</f>
        <v>51.4</v>
      </c>
      <c r="K32" s="50">
        <f>IF(VLOOKUP(Table91213[[#This Row],[Date]],'DB Details'!$A:$Q,11)=0,"",VLOOKUP(Table91213[[#This Row],[Date]],'DB Details'!$A:$Q,11))</f>
        <v>62.5</v>
      </c>
      <c r="L32" s="48">
        <f>IF(VLOOKUP(Table91213[[#This Row],[Date]],'DB Details'!$A:$Q,12)=0,"",VLOOKUP(Table91213[[#This Row],[Date]],'DB Details'!$A:$Q,12))</f>
        <v>56.2</v>
      </c>
    </row>
    <row r="33" spans="1:12" x14ac:dyDescent="0.35">
      <c r="A33" s="51">
        <v>36434</v>
      </c>
      <c r="B33" s="48">
        <f>IF(VLOOKUP(Table91213[[#This Row],[Date]],'DB Details'!$A:$Q,2)=0,"",VLOOKUP(Table91213[[#This Row],[Date]],'DB Details'!$A:$Q,2))</f>
        <v>62</v>
      </c>
      <c r="C33" s="49">
        <f>IF(VLOOKUP(Table91213[[#This Row],[Date]],'DB Details'!$A:$Q,3)=0,"",VLOOKUP(Table91213[[#This Row],[Date]],'DB Details'!$A:$Q,3))</f>
        <v>55.7</v>
      </c>
      <c r="D33" s="49">
        <f>IF(VLOOKUP(Table91213[[#This Row],[Date]],'DB Details'!$A:$Q,4)=0,"",VLOOKUP(Table91213[[#This Row],[Date]],'DB Details'!$A:$Q,4))</f>
        <v>52</v>
      </c>
      <c r="E33" s="50">
        <f>IF(VLOOKUP(Table91213[[#This Row],[Date]],'DB Details'!$A:$Q,5)=0,"",VLOOKUP(Table91213[[#This Row],[Date]],'DB Details'!$A:$Q,5))</f>
        <v>58.9</v>
      </c>
      <c r="F33" s="49">
        <f>IF(VLOOKUP(Table91213[[#This Row],[Date]],'DB Details'!$A:$Q,6)=0,"",VLOOKUP(Table91213[[#This Row],[Date]],'DB Details'!$A:$Q,6))</f>
        <v>60.7</v>
      </c>
      <c r="G33" s="50">
        <f>IF(VLOOKUP(Table91213[[#This Row],[Date]],'DB Details'!$A:$Q,7)=0,"",VLOOKUP(Table91213[[#This Row],[Date]],'DB Details'!$A:$Q,7))</f>
        <v>58</v>
      </c>
      <c r="H33" s="50">
        <f>IF(VLOOKUP(Table91213[[#This Row],[Date]],'DB Details'!$A:$Q,8)=0,"",VLOOKUP(Table91213[[#This Row],[Date]],'DB Details'!$A:$Q,8))</f>
        <v>47.5</v>
      </c>
      <c r="I33" s="50">
        <f>IF(VLOOKUP(Table91213[[#This Row],[Date]],'DB Details'!$A:$Q,9)=0,"",VLOOKUP(Table91213[[#This Row],[Date]],'DB Details'!$A:$Q,9))</f>
        <v>56</v>
      </c>
      <c r="J33" s="50">
        <f>IF(VLOOKUP(Table91213[[#This Row],[Date]],'DB Details'!$A:$Q,10)=0,"",VLOOKUP(Table91213[[#This Row],[Date]],'DB Details'!$A:$Q,10))</f>
        <v>51.7</v>
      </c>
      <c r="K33" s="50">
        <f>IF(VLOOKUP(Table91213[[#This Row],[Date]],'DB Details'!$A:$Q,11)=0,"",VLOOKUP(Table91213[[#This Row],[Date]],'DB Details'!$A:$Q,11))</f>
        <v>54</v>
      </c>
      <c r="L33" s="48">
        <f>IF(VLOOKUP(Table91213[[#This Row],[Date]],'DB Details'!$A:$Q,12)=0,"",VLOOKUP(Table91213[[#This Row],[Date]],'DB Details'!$A:$Q,12))</f>
        <v>57.6</v>
      </c>
    </row>
    <row r="34" spans="1:12" x14ac:dyDescent="0.35">
      <c r="A34" s="51">
        <v>36465</v>
      </c>
      <c r="B34" s="48">
        <f>IF(VLOOKUP(Table91213[[#This Row],[Date]],'DB Details'!$A:$Q,2)=0,"",VLOOKUP(Table91213[[#This Row],[Date]],'DB Details'!$A:$Q,2))</f>
        <v>55.5</v>
      </c>
      <c r="C34" s="49">
        <f>IF(VLOOKUP(Table91213[[#This Row],[Date]],'DB Details'!$A:$Q,3)=0,"",VLOOKUP(Table91213[[#This Row],[Date]],'DB Details'!$A:$Q,3))</f>
        <v>53.8</v>
      </c>
      <c r="D34" s="49">
        <f>IF(VLOOKUP(Table91213[[#This Row],[Date]],'DB Details'!$A:$Q,4)=0,"",VLOOKUP(Table91213[[#This Row],[Date]],'DB Details'!$A:$Q,4))</f>
        <v>49</v>
      </c>
      <c r="E34" s="50">
        <f>IF(VLOOKUP(Table91213[[#This Row],[Date]],'DB Details'!$A:$Q,5)=0,"",VLOOKUP(Table91213[[#This Row],[Date]],'DB Details'!$A:$Q,5))</f>
        <v>61</v>
      </c>
      <c r="F34" s="49">
        <f>IF(VLOOKUP(Table91213[[#This Row],[Date]],'DB Details'!$A:$Q,6)=0,"",VLOOKUP(Table91213[[#This Row],[Date]],'DB Details'!$A:$Q,6))</f>
        <v>57</v>
      </c>
      <c r="G34" s="50">
        <f>IF(VLOOKUP(Table91213[[#This Row],[Date]],'DB Details'!$A:$Q,7)=0,"",VLOOKUP(Table91213[[#This Row],[Date]],'DB Details'!$A:$Q,7))</f>
        <v>62.5</v>
      </c>
      <c r="H34" s="50">
        <f>IF(VLOOKUP(Table91213[[#This Row],[Date]],'DB Details'!$A:$Q,8)=0,"",VLOOKUP(Table91213[[#This Row],[Date]],'DB Details'!$A:$Q,8))</f>
        <v>52.5</v>
      </c>
      <c r="I34" s="50">
        <f>IF(VLOOKUP(Table91213[[#This Row],[Date]],'DB Details'!$A:$Q,9)=0,"",VLOOKUP(Table91213[[#This Row],[Date]],'DB Details'!$A:$Q,9))</f>
        <v>56.5</v>
      </c>
      <c r="J34" s="50">
        <f>IF(VLOOKUP(Table91213[[#This Row],[Date]],'DB Details'!$A:$Q,10)=0,"",VLOOKUP(Table91213[[#This Row],[Date]],'DB Details'!$A:$Q,10))</f>
        <v>50.6</v>
      </c>
      <c r="K34" s="50">
        <f>IF(VLOOKUP(Table91213[[#This Row],[Date]],'DB Details'!$A:$Q,11)=0,"",VLOOKUP(Table91213[[#This Row],[Date]],'DB Details'!$A:$Q,11))</f>
        <v>56</v>
      </c>
      <c r="L34" s="48">
        <f>IF(VLOOKUP(Table91213[[#This Row],[Date]],'DB Details'!$A:$Q,12)=0,"",VLOOKUP(Table91213[[#This Row],[Date]],'DB Details'!$A:$Q,12))</f>
        <v>54.9</v>
      </c>
    </row>
    <row r="35" spans="1:12" x14ac:dyDescent="0.35">
      <c r="A35" s="51">
        <v>36495</v>
      </c>
      <c r="B35" s="48">
        <f>IF(VLOOKUP(Table91213[[#This Row],[Date]],'DB Details'!$A:$Q,2)=0,"",VLOOKUP(Table91213[[#This Row],[Date]],'DB Details'!$A:$Q,2))</f>
        <v>61.1</v>
      </c>
      <c r="C35" s="49">
        <f>IF(VLOOKUP(Table91213[[#This Row],[Date]],'DB Details'!$A:$Q,3)=0,"",VLOOKUP(Table91213[[#This Row],[Date]],'DB Details'!$A:$Q,3))</f>
        <v>50.8</v>
      </c>
      <c r="D35" s="49">
        <f>IF(VLOOKUP(Table91213[[#This Row],[Date]],'DB Details'!$A:$Q,4)=0,"",VLOOKUP(Table91213[[#This Row],[Date]],'DB Details'!$A:$Q,4))</f>
        <v>49</v>
      </c>
      <c r="E35" s="50">
        <f>IF(VLOOKUP(Table91213[[#This Row],[Date]],'DB Details'!$A:$Q,5)=0,"",VLOOKUP(Table91213[[#This Row],[Date]],'DB Details'!$A:$Q,5))</f>
        <v>60.5</v>
      </c>
      <c r="F35" s="49">
        <f>IF(VLOOKUP(Table91213[[#This Row],[Date]],'DB Details'!$A:$Q,6)=0,"",VLOOKUP(Table91213[[#This Row],[Date]],'DB Details'!$A:$Q,6))</f>
        <v>60.4</v>
      </c>
      <c r="G35" s="50">
        <f>IF(VLOOKUP(Table91213[[#This Row],[Date]],'DB Details'!$A:$Q,7)=0,"",VLOOKUP(Table91213[[#This Row],[Date]],'DB Details'!$A:$Q,7))</f>
        <v>61.5</v>
      </c>
      <c r="H35" s="50">
        <f>IF(VLOOKUP(Table91213[[#This Row],[Date]],'DB Details'!$A:$Q,8)=0,"",VLOOKUP(Table91213[[#This Row],[Date]],'DB Details'!$A:$Q,8))</f>
        <v>50</v>
      </c>
      <c r="I35" s="50">
        <f>IF(VLOOKUP(Table91213[[#This Row],[Date]],'DB Details'!$A:$Q,9)=0,"",VLOOKUP(Table91213[[#This Row],[Date]],'DB Details'!$A:$Q,9))</f>
        <v>53</v>
      </c>
      <c r="J35" s="50">
        <f>IF(VLOOKUP(Table91213[[#This Row],[Date]],'DB Details'!$A:$Q,10)=0,"",VLOOKUP(Table91213[[#This Row],[Date]],'DB Details'!$A:$Q,10))</f>
        <v>53</v>
      </c>
      <c r="K35" s="50">
        <f>IF(VLOOKUP(Table91213[[#This Row],[Date]],'DB Details'!$A:$Q,11)=0,"",VLOOKUP(Table91213[[#This Row],[Date]],'DB Details'!$A:$Q,11))</f>
        <v>58</v>
      </c>
      <c r="L35" s="48">
        <f>IF(VLOOKUP(Table91213[[#This Row],[Date]],'DB Details'!$A:$Q,12)=0,"",VLOOKUP(Table91213[[#This Row],[Date]],'DB Details'!$A:$Q,12))</f>
        <v>56.9</v>
      </c>
    </row>
    <row r="36" spans="1:12" x14ac:dyDescent="0.35">
      <c r="A36" s="51">
        <v>36526</v>
      </c>
      <c r="B36" s="48">
        <f>IF(VLOOKUP(Table91213[[#This Row],[Date]],'DB Details'!$A:$Q,2)=0,"",VLOOKUP(Table91213[[#This Row],[Date]],'DB Details'!$A:$Q,2))</f>
        <v>60.8</v>
      </c>
      <c r="C36" s="49">
        <f>IF(VLOOKUP(Table91213[[#This Row],[Date]],'DB Details'!$A:$Q,3)=0,"",VLOOKUP(Table91213[[#This Row],[Date]],'DB Details'!$A:$Q,3))</f>
        <v>54.9</v>
      </c>
      <c r="D36" s="49">
        <f>IF(VLOOKUP(Table91213[[#This Row],[Date]],'DB Details'!$A:$Q,4)=0,"",VLOOKUP(Table91213[[#This Row],[Date]],'DB Details'!$A:$Q,4))</f>
        <v>48.5</v>
      </c>
      <c r="E36" s="50">
        <f>IF(VLOOKUP(Table91213[[#This Row],[Date]],'DB Details'!$A:$Q,5)=0,"",VLOOKUP(Table91213[[#This Row],[Date]],'DB Details'!$A:$Q,5))</f>
        <v>61.4</v>
      </c>
      <c r="F36" s="49">
        <f>IF(VLOOKUP(Table91213[[#This Row],[Date]],'DB Details'!$A:$Q,6)=0,"",VLOOKUP(Table91213[[#This Row],[Date]],'DB Details'!$A:$Q,6))</f>
        <v>57.7</v>
      </c>
      <c r="G36" s="50">
        <f>IF(VLOOKUP(Table91213[[#This Row],[Date]],'DB Details'!$A:$Q,7)=0,"",VLOOKUP(Table91213[[#This Row],[Date]],'DB Details'!$A:$Q,7))</f>
        <v>67</v>
      </c>
      <c r="H36" s="50">
        <f>IF(VLOOKUP(Table91213[[#This Row],[Date]],'DB Details'!$A:$Q,8)=0,"",VLOOKUP(Table91213[[#This Row],[Date]],'DB Details'!$A:$Q,8))</f>
        <v>49.5</v>
      </c>
      <c r="I36" s="50">
        <f>IF(VLOOKUP(Table91213[[#This Row],[Date]],'DB Details'!$A:$Q,9)=0,"",VLOOKUP(Table91213[[#This Row],[Date]],'DB Details'!$A:$Q,9))</f>
        <v>55.5</v>
      </c>
      <c r="J36" s="50">
        <f>IF(VLOOKUP(Table91213[[#This Row],[Date]],'DB Details'!$A:$Q,10)=0,"",VLOOKUP(Table91213[[#This Row],[Date]],'DB Details'!$A:$Q,10))</f>
        <v>52.3</v>
      </c>
      <c r="K36" s="50">
        <f>IF(VLOOKUP(Table91213[[#This Row],[Date]],'DB Details'!$A:$Q,11)=0,"",VLOOKUP(Table91213[[#This Row],[Date]],'DB Details'!$A:$Q,11))</f>
        <v>57.5</v>
      </c>
      <c r="L36" s="48">
        <f>IF(VLOOKUP(Table91213[[#This Row],[Date]],'DB Details'!$A:$Q,12)=0,"",VLOOKUP(Table91213[[#This Row],[Date]],'DB Details'!$A:$Q,12))</f>
        <v>56.6</v>
      </c>
    </row>
    <row r="37" spans="1:12" x14ac:dyDescent="0.35">
      <c r="A37" s="51">
        <v>36557</v>
      </c>
      <c r="B37" s="48">
        <f>IF(VLOOKUP(Table91213[[#This Row],[Date]],'DB Details'!$A:$Q,2)=0,"",VLOOKUP(Table91213[[#This Row],[Date]],'DB Details'!$A:$Q,2))</f>
        <v>58.9</v>
      </c>
      <c r="C37" s="49">
        <f>IF(VLOOKUP(Table91213[[#This Row],[Date]],'DB Details'!$A:$Q,3)=0,"",VLOOKUP(Table91213[[#This Row],[Date]],'DB Details'!$A:$Q,3))</f>
        <v>51.9</v>
      </c>
      <c r="D37" s="49">
        <f>IF(VLOOKUP(Table91213[[#This Row],[Date]],'DB Details'!$A:$Q,4)=0,"",VLOOKUP(Table91213[[#This Row],[Date]],'DB Details'!$A:$Q,4))</f>
        <v>52</v>
      </c>
      <c r="E37" s="50">
        <f>IF(VLOOKUP(Table91213[[#This Row],[Date]],'DB Details'!$A:$Q,5)=0,"",VLOOKUP(Table91213[[#This Row],[Date]],'DB Details'!$A:$Q,5))</f>
        <v>66.5</v>
      </c>
      <c r="F37" s="49">
        <f>IF(VLOOKUP(Table91213[[#This Row],[Date]],'DB Details'!$A:$Q,6)=0,"",VLOOKUP(Table91213[[#This Row],[Date]],'DB Details'!$A:$Q,6))</f>
        <v>58.2</v>
      </c>
      <c r="G37" s="50">
        <f>IF(VLOOKUP(Table91213[[#This Row],[Date]],'DB Details'!$A:$Q,7)=0,"",VLOOKUP(Table91213[[#This Row],[Date]],'DB Details'!$A:$Q,7))</f>
        <v>66.5</v>
      </c>
      <c r="H37" s="50">
        <f>IF(VLOOKUP(Table91213[[#This Row],[Date]],'DB Details'!$A:$Q,8)=0,"",VLOOKUP(Table91213[[#This Row],[Date]],'DB Details'!$A:$Q,8))</f>
        <v>49.5</v>
      </c>
      <c r="I37" s="50">
        <f>IF(VLOOKUP(Table91213[[#This Row],[Date]],'DB Details'!$A:$Q,9)=0,"",VLOOKUP(Table91213[[#This Row],[Date]],'DB Details'!$A:$Q,9))</f>
        <v>55</v>
      </c>
      <c r="J37" s="50">
        <f>IF(VLOOKUP(Table91213[[#This Row],[Date]],'DB Details'!$A:$Q,10)=0,"",VLOOKUP(Table91213[[#This Row],[Date]],'DB Details'!$A:$Q,10))</f>
        <v>52.8</v>
      </c>
      <c r="K37" s="50">
        <f>IF(VLOOKUP(Table91213[[#This Row],[Date]],'DB Details'!$A:$Q,11)=0,"",VLOOKUP(Table91213[[#This Row],[Date]],'DB Details'!$A:$Q,11))</f>
        <v>47.5</v>
      </c>
      <c r="L37" s="48">
        <f>IF(VLOOKUP(Table91213[[#This Row],[Date]],'DB Details'!$A:$Q,12)=0,"",VLOOKUP(Table91213[[#This Row],[Date]],'DB Details'!$A:$Q,12))</f>
        <v>56.2</v>
      </c>
    </row>
    <row r="38" spans="1:12" x14ac:dyDescent="0.35">
      <c r="A38" s="51">
        <v>36586</v>
      </c>
      <c r="B38" s="48">
        <f>IF(VLOOKUP(Table91213[[#This Row],[Date]],'DB Details'!$A:$Q,2)=0,"",VLOOKUP(Table91213[[#This Row],[Date]],'DB Details'!$A:$Q,2))</f>
        <v>61.7</v>
      </c>
      <c r="C38" s="49">
        <f>IF(VLOOKUP(Table91213[[#This Row],[Date]],'DB Details'!$A:$Q,3)=0,"",VLOOKUP(Table91213[[#This Row],[Date]],'DB Details'!$A:$Q,3))</f>
        <v>54.7</v>
      </c>
      <c r="D38" s="49">
        <f>IF(VLOOKUP(Table91213[[#This Row],[Date]],'DB Details'!$A:$Q,4)=0,"",VLOOKUP(Table91213[[#This Row],[Date]],'DB Details'!$A:$Q,4))</f>
        <v>53</v>
      </c>
      <c r="E38" s="50">
        <f>IF(VLOOKUP(Table91213[[#This Row],[Date]],'DB Details'!$A:$Q,5)=0,"",VLOOKUP(Table91213[[#This Row],[Date]],'DB Details'!$A:$Q,5))</f>
        <v>68.599999999999994</v>
      </c>
      <c r="F38" s="49">
        <f>IF(VLOOKUP(Table91213[[#This Row],[Date]],'DB Details'!$A:$Q,6)=0,"",VLOOKUP(Table91213[[#This Row],[Date]],'DB Details'!$A:$Q,6))</f>
        <v>60.5</v>
      </c>
      <c r="G38" s="50">
        <f>IF(VLOOKUP(Table91213[[#This Row],[Date]],'DB Details'!$A:$Q,7)=0,"",VLOOKUP(Table91213[[#This Row],[Date]],'DB Details'!$A:$Q,7))</f>
        <v>60.5</v>
      </c>
      <c r="H38" s="50">
        <f>IF(VLOOKUP(Table91213[[#This Row],[Date]],'DB Details'!$A:$Q,8)=0,"",VLOOKUP(Table91213[[#This Row],[Date]],'DB Details'!$A:$Q,8))</f>
        <v>51.5</v>
      </c>
      <c r="I38" s="50">
        <f>IF(VLOOKUP(Table91213[[#This Row],[Date]],'DB Details'!$A:$Q,9)=0,"",VLOOKUP(Table91213[[#This Row],[Date]],'DB Details'!$A:$Q,9))</f>
        <v>52.5</v>
      </c>
      <c r="J38" s="50">
        <f>IF(VLOOKUP(Table91213[[#This Row],[Date]],'DB Details'!$A:$Q,10)=0,"",VLOOKUP(Table91213[[#This Row],[Date]],'DB Details'!$A:$Q,10))</f>
        <v>55</v>
      </c>
      <c r="K38" s="50">
        <f>IF(VLOOKUP(Table91213[[#This Row],[Date]],'DB Details'!$A:$Q,11)=0,"",VLOOKUP(Table91213[[#This Row],[Date]],'DB Details'!$A:$Q,11))</f>
        <v>55.5</v>
      </c>
      <c r="L38" s="48">
        <f>IF(VLOOKUP(Table91213[[#This Row],[Date]],'DB Details'!$A:$Q,12)=0,"",VLOOKUP(Table91213[[#This Row],[Date]],'DB Details'!$A:$Q,12))</f>
        <v>57.4</v>
      </c>
    </row>
    <row r="39" spans="1:12" x14ac:dyDescent="0.35">
      <c r="A39" s="51">
        <v>36617</v>
      </c>
      <c r="B39" s="48">
        <f>IF(VLOOKUP(Table91213[[#This Row],[Date]],'DB Details'!$A:$Q,2)=0,"",VLOOKUP(Table91213[[#This Row],[Date]],'DB Details'!$A:$Q,2))</f>
        <v>61.5</v>
      </c>
      <c r="C39" s="49">
        <f>IF(VLOOKUP(Table91213[[#This Row],[Date]],'DB Details'!$A:$Q,3)=0,"",VLOOKUP(Table91213[[#This Row],[Date]],'DB Details'!$A:$Q,3))</f>
        <v>54.6</v>
      </c>
      <c r="D39" s="49">
        <f>IF(VLOOKUP(Table91213[[#This Row],[Date]],'DB Details'!$A:$Q,4)=0,"",VLOOKUP(Table91213[[#This Row],[Date]],'DB Details'!$A:$Q,4))</f>
        <v>55.5</v>
      </c>
      <c r="E39" s="50">
        <f>IF(VLOOKUP(Table91213[[#This Row],[Date]],'DB Details'!$A:$Q,5)=0,"",VLOOKUP(Table91213[[#This Row],[Date]],'DB Details'!$A:$Q,5))</f>
        <v>65</v>
      </c>
      <c r="F39" s="49">
        <f>IF(VLOOKUP(Table91213[[#This Row],[Date]],'DB Details'!$A:$Q,6)=0,"",VLOOKUP(Table91213[[#This Row],[Date]],'DB Details'!$A:$Q,6))</f>
        <v>61.1</v>
      </c>
      <c r="G39" s="50">
        <f>IF(VLOOKUP(Table91213[[#This Row],[Date]],'DB Details'!$A:$Q,7)=0,"",VLOOKUP(Table91213[[#This Row],[Date]],'DB Details'!$A:$Q,7))</f>
        <v>64</v>
      </c>
      <c r="H39" s="50">
        <f>IF(VLOOKUP(Table91213[[#This Row],[Date]],'DB Details'!$A:$Q,8)=0,"",VLOOKUP(Table91213[[#This Row],[Date]],'DB Details'!$A:$Q,8))</f>
        <v>53.5</v>
      </c>
      <c r="I39" s="50">
        <f>IF(VLOOKUP(Table91213[[#This Row],[Date]],'DB Details'!$A:$Q,9)=0,"",VLOOKUP(Table91213[[#This Row],[Date]],'DB Details'!$A:$Q,9))</f>
        <v>55</v>
      </c>
      <c r="J39" s="50">
        <f>IF(VLOOKUP(Table91213[[#This Row],[Date]],'DB Details'!$A:$Q,10)=0,"",VLOOKUP(Table91213[[#This Row],[Date]],'DB Details'!$A:$Q,10))</f>
        <v>54.4</v>
      </c>
      <c r="K39" s="50">
        <f>IF(VLOOKUP(Table91213[[#This Row],[Date]],'DB Details'!$A:$Q,11)=0,"",VLOOKUP(Table91213[[#This Row],[Date]],'DB Details'!$A:$Q,11))</f>
        <v>59</v>
      </c>
      <c r="L39" s="48">
        <f>IF(VLOOKUP(Table91213[[#This Row],[Date]],'DB Details'!$A:$Q,12)=0,"",VLOOKUP(Table91213[[#This Row],[Date]],'DB Details'!$A:$Q,12))</f>
        <v>58</v>
      </c>
    </row>
    <row r="40" spans="1:12" x14ac:dyDescent="0.35">
      <c r="A40" s="51">
        <v>36647</v>
      </c>
      <c r="B40" s="48">
        <f>IF(VLOOKUP(Table91213[[#This Row],[Date]],'DB Details'!$A:$Q,2)=0,"",VLOOKUP(Table91213[[#This Row],[Date]],'DB Details'!$A:$Q,2))</f>
        <v>60.5</v>
      </c>
      <c r="C40" s="49">
        <f>IF(VLOOKUP(Table91213[[#This Row],[Date]],'DB Details'!$A:$Q,3)=0,"",VLOOKUP(Table91213[[#This Row],[Date]],'DB Details'!$A:$Q,3))</f>
        <v>54.7</v>
      </c>
      <c r="D40" s="49">
        <f>IF(VLOOKUP(Table91213[[#This Row],[Date]],'DB Details'!$A:$Q,4)=0,"",VLOOKUP(Table91213[[#This Row],[Date]],'DB Details'!$A:$Q,4))</f>
        <v>53.5</v>
      </c>
      <c r="E40" s="50">
        <f>IF(VLOOKUP(Table91213[[#This Row],[Date]],'DB Details'!$A:$Q,5)=0,"",VLOOKUP(Table91213[[#This Row],[Date]],'DB Details'!$A:$Q,5))</f>
        <v>64.2</v>
      </c>
      <c r="F40" s="49">
        <f>IF(VLOOKUP(Table91213[[#This Row],[Date]],'DB Details'!$A:$Q,6)=0,"",VLOOKUP(Table91213[[#This Row],[Date]],'DB Details'!$A:$Q,6))</f>
        <v>59.8</v>
      </c>
      <c r="G40" s="50">
        <f>IF(VLOOKUP(Table91213[[#This Row],[Date]],'DB Details'!$A:$Q,7)=0,"",VLOOKUP(Table91213[[#This Row],[Date]],'DB Details'!$A:$Q,7))</f>
        <v>63</v>
      </c>
      <c r="H40" s="50">
        <f>IF(VLOOKUP(Table91213[[#This Row],[Date]],'DB Details'!$A:$Q,8)=0,"",VLOOKUP(Table91213[[#This Row],[Date]],'DB Details'!$A:$Q,8))</f>
        <v>49.5</v>
      </c>
      <c r="I40" s="50">
        <f>IF(VLOOKUP(Table91213[[#This Row],[Date]],'DB Details'!$A:$Q,9)=0,"",VLOOKUP(Table91213[[#This Row],[Date]],'DB Details'!$A:$Q,9))</f>
        <v>57</v>
      </c>
      <c r="J40" s="50">
        <f>IF(VLOOKUP(Table91213[[#This Row],[Date]],'DB Details'!$A:$Q,10)=0,"",VLOOKUP(Table91213[[#This Row],[Date]],'DB Details'!$A:$Q,10))</f>
        <v>53.5</v>
      </c>
      <c r="K40" s="50">
        <f>IF(VLOOKUP(Table91213[[#This Row],[Date]],'DB Details'!$A:$Q,11)=0,"",VLOOKUP(Table91213[[#This Row],[Date]],'DB Details'!$A:$Q,11))</f>
        <v>62</v>
      </c>
      <c r="L40" s="48">
        <f>IF(VLOOKUP(Table91213[[#This Row],[Date]],'DB Details'!$A:$Q,12)=0,"",VLOOKUP(Table91213[[#This Row],[Date]],'DB Details'!$A:$Q,12))</f>
        <v>57.7</v>
      </c>
    </row>
    <row r="41" spans="1:12" x14ac:dyDescent="0.35">
      <c r="A41" s="51">
        <v>36678</v>
      </c>
      <c r="B41" s="48">
        <f>IF(VLOOKUP(Table91213[[#This Row],[Date]],'DB Details'!$A:$Q,2)=0,"",VLOOKUP(Table91213[[#This Row],[Date]],'DB Details'!$A:$Q,2))</f>
        <v>59.4</v>
      </c>
      <c r="C41" s="49">
        <f>IF(VLOOKUP(Table91213[[#This Row],[Date]],'DB Details'!$A:$Q,3)=0,"",VLOOKUP(Table91213[[#This Row],[Date]],'DB Details'!$A:$Q,3))</f>
        <v>52.6</v>
      </c>
      <c r="D41" s="49">
        <f>IF(VLOOKUP(Table91213[[#This Row],[Date]],'DB Details'!$A:$Q,4)=0,"",VLOOKUP(Table91213[[#This Row],[Date]],'DB Details'!$A:$Q,4))</f>
        <v>56.5</v>
      </c>
      <c r="E41" s="50">
        <f>IF(VLOOKUP(Table91213[[#This Row],[Date]],'DB Details'!$A:$Q,5)=0,"",VLOOKUP(Table91213[[#This Row],[Date]],'DB Details'!$A:$Q,5))</f>
        <v>65</v>
      </c>
      <c r="F41" s="49">
        <f>IF(VLOOKUP(Table91213[[#This Row],[Date]],'DB Details'!$A:$Q,6)=0,"",VLOOKUP(Table91213[[#This Row],[Date]],'DB Details'!$A:$Q,6))</f>
        <v>60.3</v>
      </c>
      <c r="G41" s="50">
        <f>IF(VLOOKUP(Table91213[[#This Row],[Date]],'DB Details'!$A:$Q,7)=0,"",VLOOKUP(Table91213[[#This Row],[Date]],'DB Details'!$A:$Q,7))</f>
        <v>66.5</v>
      </c>
      <c r="H41" s="50">
        <f>IF(VLOOKUP(Table91213[[#This Row],[Date]],'DB Details'!$A:$Q,8)=0,"",VLOOKUP(Table91213[[#This Row],[Date]],'DB Details'!$A:$Q,8))</f>
        <v>54</v>
      </c>
      <c r="I41" s="50">
        <f>IF(VLOOKUP(Table91213[[#This Row],[Date]],'DB Details'!$A:$Q,9)=0,"",VLOOKUP(Table91213[[#This Row],[Date]],'DB Details'!$A:$Q,9))</f>
        <v>53.5</v>
      </c>
      <c r="J41" s="50">
        <f>IF(VLOOKUP(Table91213[[#This Row],[Date]],'DB Details'!$A:$Q,10)=0,"",VLOOKUP(Table91213[[#This Row],[Date]],'DB Details'!$A:$Q,10))</f>
        <v>54.4</v>
      </c>
      <c r="K41" s="50">
        <f>IF(VLOOKUP(Table91213[[#This Row],[Date]],'DB Details'!$A:$Q,11)=0,"",VLOOKUP(Table91213[[#This Row],[Date]],'DB Details'!$A:$Q,11))</f>
        <v>57</v>
      </c>
      <c r="L41" s="48">
        <f>IF(VLOOKUP(Table91213[[#This Row],[Date]],'DB Details'!$A:$Q,12)=0,"",VLOOKUP(Table91213[[#This Row],[Date]],'DB Details'!$A:$Q,12))</f>
        <v>56.9</v>
      </c>
    </row>
    <row r="42" spans="1:12" x14ac:dyDescent="0.35">
      <c r="A42" s="51">
        <v>36708</v>
      </c>
      <c r="B42" s="48">
        <f>IF(VLOOKUP(Table91213[[#This Row],[Date]],'DB Details'!$A:$Q,2)=0,"",VLOOKUP(Table91213[[#This Row],[Date]],'DB Details'!$A:$Q,2))</f>
        <v>59.7</v>
      </c>
      <c r="C42" s="49">
        <f>IF(VLOOKUP(Table91213[[#This Row],[Date]],'DB Details'!$A:$Q,3)=0,"",VLOOKUP(Table91213[[#This Row],[Date]],'DB Details'!$A:$Q,3))</f>
        <v>53.1</v>
      </c>
      <c r="D42" s="49">
        <f>IF(VLOOKUP(Table91213[[#This Row],[Date]],'DB Details'!$A:$Q,4)=0,"",VLOOKUP(Table91213[[#This Row],[Date]],'DB Details'!$A:$Q,4))</f>
        <v>50.5</v>
      </c>
      <c r="E42" s="50">
        <f>IF(VLOOKUP(Table91213[[#This Row],[Date]],'DB Details'!$A:$Q,5)=0,"",VLOOKUP(Table91213[[#This Row],[Date]],'DB Details'!$A:$Q,5))</f>
        <v>62.1</v>
      </c>
      <c r="F42" s="49">
        <f>IF(VLOOKUP(Table91213[[#This Row],[Date]],'DB Details'!$A:$Q,6)=0,"",VLOOKUP(Table91213[[#This Row],[Date]],'DB Details'!$A:$Q,6))</f>
        <v>56.5</v>
      </c>
      <c r="G42" s="50">
        <f>IF(VLOOKUP(Table91213[[#This Row],[Date]],'DB Details'!$A:$Q,7)=0,"",VLOOKUP(Table91213[[#This Row],[Date]],'DB Details'!$A:$Q,7))</f>
        <v>68</v>
      </c>
      <c r="H42" s="50">
        <f>IF(VLOOKUP(Table91213[[#This Row],[Date]],'DB Details'!$A:$Q,8)=0,"",VLOOKUP(Table91213[[#This Row],[Date]],'DB Details'!$A:$Q,8))</f>
        <v>51</v>
      </c>
      <c r="I42" s="50">
        <f>IF(VLOOKUP(Table91213[[#This Row],[Date]],'DB Details'!$A:$Q,9)=0,"",VLOOKUP(Table91213[[#This Row],[Date]],'DB Details'!$A:$Q,9))</f>
        <v>54.5</v>
      </c>
      <c r="J42" s="50">
        <f>IF(VLOOKUP(Table91213[[#This Row],[Date]],'DB Details'!$A:$Q,10)=0,"",VLOOKUP(Table91213[[#This Row],[Date]],'DB Details'!$A:$Q,10))</f>
        <v>50.5</v>
      </c>
      <c r="K42" s="50">
        <f>IF(VLOOKUP(Table91213[[#This Row],[Date]],'DB Details'!$A:$Q,11)=0,"",VLOOKUP(Table91213[[#This Row],[Date]],'DB Details'!$A:$Q,11))</f>
        <v>53</v>
      </c>
      <c r="L42" s="48">
        <f>IF(VLOOKUP(Table91213[[#This Row],[Date]],'DB Details'!$A:$Q,12)=0,"",VLOOKUP(Table91213[[#This Row],[Date]],'DB Details'!$A:$Q,12))</f>
        <v>55.3</v>
      </c>
    </row>
    <row r="43" spans="1:12" x14ac:dyDescent="0.35">
      <c r="A43" s="51">
        <v>36739</v>
      </c>
      <c r="B43" s="48">
        <f>IF(VLOOKUP(Table91213[[#This Row],[Date]],'DB Details'!$A:$Q,2)=0,"",VLOOKUP(Table91213[[#This Row],[Date]],'DB Details'!$A:$Q,2))</f>
        <v>59.8</v>
      </c>
      <c r="C43" s="49">
        <f>IF(VLOOKUP(Table91213[[#This Row],[Date]],'DB Details'!$A:$Q,3)=0,"",VLOOKUP(Table91213[[#This Row],[Date]],'DB Details'!$A:$Q,3))</f>
        <v>53.9</v>
      </c>
      <c r="D43" s="49">
        <f>IF(VLOOKUP(Table91213[[#This Row],[Date]],'DB Details'!$A:$Q,4)=0,"",VLOOKUP(Table91213[[#This Row],[Date]],'DB Details'!$A:$Q,4))</f>
        <v>52</v>
      </c>
      <c r="E43" s="50">
        <f>IF(VLOOKUP(Table91213[[#This Row],[Date]],'DB Details'!$A:$Q,5)=0,"",VLOOKUP(Table91213[[#This Row],[Date]],'DB Details'!$A:$Q,5))</f>
        <v>59.2</v>
      </c>
      <c r="F43" s="49">
        <f>IF(VLOOKUP(Table91213[[#This Row],[Date]],'DB Details'!$A:$Q,6)=0,"",VLOOKUP(Table91213[[#This Row],[Date]],'DB Details'!$A:$Q,6))</f>
        <v>61.3</v>
      </c>
      <c r="G43" s="50">
        <f>IF(VLOOKUP(Table91213[[#This Row],[Date]],'DB Details'!$A:$Q,7)=0,"",VLOOKUP(Table91213[[#This Row],[Date]],'DB Details'!$A:$Q,7))</f>
        <v>61.5</v>
      </c>
      <c r="H43" s="50">
        <f>IF(VLOOKUP(Table91213[[#This Row],[Date]],'DB Details'!$A:$Q,8)=0,"",VLOOKUP(Table91213[[#This Row],[Date]],'DB Details'!$A:$Q,8))</f>
        <v>51</v>
      </c>
      <c r="I43" s="50">
        <f>IF(VLOOKUP(Table91213[[#This Row],[Date]],'DB Details'!$A:$Q,9)=0,"",VLOOKUP(Table91213[[#This Row],[Date]],'DB Details'!$A:$Q,9))</f>
        <v>55</v>
      </c>
      <c r="J43" s="50">
        <f>IF(VLOOKUP(Table91213[[#This Row],[Date]],'DB Details'!$A:$Q,10)=0,"",VLOOKUP(Table91213[[#This Row],[Date]],'DB Details'!$A:$Q,10))</f>
        <v>54.2</v>
      </c>
      <c r="K43" s="50">
        <f>IF(VLOOKUP(Table91213[[#This Row],[Date]],'DB Details'!$A:$Q,11)=0,"",VLOOKUP(Table91213[[#This Row],[Date]],'DB Details'!$A:$Q,11))</f>
        <v>56</v>
      </c>
      <c r="L43" s="48">
        <f>IF(VLOOKUP(Table91213[[#This Row],[Date]],'DB Details'!$A:$Q,12)=0,"",VLOOKUP(Table91213[[#This Row],[Date]],'DB Details'!$A:$Q,12))</f>
        <v>57.6</v>
      </c>
    </row>
    <row r="44" spans="1:12" x14ac:dyDescent="0.35">
      <c r="A44" s="51">
        <v>36770</v>
      </c>
      <c r="B44" s="48">
        <f>IF(VLOOKUP(Table91213[[#This Row],[Date]],'DB Details'!$A:$Q,2)=0,"",VLOOKUP(Table91213[[#This Row],[Date]],'DB Details'!$A:$Q,2))</f>
        <v>60.4</v>
      </c>
      <c r="C44" s="49">
        <f>IF(VLOOKUP(Table91213[[#This Row],[Date]],'DB Details'!$A:$Q,3)=0,"",VLOOKUP(Table91213[[#This Row],[Date]],'DB Details'!$A:$Q,3))</f>
        <v>46</v>
      </c>
      <c r="D44" s="49">
        <f>IF(VLOOKUP(Table91213[[#This Row],[Date]],'DB Details'!$A:$Q,4)=0,"",VLOOKUP(Table91213[[#This Row],[Date]],'DB Details'!$A:$Q,4))</f>
        <v>56.5</v>
      </c>
      <c r="E44" s="50">
        <f>IF(VLOOKUP(Table91213[[#This Row],[Date]],'DB Details'!$A:$Q,5)=0,"",VLOOKUP(Table91213[[#This Row],[Date]],'DB Details'!$A:$Q,5))</f>
        <v>62.1</v>
      </c>
      <c r="F44" s="49">
        <f>IF(VLOOKUP(Table91213[[#This Row],[Date]],'DB Details'!$A:$Q,6)=0,"",VLOOKUP(Table91213[[#This Row],[Date]],'DB Details'!$A:$Q,6))</f>
        <v>59.8</v>
      </c>
      <c r="G44" s="50">
        <f>IF(VLOOKUP(Table91213[[#This Row],[Date]],'DB Details'!$A:$Q,7)=0,"",VLOOKUP(Table91213[[#This Row],[Date]],'DB Details'!$A:$Q,7))</f>
        <v>65</v>
      </c>
      <c r="H44" s="50">
        <f>IF(VLOOKUP(Table91213[[#This Row],[Date]],'DB Details'!$A:$Q,8)=0,"",VLOOKUP(Table91213[[#This Row],[Date]],'DB Details'!$A:$Q,8))</f>
        <v>53.5</v>
      </c>
      <c r="I44" s="50">
        <f>IF(VLOOKUP(Table91213[[#This Row],[Date]],'DB Details'!$A:$Q,9)=0,"",VLOOKUP(Table91213[[#This Row],[Date]],'DB Details'!$A:$Q,9))</f>
        <v>53</v>
      </c>
      <c r="J44" s="50">
        <f>IF(VLOOKUP(Table91213[[#This Row],[Date]],'DB Details'!$A:$Q,10)=0,"",VLOOKUP(Table91213[[#This Row],[Date]],'DB Details'!$A:$Q,10))</f>
        <v>53.5</v>
      </c>
      <c r="K44" s="50">
        <f>IF(VLOOKUP(Table91213[[#This Row],[Date]],'DB Details'!$A:$Q,11)=0,"",VLOOKUP(Table91213[[#This Row],[Date]],'DB Details'!$A:$Q,11))</f>
        <v>51.5</v>
      </c>
      <c r="L44" s="48">
        <f>IF(VLOOKUP(Table91213[[#This Row],[Date]],'DB Details'!$A:$Q,12)=0,"",VLOOKUP(Table91213[[#This Row],[Date]],'DB Details'!$A:$Q,12))</f>
        <v>56.7</v>
      </c>
    </row>
    <row r="45" spans="1:12" x14ac:dyDescent="0.35">
      <c r="A45" s="51">
        <v>36800</v>
      </c>
      <c r="B45" s="48">
        <f>IF(VLOOKUP(Table91213[[#This Row],[Date]],'DB Details'!$A:$Q,2)=0,"",VLOOKUP(Table91213[[#This Row],[Date]],'DB Details'!$A:$Q,2))</f>
        <v>59.2</v>
      </c>
      <c r="C45" s="49">
        <f>IF(VLOOKUP(Table91213[[#This Row],[Date]],'DB Details'!$A:$Q,3)=0,"",VLOOKUP(Table91213[[#This Row],[Date]],'DB Details'!$A:$Q,3))</f>
        <v>58.9</v>
      </c>
      <c r="D45" s="49">
        <f>IF(VLOOKUP(Table91213[[#This Row],[Date]],'DB Details'!$A:$Q,4)=0,"",VLOOKUP(Table91213[[#This Row],[Date]],'DB Details'!$A:$Q,4))</f>
        <v>53.5</v>
      </c>
      <c r="E45" s="50">
        <f>IF(VLOOKUP(Table91213[[#This Row],[Date]],'DB Details'!$A:$Q,5)=0,"",VLOOKUP(Table91213[[#This Row],[Date]],'DB Details'!$A:$Q,5))</f>
        <v>63.7</v>
      </c>
      <c r="F45" s="49">
        <f>IF(VLOOKUP(Table91213[[#This Row],[Date]],'DB Details'!$A:$Q,6)=0,"",VLOOKUP(Table91213[[#This Row],[Date]],'DB Details'!$A:$Q,6))</f>
        <v>58.6</v>
      </c>
      <c r="G45" s="50">
        <f>IF(VLOOKUP(Table91213[[#This Row],[Date]],'DB Details'!$A:$Q,7)=0,"",VLOOKUP(Table91213[[#This Row],[Date]],'DB Details'!$A:$Q,7))</f>
        <v>67.5</v>
      </c>
      <c r="H45" s="50">
        <f>IF(VLOOKUP(Table91213[[#This Row],[Date]],'DB Details'!$A:$Q,8)=0,"",VLOOKUP(Table91213[[#This Row],[Date]],'DB Details'!$A:$Q,8))</f>
        <v>55</v>
      </c>
      <c r="I45" s="50">
        <f>IF(VLOOKUP(Table91213[[#This Row],[Date]],'DB Details'!$A:$Q,9)=0,"",VLOOKUP(Table91213[[#This Row],[Date]],'DB Details'!$A:$Q,9))</f>
        <v>54.5</v>
      </c>
      <c r="J45" s="50">
        <f>IF(VLOOKUP(Table91213[[#This Row],[Date]],'DB Details'!$A:$Q,10)=0,"",VLOOKUP(Table91213[[#This Row],[Date]],'DB Details'!$A:$Q,10))</f>
        <v>54.5</v>
      </c>
      <c r="K45" s="50">
        <f>IF(VLOOKUP(Table91213[[#This Row],[Date]],'DB Details'!$A:$Q,11)=0,"",VLOOKUP(Table91213[[#This Row],[Date]],'DB Details'!$A:$Q,11))</f>
        <v>55</v>
      </c>
      <c r="L45" s="48">
        <f>IF(VLOOKUP(Table91213[[#This Row],[Date]],'DB Details'!$A:$Q,12)=0,"",VLOOKUP(Table91213[[#This Row],[Date]],'DB Details'!$A:$Q,12))</f>
        <v>56.7</v>
      </c>
    </row>
    <row r="46" spans="1:12" x14ac:dyDescent="0.35">
      <c r="A46" s="51">
        <v>36831</v>
      </c>
      <c r="B46" s="48">
        <f>IF(VLOOKUP(Table91213[[#This Row],[Date]],'DB Details'!$A:$Q,2)=0,"",VLOOKUP(Table91213[[#This Row],[Date]],'DB Details'!$A:$Q,2))</f>
        <v>56.4</v>
      </c>
      <c r="C46" s="49">
        <f>IF(VLOOKUP(Table91213[[#This Row],[Date]],'DB Details'!$A:$Q,3)=0,"",VLOOKUP(Table91213[[#This Row],[Date]],'DB Details'!$A:$Q,3))</f>
        <v>54.7</v>
      </c>
      <c r="D46" s="49">
        <f>IF(VLOOKUP(Table91213[[#This Row],[Date]],'DB Details'!$A:$Q,4)=0,"",VLOOKUP(Table91213[[#This Row],[Date]],'DB Details'!$A:$Q,4))</f>
        <v>49.5</v>
      </c>
      <c r="E46" s="50">
        <f>IF(VLOOKUP(Table91213[[#This Row],[Date]],'DB Details'!$A:$Q,5)=0,"",VLOOKUP(Table91213[[#This Row],[Date]],'DB Details'!$A:$Q,5))</f>
        <v>60.9</v>
      </c>
      <c r="F46" s="49">
        <f>IF(VLOOKUP(Table91213[[#This Row],[Date]],'DB Details'!$A:$Q,6)=0,"",VLOOKUP(Table91213[[#This Row],[Date]],'DB Details'!$A:$Q,6))</f>
        <v>59.7</v>
      </c>
      <c r="G46" s="50">
        <f>IF(VLOOKUP(Table91213[[#This Row],[Date]],'DB Details'!$A:$Q,7)=0,"",VLOOKUP(Table91213[[#This Row],[Date]],'DB Details'!$A:$Q,7))</f>
        <v>66</v>
      </c>
      <c r="H46" s="50">
        <f>IF(VLOOKUP(Table91213[[#This Row],[Date]],'DB Details'!$A:$Q,8)=0,"",VLOOKUP(Table91213[[#This Row],[Date]],'DB Details'!$A:$Q,8))</f>
        <v>49.5</v>
      </c>
      <c r="I46" s="50">
        <f>IF(VLOOKUP(Table91213[[#This Row],[Date]],'DB Details'!$A:$Q,9)=0,"",VLOOKUP(Table91213[[#This Row],[Date]],'DB Details'!$A:$Q,9))</f>
        <v>54</v>
      </c>
      <c r="J46" s="50">
        <f>IF(VLOOKUP(Table91213[[#This Row],[Date]],'DB Details'!$A:$Q,10)=0,"",VLOOKUP(Table91213[[#This Row],[Date]],'DB Details'!$A:$Q,10))</f>
        <v>54.6</v>
      </c>
      <c r="K46" s="50">
        <f>IF(VLOOKUP(Table91213[[#This Row],[Date]],'DB Details'!$A:$Q,11)=0,"",VLOOKUP(Table91213[[#This Row],[Date]],'DB Details'!$A:$Q,11))</f>
        <v>55</v>
      </c>
      <c r="L46" s="48">
        <f>IF(VLOOKUP(Table91213[[#This Row],[Date]],'DB Details'!$A:$Q,12)=0,"",VLOOKUP(Table91213[[#This Row],[Date]],'DB Details'!$A:$Q,12))</f>
        <v>56.2</v>
      </c>
    </row>
    <row r="47" spans="1:12" x14ac:dyDescent="0.35">
      <c r="A47" s="51">
        <v>36861</v>
      </c>
      <c r="B47" s="48">
        <f>IF(VLOOKUP(Table91213[[#This Row],[Date]],'DB Details'!$A:$Q,2)=0,"",VLOOKUP(Table91213[[#This Row],[Date]],'DB Details'!$A:$Q,2))</f>
        <v>54.9</v>
      </c>
      <c r="C47" s="49">
        <f>IF(VLOOKUP(Table91213[[#This Row],[Date]],'DB Details'!$A:$Q,3)=0,"",VLOOKUP(Table91213[[#This Row],[Date]],'DB Details'!$A:$Q,3))</f>
        <v>53.4</v>
      </c>
      <c r="D47" s="49">
        <f>IF(VLOOKUP(Table91213[[#This Row],[Date]],'DB Details'!$A:$Q,4)=0,"",VLOOKUP(Table91213[[#This Row],[Date]],'DB Details'!$A:$Q,4))</f>
        <v>50.5</v>
      </c>
      <c r="E47" s="50">
        <f>IF(VLOOKUP(Table91213[[#This Row],[Date]],'DB Details'!$A:$Q,5)=0,"",VLOOKUP(Table91213[[#This Row],[Date]],'DB Details'!$A:$Q,5))</f>
        <v>63.5</v>
      </c>
      <c r="F47" s="49">
        <f>IF(VLOOKUP(Table91213[[#This Row],[Date]],'DB Details'!$A:$Q,6)=0,"",VLOOKUP(Table91213[[#This Row],[Date]],'DB Details'!$A:$Q,6))</f>
        <v>57.5</v>
      </c>
      <c r="G47" s="50">
        <f>IF(VLOOKUP(Table91213[[#This Row],[Date]],'DB Details'!$A:$Q,7)=0,"",VLOOKUP(Table91213[[#This Row],[Date]],'DB Details'!$A:$Q,7))</f>
        <v>65</v>
      </c>
      <c r="H47" s="50">
        <f>IF(VLOOKUP(Table91213[[#This Row],[Date]],'DB Details'!$A:$Q,8)=0,"",VLOOKUP(Table91213[[#This Row],[Date]],'DB Details'!$A:$Q,8))</f>
        <v>48.5</v>
      </c>
      <c r="I47" s="50">
        <f>IF(VLOOKUP(Table91213[[#This Row],[Date]],'DB Details'!$A:$Q,9)=0,"",VLOOKUP(Table91213[[#This Row],[Date]],'DB Details'!$A:$Q,9))</f>
        <v>51</v>
      </c>
      <c r="J47" s="50">
        <f>IF(VLOOKUP(Table91213[[#This Row],[Date]],'DB Details'!$A:$Q,10)=0,"",VLOOKUP(Table91213[[#This Row],[Date]],'DB Details'!$A:$Q,10))</f>
        <v>52.4</v>
      </c>
      <c r="K47" s="50">
        <f>IF(VLOOKUP(Table91213[[#This Row],[Date]],'DB Details'!$A:$Q,11)=0,"",VLOOKUP(Table91213[[#This Row],[Date]],'DB Details'!$A:$Q,11))</f>
        <v>56.5</v>
      </c>
      <c r="L47" s="48">
        <f>IF(VLOOKUP(Table91213[[#This Row],[Date]],'DB Details'!$A:$Q,12)=0,"",VLOOKUP(Table91213[[#This Row],[Date]],'DB Details'!$A:$Q,12))</f>
        <v>54</v>
      </c>
    </row>
    <row r="48" spans="1:12" x14ac:dyDescent="0.35">
      <c r="A48" s="51">
        <v>36892</v>
      </c>
      <c r="B48" s="48">
        <f>IF(VLOOKUP(Table91213[[#This Row],[Date]],'DB Details'!$A:$Q,2)=0,"",VLOOKUP(Table91213[[#This Row],[Date]],'DB Details'!$A:$Q,2))</f>
        <v>50.8</v>
      </c>
      <c r="C48" s="49">
        <f>IF(VLOOKUP(Table91213[[#This Row],[Date]],'DB Details'!$A:$Q,3)=0,"",VLOOKUP(Table91213[[#This Row],[Date]],'DB Details'!$A:$Q,3))</f>
        <v>49.8</v>
      </c>
      <c r="D48" s="49">
        <f>IF(VLOOKUP(Table91213[[#This Row],[Date]],'DB Details'!$A:$Q,4)=0,"",VLOOKUP(Table91213[[#This Row],[Date]],'DB Details'!$A:$Q,4))</f>
        <v>42.5</v>
      </c>
      <c r="E48" s="50">
        <f>IF(VLOOKUP(Table91213[[#This Row],[Date]],'DB Details'!$A:$Q,5)=0,"",VLOOKUP(Table91213[[#This Row],[Date]],'DB Details'!$A:$Q,5))</f>
        <v>61.8</v>
      </c>
      <c r="F48" s="49">
        <f>IF(VLOOKUP(Table91213[[#This Row],[Date]],'DB Details'!$A:$Q,6)=0,"",VLOOKUP(Table91213[[#This Row],[Date]],'DB Details'!$A:$Q,6))</f>
        <v>52.5</v>
      </c>
      <c r="G48" s="50">
        <f>IF(VLOOKUP(Table91213[[#This Row],[Date]],'DB Details'!$A:$Q,7)=0,"",VLOOKUP(Table91213[[#This Row],[Date]],'DB Details'!$A:$Q,7))</f>
        <v>67.5</v>
      </c>
      <c r="H48" s="50">
        <f>IF(VLOOKUP(Table91213[[#This Row],[Date]],'DB Details'!$A:$Q,8)=0,"",VLOOKUP(Table91213[[#This Row],[Date]],'DB Details'!$A:$Q,8))</f>
        <v>45.5</v>
      </c>
      <c r="I48" s="50">
        <f>IF(VLOOKUP(Table91213[[#This Row],[Date]],'DB Details'!$A:$Q,9)=0,"",VLOOKUP(Table91213[[#This Row],[Date]],'DB Details'!$A:$Q,9))</f>
        <v>51.5</v>
      </c>
      <c r="J48" s="50">
        <f>IF(VLOOKUP(Table91213[[#This Row],[Date]],'DB Details'!$A:$Q,10)=0,"",VLOOKUP(Table91213[[#This Row],[Date]],'DB Details'!$A:$Q,10))</f>
        <v>51.7</v>
      </c>
      <c r="K48" s="50">
        <f>IF(VLOOKUP(Table91213[[#This Row],[Date]],'DB Details'!$A:$Q,11)=0,"",VLOOKUP(Table91213[[#This Row],[Date]],'DB Details'!$A:$Q,11))</f>
        <v>55</v>
      </c>
      <c r="L48" s="48">
        <f>IF(VLOOKUP(Table91213[[#This Row],[Date]],'DB Details'!$A:$Q,12)=0,"",VLOOKUP(Table91213[[#This Row],[Date]],'DB Details'!$A:$Q,12))</f>
        <v>51.6</v>
      </c>
    </row>
    <row r="49" spans="1:12" x14ac:dyDescent="0.35">
      <c r="A49" s="51">
        <v>36923</v>
      </c>
      <c r="B49" s="48">
        <f>IF(VLOOKUP(Table91213[[#This Row],[Date]],'DB Details'!$A:$Q,2)=0,"",VLOOKUP(Table91213[[#This Row],[Date]],'DB Details'!$A:$Q,2))</f>
        <v>51.4</v>
      </c>
      <c r="C49" s="49">
        <f>IF(VLOOKUP(Table91213[[#This Row],[Date]],'DB Details'!$A:$Q,3)=0,"",VLOOKUP(Table91213[[#This Row],[Date]],'DB Details'!$A:$Q,3))</f>
        <v>48.7</v>
      </c>
      <c r="D49" s="49">
        <f>IF(VLOOKUP(Table91213[[#This Row],[Date]],'DB Details'!$A:$Q,4)=0,"",VLOOKUP(Table91213[[#This Row],[Date]],'DB Details'!$A:$Q,4))</f>
        <v>45.5</v>
      </c>
      <c r="E49" s="50">
        <f>IF(VLOOKUP(Table91213[[#This Row],[Date]],'DB Details'!$A:$Q,5)=0,"",VLOOKUP(Table91213[[#This Row],[Date]],'DB Details'!$A:$Q,5))</f>
        <v>58.1</v>
      </c>
      <c r="F49" s="49">
        <f>IF(VLOOKUP(Table91213[[#This Row],[Date]],'DB Details'!$A:$Q,6)=0,"",VLOOKUP(Table91213[[#This Row],[Date]],'DB Details'!$A:$Q,6))</f>
        <v>51.5</v>
      </c>
      <c r="G49" s="50">
        <f>IF(VLOOKUP(Table91213[[#This Row],[Date]],'DB Details'!$A:$Q,7)=0,"",VLOOKUP(Table91213[[#This Row],[Date]],'DB Details'!$A:$Q,7))</f>
        <v>65</v>
      </c>
      <c r="H49" s="50">
        <f>IF(VLOOKUP(Table91213[[#This Row],[Date]],'DB Details'!$A:$Q,8)=0,"",VLOOKUP(Table91213[[#This Row],[Date]],'DB Details'!$A:$Q,8))</f>
        <v>47</v>
      </c>
      <c r="I49" s="50">
        <f>IF(VLOOKUP(Table91213[[#This Row],[Date]],'DB Details'!$A:$Q,9)=0,"",VLOOKUP(Table91213[[#This Row],[Date]],'DB Details'!$A:$Q,9))</f>
        <v>51.5</v>
      </c>
      <c r="J49" s="50">
        <f>IF(VLOOKUP(Table91213[[#This Row],[Date]],'DB Details'!$A:$Q,10)=0,"",VLOOKUP(Table91213[[#This Row],[Date]],'DB Details'!$A:$Q,10))</f>
        <v>50.7</v>
      </c>
      <c r="K49" s="50">
        <f>IF(VLOOKUP(Table91213[[#This Row],[Date]],'DB Details'!$A:$Q,11)=0,"",VLOOKUP(Table91213[[#This Row],[Date]],'DB Details'!$A:$Q,11))</f>
        <v>53.5</v>
      </c>
      <c r="L49" s="48">
        <f>IF(VLOOKUP(Table91213[[#This Row],[Date]],'DB Details'!$A:$Q,12)=0,"",VLOOKUP(Table91213[[#This Row],[Date]],'DB Details'!$A:$Q,12))</f>
        <v>51.3</v>
      </c>
    </row>
    <row r="50" spans="1:12" x14ac:dyDescent="0.35">
      <c r="A50" s="51">
        <v>36951</v>
      </c>
      <c r="B50" s="48">
        <f>IF(VLOOKUP(Table91213[[#This Row],[Date]],'DB Details'!$A:$Q,2)=0,"",VLOOKUP(Table91213[[#This Row],[Date]],'DB Details'!$A:$Q,2))</f>
        <v>52.6</v>
      </c>
      <c r="C50" s="49">
        <f>IF(VLOOKUP(Table91213[[#This Row],[Date]],'DB Details'!$A:$Q,3)=0,"",VLOOKUP(Table91213[[#This Row],[Date]],'DB Details'!$A:$Q,3))</f>
        <v>48.4</v>
      </c>
      <c r="D50" s="49">
        <f>IF(VLOOKUP(Table91213[[#This Row],[Date]],'DB Details'!$A:$Q,4)=0,"",VLOOKUP(Table91213[[#This Row],[Date]],'DB Details'!$A:$Q,4))</f>
        <v>47.5</v>
      </c>
      <c r="E50" s="50">
        <f>IF(VLOOKUP(Table91213[[#This Row],[Date]],'DB Details'!$A:$Q,5)=0,"",VLOOKUP(Table91213[[#This Row],[Date]],'DB Details'!$A:$Q,5))</f>
        <v>55.8</v>
      </c>
      <c r="F50" s="49">
        <f>IF(VLOOKUP(Table91213[[#This Row],[Date]],'DB Details'!$A:$Q,6)=0,"",VLOOKUP(Table91213[[#This Row],[Date]],'DB Details'!$A:$Q,6))</f>
        <v>50</v>
      </c>
      <c r="G50" s="50">
        <f>IF(VLOOKUP(Table91213[[#This Row],[Date]],'DB Details'!$A:$Q,7)=0,"",VLOOKUP(Table91213[[#This Row],[Date]],'DB Details'!$A:$Q,7))</f>
        <v>69</v>
      </c>
      <c r="H50" s="50">
        <f>IF(VLOOKUP(Table91213[[#This Row],[Date]],'DB Details'!$A:$Q,8)=0,"",VLOOKUP(Table91213[[#This Row],[Date]],'DB Details'!$A:$Q,8))</f>
        <v>49</v>
      </c>
      <c r="I50" s="50">
        <f>IF(VLOOKUP(Table91213[[#This Row],[Date]],'DB Details'!$A:$Q,9)=0,"",VLOOKUP(Table91213[[#This Row],[Date]],'DB Details'!$A:$Q,9))</f>
        <v>50.5</v>
      </c>
      <c r="J50" s="50">
        <f>IF(VLOOKUP(Table91213[[#This Row],[Date]],'DB Details'!$A:$Q,10)=0,"",VLOOKUP(Table91213[[#This Row],[Date]],'DB Details'!$A:$Q,10))</f>
        <v>49.6</v>
      </c>
      <c r="K50" s="50">
        <f>IF(VLOOKUP(Table91213[[#This Row],[Date]],'DB Details'!$A:$Q,11)=0,"",VLOOKUP(Table91213[[#This Row],[Date]],'DB Details'!$A:$Q,11))</f>
        <v>49.5</v>
      </c>
      <c r="L50" s="48">
        <f>IF(VLOOKUP(Table91213[[#This Row],[Date]],'DB Details'!$A:$Q,12)=0,"",VLOOKUP(Table91213[[#This Row],[Date]],'DB Details'!$A:$Q,12))</f>
        <v>50.7</v>
      </c>
    </row>
    <row r="51" spans="1:12" x14ac:dyDescent="0.35">
      <c r="A51" s="51">
        <v>36982</v>
      </c>
      <c r="B51" s="48">
        <f>IF(VLOOKUP(Table91213[[#This Row],[Date]],'DB Details'!$A:$Q,2)=0,"",VLOOKUP(Table91213[[#This Row],[Date]],'DB Details'!$A:$Q,2))</f>
        <v>47.2</v>
      </c>
      <c r="C51" s="49">
        <f>IF(VLOOKUP(Table91213[[#This Row],[Date]],'DB Details'!$A:$Q,3)=0,"",VLOOKUP(Table91213[[#This Row],[Date]],'DB Details'!$A:$Q,3))</f>
        <v>49.8</v>
      </c>
      <c r="D51" s="49">
        <f>IF(VLOOKUP(Table91213[[#This Row],[Date]],'DB Details'!$A:$Q,4)=0,"",VLOOKUP(Table91213[[#This Row],[Date]],'DB Details'!$A:$Q,4))</f>
        <v>44</v>
      </c>
      <c r="E51" s="50">
        <f>IF(VLOOKUP(Table91213[[#This Row],[Date]],'DB Details'!$A:$Q,5)=0,"",VLOOKUP(Table91213[[#This Row],[Date]],'DB Details'!$A:$Q,5))</f>
        <v>53.8</v>
      </c>
      <c r="F51" s="49">
        <f>IF(VLOOKUP(Table91213[[#This Row],[Date]],'DB Details'!$A:$Q,6)=0,"",VLOOKUP(Table91213[[#This Row],[Date]],'DB Details'!$A:$Q,6))</f>
        <v>48.3</v>
      </c>
      <c r="G51" s="50">
        <f>IF(VLOOKUP(Table91213[[#This Row],[Date]],'DB Details'!$A:$Q,7)=0,"",VLOOKUP(Table91213[[#This Row],[Date]],'DB Details'!$A:$Q,7))</f>
        <v>64</v>
      </c>
      <c r="H51" s="50">
        <f>IF(VLOOKUP(Table91213[[#This Row],[Date]],'DB Details'!$A:$Q,8)=0,"",VLOOKUP(Table91213[[#This Row],[Date]],'DB Details'!$A:$Q,8))</f>
        <v>45.5</v>
      </c>
      <c r="I51" s="50">
        <f>IF(VLOOKUP(Table91213[[#This Row],[Date]],'DB Details'!$A:$Q,9)=0,"",VLOOKUP(Table91213[[#This Row],[Date]],'DB Details'!$A:$Q,9))</f>
        <v>51</v>
      </c>
      <c r="J51" s="50">
        <f>IF(VLOOKUP(Table91213[[#This Row],[Date]],'DB Details'!$A:$Q,10)=0,"",VLOOKUP(Table91213[[#This Row],[Date]],'DB Details'!$A:$Q,10))</f>
        <v>46.5</v>
      </c>
      <c r="K51" s="50">
        <f>IF(VLOOKUP(Table91213[[#This Row],[Date]],'DB Details'!$A:$Q,11)=0,"",VLOOKUP(Table91213[[#This Row],[Date]],'DB Details'!$A:$Q,11))</f>
        <v>55.5</v>
      </c>
      <c r="L51" s="48">
        <f>IF(VLOOKUP(Table91213[[#This Row],[Date]],'DB Details'!$A:$Q,12)=0,"",VLOOKUP(Table91213[[#This Row],[Date]],'DB Details'!$A:$Q,12))</f>
        <v>48.3</v>
      </c>
    </row>
    <row r="52" spans="1:12" x14ac:dyDescent="0.35">
      <c r="A52" s="51">
        <v>37012</v>
      </c>
      <c r="B52" s="48">
        <f>IF(VLOOKUP(Table91213[[#This Row],[Date]],'DB Details'!$A:$Q,2)=0,"",VLOOKUP(Table91213[[#This Row],[Date]],'DB Details'!$A:$Q,2))</f>
        <v>49.3</v>
      </c>
      <c r="C52" s="49">
        <f>IF(VLOOKUP(Table91213[[#This Row],[Date]],'DB Details'!$A:$Q,3)=0,"",VLOOKUP(Table91213[[#This Row],[Date]],'DB Details'!$A:$Q,3))</f>
        <v>48.7</v>
      </c>
      <c r="D52" s="49">
        <f>IF(VLOOKUP(Table91213[[#This Row],[Date]],'DB Details'!$A:$Q,4)=0,"",VLOOKUP(Table91213[[#This Row],[Date]],'DB Details'!$A:$Q,4))</f>
        <v>46.5</v>
      </c>
      <c r="E52" s="50">
        <f>IF(VLOOKUP(Table91213[[#This Row],[Date]],'DB Details'!$A:$Q,5)=0,"",VLOOKUP(Table91213[[#This Row],[Date]],'DB Details'!$A:$Q,5))</f>
        <v>58.5</v>
      </c>
      <c r="F52" s="49">
        <f>IF(VLOOKUP(Table91213[[#This Row],[Date]],'DB Details'!$A:$Q,6)=0,"",VLOOKUP(Table91213[[#This Row],[Date]],'DB Details'!$A:$Q,6))</f>
        <v>47.9</v>
      </c>
      <c r="G52" s="50">
        <f>IF(VLOOKUP(Table91213[[#This Row],[Date]],'DB Details'!$A:$Q,7)=0,"",VLOOKUP(Table91213[[#This Row],[Date]],'DB Details'!$A:$Q,7))</f>
        <v>63.5</v>
      </c>
      <c r="H52" s="50">
        <f>IF(VLOOKUP(Table91213[[#This Row],[Date]],'DB Details'!$A:$Q,8)=0,"",VLOOKUP(Table91213[[#This Row],[Date]],'DB Details'!$A:$Q,8))</f>
        <v>47.5</v>
      </c>
      <c r="I52" s="50">
        <f>IF(VLOOKUP(Table91213[[#This Row],[Date]],'DB Details'!$A:$Q,9)=0,"",VLOOKUP(Table91213[[#This Row],[Date]],'DB Details'!$A:$Q,9))</f>
        <v>52</v>
      </c>
      <c r="J52" s="50">
        <f>IF(VLOOKUP(Table91213[[#This Row],[Date]],'DB Details'!$A:$Q,10)=0,"",VLOOKUP(Table91213[[#This Row],[Date]],'DB Details'!$A:$Q,10))</f>
        <v>46.7</v>
      </c>
      <c r="K52" s="50">
        <f>IF(VLOOKUP(Table91213[[#This Row],[Date]],'DB Details'!$A:$Q,11)=0,"",VLOOKUP(Table91213[[#This Row],[Date]],'DB Details'!$A:$Q,11))</f>
        <v>48.5</v>
      </c>
      <c r="L52" s="48">
        <f>IF(VLOOKUP(Table91213[[#This Row],[Date]],'DB Details'!$A:$Q,12)=0,"",VLOOKUP(Table91213[[#This Row],[Date]],'DB Details'!$A:$Q,12))</f>
        <v>49</v>
      </c>
    </row>
    <row r="53" spans="1:12" x14ac:dyDescent="0.35">
      <c r="A53" s="51">
        <v>37043</v>
      </c>
      <c r="B53" s="48">
        <f>IF(VLOOKUP(Table91213[[#This Row],[Date]],'DB Details'!$A:$Q,2)=0,"",VLOOKUP(Table91213[[#This Row],[Date]],'DB Details'!$A:$Q,2))</f>
        <v>52.2</v>
      </c>
      <c r="C53" s="49">
        <f>IF(VLOOKUP(Table91213[[#This Row],[Date]],'DB Details'!$A:$Q,3)=0,"",VLOOKUP(Table91213[[#This Row],[Date]],'DB Details'!$A:$Q,3))</f>
        <v>50</v>
      </c>
      <c r="D53" s="49">
        <f>IF(VLOOKUP(Table91213[[#This Row],[Date]],'DB Details'!$A:$Q,4)=0,"",VLOOKUP(Table91213[[#This Row],[Date]],'DB Details'!$A:$Q,4))</f>
        <v>49</v>
      </c>
      <c r="E53" s="50">
        <f>IF(VLOOKUP(Table91213[[#This Row],[Date]],'DB Details'!$A:$Q,5)=0,"",VLOOKUP(Table91213[[#This Row],[Date]],'DB Details'!$A:$Q,5))</f>
        <v>54.5</v>
      </c>
      <c r="F53" s="49">
        <f>IF(VLOOKUP(Table91213[[#This Row],[Date]],'DB Details'!$A:$Q,6)=0,"",VLOOKUP(Table91213[[#This Row],[Date]],'DB Details'!$A:$Q,6))</f>
        <v>51.6</v>
      </c>
      <c r="G53" s="50">
        <f>IF(VLOOKUP(Table91213[[#This Row],[Date]],'DB Details'!$A:$Q,7)=0,"",VLOOKUP(Table91213[[#This Row],[Date]],'DB Details'!$A:$Q,7))</f>
        <v>65</v>
      </c>
      <c r="H53" s="50">
        <f>IF(VLOOKUP(Table91213[[#This Row],[Date]],'DB Details'!$A:$Q,8)=0,"",VLOOKUP(Table91213[[#This Row],[Date]],'DB Details'!$A:$Q,8))</f>
        <v>48.5</v>
      </c>
      <c r="I53" s="50">
        <f>IF(VLOOKUP(Table91213[[#This Row],[Date]],'DB Details'!$A:$Q,9)=0,"",VLOOKUP(Table91213[[#This Row],[Date]],'DB Details'!$A:$Q,9))</f>
        <v>51</v>
      </c>
      <c r="J53" s="50">
        <f>IF(VLOOKUP(Table91213[[#This Row],[Date]],'DB Details'!$A:$Q,10)=0,"",VLOOKUP(Table91213[[#This Row],[Date]],'DB Details'!$A:$Q,10))</f>
        <v>45.6</v>
      </c>
      <c r="K53" s="50">
        <f>IF(VLOOKUP(Table91213[[#This Row],[Date]],'DB Details'!$A:$Q,11)=0,"",VLOOKUP(Table91213[[#This Row],[Date]],'DB Details'!$A:$Q,11))</f>
        <v>49.5</v>
      </c>
      <c r="L53" s="48">
        <f>IF(VLOOKUP(Table91213[[#This Row],[Date]],'DB Details'!$A:$Q,12)=0,"",VLOOKUP(Table91213[[#This Row],[Date]],'DB Details'!$A:$Q,12))</f>
        <v>50.1</v>
      </c>
    </row>
    <row r="54" spans="1:12" x14ac:dyDescent="0.35">
      <c r="A54" s="51">
        <v>37073</v>
      </c>
      <c r="B54" s="48">
        <f>IF(VLOOKUP(Table91213[[#This Row],[Date]],'DB Details'!$A:$Q,2)=0,"",VLOOKUP(Table91213[[#This Row],[Date]],'DB Details'!$A:$Q,2))</f>
        <v>47.5</v>
      </c>
      <c r="C54" s="49">
        <f>IF(VLOOKUP(Table91213[[#This Row],[Date]],'DB Details'!$A:$Q,3)=0,"",VLOOKUP(Table91213[[#This Row],[Date]],'DB Details'!$A:$Q,3))</f>
        <v>50.1</v>
      </c>
      <c r="D54" s="49">
        <f>IF(VLOOKUP(Table91213[[#This Row],[Date]],'DB Details'!$A:$Q,4)=0,"",VLOOKUP(Table91213[[#This Row],[Date]],'DB Details'!$A:$Q,4))</f>
        <v>42.5</v>
      </c>
      <c r="E54" s="50">
        <f>IF(VLOOKUP(Table91213[[#This Row],[Date]],'DB Details'!$A:$Q,5)=0,"",VLOOKUP(Table91213[[#This Row],[Date]],'DB Details'!$A:$Q,5))</f>
        <v>49.9</v>
      </c>
      <c r="F54" s="49">
        <f>IF(VLOOKUP(Table91213[[#This Row],[Date]],'DB Details'!$A:$Q,6)=0,"",VLOOKUP(Table91213[[#This Row],[Date]],'DB Details'!$A:$Q,6))</f>
        <v>48.1</v>
      </c>
      <c r="G54" s="50">
        <f>IF(VLOOKUP(Table91213[[#This Row],[Date]],'DB Details'!$A:$Q,7)=0,"",VLOOKUP(Table91213[[#This Row],[Date]],'DB Details'!$A:$Q,7))</f>
        <v>61.5</v>
      </c>
      <c r="H54" s="50">
        <f>IF(VLOOKUP(Table91213[[#This Row],[Date]],'DB Details'!$A:$Q,8)=0,"",VLOOKUP(Table91213[[#This Row],[Date]],'DB Details'!$A:$Q,8))</f>
        <v>46</v>
      </c>
      <c r="I54" s="50">
        <f>IF(VLOOKUP(Table91213[[#This Row],[Date]],'DB Details'!$A:$Q,9)=0,"",VLOOKUP(Table91213[[#This Row],[Date]],'DB Details'!$A:$Q,9))</f>
        <v>50.5</v>
      </c>
      <c r="J54" s="50">
        <f>IF(VLOOKUP(Table91213[[#This Row],[Date]],'DB Details'!$A:$Q,10)=0,"",VLOOKUP(Table91213[[#This Row],[Date]],'DB Details'!$A:$Q,10))</f>
        <v>46.4</v>
      </c>
      <c r="K54" s="50">
        <f>IF(VLOOKUP(Table91213[[#This Row],[Date]],'DB Details'!$A:$Q,11)=0,"",VLOOKUP(Table91213[[#This Row],[Date]],'DB Details'!$A:$Q,11))</f>
        <v>53</v>
      </c>
      <c r="L54" s="48">
        <f>IF(VLOOKUP(Table91213[[#This Row],[Date]],'DB Details'!$A:$Q,12)=0,"",VLOOKUP(Table91213[[#This Row],[Date]],'DB Details'!$A:$Q,12))</f>
        <v>48.1</v>
      </c>
    </row>
    <row r="55" spans="1:12" x14ac:dyDescent="0.35">
      <c r="A55" s="51">
        <v>37104</v>
      </c>
      <c r="B55" s="48">
        <f>IF(VLOOKUP(Table91213[[#This Row],[Date]],'DB Details'!$A:$Q,2)=0,"",VLOOKUP(Table91213[[#This Row],[Date]],'DB Details'!$A:$Q,2))</f>
        <v>46.5</v>
      </c>
      <c r="C55" s="49">
        <f>IF(VLOOKUP(Table91213[[#This Row],[Date]],'DB Details'!$A:$Q,3)=0,"",VLOOKUP(Table91213[[#This Row],[Date]],'DB Details'!$A:$Q,3))</f>
        <v>52.8</v>
      </c>
      <c r="D55" s="49">
        <f>IF(VLOOKUP(Table91213[[#This Row],[Date]],'DB Details'!$A:$Q,4)=0,"",VLOOKUP(Table91213[[#This Row],[Date]],'DB Details'!$A:$Q,4))</f>
        <v>41.5</v>
      </c>
      <c r="E55" s="50">
        <f>IF(VLOOKUP(Table91213[[#This Row],[Date]],'DB Details'!$A:$Q,5)=0,"",VLOOKUP(Table91213[[#This Row],[Date]],'DB Details'!$A:$Q,5))</f>
        <v>48.9</v>
      </c>
      <c r="F55" s="49">
        <f>IF(VLOOKUP(Table91213[[#This Row],[Date]],'DB Details'!$A:$Q,6)=0,"",VLOOKUP(Table91213[[#This Row],[Date]],'DB Details'!$A:$Q,6))</f>
        <v>47.4</v>
      </c>
      <c r="G55" s="50">
        <f>IF(VLOOKUP(Table91213[[#This Row],[Date]],'DB Details'!$A:$Q,7)=0,"",VLOOKUP(Table91213[[#This Row],[Date]],'DB Details'!$A:$Q,7))</f>
        <v>65.5</v>
      </c>
      <c r="H55" s="50">
        <f>IF(VLOOKUP(Table91213[[#This Row],[Date]],'DB Details'!$A:$Q,8)=0,"",VLOOKUP(Table91213[[#This Row],[Date]],'DB Details'!$A:$Q,8))</f>
        <v>43.5</v>
      </c>
      <c r="I55" s="50">
        <f>IF(VLOOKUP(Table91213[[#This Row],[Date]],'DB Details'!$A:$Q,9)=0,"",VLOOKUP(Table91213[[#This Row],[Date]],'DB Details'!$A:$Q,9))</f>
        <v>48</v>
      </c>
      <c r="J55" s="50">
        <f>IF(VLOOKUP(Table91213[[#This Row],[Date]],'DB Details'!$A:$Q,10)=0,"",VLOOKUP(Table91213[[#This Row],[Date]],'DB Details'!$A:$Q,10))</f>
        <v>45.7</v>
      </c>
      <c r="K55" s="50">
        <f>IF(VLOOKUP(Table91213[[#This Row],[Date]],'DB Details'!$A:$Q,11)=0,"",VLOOKUP(Table91213[[#This Row],[Date]],'DB Details'!$A:$Q,11))</f>
        <v>47.5</v>
      </c>
      <c r="L55" s="48">
        <f>IF(VLOOKUP(Table91213[[#This Row],[Date]],'DB Details'!$A:$Q,12)=0,"",VLOOKUP(Table91213[[#This Row],[Date]],'DB Details'!$A:$Q,12))</f>
        <v>46.9</v>
      </c>
    </row>
    <row r="56" spans="1:12" x14ac:dyDescent="0.35">
      <c r="A56" s="51">
        <v>37135</v>
      </c>
      <c r="B56" s="48">
        <f>IF(VLOOKUP(Table91213[[#This Row],[Date]],'DB Details'!$A:$Q,2)=0,"",VLOOKUP(Table91213[[#This Row],[Date]],'DB Details'!$A:$Q,2))</f>
        <v>50.8</v>
      </c>
      <c r="C56" s="49">
        <f>IF(VLOOKUP(Table91213[[#This Row],[Date]],'DB Details'!$A:$Q,3)=0,"",VLOOKUP(Table91213[[#This Row],[Date]],'DB Details'!$A:$Q,3))</f>
        <v>52.7</v>
      </c>
      <c r="D56" s="49">
        <f>IF(VLOOKUP(Table91213[[#This Row],[Date]],'DB Details'!$A:$Q,4)=0,"",VLOOKUP(Table91213[[#This Row],[Date]],'DB Details'!$A:$Q,4))</f>
        <v>48.5</v>
      </c>
      <c r="E56" s="50">
        <f>IF(VLOOKUP(Table91213[[#This Row],[Date]],'DB Details'!$A:$Q,5)=0,"",VLOOKUP(Table91213[[#This Row],[Date]],'DB Details'!$A:$Q,5))</f>
        <v>50.2</v>
      </c>
      <c r="F56" s="49">
        <f>IF(VLOOKUP(Table91213[[#This Row],[Date]],'DB Details'!$A:$Q,6)=0,"",VLOOKUP(Table91213[[#This Row],[Date]],'DB Details'!$A:$Q,6))</f>
        <v>49.7</v>
      </c>
      <c r="G56" s="50">
        <f>IF(VLOOKUP(Table91213[[#This Row],[Date]],'DB Details'!$A:$Q,7)=0,"",VLOOKUP(Table91213[[#This Row],[Date]],'DB Details'!$A:$Q,7))</f>
        <v>64</v>
      </c>
      <c r="H56" s="50">
        <f>IF(VLOOKUP(Table91213[[#This Row],[Date]],'DB Details'!$A:$Q,8)=0,"",VLOOKUP(Table91213[[#This Row],[Date]],'DB Details'!$A:$Q,8))</f>
        <v>44.5</v>
      </c>
      <c r="I56" s="50">
        <f>IF(VLOOKUP(Table91213[[#This Row],[Date]],'DB Details'!$A:$Q,9)=0,"",VLOOKUP(Table91213[[#This Row],[Date]],'DB Details'!$A:$Q,9))</f>
        <v>51</v>
      </c>
      <c r="J56" s="50">
        <f>IF(VLOOKUP(Table91213[[#This Row],[Date]],'DB Details'!$A:$Q,10)=0,"",VLOOKUP(Table91213[[#This Row],[Date]],'DB Details'!$A:$Q,10))</f>
        <v>46.4</v>
      </c>
      <c r="K56" s="50">
        <f>IF(VLOOKUP(Table91213[[#This Row],[Date]],'DB Details'!$A:$Q,11)=0,"",VLOOKUP(Table91213[[#This Row],[Date]],'DB Details'!$A:$Q,11))</f>
        <v>53.5</v>
      </c>
      <c r="L56" s="48">
        <f>IF(VLOOKUP(Table91213[[#This Row],[Date]],'DB Details'!$A:$Q,12)=0,"",VLOOKUP(Table91213[[#This Row],[Date]],'DB Details'!$A:$Q,12))</f>
        <v>49.5</v>
      </c>
    </row>
    <row r="57" spans="1:12" x14ac:dyDescent="0.35">
      <c r="A57" s="51">
        <v>37165</v>
      </c>
      <c r="B57" s="48">
        <f>IF(VLOOKUP(Table91213[[#This Row],[Date]],'DB Details'!$A:$Q,2)=0,"",VLOOKUP(Table91213[[#This Row],[Date]],'DB Details'!$A:$Q,2))</f>
        <v>41.3</v>
      </c>
      <c r="C57" s="49">
        <f>IF(VLOOKUP(Table91213[[#This Row],[Date]],'DB Details'!$A:$Q,3)=0,"",VLOOKUP(Table91213[[#This Row],[Date]],'DB Details'!$A:$Q,3))</f>
        <v>50.7</v>
      </c>
      <c r="D57" s="49">
        <f>IF(VLOOKUP(Table91213[[#This Row],[Date]],'DB Details'!$A:$Q,4)=0,"",VLOOKUP(Table91213[[#This Row],[Date]],'DB Details'!$A:$Q,4))</f>
        <v>40.5</v>
      </c>
      <c r="E57" s="50">
        <f>IF(VLOOKUP(Table91213[[#This Row],[Date]],'DB Details'!$A:$Q,5)=0,"",VLOOKUP(Table91213[[#This Row],[Date]],'DB Details'!$A:$Q,5))</f>
        <v>43.4</v>
      </c>
      <c r="F57" s="49">
        <f>IF(VLOOKUP(Table91213[[#This Row],[Date]],'DB Details'!$A:$Q,6)=0,"",VLOOKUP(Table91213[[#This Row],[Date]],'DB Details'!$A:$Q,6))</f>
        <v>40.5</v>
      </c>
      <c r="G57" s="50">
        <f>IF(VLOOKUP(Table91213[[#This Row],[Date]],'DB Details'!$A:$Q,7)=0,"",VLOOKUP(Table91213[[#This Row],[Date]],'DB Details'!$A:$Q,7))</f>
        <v>68.5</v>
      </c>
      <c r="H57" s="50">
        <f>IF(VLOOKUP(Table91213[[#This Row],[Date]],'DB Details'!$A:$Q,8)=0,"",VLOOKUP(Table91213[[#This Row],[Date]],'DB Details'!$A:$Q,8))</f>
        <v>48</v>
      </c>
      <c r="I57" s="50">
        <f>IF(VLOOKUP(Table91213[[#This Row],[Date]],'DB Details'!$A:$Q,9)=0,"",VLOOKUP(Table91213[[#This Row],[Date]],'DB Details'!$A:$Q,9))</f>
        <v>53.5</v>
      </c>
      <c r="J57" s="50">
        <f>IF(VLOOKUP(Table91213[[#This Row],[Date]],'DB Details'!$A:$Q,10)=0,"",VLOOKUP(Table91213[[#This Row],[Date]],'DB Details'!$A:$Q,10))</f>
        <v>43.9</v>
      </c>
      <c r="K57" s="50">
        <f>IF(VLOOKUP(Table91213[[#This Row],[Date]],'DB Details'!$A:$Q,11)=0,"",VLOOKUP(Table91213[[#This Row],[Date]],'DB Details'!$A:$Q,11))</f>
        <v>44.5</v>
      </c>
      <c r="L57" s="48">
        <f>IF(VLOOKUP(Table91213[[#This Row],[Date]],'DB Details'!$A:$Q,12)=0,"",VLOOKUP(Table91213[[#This Row],[Date]],'DB Details'!$A:$Q,12))</f>
        <v>44.8</v>
      </c>
    </row>
    <row r="58" spans="1:12" x14ac:dyDescent="0.35">
      <c r="A58" s="51">
        <v>37196</v>
      </c>
      <c r="B58" s="48">
        <f>IF(VLOOKUP(Table91213[[#This Row],[Date]],'DB Details'!$A:$Q,2)=0,"",VLOOKUP(Table91213[[#This Row],[Date]],'DB Details'!$A:$Q,2))</f>
        <v>46.4</v>
      </c>
      <c r="C58" s="49">
        <f>IF(VLOOKUP(Table91213[[#This Row],[Date]],'DB Details'!$A:$Q,3)=0,"",VLOOKUP(Table91213[[#This Row],[Date]],'DB Details'!$A:$Q,3))</f>
        <v>51.6</v>
      </c>
      <c r="D58" s="49">
        <f>IF(VLOOKUP(Table91213[[#This Row],[Date]],'DB Details'!$A:$Q,4)=0,"",VLOOKUP(Table91213[[#This Row],[Date]],'DB Details'!$A:$Q,4))</f>
        <v>42</v>
      </c>
      <c r="E58" s="50">
        <f>IF(VLOOKUP(Table91213[[#This Row],[Date]],'DB Details'!$A:$Q,5)=0,"",VLOOKUP(Table91213[[#This Row],[Date]],'DB Details'!$A:$Q,5))</f>
        <v>41.3</v>
      </c>
      <c r="F58" s="49">
        <f>IF(VLOOKUP(Table91213[[#This Row],[Date]],'DB Details'!$A:$Q,6)=0,"",VLOOKUP(Table91213[[#This Row],[Date]],'DB Details'!$A:$Q,6))</f>
        <v>49.4</v>
      </c>
      <c r="G58" s="50">
        <f>IF(VLOOKUP(Table91213[[#This Row],[Date]],'DB Details'!$A:$Q,7)=0,"",VLOOKUP(Table91213[[#This Row],[Date]],'DB Details'!$A:$Q,7))</f>
        <v>67</v>
      </c>
      <c r="H58" s="50">
        <f>IF(VLOOKUP(Table91213[[#This Row],[Date]],'DB Details'!$A:$Q,8)=0,"",VLOOKUP(Table91213[[#This Row],[Date]],'DB Details'!$A:$Q,8))</f>
        <v>49.5</v>
      </c>
      <c r="I58" s="50">
        <f>IF(VLOOKUP(Table91213[[#This Row],[Date]],'DB Details'!$A:$Q,9)=0,"",VLOOKUP(Table91213[[#This Row],[Date]],'DB Details'!$A:$Q,9))</f>
        <v>52.5</v>
      </c>
      <c r="J58" s="50">
        <f>IF(VLOOKUP(Table91213[[#This Row],[Date]],'DB Details'!$A:$Q,10)=0,"",VLOOKUP(Table91213[[#This Row],[Date]],'DB Details'!$A:$Q,10))</f>
        <v>44.5</v>
      </c>
      <c r="K58" s="50">
        <f>IF(VLOOKUP(Table91213[[#This Row],[Date]],'DB Details'!$A:$Q,11)=0,"",VLOOKUP(Table91213[[#This Row],[Date]],'DB Details'!$A:$Q,11))</f>
        <v>48.5</v>
      </c>
      <c r="L58" s="48">
        <f>IF(VLOOKUP(Table91213[[#This Row],[Date]],'DB Details'!$A:$Q,12)=0,"",VLOOKUP(Table91213[[#This Row],[Date]],'DB Details'!$A:$Q,12))</f>
        <v>48.2</v>
      </c>
    </row>
    <row r="59" spans="1:12" x14ac:dyDescent="0.35">
      <c r="A59" s="51">
        <v>37226</v>
      </c>
      <c r="B59" s="48">
        <f>IF(VLOOKUP(Table91213[[#This Row],[Date]],'DB Details'!$A:$Q,2)=0,"",VLOOKUP(Table91213[[#This Row],[Date]],'DB Details'!$A:$Q,2))</f>
        <v>49.9</v>
      </c>
      <c r="C59" s="49">
        <f>IF(VLOOKUP(Table91213[[#This Row],[Date]],'DB Details'!$A:$Q,3)=0,"",VLOOKUP(Table91213[[#This Row],[Date]],'DB Details'!$A:$Q,3))</f>
        <v>55.9</v>
      </c>
      <c r="D59" s="49">
        <f>IF(VLOOKUP(Table91213[[#This Row],[Date]],'DB Details'!$A:$Q,4)=0,"",VLOOKUP(Table91213[[#This Row],[Date]],'DB Details'!$A:$Q,4))</f>
        <v>46.5</v>
      </c>
      <c r="E59" s="50">
        <f>IF(VLOOKUP(Table91213[[#This Row],[Date]],'DB Details'!$A:$Q,5)=0,"",VLOOKUP(Table91213[[#This Row],[Date]],'DB Details'!$A:$Q,5))</f>
        <v>42.3</v>
      </c>
      <c r="F59" s="49">
        <f>IF(VLOOKUP(Table91213[[#This Row],[Date]],'DB Details'!$A:$Q,6)=0,"",VLOOKUP(Table91213[[#This Row],[Date]],'DB Details'!$A:$Q,6))</f>
        <v>50.7</v>
      </c>
      <c r="G59" s="50">
        <f>IF(VLOOKUP(Table91213[[#This Row],[Date]],'DB Details'!$A:$Q,7)=0,"",VLOOKUP(Table91213[[#This Row],[Date]],'DB Details'!$A:$Q,7))</f>
        <v>66.5</v>
      </c>
      <c r="H59" s="50">
        <f>IF(VLOOKUP(Table91213[[#This Row],[Date]],'DB Details'!$A:$Q,8)=0,"",VLOOKUP(Table91213[[#This Row],[Date]],'DB Details'!$A:$Q,8))</f>
        <v>48.5</v>
      </c>
      <c r="I59" s="50">
        <f>IF(VLOOKUP(Table91213[[#This Row],[Date]],'DB Details'!$A:$Q,9)=0,"",VLOOKUP(Table91213[[#This Row],[Date]],'DB Details'!$A:$Q,9))</f>
        <v>53.5</v>
      </c>
      <c r="J59" s="50">
        <f>IF(VLOOKUP(Table91213[[#This Row],[Date]],'DB Details'!$A:$Q,10)=0,"",VLOOKUP(Table91213[[#This Row],[Date]],'DB Details'!$A:$Q,10))</f>
        <v>44.6</v>
      </c>
      <c r="K59" s="50">
        <f>IF(VLOOKUP(Table91213[[#This Row],[Date]],'DB Details'!$A:$Q,11)=0,"",VLOOKUP(Table91213[[#This Row],[Date]],'DB Details'!$A:$Q,11))</f>
        <v>55</v>
      </c>
      <c r="L59" s="48">
        <f>IF(VLOOKUP(Table91213[[#This Row],[Date]],'DB Details'!$A:$Q,12)=0,"",VLOOKUP(Table91213[[#This Row],[Date]],'DB Details'!$A:$Q,12))</f>
        <v>49.7</v>
      </c>
    </row>
    <row r="60" spans="1:12" x14ac:dyDescent="0.35">
      <c r="A60" s="51">
        <v>37257</v>
      </c>
      <c r="B60" s="48">
        <f>IF(VLOOKUP(Table91213[[#This Row],[Date]],'DB Details'!$A:$Q,2)=0,"",VLOOKUP(Table91213[[#This Row],[Date]],'DB Details'!$A:$Q,2))</f>
        <v>48.3</v>
      </c>
      <c r="C60" s="49">
        <f>IF(VLOOKUP(Table91213[[#This Row],[Date]],'DB Details'!$A:$Q,3)=0,"",VLOOKUP(Table91213[[#This Row],[Date]],'DB Details'!$A:$Q,3))</f>
        <v>55.3</v>
      </c>
      <c r="D60" s="49">
        <f>IF(VLOOKUP(Table91213[[#This Row],[Date]],'DB Details'!$A:$Q,4)=0,"",VLOOKUP(Table91213[[#This Row],[Date]],'DB Details'!$A:$Q,4))</f>
        <v>45.5</v>
      </c>
      <c r="E60" s="50">
        <f>IF(VLOOKUP(Table91213[[#This Row],[Date]],'DB Details'!$A:$Q,5)=0,"",VLOOKUP(Table91213[[#This Row],[Date]],'DB Details'!$A:$Q,5))</f>
        <v>48.8</v>
      </c>
      <c r="F60" s="49">
        <f>IF(VLOOKUP(Table91213[[#This Row],[Date]],'DB Details'!$A:$Q,6)=0,"",VLOOKUP(Table91213[[#This Row],[Date]],'DB Details'!$A:$Q,6))</f>
        <v>49.8</v>
      </c>
      <c r="G60" s="50">
        <f>IF(VLOOKUP(Table91213[[#This Row],[Date]],'DB Details'!$A:$Q,7)=0,"",VLOOKUP(Table91213[[#This Row],[Date]],'DB Details'!$A:$Q,7))</f>
        <v>64.5</v>
      </c>
      <c r="H60" s="50">
        <f>IF(VLOOKUP(Table91213[[#This Row],[Date]],'DB Details'!$A:$Q,8)=0,"",VLOOKUP(Table91213[[#This Row],[Date]],'DB Details'!$A:$Q,8))</f>
        <v>47.5</v>
      </c>
      <c r="I60" s="50">
        <f>IF(VLOOKUP(Table91213[[#This Row],[Date]],'DB Details'!$A:$Q,9)=0,"",VLOOKUP(Table91213[[#This Row],[Date]],'DB Details'!$A:$Q,9))</f>
        <v>53</v>
      </c>
      <c r="J60" s="50">
        <f>IF(VLOOKUP(Table91213[[#This Row],[Date]],'DB Details'!$A:$Q,10)=0,"",VLOOKUP(Table91213[[#This Row],[Date]],'DB Details'!$A:$Q,10))</f>
        <v>44.3</v>
      </c>
      <c r="K60" s="50">
        <f>IF(VLOOKUP(Table91213[[#This Row],[Date]],'DB Details'!$A:$Q,11)=0,"",VLOOKUP(Table91213[[#This Row],[Date]],'DB Details'!$A:$Q,11))</f>
        <v>56.5</v>
      </c>
      <c r="L60" s="48">
        <f>IF(VLOOKUP(Table91213[[#This Row],[Date]],'DB Details'!$A:$Q,12)=0,"",VLOOKUP(Table91213[[#This Row],[Date]],'DB Details'!$A:$Q,12))</f>
        <v>48.9</v>
      </c>
    </row>
    <row r="61" spans="1:12" x14ac:dyDescent="0.35">
      <c r="A61" s="51">
        <v>37288</v>
      </c>
      <c r="B61" s="48">
        <f>IF(VLOOKUP(Table91213[[#This Row],[Date]],'DB Details'!$A:$Q,2)=0,"",VLOOKUP(Table91213[[#This Row],[Date]],'DB Details'!$A:$Q,2))</f>
        <v>56.3</v>
      </c>
      <c r="C61" s="49">
        <f>IF(VLOOKUP(Table91213[[#This Row],[Date]],'DB Details'!$A:$Q,3)=0,"",VLOOKUP(Table91213[[#This Row],[Date]],'DB Details'!$A:$Q,3))</f>
        <v>54.3</v>
      </c>
      <c r="D61" s="49">
        <f>IF(VLOOKUP(Table91213[[#This Row],[Date]],'DB Details'!$A:$Q,4)=0,"",VLOOKUP(Table91213[[#This Row],[Date]],'DB Details'!$A:$Q,4))</f>
        <v>47.5</v>
      </c>
      <c r="E61" s="50">
        <f>IF(VLOOKUP(Table91213[[#This Row],[Date]],'DB Details'!$A:$Q,5)=0,"",VLOOKUP(Table91213[[#This Row],[Date]],'DB Details'!$A:$Q,5))</f>
        <v>47.6</v>
      </c>
      <c r="F61" s="49">
        <f>IF(VLOOKUP(Table91213[[#This Row],[Date]],'DB Details'!$A:$Q,6)=0,"",VLOOKUP(Table91213[[#This Row],[Date]],'DB Details'!$A:$Q,6))</f>
        <v>57.5</v>
      </c>
      <c r="G61" s="50">
        <f>IF(VLOOKUP(Table91213[[#This Row],[Date]],'DB Details'!$A:$Q,7)=0,"",VLOOKUP(Table91213[[#This Row],[Date]],'DB Details'!$A:$Q,7))</f>
        <v>66.5</v>
      </c>
      <c r="H61" s="50">
        <f>IF(VLOOKUP(Table91213[[#This Row],[Date]],'DB Details'!$A:$Q,8)=0,"",VLOOKUP(Table91213[[#This Row],[Date]],'DB Details'!$A:$Q,8))</f>
        <v>51.5</v>
      </c>
      <c r="I61" s="50">
        <f>IF(VLOOKUP(Table91213[[#This Row],[Date]],'DB Details'!$A:$Q,9)=0,"",VLOOKUP(Table91213[[#This Row],[Date]],'DB Details'!$A:$Q,9))</f>
        <v>53</v>
      </c>
      <c r="J61" s="50">
        <f>IF(VLOOKUP(Table91213[[#This Row],[Date]],'DB Details'!$A:$Q,10)=0,"",VLOOKUP(Table91213[[#This Row],[Date]],'DB Details'!$A:$Q,10))</f>
        <v>43.9</v>
      </c>
      <c r="K61" s="50">
        <f>IF(VLOOKUP(Table91213[[#This Row],[Date]],'DB Details'!$A:$Q,11)=0,"",VLOOKUP(Table91213[[#This Row],[Date]],'DB Details'!$A:$Q,11))</f>
        <v>52.5</v>
      </c>
      <c r="L61" s="48">
        <f>IF(VLOOKUP(Table91213[[#This Row],[Date]],'DB Details'!$A:$Q,12)=0,"",VLOOKUP(Table91213[[#This Row],[Date]],'DB Details'!$A:$Q,12))</f>
        <v>52.7</v>
      </c>
    </row>
    <row r="62" spans="1:12" x14ac:dyDescent="0.35">
      <c r="A62" s="51">
        <v>37316</v>
      </c>
      <c r="B62" s="48">
        <f>IF(VLOOKUP(Table91213[[#This Row],[Date]],'DB Details'!$A:$Q,2)=0,"",VLOOKUP(Table91213[[#This Row],[Date]],'DB Details'!$A:$Q,2))</f>
        <v>56.4</v>
      </c>
      <c r="C62" s="49">
        <f>IF(VLOOKUP(Table91213[[#This Row],[Date]],'DB Details'!$A:$Q,3)=0,"",VLOOKUP(Table91213[[#This Row],[Date]],'DB Details'!$A:$Q,3))</f>
        <v>48.9</v>
      </c>
      <c r="D62" s="49">
        <f>IF(VLOOKUP(Table91213[[#This Row],[Date]],'DB Details'!$A:$Q,4)=0,"",VLOOKUP(Table91213[[#This Row],[Date]],'DB Details'!$A:$Q,4))</f>
        <v>49.5</v>
      </c>
      <c r="E62" s="50">
        <f>IF(VLOOKUP(Table91213[[#This Row],[Date]],'DB Details'!$A:$Q,5)=0,"",VLOOKUP(Table91213[[#This Row],[Date]],'DB Details'!$A:$Q,5))</f>
        <v>49.2</v>
      </c>
      <c r="F62" s="49">
        <f>IF(VLOOKUP(Table91213[[#This Row],[Date]],'DB Details'!$A:$Q,6)=0,"",VLOOKUP(Table91213[[#This Row],[Date]],'DB Details'!$A:$Q,6))</f>
        <v>57.1</v>
      </c>
      <c r="G62" s="50">
        <f>IF(VLOOKUP(Table91213[[#This Row],[Date]],'DB Details'!$A:$Q,7)=0,"",VLOOKUP(Table91213[[#This Row],[Date]],'DB Details'!$A:$Q,7))</f>
        <v>65.5</v>
      </c>
      <c r="H62" s="50">
        <f>IF(VLOOKUP(Table91213[[#This Row],[Date]],'DB Details'!$A:$Q,8)=0,"",VLOOKUP(Table91213[[#This Row],[Date]],'DB Details'!$A:$Q,8))</f>
        <v>50</v>
      </c>
      <c r="I62" s="50">
        <f>IF(VLOOKUP(Table91213[[#This Row],[Date]],'DB Details'!$A:$Q,9)=0,"",VLOOKUP(Table91213[[#This Row],[Date]],'DB Details'!$A:$Q,9))</f>
        <v>52</v>
      </c>
      <c r="J62" s="50">
        <f>IF(VLOOKUP(Table91213[[#This Row],[Date]],'DB Details'!$A:$Q,10)=0,"",VLOOKUP(Table91213[[#This Row],[Date]],'DB Details'!$A:$Q,10))</f>
        <v>45.8</v>
      </c>
      <c r="K62" s="50">
        <f>IF(VLOOKUP(Table91213[[#This Row],[Date]],'DB Details'!$A:$Q,11)=0,"",VLOOKUP(Table91213[[#This Row],[Date]],'DB Details'!$A:$Q,11))</f>
        <v>49.5</v>
      </c>
      <c r="L62" s="48">
        <f>IF(VLOOKUP(Table91213[[#This Row],[Date]],'DB Details'!$A:$Q,12)=0,"",VLOOKUP(Table91213[[#This Row],[Date]],'DB Details'!$A:$Q,12))</f>
        <v>52.8</v>
      </c>
    </row>
    <row r="63" spans="1:12" x14ac:dyDescent="0.35">
      <c r="A63" s="51">
        <v>37347</v>
      </c>
      <c r="B63" s="48">
        <f>IF(VLOOKUP(Table91213[[#This Row],[Date]],'DB Details'!$A:$Q,2)=0,"",VLOOKUP(Table91213[[#This Row],[Date]],'DB Details'!$A:$Q,2))</f>
        <v>58.4</v>
      </c>
      <c r="C63" s="49">
        <f>IF(VLOOKUP(Table91213[[#This Row],[Date]],'DB Details'!$A:$Q,3)=0,"",VLOOKUP(Table91213[[#This Row],[Date]],'DB Details'!$A:$Q,3))</f>
        <v>56.2</v>
      </c>
      <c r="D63" s="49">
        <f>IF(VLOOKUP(Table91213[[#This Row],[Date]],'DB Details'!$A:$Q,4)=0,"",VLOOKUP(Table91213[[#This Row],[Date]],'DB Details'!$A:$Q,4))</f>
        <v>48.5</v>
      </c>
      <c r="E63" s="50">
        <f>IF(VLOOKUP(Table91213[[#This Row],[Date]],'DB Details'!$A:$Q,5)=0,"",VLOOKUP(Table91213[[#This Row],[Date]],'DB Details'!$A:$Q,5))</f>
        <v>53.7</v>
      </c>
      <c r="F63" s="49">
        <f>IF(VLOOKUP(Table91213[[#This Row],[Date]],'DB Details'!$A:$Q,6)=0,"",VLOOKUP(Table91213[[#This Row],[Date]],'DB Details'!$A:$Q,6))</f>
        <v>56.3</v>
      </c>
      <c r="G63" s="50">
        <f>IF(VLOOKUP(Table91213[[#This Row],[Date]],'DB Details'!$A:$Q,7)=0,"",VLOOKUP(Table91213[[#This Row],[Date]],'DB Details'!$A:$Q,7))</f>
        <v>63</v>
      </c>
      <c r="H63" s="50">
        <f>IF(VLOOKUP(Table91213[[#This Row],[Date]],'DB Details'!$A:$Q,8)=0,"",VLOOKUP(Table91213[[#This Row],[Date]],'DB Details'!$A:$Q,8))</f>
        <v>52.5</v>
      </c>
      <c r="I63" s="50">
        <f>IF(VLOOKUP(Table91213[[#This Row],[Date]],'DB Details'!$A:$Q,9)=0,"",VLOOKUP(Table91213[[#This Row],[Date]],'DB Details'!$A:$Q,9))</f>
        <v>51.5</v>
      </c>
      <c r="J63" s="50">
        <f>IF(VLOOKUP(Table91213[[#This Row],[Date]],'DB Details'!$A:$Q,10)=0,"",VLOOKUP(Table91213[[#This Row],[Date]],'DB Details'!$A:$Q,10))</f>
        <v>47.8</v>
      </c>
      <c r="K63" s="50">
        <f>IF(VLOOKUP(Table91213[[#This Row],[Date]],'DB Details'!$A:$Q,11)=0,"",VLOOKUP(Table91213[[#This Row],[Date]],'DB Details'!$A:$Q,11))</f>
        <v>52.5</v>
      </c>
      <c r="L63" s="48">
        <f>IF(VLOOKUP(Table91213[[#This Row],[Date]],'DB Details'!$A:$Q,12)=0,"",VLOOKUP(Table91213[[#This Row],[Date]],'DB Details'!$A:$Q,12))</f>
        <v>53.5</v>
      </c>
    </row>
    <row r="64" spans="1:12" x14ac:dyDescent="0.35">
      <c r="A64" s="51">
        <v>37377</v>
      </c>
      <c r="B64" s="48">
        <f>IF(VLOOKUP(Table91213[[#This Row],[Date]],'DB Details'!$A:$Q,2)=0,"",VLOOKUP(Table91213[[#This Row],[Date]],'DB Details'!$A:$Q,2))</f>
        <v>57.3</v>
      </c>
      <c r="C64" s="49">
        <f>IF(VLOOKUP(Table91213[[#This Row],[Date]],'DB Details'!$A:$Q,3)=0,"",VLOOKUP(Table91213[[#This Row],[Date]],'DB Details'!$A:$Q,3))</f>
        <v>54</v>
      </c>
      <c r="D64" s="49">
        <f>IF(VLOOKUP(Table91213[[#This Row],[Date]],'DB Details'!$A:$Q,4)=0,"",VLOOKUP(Table91213[[#This Row],[Date]],'DB Details'!$A:$Q,4))</f>
        <v>53.5</v>
      </c>
      <c r="E64" s="50">
        <f>IF(VLOOKUP(Table91213[[#This Row],[Date]],'DB Details'!$A:$Q,5)=0,"",VLOOKUP(Table91213[[#This Row],[Date]],'DB Details'!$A:$Q,5))</f>
        <v>55.2</v>
      </c>
      <c r="F64" s="49">
        <f>IF(VLOOKUP(Table91213[[#This Row],[Date]],'DB Details'!$A:$Q,6)=0,"",VLOOKUP(Table91213[[#This Row],[Date]],'DB Details'!$A:$Q,6))</f>
        <v>60.5</v>
      </c>
      <c r="G64" s="50">
        <f>IF(VLOOKUP(Table91213[[#This Row],[Date]],'DB Details'!$A:$Q,7)=0,"",VLOOKUP(Table91213[[#This Row],[Date]],'DB Details'!$A:$Q,7))</f>
        <v>65</v>
      </c>
      <c r="H64" s="50">
        <f>IF(VLOOKUP(Table91213[[#This Row],[Date]],'DB Details'!$A:$Q,8)=0,"",VLOOKUP(Table91213[[#This Row],[Date]],'DB Details'!$A:$Q,8))</f>
        <v>48.5</v>
      </c>
      <c r="I64" s="50">
        <f>IF(VLOOKUP(Table91213[[#This Row],[Date]],'DB Details'!$A:$Q,9)=0,"",VLOOKUP(Table91213[[#This Row],[Date]],'DB Details'!$A:$Q,9))</f>
        <v>52</v>
      </c>
      <c r="J64" s="50">
        <f>IF(VLOOKUP(Table91213[[#This Row],[Date]],'DB Details'!$A:$Q,10)=0,"",VLOOKUP(Table91213[[#This Row],[Date]],'DB Details'!$A:$Q,10))</f>
        <v>49.2</v>
      </c>
      <c r="K64" s="50">
        <f>IF(VLOOKUP(Table91213[[#This Row],[Date]],'DB Details'!$A:$Q,11)=0,"",VLOOKUP(Table91213[[#This Row],[Date]],'DB Details'!$A:$Q,11))</f>
        <v>61.5</v>
      </c>
      <c r="L64" s="48">
        <f>IF(VLOOKUP(Table91213[[#This Row],[Date]],'DB Details'!$A:$Q,12)=0,"",VLOOKUP(Table91213[[#This Row],[Date]],'DB Details'!$A:$Q,12))</f>
        <v>54.8</v>
      </c>
    </row>
    <row r="65" spans="1:12" x14ac:dyDescent="0.35">
      <c r="A65" s="51">
        <v>37408</v>
      </c>
      <c r="B65" s="48">
        <f>IF(VLOOKUP(Table91213[[#This Row],[Date]],'DB Details'!$A:$Q,2)=0,"",VLOOKUP(Table91213[[#This Row],[Date]],'DB Details'!$A:$Q,2))</f>
        <v>56.4</v>
      </c>
      <c r="C65" s="49">
        <f>IF(VLOOKUP(Table91213[[#This Row],[Date]],'DB Details'!$A:$Q,3)=0,"",VLOOKUP(Table91213[[#This Row],[Date]],'DB Details'!$A:$Q,3))</f>
        <v>55.2</v>
      </c>
      <c r="D65" s="49">
        <f>IF(VLOOKUP(Table91213[[#This Row],[Date]],'DB Details'!$A:$Q,4)=0,"",VLOOKUP(Table91213[[#This Row],[Date]],'DB Details'!$A:$Q,4))</f>
        <v>49</v>
      </c>
      <c r="E65" s="50">
        <f>IF(VLOOKUP(Table91213[[#This Row],[Date]],'DB Details'!$A:$Q,5)=0,"",VLOOKUP(Table91213[[#This Row],[Date]],'DB Details'!$A:$Q,5))</f>
        <v>53.1</v>
      </c>
      <c r="F65" s="49">
        <f>IF(VLOOKUP(Table91213[[#This Row],[Date]],'DB Details'!$A:$Q,6)=0,"",VLOOKUP(Table91213[[#This Row],[Date]],'DB Details'!$A:$Q,6))</f>
        <v>56.1</v>
      </c>
      <c r="G65" s="50">
        <f>IF(VLOOKUP(Table91213[[#This Row],[Date]],'DB Details'!$A:$Q,7)=0,"",VLOOKUP(Table91213[[#This Row],[Date]],'DB Details'!$A:$Q,7))</f>
        <v>66</v>
      </c>
      <c r="H65" s="50">
        <f>IF(VLOOKUP(Table91213[[#This Row],[Date]],'DB Details'!$A:$Q,8)=0,"",VLOOKUP(Table91213[[#This Row],[Date]],'DB Details'!$A:$Q,8))</f>
        <v>47.5</v>
      </c>
      <c r="I65" s="50">
        <f>IF(VLOOKUP(Table91213[[#This Row],[Date]],'DB Details'!$A:$Q,9)=0,"",VLOOKUP(Table91213[[#This Row],[Date]],'DB Details'!$A:$Q,9))</f>
        <v>53.5</v>
      </c>
      <c r="J65" s="50">
        <f>IF(VLOOKUP(Table91213[[#This Row],[Date]],'DB Details'!$A:$Q,10)=0,"",VLOOKUP(Table91213[[#This Row],[Date]],'DB Details'!$A:$Q,10))</f>
        <v>44</v>
      </c>
      <c r="K65" s="50">
        <f>IF(VLOOKUP(Table91213[[#This Row],[Date]],'DB Details'!$A:$Q,11)=0,"",VLOOKUP(Table91213[[#This Row],[Date]],'DB Details'!$A:$Q,11))</f>
        <v>57.5</v>
      </c>
      <c r="L65" s="48">
        <f>IF(VLOOKUP(Table91213[[#This Row],[Date]],'DB Details'!$A:$Q,12)=0,"",VLOOKUP(Table91213[[#This Row],[Date]],'DB Details'!$A:$Q,12))</f>
        <v>52.5</v>
      </c>
    </row>
    <row r="66" spans="1:12" x14ac:dyDescent="0.35">
      <c r="A66" s="51">
        <v>37438</v>
      </c>
      <c r="B66" s="48">
        <f>IF(VLOOKUP(Table91213[[#This Row],[Date]],'DB Details'!$A:$Q,2)=0,"",VLOOKUP(Table91213[[#This Row],[Date]],'DB Details'!$A:$Q,2))</f>
        <v>50.7</v>
      </c>
      <c r="C66" s="49">
        <f>IF(VLOOKUP(Table91213[[#This Row],[Date]],'DB Details'!$A:$Q,3)=0,"",VLOOKUP(Table91213[[#This Row],[Date]],'DB Details'!$A:$Q,3))</f>
        <v>52.6</v>
      </c>
      <c r="D66" s="49">
        <f>IF(VLOOKUP(Table91213[[#This Row],[Date]],'DB Details'!$A:$Q,4)=0,"",VLOOKUP(Table91213[[#This Row],[Date]],'DB Details'!$A:$Q,4))</f>
        <v>43.5</v>
      </c>
      <c r="E66" s="50">
        <f>IF(VLOOKUP(Table91213[[#This Row],[Date]],'DB Details'!$A:$Q,5)=0,"",VLOOKUP(Table91213[[#This Row],[Date]],'DB Details'!$A:$Q,5))</f>
        <v>60.5</v>
      </c>
      <c r="F66" s="49">
        <f>IF(VLOOKUP(Table91213[[#This Row],[Date]],'DB Details'!$A:$Q,6)=0,"",VLOOKUP(Table91213[[#This Row],[Date]],'DB Details'!$A:$Q,6))</f>
        <v>52.1</v>
      </c>
      <c r="G66" s="50">
        <f>IF(VLOOKUP(Table91213[[#This Row],[Date]],'DB Details'!$A:$Q,7)=0,"",VLOOKUP(Table91213[[#This Row],[Date]],'DB Details'!$A:$Q,7))</f>
        <v>66</v>
      </c>
      <c r="H66" s="50">
        <f>IF(VLOOKUP(Table91213[[#This Row],[Date]],'DB Details'!$A:$Q,8)=0,"",VLOOKUP(Table91213[[#This Row],[Date]],'DB Details'!$A:$Q,8))</f>
        <v>52</v>
      </c>
      <c r="I66" s="50">
        <f>IF(VLOOKUP(Table91213[[#This Row],[Date]],'DB Details'!$A:$Q,9)=0,"",VLOOKUP(Table91213[[#This Row],[Date]],'DB Details'!$A:$Q,9))</f>
        <v>52.5</v>
      </c>
      <c r="J66" s="50">
        <f>IF(VLOOKUP(Table91213[[#This Row],[Date]],'DB Details'!$A:$Q,10)=0,"",VLOOKUP(Table91213[[#This Row],[Date]],'DB Details'!$A:$Q,10))</f>
        <v>46.1</v>
      </c>
      <c r="K66" s="50">
        <f>IF(VLOOKUP(Table91213[[#This Row],[Date]],'DB Details'!$A:$Q,11)=0,"",VLOOKUP(Table91213[[#This Row],[Date]],'DB Details'!$A:$Q,11))</f>
        <v>59.5</v>
      </c>
      <c r="L66" s="48">
        <f>IF(VLOOKUP(Table91213[[#This Row],[Date]],'DB Details'!$A:$Q,12)=0,"",VLOOKUP(Table91213[[#This Row],[Date]],'DB Details'!$A:$Q,12))</f>
        <v>50.4</v>
      </c>
    </row>
    <row r="67" spans="1:12" x14ac:dyDescent="0.35">
      <c r="A67" s="51">
        <v>37469</v>
      </c>
      <c r="B67" s="48">
        <f>IF(VLOOKUP(Table91213[[#This Row],[Date]],'DB Details'!$A:$Q,2)=0,"",VLOOKUP(Table91213[[#This Row],[Date]],'DB Details'!$A:$Q,2))</f>
        <v>51.6</v>
      </c>
      <c r="C67" s="49">
        <f>IF(VLOOKUP(Table91213[[#This Row],[Date]],'DB Details'!$A:$Q,3)=0,"",VLOOKUP(Table91213[[#This Row],[Date]],'DB Details'!$A:$Q,3))</f>
        <v>48.3</v>
      </c>
      <c r="D67" s="49">
        <f>IF(VLOOKUP(Table91213[[#This Row],[Date]],'DB Details'!$A:$Q,4)=0,"",VLOOKUP(Table91213[[#This Row],[Date]],'DB Details'!$A:$Q,4))</f>
        <v>48</v>
      </c>
      <c r="E67" s="50">
        <f>IF(VLOOKUP(Table91213[[#This Row],[Date]],'DB Details'!$A:$Q,5)=0,"",VLOOKUP(Table91213[[#This Row],[Date]],'DB Details'!$A:$Q,5))</f>
        <v>55.1</v>
      </c>
      <c r="F67" s="49">
        <f>IF(VLOOKUP(Table91213[[#This Row],[Date]],'DB Details'!$A:$Q,6)=0,"",VLOOKUP(Table91213[[#This Row],[Date]],'DB Details'!$A:$Q,6))</f>
        <v>51.9</v>
      </c>
      <c r="G67" s="50">
        <f>IF(VLOOKUP(Table91213[[#This Row],[Date]],'DB Details'!$A:$Q,7)=0,"",VLOOKUP(Table91213[[#This Row],[Date]],'DB Details'!$A:$Q,7))</f>
        <v>62</v>
      </c>
      <c r="H67" s="50">
        <f>IF(VLOOKUP(Table91213[[#This Row],[Date]],'DB Details'!$A:$Q,8)=0,"",VLOOKUP(Table91213[[#This Row],[Date]],'DB Details'!$A:$Q,8))</f>
        <v>46</v>
      </c>
      <c r="I67" s="50">
        <f>IF(VLOOKUP(Table91213[[#This Row],[Date]],'DB Details'!$A:$Q,9)=0,"",VLOOKUP(Table91213[[#This Row],[Date]],'DB Details'!$A:$Q,9))</f>
        <v>53</v>
      </c>
      <c r="J67" s="50">
        <f>IF(VLOOKUP(Table91213[[#This Row],[Date]],'DB Details'!$A:$Q,10)=0,"",VLOOKUP(Table91213[[#This Row],[Date]],'DB Details'!$A:$Q,10))</f>
        <v>47.2</v>
      </c>
      <c r="K67" s="50">
        <f>IF(VLOOKUP(Table91213[[#This Row],[Date]],'DB Details'!$A:$Q,11)=0,"",VLOOKUP(Table91213[[#This Row],[Date]],'DB Details'!$A:$Q,11))</f>
        <v>46</v>
      </c>
      <c r="L67" s="48">
        <f>IF(VLOOKUP(Table91213[[#This Row],[Date]],'DB Details'!$A:$Q,12)=0,"",VLOOKUP(Table91213[[#This Row],[Date]],'DB Details'!$A:$Q,12))</f>
        <v>50.9</v>
      </c>
    </row>
    <row r="68" spans="1:12" x14ac:dyDescent="0.35">
      <c r="A68" s="51">
        <v>37500</v>
      </c>
      <c r="B68" s="48">
        <f>IF(VLOOKUP(Table91213[[#This Row],[Date]],'DB Details'!$A:$Q,2)=0,"",VLOOKUP(Table91213[[#This Row],[Date]],'DB Details'!$A:$Q,2))</f>
        <v>54.8</v>
      </c>
      <c r="C68" s="49">
        <f>IF(VLOOKUP(Table91213[[#This Row],[Date]],'DB Details'!$A:$Q,3)=0,"",VLOOKUP(Table91213[[#This Row],[Date]],'DB Details'!$A:$Q,3))</f>
        <v>44.7</v>
      </c>
      <c r="D68" s="49">
        <f>IF(VLOOKUP(Table91213[[#This Row],[Date]],'DB Details'!$A:$Q,4)=0,"",VLOOKUP(Table91213[[#This Row],[Date]],'DB Details'!$A:$Q,4))</f>
        <v>51</v>
      </c>
      <c r="E68" s="50">
        <f>IF(VLOOKUP(Table91213[[#This Row],[Date]],'DB Details'!$A:$Q,5)=0,"",VLOOKUP(Table91213[[#This Row],[Date]],'DB Details'!$A:$Q,5))</f>
        <v>53.4</v>
      </c>
      <c r="F68" s="49">
        <f>IF(VLOOKUP(Table91213[[#This Row],[Date]],'DB Details'!$A:$Q,6)=0,"",VLOOKUP(Table91213[[#This Row],[Date]],'DB Details'!$A:$Q,6))</f>
        <v>54.9</v>
      </c>
      <c r="G68" s="50">
        <f>IF(VLOOKUP(Table91213[[#This Row],[Date]],'DB Details'!$A:$Q,7)=0,"",VLOOKUP(Table91213[[#This Row],[Date]],'DB Details'!$A:$Q,7))</f>
        <v>66</v>
      </c>
      <c r="H68" s="50">
        <f>IF(VLOOKUP(Table91213[[#This Row],[Date]],'DB Details'!$A:$Q,8)=0,"",VLOOKUP(Table91213[[#This Row],[Date]],'DB Details'!$A:$Q,8))</f>
        <v>44.5</v>
      </c>
      <c r="I68" s="50">
        <f>IF(VLOOKUP(Table91213[[#This Row],[Date]],'DB Details'!$A:$Q,9)=0,"",VLOOKUP(Table91213[[#This Row],[Date]],'DB Details'!$A:$Q,9))</f>
        <v>52.5</v>
      </c>
      <c r="J68" s="50">
        <f>IF(VLOOKUP(Table91213[[#This Row],[Date]],'DB Details'!$A:$Q,10)=0,"",VLOOKUP(Table91213[[#This Row],[Date]],'DB Details'!$A:$Q,10))</f>
        <v>47.1</v>
      </c>
      <c r="K68" s="50">
        <f>IF(VLOOKUP(Table91213[[#This Row],[Date]],'DB Details'!$A:$Q,11)=0,"",VLOOKUP(Table91213[[#This Row],[Date]],'DB Details'!$A:$Q,11))</f>
        <v>57.5</v>
      </c>
      <c r="L68" s="48">
        <f>IF(VLOOKUP(Table91213[[#This Row],[Date]],'DB Details'!$A:$Q,12)=0,"",VLOOKUP(Table91213[[#This Row],[Date]],'DB Details'!$A:$Q,12))</f>
        <v>52.3</v>
      </c>
    </row>
    <row r="69" spans="1:12" x14ac:dyDescent="0.35">
      <c r="A69" s="51">
        <v>37530</v>
      </c>
      <c r="B69" s="48">
        <f>IF(VLOOKUP(Table91213[[#This Row],[Date]],'DB Details'!$A:$Q,2)=0,"",VLOOKUP(Table91213[[#This Row],[Date]],'DB Details'!$A:$Q,2))</f>
        <v>52.3</v>
      </c>
      <c r="C69" s="49">
        <f>IF(VLOOKUP(Table91213[[#This Row],[Date]],'DB Details'!$A:$Q,3)=0,"",VLOOKUP(Table91213[[#This Row],[Date]],'DB Details'!$A:$Q,3))</f>
        <v>54.9</v>
      </c>
      <c r="D69" s="49">
        <f>IF(VLOOKUP(Table91213[[#This Row],[Date]],'DB Details'!$A:$Q,4)=0,"",VLOOKUP(Table91213[[#This Row],[Date]],'DB Details'!$A:$Q,4))</f>
        <v>52</v>
      </c>
      <c r="E69" s="50">
        <f>IF(VLOOKUP(Table91213[[#This Row],[Date]],'DB Details'!$A:$Q,5)=0,"",VLOOKUP(Table91213[[#This Row],[Date]],'DB Details'!$A:$Q,5))</f>
        <v>56.1</v>
      </c>
      <c r="F69" s="49">
        <f>IF(VLOOKUP(Table91213[[#This Row],[Date]],'DB Details'!$A:$Q,6)=0,"",VLOOKUP(Table91213[[#This Row],[Date]],'DB Details'!$A:$Q,6))</f>
        <v>53.1</v>
      </c>
      <c r="G69" s="50">
        <f>IF(VLOOKUP(Table91213[[#This Row],[Date]],'DB Details'!$A:$Q,7)=0,"",VLOOKUP(Table91213[[#This Row],[Date]],'DB Details'!$A:$Q,7))</f>
        <v>64.5</v>
      </c>
      <c r="H69" s="50">
        <f>IF(VLOOKUP(Table91213[[#This Row],[Date]],'DB Details'!$A:$Q,8)=0,"",VLOOKUP(Table91213[[#This Row],[Date]],'DB Details'!$A:$Q,8))</f>
        <v>44</v>
      </c>
      <c r="I69" s="50">
        <f>IF(VLOOKUP(Table91213[[#This Row],[Date]],'DB Details'!$A:$Q,9)=0,"",VLOOKUP(Table91213[[#This Row],[Date]],'DB Details'!$A:$Q,9))</f>
        <v>53.5</v>
      </c>
      <c r="J69" s="50">
        <f>IF(VLOOKUP(Table91213[[#This Row],[Date]],'DB Details'!$A:$Q,10)=0,"",VLOOKUP(Table91213[[#This Row],[Date]],'DB Details'!$A:$Q,10))</f>
        <v>46.6</v>
      </c>
      <c r="K69" s="50">
        <f>IF(VLOOKUP(Table91213[[#This Row],[Date]],'DB Details'!$A:$Q,11)=0,"",VLOOKUP(Table91213[[#This Row],[Date]],'DB Details'!$A:$Q,11))</f>
        <v>49</v>
      </c>
      <c r="L69" s="48">
        <f>IF(VLOOKUP(Table91213[[#This Row],[Date]],'DB Details'!$A:$Q,12)=0,"",VLOOKUP(Table91213[[#This Row],[Date]],'DB Details'!$A:$Q,12))</f>
        <v>51.4</v>
      </c>
    </row>
    <row r="70" spans="1:12" x14ac:dyDescent="0.35">
      <c r="A70" s="51">
        <v>37561</v>
      </c>
      <c r="B70" s="48">
        <f>IF(VLOOKUP(Table91213[[#This Row],[Date]],'DB Details'!$A:$Q,2)=0,"",VLOOKUP(Table91213[[#This Row],[Date]],'DB Details'!$A:$Q,2))</f>
        <v>56.4</v>
      </c>
      <c r="C70" s="49">
        <f>IF(VLOOKUP(Table91213[[#This Row],[Date]],'DB Details'!$A:$Q,3)=0,"",VLOOKUP(Table91213[[#This Row],[Date]],'DB Details'!$A:$Q,3))</f>
        <v>55.1</v>
      </c>
      <c r="D70" s="49">
        <f>IF(VLOOKUP(Table91213[[#This Row],[Date]],'DB Details'!$A:$Q,4)=0,"",VLOOKUP(Table91213[[#This Row],[Date]],'DB Details'!$A:$Q,4))</f>
        <v>50.5</v>
      </c>
      <c r="E70" s="50">
        <f>IF(VLOOKUP(Table91213[[#This Row],[Date]],'DB Details'!$A:$Q,5)=0,"",VLOOKUP(Table91213[[#This Row],[Date]],'DB Details'!$A:$Q,5))</f>
        <v>57.6</v>
      </c>
      <c r="F70" s="49">
        <f>IF(VLOOKUP(Table91213[[#This Row],[Date]],'DB Details'!$A:$Q,6)=0,"",VLOOKUP(Table91213[[#This Row],[Date]],'DB Details'!$A:$Q,6))</f>
        <v>56.8</v>
      </c>
      <c r="G70" s="50">
        <f>IF(VLOOKUP(Table91213[[#This Row],[Date]],'DB Details'!$A:$Q,7)=0,"",VLOOKUP(Table91213[[#This Row],[Date]],'DB Details'!$A:$Q,7))</f>
        <v>61</v>
      </c>
      <c r="H70" s="50">
        <f>IF(VLOOKUP(Table91213[[#This Row],[Date]],'DB Details'!$A:$Q,8)=0,"",VLOOKUP(Table91213[[#This Row],[Date]],'DB Details'!$A:$Q,8))</f>
        <v>44</v>
      </c>
      <c r="I70" s="50">
        <f>IF(VLOOKUP(Table91213[[#This Row],[Date]],'DB Details'!$A:$Q,9)=0,"",VLOOKUP(Table91213[[#This Row],[Date]],'DB Details'!$A:$Q,9))</f>
        <v>52.5</v>
      </c>
      <c r="J70" s="50">
        <f>IF(VLOOKUP(Table91213[[#This Row],[Date]],'DB Details'!$A:$Q,10)=0,"",VLOOKUP(Table91213[[#This Row],[Date]],'DB Details'!$A:$Q,10))</f>
        <v>46</v>
      </c>
      <c r="K70" s="50">
        <f>IF(VLOOKUP(Table91213[[#This Row],[Date]],'DB Details'!$A:$Q,11)=0,"",VLOOKUP(Table91213[[#This Row],[Date]],'DB Details'!$A:$Q,11))</f>
        <v>58.5</v>
      </c>
      <c r="L70" s="48">
        <f>IF(VLOOKUP(Table91213[[#This Row],[Date]],'DB Details'!$A:$Q,12)=0,"",VLOOKUP(Table91213[[#This Row],[Date]],'DB Details'!$A:$Q,12))</f>
        <v>52.9</v>
      </c>
    </row>
    <row r="71" spans="1:12" x14ac:dyDescent="0.35">
      <c r="A71" s="51">
        <v>37591</v>
      </c>
      <c r="B71" s="48">
        <f>IF(VLOOKUP(Table91213[[#This Row],[Date]],'DB Details'!$A:$Q,2)=0,"",VLOOKUP(Table91213[[#This Row],[Date]],'DB Details'!$A:$Q,2))</f>
        <v>54.2</v>
      </c>
      <c r="C71" s="49">
        <f>IF(VLOOKUP(Table91213[[#This Row],[Date]],'DB Details'!$A:$Q,3)=0,"",VLOOKUP(Table91213[[#This Row],[Date]],'DB Details'!$A:$Q,3))</f>
        <v>51.8</v>
      </c>
      <c r="D71" s="49">
        <f>IF(VLOOKUP(Table91213[[#This Row],[Date]],'DB Details'!$A:$Q,4)=0,"",VLOOKUP(Table91213[[#This Row],[Date]],'DB Details'!$A:$Q,4))</f>
        <v>51.5</v>
      </c>
      <c r="E71" s="50">
        <f>IF(VLOOKUP(Table91213[[#This Row],[Date]],'DB Details'!$A:$Q,5)=0,"",VLOOKUP(Table91213[[#This Row],[Date]],'DB Details'!$A:$Q,5))</f>
        <v>56.5</v>
      </c>
      <c r="F71" s="49">
        <f>IF(VLOOKUP(Table91213[[#This Row],[Date]],'DB Details'!$A:$Q,6)=0,"",VLOOKUP(Table91213[[#This Row],[Date]],'DB Details'!$A:$Q,6))</f>
        <v>55.5</v>
      </c>
      <c r="G71" s="50">
        <f>IF(VLOOKUP(Table91213[[#This Row],[Date]],'DB Details'!$A:$Q,7)=0,"",VLOOKUP(Table91213[[#This Row],[Date]],'DB Details'!$A:$Q,7))</f>
        <v>63</v>
      </c>
      <c r="H71" s="50">
        <f>IF(VLOOKUP(Table91213[[#This Row],[Date]],'DB Details'!$A:$Q,8)=0,"",VLOOKUP(Table91213[[#This Row],[Date]],'DB Details'!$A:$Q,8))</f>
        <v>45.5</v>
      </c>
      <c r="I71" s="50">
        <f>IF(VLOOKUP(Table91213[[#This Row],[Date]],'DB Details'!$A:$Q,9)=0,"",VLOOKUP(Table91213[[#This Row],[Date]],'DB Details'!$A:$Q,9))</f>
        <v>52.5</v>
      </c>
      <c r="J71" s="50">
        <f>IF(VLOOKUP(Table91213[[#This Row],[Date]],'DB Details'!$A:$Q,10)=0,"",VLOOKUP(Table91213[[#This Row],[Date]],'DB Details'!$A:$Q,10))</f>
        <v>47</v>
      </c>
      <c r="K71" s="50">
        <f>IF(VLOOKUP(Table91213[[#This Row],[Date]],'DB Details'!$A:$Q,11)=0,"",VLOOKUP(Table91213[[#This Row],[Date]],'DB Details'!$A:$Q,11))</f>
        <v>54</v>
      </c>
      <c r="L71" s="48">
        <f>IF(VLOOKUP(Table91213[[#This Row],[Date]],'DB Details'!$A:$Q,12)=0,"",VLOOKUP(Table91213[[#This Row],[Date]],'DB Details'!$A:$Q,12))</f>
        <v>52.3</v>
      </c>
    </row>
    <row r="72" spans="1:12" x14ac:dyDescent="0.35">
      <c r="A72" s="51">
        <v>37622</v>
      </c>
      <c r="B72" s="48">
        <f>IF(VLOOKUP(Table91213[[#This Row],[Date]],'DB Details'!$A:$Q,2)=0,"",VLOOKUP(Table91213[[#This Row],[Date]],'DB Details'!$A:$Q,2))</f>
        <v>54.4</v>
      </c>
      <c r="C72" s="49">
        <f>IF(VLOOKUP(Table91213[[#This Row],[Date]],'DB Details'!$A:$Q,3)=0,"",VLOOKUP(Table91213[[#This Row],[Date]],'DB Details'!$A:$Q,3))</f>
        <v>56.5</v>
      </c>
      <c r="D72" s="49">
        <f>IF(VLOOKUP(Table91213[[#This Row],[Date]],'DB Details'!$A:$Q,4)=0,"",VLOOKUP(Table91213[[#This Row],[Date]],'DB Details'!$A:$Q,4))</f>
        <v>48</v>
      </c>
      <c r="E72" s="50">
        <f>IF(VLOOKUP(Table91213[[#This Row],[Date]],'DB Details'!$A:$Q,5)=0,"",VLOOKUP(Table91213[[#This Row],[Date]],'DB Details'!$A:$Q,5))</f>
        <v>58</v>
      </c>
      <c r="F72" s="49">
        <f>IF(VLOOKUP(Table91213[[#This Row],[Date]],'DB Details'!$A:$Q,6)=0,"",VLOOKUP(Table91213[[#This Row],[Date]],'DB Details'!$A:$Q,6))</f>
        <v>56.2</v>
      </c>
      <c r="G72" s="50">
        <f>IF(VLOOKUP(Table91213[[#This Row],[Date]],'DB Details'!$A:$Q,7)=0,"",VLOOKUP(Table91213[[#This Row],[Date]],'DB Details'!$A:$Q,7))</f>
        <v>64.5</v>
      </c>
      <c r="H72" s="50">
        <f>IF(VLOOKUP(Table91213[[#This Row],[Date]],'DB Details'!$A:$Q,8)=0,"",VLOOKUP(Table91213[[#This Row],[Date]],'DB Details'!$A:$Q,8))</f>
        <v>46.5</v>
      </c>
      <c r="I72" s="50">
        <f>IF(VLOOKUP(Table91213[[#This Row],[Date]],'DB Details'!$A:$Q,9)=0,"",VLOOKUP(Table91213[[#This Row],[Date]],'DB Details'!$A:$Q,9))</f>
        <v>52</v>
      </c>
      <c r="J72" s="50">
        <f>IF(VLOOKUP(Table91213[[#This Row],[Date]],'DB Details'!$A:$Q,10)=0,"",VLOOKUP(Table91213[[#This Row],[Date]],'DB Details'!$A:$Q,10))</f>
        <v>50.5</v>
      </c>
      <c r="K72" s="50">
        <f>IF(VLOOKUP(Table91213[[#This Row],[Date]],'DB Details'!$A:$Q,11)=0,"",VLOOKUP(Table91213[[#This Row],[Date]],'DB Details'!$A:$Q,11))</f>
        <v>53</v>
      </c>
      <c r="L72" s="48">
        <f>IF(VLOOKUP(Table91213[[#This Row],[Date]],'DB Details'!$A:$Q,12)=0,"",VLOOKUP(Table91213[[#This Row],[Date]],'DB Details'!$A:$Q,12))</f>
        <v>53.3</v>
      </c>
    </row>
    <row r="73" spans="1:12" x14ac:dyDescent="0.35">
      <c r="A73" s="51">
        <v>37653</v>
      </c>
      <c r="B73" s="48">
        <f>IF(VLOOKUP(Table91213[[#This Row],[Date]],'DB Details'!$A:$Q,2)=0,"",VLOOKUP(Table91213[[#This Row],[Date]],'DB Details'!$A:$Q,2))</f>
        <v>53.9</v>
      </c>
      <c r="C73" s="49">
        <f>IF(VLOOKUP(Table91213[[#This Row],[Date]],'DB Details'!$A:$Q,3)=0,"",VLOOKUP(Table91213[[#This Row],[Date]],'DB Details'!$A:$Q,3))</f>
        <v>51.5</v>
      </c>
      <c r="D73" s="49">
        <f>IF(VLOOKUP(Table91213[[#This Row],[Date]],'DB Details'!$A:$Q,4)=0,"",VLOOKUP(Table91213[[#This Row],[Date]],'DB Details'!$A:$Q,4))</f>
        <v>50</v>
      </c>
      <c r="E73" s="50">
        <f>IF(VLOOKUP(Table91213[[#This Row],[Date]],'DB Details'!$A:$Q,5)=0,"",VLOOKUP(Table91213[[#This Row],[Date]],'DB Details'!$A:$Q,5))</f>
        <v>60.5</v>
      </c>
      <c r="F73" s="49">
        <f>IF(VLOOKUP(Table91213[[#This Row],[Date]],'DB Details'!$A:$Q,6)=0,"",VLOOKUP(Table91213[[#This Row],[Date]],'DB Details'!$A:$Q,6))</f>
        <v>55.6</v>
      </c>
      <c r="G73" s="50">
        <f>IF(VLOOKUP(Table91213[[#This Row],[Date]],'DB Details'!$A:$Q,7)=0,"",VLOOKUP(Table91213[[#This Row],[Date]],'DB Details'!$A:$Q,7))</f>
        <v>66.5</v>
      </c>
      <c r="H73" s="50">
        <f>IF(VLOOKUP(Table91213[[#This Row],[Date]],'DB Details'!$A:$Q,8)=0,"",VLOOKUP(Table91213[[#This Row],[Date]],'DB Details'!$A:$Q,8))</f>
        <v>48.5</v>
      </c>
      <c r="I73" s="50">
        <f>IF(VLOOKUP(Table91213[[#This Row],[Date]],'DB Details'!$A:$Q,9)=0,"",VLOOKUP(Table91213[[#This Row],[Date]],'DB Details'!$A:$Q,9))</f>
        <v>52.5</v>
      </c>
      <c r="J73" s="50">
        <f>IF(VLOOKUP(Table91213[[#This Row],[Date]],'DB Details'!$A:$Q,10)=0,"",VLOOKUP(Table91213[[#This Row],[Date]],'DB Details'!$A:$Q,10))</f>
        <v>48.5</v>
      </c>
      <c r="K73" s="50">
        <f>IF(VLOOKUP(Table91213[[#This Row],[Date]],'DB Details'!$A:$Q,11)=0,"",VLOOKUP(Table91213[[#This Row],[Date]],'DB Details'!$A:$Q,11))</f>
        <v>58.5</v>
      </c>
      <c r="L73" s="48">
        <f>IF(VLOOKUP(Table91213[[#This Row],[Date]],'DB Details'!$A:$Q,12)=0,"",VLOOKUP(Table91213[[#This Row],[Date]],'DB Details'!$A:$Q,12))</f>
        <v>52.6</v>
      </c>
    </row>
    <row r="74" spans="1:12" x14ac:dyDescent="0.35">
      <c r="A74" s="51">
        <v>37681</v>
      </c>
      <c r="B74" s="48">
        <f>IF(VLOOKUP(Table91213[[#This Row],[Date]],'DB Details'!$A:$Q,2)=0,"",VLOOKUP(Table91213[[#This Row],[Date]],'DB Details'!$A:$Q,2))</f>
        <v>49.9</v>
      </c>
      <c r="C74" s="49">
        <f>IF(VLOOKUP(Table91213[[#This Row],[Date]],'DB Details'!$A:$Q,3)=0,"",VLOOKUP(Table91213[[#This Row],[Date]],'DB Details'!$A:$Q,3))</f>
        <v>55</v>
      </c>
      <c r="D74" s="49">
        <f>IF(VLOOKUP(Table91213[[#This Row],[Date]],'DB Details'!$A:$Q,4)=0,"",VLOOKUP(Table91213[[#This Row],[Date]],'DB Details'!$A:$Q,4))</f>
        <v>47.5</v>
      </c>
      <c r="E74" s="50">
        <f>IF(VLOOKUP(Table91213[[#This Row],[Date]],'DB Details'!$A:$Q,5)=0,"",VLOOKUP(Table91213[[#This Row],[Date]],'DB Details'!$A:$Q,5))</f>
        <v>59.4</v>
      </c>
      <c r="F74" s="49">
        <f>IF(VLOOKUP(Table91213[[#This Row],[Date]],'DB Details'!$A:$Q,6)=0,"",VLOOKUP(Table91213[[#This Row],[Date]],'DB Details'!$A:$Q,6))</f>
        <v>46.3</v>
      </c>
      <c r="G74" s="50">
        <f>IF(VLOOKUP(Table91213[[#This Row],[Date]],'DB Details'!$A:$Q,7)=0,"",VLOOKUP(Table91213[[#This Row],[Date]],'DB Details'!$A:$Q,7))</f>
        <v>66</v>
      </c>
      <c r="H74" s="50">
        <f>IF(VLOOKUP(Table91213[[#This Row],[Date]],'DB Details'!$A:$Q,8)=0,"",VLOOKUP(Table91213[[#This Row],[Date]],'DB Details'!$A:$Q,8))</f>
        <v>49.5</v>
      </c>
      <c r="I74" s="50">
        <f>IF(VLOOKUP(Table91213[[#This Row],[Date]],'DB Details'!$A:$Q,9)=0,"",VLOOKUP(Table91213[[#This Row],[Date]],'DB Details'!$A:$Q,9))</f>
        <v>52</v>
      </c>
      <c r="J74" s="50">
        <f>IF(VLOOKUP(Table91213[[#This Row],[Date]],'DB Details'!$A:$Q,10)=0,"",VLOOKUP(Table91213[[#This Row],[Date]],'DB Details'!$A:$Q,10))</f>
        <v>48.1</v>
      </c>
      <c r="K74" s="50">
        <f>IF(VLOOKUP(Table91213[[#This Row],[Date]],'DB Details'!$A:$Q,11)=0,"",VLOOKUP(Table91213[[#This Row],[Date]],'DB Details'!$A:$Q,11))</f>
        <v>48.5</v>
      </c>
      <c r="L74" s="48">
        <f>IF(VLOOKUP(Table91213[[#This Row],[Date]],'DB Details'!$A:$Q,12)=0,"",VLOOKUP(Table91213[[#This Row],[Date]],'DB Details'!$A:$Q,12))</f>
        <v>49.1</v>
      </c>
    </row>
    <row r="75" spans="1:12" x14ac:dyDescent="0.35">
      <c r="A75" s="51">
        <v>37712</v>
      </c>
      <c r="B75" s="48">
        <f>IF(VLOOKUP(Table91213[[#This Row],[Date]],'DB Details'!$A:$Q,2)=0,"",VLOOKUP(Table91213[[#This Row],[Date]],'DB Details'!$A:$Q,2))</f>
        <v>50.4</v>
      </c>
      <c r="C75" s="49">
        <f>IF(VLOOKUP(Table91213[[#This Row],[Date]],'DB Details'!$A:$Q,3)=0,"",VLOOKUP(Table91213[[#This Row],[Date]],'DB Details'!$A:$Q,3))</f>
        <v>50</v>
      </c>
      <c r="D75" s="49">
        <f>IF(VLOOKUP(Table91213[[#This Row],[Date]],'DB Details'!$A:$Q,4)=0,"",VLOOKUP(Table91213[[#This Row],[Date]],'DB Details'!$A:$Q,4))</f>
        <v>46</v>
      </c>
      <c r="E75" s="50">
        <f>IF(VLOOKUP(Table91213[[#This Row],[Date]],'DB Details'!$A:$Q,5)=0,"",VLOOKUP(Table91213[[#This Row],[Date]],'DB Details'!$A:$Q,5))</f>
        <v>55.7</v>
      </c>
      <c r="F75" s="49">
        <f>IF(VLOOKUP(Table91213[[#This Row],[Date]],'DB Details'!$A:$Q,6)=0,"",VLOOKUP(Table91213[[#This Row],[Date]],'DB Details'!$A:$Q,6))</f>
        <v>50.7</v>
      </c>
      <c r="G75" s="50">
        <f>IF(VLOOKUP(Table91213[[#This Row],[Date]],'DB Details'!$A:$Q,7)=0,"",VLOOKUP(Table91213[[#This Row],[Date]],'DB Details'!$A:$Q,7))</f>
        <v>62.5</v>
      </c>
      <c r="H75" s="50">
        <f>IF(VLOOKUP(Table91213[[#This Row],[Date]],'DB Details'!$A:$Q,8)=0,"",VLOOKUP(Table91213[[#This Row],[Date]],'DB Details'!$A:$Q,8))</f>
        <v>51</v>
      </c>
      <c r="I75" s="50">
        <f>IF(VLOOKUP(Table91213[[#This Row],[Date]],'DB Details'!$A:$Q,9)=0,"",VLOOKUP(Table91213[[#This Row],[Date]],'DB Details'!$A:$Q,9))</f>
        <v>50.5</v>
      </c>
      <c r="J75" s="50">
        <f>IF(VLOOKUP(Table91213[[#This Row],[Date]],'DB Details'!$A:$Q,10)=0,"",VLOOKUP(Table91213[[#This Row],[Date]],'DB Details'!$A:$Q,10))</f>
        <v>48.7</v>
      </c>
      <c r="K75" s="50">
        <f>IF(VLOOKUP(Table91213[[#This Row],[Date]],'DB Details'!$A:$Q,11)=0,"",VLOOKUP(Table91213[[#This Row],[Date]],'DB Details'!$A:$Q,11))</f>
        <v>52.5</v>
      </c>
      <c r="L75" s="48">
        <f>IF(VLOOKUP(Table91213[[#This Row],[Date]],'DB Details'!$A:$Q,12)=0,"",VLOOKUP(Table91213[[#This Row],[Date]],'DB Details'!$A:$Q,12))</f>
        <v>50.1</v>
      </c>
    </row>
    <row r="76" spans="1:12" x14ac:dyDescent="0.35">
      <c r="A76" s="51">
        <v>37742</v>
      </c>
      <c r="B76" s="48">
        <f>IF(VLOOKUP(Table91213[[#This Row],[Date]],'DB Details'!$A:$Q,2)=0,"",VLOOKUP(Table91213[[#This Row],[Date]],'DB Details'!$A:$Q,2))</f>
        <v>55.9</v>
      </c>
      <c r="C76" s="49">
        <f>IF(VLOOKUP(Table91213[[#This Row],[Date]],'DB Details'!$A:$Q,3)=0,"",VLOOKUP(Table91213[[#This Row],[Date]],'DB Details'!$A:$Q,3))</f>
        <v>58.5</v>
      </c>
      <c r="D76" s="49">
        <f>IF(VLOOKUP(Table91213[[#This Row],[Date]],'DB Details'!$A:$Q,4)=0,"",VLOOKUP(Table91213[[#This Row],[Date]],'DB Details'!$A:$Q,4))</f>
        <v>51</v>
      </c>
      <c r="E76" s="50">
        <f>IF(VLOOKUP(Table91213[[#This Row],[Date]],'DB Details'!$A:$Q,5)=0,"",VLOOKUP(Table91213[[#This Row],[Date]],'DB Details'!$A:$Q,5))</f>
        <v>50</v>
      </c>
      <c r="F76" s="49">
        <f>IF(VLOOKUP(Table91213[[#This Row],[Date]],'DB Details'!$A:$Q,6)=0,"",VLOOKUP(Table91213[[#This Row],[Date]],'DB Details'!$A:$Q,6))</f>
        <v>54.6</v>
      </c>
      <c r="G76" s="50">
        <f>IF(VLOOKUP(Table91213[[#This Row],[Date]],'DB Details'!$A:$Q,7)=0,"",VLOOKUP(Table91213[[#This Row],[Date]],'DB Details'!$A:$Q,7))</f>
        <v>63</v>
      </c>
      <c r="H76" s="50">
        <f>IF(VLOOKUP(Table91213[[#This Row],[Date]],'DB Details'!$A:$Q,8)=0,"",VLOOKUP(Table91213[[#This Row],[Date]],'DB Details'!$A:$Q,8))</f>
        <v>52.5</v>
      </c>
      <c r="I76" s="50">
        <f>IF(VLOOKUP(Table91213[[#This Row],[Date]],'DB Details'!$A:$Q,9)=0,"",VLOOKUP(Table91213[[#This Row],[Date]],'DB Details'!$A:$Q,9))</f>
        <v>52</v>
      </c>
      <c r="J76" s="50">
        <f>IF(VLOOKUP(Table91213[[#This Row],[Date]],'DB Details'!$A:$Q,10)=0,"",VLOOKUP(Table91213[[#This Row],[Date]],'DB Details'!$A:$Q,10))</f>
        <v>48.5</v>
      </c>
      <c r="K76" s="50">
        <f>IF(VLOOKUP(Table91213[[#This Row],[Date]],'DB Details'!$A:$Q,11)=0,"",VLOOKUP(Table91213[[#This Row],[Date]],'DB Details'!$A:$Q,11))</f>
        <v>49</v>
      </c>
      <c r="L76" s="48">
        <f>IF(VLOOKUP(Table91213[[#This Row],[Date]],'DB Details'!$A:$Q,12)=0,"",VLOOKUP(Table91213[[#This Row],[Date]],'DB Details'!$A:$Q,12))</f>
        <v>52.8</v>
      </c>
    </row>
    <row r="77" spans="1:12" x14ac:dyDescent="0.35">
      <c r="A77" s="51">
        <v>37773</v>
      </c>
      <c r="B77" s="48">
        <f>IF(VLOOKUP(Table91213[[#This Row],[Date]],'DB Details'!$A:$Q,2)=0,"",VLOOKUP(Table91213[[#This Row],[Date]],'DB Details'!$A:$Q,2))</f>
        <v>57.1</v>
      </c>
      <c r="C77" s="49">
        <f>IF(VLOOKUP(Table91213[[#This Row],[Date]],'DB Details'!$A:$Q,3)=0,"",VLOOKUP(Table91213[[#This Row],[Date]],'DB Details'!$A:$Q,3))</f>
        <v>50.5</v>
      </c>
      <c r="D77" s="49">
        <f>IF(VLOOKUP(Table91213[[#This Row],[Date]],'DB Details'!$A:$Q,4)=0,"",VLOOKUP(Table91213[[#This Row],[Date]],'DB Details'!$A:$Q,4))</f>
        <v>51.5</v>
      </c>
      <c r="E77" s="50">
        <f>IF(VLOOKUP(Table91213[[#This Row],[Date]],'DB Details'!$A:$Q,5)=0,"",VLOOKUP(Table91213[[#This Row],[Date]],'DB Details'!$A:$Q,5))</f>
        <v>52.3</v>
      </c>
      <c r="F77" s="49">
        <f>IF(VLOOKUP(Table91213[[#This Row],[Date]],'DB Details'!$A:$Q,6)=0,"",VLOOKUP(Table91213[[#This Row],[Date]],'DB Details'!$A:$Q,6))</f>
        <v>59.2</v>
      </c>
      <c r="G77" s="50">
        <f>IF(VLOOKUP(Table91213[[#This Row],[Date]],'DB Details'!$A:$Q,7)=0,"",VLOOKUP(Table91213[[#This Row],[Date]],'DB Details'!$A:$Q,7))</f>
        <v>62</v>
      </c>
      <c r="H77" s="50">
        <f>IF(VLOOKUP(Table91213[[#This Row],[Date]],'DB Details'!$A:$Q,8)=0,"",VLOOKUP(Table91213[[#This Row],[Date]],'DB Details'!$A:$Q,8))</f>
        <v>47</v>
      </c>
      <c r="I77" s="50">
        <f>IF(VLOOKUP(Table91213[[#This Row],[Date]],'DB Details'!$A:$Q,9)=0,"",VLOOKUP(Table91213[[#This Row],[Date]],'DB Details'!$A:$Q,9))</f>
        <v>51.5</v>
      </c>
      <c r="J77" s="50">
        <f>IF(VLOOKUP(Table91213[[#This Row],[Date]],'DB Details'!$A:$Q,10)=0,"",VLOOKUP(Table91213[[#This Row],[Date]],'DB Details'!$A:$Q,10))</f>
        <v>49.3</v>
      </c>
      <c r="K77" s="50">
        <f>IF(VLOOKUP(Table91213[[#This Row],[Date]],'DB Details'!$A:$Q,11)=0,"",VLOOKUP(Table91213[[#This Row],[Date]],'DB Details'!$A:$Q,11))</f>
        <v>49.5</v>
      </c>
      <c r="L77" s="48">
        <f>IF(VLOOKUP(Table91213[[#This Row],[Date]],'DB Details'!$A:$Q,12)=0,"",VLOOKUP(Table91213[[#This Row],[Date]],'DB Details'!$A:$Q,12))</f>
        <v>54.3</v>
      </c>
    </row>
    <row r="78" spans="1:12" x14ac:dyDescent="0.35">
      <c r="A78" s="51">
        <v>37803</v>
      </c>
      <c r="B78" s="48">
        <f>IF(VLOOKUP(Table91213[[#This Row],[Date]],'DB Details'!$A:$Q,2)=0,"",VLOOKUP(Table91213[[#This Row],[Date]],'DB Details'!$A:$Q,2))</f>
        <v>62.3</v>
      </c>
      <c r="C78" s="49">
        <f>IF(VLOOKUP(Table91213[[#This Row],[Date]],'DB Details'!$A:$Q,3)=0,"",VLOOKUP(Table91213[[#This Row],[Date]],'DB Details'!$A:$Q,3))</f>
        <v>54</v>
      </c>
      <c r="D78" s="49">
        <f>IF(VLOOKUP(Table91213[[#This Row],[Date]],'DB Details'!$A:$Q,4)=0,"",VLOOKUP(Table91213[[#This Row],[Date]],'DB Details'!$A:$Q,4))</f>
        <v>54.5</v>
      </c>
      <c r="E78" s="50">
        <f>IF(VLOOKUP(Table91213[[#This Row],[Date]],'DB Details'!$A:$Q,5)=0,"",VLOOKUP(Table91213[[#This Row],[Date]],'DB Details'!$A:$Q,5))</f>
        <v>51.4</v>
      </c>
      <c r="F78" s="49">
        <f>IF(VLOOKUP(Table91213[[#This Row],[Date]],'DB Details'!$A:$Q,6)=0,"",VLOOKUP(Table91213[[#This Row],[Date]],'DB Details'!$A:$Q,6))</f>
        <v>62.7</v>
      </c>
      <c r="G78" s="50">
        <f>IF(VLOOKUP(Table91213[[#This Row],[Date]],'DB Details'!$A:$Q,7)=0,"",VLOOKUP(Table91213[[#This Row],[Date]],'DB Details'!$A:$Q,7))</f>
        <v>60</v>
      </c>
      <c r="H78" s="50">
        <f>IF(VLOOKUP(Table91213[[#This Row],[Date]],'DB Details'!$A:$Q,8)=0,"",VLOOKUP(Table91213[[#This Row],[Date]],'DB Details'!$A:$Q,8))</f>
        <v>49.5</v>
      </c>
      <c r="I78" s="50">
        <f>IF(VLOOKUP(Table91213[[#This Row],[Date]],'DB Details'!$A:$Q,9)=0,"",VLOOKUP(Table91213[[#This Row],[Date]],'DB Details'!$A:$Q,9))</f>
        <v>53.5</v>
      </c>
      <c r="J78" s="50">
        <f>IF(VLOOKUP(Table91213[[#This Row],[Date]],'DB Details'!$A:$Q,10)=0,"",VLOOKUP(Table91213[[#This Row],[Date]],'DB Details'!$A:$Q,10))</f>
        <v>50.5</v>
      </c>
      <c r="K78" s="50">
        <f>IF(VLOOKUP(Table91213[[#This Row],[Date]],'DB Details'!$A:$Q,11)=0,"",VLOOKUP(Table91213[[#This Row],[Date]],'DB Details'!$A:$Q,11))</f>
        <v>47.5</v>
      </c>
      <c r="L78" s="48">
        <f>IF(VLOOKUP(Table91213[[#This Row],[Date]],'DB Details'!$A:$Q,12)=0,"",VLOOKUP(Table91213[[#This Row],[Date]],'DB Details'!$A:$Q,12))</f>
        <v>57.3</v>
      </c>
    </row>
    <row r="79" spans="1:12" x14ac:dyDescent="0.35">
      <c r="A79" s="51">
        <v>37834</v>
      </c>
      <c r="B79" s="48">
        <f>IF(VLOOKUP(Table91213[[#This Row],[Date]],'DB Details'!$A:$Q,2)=0,"",VLOOKUP(Table91213[[#This Row],[Date]],'DB Details'!$A:$Q,2))</f>
        <v>66.900000000000006</v>
      </c>
      <c r="C79" s="49">
        <f>IF(VLOOKUP(Table91213[[#This Row],[Date]],'DB Details'!$A:$Q,3)=0,"",VLOOKUP(Table91213[[#This Row],[Date]],'DB Details'!$A:$Q,3))</f>
        <v>60</v>
      </c>
      <c r="D79" s="49">
        <f>IF(VLOOKUP(Table91213[[#This Row],[Date]],'DB Details'!$A:$Q,4)=0,"",VLOOKUP(Table91213[[#This Row],[Date]],'DB Details'!$A:$Q,4))</f>
        <v>51.5</v>
      </c>
      <c r="E79" s="50">
        <f>IF(VLOOKUP(Table91213[[#This Row],[Date]],'DB Details'!$A:$Q,5)=0,"",VLOOKUP(Table91213[[#This Row],[Date]],'DB Details'!$A:$Q,5))</f>
        <v>56.1</v>
      </c>
      <c r="F79" s="49">
        <f>IF(VLOOKUP(Table91213[[#This Row],[Date]],'DB Details'!$A:$Q,6)=0,"",VLOOKUP(Table91213[[#This Row],[Date]],'DB Details'!$A:$Q,6))</f>
        <v>65.099999999999994</v>
      </c>
      <c r="G79" s="50">
        <f>IF(VLOOKUP(Table91213[[#This Row],[Date]],'DB Details'!$A:$Q,7)=0,"",VLOOKUP(Table91213[[#This Row],[Date]],'DB Details'!$A:$Q,7))</f>
        <v>62</v>
      </c>
      <c r="H79" s="50">
        <f>IF(VLOOKUP(Table91213[[#This Row],[Date]],'DB Details'!$A:$Q,8)=0,"",VLOOKUP(Table91213[[#This Row],[Date]],'DB Details'!$A:$Q,8))</f>
        <v>49</v>
      </c>
      <c r="I79" s="50">
        <f>IF(VLOOKUP(Table91213[[#This Row],[Date]],'DB Details'!$A:$Q,9)=0,"",VLOOKUP(Table91213[[#This Row],[Date]],'DB Details'!$A:$Q,9))</f>
        <v>52.5</v>
      </c>
      <c r="J79" s="50">
        <f>IF(VLOOKUP(Table91213[[#This Row],[Date]],'DB Details'!$A:$Q,10)=0,"",VLOOKUP(Table91213[[#This Row],[Date]],'DB Details'!$A:$Q,10))</f>
        <v>51.7</v>
      </c>
      <c r="K79" s="50">
        <f>IF(VLOOKUP(Table91213[[#This Row],[Date]],'DB Details'!$A:$Q,11)=0,"",VLOOKUP(Table91213[[#This Row],[Date]],'DB Details'!$A:$Q,11))</f>
        <v>58.5</v>
      </c>
      <c r="L79" s="48">
        <f>IF(VLOOKUP(Table91213[[#This Row],[Date]],'DB Details'!$A:$Q,12)=0,"",VLOOKUP(Table91213[[#This Row],[Date]],'DB Details'!$A:$Q,12))</f>
        <v>59.1</v>
      </c>
    </row>
    <row r="80" spans="1:12" x14ac:dyDescent="0.35">
      <c r="A80" s="51">
        <v>37865</v>
      </c>
      <c r="B80" s="48">
        <f>IF(VLOOKUP(Table91213[[#This Row],[Date]],'DB Details'!$A:$Q,2)=0,"",VLOOKUP(Table91213[[#This Row],[Date]],'DB Details'!$A:$Q,2))</f>
        <v>61.4</v>
      </c>
      <c r="C80" s="49">
        <f>IF(VLOOKUP(Table91213[[#This Row],[Date]],'DB Details'!$A:$Q,3)=0,"",VLOOKUP(Table91213[[#This Row],[Date]],'DB Details'!$A:$Q,3))</f>
        <v>55</v>
      </c>
      <c r="D80" s="49">
        <f>IF(VLOOKUP(Table91213[[#This Row],[Date]],'DB Details'!$A:$Q,4)=0,"",VLOOKUP(Table91213[[#This Row],[Date]],'DB Details'!$A:$Q,4))</f>
        <v>57</v>
      </c>
      <c r="E80" s="50">
        <f>IF(VLOOKUP(Table91213[[#This Row],[Date]],'DB Details'!$A:$Q,5)=0,"",VLOOKUP(Table91213[[#This Row],[Date]],'DB Details'!$A:$Q,5))</f>
        <v>59.5</v>
      </c>
      <c r="F80" s="49">
        <f>IF(VLOOKUP(Table91213[[#This Row],[Date]],'DB Details'!$A:$Q,6)=0,"",VLOOKUP(Table91213[[#This Row],[Date]],'DB Details'!$A:$Q,6))</f>
        <v>63.8</v>
      </c>
      <c r="G80" s="50">
        <f>IF(VLOOKUP(Table91213[[#This Row],[Date]],'DB Details'!$A:$Q,7)=0,"",VLOOKUP(Table91213[[#This Row],[Date]],'DB Details'!$A:$Q,7))</f>
        <v>60.5</v>
      </c>
      <c r="H80" s="50">
        <f>IF(VLOOKUP(Table91213[[#This Row],[Date]],'DB Details'!$A:$Q,8)=0,"",VLOOKUP(Table91213[[#This Row],[Date]],'DB Details'!$A:$Q,8))</f>
        <v>47.5</v>
      </c>
      <c r="I80" s="50">
        <f>IF(VLOOKUP(Table91213[[#This Row],[Date]],'DB Details'!$A:$Q,9)=0,"",VLOOKUP(Table91213[[#This Row],[Date]],'DB Details'!$A:$Q,9))</f>
        <v>55</v>
      </c>
      <c r="J80" s="50">
        <f>IF(VLOOKUP(Table91213[[#This Row],[Date]],'DB Details'!$A:$Q,10)=0,"",VLOOKUP(Table91213[[#This Row],[Date]],'DB Details'!$A:$Q,10))</f>
        <v>50.1</v>
      </c>
      <c r="K80" s="50">
        <f>IF(VLOOKUP(Table91213[[#This Row],[Date]],'DB Details'!$A:$Q,11)=0,"",VLOOKUP(Table91213[[#This Row],[Date]],'DB Details'!$A:$Q,11))</f>
        <v>56</v>
      </c>
      <c r="L80" s="48">
        <f>IF(VLOOKUP(Table91213[[#This Row],[Date]],'DB Details'!$A:$Q,12)=0,"",VLOOKUP(Table91213[[#This Row],[Date]],'DB Details'!$A:$Q,12))</f>
        <v>57.6</v>
      </c>
    </row>
    <row r="81" spans="1:12" x14ac:dyDescent="0.35">
      <c r="A81" s="51">
        <v>37895</v>
      </c>
      <c r="B81" s="48">
        <f>IF(VLOOKUP(Table91213[[#This Row],[Date]],'DB Details'!$A:$Q,2)=0,"",VLOOKUP(Table91213[[#This Row],[Date]],'DB Details'!$A:$Q,2))</f>
        <v>64.2</v>
      </c>
      <c r="C81" s="49">
        <f>IF(VLOOKUP(Table91213[[#This Row],[Date]],'DB Details'!$A:$Q,3)=0,"",VLOOKUP(Table91213[[#This Row],[Date]],'DB Details'!$A:$Q,3))</f>
        <v>56</v>
      </c>
      <c r="D81" s="49">
        <f>IF(VLOOKUP(Table91213[[#This Row],[Date]],'DB Details'!$A:$Q,4)=0,"",VLOOKUP(Table91213[[#This Row],[Date]],'DB Details'!$A:$Q,4))</f>
        <v>54</v>
      </c>
      <c r="E81" s="50">
        <f>IF(VLOOKUP(Table91213[[#This Row],[Date]],'DB Details'!$A:$Q,5)=0,"",VLOOKUP(Table91213[[#This Row],[Date]],'DB Details'!$A:$Q,5))</f>
        <v>57.2</v>
      </c>
      <c r="F81" s="49">
        <f>IF(VLOOKUP(Table91213[[#This Row],[Date]],'DB Details'!$A:$Q,6)=0,"",VLOOKUP(Table91213[[#This Row],[Date]],'DB Details'!$A:$Q,6))</f>
        <v>64.400000000000006</v>
      </c>
      <c r="G81" s="50">
        <f>IF(VLOOKUP(Table91213[[#This Row],[Date]],'DB Details'!$A:$Q,7)=0,"",VLOOKUP(Table91213[[#This Row],[Date]],'DB Details'!$A:$Q,7))</f>
        <v>60</v>
      </c>
      <c r="H81" s="50">
        <f>IF(VLOOKUP(Table91213[[#This Row],[Date]],'DB Details'!$A:$Q,8)=0,"",VLOOKUP(Table91213[[#This Row],[Date]],'DB Details'!$A:$Q,8))</f>
        <v>49</v>
      </c>
      <c r="I81" s="50">
        <f>IF(VLOOKUP(Table91213[[#This Row],[Date]],'DB Details'!$A:$Q,9)=0,"",VLOOKUP(Table91213[[#This Row],[Date]],'DB Details'!$A:$Q,9))</f>
        <v>53</v>
      </c>
      <c r="J81" s="50">
        <f>IF(VLOOKUP(Table91213[[#This Row],[Date]],'DB Details'!$A:$Q,10)=0,"",VLOOKUP(Table91213[[#This Row],[Date]],'DB Details'!$A:$Q,10))</f>
        <v>53</v>
      </c>
      <c r="K81" s="50">
        <f>IF(VLOOKUP(Table91213[[#This Row],[Date]],'DB Details'!$A:$Q,11)=0,"",VLOOKUP(Table91213[[#This Row],[Date]],'DB Details'!$A:$Q,11))</f>
        <v>58</v>
      </c>
      <c r="L81" s="48">
        <f>IF(VLOOKUP(Table91213[[#This Row],[Date]],'DB Details'!$A:$Q,12)=0,"",VLOOKUP(Table91213[[#This Row],[Date]],'DB Details'!$A:$Q,12))</f>
        <v>58.7</v>
      </c>
    </row>
    <row r="82" spans="1:12" x14ac:dyDescent="0.35">
      <c r="A82" s="51">
        <v>37926</v>
      </c>
      <c r="B82" s="48">
        <f>IF(VLOOKUP(Table91213[[#This Row],[Date]],'DB Details'!$A:$Q,2)=0,"",VLOOKUP(Table91213[[#This Row],[Date]],'DB Details'!$A:$Q,2))</f>
        <v>61.3</v>
      </c>
      <c r="C82" s="49">
        <f>IF(VLOOKUP(Table91213[[#This Row],[Date]],'DB Details'!$A:$Q,3)=0,"",VLOOKUP(Table91213[[#This Row],[Date]],'DB Details'!$A:$Q,3))</f>
        <v>57.5</v>
      </c>
      <c r="D82" s="49">
        <f>IF(VLOOKUP(Table91213[[#This Row],[Date]],'DB Details'!$A:$Q,4)=0,"",VLOOKUP(Table91213[[#This Row],[Date]],'DB Details'!$A:$Q,4))</f>
        <v>52.5</v>
      </c>
      <c r="E82" s="50">
        <f>IF(VLOOKUP(Table91213[[#This Row],[Date]],'DB Details'!$A:$Q,5)=0,"",VLOOKUP(Table91213[[#This Row],[Date]],'DB Details'!$A:$Q,5))</f>
        <v>58.5</v>
      </c>
      <c r="F82" s="49">
        <f>IF(VLOOKUP(Table91213[[#This Row],[Date]],'DB Details'!$A:$Q,6)=0,"",VLOOKUP(Table91213[[#This Row],[Date]],'DB Details'!$A:$Q,6))</f>
        <v>61.1</v>
      </c>
      <c r="G82" s="50">
        <f>IF(VLOOKUP(Table91213[[#This Row],[Date]],'DB Details'!$A:$Q,7)=0,"",VLOOKUP(Table91213[[#This Row],[Date]],'DB Details'!$A:$Q,7))</f>
        <v>62</v>
      </c>
      <c r="H82" s="50">
        <f>IF(VLOOKUP(Table91213[[#This Row],[Date]],'DB Details'!$A:$Q,8)=0,"",VLOOKUP(Table91213[[#This Row],[Date]],'DB Details'!$A:$Q,8))</f>
        <v>51</v>
      </c>
      <c r="I82" s="50">
        <f>IF(VLOOKUP(Table91213[[#This Row],[Date]],'DB Details'!$A:$Q,9)=0,"",VLOOKUP(Table91213[[#This Row],[Date]],'DB Details'!$A:$Q,9))</f>
        <v>53</v>
      </c>
      <c r="J82" s="50">
        <f>IF(VLOOKUP(Table91213[[#This Row],[Date]],'DB Details'!$A:$Q,10)=0,"",VLOOKUP(Table91213[[#This Row],[Date]],'DB Details'!$A:$Q,10))</f>
        <v>54.4</v>
      </c>
      <c r="K82" s="50">
        <f>IF(VLOOKUP(Table91213[[#This Row],[Date]],'DB Details'!$A:$Q,11)=0,"",VLOOKUP(Table91213[[#This Row],[Date]],'DB Details'!$A:$Q,11))</f>
        <v>54.5</v>
      </c>
      <c r="L82" s="48">
        <f>IF(VLOOKUP(Table91213[[#This Row],[Date]],'DB Details'!$A:$Q,12)=0,"",VLOOKUP(Table91213[[#This Row],[Date]],'DB Details'!$A:$Q,12))</f>
        <v>57.5</v>
      </c>
    </row>
    <row r="83" spans="1:12" x14ac:dyDescent="0.35">
      <c r="A83" s="51">
        <v>37956</v>
      </c>
      <c r="B83" s="48">
        <f>IF(VLOOKUP(Table91213[[#This Row],[Date]],'DB Details'!$A:$Q,2)=0,"",VLOOKUP(Table91213[[#This Row],[Date]],'DB Details'!$A:$Q,2))</f>
        <v>61.2</v>
      </c>
      <c r="C83" s="49">
        <f>IF(VLOOKUP(Table91213[[#This Row],[Date]],'DB Details'!$A:$Q,3)=0,"",VLOOKUP(Table91213[[#This Row],[Date]],'DB Details'!$A:$Q,3))</f>
        <v>57</v>
      </c>
      <c r="D83" s="49">
        <f>IF(VLOOKUP(Table91213[[#This Row],[Date]],'DB Details'!$A:$Q,4)=0,"",VLOOKUP(Table91213[[#This Row],[Date]],'DB Details'!$A:$Q,4))</f>
        <v>55.5</v>
      </c>
      <c r="E83" s="50">
        <f>IF(VLOOKUP(Table91213[[#This Row],[Date]],'DB Details'!$A:$Q,5)=0,"",VLOOKUP(Table91213[[#This Row],[Date]],'DB Details'!$A:$Q,5))</f>
        <v>61.1</v>
      </c>
      <c r="F83" s="49">
        <f>IF(VLOOKUP(Table91213[[#This Row],[Date]],'DB Details'!$A:$Q,6)=0,"",VLOOKUP(Table91213[[#This Row],[Date]],'DB Details'!$A:$Q,6))</f>
        <v>60</v>
      </c>
      <c r="G83" s="50">
        <f>IF(VLOOKUP(Table91213[[#This Row],[Date]],'DB Details'!$A:$Q,7)=0,"",VLOOKUP(Table91213[[#This Row],[Date]],'DB Details'!$A:$Q,7))</f>
        <v>62</v>
      </c>
      <c r="H83" s="50">
        <f>IF(VLOOKUP(Table91213[[#This Row],[Date]],'DB Details'!$A:$Q,8)=0,"",VLOOKUP(Table91213[[#This Row],[Date]],'DB Details'!$A:$Q,8))</f>
        <v>51.5</v>
      </c>
      <c r="I83" s="50">
        <f>IF(VLOOKUP(Table91213[[#This Row],[Date]],'DB Details'!$A:$Q,9)=0,"",VLOOKUP(Table91213[[#This Row],[Date]],'DB Details'!$A:$Q,9))</f>
        <v>52</v>
      </c>
      <c r="J83" s="50">
        <f>IF(VLOOKUP(Table91213[[#This Row],[Date]],'DB Details'!$A:$Q,10)=0,"",VLOOKUP(Table91213[[#This Row],[Date]],'DB Details'!$A:$Q,10))</f>
        <v>54</v>
      </c>
      <c r="K83" s="50">
        <f>IF(VLOOKUP(Table91213[[#This Row],[Date]],'DB Details'!$A:$Q,11)=0,"",VLOOKUP(Table91213[[#This Row],[Date]],'DB Details'!$A:$Q,11))</f>
        <v>57.5</v>
      </c>
      <c r="L83" s="48">
        <f>IF(VLOOKUP(Table91213[[#This Row],[Date]],'DB Details'!$A:$Q,12)=0,"",VLOOKUP(Table91213[[#This Row],[Date]],'DB Details'!$A:$Q,12))</f>
        <v>56.8</v>
      </c>
    </row>
    <row r="84" spans="1:12" x14ac:dyDescent="0.35">
      <c r="A84" s="51">
        <v>37987</v>
      </c>
      <c r="B84" s="48">
        <f>IF(VLOOKUP(Table91213[[#This Row],[Date]],'DB Details'!$A:$Q,2)=0,"",VLOOKUP(Table91213[[#This Row],[Date]],'DB Details'!$A:$Q,2))</f>
        <v>65.400000000000006</v>
      </c>
      <c r="C84" s="49">
        <f>IF(VLOOKUP(Table91213[[#This Row],[Date]],'DB Details'!$A:$Q,3)=0,"",VLOOKUP(Table91213[[#This Row],[Date]],'DB Details'!$A:$Q,3))</f>
        <v>54.5</v>
      </c>
      <c r="D84" s="49">
        <f>IF(VLOOKUP(Table91213[[#This Row],[Date]],'DB Details'!$A:$Q,4)=0,"",VLOOKUP(Table91213[[#This Row],[Date]],'DB Details'!$A:$Q,4))</f>
        <v>53.5</v>
      </c>
      <c r="E84" s="50">
        <f>IF(VLOOKUP(Table91213[[#This Row],[Date]],'DB Details'!$A:$Q,5)=0,"",VLOOKUP(Table91213[[#This Row],[Date]],'DB Details'!$A:$Q,5))</f>
        <v>62.2</v>
      </c>
      <c r="F84" s="49">
        <f>IF(VLOOKUP(Table91213[[#This Row],[Date]],'DB Details'!$A:$Q,6)=0,"",VLOOKUP(Table91213[[#This Row],[Date]],'DB Details'!$A:$Q,6))</f>
        <v>67.7</v>
      </c>
      <c r="G84" s="50">
        <f>IF(VLOOKUP(Table91213[[#This Row],[Date]],'DB Details'!$A:$Q,7)=0,"",VLOOKUP(Table91213[[#This Row],[Date]],'DB Details'!$A:$Q,7))</f>
        <v>59</v>
      </c>
      <c r="H84" s="50">
        <f>IF(VLOOKUP(Table91213[[#This Row],[Date]],'DB Details'!$A:$Q,8)=0,"",VLOOKUP(Table91213[[#This Row],[Date]],'DB Details'!$A:$Q,8))</f>
        <v>49.5</v>
      </c>
      <c r="I84" s="50">
        <f>IF(VLOOKUP(Table91213[[#This Row],[Date]],'DB Details'!$A:$Q,9)=0,"",VLOOKUP(Table91213[[#This Row],[Date]],'DB Details'!$A:$Q,9))</f>
        <v>56.5</v>
      </c>
      <c r="J84" s="50">
        <f>IF(VLOOKUP(Table91213[[#This Row],[Date]],'DB Details'!$A:$Q,10)=0,"",VLOOKUP(Table91213[[#This Row],[Date]],'DB Details'!$A:$Q,10))</f>
        <v>55.143160127252997</v>
      </c>
      <c r="K84" s="50">
        <f>IF(VLOOKUP(Table91213[[#This Row],[Date]],'DB Details'!$A:$Q,11)=0,"",VLOOKUP(Table91213[[#This Row],[Date]],'DB Details'!$A:$Q,11))</f>
        <v>51</v>
      </c>
      <c r="L84" s="48">
        <f>IF(VLOOKUP(Table91213[[#This Row],[Date]],'DB Details'!$A:$Q,12)=0,"",VLOOKUP(Table91213[[#This Row],[Date]],'DB Details'!$A:$Q,12))</f>
        <v>61.2</v>
      </c>
    </row>
    <row r="85" spans="1:12" x14ac:dyDescent="0.35">
      <c r="A85" s="51">
        <v>38018</v>
      </c>
      <c r="B85" s="48">
        <f>IF(VLOOKUP(Table91213[[#This Row],[Date]],'DB Details'!$A:$Q,2)=0,"",VLOOKUP(Table91213[[#This Row],[Date]],'DB Details'!$A:$Q,2))</f>
        <v>61.2</v>
      </c>
      <c r="C85" s="49">
        <f>IF(VLOOKUP(Table91213[[#This Row],[Date]],'DB Details'!$A:$Q,3)=0,"",VLOOKUP(Table91213[[#This Row],[Date]],'DB Details'!$A:$Q,3))</f>
        <v>58.5</v>
      </c>
      <c r="D85" s="49">
        <f>IF(VLOOKUP(Table91213[[#This Row],[Date]],'DB Details'!$A:$Q,4)=0,"",VLOOKUP(Table91213[[#This Row],[Date]],'DB Details'!$A:$Q,4))</f>
        <v>53</v>
      </c>
      <c r="E85" s="50">
        <f>IF(VLOOKUP(Table91213[[#This Row],[Date]],'DB Details'!$A:$Q,5)=0,"",VLOOKUP(Table91213[[#This Row],[Date]],'DB Details'!$A:$Q,5))</f>
        <v>59.5</v>
      </c>
      <c r="F85" s="49">
        <f>IF(VLOOKUP(Table91213[[#This Row],[Date]],'DB Details'!$A:$Q,6)=0,"",VLOOKUP(Table91213[[#This Row],[Date]],'DB Details'!$A:$Q,6))</f>
        <v>62.5</v>
      </c>
      <c r="G85" s="50">
        <f>IF(VLOOKUP(Table91213[[#This Row],[Date]],'DB Details'!$A:$Q,7)=0,"",VLOOKUP(Table91213[[#This Row],[Date]],'DB Details'!$A:$Q,7))</f>
        <v>58</v>
      </c>
      <c r="H85" s="50">
        <f>IF(VLOOKUP(Table91213[[#This Row],[Date]],'DB Details'!$A:$Q,8)=0,"",VLOOKUP(Table91213[[#This Row],[Date]],'DB Details'!$A:$Q,8))</f>
        <v>49</v>
      </c>
      <c r="I85" s="50">
        <f>IF(VLOOKUP(Table91213[[#This Row],[Date]],'DB Details'!$A:$Q,9)=0,"",VLOOKUP(Table91213[[#This Row],[Date]],'DB Details'!$A:$Q,9))</f>
        <v>55.5</v>
      </c>
      <c r="J85" s="50">
        <f>IF(VLOOKUP(Table91213[[#This Row],[Date]],'DB Details'!$A:$Q,10)=0,"",VLOOKUP(Table91213[[#This Row],[Date]],'DB Details'!$A:$Q,10))</f>
        <v>52.904564315352999</v>
      </c>
      <c r="K85" s="50">
        <f>IF(VLOOKUP(Table91213[[#This Row],[Date]],'DB Details'!$A:$Q,11)=0,"",VLOOKUP(Table91213[[#This Row],[Date]],'DB Details'!$A:$Q,11))</f>
        <v>55.5</v>
      </c>
      <c r="L85" s="48">
        <f>IF(VLOOKUP(Table91213[[#This Row],[Date]],'DB Details'!$A:$Q,12)=0,"",VLOOKUP(Table91213[[#This Row],[Date]],'DB Details'!$A:$Q,12))</f>
        <v>58</v>
      </c>
    </row>
    <row r="86" spans="1:12" x14ac:dyDescent="0.35">
      <c r="A86" s="51">
        <v>38047</v>
      </c>
      <c r="B86" s="48">
        <f>IF(VLOOKUP(Table91213[[#This Row],[Date]],'DB Details'!$A:$Q,2)=0,"",VLOOKUP(Table91213[[#This Row],[Date]],'DB Details'!$A:$Q,2))</f>
        <v>62.1</v>
      </c>
      <c r="C86" s="49">
        <f>IF(VLOOKUP(Table91213[[#This Row],[Date]],'DB Details'!$A:$Q,3)=0,"",VLOOKUP(Table91213[[#This Row],[Date]],'DB Details'!$A:$Q,3))</f>
        <v>60.5</v>
      </c>
      <c r="D86" s="49">
        <f>IF(VLOOKUP(Table91213[[#This Row],[Date]],'DB Details'!$A:$Q,4)=0,"",VLOOKUP(Table91213[[#This Row],[Date]],'DB Details'!$A:$Q,4))</f>
        <v>52.5</v>
      </c>
      <c r="E86" s="50">
        <f>IF(VLOOKUP(Table91213[[#This Row],[Date]],'DB Details'!$A:$Q,5)=0,"",VLOOKUP(Table91213[[#This Row],[Date]],'DB Details'!$A:$Q,5))</f>
        <v>65</v>
      </c>
      <c r="F86" s="49">
        <f>IF(VLOOKUP(Table91213[[#This Row],[Date]],'DB Details'!$A:$Q,6)=0,"",VLOOKUP(Table91213[[#This Row],[Date]],'DB Details'!$A:$Q,6))</f>
        <v>62.3</v>
      </c>
      <c r="G86" s="50">
        <f>IF(VLOOKUP(Table91213[[#This Row],[Date]],'DB Details'!$A:$Q,7)=0,"",VLOOKUP(Table91213[[#This Row],[Date]],'DB Details'!$A:$Q,7))</f>
        <v>60.5</v>
      </c>
      <c r="H86" s="50">
        <f>IF(VLOOKUP(Table91213[[#This Row],[Date]],'DB Details'!$A:$Q,8)=0,"",VLOOKUP(Table91213[[#This Row],[Date]],'DB Details'!$A:$Q,8))</f>
        <v>51.5</v>
      </c>
      <c r="I86" s="50">
        <f>IF(VLOOKUP(Table91213[[#This Row],[Date]],'DB Details'!$A:$Q,9)=0,"",VLOOKUP(Table91213[[#This Row],[Date]],'DB Details'!$A:$Q,9))</f>
        <v>55</v>
      </c>
      <c r="J86" s="50">
        <f>IF(VLOOKUP(Table91213[[#This Row],[Date]],'DB Details'!$A:$Q,10)=0,"",VLOOKUP(Table91213[[#This Row],[Date]],'DB Details'!$A:$Q,10))</f>
        <v>53.800592300098998</v>
      </c>
      <c r="K86" s="50">
        <f>IF(VLOOKUP(Table91213[[#This Row],[Date]],'DB Details'!$A:$Q,11)=0,"",VLOOKUP(Table91213[[#This Row],[Date]],'DB Details'!$A:$Q,11))</f>
        <v>51.5</v>
      </c>
      <c r="L86" s="48">
        <f>IF(VLOOKUP(Table91213[[#This Row],[Date]],'DB Details'!$A:$Q,12)=0,"",VLOOKUP(Table91213[[#This Row],[Date]],'DB Details'!$A:$Q,12))</f>
        <v>58.3</v>
      </c>
    </row>
    <row r="87" spans="1:12" x14ac:dyDescent="0.35">
      <c r="A87" s="51">
        <v>38078</v>
      </c>
      <c r="B87" s="48">
        <f>IF(VLOOKUP(Table91213[[#This Row],[Date]],'DB Details'!$A:$Q,2)=0,"",VLOOKUP(Table91213[[#This Row],[Date]],'DB Details'!$A:$Q,2))</f>
        <v>61.6</v>
      </c>
      <c r="C87" s="49">
        <f>IF(VLOOKUP(Table91213[[#This Row],[Date]],'DB Details'!$A:$Q,3)=0,"",VLOOKUP(Table91213[[#This Row],[Date]],'DB Details'!$A:$Q,3))</f>
        <v>60.5</v>
      </c>
      <c r="D87" s="49">
        <f>IF(VLOOKUP(Table91213[[#This Row],[Date]],'DB Details'!$A:$Q,4)=0,"",VLOOKUP(Table91213[[#This Row],[Date]],'DB Details'!$A:$Q,4))</f>
        <v>53.5</v>
      </c>
      <c r="E87" s="50">
        <f>IF(VLOOKUP(Table91213[[#This Row],[Date]],'DB Details'!$A:$Q,5)=0,"",VLOOKUP(Table91213[[#This Row],[Date]],'DB Details'!$A:$Q,5))</f>
        <v>68.599999999999994</v>
      </c>
      <c r="F87" s="49">
        <f>IF(VLOOKUP(Table91213[[#This Row],[Date]],'DB Details'!$A:$Q,6)=0,"",VLOOKUP(Table91213[[#This Row],[Date]],'DB Details'!$A:$Q,6))</f>
        <v>64</v>
      </c>
      <c r="G87" s="50">
        <f>IF(VLOOKUP(Table91213[[#This Row],[Date]],'DB Details'!$A:$Q,7)=0,"",VLOOKUP(Table91213[[#This Row],[Date]],'DB Details'!$A:$Q,7))</f>
        <v>58</v>
      </c>
      <c r="H87" s="50">
        <f>IF(VLOOKUP(Table91213[[#This Row],[Date]],'DB Details'!$A:$Q,8)=0,"",VLOOKUP(Table91213[[#This Row],[Date]],'DB Details'!$A:$Q,8))</f>
        <v>56.5</v>
      </c>
      <c r="I87" s="50">
        <f>IF(VLOOKUP(Table91213[[#This Row],[Date]],'DB Details'!$A:$Q,9)=0,"",VLOOKUP(Table91213[[#This Row],[Date]],'DB Details'!$A:$Q,9))</f>
        <v>58</v>
      </c>
      <c r="J87" s="50">
        <f>IF(VLOOKUP(Table91213[[#This Row],[Date]],'DB Details'!$A:$Q,10)=0,"",VLOOKUP(Table91213[[#This Row],[Date]],'DB Details'!$A:$Q,10))</f>
        <v>54.6875</v>
      </c>
      <c r="K87" s="50">
        <f>IF(VLOOKUP(Table91213[[#This Row],[Date]],'DB Details'!$A:$Q,11)=0,"",VLOOKUP(Table91213[[#This Row],[Date]],'DB Details'!$A:$Q,11))</f>
        <v>62</v>
      </c>
      <c r="L87" s="48">
        <f>IF(VLOOKUP(Table91213[[#This Row],[Date]],'DB Details'!$A:$Q,12)=0,"",VLOOKUP(Table91213[[#This Row],[Date]],'DB Details'!$A:$Q,12))</f>
        <v>59.6</v>
      </c>
    </row>
    <row r="88" spans="1:12" x14ac:dyDescent="0.35">
      <c r="A88" s="51">
        <v>38108</v>
      </c>
      <c r="B88" s="48">
        <f>IF(VLOOKUP(Table91213[[#This Row],[Date]],'DB Details'!$A:$Q,2)=0,"",VLOOKUP(Table91213[[#This Row],[Date]],'DB Details'!$A:$Q,2))</f>
        <v>60.7</v>
      </c>
      <c r="C88" s="49">
        <f>IF(VLOOKUP(Table91213[[#This Row],[Date]],'DB Details'!$A:$Q,3)=0,"",VLOOKUP(Table91213[[#This Row],[Date]],'DB Details'!$A:$Q,3))</f>
        <v>59.5</v>
      </c>
      <c r="D88" s="49">
        <f>IF(VLOOKUP(Table91213[[#This Row],[Date]],'DB Details'!$A:$Q,4)=0,"",VLOOKUP(Table91213[[#This Row],[Date]],'DB Details'!$A:$Q,4))</f>
        <v>56.5</v>
      </c>
      <c r="E88" s="50">
        <f>IF(VLOOKUP(Table91213[[#This Row],[Date]],'DB Details'!$A:$Q,5)=0,"",VLOOKUP(Table91213[[#This Row],[Date]],'DB Details'!$A:$Q,5))</f>
        <v>71</v>
      </c>
      <c r="F88" s="49">
        <f>IF(VLOOKUP(Table91213[[#This Row],[Date]],'DB Details'!$A:$Q,6)=0,"",VLOOKUP(Table91213[[#This Row],[Date]],'DB Details'!$A:$Q,6))</f>
        <v>62.6</v>
      </c>
      <c r="G88" s="50">
        <f>IF(VLOOKUP(Table91213[[#This Row],[Date]],'DB Details'!$A:$Q,7)=0,"",VLOOKUP(Table91213[[#This Row],[Date]],'DB Details'!$A:$Q,7))</f>
        <v>60</v>
      </c>
      <c r="H88" s="50">
        <f>IF(VLOOKUP(Table91213[[#This Row],[Date]],'DB Details'!$A:$Q,8)=0,"",VLOOKUP(Table91213[[#This Row],[Date]],'DB Details'!$A:$Q,8))</f>
        <v>54</v>
      </c>
      <c r="I88" s="50">
        <f>IF(VLOOKUP(Table91213[[#This Row],[Date]],'DB Details'!$A:$Q,9)=0,"",VLOOKUP(Table91213[[#This Row],[Date]],'DB Details'!$A:$Q,9))</f>
        <v>56</v>
      </c>
      <c r="J88" s="50">
        <f>IF(VLOOKUP(Table91213[[#This Row],[Date]],'DB Details'!$A:$Q,10)=0,"",VLOOKUP(Table91213[[#This Row],[Date]],'DB Details'!$A:$Q,10))</f>
        <v>54.545454545455001</v>
      </c>
      <c r="K88" s="50">
        <f>IF(VLOOKUP(Table91213[[#This Row],[Date]],'DB Details'!$A:$Q,11)=0,"",VLOOKUP(Table91213[[#This Row],[Date]],'DB Details'!$A:$Q,11))</f>
        <v>52</v>
      </c>
      <c r="L88" s="48">
        <f>IF(VLOOKUP(Table91213[[#This Row],[Date]],'DB Details'!$A:$Q,12)=0,"",VLOOKUP(Table91213[[#This Row],[Date]],'DB Details'!$A:$Q,12))</f>
        <v>58.5</v>
      </c>
    </row>
    <row r="89" spans="1:12" x14ac:dyDescent="0.35">
      <c r="A89" s="51">
        <v>38139</v>
      </c>
      <c r="B89" s="48">
        <f>IF(VLOOKUP(Table91213[[#This Row],[Date]],'DB Details'!$A:$Q,2)=0,"",VLOOKUP(Table91213[[#This Row],[Date]],'DB Details'!$A:$Q,2))</f>
        <v>62.1</v>
      </c>
      <c r="C89" s="49">
        <f>IF(VLOOKUP(Table91213[[#This Row],[Date]],'DB Details'!$A:$Q,3)=0,"",VLOOKUP(Table91213[[#This Row],[Date]],'DB Details'!$A:$Q,3))</f>
        <v>56.5</v>
      </c>
      <c r="D89" s="49">
        <f>IF(VLOOKUP(Table91213[[#This Row],[Date]],'DB Details'!$A:$Q,4)=0,"",VLOOKUP(Table91213[[#This Row],[Date]],'DB Details'!$A:$Q,4))</f>
        <v>55.5</v>
      </c>
      <c r="E89" s="50">
        <f>IF(VLOOKUP(Table91213[[#This Row],[Date]],'DB Details'!$A:$Q,5)=0,"",VLOOKUP(Table91213[[#This Row],[Date]],'DB Details'!$A:$Q,5))</f>
        <v>74.2</v>
      </c>
      <c r="F89" s="49">
        <f>IF(VLOOKUP(Table91213[[#This Row],[Date]],'DB Details'!$A:$Q,6)=0,"",VLOOKUP(Table91213[[#This Row],[Date]],'DB Details'!$A:$Q,6))</f>
        <v>59.2</v>
      </c>
      <c r="G89" s="50">
        <f>IF(VLOOKUP(Table91213[[#This Row],[Date]],'DB Details'!$A:$Q,7)=0,"",VLOOKUP(Table91213[[#This Row],[Date]],'DB Details'!$A:$Q,7))</f>
        <v>60.5</v>
      </c>
      <c r="H89" s="50">
        <f>IF(VLOOKUP(Table91213[[#This Row],[Date]],'DB Details'!$A:$Q,8)=0,"",VLOOKUP(Table91213[[#This Row],[Date]],'DB Details'!$A:$Q,8))</f>
        <v>57.5</v>
      </c>
      <c r="I89" s="50">
        <f>IF(VLOOKUP(Table91213[[#This Row],[Date]],'DB Details'!$A:$Q,9)=0,"",VLOOKUP(Table91213[[#This Row],[Date]],'DB Details'!$A:$Q,9))</f>
        <v>57.5</v>
      </c>
      <c r="J89" s="50">
        <f>IF(VLOOKUP(Table91213[[#This Row],[Date]],'DB Details'!$A:$Q,10)=0,"",VLOOKUP(Table91213[[#This Row],[Date]],'DB Details'!$A:$Q,10))</f>
        <v>55.555555555555998</v>
      </c>
      <c r="K89" s="50">
        <f>IF(VLOOKUP(Table91213[[#This Row],[Date]],'DB Details'!$A:$Q,11)=0,"",VLOOKUP(Table91213[[#This Row],[Date]],'DB Details'!$A:$Q,11))</f>
        <v>59.5</v>
      </c>
      <c r="L89" s="48">
        <f>IF(VLOOKUP(Table91213[[#This Row],[Date]],'DB Details'!$A:$Q,12)=0,"",VLOOKUP(Table91213[[#This Row],[Date]],'DB Details'!$A:$Q,12))</f>
        <v>58.6</v>
      </c>
    </row>
    <row r="90" spans="1:12" x14ac:dyDescent="0.35">
      <c r="A90" s="51">
        <v>38169</v>
      </c>
      <c r="B90" s="48">
        <f>IF(VLOOKUP(Table91213[[#This Row],[Date]],'DB Details'!$A:$Q,2)=0,"",VLOOKUP(Table91213[[#This Row],[Date]],'DB Details'!$A:$Q,2))</f>
        <v>63.2</v>
      </c>
      <c r="C90" s="49">
        <f>IF(VLOOKUP(Table91213[[#This Row],[Date]],'DB Details'!$A:$Q,3)=0,"",VLOOKUP(Table91213[[#This Row],[Date]],'DB Details'!$A:$Q,3))</f>
        <v>60.5</v>
      </c>
      <c r="D90" s="49">
        <f>IF(VLOOKUP(Table91213[[#This Row],[Date]],'DB Details'!$A:$Q,4)=0,"",VLOOKUP(Table91213[[#This Row],[Date]],'DB Details'!$A:$Q,4))</f>
        <v>55</v>
      </c>
      <c r="E90" s="50">
        <f>IF(VLOOKUP(Table91213[[#This Row],[Date]],'DB Details'!$A:$Q,5)=0,"",VLOOKUP(Table91213[[#This Row],[Date]],'DB Details'!$A:$Q,5))</f>
        <v>71.900000000000006</v>
      </c>
      <c r="F90" s="49">
        <f>IF(VLOOKUP(Table91213[[#This Row],[Date]],'DB Details'!$A:$Q,6)=0,"",VLOOKUP(Table91213[[#This Row],[Date]],'DB Details'!$A:$Q,6))</f>
        <v>63.2</v>
      </c>
      <c r="G90" s="50">
        <f>IF(VLOOKUP(Table91213[[#This Row],[Date]],'DB Details'!$A:$Q,7)=0,"",VLOOKUP(Table91213[[#This Row],[Date]],'DB Details'!$A:$Q,7))</f>
        <v>64</v>
      </c>
      <c r="H90" s="50">
        <f>IF(VLOOKUP(Table91213[[#This Row],[Date]],'DB Details'!$A:$Q,8)=0,"",VLOOKUP(Table91213[[#This Row],[Date]],'DB Details'!$A:$Q,8))</f>
        <v>54</v>
      </c>
      <c r="I90" s="50">
        <f>IF(VLOOKUP(Table91213[[#This Row],[Date]],'DB Details'!$A:$Q,9)=0,"",VLOOKUP(Table91213[[#This Row],[Date]],'DB Details'!$A:$Q,9))</f>
        <v>58</v>
      </c>
      <c r="J90" s="50">
        <f>IF(VLOOKUP(Table91213[[#This Row],[Date]],'DB Details'!$A:$Q,10)=0,"",VLOOKUP(Table91213[[#This Row],[Date]],'DB Details'!$A:$Q,10))</f>
        <v>49.665711556829002</v>
      </c>
      <c r="K90" s="50">
        <f>IF(VLOOKUP(Table91213[[#This Row],[Date]],'DB Details'!$A:$Q,11)=0,"",VLOOKUP(Table91213[[#This Row],[Date]],'DB Details'!$A:$Q,11))</f>
        <v>55.5</v>
      </c>
      <c r="L90" s="48">
        <f>IF(VLOOKUP(Table91213[[#This Row],[Date]],'DB Details'!$A:$Q,12)=0,"",VLOOKUP(Table91213[[#This Row],[Date]],'DB Details'!$A:$Q,12))</f>
        <v>58.5</v>
      </c>
    </row>
    <row r="91" spans="1:12" x14ac:dyDescent="0.35">
      <c r="A91" s="51">
        <v>38200</v>
      </c>
      <c r="B91" s="48">
        <f>IF(VLOOKUP(Table91213[[#This Row],[Date]],'DB Details'!$A:$Q,2)=0,"",VLOOKUP(Table91213[[#This Row],[Date]],'DB Details'!$A:$Q,2))</f>
        <v>59</v>
      </c>
      <c r="C91" s="49">
        <f>IF(VLOOKUP(Table91213[[#This Row],[Date]],'DB Details'!$A:$Q,3)=0,"",VLOOKUP(Table91213[[#This Row],[Date]],'DB Details'!$A:$Q,3))</f>
        <v>63.5</v>
      </c>
      <c r="D91" s="49">
        <f>IF(VLOOKUP(Table91213[[#This Row],[Date]],'DB Details'!$A:$Q,4)=0,"",VLOOKUP(Table91213[[#This Row],[Date]],'DB Details'!$A:$Q,4))</f>
        <v>53</v>
      </c>
      <c r="E91" s="50">
        <f>IF(VLOOKUP(Table91213[[#This Row],[Date]],'DB Details'!$A:$Q,5)=0,"",VLOOKUP(Table91213[[#This Row],[Date]],'DB Details'!$A:$Q,5))</f>
        <v>70.900000000000006</v>
      </c>
      <c r="F91" s="49">
        <f>IF(VLOOKUP(Table91213[[#This Row],[Date]],'DB Details'!$A:$Q,6)=0,"",VLOOKUP(Table91213[[#This Row],[Date]],'DB Details'!$A:$Q,6))</f>
        <v>59.7</v>
      </c>
      <c r="G91" s="50">
        <f>IF(VLOOKUP(Table91213[[#This Row],[Date]],'DB Details'!$A:$Q,7)=0,"",VLOOKUP(Table91213[[#This Row],[Date]],'DB Details'!$A:$Q,7))</f>
        <v>62.5</v>
      </c>
      <c r="H91" s="50">
        <f>IF(VLOOKUP(Table91213[[#This Row],[Date]],'DB Details'!$A:$Q,8)=0,"",VLOOKUP(Table91213[[#This Row],[Date]],'DB Details'!$A:$Q,8))</f>
        <v>53</v>
      </c>
      <c r="I91" s="50">
        <f>IF(VLOOKUP(Table91213[[#This Row],[Date]],'DB Details'!$A:$Q,9)=0,"",VLOOKUP(Table91213[[#This Row],[Date]],'DB Details'!$A:$Q,9))</f>
        <v>57</v>
      </c>
      <c r="J91" s="50">
        <f>IF(VLOOKUP(Table91213[[#This Row],[Date]],'DB Details'!$A:$Q,10)=0,"",VLOOKUP(Table91213[[#This Row],[Date]],'DB Details'!$A:$Q,10))</f>
        <v>53.516819571865</v>
      </c>
      <c r="K91" s="50">
        <f>IF(VLOOKUP(Table91213[[#This Row],[Date]],'DB Details'!$A:$Q,11)=0,"",VLOOKUP(Table91213[[#This Row],[Date]],'DB Details'!$A:$Q,11))</f>
        <v>55</v>
      </c>
      <c r="L91" s="48">
        <f>IF(VLOOKUP(Table91213[[#This Row],[Date]],'DB Details'!$A:$Q,12)=0,"",VLOOKUP(Table91213[[#This Row],[Date]],'DB Details'!$A:$Q,12))</f>
        <v>57.3</v>
      </c>
    </row>
    <row r="92" spans="1:12" x14ac:dyDescent="0.35">
      <c r="A92" s="51">
        <v>38231</v>
      </c>
      <c r="B92" s="48">
        <f>IF(VLOOKUP(Table91213[[#This Row],[Date]],'DB Details'!$A:$Q,2)=0,"",VLOOKUP(Table91213[[#This Row],[Date]],'DB Details'!$A:$Q,2))</f>
        <v>60.6</v>
      </c>
      <c r="C92" s="49">
        <f>IF(VLOOKUP(Table91213[[#This Row],[Date]],'DB Details'!$A:$Q,3)=0,"",VLOOKUP(Table91213[[#This Row],[Date]],'DB Details'!$A:$Q,3))</f>
        <v>56</v>
      </c>
      <c r="D92" s="49">
        <f>IF(VLOOKUP(Table91213[[#This Row],[Date]],'DB Details'!$A:$Q,4)=0,"",VLOOKUP(Table91213[[#This Row],[Date]],'DB Details'!$A:$Q,4))</f>
        <v>52.5</v>
      </c>
      <c r="E92" s="50">
        <f>IF(VLOOKUP(Table91213[[#This Row],[Date]],'DB Details'!$A:$Q,5)=0,"",VLOOKUP(Table91213[[#This Row],[Date]],'DB Details'!$A:$Q,5))</f>
        <v>67</v>
      </c>
      <c r="F92" s="49">
        <f>IF(VLOOKUP(Table91213[[#This Row],[Date]],'DB Details'!$A:$Q,6)=0,"",VLOOKUP(Table91213[[#This Row],[Date]],'DB Details'!$A:$Q,6))</f>
        <v>60</v>
      </c>
      <c r="G92" s="50">
        <f>IF(VLOOKUP(Table91213[[#This Row],[Date]],'DB Details'!$A:$Q,7)=0,"",VLOOKUP(Table91213[[#This Row],[Date]],'DB Details'!$A:$Q,7))</f>
        <v>61.5</v>
      </c>
      <c r="H92" s="50">
        <f>IF(VLOOKUP(Table91213[[#This Row],[Date]],'DB Details'!$A:$Q,8)=0,"",VLOOKUP(Table91213[[#This Row],[Date]],'DB Details'!$A:$Q,8))</f>
        <v>51.5</v>
      </c>
      <c r="I92" s="50">
        <f>IF(VLOOKUP(Table91213[[#This Row],[Date]],'DB Details'!$A:$Q,9)=0,"",VLOOKUP(Table91213[[#This Row],[Date]],'DB Details'!$A:$Q,9))</f>
        <v>55.5</v>
      </c>
      <c r="J92" s="50">
        <f>IF(VLOOKUP(Table91213[[#This Row],[Date]],'DB Details'!$A:$Q,10)=0,"",VLOOKUP(Table91213[[#This Row],[Date]],'DB Details'!$A:$Q,10))</f>
        <v>55.325749741468002</v>
      </c>
      <c r="K92" s="50">
        <f>IF(VLOOKUP(Table91213[[#This Row],[Date]],'DB Details'!$A:$Q,11)=0,"",VLOOKUP(Table91213[[#This Row],[Date]],'DB Details'!$A:$Q,11))</f>
        <v>55.5</v>
      </c>
      <c r="L92" s="48">
        <f>IF(VLOOKUP(Table91213[[#This Row],[Date]],'DB Details'!$A:$Q,12)=0,"",VLOOKUP(Table91213[[#This Row],[Date]],'DB Details'!$A:$Q,12))</f>
        <v>57.9</v>
      </c>
    </row>
    <row r="93" spans="1:12" x14ac:dyDescent="0.35">
      <c r="A93" s="51">
        <v>38261</v>
      </c>
      <c r="B93" s="48">
        <f>IF(VLOOKUP(Table91213[[#This Row],[Date]],'DB Details'!$A:$Q,2)=0,"",VLOOKUP(Table91213[[#This Row],[Date]],'DB Details'!$A:$Q,2))</f>
        <v>61.7</v>
      </c>
      <c r="C93" s="49">
        <f>IF(VLOOKUP(Table91213[[#This Row],[Date]],'DB Details'!$A:$Q,3)=0,"",VLOOKUP(Table91213[[#This Row],[Date]],'DB Details'!$A:$Q,3))</f>
        <v>57.5</v>
      </c>
      <c r="D93" s="49">
        <f>IF(VLOOKUP(Table91213[[#This Row],[Date]],'DB Details'!$A:$Q,4)=0,"",VLOOKUP(Table91213[[#This Row],[Date]],'DB Details'!$A:$Q,4))</f>
        <v>52.5</v>
      </c>
      <c r="E93" s="50">
        <f>IF(VLOOKUP(Table91213[[#This Row],[Date]],'DB Details'!$A:$Q,5)=0,"",VLOOKUP(Table91213[[#This Row],[Date]],'DB Details'!$A:$Q,5))</f>
        <v>72.8</v>
      </c>
      <c r="F93" s="49">
        <f>IF(VLOOKUP(Table91213[[#This Row],[Date]],'DB Details'!$A:$Q,6)=0,"",VLOOKUP(Table91213[[#This Row],[Date]],'DB Details'!$A:$Q,6))</f>
        <v>61</v>
      </c>
      <c r="G93" s="50">
        <f>IF(VLOOKUP(Table91213[[#This Row],[Date]],'DB Details'!$A:$Q,7)=0,"",VLOOKUP(Table91213[[#This Row],[Date]],'DB Details'!$A:$Q,7))</f>
        <v>60.5</v>
      </c>
      <c r="H93" s="50">
        <f>IF(VLOOKUP(Table91213[[#This Row],[Date]],'DB Details'!$A:$Q,8)=0,"",VLOOKUP(Table91213[[#This Row],[Date]],'DB Details'!$A:$Q,8))</f>
        <v>50</v>
      </c>
      <c r="I93" s="50">
        <f>IF(VLOOKUP(Table91213[[#This Row],[Date]],'DB Details'!$A:$Q,9)=0,"",VLOOKUP(Table91213[[#This Row],[Date]],'DB Details'!$A:$Q,9))</f>
        <v>56</v>
      </c>
      <c r="J93" s="50">
        <f>IF(VLOOKUP(Table91213[[#This Row],[Date]],'DB Details'!$A:$Q,10)=0,"",VLOOKUP(Table91213[[#This Row],[Date]],'DB Details'!$A:$Q,10))</f>
        <v>56.476683937823999</v>
      </c>
      <c r="K93" s="50">
        <f>IF(VLOOKUP(Table91213[[#This Row],[Date]],'DB Details'!$A:$Q,11)=0,"",VLOOKUP(Table91213[[#This Row],[Date]],'DB Details'!$A:$Q,11))</f>
        <v>55</v>
      </c>
      <c r="L93" s="48">
        <f>IF(VLOOKUP(Table91213[[#This Row],[Date]],'DB Details'!$A:$Q,12)=0,"",VLOOKUP(Table91213[[#This Row],[Date]],'DB Details'!$A:$Q,12))</f>
        <v>58.8</v>
      </c>
    </row>
    <row r="94" spans="1:12" x14ac:dyDescent="0.35">
      <c r="A94" s="51">
        <v>38292</v>
      </c>
      <c r="B94" s="48">
        <f>IF(VLOOKUP(Table91213[[#This Row],[Date]],'DB Details'!$A:$Q,2)=0,"",VLOOKUP(Table91213[[#This Row],[Date]],'DB Details'!$A:$Q,2))</f>
        <v>61.1</v>
      </c>
      <c r="C94" s="49">
        <f>IF(VLOOKUP(Table91213[[#This Row],[Date]],'DB Details'!$A:$Q,3)=0,"",VLOOKUP(Table91213[[#This Row],[Date]],'DB Details'!$A:$Q,3))</f>
        <v>62</v>
      </c>
      <c r="D94" s="49">
        <f>IF(VLOOKUP(Table91213[[#This Row],[Date]],'DB Details'!$A:$Q,4)=0,"",VLOOKUP(Table91213[[#This Row],[Date]],'DB Details'!$A:$Q,4))</f>
        <v>54</v>
      </c>
      <c r="E94" s="50">
        <f>IF(VLOOKUP(Table91213[[#This Row],[Date]],'DB Details'!$A:$Q,5)=0,"",VLOOKUP(Table91213[[#This Row],[Date]],'DB Details'!$A:$Q,5))</f>
        <v>70.599999999999994</v>
      </c>
      <c r="F94" s="49">
        <f>IF(VLOOKUP(Table91213[[#This Row],[Date]],'DB Details'!$A:$Q,6)=0,"",VLOOKUP(Table91213[[#This Row],[Date]],'DB Details'!$A:$Q,6))</f>
        <v>62.8</v>
      </c>
      <c r="G94" s="50">
        <f>IF(VLOOKUP(Table91213[[#This Row],[Date]],'DB Details'!$A:$Q,7)=0,"",VLOOKUP(Table91213[[#This Row],[Date]],'DB Details'!$A:$Q,7))</f>
        <v>61.5</v>
      </c>
      <c r="H94" s="50">
        <f>IF(VLOOKUP(Table91213[[#This Row],[Date]],'DB Details'!$A:$Q,8)=0,"",VLOOKUP(Table91213[[#This Row],[Date]],'DB Details'!$A:$Q,8))</f>
        <v>52.5</v>
      </c>
      <c r="I94" s="50">
        <f>IF(VLOOKUP(Table91213[[#This Row],[Date]],'DB Details'!$A:$Q,9)=0,"",VLOOKUP(Table91213[[#This Row],[Date]],'DB Details'!$A:$Q,9))</f>
        <v>55</v>
      </c>
      <c r="J94" s="50">
        <f>IF(VLOOKUP(Table91213[[#This Row],[Date]],'DB Details'!$A:$Q,10)=0,"",VLOOKUP(Table91213[[#This Row],[Date]],'DB Details'!$A:$Q,10))</f>
        <v>54.835493519441997</v>
      </c>
      <c r="K94" s="50">
        <f>IF(VLOOKUP(Table91213[[#This Row],[Date]],'DB Details'!$A:$Q,11)=0,"",VLOOKUP(Table91213[[#This Row],[Date]],'DB Details'!$A:$Q,11))</f>
        <v>53.5</v>
      </c>
      <c r="L94" s="48">
        <f>IF(VLOOKUP(Table91213[[#This Row],[Date]],'DB Details'!$A:$Q,12)=0,"",VLOOKUP(Table91213[[#This Row],[Date]],'DB Details'!$A:$Q,12))</f>
        <v>58.4</v>
      </c>
    </row>
    <row r="95" spans="1:12" x14ac:dyDescent="0.35">
      <c r="A95" s="51">
        <v>38322</v>
      </c>
      <c r="B95" s="48">
        <f>IF(VLOOKUP(Table91213[[#This Row],[Date]],'DB Details'!$A:$Q,2)=0,"",VLOOKUP(Table91213[[#This Row],[Date]],'DB Details'!$A:$Q,2))</f>
        <v>63.2</v>
      </c>
      <c r="C95" s="49">
        <f>IF(VLOOKUP(Table91213[[#This Row],[Date]],'DB Details'!$A:$Q,3)=0,"",VLOOKUP(Table91213[[#This Row],[Date]],'DB Details'!$A:$Q,3))</f>
        <v>61</v>
      </c>
      <c r="D95" s="49">
        <f>IF(VLOOKUP(Table91213[[#This Row],[Date]],'DB Details'!$A:$Q,4)=0,"",VLOOKUP(Table91213[[#This Row],[Date]],'DB Details'!$A:$Q,4))</f>
        <v>56.5</v>
      </c>
      <c r="E95" s="50">
        <f>IF(VLOOKUP(Table91213[[#This Row],[Date]],'DB Details'!$A:$Q,5)=0,"",VLOOKUP(Table91213[[#This Row],[Date]],'DB Details'!$A:$Q,5))</f>
        <v>71.3</v>
      </c>
      <c r="F95" s="49">
        <f>IF(VLOOKUP(Table91213[[#This Row],[Date]],'DB Details'!$A:$Q,6)=0,"",VLOOKUP(Table91213[[#This Row],[Date]],'DB Details'!$A:$Q,6))</f>
        <v>65</v>
      </c>
      <c r="G95" s="50">
        <f>IF(VLOOKUP(Table91213[[#This Row],[Date]],'DB Details'!$A:$Q,7)=0,"",VLOOKUP(Table91213[[#This Row],[Date]],'DB Details'!$A:$Q,7))</f>
        <v>64</v>
      </c>
      <c r="H95" s="50">
        <f>IF(VLOOKUP(Table91213[[#This Row],[Date]],'DB Details'!$A:$Q,8)=0,"",VLOOKUP(Table91213[[#This Row],[Date]],'DB Details'!$A:$Q,8))</f>
        <v>56</v>
      </c>
      <c r="I95" s="50">
        <f>IF(VLOOKUP(Table91213[[#This Row],[Date]],'DB Details'!$A:$Q,9)=0,"",VLOOKUP(Table91213[[#This Row],[Date]],'DB Details'!$A:$Q,9))</f>
        <v>55.5</v>
      </c>
      <c r="J95" s="50">
        <f>IF(VLOOKUP(Table91213[[#This Row],[Date]],'DB Details'!$A:$Q,10)=0,"",VLOOKUP(Table91213[[#This Row],[Date]],'DB Details'!$A:$Q,10))</f>
        <v>54.711246200608002</v>
      </c>
      <c r="K95" s="50">
        <f>IF(VLOOKUP(Table91213[[#This Row],[Date]],'DB Details'!$A:$Q,11)=0,"",VLOOKUP(Table91213[[#This Row],[Date]],'DB Details'!$A:$Q,11))</f>
        <v>55.5</v>
      </c>
      <c r="L95" s="48">
        <f>IF(VLOOKUP(Table91213[[#This Row],[Date]],'DB Details'!$A:$Q,12)=0,"",VLOOKUP(Table91213[[#This Row],[Date]],'DB Details'!$A:$Q,12))</f>
        <v>59.6</v>
      </c>
    </row>
    <row r="96" spans="1:12" x14ac:dyDescent="0.35">
      <c r="A96" s="51">
        <v>38353</v>
      </c>
      <c r="B96" s="48">
        <f>IF(VLOOKUP(Table91213[[#This Row],[Date]],'DB Details'!$A:$Q,2)=0,"",VLOOKUP(Table91213[[#This Row],[Date]],'DB Details'!$A:$Q,2))</f>
        <v>62.4</v>
      </c>
      <c r="C96" s="49">
        <f>IF(VLOOKUP(Table91213[[#This Row],[Date]],'DB Details'!$A:$Q,3)=0,"",VLOOKUP(Table91213[[#This Row],[Date]],'DB Details'!$A:$Q,3))</f>
        <v>53</v>
      </c>
      <c r="D96" s="49">
        <f>IF(VLOOKUP(Table91213[[#This Row],[Date]],'DB Details'!$A:$Q,4)=0,"",VLOOKUP(Table91213[[#This Row],[Date]],'DB Details'!$A:$Q,4))</f>
        <v>48</v>
      </c>
      <c r="E96" s="50">
        <f>IF(VLOOKUP(Table91213[[#This Row],[Date]],'DB Details'!$A:$Q,5)=0,"",VLOOKUP(Table91213[[#This Row],[Date]],'DB Details'!$A:$Q,5))</f>
        <v>69.099999999999994</v>
      </c>
      <c r="F96" s="49">
        <f>IF(VLOOKUP(Table91213[[#This Row],[Date]],'DB Details'!$A:$Q,6)=0,"",VLOOKUP(Table91213[[#This Row],[Date]],'DB Details'!$A:$Q,6))</f>
        <v>62.5</v>
      </c>
      <c r="G96" s="50">
        <f>IF(VLOOKUP(Table91213[[#This Row],[Date]],'DB Details'!$A:$Q,7)=0,"",VLOOKUP(Table91213[[#This Row],[Date]],'DB Details'!$A:$Q,7))</f>
        <v>64.5</v>
      </c>
      <c r="H96" s="50">
        <f>IF(VLOOKUP(Table91213[[#This Row],[Date]],'DB Details'!$A:$Q,8)=0,"",VLOOKUP(Table91213[[#This Row],[Date]],'DB Details'!$A:$Q,8))</f>
        <v>49.5</v>
      </c>
      <c r="I96" s="50">
        <f>IF(VLOOKUP(Table91213[[#This Row],[Date]],'DB Details'!$A:$Q,9)=0,"",VLOOKUP(Table91213[[#This Row],[Date]],'DB Details'!$A:$Q,9))</f>
        <v>52.5</v>
      </c>
      <c r="J96" s="50">
        <f>IF(VLOOKUP(Table91213[[#This Row],[Date]],'DB Details'!$A:$Q,10)=0,"",VLOOKUP(Table91213[[#This Row],[Date]],'DB Details'!$A:$Q,10))</f>
        <v>54.6</v>
      </c>
      <c r="K96" s="50">
        <f>IF(VLOOKUP(Table91213[[#This Row],[Date]],'DB Details'!$A:$Q,11)=0,"",VLOOKUP(Table91213[[#This Row],[Date]],'DB Details'!$A:$Q,11))</f>
        <v>52.5</v>
      </c>
      <c r="L96" s="48">
        <f>IF(VLOOKUP(Table91213[[#This Row],[Date]],'DB Details'!$A:$Q,12)=0,"",VLOOKUP(Table91213[[#This Row],[Date]],'DB Details'!$A:$Q,12))</f>
        <v>58</v>
      </c>
    </row>
    <row r="97" spans="1:12" x14ac:dyDescent="0.35">
      <c r="A97" s="51">
        <v>38384</v>
      </c>
      <c r="B97" s="48">
        <f>IF(VLOOKUP(Table91213[[#This Row],[Date]],'DB Details'!$A:$Q,2)=0,"",VLOOKUP(Table91213[[#This Row],[Date]],'DB Details'!$A:$Q,2))</f>
        <v>63.3</v>
      </c>
      <c r="C97" s="49">
        <f>IF(VLOOKUP(Table91213[[#This Row],[Date]],'DB Details'!$A:$Q,3)=0,"",VLOOKUP(Table91213[[#This Row],[Date]],'DB Details'!$A:$Q,3))</f>
        <v>57.5</v>
      </c>
      <c r="D97" s="49">
        <f>IF(VLOOKUP(Table91213[[#This Row],[Date]],'DB Details'!$A:$Q,4)=0,"",VLOOKUP(Table91213[[#This Row],[Date]],'DB Details'!$A:$Q,4))</f>
        <v>51.5</v>
      </c>
      <c r="E97" s="50">
        <f>IF(VLOOKUP(Table91213[[#This Row],[Date]],'DB Details'!$A:$Q,5)=0,"",VLOOKUP(Table91213[[#This Row],[Date]],'DB Details'!$A:$Q,5))</f>
        <v>69.7</v>
      </c>
      <c r="F97" s="49">
        <f>IF(VLOOKUP(Table91213[[#This Row],[Date]],'DB Details'!$A:$Q,6)=0,"",VLOOKUP(Table91213[[#This Row],[Date]],'DB Details'!$A:$Q,6))</f>
        <v>61.9</v>
      </c>
      <c r="G97" s="50">
        <f>IF(VLOOKUP(Table91213[[#This Row],[Date]],'DB Details'!$A:$Q,7)=0,"",VLOOKUP(Table91213[[#This Row],[Date]],'DB Details'!$A:$Q,7))</f>
        <v>64.5</v>
      </c>
      <c r="H97" s="50">
        <f>IF(VLOOKUP(Table91213[[#This Row],[Date]],'DB Details'!$A:$Q,8)=0,"",VLOOKUP(Table91213[[#This Row],[Date]],'DB Details'!$A:$Q,8))</f>
        <v>52</v>
      </c>
      <c r="I97" s="50">
        <f>IF(VLOOKUP(Table91213[[#This Row],[Date]],'DB Details'!$A:$Q,9)=0,"",VLOOKUP(Table91213[[#This Row],[Date]],'DB Details'!$A:$Q,9))</f>
        <v>52.5</v>
      </c>
      <c r="J97" s="50">
        <f>IF(VLOOKUP(Table91213[[#This Row],[Date]],'DB Details'!$A:$Q,10)=0,"",VLOOKUP(Table91213[[#This Row],[Date]],'DB Details'!$A:$Q,10))</f>
        <v>59.7</v>
      </c>
      <c r="K97" s="50">
        <f>IF(VLOOKUP(Table91213[[#This Row],[Date]],'DB Details'!$A:$Q,11)=0,"",VLOOKUP(Table91213[[#This Row],[Date]],'DB Details'!$A:$Q,11))</f>
        <v>56</v>
      </c>
      <c r="L97" s="48">
        <f>IF(VLOOKUP(Table91213[[#This Row],[Date]],'DB Details'!$A:$Q,12)=0,"",VLOOKUP(Table91213[[#This Row],[Date]],'DB Details'!$A:$Q,12))</f>
        <v>59.4</v>
      </c>
    </row>
    <row r="98" spans="1:12" x14ac:dyDescent="0.35">
      <c r="A98" s="51">
        <v>38412</v>
      </c>
      <c r="B98" s="48">
        <f>IF(VLOOKUP(Table91213[[#This Row],[Date]],'DB Details'!$A:$Q,2)=0,"",VLOOKUP(Table91213[[#This Row],[Date]],'DB Details'!$A:$Q,2))</f>
        <v>60.5</v>
      </c>
      <c r="C98" s="49">
        <f>IF(VLOOKUP(Table91213[[#This Row],[Date]],'DB Details'!$A:$Q,3)=0,"",VLOOKUP(Table91213[[#This Row],[Date]],'DB Details'!$A:$Q,3))</f>
        <v>59</v>
      </c>
      <c r="D98" s="49">
        <f>IF(VLOOKUP(Table91213[[#This Row],[Date]],'DB Details'!$A:$Q,4)=0,"",VLOOKUP(Table91213[[#This Row],[Date]],'DB Details'!$A:$Q,4))</f>
        <v>56.5</v>
      </c>
      <c r="E98" s="50">
        <f>IF(VLOOKUP(Table91213[[#This Row],[Date]],'DB Details'!$A:$Q,5)=0,"",VLOOKUP(Table91213[[#This Row],[Date]],'DB Details'!$A:$Q,5))</f>
        <v>65.599999999999994</v>
      </c>
      <c r="F98" s="49">
        <f>IF(VLOOKUP(Table91213[[#This Row],[Date]],'DB Details'!$A:$Q,6)=0,"",VLOOKUP(Table91213[[#This Row],[Date]],'DB Details'!$A:$Q,6))</f>
        <v>61.3</v>
      </c>
      <c r="G98" s="50">
        <f>IF(VLOOKUP(Table91213[[#This Row],[Date]],'DB Details'!$A:$Q,7)=0,"",VLOOKUP(Table91213[[#This Row],[Date]],'DB Details'!$A:$Q,7))</f>
        <v>64.5</v>
      </c>
      <c r="H98" s="50">
        <f>IF(VLOOKUP(Table91213[[#This Row],[Date]],'DB Details'!$A:$Q,8)=0,"",VLOOKUP(Table91213[[#This Row],[Date]],'DB Details'!$A:$Q,8))</f>
        <v>52.5</v>
      </c>
      <c r="I98" s="50">
        <f>IF(VLOOKUP(Table91213[[#This Row],[Date]],'DB Details'!$A:$Q,9)=0,"",VLOOKUP(Table91213[[#This Row],[Date]],'DB Details'!$A:$Q,9))</f>
        <v>53</v>
      </c>
      <c r="J98" s="50">
        <f>IF(VLOOKUP(Table91213[[#This Row],[Date]],'DB Details'!$A:$Q,10)=0,"",VLOOKUP(Table91213[[#This Row],[Date]],'DB Details'!$A:$Q,10))</f>
        <v>57.2</v>
      </c>
      <c r="K98" s="50">
        <f>IF(VLOOKUP(Table91213[[#This Row],[Date]],'DB Details'!$A:$Q,11)=0,"",VLOOKUP(Table91213[[#This Row],[Date]],'DB Details'!$A:$Q,11))</f>
        <v>51.5</v>
      </c>
      <c r="L98" s="48">
        <f>IF(VLOOKUP(Table91213[[#This Row],[Date]],'DB Details'!$A:$Q,12)=0,"",VLOOKUP(Table91213[[#This Row],[Date]],'DB Details'!$A:$Q,12))</f>
        <v>58</v>
      </c>
    </row>
    <row r="99" spans="1:12" x14ac:dyDescent="0.35">
      <c r="A99" s="51">
        <v>38443</v>
      </c>
      <c r="B99" s="48">
        <f>IF(VLOOKUP(Table91213[[#This Row],[Date]],'DB Details'!$A:$Q,2)=0,"",VLOOKUP(Table91213[[#This Row],[Date]],'DB Details'!$A:$Q,2))</f>
        <v>57.5</v>
      </c>
      <c r="C99" s="49">
        <f>IF(VLOOKUP(Table91213[[#This Row],[Date]],'DB Details'!$A:$Q,3)=0,"",VLOOKUP(Table91213[[#This Row],[Date]],'DB Details'!$A:$Q,3))</f>
        <v>58.5</v>
      </c>
      <c r="D99" s="49">
        <f>IF(VLOOKUP(Table91213[[#This Row],[Date]],'DB Details'!$A:$Q,4)=0,"",VLOOKUP(Table91213[[#This Row],[Date]],'DB Details'!$A:$Q,4))</f>
        <v>54</v>
      </c>
      <c r="E99" s="50">
        <f>IF(VLOOKUP(Table91213[[#This Row],[Date]],'DB Details'!$A:$Q,5)=0,"",VLOOKUP(Table91213[[#This Row],[Date]],'DB Details'!$A:$Q,5))</f>
        <v>62.4</v>
      </c>
      <c r="F99" s="49">
        <f>IF(VLOOKUP(Table91213[[#This Row],[Date]],'DB Details'!$A:$Q,6)=0,"",VLOOKUP(Table91213[[#This Row],[Date]],'DB Details'!$A:$Q,6))</f>
        <v>58.6</v>
      </c>
      <c r="G99" s="50">
        <f>IF(VLOOKUP(Table91213[[#This Row],[Date]],'DB Details'!$A:$Q,7)=0,"",VLOOKUP(Table91213[[#This Row],[Date]],'DB Details'!$A:$Q,7))</f>
        <v>60.5</v>
      </c>
      <c r="H99" s="50">
        <f>IF(VLOOKUP(Table91213[[#This Row],[Date]],'DB Details'!$A:$Q,8)=0,"",VLOOKUP(Table91213[[#This Row],[Date]],'DB Details'!$A:$Q,8))</f>
        <v>54.5</v>
      </c>
      <c r="I99" s="50">
        <f>IF(VLOOKUP(Table91213[[#This Row],[Date]],'DB Details'!$A:$Q,9)=0,"",VLOOKUP(Table91213[[#This Row],[Date]],'DB Details'!$A:$Q,9))</f>
        <v>53</v>
      </c>
      <c r="J99" s="50">
        <f>IF(VLOOKUP(Table91213[[#This Row],[Date]],'DB Details'!$A:$Q,10)=0,"",VLOOKUP(Table91213[[#This Row],[Date]],'DB Details'!$A:$Q,10))</f>
        <v>53.3</v>
      </c>
      <c r="K99" s="50">
        <f>IF(VLOOKUP(Table91213[[#This Row],[Date]],'DB Details'!$A:$Q,11)=0,"",VLOOKUP(Table91213[[#This Row],[Date]],'DB Details'!$A:$Q,11))</f>
        <v>52.5</v>
      </c>
      <c r="L99" s="48">
        <f>IF(VLOOKUP(Table91213[[#This Row],[Date]],'DB Details'!$A:$Q,12)=0,"",VLOOKUP(Table91213[[#This Row],[Date]],'DB Details'!$A:$Q,12))</f>
        <v>55.6</v>
      </c>
    </row>
    <row r="100" spans="1:12" x14ac:dyDescent="0.35">
      <c r="A100" s="51">
        <v>38473</v>
      </c>
      <c r="B100" s="48">
        <f>IF(VLOOKUP(Table91213[[#This Row],[Date]],'DB Details'!$A:$Q,2)=0,"",VLOOKUP(Table91213[[#This Row],[Date]],'DB Details'!$A:$Q,2))</f>
        <v>58.2</v>
      </c>
      <c r="C100" s="49">
        <f>IF(VLOOKUP(Table91213[[#This Row],[Date]],'DB Details'!$A:$Q,3)=0,"",VLOOKUP(Table91213[[#This Row],[Date]],'DB Details'!$A:$Q,3))</f>
        <v>57.5</v>
      </c>
      <c r="D100" s="49">
        <f>IF(VLOOKUP(Table91213[[#This Row],[Date]],'DB Details'!$A:$Q,4)=0,"",VLOOKUP(Table91213[[#This Row],[Date]],'DB Details'!$A:$Q,4))</f>
        <v>56.5</v>
      </c>
      <c r="E100" s="50">
        <f>IF(VLOOKUP(Table91213[[#This Row],[Date]],'DB Details'!$A:$Q,5)=0,"",VLOOKUP(Table91213[[#This Row],[Date]],'DB Details'!$A:$Q,5))</f>
        <v>57.6</v>
      </c>
      <c r="F100" s="49">
        <f>IF(VLOOKUP(Table91213[[#This Row],[Date]],'DB Details'!$A:$Q,6)=0,"",VLOOKUP(Table91213[[#This Row],[Date]],'DB Details'!$A:$Q,6))</f>
        <v>57.5</v>
      </c>
      <c r="G100" s="50">
        <f>IF(VLOOKUP(Table91213[[#This Row],[Date]],'DB Details'!$A:$Q,7)=0,"",VLOOKUP(Table91213[[#This Row],[Date]],'DB Details'!$A:$Q,7))</f>
        <v>63</v>
      </c>
      <c r="H100" s="50">
        <f>IF(VLOOKUP(Table91213[[#This Row],[Date]],'DB Details'!$A:$Q,8)=0,"",VLOOKUP(Table91213[[#This Row],[Date]],'DB Details'!$A:$Q,8))</f>
        <v>51.5</v>
      </c>
      <c r="I100" s="50">
        <f>IF(VLOOKUP(Table91213[[#This Row],[Date]],'DB Details'!$A:$Q,9)=0,"",VLOOKUP(Table91213[[#This Row],[Date]],'DB Details'!$A:$Q,9))</f>
        <v>53.5</v>
      </c>
      <c r="J100" s="50">
        <f>IF(VLOOKUP(Table91213[[#This Row],[Date]],'DB Details'!$A:$Q,10)=0,"",VLOOKUP(Table91213[[#This Row],[Date]],'DB Details'!$A:$Q,10))</f>
        <v>51.8</v>
      </c>
      <c r="K100" s="50">
        <f>IF(VLOOKUP(Table91213[[#This Row],[Date]],'DB Details'!$A:$Q,11)=0,"",VLOOKUP(Table91213[[#This Row],[Date]],'DB Details'!$A:$Q,11))</f>
        <v>62</v>
      </c>
      <c r="L100" s="48">
        <f>IF(VLOOKUP(Table91213[[#This Row],[Date]],'DB Details'!$A:$Q,12)=0,"",VLOOKUP(Table91213[[#This Row],[Date]],'DB Details'!$A:$Q,12))</f>
        <v>55.3</v>
      </c>
    </row>
    <row r="101" spans="1:12" x14ac:dyDescent="0.35">
      <c r="A101" s="51">
        <v>38504</v>
      </c>
      <c r="B101" s="48">
        <f>IF(VLOOKUP(Table91213[[#This Row],[Date]],'DB Details'!$A:$Q,2)=0,"",VLOOKUP(Table91213[[#This Row],[Date]],'DB Details'!$A:$Q,2))</f>
        <v>59.2</v>
      </c>
      <c r="C101" s="49">
        <f>IF(VLOOKUP(Table91213[[#This Row],[Date]],'DB Details'!$A:$Q,3)=0,"",VLOOKUP(Table91213[[#This Row],[Date]],'DB Details'!$A:$Q,3))</f>
        <v>58.5</v>
      </c>
      <c r="D101" s="49">
        <f>IF(VLOOKUP(Table91213[[#This Row],[Date]],'DB Details'!$A:$Q,4)=0,"",VLOOKUP(Table91213[[#This Row],[Date]],'DB Details'!$A:$Q,4))</f>
        <v>52.5</v>
      </c>
      <c r="E101" s="50">
        <f>IF(VLOOKUP(Table91213[[#This Row],[Date]],'DB Details'!$A:$Q,5)=0,"",VLOOKUP(Table91213[[#This Row],[Date]],'DB Details'!$A:$Q,5))</f>
        <v>58.4</v>
      </c>
      <c r="F101" s="49">
        <f>IF(VLOOKUP(Table91213[[#This Row],[Date]],'DB Details'!$A:$Q,6)=0,"",VLOOKUP(Table91213[[#This Row],[Date]],'DB Details'!$A:$Q,6))</f>
        <v>60.7</v>
      </c>
      <c r="G101" s="50">
        <f>IF(VLOOKUP(Table91213[[#This Row],[Date]],'DB Details'!$A:$Q,7)=0,"",VLOOKUP(Table91213[[#This Row],[Date]],'DB Details'!$A:$Q,7))</f>
        <v>64.5</v>
      </c>
      <c r="H101" s="50">
        <f>IF(VLOOKUP(Table91213[[#This Row],[Date]],'DB Details'!$A:$Q,8)=0,"",VLOOKUP(Table91213[[#This Row],[Date]],'DB Details'!$A:$Q,8))</f>
        <v>52</v>
      </c>
      <c r="I101" s="50">
        <f>IF(VLOOKUP(Table91213[[#This Row],[Date]],'DB Details'!$A:$Q,9)=0,"",VLOOKUP(Table91213[[#This Row],[Date]],'DB Details'!$A:$Q,9))</f>
        <v>56.5</v>
      </c>
      <c r="J101" s="50">
        <f>IF(VLOOKUP(Table91213[[#This Row],[Date]],'DB Details'!$A:$Q,10)=0,"",VLOOKUP(Table91213[[#This Row],[Date]],'DB Details'!$A:$Q,10))</f>
        <v>55.8</v>
      </c>
      <c r="K101" s="50">
        <f>IF(VLOOKUP(Table91213[[#This Row],[Date]],'DB Details'!$A:$Q,11)=0,"",VLOOKUP(Table91213[[#This Row],[Date]],'DB Details'!$A:$Q,11))</f>
        <v>50</v>
      </c>
      <c r="L101" s="48">
        <f>IF(VLOOKUP(Table91213[[#This Row],[Date]],'DB Details'!$A:$Q,12)=0,"",VLOOKUP(Table91213[[#This Row],[Date]],'DB Details'!$A:$Q,12))</f>
        <v>58.1</v>
      </c>
    </row>
    <row r="102" spans="1:12" x14ac:dyDescent="0.35">
      <c r="A102" s="51">
        <v>38534</v>
      </c>
      <c r="B102" s="48">
        <f>IF(VLOOKUP(Table91213[[#This Row],[Date]],'DB Details'!$A:$Q,2)=0,"",VLOOKUP(Table91213[[#This Row],[Date]],'DB Details'!$A:$Q,2))</f>
        <v>64.400000000000006</v>
      </c>
      <c r="C102" s="49">
        <f>IF(VLOOKUP(Table91213[[#This Row],[Date]],'DB Details'!$A:$Q,3)=0,"",VLOOKUP(Table91213[[#This Row],[Date]],'DB Details'!$A:$Q,3))</f>
        <v>62</v>
      </c>
      <c r="D102" s="49">
        <f>IF(VLOOKUP(Table91213[[#This Row],[Date]],'DB Details'!$A:$Q,4)=0,"",VLOOKUP(Table91213[[#This Row],[Date]],'DB Details'!$A:$Q,4))</f>
        <v>53.5</v>
      </c>
      <c r="E102" s="50">
        <f>IF(VLOOKUP(Table91213[[#This Row],[Date]],'DB Details'!$A:$Q,5)=0,"",VLOOKUP(Table91213[[#This Row],[Date]],'DB Details'!$A:$Q,5))</f>
        <v>65.8</v>
      </c>
      <c r="F102" s="49">
        <f>IF(VLOOKUP(Table91213[[#This Row],[Date]],'DB Details'!$A:$Q,6)=0,"",VLOOKUP(Table91213[[#This Row],[Date]],'DB Details'!$A:$Q,6))</f>
        <v>61.3</v>
      </c>
      <c r="G102" s="50">
        <f>IF(VLOOKUP(Table91213[[#This Row],[Date]],'DB Details'!$A:$Q,7)=0,"",VLOOKUP(Table91213[[#This Row],[Date]],'DB Details'!$A:$Q,7))</f>
        <v>64</v>
      </c>
      <c r="H102" s="50">
        <f>IF(VLOOKUP(Table91213[[#This Row],[Date]],'DB Details'!$A:$Q,8)=0,"",VLOOKUP(Table91213[[#This Row],[Date]],'DB Details'!$A:$Q,8))</f>
        <v>52.5</v>
      </c>
      <c r="I102" s="50">
        <f>IF(VLOOKUP(Table91213[[#This Row],[Date]],'DB Details'!$A:$Q,9)=0,"",VLOOKUP(Table91213[[#This Row],[Date]],'DB Details'!$A:$Q,9))</f>
        <v>57</v>
      </c>
      <c r="J102" s="50">
        <f>IF(VLOOKUP(Table91213[[#This Row],[Date]],'DB Details'!$A:$Q,10)=0,"",VLOOKUP(Table91213[[#This Row],[Date]],'DB Details'!$A:$Q,10))</f>
        <v>55.1</v>
      </c>
      <c r="K102" s="50">
        <f>IF(VLOOKUP(Table91213[[#This Row],[Date]],'DB Details'!$A:$Q,11)=0,"",VLOOKUP(Table91213[[#This Row],[Date]],'DB Details'!$A:$Q,11))</f>
        <v>53.5</v>
      </c>
      <c r="L102" s="48">
        <f>IF(VLOOKUP(Table91213[[#This Row],[Date]],'DB Details'!$A:$Q,12)=0,"",VLOOKUP(Table91213[[#This Row],[Date]],'DB Details'!$A:$Q,12))</f>
        <v>59.5</v>
      </c>
    </row>
    <row r="103" spans="1:12" x14ac:dyDescent="0.35">
      <c r="A103" s="51">
        <v>38565</v>
      </c>
      <c r="B103" s="48">
        <f>IF(VLOOKUP(Table91213[[#This Row],[Date]],'DB Details'!$A:$Q,2)=0,"",VLOOKUP(Table91213[[#This Row],[Date]],'DB Details'!$A:$Q,2))</f>
        <v>65.3</v>
      </c>
      <c r="C103" s="49">
        <f>IF(VLOOKUP(Table91213[[#This Row],[Date]],'DB Details'!$A:$Q,3)=0,"",VLOOKUP(Table91213[[#This Row],[Date]],'DB Details'!$A:$Q,3))</f>
        <v>61.5</v>
      </c>
      <c r="D103" s="49">
        <f>IF(VLOOKUP(Table91213[[#This Row],[Date]],'DB Details'!$A:$Q,4)=0,"",VLOOKUP(Table91213[[#This Row],[Date]],'DB Details'!$A:$Q,4))</f>
        <v>52</v>
      </c>
      <c r="E103" s="50">
        <f>IF(VLOOKUP(Table91213[[#This Row],[Date]],'DB Details'!$A:$Q,5)=0,"",VLOOKUP(Table91213[[#This Row],[Date]],'DB Details'!$A:$Q,5))</f>
        <v>66.099999999999994</v>
      </c>
      <c r="F103" s="49">
        <f>IF(VLOOKUP(Table91213[[#This Row],[Date]],'DB Details'!$A:$Q,6)=0,"",VLOOKUP(Table91213[[#This Row],[Date]],'DB Details'!$A:$Q,6))</f>
        <v>64.8</v>
      </c>
      <c r="G103" s="50">
        <f>IF(VLOOKUP(Table91213[[#This Row],[Date]],'DB Details'!$A:$Q,7)=0,"",VLOOKUP(Table91213[[#This Row],[Date]],'DB Details'!$A:$Q,7))</f>
        <v>67</v>
      </c>
      <c r="H103" s="50">
        <f>IF(VLOOKUP(Table91213[[#This Row],[Date]],'DB Details'!$A:$Q,8)=0,"",VLOOKUP(Table91213[[#This Row],[Date]],'DB Details'!$A:$Q,8))</f>
        <v>53.5</v>
      </c>
      <c r="I103" s="50">
        <f>IF(VLOOKUP(Table91213[[#This Row],[Date]],'DB Details'!$A:$Q,9)=0,"",VLOOKUP(Table91213[[#This Row],[Date]],'DB Details'!$A:$Q,9))</f>
        <v>55</v>
      </c>
      <c r="J103" s="50">
        <f>IF(VLOOKUP(Table91213[[#This Row],[Date]],'DB Details'!$A:$Q,10)=0,"",VLOOKUP(Table91213[[#This Row],[Date]],'DB Details'!$A:$Q,10))</f>
        <v>60.2</v>
      </c>
      <c r="K103" s="50">
        <f>IF(VLOOKUP(Table91213[[#This Row],[Date]],'DB Details'!$A:$Q,11)=0,"",VLOOKUP(Table91213[[#This Row],[Date]],'DB Details'!$A:$Q,11))</f>
        <v>63.5</v>
      </c>
      <c r="L103" s="48">
        <f>IF(VLOOKUP(Table91213[[#This Row],[Date]],'DB Details'!$A:$Q,12)=0,"",VLOOKUP(Table91213[[#This Row],[Date]],'DB Details'!$A:$Q,12))</f>
        <v>61.3</v>
      </c>
    </row>
    <row r="104" spans="1:12" x14ac:dyDescent="0.35">
      <c r="A104" s="51">
        <v>38596</v>
      </c>
      <c r="B104" s="48">
        <f>IF(VLOOKUP(Table91213[[#This Row],[Date]],'DB Details'!$A:$Q,2)=0,"",VLOOKUP(Table91213[[#This Row],[Date]],'DB Details'!$A:$Q,2))</f>
        <v>56.2</v>
      </c>
      <c r="C104" s="49">
        <f>IF(VLOOKUP(Table91213[[#This Row],[Date]],'DB Details'!$A:$Q,3)=0,"",VLOOKUP(Table91213[[#This Row],[Date]],'DB Details'!$A:$Q,3))</f>
        <v>58.5</v>
      </c>
      <c r="D104" s="49">
        <f>IF(VLOOKUP(Table91213[[#This Row],[Date]],'DB Details'!$A:$Q,4)=0,"",VLOOKUP(Table91213[[#This Row],[Date]],'DB Details'!$A:$Q,4))</f>
        <v>52</v>
      </c>
      <c r="E104" s="50">
        <f>IF(VLOOKUP(Table91213[[#This Row],[Date]],'DB Details'!$A:$Q,5)=0,"",VLOOKUP(Table91213[[#This Row],[Date]],'DB Details'!$A:$Q,5))</f>
        <v>83.5</v>
      </c>
      <c r="F104" s="49">
        <f>IF(VLOOKUP(Table91213[[#This Row],[Date]],'DB Details'!$A:$Q,6)=0,"",VLOOKUP(Table91213[[#This Row],[Date]],'DB Details'!$A:$Q,6))</f>
        <v>55.2</v>
      </c>
      <c r="G104" s="50">
        <f>IF(VLOOKUP(Table91213[[#This Row],[Date]],'DB Details'!$A:$Q,7)=0,"",VLOOKUP(Table91213[[#This Row],[Date]],'DB Details'!$A:$Q,7))</f>
        <v>64</v>
      </c>
      <c r="H104" s="50">
        <f>IF(VLOOKUP(Table91213[[#This Row],[Date]],'DB Details'!$A:$Q,8)=0,"",VLOOKUP(Table91213[[#This Row],[Date]],'DB Details'!$A:$Q,8))</f>
        <v>50</v>
      </c>
      <c r="I104" s="50">
        <f>IF(VLOOKUP(Table91213[[#This Row],[Date]],'DB Details'!$A:$Q,9)=0,"",VLOOKUP(Table91213[[#This Row],[Date]],'DB Details'!$A:$Q,9))</f>
        <v>56</v>
      </c>
      <c r="J104" s="50">
        <f>IF(VLOOKUP(Table91213[[#This Row],[Date]],'DB Details'!$A:$Q,10)=0,"",VLOOKUP(Table91213[[#This Row],[Date]],'DB Details'!$A:$Q,10))</f>
        <v>55.4</v>
      </c>
      <c r="K104" s="50">
        <f>IF(VLOOKUP(Table91213[[#This Row],[Date]],'DB Details'!$A:$Q,11)=0,"",VLOOKUP(Table91213[[#This Row],[Date]],'DB Details'!$A:$Q,11))</f>
        <v>55</v>
      </c>
      <c r="L104" s="48">
        <f>IF(VLOOKUP(Table91213[[#This Row],[Date]],'DB Details'!$A:$Q,12)=0,"",VLOOKUP(Table91213[[#This Row],[Date]],'DB Details'!$A:$Q,12))</f>
        <v>55.7</v>
      </c>
    </row>
    <row r="105" spans="1:12" x14ac:dyDescent="0.35">
      <c r="A105" s="51">
        <v>38626</v>
      </c>
      <c r="B105" s="48">
        <f>IF(VLOOKUP(Table91213[[#This Row],[Date]],'DB Details'!$A:$Q,2)=0,"",VLOOKUP(Table91213[[#This Row],[Date]],'DB Details'!$A:$Q,2))</f>
        <v>57.5</v>
      </c>
      <c r="C105" s="49">
        <f>IF(VLOOKUP(Table91213[[#This Row],[Date]],'DB Details'!$A:$Q,3)=0,"",VLOOKUP(Table91213[[#This Row],[Date]],'DB Details'!$A:$Q,3))</f>
        <v>53.5</v>
      </c>
      <c r="D105" s="49">
        <f>IF(VLOOKUP(Table91213[[#This Row],[Date]],'DB Details'!$A:$Q,4)=0,"",VLOOKUP(Table91213[[#This Row],[Date]],'DB Details'!$A:$Q,4))</f>
        <v>55</v>
      </c>
      <c r="E105" s="50">
        <f>IF(VLOOKUP(Table91213[[#This Row],[Date]],'DB Details'!$A:$Q,5)=0,"",VLOOKUP(Table91213[[#This Row],[Date]],'DB Details'!$A:$Q,5))</f>
        <v>79.2</v>
      </c>
      <c r="F105" s="49">
        <f>IF(VLOOKUP(Table91213[[#This Row],[Date]],'DB Details'!$A:$Q,6)=0,"",VLOOKUP(Table91213[[#This Row],[Date]],'DB Details'!$A:$Q,6))</f>
        <v>59.2</v>
      </c>
      <c r="G105" s="50">
        <f>IF(VLOOKUP(Table91213[[#This Row],[Date]],'DB Details'!$A:$Q,7)=0,"",VLOOKUP(Table91213[[#This Row],[Date]],'DB Details'!$A:$Q,7))</f>
        <v>55</v>
      </c>
      <c r="H105" s="50">
        <f>IF(VLOOKUP(Table91213[[#This Row],[Date]],'DB Details'!$A:$Q,8)=0,"",VLOOKUP(Table91213[[#This Row],[Date]],'DB Details'!$A:$Q,8))</f>
        <v>50</v>
      </c>
      <c r="I105" s="50">
        <f>IF(VLOOKUP(Table91213[[#This Row],[Date]],'DB Details'!$A:$Q,9)=0,"",VLOOKUP(Table91213[[#This Row],[Date]],'DB Details'!$A:$Q,9))</f>
        <v>58.5</v>
      </c>
      <c r="J105" s="50">
        <f>IF(VLOOKUP(Table91213[[#This Row],[Date]],'DB Details'!$A:$Q,10)=0,"",VLOOKUP(Table91213[[#This Row],[Date]],'DB Details'!$A:$Q,10))</f>
        <v>54.2</v>
      </c>
      <c r="K105" s="50">
        <f>IF(VLOOKUP(Table91213[[#This Row],[Date]],'DB Details'!$A:$Q,11)=0,"",VLOOKUP(Table91213[[#This Row],[Date]],'DB Details'!$A:$Q,11))</f>
        <v>54.5</v>
      </c>
      <c r="L105" s="48">
        <f>IF(VLOOKUP(Table91213[[#This Row],[Date]],'DB Details'!$A:$Q,12)=0,"",VLOOKUP(Table91213[[#This Row],[Date]],'DB Details'!$A:$Q,12))</f>
        <v>57.4</v>
      </c>
    </row>
    <row r="106" spans="1:12" x14ac:dyDescent="0.35">
      <c r="A106" s="51">
        <v>38657</v>
      </c>
      <c r="B106" s="48">
        <f>IF(VLOOKUP(Table91213[[#This Row],[Date]],'DB Details'!$A:$Q,2)=0,"",VLOOKUP(Table91213[[#This Row],[Date]],'DB Details'!$A:$Q,2))</f>
        <v>59.6</v>
      </c>
      <c r="C106" s="49">
        <f>IF(VLOOKUP(Table91213[[#This Row],[Date]],'DB Details'!$A:$Q,3)=0,"",VLOOKUP(Table91213[[#This Row],[Date]],'DB Details'!$A:$Q,3))</f>
        <v>56.5</v>
      </c>
      <c r="D106" s="49">
        <f>IF(VLOOKUP(Table91213[[#This Row],[Date]],'DB Details'!$A:$Q,4)=0,"",VLOOKUP(Table91213[[#This Row],[Date]],'DB Details'!$A:$Q,4))</f>
        <v>54</v>
      </c>
      <c r="E106" s="50">
        <f>IF(VLOOKUP(Table91213[[#This Row],[Date]],'DB Details'!$A:$Q,5)=0,"",VLOOKUP(Table91213[[#This Row],[Date]],'DB Details'!$A:$Q,5))</f>
        <v>72.599999999999994</v>
      </c>
      <c r="F106" s="49">
        <f>IF(VLOOKUP(Table91213[[#This Row],[Date]],'DB Details'!$A:$Q,6)=0,"",VLOOKUP(Table91213[[#This Row],[Date]],'DB Details'!$A:$Q,6))</f>
        <v>59.2</v>
      </c>
      <c r="G106" s="50">
        <f>IF(VLOOKUP(Table91213[[#This Row],[Date]],'DB Details'!$A:$Q,7)=0,"",VLOOKUP(Table91213[[#This Row],[Date]],'DB Details'!$A:$Q,7))</f>
        <v>60</v>
      </c>
      <c r="H106" s="50">
        <f>IF(VLOOKUP(Table91213[[#This Row],[Date]],'DB Details'!$A:$Q,8)=0,"",VLOOKUP(Table91213[[#This Row],[Date]],'DB Details'!$A:$Q,8))</f>
        <v>54</v>
      </c>
      <c r="I106" s="50">
        <f>IF(VLOOKUP(Table91213[[#This Row],[Date]],'DB Details'!$A:$Q,9)=0,"",VLOOKUP(Table91213[[#This Row],[Date]],'DB Details'!$A:$Q,9))</f>
        <v>60.5</v>
      </c>
      <c r="J106" s="50">
        <f>IF(VLOOKUP(Table91213[[#This Row],[Date]],'DB Details'!$A:$Q,10)=0,"",VLOOKUP(Table91213[[#This Row],[Date]],'DB Details'!$A:$Q,10))</f>
        <v>56.9</v>
      </c>
      <c r="K106" s="50">
        <f>IF(VLOOKUP(Table91213[[#This Row],[Date]],'DB Details'!$A:$Q,11)=0,"",VLOOKUP(Table91213[[#This Row],[Date]],'DB Details'!$A:$Q,11))</f>
        <v>57</v>
      </c>
      <c r="L106" s="48">
        <f>IF(VLOOKUP(Table91213[[#This Row],[Date]],'DB Details'!$A:$Q,12)=0,"",VLOOKUP(Table91213[[#This Row],[Date]],'DB Details'!$A:$Q,12))</f>
        <v>59.1</v>
      </c>
    </row>
    <row r="107" spans="1:12" x14ac:dyDescent="0.35">
      <c r="A107" s="51">
        <v>38687</v>
      </c>
      <c r="B107" s="48">
        <f>IF(VLOOKUP(Table91213[[#This Row],[Date]],'DB Details'!$A:$Q,2)=0,"",VLOOKUP(Table91213[[#This Row],[Date]],'DB Details'!$A:$Q,2))</f>
        <v>62.8</v>
      </c>
      <c r="C107" s="49">
        <f>IF(VLOOKUP(Table91213[[#This Row],[Date]],'DB Details'!$A:$Q,3)=0,"",VLOOKUP(Table91213[[#This Row],[Date]],'DB Details'!$A:$Q,3))</f>
        <v>56.5</v>
      </c>
      <c r="D107" s="49">
        <f>IF(VLOOKUP(Table91213[[#This Row],[Date]],'DB Details'!$A:$Q,4)=0,"",VLOOKUP(Table91213[[#This Row],[Date]],'DB Details'!$A:$Q,4))</f>
        <v>54</v>
      </c>
      <c r="E107" s="50">
        <f>IF(VLOOKUP(Table91213[[#This Row],[Date]],'DB Details'!$A:$Q,5)=0,"",VLOOKUP(Table91213[[#This Row],[Date]],'DB Details'!$A:$Q,5))</f>
        <v>68.900000000000006</v>
      </c>
      <c r="F107" s="49">
        <f>IF(VLOOKUP(Table91213[[#This Row],[Date]],'DB Details'!$A:$Q,6)=0,"",VLOOKUP(Table91213[[#This Row],[Date]],'DB Details'!$A:$Q,6))</f>
        <v>60.1</v>
      </c>
      <c r="G107" s="50">
        <f>IF(VLOOKUP(Table91213[[#This Row],[Date]],'DB Details'!$A:$Q,7)=0,"",VLOOKUP(Table91213[[#This Row],[Date]],'DB Details'!$A:$Q,7))</f>
        <v>59</v>
      </c>
      <c r="H107" s="50">
        <f>IF(VLOOKUP(Table91213[[#This Row],[Date]],'DB Details'!$A:$Q,8)=0,"",VLOOKUP(Table91213[[#This Row],[Date]],'DB Details'!$A:$Q,8))</f>
        <v>56</v>
      </c>
      <c r="I107" s="50">
        <f>IF(VLOOKUP(Table91213[[#This Row],[Date]],'DB Details'!$A:$Q,9)=0,"",VLOOKUP(Table91213[[#This Row],[Date]],'DB Details'!$A:$Q,9))</f>
        <v>56.5</v>
      </c>
      <c r="J107" s="50">
        <f>IF(VLOOKUP(Table91213[[#This Row],[Date]],'DB Details'!$A:$Q,10)=0,"",VLOOKUP(Table91213[[#This Row],[Date]],'DB Details'!$A:$Q,10))</f>
        <v>56.4</v>
      </c>
      <c r="K107" s="50">
        <f>IF(VLOOKUP(Table91213[[#This Row],[Date]],'DB Details'!$A:$Q,11)=0,"",VLOOKUP(Table91213[[#This Row],[Date]],'DB Details'!$A:$Q,11))</f>
        <v>61.5</v>
      </c>
      <c r="L107" s="48">
        <f>IF(VLOOKUP(Table91213[[#This Row],[Date]],'DB Details'!$A:$Q,12)=0,"",VLOOKUP(Table91213[[#This Row],[Date]],'DB Details'!$A:$Q,12))</f>
        <v>59</v>
      </c>
    </row>
    <row r="108" spans="1:12" x14ac:dyDescent="0.35">
      <c r="A108" s="51">
        <v>38718</v>
      </c>
      <c r="B108" s="48">
        <f>IF(VLOOKUP(Table91213[[#This Row],[Date]],'DB Details'!$A:$Q,2)=0,"",VLOOKUP(Table91213[[#This Row],[Date]],'DB Details'!$A:$Q,2))</f>
        <v>57.4</v>
      </c>
      <c r="C108" s="49">
        <f>IF(VLOOKUP(Table91213[[#This Row],[Date]],'DB Details'!$A:$Q,3)=0,"",VLOOKUP(Table91213[[#This Row],[Date]],'DB Details'!$A:$Q,3))</f>
        <v>49.5</v>
      </c>
      <c r="D108" s="49">
        <f>IF(VLOOKUP(Table91213[[#This Row],[Date]],'DB Details'!$A:$Q,4)=0,"",VLOOKUP(Table91213[[#This Row],[Date]],'DB Details'!$A:$Q,4))</f>
        <v>52.5</v>
      </c>
      <c r="E108" s="50">
        <f>IF(VLOOKUP(Table91213[[#This Row],[Date]],'DB Details'!$A:$Q,5)=0,"",VLOOKUP(Table91213[[#This Row],[Date]],'DB Details'!$A:$Q,5))</f>
        <v>69.900000000000006</v>
      </c>
      <c r="F108" s="49">
        <f>IF(VLOOKUP(Table91213[[#This Row],[Date]],'DB Details'!$A:$Q,6)=0,"",VLOOKUP(Table91213[[#This Row],[Date]],'DB Details'!$A:$Q,6))</f>
        <v>58.6</v>
      </c>
      <c r="G108" s="50">
        <f>IF(VLOOKUP(Table91213[[#This Row],[Date]],'DB Details'!$A:$Q,7)=0,"",VLOOKUP(Table91213[[#This Row],[Date]],'DB Details'!$A:$Q,7))</f>
        <v>63</v>
      </c>
      <c r="H108" s="50">
        <f>IF(VLOOKUP(Table91213[[#This Row],[Date]],'DB Details'!$A:$Q,8)=0,"",VLOOKUP(Table91213[[#This Row],[Date]],'DB Details'!$A:$Q,8))</f>
        <v>55</v>
      </c>
      <c r="I108" s="50">
        <f>IF(VLOOKUP(Table91213[[#This Row],[Date]],'DB Details'!$A:$Q,9)=0,"",VLOOKUP(Table91213[[#This Row],[Date]],'DB Details'!$A:$Q,9))</f>
        <v>54.5</v>
      </c>
      <c r="J108" s="50">
        <f>IF(VLOOKUP(Table91213[[#This Row],[Date]],'DB Details'!$A:$Q,10)=0,"",VLOOKUP(Table91213[[#This Row],[Date]],'DB Details'!$A:$Q,10))</f>
        <v>54.5</v>
      </c>
      <c r="K108" s="50">
        <f>IF(VLOOKUP(Table91213[[#This Row],[Date]],'DB Details'!$A:$Q,11)=0,"",VLOOKUP(Table91213[[#This Row],[Date]],'DB Details'!$A:$Q,11))</f>
        <v>58</v>
      </c>
      <c r="L108" s="48">
        <f>IF(VLOOKUP(Table91213[[#This Row],[Date]],'DB Details'!$A:$Q,12)=0,"",VLOOKUP(Table91213[[#This Row],[Date]],'DB Details'!$A:$Q,12))</f>
        <v>56.3</v>
      </c>
    </row>
    <row r="109" spans="1:12" x14ac:dyDescent="0.35">
      <c r="A109" s="51">
        <v>38749</v>
      </c>
      <c r="B109" s="48">
        <f>IF(VLOOKUP(Table91213[[#This Row],[Date]],'DB Details'!$A:$Q,2)=0,"",VLOOKUP(Table91213[[#This Row],[Date]],'DB Details'!$A:$Q,2))</f>
        <v>57.8</v>
      </c>
      <c r="C109" s="49">
        <f>IF(VLOOKUP(Table91213[[#This Row],[Date]],'DB Details'!$A:$Q,3)=0,"",VLOOKUP(Table91213[[#This Row],[Date]],'DB Details'!$A:$Q,3))</f>
        <v>55</v>
      </c>
      <c r="D109" s="49">
        <f>IF(VLOOKUP(Table91213[[#This Row],[Date]],'DB Details'!$A:$Q,4)=0,"",VLOOKUP(Table91213[[#This Row],[Date]],'DB Details'!$A:$Q,4))</f>
        <v>54</v>
      </c>
      <c r="E109" s="50">
        <f>IF(VLOOKUP(Table91213[[#This Row],[Date]],'DB Details'!$A:$Q,5)=0,"",VLOOKUP(Table91213[[#This Row],[Date]],'DB Details'!$A:$Q,5))</f>
        <v>67.8</v>
      </c>
      <c r="F109" s="49">
        <f>IF(VLOOKUP(Table91213[[#This Row],[Date]],'DB Details'!$A:$Q,6)=0,"",VLOOKUP(Table91213[[#This Row],[Date]],'DB Details'!$A:$Q,6))</f>
        <v>61.8</v>
      </c>
      <c r="G109" s="50">
        <f>IF(VLOOKUP(Table91213[[#This Row],[Date]],'DB Details'!$A:$Q,7)=0,"",VLOOKUP(Table91213[[#This Row],[Date]],'DB Details'!$A:$Q,7))</f>
        <v>63.5</v>
      </c>
      <c r="H109" s="50">
        <f>IF(VLOOKUP(Table91213[[#This Row],[Date]],'DB Details'!$A:$Q,8)=0,"",VLOOKUP(Table91213[[#This Row],[Date]],'DB Details'!$A:$Q,8))</f>
        <v>53</v>
      </c>
      <c r="I109" s="50">
        <f>IF(VLOOKUP(Table91213[[#This Row],[Date]],'DB Details'!$A:$Q,9)=0,"",VLOOKUP(Table91213[[#This Row],[Date]],'DB Details'!$A:$Q,9))</f>
        <v>52.5</v>
      </c>
      <c r="J109" s="50">
        <f>IF(VLOOKUP(Table91213[[#This Row],[Date]],'DB Details'!$A:$Q,10)=0,"",VLOOKUP(Table91213[[#This Row],[Date]],'DB Details'!$A:$Q,10))</f>
        <v>58.1</v>
      </c>
      <c r="K109" s="50">
        <f>IF(VLOOKUP(Table91213[[#This Row],[Date]],'DB Details'!$A:$Q,11)=0,"",VLOOKUP(Table91213[[#This Row],[Date]],'DB Details'!$A:$Q,11))</f>
        <v>60</v>
      </c>
      <c r="L109" s="48">
        <f>IF(VLOOKUP(Table91213[[#This Row],[Date]],'DB Details'!$A:$Q,12)=0,"",VLOOKUP(Table91213[[#This Row],[Date]],'DB Details'!$A:$Q,12))</f>
        <v>57.6</v>
      </c>
    </row>
    <row r="110" spans="1:12" x14ac:dyDescent="0.35">
      <c r="A110" s="51">
        <v>38777</v>
      </c>
      <c r="B110" s="48">
        <f>IF(VLOOKUP(Table91213[[#This Row],[Date]],'DB Details'!$A:$Q,2)=0,"",VLOOKUP(Table91213[[#This Row],[Date]],'DB Details'!$A:$Q,2))</f>
        <v>58.6</v>
      </c>
      <c r="C110" s="49">
        <f>IF(VLOOKUP(Table91213[[#This Row],[Date]],'DB Details'!$A:$Q,3)=0,"",VLOOKUP(Table91213[[#This Row],[Date]],'DB Details'!$A:$Q,3))</f>
        <v>60.5</v>
      </c>
      <c r="D110" s="49">
        <f>IF(VLOOKUP(Table91213[[#This Row],[Date]],'DB Details'!$A:$Q,4)=0,"",VLOOKUP(Table91213[[#This Row],[Date]],'DB Details'!$A:$Q,4))</f>
        <v>50.5</v>
      </c>
      <c r="E110" s="50">
        <f>IF(VLOOKUP(Table91213[[#This Row],[Date]],'DB Details'!$A:$Q,5)=0,"",VLOOKUP(Table91213[[#This Row],[Date]],'DB Details'!$A:$Q,5))</f>
        <v>60.1</v>
      </c>
      <c r="F110" s="49">
        <f>IF(VLOOKUP(Table91213[[#This Row],[Date]],'DB Details'!$A:$Q,6)=0,"",VLOOKUP(Table91213[[#This Row],[Date]],'DB Details'!$A:$Q,6))</f>
        <v>60</v>
      </c>
      <c r="G110" s="50">
        <f>IF(VLOOKUP(Table91213[[#This Row],[Date]],'DB Details'!$A:$Q,7)=0,"",VLOOKUP(Table91213[[#This Row],[Date]],'DB Details'!$A:$Q,7))</f>
        <v>63</v>
      </c>
      <c r="H110" s="50">
        <f>IF(VLOOKUP(Table91213[[#This Row],[Date]],'DB Details'!$A:$Q,8)=0,"",VLOOKUP(Table91213[[#This Row],[Date]],'DB Details'!$A:$Q,8))</f>
        <v>54</v>
      </c>
      <c r="I110" s="50">
        <f>IF(VLOOKUP(Table91213[[#This Row],[Date]],'DB Details'!$A:$Q,9)=0,"",VLOOKUP(Table91213[[#This Row],[Date]],'DB Details'!$A:$Q,9))</f>
        <v>54</v>
      </c>
      <c r="J110" s="50">
        <f>IF(VLOOKUP(Table91213[[#This Row],[Date]],'DB Details'!$A:$Q,10)=0,"",VLOOKUP(Table91213[[#This Row],[Date]],'DB Details'!$A:$Q,10))</f>
        <v>55.1</v>
      </c>
      <c r="K110" s="50">
        <f>IF(VLOOKUP(Table91213[[#This Row],[Date]],'DB Details'!$A:$Q,11)=0,"",VLOOKUP(Table91213[[#This Row],[Date]],'DB Details'!$A:$Q,11))</f>
        <v>63.5</v>
      </c>
      <c r="L110" s="48">
        <f>IF(VLOOKUP(Table91213[[#This Row],[Date]],'DB Details'!$A:$Q,12)=0,"",VLOOKUP(Table91213[[#This Row],[Date]],'DB Details'!$A:$Q,12))</f>
        <v>56.9</v>
      </c>
    </row>
    <row r="111" spans="1:12" x14ac:dyDescent="0.35">
      <c r="A111" s="51">
        <v>38808</v>
      </c>
      <c r="B111" s="48">
        <f>IF(VLOOKUP(Table91213[[#This Row],[Date]],'DB Details'!$A:$Q,2)=0,"",VLOOKUP(Table91213[[#This Row],[Date]],'DB Details'!$A:$Q,2))</f>
        <v>61.1</v>
      </c>
      <c r="C111" s="49">
        <f>IF(VLOOKUP(Table91213[[#This Row],[Date]],'DB Details'!$A:$Q,3)=0,"",VLOOKUP(Table91213[[#This Row],[Date]],'DB Details'!$A:$Q,3))</f>
        <v>57</v>
      </c>
      <c r="D111" s="49">
        <f>IF(VLOOKUP(Table91213[[#This Row],[Date]],'DB Details'!$A:$Q,4)=0,"",VLOOKUP(Table91213[[#This Row],[Date]],'DB Details'!$A:$Q,4))</f>
        <v>54</v>
      </c>
      <c r="E111" s="50">
        <f>IF(VLOOKUP(Table91213[[#This Row],[Date]],'DB Details'!$A:$Q,5)=0,"",VLOOKUP(Table91213[[#This Row],[Date]],'DB Details'!$A:$Q,5))</f>
        <v>68.5</v>
      </c>
      <c r="F111" s="49">
        <f>IF(VLOOKUP(Table91213[[#This Row],[Date]],'DB Details'!$A:$Q,6)=0,"",VLOOKUP(Table91213[[#This Row],[Date]],'DB Details'!$A:$Q,6))</f>
        <v>61.3</v>
      </c>
      <c r="G111" s="50">
        <f>IF(VLOOKUP(Table91213[[#This Row],[Date]],'DB Details'!$A:$Q,7)=0,"",VLOOKUP(Table91213[[#This Row],[Date]],'DB Details'!$A:$Q,7))</f>
        <v>60</v>
      </c>
      <c r="H111" s="50">
        <f>IF(VLOOKUP(Table91213[[#This Row],[Date]],'DB Details'!$A:$Q,8)=0,"",VLOOKUP(Table91213[[#This Row],[Date]],'DB Details'!$A:$Q,8))</f>
        <v>59</v>
      </c>
      <c r="I111" s="50">
        <f>IF(VLOOKUP(Table91213[[#This Row],[Date]],'DB Details'!$A:$Q,9)=0,"",VLOOKUP(Table91213[[#This Row],[Date]],'DB Details'!$A:$Q,9))</f>
        <v>54.5</v>
      </c>
      <c r="J111" s="50">
        <f>IF(VLOOKUP(Table91213[[#This Row],[Date]],'DB Details'!$A:$Q,10)=0,"",VLOOKUP(Table91213[[#This Row],[Date]],'DB Details'!$A:$Q,10))</f>
        <v>56.5</v>
      </c>
      <c r="K111" s="50">
        <f>IF(VLOOKUP(Table91213[[#This Row],[Date]],'DB Details'!$A:$Q,11)=0,"",VLOOKUP(Table91213[[#This Row],[Date]],'DB Details'!$A:$Q,11))</f>
        <v>59.5</v>
      </c>
      <c r="L111" s="48">
        <f>IF(VLOOKUP(Table91213[[#This Row],[Date]],'DB Details'!$A:$Q,12)=0,"",VLOOKUP(Table91213[[#This Row],[Date]],'DB Details'!$A:$Q,12))</f>
        <v>58.4</v>
      </c>
    </row>
    <row r="112" spans="1:12" x14ac:dyDescent="0.35">
      <c r="A112" s="51">
        <v>38838</v>
      </c>
      <c r="B112" s="48">
        <f>IF(VLOOKUP(Table91213[[#This Row],[Date]],'DB Details'!$A:$Q,2)=0,"",VLOOKUP(Table91213[[#This Row],[Date]],'DB Details'!$A:$Q,2))</f>
        <v>58.6</v>
      </c>
      <c r="C112" s="49">
        <f>IF(VLOOKUP(Table91213[[#This Row],[Date]],'DB Details'!$A:$Q,3)=0,"",VLOOKUP(Table91213[[#This Row],[Date]],'DB Details'!$A:$Q,3))</f>
        <v>58.5</v>
      </c>
      <c r="D112" s="49">
        <f>IF(VLOOKUP(Table91213[[#This Row],[Date]],'DB Details'!$A:$Q,4)=0,"",VLOOKUP(Table91213[[#This Row],[Date]],'DB Details'!$A:$Q,4))</f>
        <v>52</v>
      </c>
      <c r="E112" s="50">
        <f>IF(VLOOKUP(Table91213[[#This Row],[Date]],'DB Details'!$A:$Q,5)=0,"",VLOOKUP(Table91213[[#This Row],[Date]],'DB Details'!$A:$Q,5))</f>
        <v>70.5</v>
      </c>
      <c r="F112" s="49">
        <f>IF(VLOOKUP(Table91213[[#This Row],[Date]],'DB Details'!$A:$Q,6)=0,"",VLOOKUP(Table91213[[#This Row],[Date]],'DB Details'!$A:$Q,6))</f>
        <v>58.1</v>
      </c>
      <c r="G112" s="50">
        <f>IF(VLOOKUP(Table91213[[#This Row],[Date]],'DB Details'!$A:$Q,7)=0,"",VLOOKUP(Table91213[[#This Row],[Date]],'DB Details'!$A:$Q,7))</f>
        <v>59</v>
      </c>
      <c r="H112" s="50">
        <f>IF(VLOOKUP(Table91213[[#This Row],[Date]],'DB Details'!$A:$Q,8)=0,"",VLOOKUP(Table91213[[#This Row],[Date]],'DB Details'!$A:$Q,8))</f>
        <v>59</v>
      </c>
      <c r="I112" s="50">
        <f>IF(VLOOKUP(Table91213[[#This Row],[Date]],'DB Details'!$A:$Q,9)=0,"",VLOOKUP(Table91213[[#This Row],[Date]],'DB Details'!$A:$Q,9))</f>
        <v>56.5</v>
      </c>
      <c r="J112" s="50">
        <f>IF(VLOOKUP(Table91213[[#This Row],[Date]],'DB Details'!$A:$Q,10)=0,"",VLOOKUP(Table91213[[#This Row],[Date]],'DB Details'!$A:$Q,10))</f>
        <v>54.6</v>
      </c>
      <c r="K112" s="50">
        <f>IF(VLOOKUP(Table91213[[#This Row],[Date]],'DB Details'!$A:$Q,11)=0,"",VLOOKUP(Table91213[[#This Row],[Date]],'DB Details'!$A:$Q,11))</f>
        <v>64</v>
      </c>
      <c r="L112" s="48">
        <f>IF(VLOOKUP(Table91213[[#This Row],[Date]],'DB Details'!$A:$Q,12)=0,"",VLOOKUP(Table91213[[#This Row],[Date]],'DB Details'!$A:$Q,12))</f>
        <v>57</v>
      </c>
    </row>
    <row r="113" spans="1:12" x14ac:dyDescent="0.35">
      <c r="A113" s="51">
        <v>38869</v>
      </c>
      <c r="B113" s="48">
        <f>IF(VLOOKUP(Table91213[[#This Row],[Date]],'DB Details'!$A:$Q,2)=0,"",VLOOKUP(Table91213[[#This Row],[Date]],'DB Details'!$A:$Q,2))</f>
        <v>57</v>
      </c>
      <c r="C113" s="49">
        <f>IF(VLOOKUP(Table91213[[#This Row],[Date]],'DB Details'!$A:$Q,3)=0,"",VLOOKUP(Table91213[[#This Row],[Date]],'DB Details'!$A:$Q,3))</f>
        <v>55.5</v>
      </c>
      <c r="D113" s="49">
        <f>IF(VLOOKUP(Table91213[[#This Row],[Date]],'DB Details'!$A:$Q,4)=0,"",VLOOKUP(Table91213[[#This Row],[Date]],'DB Details'!$A:$Q,4))</f>
        <v>55</v>
      </c>
      <c r="E113" s="50">
        <f>IF(VLOOKUP(Table91213[[#This Row],[Date]],'DB Details'!$A:$Q,5)=0,"",VLOOKUP(Table91213[[#This Row],[Date]],'DB Details'!$A:$Q,5))</f>
        <v>69</v>
      </c>
      <c r="F113" s="49">
        <f>IF(VLOOKUP(Table91213[[#This Row],[Date]],'DB Details'!$A:$Q,6)=0,"",VLOOKUP(Table91213[[#This Row],[Date]],'DB Details'!$A:$Q,6))</f>
        <v>56.4</v>
      </c>
      <c r="G113" s="50">
        <f>IF(VLOOKUP(Table91213[[#This Row],[Date]],'DB Details'!$A:$Q,7)=0,"",VLOOKUP(Table91213[[#This Row],[Date]],'DB Details'!$A:$Q,7))</f>
        <v>63</v>
      </c>
      <c r="H113" s="50">
        <f>IF(VLOOKUP(Table91213[[#This Row],[Date]],'DB Details'!$A:$Q,8)=0,"",VLOOKUP(Table91213[[#This Row],[Date]],'DB Details'!$A:$Q,8))</f>
        <v>51.5</v>
      </c>
      <c r="I113" s="50">
        <f>IF(VLOOKUP(Table91213[[#This Row],[Date]],'DB Details'!$A:$Q,9)=0,"",VLOOKUP(Table91213[[#This Row],[Date]],'DB Details'!$A:$Q,9))</f>
        <v>56</v>
      </c>
      <c r="J113" s="50">
        <f>IF(VLOOKUP(Table91213[[#This Row],[Date]],'DB Details'!$A:$Q,10)=0,"",VLOOKUP(Table91213[[#This Row],[Date]],'DB Details'!$A:$Q,10))</f>
        <v>51.2</v>
      </c>
      <c r="K113" s="50">
        <f>IF(VLOOKUP(Table91213[[#This Row],[Date]],'DB Details'!$A:$Q,11)=0,"",VLOOKUP(Table91213[[#This Row],[Date]],'DB Details'!$A:$Q,11))</f>
        <v>54.5</v>
      </c>
      <c r="L113" s="48">
        <f>IF(VLOOKUP(Table91213[[#This Row],[Date]],'DB Details'!$A:$Q,12)=0,"",VLOOKUP(Table91213[[#This Row],[Date]],'DB Details'!$A:$Q,12))</f>
        <v>55.2</v>
      </c>
    </row>
    <row r="114" spans="1:12" x14ac:dyDescent="0.35">
      <c r="A114" s="51">
        <v>38899</v>
      </c>
      <c r="B114" s="48">
        <f>IF(VLOOKUP(Table91213[[#This Row],[Date]],'DB Details'!$A:$Q,2)=0,"",VLOOKUP(Table91213[[#This Row],[Date]],'DB Details'!$A:$Q,2))</f>
        <v>58.1</v>
      </c>
      <c r="C114" s="49">
        <f>IF(VLOOKUP(Table91213[[#This Row],[Date]],'DB Details'!$A:$Q,3)=0,"",VLOOKUP(Table91213[[#This Row],[Date]],'DB Details'!$A:$Q,3))</f>
        <v>60.5</v>
      </c>
      <c r="D114" s="49">
        <f>IF(VLOOKUP(Table91213[[#This Row],[Date]],'DB Details'!$A:$Q,4)=0,"",VLOOKUP(Table91213[[#This Row],[Date]],'DB Details'!$A:$Q,4))</f>
        <v>56</v>
      </c>
      <c r="E114" s="50">
        <f>IF(VLOOKUP(Table91213[[#This Row],[Date]],'DB Details'!$A:$Q,5)=0,"",VLOOKUP(Table91213[[#This Row],[Date]],'DB Details'!$A:$Q,5))</f>
        <v>70.599999999999994</v>
      </c>
      <c r="F114" s="49">
        <f>IF(VLOOKUP(Table91213[[#This Row],[Date]],'DB Details'!$A:$Q,6)=0,"",VLOOKUP(Table91213[[#This Row],[Date]],'DB Details'!$A:$Q,6))</f>
        <v>56.3</v>
      </c>
      <c r="G114" s="50">
        <f>IF(VLOOKUP(Table91213[[#This Row],[Date]],'DB Details'!$A:$Q,7)=0,"",VLOOKUP(Table91213[[#This Row],[Date]],'DB Details'!$A:$Q,7))</f>
        <v>60</v>
      </c>
      <c r="H114" s="50">
        <f>IF(VLOOKUP(Table91213[[#This Row],[Date]],'DB Details'!$A:$Q,8)=0,"",VLOOKUP(Table91213[[#This Row],[Date]],'DB Details'!$A:$Q,8))</f>
        <v>53</v>
      </c>
      <c r="I114" s="50">
        <f>IF(VLOOKUP(Table91213[[#This Row],[Date]],'DB Details'!$A:$Q,9)=0,"",VLOOKUP(Table91213[[#This Row],[Date]],'DB Details'!$A:$Q,9))</f>
        <v>54.5</v>
      </c>
      <c r="J114" s="50">
        <f>IF(VLOOKUP(Table91213[[#This Row],[Date]],'DB Details'!$A:$Q,10)=0,"",VLOOKUP(Table91213[[#This Row],[Date]],'DB Details'!$A:$Q,10))</f>
        <v>53.6</v>
      </c>
      <c r="K114" s="50">
        <f>IF(VLOOKUP(Table91213[[#This Row],[Date]],'DB Details'!$A:$Q,11)=0,"",VLOOKUP(Table91213[[#This Row],[Date]],'DB Details'!$A:$Q,11))</f>
        <v>56</v>
      </c>
      <c r="L114" s="48">
        <f>IF(VLOOKUP(Table91213[[#This Row],[Date]],'DB Details'!$A:$Q,12)=0,"",VLOOKUP(Table91213[[#This Row],[Date]],'DB Details'!$A:$Q,12))</f>
        <v>55.6</v>
      </c>
    </row>
    <row r="115" spans="1:12" x14ac:dyDescent="0.35">
      <c r="A115" s="51">
        <v>38930</v>
      </c>
      <c r="B115" s="48">
        <f>IF(VLOOKUP(Table91213[[#This Row],[Date]],'DB Details'!$A:$Q,2)=0,"",VLOOKUP(Table91213[[#This Row],[Date]],'DB Details'!$A:$Q,2))</f>
        <v>53.1</v>
      </c>
      <c r="C115" s="49">
        <f>IF(VLOOKUP(Table91213[[#This Row],[Date]],'DB Details'!$A:$Q,3)=0,"",VLOOKUP(Table91213[[#This Row],[Date]],'DB Details'!$A:$Q,3))</f>
        <v>60</v>
      </c>
      <c r="D115" s="49">
        <f>IF(VLOOKUP(Table91213[[#This Row],[Date]],'DB Details'!$A:$Q,4)=0,"",VLOOKUP(Table91213[[#This Row],[Date]],'DB Details'!$A:$Q,4))</f>
        <v>49.5</v>
      </c>
      <c r="E115" s="50">
        <f>IF(VLOOKUP(Table91213[[#This Row],[Date]],'DB Details'!$A:$Q,5)=0,"",VLOOKUP(Table91213[[#This Row],[Date]],'DB Details'!$A:$Q,5))</f>
        <v>72.2</v>
      </c>
      <c r="F115" s="49">
        <f>IF(VLOOKUP(Table91213[[#This Row],[Date]],'DB Details'!$A:$Q,6)=0,"",VLOOKUP(Table91213[[#This Row],[Date]],'DB Details'!$A:$Q,6))</f>
        <v>56.7</v>
      </c>
      <c r="G115" s="50">
        <f>IF(VLOOKUP(Table91213[[#This Row],[Date]],'DB Details'!$A:$Q,7)=0,"",VLOOKUP(Table91213[[#This Row],[Date]],'DB Details'!$A:$Q,7))</f>
        <v>59</v>
      </c>
      <c r="H115" s="50">
        <f>IF(VLOOKUP(Table91213[[#This Row],[Date]],'DB Details'!$A:$Q,8)=0,"",VLOOKUP(Table91213[[#This Row],[Date]],'DB Details'!$A:$Q,8))</f>
        <v>51.5</v>
      </c>
      <c r="I115" s="50">
        <f>IF(VLOOKUP(Table91213[[#This Row],[Date]],'DB Details'!$A:$Q,9)=0,"",VLOOKUP(Table91213[[#This Row],[Date]],'DB Details'!$A:$Q,9))</f>
        <v>53.5</v>
      </c>
      <c r="J115" s="50">
        <f>IF(VLOOKUP(Table91213[[#This Row],[Date]],'DB Details'!$A:$Q,10)=0,"",VLOOKUP(Table91213[[#This Row],[Date]],'DB Details'!$A:$Q,10))</f>
        <v>52.2</v>
      </c>
      <c r="K115" s="50">
        <f>IF(VLOOKUP(Table91213[[#This Row],[Date]],'DB Details'!$A:$Q,11)=0,"",VLOOKUP(Table91213[[#This Row],[Date]],'DB Details'!$A:$Q,11))</f>
        <v>53</v>
      </c>
      <c r="L115" s="48">
        <f>IF(VLOOKUP(Table91213[[#This Row],[Date]],'DB Details'!$A:$Q,12)=0,"",VLOOKUP(Table91213[[#This Row],[Date]],'DB Details'!$A:$Q,12))</f>
        <v>53.9</v>
      </c>
    </row>
    <row r="116" spans="1:12" x14ac:dyDescent="0.35">
      <c r="A116" s="51">
        <v>38961</v>
      </c>
      <c r="B116" s="48">
        <f>IF(VLOOKUP(Table91213[[#This Row],[Date]],'DB Details'!$A:$Q,2)=0,"",VLOOKUP(Table91213[[#This Row],[Date]],'DB Details'!$A:$Q,2))</f>
        <v>56.5</v>
      </c>
      <c r="C116" s="49">
        <f>IF(VLOOKUP(Table91213[[#This Row],[Date]],'DB Details'!$A:$Q,3)=0,"",VLOOKUP(Table91213[[#This Row],[Date]],'DB Details'!$A:$Q,3))</f>
        <v>55</v>
      </c>
      <c r="D116" s="49">
        <f>IF(VLOOKUP(Table91213[[#This Row],[Date]],'DB Details'!$A:$Q,4)=0,"",VLOOKUP(Table91213[[#This Row],[Date]],'DB Details'!$A:$Q,4))</f>
        <v>53</v>
      </c>
      <c r="E116" s="50">
        <f>IF(VLOOKUP(Table91213[[#This Row],[Date]],'DB Details'!$A:$Q,5)=0,"",VLOOKUP(Table91213[[#This Row],[Date]],'DB Details'!$A:$Q,5))</f>
        <v>60.6</v>
      </c>
      <c r="F116" s="49">
        <f>IF(VLOOKUP(Table91213[[#This Row],[Date]],'DB Details'!$A:$Q,6)=0,"",VLOOKUP(Table91213[[#This Row],[Date]],'DB Details'!$A:$Q,6))</f>
        <v>54.4</v>
      </c>
      <c r="G116" s="50">
        <f>IF(VLOOKUP(Table91213[[#This Row],[Date]],'DB Details'!$A:$Q,7)=0,"",VLOOKUP(Table91213[[#This Row],[Date]],'DB Details'!$A:$Q,7))</f>
        <v>63.5</v>
      </c>
      <c r="H116" s="50">
        <f>IF(VLOOKUP(Table91213[[#This Row],[Date]],'DB Details'!$A:$Q,8)=0,"",VLOOKUP(Table91213[[#This Row],[Date]],'DB Details'!$A:$Q,8))</f>
        <v>50.5</v>
      </c>
      <c r="I116" s="50">
        <f>IF(VLOOKUP(Table91213[[#This Row],[Date]],'DB Details'!$A:$Q,9)=0,"",VLOOKUP(Table91213[[#This Row],[Date]],'DB Details'!$A:$Q,9))</f>
        <v>54</v>
      </c>
      <c r="J116" s="50">
        <f>IF(VLOOKUP(Table91213[[#This Row],[Date]],'DB Details'!$A:$Q,10)=0,"",VLOOKUP(Table91213[[#This Row],[Date]],'DB Details'!$A:$Q,10))</f>
        <v>52.9</v>
      </c>
      <c r="K116" s="50">
        <f>IF(VLOOKUP(Table91213[[#This Row],[Date]],'DB Details'!$A:$Q,11)=0,"",VLOOKUP(Table91213[[#This Row],[Date]],'DB Details'!$A:$Q,11))</f>
        <v>59</v>
      </c>
      <c r="L116" s="48">
        <f>IF(VLOOKUP(Table91213[[#This Row],[Date]],'DB Details'!$A:$Q,12)=0,"",VLOOKUP(Table91213[[#This Row],[Date]],'DB Details'!$A:$Q,12))</f>
        <v>54.5</v>
      </c>
    </row>
    <row r="117" spans="1:12" x14ac:dyDescent="0.35">
      <c r="A117" s="51">
        <v>38991</v>
      </c>
      <c r="B117" s="48">
        <f>IF(VLOOKUP(Table91213[[#This Row],[Date]],'DB Details'!$A:$Q,2)=0,"",VLOOKUP(Table91213[[#This Row],[Date]],'DB Details'!$A:$Q,2))</f>
        <v>55.3</v>
      </c>
      <c r="C117" s="49">
        <f>IF(VLOOKUP(Table91213[[#This Row],[Date]],'DB Details'!$A:$Q,3)=0,"",VLOOKUP(Table91213[[#This Row],[Date]],'DB Details'!$A:$Q,3))</f>
        <v>57.5</v>
      </c>
      <c r="D117" s="49">
        <f>IF(VLOOKUP(Table91213[[#This Row],[Date]],'DB Details'!$A:$Q,4)=0,"",VLOOKUP(Table91213[[#This Row],[Date]],'DB Details'!$A:$Q,4))</f>
        <v>51.5</v>
      </c>
      <c r="E117" s="50">
        <f>IF(VLOOKUP(Table91213[[#This Row],[Date]],'DB Details'!$A:$Q,5)=0,"",VLOOKUP(Table91213[[#This Row],[Date]],'DB Details'!$A:$Q,5))</f>
        <v>56.5</v>
      </c>
      <c r="F117" s="49">
        <f>IF(VLOOKUP(Table91213[[#This Row],[Date]],'DB Details'!$A:$Q,6)=0,"",VLOOKUP(Table91213[[#This Row],[Date]],'DB Details'!$A:$Q,6))</f>
        <v>56.9</v>
      </c>
      <c r="G117" s="50">
        <f>IF(VLOOKUP(Table91213[[#This Row],[Date]],'DB Details'!$A:$Q,7)=0,"",VLOOKUP(Table91213[[#This Row],[Date]],'DB Details'!$A:$Q,7))</f>
        <v>64.5</v>
      </c>
      <c r="H117" s="50">
        <f>IF(VLOOKUP(Table91213[[#This Row],[Date]],'DB Details'!$A:$Q,8)=0,"",VLOOKUP(Table91213[[#This Row],[Date]],'DB Details'!$A:$Q,8))</f>
        <v>53</v>
      </c>
      <c r="I117" s="50">
        <f>IF(VLOOKUP(Table91213[[#This Row],[Date]],'DB Details'!$A:$Q,9)=0,"",VLOOKUP(Table91213[[#This Row],[Date]],'DB Details'!$A:$Q,9))</f>
        <v>54.5</v>
      </c>
      <c r="J117" s="50">
        <f>IF(VLOOKUP(Table91213[[#This Row],[Date]],'DB Details'!$A:$Q,10)=0,"",VLOOKUP(Table91213[[#This Row],[Date]],'DB Details'!$A:$Q,10))</f>
        <v>52.9</v>
      </c>
      <c r="K117" s="50">
        <f>IF(VLOOKUP(Table91213[[#This Row],[Date]],'DB Details'!$A:$Q,11)=0,"",VLOOKUP(Table91213[[#This Row],[Date]],'DB Details'!$A:$Q,11))</f>
        <v>63.5</v>
      </c>
      <c r="L117" s="48">
        <f>IF(VLOOKUP(Table91213[[#This Row],[Date]],'DB Details'!$A:$Q,12)=0,"",VLOOKUP(Table91213[[#This Row],[Date]],'DB Details'!$A:$Q,12))</f>
        <v>54.9</v>
      </c>
    </row>
    <row r="118" spans="1:12" x14ac:dyDescent="0.35">
      <c r="A118" s="51">
        <v>39022</v>
      </c>
      <c r="B118" s="48">
        <f>IF(VLOOKUP(Table91213[[#This Row],[Date]],'DB Details'!$A:$Q,2)=0,"",VLOOKUP(Table91213[[#This Row],[Date]],'DB Details'!$A:$Q,2))</f>
        <v>56.7</v>
      </c>
      <c r="C118" s="49">
        <f>IF(VLOOKUP(Table91213[[#This Row],[Date]],'DB Details'!$A:$Q,3)=0,"",VLOOKUP(Table91213[[#This Row],[Date]],'DB Details'!$A:$Q,3))</f>
        <v>59.5</v>
      </c>
      <c r="D118" s="49">
        <f>IF(VLOOKUP(Table91213[[#This Row],[Date]],'DB Details'!$A:$Q,4)=0,"",VLOOKUP(Table91213[[#This Row],[Date]],'DB Details'!$A:$Q,4))</f>
        <v>54.5</v>
      </c>
      <c r="E118" s="50">
        <f>IF(VLOOKUP(Table91213[[#This Row],[Date]],'DB Details'!$A:$Q,5)=0,"",VLOOKUP(Table91213[[#This Row],[Date]],'DB Details'!$A:$Q,5))</f>
        <v>56.7</v>
      </c>
      <c r="F118" s="49">
        <f>IF(VLOOKUP(Table91213[[#This Row],[Date]],'DB Details'!$A:$Q,6)=0,"",VLOOKUP(Table91213[[#This Row],[Date]],'DB Details'!$A:$Q,6))</f>
        <v>59.2</v>
      </c>
      <c r="G118" s="50">
        <f>IF(VLOOKUP(Table91213[[#This Row],[Date]],'DB Details'!$A:$Q,7)=0,"",VLOOKUP(Table91213[[#This Row],[Date]],'DB Details'!$A:$Q,7))</f>
        <v>57</v>
      </c>
      <c r="H118" s="50">
        <f>IF(VLOOKUP(Table91213[[#This Row],[Date]],'DB Details'!$A:$Q,8)=0,"",VLOOKUP(Table91213[[#This Row],[Date]],'DB Details'!$A:$Q,8))</f>
        <v>51.5</v>
      </c>
      <c r="I118" s="50">
        <f>IF(VLOOKUP(Table91213[[#This Row],[Date]],'DB Details'!$A:$Q,9)=0,"",VLOOKUP(Table91213[[#This Row],[Date]],'DB Details'!$A:$Q,9))</f>
        <v>50</v>
      </c>
      <c r="J118" s="50">
        <f>IF(VLOOKUP(Table91213[[#This Row],[Date]],'DB Details'!$A:$Q,10)=0,"",VLOOKUP(Table91213[[#This Row],[Date]],'DB Details'!$A:$Q,10))</f>
        <v>52.2</v>
      </c>
      <c r="K118" s="50">
        <f>IF(VLOOKUP(Table91213[[#This Row],[Date]],'DB Details'!$A:$Q,11)=0,"",VLOOKUP(Table91213[[#This Row],[Date]],'DB Details'!$A:$Q,11))</f>
        <v>58.5</v>
      </c>
      <c r="L118" s="48">
        <f>IF(VLOOKUP(Table91213[[#This Row],[Date]],'DB Details'!$A:$Q,12)=0,"",VLOOKUP(Table91213[[#This Row],[Date]],'DB Details'!$A:$Q,12))</f>
        <v>54.5</v>
      </c>
    </row>
    <row r="119" spans="1:12" x14ac:dyDescent="0.35">
      <c r="A119" s="51">
        <v>39052</v>
      </c>
      <c r="B119" s="48">
        <f>IF(VLOOKUP(Table91213[[#This Row],[Date]],'DB Details'!$A:$Q,2)=0,"",VLOOKUP(Table91213[[#This Row],[Date]],'DB Details'!$A:$Q,2))</f>
        <v>54.8</v>
      </c>
      <c r="C119" s="49">
        <f>IF(VLOOKUP(Table91213[[#This Row],[Date]],'DB Details'!$A:$Q,3)=0,"",VLOOKUP(Table91213[[#This Row],[Date]],'DB Details'!$A:$Q,3))</f>
        <v>62</v>
      </c>
      <c r="D119" s="49">
        <f>IF(VLOOKUP(Table91213[[#This Row],[Date]],'DB Details'!$A:$Q,4)=0,"",VLOOKUP(Table91213[[#This Row],[Date]],'DB Details'!$A:$Q,4))</f>
        <v>48</v>
      </c>
      <c r="E119" s="50">
        <f>IF(VLOOKUP(Table91213[[#This Row],[Date]],'DB Details'!$A:$Q,5)=0,"",VLOOKUP(Table91213[[#This Row],[Date]],'DB Details'!$A:$Q,5))</f>
        <v>60.5</v>
      </c>
      <c r="F119" s="49">
        <f>IF(VLOOKUP(Table91213[[#This Row],[Date]],'DB Details'!$A:$Q,6)=0,"",VLOOKUP(Table91213[[#This Row],[Date]],'DB Details'!$A:$Q,6))</f>
        <v>56.1</v>
      </c>
      <c r="G119" s="50">
        <f>IF(VLOOKUP(Table91213[[#This Row],[Date]],'DB Details'!$A:$Q,7)=0,"",VLOOKUP(Table91213[[#This Row],[Date]],'DB Details'!$A:$Q,7))</f>
        <v>63.5</v>
      </c>
      <c r="H119" s="50">
        <f>IF(VLOOKUP(Table91213[[#This Row],[Date]],'DB Details'!$A:$Q,8)=0,"",VLOOKUP(Table91213[[#This Row],[Date]],'DB Details'!$A:$Q,8))</f>
        <v>53.5</v>
      </c>
      <c r="I119" s="50">
        <f>IF(VLOOKUP(Table91213[[#This Row],[Date]],'DB Details'!$A:$Q,9)=0,"",VLOOKUP(Table91213[[#This Row],[Date]],'DB Details'!$A:$Q,9))</f>
        <v>51</v>
      </c>
      <c r="J119" s="50">
        <f>IF(VLOOKUP(Table91213[[#This Row],[Date]],'DB Details'!$A:$Q,10)=0,"",VLOOKUP(Table91213[[#This Row],[Date]],'DB Details'!$A:$Q,10))</f>
        <v>52.7</v>
      </c>
      <c r="K119" s="50">
        <f>IF(VLOOKUP(Table91213[[#This Row],[Date]],'DB Details'!$A:$Q,11)=0,"",VLOOKUP(Table91213[[#This Row],[Date]],'DB Details'!$A:$Q,11))</f>
        <v>61.5</v>
      </c>
      <c r="L119" s="48">
        <f>IF(VLOOKUP(Table91213[[#This Row],[Date]],'DB Details'!$A:$Q,12)=0,"",VLOOKUP(Table91213[[#This Row],[Date]],'DB Details'!$A:$Q,12))</f>
        <v>53.7</v>
      </c>
    </row>
    <row r="120" spans="1:12" x14ac:dyDescent="0.35">
      <c r="A120" s="51">
        <v>39083</v>
      </c>
      <c r="B120" s="48">
        <f>IF(VLOOKUP(Table91213[[#This Row],[Date]],'DB Details'!$A:$Q,2)=0,"",VLOOKUP(Table91213[[#This Row],[Date]],'DB Details'!$A:$Q,2))</f>
        <v>55.6</v>
      </c>
      <c r="C120" s="49">
        <f>IF(VLOOKUP(Table91213[[#This Row],[Date]],'DB Details'!$A:$Q,3)=0,"",VLOOKUP(Table91213[[#This Row],[Date]],'DB Details'!$A:$Q,3))</f>
        <v>52</v>
      </c>
      <c r="D120" s="49">
        <f>IF(VLOOKUP(Table91213[[#This Row],[Date]],'DB Details'!$A:$Q,4)=0,"",VLOOKUP(Table91213[[#This Row],[Date]],'DB Details'!$A:$Q,4))</f>
        <v>49</v>
      </c>
      <c r="E120" s="50">
        <f>IF(VLOOKUP(Table91213[[#This Row],[Date]],'DB Details'!$A:$Q,5)=0,"",VLOOKUP(Table91213[[#This Row],[Date]],'DB Details'!$A:$Q,5))</f>
        <v>57.5</v>
      </c>
      <c r="F120" s="49">
        <f>IF(VLOOKUP(Table91213[[#This Row],[Date]],'DB Details'!$A:$Q,6)=0,"",VLOOKUP(Table91213[[#This Row],[Date]],'DB Details'!$A:$Q,6))</f>
        <v>58.3</v>
      </c>
      <c r="G120" s="50">
        <f>IF(VLOOKUP(Table91213[[#This Row],[Date]],'DB Details'!$A:$Q,7)=0,"",VLOOKUP(Table91213[[#This Row],[Date]],'DB Details'!$A:$Q,7))</f>
        <v>65.5</v>
      </c>
      <c r="H120" s="50">
        <f>IF(VLOOKUP(Table91213[[#This Row],[Date]],'DB Details'!$A:$Q,8)=0,"",VLOOKUP(Table91213[[#This Row],[Date]],'DB Details'!$A:$Q,8))</f>
        <v>47</v>
      </c>
      <c r="I120" s="50">
        <f>IF(VLOOKUP(Table91213[[#This Row],[Date]],'DB Details'!$A:$Q,9)=0,"",VLOOKUP(Table91213[[#This Row],[Date]],'DB Details'!$A:$Q,9))</f>
        <v>53.5</v>
      </c>
      <c r="J120" s="50">
        <f>IF(VLOOKUP(Table91213[[#This Row],[Date]],'DB Details'!$A:$Q,10)=0,"",VLOOKUP(Table91213[[#This Row],[Date]],'DB Details'!$A:$Q,10))</f>
        <v>54.8</v>
      </c>
      <c r="K120" s="50">
        <f>IF(VLOOKUP(Table91213[[#This Row],[Date]],'DB Details'!$A:$Q,11)=0,"",VLOOKUP(Table91213[[#This Row],[Date]],'DB Details'!$A:$Q,11))</f>
        <v>55</v>
      </c>
      <c r="L120" s="48">
        <f>IF(VLOOKUP(Table91213[[#This Row],[Date]],'DB Details'!$A:$Q,12)=0,"",VLOOKUP(Table91213[[#This Row],[Date]],'DB Details'!$A:$Q,12))</f>
        <v>55.4</v>
      </c>
    </row>
    <row r="121" spans="1:12" x14ac:dyDescent="0.35">
      <c r="A121" s="51">
        <v>39114</v>
      </c>
      <c r="B121" s="48">
        <f>IF(VLOOKUP(Table91213[[#This Row],[Date]],'DB Details'!$A:$Q,2)=0,"",VLOOKUP(Table91213[[#This Row],[Date]],'DB Details'!$A:$Q,2))</f>
        <v>55.7</v>
      </c>
      <c r="C121" s="49">
        <f>IF(VLOOKUP(Table91213[[#This Row],[Date]],'DB Details'!$A:$Q,3)=0,"",VLOOKUP(Table91213[[#This Row],[Date]],'DB Details'!$A:$Q,3))</f>
        <v>54</v>
      </c>
      <c r="D121" s="49">
        <f>IF(VLOOKUP(Table91213[[#This Row],[Date]],'DB Details'!$A:$Q,4)=0,"",VLOOKUP(Table91213[[#This Row],[Date]],'DB Details'!$A:$Q,4))</f>
        <v>47</v>
      </c>
      <c r="E121" s="50">
        <f>IF(VLOOKUP(Table91213[[#This Row],[Date]],'DB Details'!$A:$Q,5)=0,"",VLOOKUP(Table91213[[#This Row],[Date]],'DB Details'!$A:$Q,5))</f>
        <v>57</v>
      </c>
      <c r="F121" s="49">
        <f>IF(VLOOKUP(Table91213[[#This Row],[Date]],'DB Details'!$A:$Q,6)=0,"",VLOOKUP(Table91213[[#This Row],[Date]],'DB Details'!$A:$Q,6))</f>
        <v>56</v>
      </c>
      <c r="G121" s="50">
        <f>IF(VLOOKUP(Table91213[[#This Row],[Date]],'DB Details'!$A:$Q,7)=0,"",VLOOKUP(Table91213[[#This Row],[Date]],'DB Details'!$A:$Q,7))</f>
        <v>61.5</v>
      </c>
      <c r="H121" s="50">
        <f>IF(VLOOKUP(Table91213[[#This Row],[Date]],'DB Details'!$A:$Q,8)=0,"",VLOOKUP(Table91213[[#This Row],[Date]],'DB Details'!$A:$Q,8))</f>
        <v>50.5</v>
      </c>
      <c r="I121" s="50">
        <f>IF(VLOOKUP(Table91213[[#This Row],[Date]],'DB Details'!$A:$Q,9)=0,"",VLOOKUP(Table91213[[#This Row],[Date]],'DB Details'!$A:$Q,9))</f>
        <v>52.5</v>
      </c>
      <c r="J121" s="50">
        <f>IF(VLOOKUP(Table91213[[#This Row],[Date]],'DB Details'!$A:$Q,10)=0,"",VLOOKUP(Table91213[[#This Row],[Date]],'DB Details'!$A:$Q,10))</f>
        <v>52.7</v>
      </c>
      <c r="K121" s="50">
        <f>IF(VLOOKUP(Table91213[[#This Row],[Date]],'DB Details'!$A:$Q,11)=0,"",VLOOKUP(Table91213[[#This Row],[Date]],'DB Details'!$A:$Q,11))</f>
        <v>59</v>
      </c>
      <c r="L121" s="48">
        <f>IF(VLOOKUP(Table91213[[#This Row],[Date]],'DB Details'!$A:$Q,12)=0,"",VLOOKUP(Table91213[[#This Row],[Date]],'DB Details'!$A:$Q,12))</f>
        <v>54.2</v>
      </c>
    </row>
    <row r="122" spans="1:12" x14ac:dyDescent="0.35">
      <c r="A122" s="51">
        <v>39142</v>
      </c>
      <c r="B122" s="48">
        <f>IF(VLOOKUP(Table91213[[#This Row],[Date]],'DB Details'!$A:$Q,2)=0,"",VLOOKUP(Table91213[[#This Row],[Date]],'DB Details'!$A:$Q,2))</f>
        <v>53.2</v>
      </c>
      <c r="C122" s="49">
        <f>IF(VLOOKUP(Table91213[[#This Row],[Date]],'DB Details'!$A:$Q,3)=0,"",VLOOKUP(Table91213[[#This Row],[Date]],'DB Details'!$A:$Q,3))</f>
        <v>50</v>
      </c>
      <c r="D122" s="49">
        <f>IF(VLOOKUP(Table91213[[#This Row],[Date]],'DB Details'!$A:$Q,4)=0,"",VLOOKUP(Table91213[[#This Row],[Date]],'DB Details'!$A:$Q,4))</f>
        <v>52.5</v>
      </c>
      <c r="E122" s="50">
        <f>IF(VLOOKUP(Table91213[[#This Row],[Date]],'DB Details'!$A:$Q,5)=0,"",VLOOKUP(Table91213[[#This Row],[Date]],'DB Details'!$A:$Q,5))</f>
        <v>64.2</v>
      </c>
      <c r="F122" s="49">
        <f>IF(VLOOKUP(Table91213[[#This Row],[Date]],'DB Details'!$A:$Q,6)=0,"",VLOOKUP(Table91213[[#This Row],[Date]],'DB Details'!$A:$Q,6))</f>
        <v>52.8</v>
      </c>
      <c r="G122" s="50">
        <f>IF(VLOOKUP(Table91213[[#This Row],[Date]],'DB Details'!$A:$Q,7)=0,"",VLOOKUP(Table91213[[#This Row],[Date]],'DB Details'!$A:$Q,7))</f>
        <v>63</v>
      </c>
      <c r="H122" s="50">
        <f>IF(VLOOKUP(Table91213[[#This Row],[Date]],'DB Details'!$A:$Q,8)=0,"",VLOOKUP(Table91213[[#This Row],[Date]],'DB Details'!$A:$Q,8))</f>
        <v>52</v>
      </c>
      <c r="I122" s="50">
        <f>IF(VLOOKUP(Table91213[[#This Row],[Date]],'DB Details'!$A:$Q,9)=0,"",VLOOKUP(Table91213[[#This Row],[Date]],'DB Details'!$A:$Q,9))</f>
        <v>50</v>
      </c>
      <c r="J122" s="50">
        <f>IF(VLOOKUP(Table91213[[#This Row],[Date]],'DB Details'!$A:$Q,10)=0,"",VLOOKUP(Table91213[[#This Row],[Date]],'DB Details'!$A:$Q,10))</f>
        <v>51.9</v>
      </c>
      <c r="K122" s="50">
        <f>IF(VLOOKUP(Table91213[[#This Row],[Date]],'DB Details'!$A:$Q,11)=0,"",VLOOKUP(Table91213[[#This Row],[Date]],'DB Details'!$A:$Q,11))</f>
        <v>48.5</v>
      </c>
      <c r="L122" s="48">
        <f>IF(VLOOKUP(Table91213[[#This Row],[Date]],'DB Details'!$A:$Q,12)=0,"",VLOOKUP(Table91213[[#This Row],[Date]],'DB Details'!$A:$Q,12))</f>
        <v>52.1</v>
      </c>
    </row>
    <row r="123" spans="1:12" x14ac:dyDescent="0.35">
      <c r="A123" s="51">
        <v>39173</v>
      </c>
      <c r="B123" s="48">
        <f>IF(VLOOKUP(Table91213[[#This Row],[Date]],'DB Details'!$A:$Q,2)=0,"",VLOOKUP(Table91213[[#This Row],[Date]],'DB Details'!$A:$Q,2))</f>
        <v>54.9</v>
      </c>
      <c r="C123" s="49">
        <f>IF(VLOOKUP(Table91213[[#This Row],[Date]],'DB Details'!$A:$Q,3)=0,"",VLOOKUP(Table91213[[#This Row],[Date]],'DB Details'!$A:$Q,3))</f>
        <v>52.5</v>
      </c>
      <c r="D123" s="49">
        <f>IF(VLOOKUP(Table91213[[#This Row],[Date]],'DB Details'!$A:$Q,4)=0,"",VLOOKUP(Table91213[[#This Row],[Date]],'DB Details'!$A:$Q,4))</f>
        <v>50</v>
      </c>
      <c r="E123" s="50">
        <f>IF(VLOOKUP(Table91213[[#This Row],[Date]],'DB Details'!$A:$Q,5)=0,"",VLOOKUP(Table91213[[#This Row],[Date]],'DB Details'!$A:$Q,5))</f>
        <v>63.2</v>
      </c>
      <c r="F123" s="49">
        <f>IF(VLOOKUP(Table91213[[#This Row],[Date]],'DB Details'!$A:$Q,6)=0,"",VLOOKUP(Table91213[[#This Row],[Date]],'DB Details'!$A:$Q,6))</f>
        <v>56.1</v>
      </c>
      <c r="G123" s="50">
        <f>IF(VLOOKUP(Table91213[[#This Row],[Date]],'DB Details'!$A:$Q,7)=0,"",VLOOKUP(Table91213[[#This Row],[Date]],'DB Details'!$A:$Q,7))</f>
        <v>60.5</v>
      </c>
      <c r="H123" s="50">
        <f>IF(VLOOKUP(Table91213[[#This Row],[Date]],'DB Details'!$A:$Q,8)=0,"",VLOOKUP(Table91213[[#This Row],[Date]],'DB Details'!$A:$Q,8))</f>
        <v>52</v>
      </c>
      <c r="I123" s="50">
        <f>IF(VLOOKUP(Table91213[[#This Row],[Date]],'DB Details'!$A:$Q,9)=0,"",VLOOKUP(Table91213[[#This Row],[Date]],'DB Details'!$A:$Q,9))</f>
        <v>51</v>
      </c>
      <c r="J123" s="50">
        <f>IF(VLOOKUP(Table91213[[#This Row],[Date]],'DB Details'!$A:$Q,10)=0,"",VLOOKUP(Table91213[[#This Row],[Date]],'DB Details'!$A:$Q,10))</f>
        <v>51.1</v>
      </c>
      <c r="K123" s="50">
        <f>IF(VLOOKUP(Table91213[[#This Row],[Date]],'DB Details'!$A:$Q,11)=0,"",VLOOKUP(Table91213[[#This Row],[Date]],'DB Details'!$A:$Q,11))</f>
        <v>55.5</v>
      </c>
      <c r="L123" s="48">
        <f>IF(VLOOKUP(Table91213[[#This Row],[Date]],'DB Details'!$A:$Q,12)=0,"",VLOOKUP(Table91213[[#This Row],[Date]],'DB Details'!$A:$Q,12))</f>
        <v>53.4</v>
      </c>
    </row>
    <row r="124" spans="1:12" x14ac:dyDescent="0.35">
      <c r="A124" s="51">
        <v>39203</v>
      </c>
      <c r="B124" s="48">
        <f>IF(VLOOKUP(Table91213[[#This Row],[Date]],'DB Details'!$A:$Q,2)=0,"",VLOOKUP(Table91213[[#This Row],[Date]],'DB Details'!$A:$Q,2))</f>
        <v>57.1</v>
      </c>
      <c r="C124" s="49">
        <f>IF(VLOOKUP(Table91213[[#This Row],[Date]],'DB Details'!$A:$Q,3)=0,"",VLOOKUP(Table91213[[#This Row],[Date]],'DB Details'!$A:$Q,3))</f>
        <v>55.5</v>
      </c>
      <c r="D124" s="49">
        <f>IF(VLOOKUP(Table91213[[#This Row],[Date]],'DB Details'!$A:$Q,4)=0,"",VLOOKUP(Table91213[[#This Row],[Date]],'DB Details'!$A:$Q,4))</f>
        <v>48</v>
      </c>
      <c r="E124" s="50">
        <f>IF(VLOOKUP(Table91213[[#This Row],[Date]],'DB Details'!$A:$Q,5)=0,"",VLOOKUP(Table91213[[#This Row],[Date]],'DB Details'!$A:$Q,5))</f>
        <v>62.8</v>
      </c>
      <c r="F124" s="49">
        <f>IF(VLOOKUP(Table91213[[#This Row],[Date]],'DB Details'!$A:$Q,6)=0,"",VLOOKUP(Table91213[[#This Row],[Date]],'DB Details'!$A:$Q,6))</f>
        <v>58.1</v>
      </c>
      <c r="G124" s="50">
        <f>IF(VLOOKUP(Table91213[[#This Row],[Date]],'DB Details'!$A:$Q,7)=0,"",VLOOKUP(Table91213[[#This Row],[Date]],'DB Details'!$A:$Q,7))</f>
        <v>61</v>
      </c>
      <c r="H124" s="50">
        <f>IF(VLOOKUP(Table91213[[#This Row],[Date]],'DB Details'!$A:$Q,8)=0,"",VLOOKUP(Table91213[[#This Row],[Date]],'DB Details'!$A:$Q,8))</f>
        <v>61</v>
      </c>
      <c r="I124" s="50">
        <f>IF(VLOOKUP(Table91213[[#This Row],[Date]],'DB Details'!$A:$Q,9)=0,"",VLOOKUP(Table91213[[#This Row],[Date]],'DB Details'!$A:$Q,9))</f>
        <v>49.5</v>
      </c>
      <c r="J124" s="50">
        <f>IF(VLOOKUP(Table91213[[#This Row],[Date]],'DB Details'!$A:$Q,10)=0,"",VLOOKUP(Table91213[[#This Row],[Date]],'DB Details'!$A:$Q,10))</f>
        <v>52.2</v>
      </c>
      <c r="K124" s="50">
        <f>IF(VLOOKUP(Table91213[[#This Row],[Date]],'DB Details'!$A:$Q,11)=0,"",VLOOKUP(Table91213[[#This Row],[Date]],'DB Details'!$A:$Q,11))</f>
        <v>66</v>
      </c>
      <c r="L124" s="48">
        <f>IF(VLOOKUP(Table91213[[#This Row],[Date]],'DB Details'!$A:$Q,12)=0,"",VLOOKUP(Table91213[[#This Row],[Date]],'DB Details'!$A:$Q,12))</f>
        <v>54.3</v>
      </c>
    </row>
    <row r="125" spans="1:12" x14ac:dyDescent="0.35">
      <c r="A125" s="51">
        <v>39234</v>
      </c>
      <c r="B125" s="48">
        <f>IF(VLOOKUP(Table91213[[#This Row],[Date]],'DB Details'!$A:$Q,2)=0,"",VLOOKUP(Table91213[[#This Row],[Date]],'DB Details'!$A:$Q,2))</f>
        <v>57.2</v>
      </c>
      <c r="C125" s="49">
        <f>IF(VLOOKUP(Table91213[[#This Row],[Date]],'DB Details'!$A:$Q,3)=0,"",VLOOKUP(Table91213[[#This Row],[Date]],'DB Details'!$A:$Q,3))</f>
        <v>57.5</v>
      </c>
      <c r="D125" s="49">
        <f>IF(VLOOKUP(Table91213[[#This Row],[Date]],'DB Details'!$A:$Q,4)=0,"",VLOOKUP(Table91213[[#This Row],[Date]],'DB Details'!$A:$Q,4))</f>
        <v>46.5</v>
      </c>
      <c r="E125" s="50">
        <f>IF(VLOOKUP(Table91213[[#This Row],[Date]],'DB Details'!$A:$Q,5)=0,"",VLOOKUP(Table91213[[#This Row],[Date]],'DB Details'!$A:$Q,5))</f>
        <v>61.6</v>
      </c>
      <c r="F125" s="49">
        <f>IF(VLOOKUP(Table91213[[#This Row],[Date]],'DB Details'!$A:$Q,6)=0,"",VLOOKUP(Table91213[[#This Row],[Date]],'DB Details'!$A:$Q,6))</f>
        <v>60.1</v>
      </c>
      <c r="G125" s="50">
        <f>IF(VLOOKUP(Table91213[[#This Row],[Date]],'DB Details'!$A:$Q,7)=0,"",VLOOKUP(Table91213[[#This Row],[Date]],'DB Details'!$A:$Q,7))</f>
        <v>60.5</v>
      </c>
      <c r="H125" s="50">
        <f>IF(VLOOKUP(Table91213[[#This Row],[Date]],'DB Details'!$A:$Q,8)=0,"",VLOOKUP(Table91213[[#This Row],[Date]],'DB Details'!$A:$Q,8))</f>
        <v>52.5</v>
      </c>
      <c r="I125" s="50">
        <f>IF(VLOOKUP(Table91213[[#This Row],[Date]],'DB Details'!$A:$Q,9)=0,"",VLOOKUP(Table91213[[#This Row],[Date]],'DB Details'!$A:$Q,9))</f>
        <v>50.5</v>
      </c>
      <c r="J125" s="50">
        <f>IF(VLOOKUP(Table91213[[#This Row],[Date]],'DB Details'!$A:$Q,10)=0,"",VLOOKUP(Table91213[[#This Row],[Date]],'DB Details'!$A:$Q,10))</f>
        <v>53.3</v>
      </c>
      <c r="K125" s="50">
        <f>IF(VLOOKUP(Table91213[[#This Row],[Date]],'DB Details'!$A:$Q,11)=0,"",VLOOKUP(Table91213[[#This Row],[Date]],'DB Details'!$A:$Q,11))</f>
        <v>59</v>
      </c>
      <c r="L125" s="48">
        <f>IF(VLOOKUP(Table91213[[#This Row],[Date]],'DB Details'!$A:$Q,12)=0,"",VLOOKUP(Table91213[[#This Row],[Date]],'DB Details'!$A:$Q,12))</f>
        <v>54.9</v>
      </c>
    </row>
    <row r="126" spans="1:12" x14ac:dyDescent="0.35">
      <c r="A126" s="51">
        <v>39264</v>
      </c>
      <c r="B126" s="48">
        <f>IF(VLOOKUP(Table91213[[#This Row],[Date]],'DB Details'!$A:$Q,2)=0,"",VLOOKUP(Table91213[[#This Row],[Date]],'DB Details'!$A:$Q,2))</f>
        <v>54.5</v>
      </c>
      <c r="C126" s="49">
        <f>IF(VLOOKUP(Table91213[[#This Row],[Date]],'DB Details'!$A:$Q,3)=0,"",VLOOKUP(Table91213[[#This Row],[Date]],'DB Details'!$A:$Q,3))</f>
        <v>54.5</v>
      </c>
      <c r="D126" s="49">
        <f>IF(VLOOKUP(Table91213[[#This Row],[Date]],'DB Details'!$A:$Q,4)=0,"",VLOOKUP(Table91213[[#This Row],[Date]],'DB Details'!$A:$Q,4))</f>
        <v>53</v>
      </c>
      <c r="E126" s="50">
        <f>IF(VLOOKUP(Table91213[[#This Row],[Date]],'DB Details'!$A:$Q,5)=0,"",VLOOKUP(Table91213[[#This Row],[Date]],'DB Details'!$A:$Q,5))</f>
        <v>59.7</v>
      </c>
      <c r="F126" s="49">
        <f>IF(VLOOKUP(Table91213[[#This Row],[Date]],'DB Details'!$A:$Q,6)=0,"",VLOOKUP(Table91213[[#This Row],[Date]],'DB Details'!$A:$Q,6))</f>
        <v>57.1</v>
      </c>
      <c r="G126" s="50">
        <f>IF(VLOOKUP(Table91213[[#This Row],[Date]],'DB Details'!$A:$Q,7)=0,"",VLOOKUP(Table91213[[#This Row],[Date]],'DB Details'!$A:$Q,7))</f>
        <v>65</v>
      </c>
      <c r="H126" s="50">
        <f>IF(VLOOKUP(Table91213[[#This Row],[Date]],'DB Details'!$A:$Q,8)=0,"",VLOOKUP(Table91213[[#This Row],[Date]],'DB Details'!$A:$Q,8))</f>
        <v>55</v>
      </c>
      <c r="I126" s="50">
        <f>IF(VLOOKUP(Table91213[[#This Row],[Date]],'DB Details'!$A:$Q,9)=0,"",VLOOKUP(Table91213[[#This Row],[Date]],'DB Details'!$A:$Q,9))</f>
        <v>51.5</v>
      </c>
      <c r="J126" s="50">
        <f>IF(VLOOKUP(Table91213[[#This Row],[Date]],'DB Details'!$A:$Q,10)=0,"",VLOOKUP(Table91213[[#This Row],[Date]],'DB Details'!$A:$Q,10))</f>
        <v>51.1</v>
      </c>
      <c r="K126" s="50">
        <f>IF(VLOOKUP(Table91213[[#This Row],[Date]],'DB Details'!$A:$Q,11)=0,"",VLOOKUP(Table91213[[#This Row],[Date]],'DB Details'!$A:$Q,11))</f>
        <v>52.5</v>
      </c>
      <c r="L126" s="48">
        <f>IF(VLOOKUP(Table91213[[#This Row],[Date]],'DB Details'!$A:$Q,12)=0,"",VLOOKUP(Table91213[[#This Row],[Date]],'DB Details'!$A:$Q,12))</f>
        <v>53.6</v>
      </c>
    </row>
    <row r="127" spans="1:12" x14ac:dyDescent="0.35">
      <c r="A127" s="51">
        <v>39295</v>
      </c>
      <c r="B127" s="48">
        <f>IF(VLOOKUP(Table91213[[#This Row],[Date]],'DB Details'!$A:$Q,2)=0,"",VLOOKUP(Table91213[[#This Row],[Date]],'DB Details'!$A:$Q,2))</f>
        <v>56.7</v>
      </c>
      <c r="C127" s="49">
        <f>IF(VLOOKUP(Table91213[[#This Row],[Date]],'DB Details'!$A:$Q,3)=0,"",VLOOKUP(Table91213[[#This Row],[Date]],'DB Details'!$A:$Q,3))</f>
        <v>55</v>
      </c>
      <c r="D127" s="49">
        <f>IF(VLOOKUP(Table91213[[#This Row],[Date]],'DB Details'!$A:$Q,4)=0,"",VLOOKUP(Table91213[[#This Row],[Date]],'DB Details'!$A:$Q,4))</f>
        <v>58.6</v>
      </c>
      <c r="E127" s="50">
        <f>IF(VLOOKUP(Table91213[[#This Row],[Date]],'DB Details'!$A:$Q,5)=0,"",VLOOKUP(Table91213[[#This Row],[Date]],'DB Details'!$A:$Q,5))</f>
        <v>60</v>
      </c>
      <c r="F127" s="49">
        <f>IF(VLOOKUP(Table91213[[#This Row],[Date]],'DB Details'!$A:$Q,6)=0,"",VLOOKUP(Table91213[[#This Row],[Date]],'DB Details'!$A:$Q,6))</f>
        <v>55.7</v>
      </c>
      <c r="G127" s="50">
        <f>IF(VLOOKUP(Table91213[[#This Row],[Date]],'DB Details'!$A:$Q,7)=0,"",VLOOKUP(Table91213[[#This Row],[Date]],'DB Details'!$A:$Q,7))</f>
        <v>61.5</v>
      </c>
      <c r="H127" s="50">
        <f>IF(VLOOKUP(Table91213[[#This Row],[Date]],'DB Details'!$A:$Q,8)=0,"",VLOOKUP(Table91213[[#This Row],[Date]],'DB Details'!$A:$Q,8))</f>
        <v>57</v>
      </c>
      <c r="I127" s="50">
        <f>IF(VLOOKUP(Table91213[[#This Row],[Date]],'DB Details'!$A:$Q,9)=0,"",VLOOKUP(Table91213[[#This Row],[Date]],'DB Details'!$A:$Q,9))</f>
        <v>50.5</v>
      </c>
      <c r="J127" s="50">
        <f>IF(VLOOKUP(Table91213[[#This Row],[Date]],'DB Details'!$A:$Q,10)=0,"",VLOOKUP(Table91213[[#This Row],[Date]],'DB Details'!$A:$Q,10))</f>
        <v>48.3</v>
      </c>
      <c r="K127" s="50">
        <f>IF(VLOOKUP(Table91213[[#This Row],[Date]],'DB Details'!$A:$Q,11)=0,"",VLOOKUP(Table91213[[#This Row],[Date]],'DB Details'!$A:$Q,11))</f>
        <v>53.5</v>
      </c>
      <c r="L127" s="48">
        <f>IF(VLOOKUP(Table91213[[#This Row],[Date]],'DB Details'!$A:$Q,12)=0,"",VLOOKUP(Table91213[[#This Row],[Date]],'DB Details'!$A:$Q,12))</f>
        <v>52.7</v>
      </c>
    </row>
    <row r="128" spans="1:12" x14ac:dyDescent="0.35">
      <c r="A128" s="51">
        <v>39326</v>
      </c>
      <c r="B128" s="48">
        <f>IF(VLOOKUP(Table91213[[#This Row],[Date]],'DB Details'!$A:$Q,2)=0,"",VLOOKUP(Table91213[[#This Row],[Date]],'DB Details'!$A:$Q,2))</f>
        <v>52.6</v>
      </c>
      <c r="C128" s="49">
        <f>IF(VLOOKUP(Table91213[[#This Row],[Date]],'DB Details'!$A:$Q,3)=0,"",VLOOKUP(Table91213[[#This Row],[Date]],'DB Details'!$A:$Q,3))</f>
        <v>51</v>
      </c>
      <c r="D128" s="49">
        <f>IF(VLOOKUP(Table91213[[#This Row],[Date]],'DB Details'!$A:$Q,4)=0,"",VLOOKUP(Table91213[[#This Row],[Date]],'DB Details'!$A:$Q,4))</f>
        <v>47</v>
      </c>
      <c r="E128" s="50">
        <f>IF(VLOOKUP(Table91213[[#This Row],[Date]],'DB Details'!$A:$Q,5)=0,"",VLOOKUP(Table91213[[#This Row],[Date]],'DB Details'!$A:$Q,5))</f>
        <v>66.7</v>
      </c>
      <c r="F128" s="49">
        <f>IF(VLOOKUP(Table91213[[#This Row],[Date]],'DB Details'!$A:$Q,6)=0,"",VLOOKUP(Table91213[[#This Row],[Date]],'DB Details'!$A:$Q,6))</f>
        <v>54.2</v>
      </c>
      <c r="G128" s="50">
        <f>IF(VLOOKUP(Table91213[[#This Row],[Date]],'DB Details'!$A:$Q,7)=0,"",VLOOKUP(Table91213[[#This Row],[Date]],'DB Details'!$A:$Q,7))</f>
        <v>62</v>
      </c>
      <c r="H128" s="50">
        <f>IF(VLOOKUP(Table91213[[#This Row],[Date]],'DB Details'!$A:$Q,8)=0,"",VLOOKUP(Table91213[[#This Row],[Date]],'DB Details'!$A:$Q,8))</f>
        <v>50</v>
      </c>
      <c r="I128" s="50">
        <f>IF(VLOOKUP(Table91213[[#This Row],[Date]],'DB Details'!$A:$Q,9)=0,"",VLOOKUP(Table91213[[#This Row],[Date]],'DB Details'!$A:$Q,9))</f>
        <v>50.5</v>
      </c>
      <c r="J128" s="50">
        <f>IF(VLOOKUP(Table91213[[#This Row],[Date]],'DB Details'!$A:$Q,10)=0,"",VLOOKUP(Table91213[[#This Row],[Date]],'DB Details'!$A:$Q,10))</f>
        <v>52.5</v>
      </c>
      <c r="K128" s="50">
        <f>IF(VLOOKUP(Table91213[[#This Row],[Date]],'DB Details'!$A:$Q,11)=0,"",VLOOKUP(Table91213[[#This Row],[Date]],'DB Details'!$A:$Q,11))</f>
        <v>50</v>
      </c>
      <c r="L128" s="48">
        <f>IF(VLOOKUP(Table91213[[#This Row],[Date]],'DB Details'!$A:$Q,12)=0,"",VLOOKUP(Table91213[[#This Row],[Date]],'DB Details'!$A:$Q,12))</f>
        <v>52.6</v>
      </c>
    </row>
    <row r="129" spans="1:12" x14ac:dyDescent="0.35">
      <c r="A129" s="51">
        <v>39356</v>
      </c>
      <c r="B129" s="48">
        <f>IF(VLOOKUP(Table91213[[#This Row],[Date]],'DB Details'!$A:$Q,2)=0,"",VLOOKUP(Table91213[[#This Row],[Date]],'DB Details'!$A:$Q,2))</f>
        <v>55.3</v>
      </c>
      <c r="C129" s="49">
        <f>IF(VLOOKUP(Table91213[[#This Row],[Date]],'DB Details'!$A:$Q,3)=0,"",VLOOKUP(Table91213[[#This Row],[Date]],'DB Details'!$A:$Q,3))</f>
        <v>55.5</v>
      </c>
      <c r="D129" s="49">
        <f>IF(VLOOKUP(Table91213[[#This Row],[Date]],'DB Details'!$A:$Q,4)=0,"",VLOOKUP(Table91213[[#This Row],[Date]],'DB Details'!$A:$Q,4))</f>
        <v>43.5</v>
      </c>
      <c r="E129" s="50">
        <f>IF(VLOOKUP(Table91213[[#This Row],[Date]],'DB Details'!$A:$Q,5)=0,"",VLOOKUP(Table91213[[#This Row],[Date]],'DB Details'!$A:$Q,5))</f>
        <v>66.2</v>
      </c>
      <c r="F129" s="49">
        <f>IF(VLOOKUP(Table91213[[#This Row],[Date]],'DB Details'!$A:$Q,6)=0,"",VLOOKUP(Table91213[[#This Row],[Date]],'DB Details'!$A:$Q,6))</f>
        <v>55.1</v>
      </c>
      <c r="G129" s="50">
        <f>IF(VLOOKUP(Table91213[[#This Row],[Date]],'DB Details'!$A:$Q,7)=0,"",VLOOKUP(Table91213[[#This Row],[Date]],'DB Details'!$A:$Q,7))</f>
        <v>60</v>
      </c>
      <c r="H129" s="50">
        <f>IF(VLOOKUP(Table91213[[#This Row],[Date]],'DB Details'!$A:$Q,8)=0,"",VLOOKUP(Table91213[[#This Row],[Date]],'DB Details'!$A:$Q,8))</f>
        <v>49.5</v>
      </c>
      <c r="I129" s="50">
        <f>IF(VLOOKUP(Table91213[[#This Row],[Date]],'DB Details'!$A:$Q,9)=0,"",VLOOKUP(Table91213[[#This Row],[Date]],'DB Details'!$A:$Q,9))</f>
        <v>50</v>
      </c>
      <c r="J129" s="50">
        <f>IF(VLOOKUP(Table91213[[#This Row],[Date]],'DB Details'!$A:$Q,10)=0,"",VLOOKUP(Table91213[[#This Row],[Date]],'DB Details'!$A:$Q,10))</f>
        <v>53.6</v>
      </c>
      <c r="K129" s="50">
        <f>IF(VLOOKUP(Table91213[[#This Row],[Date]],'DB Details'!$A:$Q,11)=0,"",VLOOKUP(Table91213[[#This Row],[Date]],'DB Details'!$A:$Q,11))</f>
        <v>56</v>
      </c>
      <c r="L129" s="48">
        <f>IF(VLOOKUP(Table91213[[#This Row],[Date]],'DB Details'!$A:$Q,12)=0,"",VLOOKUP(Table91213[[#This Row],[Date]],'DB Details'!$A:$Q,12))</f>
        <v>53.6</v>
      </c>
    </row>
    <row r="130" spans="1:12" x14ac:dyDescent="0.35">
      <c r="A130" s="51">
        <v>39387</v>
      </c>
      <c r="B130" s="48">
        <f>IF(VLOOKUP(Table91213[[#This Row],[Date]],'DB Details'!$A:$Q,2)=0,"",VLOOKUP(Table91213[[#This Row],[Date]],'DB Details'!$A:$Q,2))</f>
        <v>51.9</v>
      </c>
      <c r="C130" s="49">
        <f>IF(VLOOKUP(Table91213[[#This Row],[Date]],'DB Details'!$A:$Q,3)=0,"",VLOOKUP(Table91213[[#This Row],[Date]],'DB Details'!$A:$Q,3))</f>
        <v>49.5</v>
      </c>
      <c r="D130" s="49">
        <f>IF(VLOOKUP(Table91213[[#This Row],[Date]],'DB Details'!$A:$Q,4)=0,"",VLOOKUP(Table91213[[#This Row],[Date]],'DB Details'!$A:$Q,4))</f>
        <v>48.5</v>
      </c>
      <c r="E130" s="50">
        <f>IF(VLOOKUP(Table91213[[#This Row],[Date]],'DB Details'!$A:$Q,5)=0,"",VLOOKUP(Table91213[[#This Row],[Date]],'DB Details'!$A:$Q,5))</f>
        <v>75.3</v>
      </c>
      <c r="F130" s="49">
        <f>IF(VLOOKUP(Table91213[[#This Row],[Date]],'DB Details'!$A:$Q,6)=0,"",VLOOKUP(Table91213[[#This Row],[Date]],'DB Details'!$A:$Q,6))</f>
        <v>55.7</v>
      </c>
      <c r="G130" s="50">
        <f>IF(VLOOKUP(Table91213[[#This Row],[Date]],'DB Details'!$A:$Q,7)=0,"",VLOOKUP(Table91213[[#This Row],[Date]],'DB Details'!$A:$Q,7))</f>
        <v>61.5</v>
      </c>
      <c r="H130" s="50">
        <f>IF(VLOOKUP(Table91213[[#This Row],[Date]],'DB Details'!$A:$Q,8)=0,"",VLOOKUP(Table91213[[#This Row],[Date]],'DB Details'!$A:$Q,8))</f>
        <v>50.5</v>
      </c>
      <c r="I130" s="50">
        <f>IF(VLOOKUP(Table91213[[#This Row],[Date]],'DB Details'!$A:$Q,9)=0,"",VLOOKUP(Table91213[[#This Row],[Date]],'DB Details'!$A:$Q,9))</f>
        <v>51.5</v>
      </c>
      <c r="J130" s="50">
        <f>IF(VLOOKUP(Table91213[[#This Row],[Date]],'DB Details'!$A:$Q,10)=0,"",VLOOKUP(Table91213[[#This Row],[Date]],'DB Details'!$A:$Q,10))</f>
        <v>51.6</v>
      </c>
      <c r="K130" s="50">
        <f>IF(VLOOKUP(Table91213[[#This Row],[Date]],'DB Details'!$A:$Q,11)=0,"",VLOOKUP(Table91213[[#This Row],[Date]],'DB Details'!$A:$Q,11))</f>
        <v>55.5</v>
      </c>
      <c r="L130" s="48">
        <f>IF(VLOOKUP(Table91213[[#This Row],[Date]],'DB Details'!$A:$Q,12)=0,"",VLOOKUP(Table91213[[#This Row],[Date]],'DB Details'!$A:$Q,12))</f>
        <v>52.8</v>
      </c>
    </row>
    <row r="131" spans="1:12" x14ac:dyDescent="0.35">
      <c r="A131" s="51">
        <v>39417</v>
      </c>
      <c r="B131" s="48">
        <f>IF(VLOOKUP(Table91213[[#This Row],[Date]],'DB Details'!$A:$Q,2)=0,"",VLOOKUP(Table91213[[#This Row],[Date]],'DB Details'!$A:$Q,2))</f>
        <v>52.5</v>
      </c>
      <c r="C131" s="49">
        <f>IF(VLOOKUP(Table91213[[#This Row],[Date]],'DB Details'!$A:$Q,3)=0,"",VLOOKUP(Table91213[[#This Row],[Date]],'DB Details'!$A:$Q,3))</f>
        <v>50.5</v>
      </c>
      <c r="D131" s="49">
        <f>IF(VLOOKUP(Table91213[[#This Row],[Date]],'DB Details'!$A:$Q,4)=0,"",VLOOKUP(Table91213[[#This Row],[Date]],'DB Details'!$A:$Q,4))</f>
        <v>49</v>
      </c>
      <c r="E131" s="50">
        <f>IF(VLOOKUP(Table91213[[#This Row],[Date]],'DB Details'!$A:$Q,5)=0,"",VLOOKUP(Table91213[[#This Row],[Date]],'DB Details'!$A:$Q,5))</f>
        <v>72</v>
      </c>
      <c r="F131" s="49">
        <f>IF(VLOOKUP(Table91213[[#This Row],[Date]],'DB Details'!$A:$Q,6)=0,"",VLOOKUP(Table91213[[#This Row],[Date]],'DB Details'!$A:$Q,6))</f>
        <v>53.2</v>
      </c>
      <c r="G131" s="50">
        <f>IF(VLOOKUP(Table91213[[#This Row],[Date]],'DB Details'!$A:$Q,7)=0,"",VLOOKUP(Table91213[[#This Row],[Date]],'DB Details'!$A:$Q,7))</f>
        <v>64.5</v>
      </c>
      <c r="H131" s="50">
        <f>IF(VLOOKUP(Table91213[[#This Row],[Date]],'DB Details'!$A:$Q,8)=0,"",VLOOKUP(Table91213[[#This Row],[Date]],'DB Details'!$A:$Q,8))</f>
        <v>50.5</v>
      </c>
      <c r="I131" s="50">
        <f>IF(VLOOKUP(Table91213[[#This Row],[Date]],'DB Details'!$A:$Q,9)=0,"",VLOOKUP(Table91213[[#This Row],[Date]],'DB Details'!$A:$Q,9))</f>
        <v>52.5</v>
      </c>
      <c r="J131" s="50">
        <f>IF(VLOOKUP(Table91213[[#This Row],[Date]],'DB Details'!$A:$Q,10)=0,"",VLOOKUP(Table91213[[#This Row],[Date]],'DB Details'!$A:$Q,10))</f>
        <v>51.8</v>
      </c>
      <c r="K131" s="50">
        <f>IF(VLOOKUP(Table91213[[#This Row],[Date]],'DB Details'!$A:$Q,11)=0,"",VLOOKUP(Table91213[[#This Row],[Date]],'DB Details'!$A:$Q,11))</f>
        <v>50</v>
      </c>
      <c r="L131" s="48">
        <f>IF(VLOOKUP(Table91213[[#This Row],[Date]],'DB Details'!$A:$Q,12)=0,"",VLOOKUP(Table91213[[#This Row],[Date]],'DB Details'!$A:$Q,12))</f>
        <v>52.5</v>
      </c>
    </row>
    <row r="132" spans="1:12" x14ac:dyDescent="0.35">
      <c r="A132" s="51">
        <v>39448</v>
      </c>
      <c r="B132" s="48">
        <f>IF(VLOOKUP(Table91213[[#This Row],[Date]],'DB Details'!$A:$Q,2)=0,"",VLOOKUP(Table91213[[#This Row],[Date]],'DB Details'!$A:$Q,2))</f>
        <v>43.3</v>
      </c>
      <c r="C132" s="49">
        <f>IF(VLOOKUP(Table91213[[#This Row],[Date]],'DB Details'!$A:$Q,3)=0,"",VLOOKUP(Table91213[[#This Row],[Date]],'DB Details'!$A:$Q,3))</f>
        <v>41.5</v>
      </c>
      <c r="D132" s="49">
        <f>IF(VLOOKUP(Table91213[[#This Row],[Date]],'DB Details'!$A:$Q,4)=0,"",VLOOKUP(Table91213[[#This Row],[Date]],'DB Details'!$A:$Q,4))</f>
        <v>46</v>
      </c>
      <c r="E132" s="50">
        <f>IF(VLOOKUP(Table91213[[#This Row],[Date]],'DB Details'!$A:$Q,5)=0,"",VLOOKUP(Table91213[[#This Row],[Date]],'DB Details'!$A:$Q,5))</f>
        <v>71.599999999999994</v>
      </c>
      <c r="F132" s="49">
        <f>IF(VLOOKUP(Table91213[[#This Row],[Date]],'DB Details'!$A:$Q,6)=0,"",VLOOKUP(Table91213[[#This Row],[Date]],'DB Details'!$A:$Q,6))</f>
        <v>41.9</v>
      </c>
      <c r="G132" s="50">
        <f>IF(VLOOKUP(Table91213[[#This Row],[Date]],'DB Details'!$A:$Q,7)=0,"",VLOOKUP(Table91213[[#This Row],[Date]],'DB Details'!$A:$Q,7))</f>
        <v>57</v>
      </c>
      <c r="H132" s="50">
        <f>IF(VLOOKUP(Table91213[[#This Row],[Date]],'DB Details'!$A:$Q,8)=0,"",VLOOKUP(Table91213[[#This Row],[Date]],'DB Details'!$A:$Q,8))</f>
        <v>44.5</v>
      </c>
      <c r="I132" s="50">
        <f>IF(VLOOKUP(Table91213[[#This Row],[Date]],'DB Details'!$A:$Q,9)=0,"",VLOOKUP(Table91213[[#This Row],[Date]],'DB Details'!$A:$Q,9))</f>
        <v>49</v>
      </c>
      <c r="J132" s="50">
        <f>IF(VLOOKUP(Table91213[[#This Row],[Date]],'DB Details'!$A:$Q,10)=0,"",VLOOKUP(Table91213[[#This Row],[Date]],'DB Details'!$A:$Q,10))</f>
        <v>45.7</v>
      </c>
      <c r="K132" s="50">
        <f>IF(VLOOKUP(Table91213[[#This Row],[Date]],'DB Details'!$A:$Q,11)=0,"",VLOOKUP(Table91213[[#This Row],[Date]],'DB Details'!$A:$Q,11))</f>
        <v>52</v>
      </c>
      <c r="L132" s="48">
        <f>IF(VLOOKUP(Table91213[[#This Row],[Date]],'DB Details'!$A:$Q,12)=0,"",VLOOKUP(Table91213[[#This Row],[Date]],'DB Details'!$A:$Q,12))</f>
        <v>44.8</v>
      </c>
    </row>
    <row r="133" spans="1:12" x14ac:dyDescent="0.35">
      <c r="A133" s="51">
        <v>39479</v>
      </c>
      <c r="B133" s="48">
        <f>IF(VLOOKUP(Table91213[[#This Row],[Date]],'DB Details'!$A:$Q,2)=0,"",VLOOKUP(Table91213[[#This Row],[Date]],'DB Details'!$A:$Q,2))</f>
        <v>50.1</v>
      </c>
      <c r="C133" s="49">
        <f>IF(VLOOKUP(Table91213[[#This Row],[Date]],'DB Details'!$A:$Q,3)=0,"",VLOOKUP(Table91213[[#This Row],[Date]],'DB Details'!$A:$Q,3))</f>
        <v>49</v>
      </c>
      <c r="D133" s="49">
        <f>IF(VLOOKUP(Table91213[[#This Row],[Date]],'DB Details'!$A:$Q,4)=0,"",VLOOKUP(Table91213[[#This Row],[Date]],'DB Details'!$A:$Q,4))</f>
        <v>49.5</v>
      </c>
      <c r="E133" s="50">
        <f>IF(VLOOKUP(Table91213[[#This Row],[Date]],'DB Details'!$A:$Q,5)=0,"",VLOOKUP(Table91213[[#This Row],[Date]],'DB Details'!$A:$Q,5))</f>
        <v>71.7</v>
      </c>
      <c r="F133" s="49">
        <f>IF(VLOOKUP(Table91213[[#This Row],[Date]],'DB Details'!$A:$Q,6)=0,"",VLOOKUP(Table91213[[#This Row],[Date]],'DB Details'!$A:$Q,6))</f>
        <v>52.2</v>
      </c>
      <c r="G133" s="50">
        <f>IF(VLOOKUP(Table91213[[#This Row],[Date]],'DB Details'!$A:$Q,7)=0,"",VLOOKUP(Table91213[[#This Row],[Date]],'DB Details'!$A:$Q,7))</f>
        <v>60.5</v>
      </c>
      <c r="H133" s="50">
        <f>IF(VLOOKUP(Table91213[[#This Row],[Date]],'DB Details'!$A:$Q,8)=0,"",VLOOKUP(Table91213[[#This Row],[Date]],'DB Details'!$A:$Q,8))</f>
        <v>50</v>
      </c>
      <c r="I133" s="50">
        <f>IF(VLOOKUP(Table91213[[#This Row],[Date]],'DB Details'!$A:$Q,9)=0,"",VLOOKUP(Table91213[[#This Row],[Date]],'DB Details'!$A:$Q,9))</f>
        <v>50</v>
      </c>
      <c r="J133" s="50">
        <f>IF(VLOOKUP(Table91213[[#This Row],[Date]],'DB Details'!$A:$Q,10)=0,"",VLOOKUP(Table91213[[#This Row],[Date]],'DB Details'!$A:$Q,10))</f>
        <v>47.3</v>
      </c>
      <c r="K133" s="50">
        <f>IF(VLOOKUP(Table91213[[#This Row],[Date]],'DB Details'!$A:$Q,11)=0,"",VLOOKUP(Table91213[[#This Row],[Date]],'DB Details'!$A:$Q,11))</f>
        <v>46.5</v>
      </c>
      <c r="L133" s="48">
        <f>IF(VLOOKUP(Table91213[[#This Row],[Date]],'DB Details'!$A:$Q,12)=0,"",VLOOKUP(Table91213[[#This Row],[Date]],'DB Details'!$A:$Q,12))</f>
        <v>49.9</v>
      </c>
    </row>
    <row r="134" spans="1:12" x14ac:dyDescent="0.35">
      <c r="A134" s="51">
        <v>39508</v>
      </c>
      <c r="B134" s="48">
        <f>IF(VLOOKUP(Table91213[[#This Row],[Date]],'DB Details'!$A:$Q,2)=0,"",VLOOKUP(Table91213[[#This Row],[Date]],'DB Details'!$A:$Q,2))</f>
        <v>49.3</v>
      </c>
      <c r="C134" s="49">
        <f>IF(VLOOKUP(Table91213[[#This Row],[Date]],'DB Details'!$A:$Q,3)=0,"",VLOOKUP(Table91213[[#This Row],[Date]],'DB Details'!$A:$Q,3))</f>
        <v>54.5</v>
      </c>
      <c r="D134" s="49">
        <f>IF(VLOOKUP(Table91213[[#This Row],[Date]],'DB Details'!$A:$Q,4)=0,"",VLOOKUP(Table91213[[#This Row],[Date]],'DB Details'!$A:$Q,4))</f>
        <v>47.5</v>
      </c>
      <c r="E134" s="50">
        <f>IF(VLOOKUP(Table91213[[#This Row],[Date]],'DB Details'!$A:$Q,5)=0,"",VLOOKUP(Table91213[[#This Row],[Date]],'DB Details'!$A:$Q,5))</f>
        <v>72.7</v>
      </c>
      <c r="F134" s="49">
        <f>IF(VLOOKUP(Table91213[[#This Row],[Date]],'DB Details'!$A:$Q,6)=0,"",VLOOKUP(Table91213[[#This Row],[Date]],'DB Details'!$A:$Q,6))</f>
        <v>51.7</v>
      </c>
      <c r="G134" s="50">
        <f>IF(VLOOKUP(Table91213[[#This Row],[Date]],'DB Details'!$A:$Q,7)=0,"",VLOOKUP(Table91213[[#This Row],[Date]],'DB Details'!$A:$Q,7))</f>
        <v>60.5</v>
      </c>
      <c r="H134" s="50">
        <f>IF(VLOOKUP(Table91213[[#This Row],[Date]],'DB Details'!$A:$Q,8)=0,"",VLOOKUP(Table91213[[#This Row],[Date]],'DB Details'!$A:$Q,8))</f>
        <v>51.5</v>
      </c>
      <c r="I134" s="50">
        <f>IF(VLOOKUP(Table91213[[#This Row],[Date]],'DB Details'!$A:$Q,9)=0,"",VLOOKUP(Table91213[[#This Row],[Date]],'DB Details'!$A:$Q,9))</f>
        <v>49</v>
      </c>
      <c r="J134" s="50">
        <f>IF(VLOOKUP(Table91213[[#This Row],[Date]],'DB Details'!$A:$Q,10)=0,"",VLOOKUP(Table91213[[#This Row],[Date]],'DB Details'!$A:$Q,10))</f>
        <v>47.4</v>
      </c>
      <c r="K134" s="50">
        <f>IF(VLOOKUP(Table91213[[#This Row],[Date]],'DB Details'!$A:$Q,11)=0,"",VLOOKUP(Table91213[[#This Row],[Date]],'DB Details'!$A:$Q,11))</f>
        <v>55</v>
      </c>
      <c r="L134" s="48">
        <f>IF(VLOOKUP(Table91213[[#This Row],[Date]],'DB Details'!$A:$Q,12)=0,"",VLOOKUP(Table91213[[#This Row],[Date]],'DB Details'!$A:$Q,12))</f>
        <v>49.4</v>
      </c>
    </row>
    <row r="135" spans="1:12" x14ac:dyDescent="0.35">
      <c r="A135" s="51">
        <v>39539</v>
      </c>
      <c r="B135" s="48">
        <f>IF(VLOOKUP(Table91213[[#This Row],[Date]],'DB Details'!$A:$Q,2)=0,"",VLOOKUP(Table91213[[#This Row],[Date]],'DB Details'!$A:$Q,2))</f>
        <v>50.3</v>
      </c>
      <c r="C135" s="49">
        <f>IF(VLOOKUP(Table91213[[#This Row],[Date]],'DB Details'!$A:$Q,3)=0,"",VLOOKUP(Table91213[[#This Row],[Date]],'DB Details'!$A:$Q,3))</f>
        <v>50</v>
      </c>
      <c r="D135" s="49">
        <f>IF(VLOOKUP(Table91213[[#This Row],[Date]],'DB Details'!$A:$Q,4)=0,"",VLOOKUP(Table91213[[#This Row],[Date]],'DB Details'!$A:$Q,4))</f>
        <v>50</v>
      </c>
      <c r="E135" s="50">
        <f>IF(VLOOKUP(Table91213[[#This Row],[Date]],'DB Details'!$A:$Q,5)=0,"",VLOOKUP(Table91213[[#This Row],[Date]],'DB Details'!$A:$Q,5))</f>
        <v>71.900000000000006</v>
      </c>
      <c r="F135" s="49">
        <f>IF(VLOOKUP(Table91213[[#This Row],[Date]],'DB Details'!$A:$Q,6)=0,"",VLOOKUP(Table91213[[#This Row],[Date]],'DB Details'!$A:$Q,6))</f>
        <v>51.1</v>
      </c>
      <c r="G135" s="50">
        <f>IF(VLOOKUP(Table91213[[#This Row],[Date]],'DB Details'!$A:$Q,7)=0,"",VLOOKUP(Table91213[[#This Row],[Date]],'DB Details'!$A:$Q,7))</f>
        <v>63</v>
      </c>
      <c r="H135" s="50">
        <f>IF(VLOOKUP(Table91213[[#This Row],[Date]],'DB Details'!$A:$Q,8)=0,"",VLOOKUP(Table91213[[#This Row],[Date]],'DB Details'!$A:$Q,8))</f>
        <v>47</v>
      </c>
      <c r="I135" s="50">
        <f>IF(VLOOKUP(Table91213[[#This Row],[Date]],'DB Details'!$A:$Q,9)=0,"",VLOOKUP(Table91213[[#This Row],[Date]],'DB Details'!$A:$Q,9))</f>
        <v>56</v>
      </c>
      <c r="J135" s="50">
        <f>IF(VLOOKUP(Table91213[[#This Row],[Date]],'DB Details'!$A:$Q,10)=0,"",VLOOKUP(Table91213[[#This Row],[Date]],'DB Details'!$A:$Q,10))</f>
        <v>49.7</v>
      </c>
      <c r="K135" s="50">
        <f>IF(VLOOKUP(Table91213[[#This Row],[Date]],'DB Details'!$A:$Q,11)=0,"",VLOOKUP(Table91213[[#This Row],[Date]],'DB Details'!$A:$Q,11))</f>
        <v>48.5</v>
      </c>
      <c r="L135" s="48">
        <f>IF(VLOOKUP(Table91213[[#This Row],[Date]],'DB Details'!$A:$Q,12)=0,"",VLOOKUP(Table91213[[#This Row],[Date]],'DB Details'!$A:$Q,12))</f>
        <v>51.9</v>
      </c>
    </row>
    <row r="136" spans="1:12" x14ac:dyDescent="0.35">
      <c r="A136" s="51">
        <v>39569</v>
      </c>
      <c r="B136" s="48">
        <f>IF(VLOOKUP(Table91213[[#This Row],[Date]],'DB Details'!$A:$Q,2)=0,"",VLOOKUP(Table91213[[#This Row],[Date]],'DB Details'!$A:$Q,2))</f>
        <v>54.2</v>
      </c>
      <c r="C136" s="49">
        <f>IF(VLOOKUP(Table91213[[#This Row],[Date]],'DB Details'!$A:$Q,3)=0,"",VLOOKUP(Table91213[[#This Row],[Date]],'DB Details'!$A:$Q,3))</f>
        <v>48</v>
      </c>
      <c r="D136" s="49">
        <f>IF(VLOOKUP(Table91213[[#This Row],[Date]],'DB Details'!$A:$Q,4)=0,"",VLOOKUP(Table91213[[#This Row],[Date]],'DB Details'!$A:$Q,4))</f>
        <v>49</v>
      </c>
      <c r="E136" s="50">
        <f>IF(VLOOKUP(Table91213[[#This Row],[Date]],'DB Details'!$A:$Q,5)=0,"",VLOOKUP(Table91213[[#This Row],[Date]],'DB Details'!$A:$Q,5))</f>
        <v>75.2</v>
      </c>
      <c r="F136" s="49">
        <f>IF(VLOOKUP(Table91213[[#This Row],[Date]],'DB Details'!$A:$Q,6)=0,"",VLOOKUP(Table91213[[#This Row],[Date]],'DB Details'!$A:$Q,6))</f>
        <v>53.3</v>
      </c>
      <c r="G136" s="50">
        <f>IF(VLOOKUP(Table91213[[#This Row],[Date]],'DB Details'!$A:$Q,7)=0,"",VLOOKUP(Table91213[[#This Row],[Date]],'DB Details'!$A:$Q,7))</f>
        <v>66.5</v>
      </c>
      <c r="H136" s="50">
        <f>IF(VLOOKUP(Table91213[[#This Row],[Date]],'DB Details'!$A:$Q,8)=0,"",VLOOKUP(Table91213[[#This Row],[Date]],'DB Details'!$A:$Q,8))</f>
        <v>54</v>
      </c>
      <c r="I136" s="50">
        <f>IF(VLOOKUP(Table91213[[#This Row],[Date]],'DB Details'!$A:$Q,9)=0,"",VLOOKUP(Table91213[[#This Row],[Date]],'DB Details'!$A:$Q,9))</f>
        <v>51</v>
      </c>
      <c r="J136" s="50">
        <f>IF(VLOOKUP(Table91213[[#This Row],[Date]],'DB Details'!$A:$Q,10)=0,"",VLOOKUP(Table91213[[#This Row],[Date]],'DB Details'!$A:$Q,10))</f>
        <v>47.2</v>
      </c>
      <c r="K136" s="50">
        <f>IF(VLOOKUP(Table91213[[#This Row],[Date]],'DB Details'!$A:$Q,11)=0,"",VLOOKUP(Table91213[[#This Row],[Date]],'DB Details'!$A:$Q,11))</f>
        <v>54</v>
      </c>
      <c r="L136" s="48">
        <f>IF(VLOOKUP(Table91213[[#This Row],[Date]],'DB Details'!$A:$Q,12)=0,"",VLOOKUP(Table91213[[#This Row],[Date]],'DB Details'!$A:$Q,12))</f>
        <v>51.5</v>
      </c>
    </row>
    <row r="137" spans="1:12" x14ac:dyDescent="0.35">
      <c r="A137" s="51">
        <v>39600</v>
      </c>
      <c r="B137" s="48">
        <f>IF(VLOOKUP(Table91213[[#This Row],[Date]],'DB Details'!$A:$Q,2)=0,"",VLOOKUP(Table91213[[#This Row],[Date]],'DB Details'!$A:$Q,2))</f>
        <v>49.2</v>
      </c>
      <c r="C137" s="49">
        <f>IF(VLOOKUP(Table91213[[#This Row],[Date]],'DB Details'!$A:$Q,3)=0,"",VLOOKUP(Table91213[[#This Row],[Date]],'DB Details'!$A:$Q,3))</f>
        <v>50.5</v>
      </c>
      <c r="D137" s="49">
        <f>IF(VLOOKUP(Table91213[[#This Row],[Date]],'DB Details'!$A:$Q,4)=0,"",VLOOKUP(Table91213[[#This Row],[Date]],'DB Details'!$A:$Q,4))</f>
        <v>49</v>
      </c>
      <c r="E137" s="50">
        <f>IF(VLOOKUP(Table91213[[#This Row],[Date]],'DB Details'!$A:$Q,5)=0,"",VLOOKUP(Table91213[[#This Row],[Date]],'DB Details'!$A:$Q,5))</f>
        <v>79.599999999999994</v>
      </c>
      <c r="F137" s="49">
        <f>IF(VLOOKUP(Table91213[[#This Row],[Date]],'DB Details'!$A:$Q,6)=0,"",VLOOKUP(Table91213[[#This Row],[Date]],'DB Details'!$A:$Q,6))</f>
        <v>50.2</v>
      </c>
      <c r="G137" s="50">
        <f>IF(VLOOKUP(Table91213[[#This Row],[Date]],'DB Details'!$A:$Q,7)=0,"",VLOOKUP(Table91213[[#This Row],[Date]],'DB Details'!$A:$Q,7))</f>
        <v>60</v>
      </c>
      <c r="H137" s="50">
        <f>IF(VLOOKUP(Table91213[[#This Row],[Date]],'DB Details'!$A:$Q,8)=0,"",VLOOKUP(Table91213[[#This Row],[Date]],'DB Details'!$A:$Q,8))</f>
        <v>53</v>
      </c>
      <c r="I137" s="50">
        <f>IF(VLOOKUP(Table91213[[#This Row],[Date]],'DB Details'!$A:$Q,9)=0,"",VLOOKUP(Table91213[[#This Row],[Date]],'DB Details'!$A:$Q,9))</f>
        <v>50.5</v>
      </c>
      <c r="J137" s="50">
        <f>IF(VLOOKUP(Table91213[[#This Row],[Date]],'DB Details'!$A:$Q,10)=0,"",VLOOKUP(Table91213[[#This Row],[Date]],'DB Details'!$A:$Q,10))</f>
        <v>43.4</v>
      </c>
      <c r="K137" s="50">
        <f>IF(VLOOKUP(Table91213[[#This Row],[Date]],'DB Details'!$A:$Q,11)=0,"",VLOOKUP(Table91213[[#This Row],[Date]],'DB Details'!$A:$Q,11))</f>
        <v>52</v>
      </c>
      <c r="L137" s="48">
        <f>IF(VLOOKUP(Table91213[[#This Row],[Date]],'DB Details'!$A:$Q,12)=0,"",VLOOKUP(Table91213[[#This Row],[Date]],'DB Details'!$A:$Q,12))</f>
        <v>48.1</v>
      </c>
    </row>
    <row r="138" spans="1:12" x14ac:dyDescent="0.35">
      <c r="A138" s="51">
        <v>39630</v>
      </c>
      <c r="B138" s="48">
        <f>IF(VLOOKUP(Table91213[[#This Row],[Date]],'DB Details'!$A:$Q,2)=0,"",VLOOKUP(Table91213[[#This Row],[Date]],'DB Details'!$A:$Q,2))</f>
        <v>49</v>
      </c>
      <c r="C138" s="49">
        <f>IF(VLOOKUP(Table91213[[#This Row],[Date]],'DB Details'!$A:$Q,3)=0,"",VLOOKUP(Table91213[[#This Row],[Date]],'DB Details'!$A:$Q,3))</f>
        <v>49</v>
      </c>
      <c r="D138" s="49">
        <f>IF(VLOOKUP(Table91213[[#This Row],[Date]],'DB Details'!$A:$Q,4)=0,"",VLOOKUP(Table91213[[#This Row],[Date]],'DB Details'!$A:$Q,4))</f>
        <v>52</v>
      </c>
      <c r="E138" s="50">
        <f>IF(VLOOKUP(Table91213[[#This Row],[Date]],'DB Details'!$A:$Q,5)=0,"",VLOOKUP(Table91213[[#This Row],[Date]],'DB Details'!$A:$Q,5))</f>
        <v>77.400000000000006</v>
      </c>
      <c r="F138" s="49">
        <f>IF(VLOOKUP(Table91213[[#This Row],[Date]],'DB Details'!$A:$Q,6)=0,"",VLOOKUP(Table91213[[#This Row],[Date]],'DB Details'!$A:$Q,6))</f>
        <v>51</v>
      </c>
      <c r="G138" s="50">
        <f>IF(VLOOKUP(Table91213[[#This Row],[Date]],'DB Details'!$A:$Q,7)=0,"",VLOOKUP(Table91213[[#This Row],[Date]],'DB Details'!$A:$Q,7))</f>
        <v>62.5</v>
      </c>
      <c r="H138" s="50">
        <f>IF(VLOOKUP(Table91213[[#This Row],[Date]],'DB Details'!$A:$Q,8)=0,"",VLOOKUP(Table91213[[#This Row],[Date]],'DB Details'!$A:$Q,8))</f>
        <v>54.5</v>
      </c>
      <c r="I138" s="50">
        <f>IF(VLOOKUP(Table91213[[#This Row],[Date]],'DB Details'!$A:$Q,9)=0,"",VLOOKUP(Table91213[[#This Row],[Date]],'DB Details'!$A:$Q,9))</f>
        <v>53.5</v>
      </c>
      <c r="J138" s="50">
        <f>IF(VLOOKUP(Table91213[[#This Row],[Date]],'DB Details'!$A:$Q,10)=0,"",VLOOKUP(Table91213[[#This Row],[Date]],'DB Details'!$A:$Q,10))</f>
        <v>46.3</v>
      </c>
      <c r="K138" s="50">
        <f>IF(VLOOKUP(Table91213[[#This Row],[Date]],'DB Details'!$A:$Q,11)=0,"",VLOOKUP(Table91213[[#This Row],[Date]],'DB Details'!$A:$Q,11))</f>
        <v>47.5</v>
      </c>
      <c r="L138" s="48">
        <f>IF(VLOOKUP(Table91213[[#This Row],[Date]],'DB Details'!$A:$Q,12)=0,"",VLOOKUP(Table91213[[#This Row],[Date]],'DB Details'!$A:$Q,12))</f>
        <v>50.1</v>
      </c>
    </row>
    <row r="139" spans="1:12" x14ac:dyDescent="0.35">
      <c r="A139" s="51">
        <v>39661</v>
      </c>
      <c r="B139" s="48">
        <f>IF(VLOOKUP(Table91213[[#This Row],[Date]],'DB Details'!$A:$Q,2)=0,"",VLOOKUP(Table91213[[#This Row],[Date]],'DB Details'!$A:$Q,2))</f>
        <v>50.7</v>
      </c>
      <c r="C139" s="49">
        <f>IF(VLOOKUP(Table91213[[#This Row],[Date]],'DB Details'!$A:$Q,3)=0,"",VLOOKUP(Table91213[[#This Row],[Date]],'DB Details'!$A:$Q,3))</f>
        <v>46</v>
      </c>
      <c r="D139" s="49">
        <f>IF(VLOOKUP(Table91213[[#This Row],[Date]],'DB Details'!$A:$Q,4)=0,"",VLOOKUP(Table91213[[#This Row],[Date]],'DB Details'!$A:$Q,4))</f>
        <v>49</v>
      </c>
      <c r="E139" s="50">
        <f>IF(VLOOKUP(Table91213[[#This Row],[Date]],'DB Details'!$A:$Q,5)=0,"",VLOOKUP(Table91213[[#This Row],[Date]],'DB Details'!$A:$Q,5))</f>
        <v>72.400000000000006</v>
      </c>
      <c r="F139" s="49">
        <f>IF(VLOOKUP(Table91213[[#This Row],[Date]],'DB Details'!$A:$Q,6)=0,"",VLOOKUP(Table91213[[#This Row],[Date]],'DB Details'!$A:$Q,6))</f>
        <v>51.1</v>
      </c>
      <c r="G139" s="50">
        <f>IF(VLOOKUP(Table91213[[#This Row],[Date]],'DB Details'!$A:$Q,7)=0,"",VLOOKUP(Table91213[[#This Row],[Date]],'DB Details'!$A:$Q,7))</f>
        <v>66</v>
      </c>
      <c r="H139" s="50">
        <f>IF(VLOOKUP(Table91213[[#This Row],[Date]],'DB Details'!$A:$Q,8)=0,"",VLOOKUP(Table91213[[#This Row],[Date]],'DB Details'!$A:$Q,8))</f>
        <v>53.5</v>
      </c>
      <c r="I139" s="50">
        <f>IF(VLOOKUP(Table91213[[#This Row],[Date]],'DB Details'!$A:$Q,9)=0,"",VLOOKUP(Table91213[[#This Row],[Date]],'DB Details'!$A:$Q,9))</f>
        <v>55.5</v>
      </c>
      <c r="J139" s="50">
        <f>IF(VLOOKUP(Table91213[[#This Row],[Date]],'DB Details'!$A:$Q,10)=0,"",VLOOKUP(Table91213[[#This Row],[Date]],'DB Details'!$A:$Q,10))</f>
        <v>45.2</v>
      </c>
      <c r="K139" s="50">
        <f>IF(VLOOKUP(Table91213[[#This Row],[Date]],'DB Details'!$A:$Q,11)=0,"",VLOOKUP(Table91213[[#This Row],[Date]],'DB Details'!$A:$Q,11))</f>
        <v>44.5</v>
      </c>
      <c r="L139" s="48">
        <f>IF(VLOOKUP(Table91213[[#This Row],[Date]],'DB Details'!$A:$Q,12)=0,"",VLOOKUP(Table91213[[#This Row],[Date]],'DB Details'!$A:$Q,12))</f>
        <v>50.6</v>
      </c>
    </row>
    <row r="140" spans="1:12" x14ac:dyDescent="0.35">
      <c r="A140" s="51">
        <v>39692</v>
      </c>
      <c r="B140" s="48">
        <f>IF(VLOOKUP(Table91213[[#This Row],[Date]],'DB Details'!$A:$Q,2)=0,"",VLOOKUP(Table91213[[#This Row],[Date]],'DB Details'!$A:$Q,2))</f>
        <v>49.5</v>
      </c>
      <c r="C140" s="49">
        <f>IF(VLOOKUP(Table91213[[#This Row],[Date]],'DB Details'!$A:$Q,3)=0,"",VLOOKUP(Table91213[[#This Row],[Date]],'DB Details'!$A:$Q,3))</f>
        <v>47.5</v>
      </c>
      <c r="D140" s="49">
        <f>IF(VLOOKUP(Table91213[[#This Row],[Date]],'DB Details'!$A:$Q,4)=0,"",VLOOKUP(Table91213[[#This Row],[Date]],'DB Details'!$A:$Q,4))</f>
        <v>46.5</v>
      </c>
      <c r="E140" s="50">
        <f>IF(VLOOKUP(Table91213[[#This Row],[Date]],'DB Details'!$A:$Q,5)=0,"",VLOOKUP(Table91213[[#This Row],[Date]],'DB Details'!$A:$Q,5))</f>
        <v>71.900000000000006</v>
      </c>
      <c r="F140" s="49">
        <f>IF(VLOOKUP(Table91213[[#This Row],[Date]],'DB Details'!$A:$Q,6)=0,"",VLOOKUP(Table91213[[#This Row],[Date]],'DB Details'!$A:$Q,6))</f>
        <v>50.4</v>
      </c>
      <c r="G140" s="50">
        <f>IF(VLOOKUP(Table91213[[#This Row],[Date]],'DB Details'!$A:$Q,7)=0,"",VLOOKUP(Table91213[[#This Row],[Date]],'DB Details'!$A:$Q,7))</f>
        <v>62.5</v>
      </c>
      <c r="H140" s="50">
        <f>IF(VLOOKUP(Table91213[[#This Row],[Date]],'DB Details'!$A:$Q,8)=0,"",VLOOKUP(Table91213[[#This Row],[Date]],'DB Details'!$A:$Q,8))</f>
        <v>45.5</v>
      </c>
      <c r="I140" s="50">
        <f>IF(VLOOKUP(Table91213[[#This Row],[Date]],'DB Details'!$A:$Q,9)=0,"",VLOOKUP(Table91213[[#This Row],[Date]],'DB Details'!$A:$Q,9))</f>
        <v>53.5</v>
      </c>
      <c r="J140" s="50">
        <f>IF(VLOOKUP(Table91213[[#This Row],[Date]],'DB Details'!$A:$Q,10)=0,"",VLOOKUP(Table91213[[#This Row],[Date]],'DB Details'!$A:$Q,10))</f>
        <v>44.3</v>
      </c>
      <c r="K140" s="50">
        <f>IF(VLOOKUP(Table91213[[#This Row],[Date]],'DB Details'!$A:$Q,11)=0,"",VLOOKUP(Table91213[[#This Row],[Date]],'DB Details'!$A:$Q,11))</f>
        <v>50.5</v>
      </c>
      <c r="L140" s="48">
        <f>IF(VLOOKUP(Table91213[[#This Row],[Date]],'DB Details'!$A:$Q,12)=0,"",VLOOKUP(Table91213[[#This Row],[Date]],'DB Details'!$A:$Q,12))</f>
        <v>49.4</v>
      </c>
    </row>
    <row r="141" spans="1:12" x14ac:dyDescent="0.35">
      <c r="A141" s="51">
        <v>39722</v>
      </c>
      <c r="B141" s="48">
        <f>IF(VLOOKUP(Table91213[[#This Row],[Date]],'DB Details'!$A:$Q,2)=0,"",VLOOKUP(Table91213[[#This Row],[Date]],'DB Details'!$A:$Q,2))</f>
        <v>44.1</v>
      </c>
      <c r="C141" s="49">
        <f>IF(VLOOKUP(Table91213[[#This Row],[Date]],'DB Details'!$A:$Q,3)=0,"",VLOOKUP(Table91213[[#This Row],[Date]],'DB Details'!$A:$Q,3))</f>
        <v>52</v>
      </c>
      <c r="D141" s="49">
        <f>IF(VLOOKUP(Table91213[[#This Row],[Date]],'DB Details'!$A:$Q,4)=0,"",VLOOKUP(Table91213[[#This Row],[Date]],'DB Details'!$A:$Q,4))</f>
        <v>44</v>
      </c>
      <c r="E141" s="50">
        <f>IF(VLOOKUP(Table91213[[#This Row],[Date]],'DB Details'!$A:$Q,5)=0,"",VLOOKUP(Table91213[[#This Row],[Date]],'DB Details'!$A:$Q,5))</f>
        <v>53.9</v>
      </c>
      <c r="F141" s="49">
        <f>IF(VLOOKUP(Table91213[[#This Row],[Date]],'DB Details'!$A:$Q,6)=0,"",VLOOKUP(Table91213[[#This Row],[Date]],'DB Details'!$A:$Q,6))</f>
        <v>43.8</v>
      </c>
      <c r="G141" s="50">
        <f>IF(VLOOKUP(Table91213[[#This Row],[Date]],'DB Details'!$A:$Q,7)=0,"",VLOOKUP(Table91213[[#This Row],[Date]],'DB Details'!$A:$Q,7))</f>
        <v>67.5</v>
      </c>
      <c r="H141" s="50">
        <f>IF(VLOOKUP(Table91213[[#This Row],[Date]],'DB Details'!$A:$Q,8)=0,"",VLOOKUP(Table91213[[#This Row],[Date]],'DB Details'!$A:$Q,8))</f>
        <v>48</v>
      </c>
      <c r="I141" s="50">
        <f>IF(VLOOKUP(Table91213[[#This Row],[Date]],'DB Details'!$A:$Q,9)=0,"",VLOOKUP(Table91213[[#This Row],[Date]],'DB Details'!$A:$Q,9))</f>
        <v>48</v>
      </c>
      <c r="J141" s="50">
        <f>IF(VLOOKUP(Table91213[[#This Row],[Date]],'DB Details'!$A:$Q,10)=0,"",VLOOKUP(Table91213[[#This Row],[Date]],'DB Details'!$A:$Q,10))</f>
        <v>42.8</v>
      </c>
      <c r="K141" s="50">
        <f>IF(VLOOKUP(Table91213[[#This Row],[Date]],'DB Details'!$A:$Q,11)=0,"",VLOOKUP(Table91213[[#This Row],[Date]],'DB Details'!$A:$Q,11))</f>
        <v>50</v>
      </c>
      <c r="L141" s="48">
        <f>IF(VLOOKUP(Table91213[[#This Row],[Date]],'DB Details'!$A:$Q,12)=0,"",VLOOKUP(Table91213[[#This Row],[Date]],'DB Details'!$A:$Q,12))</f>
        <v>44.7</v>
      </c>
    </row>
    <row r="142" spans="1:12" x14ac:dyDescent="0.35">
      <c r="A142" s="51">
        <v>39753</v>
      </c>
      <c r="B142" s="48">
        <f>IF(VLOOKUP(Table91213[[#This Row],[Date]],'DB Details'!$A:$Q,2)=0,"",VLOOKUP(Table91213[[#This Row],[Date]],'DB Details'!$A:$Q,2))</f>
        <v>35.299999999999997</v>
      </c>
      <c r="C142" s="49">
        <f>IF(VLOOKUP(Table91213[[#This Row],[Date]],'DB Details'!$A:$Q,3)=0,"",VLOOKUP(Table91213[[#This Row],[Date]],'DB Details'!$A:$Q,3))</f>
        <v>40</v>
      </c>
      <c r="D142" s="49">
        <f>IF(VLOOKUP(Table91213[[#This Row],[Date]],'DB Details'!$A:$Q,4)=0,"",VLOOKUP(Table91213[[#This Row],[Date]],'DB Details'!$A:$Q,4))</f>
        <v>39.5</v>
      </c>
      <c r="E142" s="50">
        <f>IF(VLOOKUP(Table91213[[#This Row],[Date]],'DB Details'!$A:$Q,5)=0,"",VLOOKUP(Table91213[[#This Row],[Date]],'DB Details'!$A:$Q,5))</f>
        <v>37.4</v>
      </c>
      <c r="F142" s="49">
        <f>IF(VLOOKUP(Table91213[[#This Row],[Date]],'DB Details'!$A:$Q,6)=0,"",VLOOKUP(Table91213[[#This Row],[Date]],'DB Details'!$A:$Q,6))</f>
        <v>34.200000000000003</v>
      </c>
      <c r="G142" s="50">
        <f>IF(VLOOKUP(Table91213[[#This Row],[Date]],'DB Details'!$A:$Q,7)=0,"",VLOOKUP(Table91213[[#This Row],[Date]],'DB Details'!$A:$Q,7))</f>
        <v>65</v>
      </c>
      <c r="H142" s="50">
        <f>IF(VLOOKUP(Table91213[[#This Row],[Date]],'DB Details'!$A:$Q,8)=0,"",VLOOKUP(Table91213[[#This Row],[Date]],'DB Details'!$A:$Q,8))</f>
        <v>46</v>
      </c>
      <c r="I142" s="50">
        <f>IF(VLOOKUP(Table91213[[#This Row],[Date]],'DB Details'!$A:$Q,9)=0,"",VLOOKUP(Table91213[[#This Row],[Date]],'DB Details'!$A:$Q,9))</f>
        <v>49.5</v>
      </c>
      <c r="J142" s="50">
        <f>IF(VLOOKUP(Table91213[[#This Row],[Date]],'DB Details'!$A:$Q,10)=0,"",VLOOKUP(Table91213[[#This Row],[Date]],'DB Details'!$A:$Q,10))</f>
        <v>31.5</v>
      </c>
      <c r="K142" s="50">
        <f>IF(VLOOKUP(Table91213[[#This Row],[Date]],'DB Details'!$A:$Q,11)=0,"",VLOOKUP(Table91213[[#This Row],[Date]],'DB Details'!$A:$Q,11))</f>
        <v>34.5</v>
      </c>
      <c r="L142" s="48">
        <f>IF(VLOOKUP(Table91213[[#This Row],[Date]],'DB Details'!$A:$Q,12)=0,"",VLOOKUP(Table91213[[#This Row],[Date]],'DB Details'!$A:$Q,12))</f>
        <v>37.799999999999997</v>
      </c>
    </row>
    <row r="143" spans="1:12" x14ac:dyDescent="0.35">
      <c r="A143" s="51">
        <v>39783</v>
      </c>
      <c r="B143" s="48">
        <f>IF(VLOOKUP(Table91213[[#This Row],[Date]],'DB Details'!$A:$Q,2)=0,"",VLOOKUP(Table91213[[#This Row],[Date]],'DB Details'!$A:$Q,2))</f>
        <v>38.700000000000003</v>
      </c>
      <c r="C143" s="49">
        <f>IF(VLOOKUP(Table91213[[#This Row],[Date]],'DB Details'!$A:$Q,3)=0,"",VLOOKUP(Table91213[[#This Row],[Date]],'DB Details'!$A:$Q,3))</f>
        <v>32.5</v>
      </c>
      <c r="D143" s="49">
        <f>IF(VLOOKUP(Table91213[[#This Row],[Date]],'DB Details'!$A:$Q,4)=0,"",VLOOKUP(Table91213[[#This Row],[Date]],'DB Details'!$A:$Q,4))</f>
        <v>42.5</v>
      </c>
      <c r="E143" s="50">
        <f>IF(VLOOKUP(Table91213[[#This Row],[Date]],'DB Details'!$A:$Q,5)=0,"",VLOOKUP(Table91213[[#This Row],[Date]],'DB Details'!$A:$Q,5))</f>
        <v>36.1</v>
      </c>
      <c r="F143" s="49">
        <f>IF(VLOOKUP(Table91213[[#This Row],[Date]],'DB Details'!$A:$Q,6)=0,"",VLOOKUP(Table91213[[#This Row],[Date]],'DB Details'!$A:$Q,6))</f>
        <v>38.299999999999997</v>
      </c>
      <c r="G143" s="50">
        <f>IF(VLOOKUP(Table91213[[#This Row],[Date]],'DB Details'!$A:$Q,7)=0,"",VLOOKUP(Table91213[[#This Row],[Date]],'DB Details'!$A:$Q,7))</f>
        <v>65.5</v>
      </c>
      <c r="H143" s="50">
        <f>IF(VLOOKUP(Table91213[[#This Row],[Date]],'DB Details'!$A:$Q,8)=0,"",VLOOKUP(Table91213[[#This Row],[Date]],'DB Details'!$A:$Q,8))</f>
        <v>49</v>
      </c>
      <c r="I143" s="50">
        <f>IF(VLOOKUP(Table91213[[#This Row],[Date]],'DB Details'!$A:$Q,9)=0,"",VLOOKUP(Table91213[[#This Row],[Date]],'DB Details'!$A:$Q,9))</f>
        <v>48</v>
      </c>
      <c r="J143" s="50">
        <f>IF(VLOOKUP(Table91213[[#This Row],[Date]],'DB Details'!$A:$Q,10)=0,"",VLOOKUP(Table91213[[#This Row],[Date]],'DB Details'!$A:$Q,10))</f>
        <v>34.9</v>
      </c>
      <c r="K143" s="50">
        <f>IF(VLOOKUP(Table91213[[#This Row],[Date]],'DB Details'!$A:$Q,11)=0,"",VLOOKUP(Table91213[[#This Row],[Date]],'DB Details'!$A:$Q,11))</f>
        <v>39.5</v>
      </c>
      <c r="L143" s="48">
        <f>IF(VLOOKUP(Table91213[[#This Row],[Date]],'DB Details'!$A:$Q,12)=0,"",VLOOKUP(Table91213[[#This Row],[Date]],'DB Details'!$A:$Q,12))</f>
        <v>40</v>
      </c>
    </row>
    <row r="144" spans="1:12" x14ac:dyDescent="0.35">
      <c r="A144" s="51">
        <v>39814</v>
      </c>
      <c r="B144" s="48">
        <f>IF(VLOOKUP(Table91213[[#This Row],[Date]],'DB Details'!$A:$Q,2)=0,"",VLOOKUP(Table91213[[#This Row],[Date]],'DB Details'!$A:$Q,2))</f>
        <v>40.700000000000003</v>
      </c>
      <c r="C144" s="49">
        <f>IF(VLOOKUP(Table91213[[#This Row],[Date]],'DB Details'!$A:$Q,3)=0,"",VLOOKUP(Table91213[[#This Row],[Date]],'DB Details'!$A:$Q,3))</f>
        <v>40.5</v>
      </c>
      <c r="D144" s="49">
        <f>IF(VLOOKUP(Table91213[[#This Row],[Date]],'DB Details'!$A:$Q,4)=0,"",VLOOKUP(Table91213[[#This Row],[Date]],'DB Details'!$A:$Q,4))</f>
        <v>37.5</v>
      </c>
      <c r="E144" s="50">
        <f>IF(VLOOKUP(Table91213[[#This Row],[Date]],'DB Details'!$A:$Q,5)=0,"",VLOOKUP(Table91213[[#This Row],[Date]],'DB Details'!$A:$Q,5))</f>
        <v>41.7</v>
      </c>
      <c r="F144" s="49">
        <f>IF(VLOOKUP(Table91213[[#This Row],[Date]],'DB Details'!$A:$Q,6)=0,"",VLOOKUP(Table91213[[#This Row],[Date]],'DB Details'!$A:$Q,6))</f>
        <v>44.1</v>
      </c>
      <c r="G144" s="50">
        <f>IF(VLOOKUP(Table91213[[#This Row],[Date]],'DB Details'!$A:$Q,7)=0,"",VLOOKUP(Table91213[[#This Row],[Date]],'DB Details'!$A:$Q,7))</f>
        <v>62.5</v>
      </c>
      <c r="H144" s="50">
        <f>IF(VLOOKUP(Table91213[[#This Row],[Date]],'DB Details'!$A:$Q,8)=0,"",VLOOKUP(Table91213[[#This Row],[Date]],'DB Details'!$A:$Q,8))</f>
        <v>41.5</v>
      </c>
      <c r="I144" s="50">
        <f>IF(VLOOKUP(Table91213[[#This Row],[Date]],'DB Details'!$A:$Q,9)=0,"",VLOOKUP(Table91213[[#This Row],[Date]],'DB Details'!$A:$Q,9))</f>
        <v>51.5</v>
      </c>
      <c r="J144" s="50">
        <f>IF(VLOOKUP(Table91213[[#This Row],[Date]],'DB Details'!$A:$Q,10)=0,"",VLOOKUP(Table91213[[#This Row],[Date]],'DB Details'!$A:$Q,10))</f>
        <v>36.200000000000003</v>
      </c>
      <c r="K144" s="50">
        <f>IF(VLOOKUP(Table91213[[#This Row],[Date]],'DB Details'!$A:$Q,11)=0,"",VLOOKUP(Table91213[[#This Row],[Date]],'DB Details'!$A:$Q,11))</f>
        <v>39</v>
      </c>
      <c r="L144" s="48">
        <f>IF(VLOOKUP(Table91213[[#This Row],[Date]],'DB Details'!$A:$Q,12)=0,"",VLOOKUP(Table91213[[#This Row],[Date]],'DB Details'!$A:$Q,12))</f>
        <v>43</v>
      </c>
    </row>
    <row r="145" spans="1:12" x14ac:dyDescent="0.35">
      <c r="A145" s="51">
        <v>39845</v>
      </c>
      <c r="B145" s="48">
        <f>IF(VLOOKUP(Table91213[[#This Row],[Date]],'DB Details'!$A:$Q,2)=0,"",VLOOKUP(Table91213[[#This Row],[Date]],'DB Details'!$A:$Q,2))</f>
        <v>40.4</v>
      </c>
      <c r="C145" s="49">
        <f>IF(VLOOKUP(Table91213[[#This Row],[Date]],'DB Details'!$A:$Q,3)=0,"",VLOOKUP(Table91213[[#This Row],[Date]],'DB Details'!$A:$Q,3))</f>
        <v>39</v>
      </c>
      <c r="D145" s="49">
        <f>IF(VLOOKUP(Table91213[[#This Row],[Date]],'DB Details'!$A:$Q,4)=0,"",VLOOKUP(Table91213[[#This Row],[Date]],'DB Details'!$A:$Q,4))</f>
        <v>36.5</v>
      </c>
      <c r="E145" s="50">
        <f>IF(VLOOKUP(Table91213[[#This Row],[Date]],'DB Details'!$A:$Q,5)=0,"",VLOOKUP(Table91213[[#This Row],[Date]],'DB Details'!$A:$Q,5))</f>
        <v>48.6</v>
      </c>
      <c r="F145" s="49">
        <f>IF(VLOOKUP(Table91213[[#This Row],[Date]],'DB Details'!$A:$Q,6)=0,"",VLOOKUP(Table91213[[#This Row],[Date]],'DB Details'!$A:$Q,6))</f>
        <v>40.6</v>
      </c>
      <c r="G145" s="50">
        <f>IF(VLOOKUP(Table91213[[#This Row],[Date]],'DB Details'!$A:$Q,7)=0,"",VLOOKUP(Table91213[[#This Row],[Date]],'DB Details'!$A:$Q,7))</f>
        <v>66.5</v>
      </c>
      <c r="H145" s="50">
        <f>IF(VLOOKUP(Table91213[[#This Row],[Date]],'DB Details'!$A:$Q,8)=0,"",VLOOKUP(Table91213[[#This Row],[Date]],'DB Details'!$A:$Q,8))</f>
        <v>39</v>
      </c>
      <c r="I145" s="50">
        <f>IF(VLOOKUP(Table91213[[#This Row],[Date]],'DB Details'!$A:$Q,9)=0,"",VLOOKUP(Table91213[[#This Row],[Date]],'DB Details'!$A:$Q,9))</f>
        <v>48</v>
      </c>
      <c r="J145" s="50">
        <f>IF(VLOOKUP(Table91213[[#This Row],[Date]],'DB Details'!$A:$Q,10)=0,"",VLOOKUP(Table91213[[#This Row],[Date]],'DB Details'!$A:$Q,10))</f>
        <v>37</v>
      </c>
      <c r="K145" s="50">
        <f>IF(VLOOKUP(Table91213[[#This Row],[Date]],'DB Details'!$A:$Q,11)=0,"",VLOOKUP(Table91213[[#This Row],[Date]],'DB Details'!$A:$Q,11))</f>
        <v>40</v>
      </c>
      <c r="L145" s="48">
        <f>IF(VLOOKUP(Table91213[[#This Row],[Date]],'DB Details'!$A:$Q,12)=0,"",VLOOKUP(Table91213[[#This Row],[Date]],'DB Details'!$A:$Q,12))</f>
        <v>41.6</v>
      </c>
    </row>
    <row r="146" spans="1:12" x14ac:dyDescent="0.35">
      <c r="A146" s="51">
        <v>39873</v>
      </c>
      <c r="B146" s="48">
        <f>IF(VLOOKUP(Table91213[[#This Row],[Date]],'DB Details'!$A:$Q,2)=0,"",VLOOKUP(Table91213[[#This Row],[Date]],'DB Details'!$A:$Q,2))</f>
        <v>37.200000000000003</v>
      </c>
      <c r="C146" s="49">
        <f>IF(VLOOKUP(Table91213[[#This Row],[Date]],'DB Details'!$A:$Q,3)=0,"",VLOOKUP(Table91213[[#This Row],[Date]],'DB Details'!$A:$Q,3))</f>
        <v>37</v>
      </c>
      <c r="D146" s="49">
        <f>IF(VLOOKUP(Table91213[[#This Row],[Date]],'DB Details'!$A:$Q,4)=0,"",VLOOKUP(Table91213[[#This Row],[Date]],'DB Details'!$A:$Q,4))</f>
        <v>41</v>
      </c>
      <c r="E146" s="50">
        <f>IF(VLOOKUP(Table91213[[#This Row],[Date]],'DB Details'!$A:$Q,5)=0,"",VLOOKUP(Table91213[[#This Row],[Date]],'DB Details'!$A:$Q,5))</f>
        <v>40</v>
      </c>
      <c r="F146" s="49">
        <f>IF(VLOOKUP(Table91213[[#This Row],[Date]],'DB Details'!$A:$Q,6)=0,"",VLOOKUP(Table91213[[#This Row],[Date]],'DB Details'!$A:$Q,6))</f>
        <v>42.8</v>
      </c>
      <c r="G146" s="50">
        <f>IF(VLOOKUP(Table91213[[#This Row],[Date]],'DB Details'!$A:$Q,7)=0,"",VLOOKUP(Table91213[[#This Row],[Date]],'DB Details'!$A:$Q,7))</f>
        <v>60</v>
      </c>
      <c r="H146" s="50">
        <f>IF(VLOOKUP(Table91213[[#This Row],[Date]],'DB Details'!$A:$Q,8)=0,"",VLOOKUP(Table91213[[#This Row],[Date]],'DB Details'!$A:$Q,8))</f>
        <v>40</v>
      </c>
      <c r="I146" s="50">
        <f>IF(VLOOKUP(Table91213[[#This Row],[Date]],'DB Details'!$A:$Q,9)=0,"",VLOOKUP(Table91213[[#This Row],[Date]],'DB Details'!$A:$Q,9))</f>
        <v>48</v>
      </c>
      <c r="J146" s="50">
        <f>IF(VLOOKUP(Table91213[[#This Row],[Date]],'DB Details'!$A:$Q,10)=0,"",VLOOKUP(Table91213[[#This Row],[Date]],'DB Details'!$A:$Q,10))</f>
        <v>31.9</v>
      </c>
      <c r="K146" s="50">
        <f>IF(VLOOKUP(Table91213[[#This Row],[Date]],'DB Details'!$A:$Q,11)=0,"",VLOOKUP(Table91213[[#This Row],[Date]],'DB Details'!$A:$Q,11))</f>
        <v>39</v>
      </c>
      <c r="L146" s="48">
        <f>IF(VLOOKUP(Table91213[[#This Row],[Date]],'DB Details'!$A:$Q,12)=0,"",VLOOKUP(Table91213[[#This Row],[Date]],'DB Details'!$A:$Q,12))</f>
        <v>40.1</v>
      </c>
    </row>
    <row r="147" spans="1:12" x14ac:dyDescent="0.35">
      <c r="A147" s="51">
        <v>39904</v>
      </c>
      <c r="B147" s="48">
        <f>IF(VLOOKUP(Table91213[[#This Row],[Date]],'DB Details'!$A:$Q,2)=0,"",VLOOKUP(Table91213[[#This Row],[Date]],'DB Details'!$A:$Q,2))</f>
        <v>46.8</v>
      </c>
      <c r="C147" s="49">
        <f>IF(VLOOKUP(Table91213[[#This Row],[Date]],'DB Details'!$A:$Q,3)=0,"",VLOOKUP(Table91213[[#This Row],[Date]],'DB Details'!$A:$Q,3))</f>
        <v>48.5</v>
      </c>
      <c r="D147" s="49">
        <f>IF(VLOOKUP(Table91213[[#This Row],[Date]],'DB Details'!$A:$Q,4)=0,"",VLOOKUP(Table91213[[#This Row],[Date]],'DB Details'!$A:$Q,4))</f>
        <v>44</v>
      </c>
      <c r="E147" s="50">
        <f>IF(VLOOKUP(Table91213[[#This Row],[Date]],'DB Details'!$A:$Q,5)=0,"",VLOOKUP(Table91213[[#This Row],[Date]],'DB Details'!$A:$Q,5))</f>
        <v>39.9</v>
      </c>
      <c r="F147" s="49">
        <f>IF(VLOOKUP(Table91213[[#This Row],[Date]],'DB Details'!$A:$Q,6)=0,"",VLOOKUP(Table91213[[#This Row],[Date]],'DB Details'!$A:$Q,6))</f>
        <v>45</v>
      </c>
      <c r="G147" s="50">
        <f>IF(VLOOKUP(Table91213[[#This Row],[Date]],'DB Details'!$A:$Q,7)=0,"",VLOOKUP(Table91213[[#This Row],[Date]],'DB Details'!$A:$Q,7))</f>
        <v>62.5</v>
      </c>
      <c r="H147" s="50">
        <f>IF(VLOOKUP(Table91213[[#This Row],[Date]],'DB Details'!$A:$Q,8)=0,"",VLOOKUP(Table91213[[#This Row],[Date]],'DB Details'!$A:$Q,8))</f>
        <v>43</v>
      </c>
      <c r="I147" s="50">
        <f>IF(VLOOKUP(Table91213[[#This Row],[Date]],'DB Details'!$A:$Q,9)=0,"",VLOOKUP(Table91213[[#This Row],[Date]],'DB Details'!$A:$Q,9))</f>
        <v>45.5</v>
      </c>
      <c r="J147" s="50">
        <f>IF(VLOOKUP(Table91213[[#This Row],[Date]],'DB Details'!$A:$Q,10)=0,"",VLOOKUP(Table91213[[#This Row],[Date]],'DB Details'!$A:$Q,10))</f>
        <v>36.299999999999997</v>
      </c>
      <c r="K147" s="50">
        <f>IF(VLOOKUP(Table91213[[#This Row],[Date]],'DB Details'!$A:$Q,11)=0,"",VLOOKUP(Table91213[[#This Row],[Date]],'DB Details'!$A:$Q,11))</f>
        <v>48.5</v>
      </c>
      <c r="L147" s="48">
        <f>IF(VLOOKUP(Table91213[[#This Row],[Date]],'DB Details'!$A:$Q,12)=0,"",VLOOKUP(Table91213[[#This Row],[Date]],'DB Details'!$A:$Q,12))</f>
        <v>43.7</v>
      </c>
    </row>
    <row r="148" spans="1:12" x14ac:dyDescent="0.35">
      <c r="A148" s="51">
        <v>39934</v>
      </c>
      <c r="B148" s="48">
        <f>IF(VLOOKUP(Table91213[[#This Row],[Date]],'DB Details'!$A:$Q,2)=0,"",VLOOKUP(Table91213[[#This Row],[Date]],'DB Details'!$A:$Q,2))</f>
        <v>45.9</v>
      </c>
      <c r="C148" s="49">
        <f>IF(VLOOKUP(Table91213[[#This Row],[Date]],'DB Details'!$A:$Q,3)=0,"",VLOOKUP(Table91213[[#This Row],[Date]],'DB Details'!$A:$Q,3))</f>
        <v>46</v>
      </c>
      <c r="D148" s="49">
        <f>IF(VLOOKUP(Table91213[[#This Row],[Date]],'DB Details'!$A:$Q,4)=0,"",VLOOKUP(Table91213[[#This Row],[Date]],'DB Details'!$A:$Q,4))</f>
        <v>40</v>
      </c>
      <c r="E148" s="50">
        <f>IF(VLOOKUP(Table91213[[#This Row],[Date]],'DB Details'!$A:$Q,5)=0,"",VLOOKUP(Table91213[[#This Row],[Date]],'DB Details'!$A:$Q,5))</f>
        <v>47.1</v>
      </c>
      <c r="F148" s="49">
        <f>IF(VLOOKUP(Table91213[[#This Row],[Date]],'DB Details'!$A:$Q,6)=0,"",VLOOKUP(Table91213[[#This Row],[Date]],'DB Details'!$A:$Q,6))</f>
        <v>43.1</v>
      </c>
      <c r="G148" s="50">
        <f>IF(VLOOKUP(Table91213[[#This Row],[Date]],'DB Details'!$A:$Q,7)=0,"",VLOOKUP(Table91213[[#This Row],[Date]],'DB Details'!$A:$Q,7))</f>
        <v>62.5</v>
      </c>
      <c r="H148" s="50">
        <f>IF(VLOOKUP(Table91213[[#This Row],[Date]],'DB Details'!$A:$Q,8)=0,"",VLOOKUP(Table91213[[#This Row],[Date]],'DB Details'!$A:$Q,8))</f>
        <v>47</v>
      </c>
      <c r="I148" s="50">
        <f>IF(VLOOKUP(Table91213[[#This Row],[Date]],'DB Details'!$A:$Q,9)=0,"",VLOOKUP(Table91213[[#This Row],[Date]],'DB Details'!$A:$Q,9))</f>
        <v>50</v>
      </c>
      <c r="J148" s="50">
        <f>IF(VLOOKUP(Table91213[[#This Row],[Date]],'DB Details'!$A:$Q,10)=0,"",VLOOKUP(Table91213[[#This Row],[Date]],'DB Details'!$A:$Q,10))</f>
        <v>37.9</v>
      </c>
      <c r="K148" s="50">
        <f>IF(VLOOKUP(Table91213[[#This Row],[Date]],'DB Details'!$A:$Q,11)=0,"",VLOOKUP(Table91213[[#This Row],[Date]],'DB Details'!$A:$Q,11))</f>
        <v>47</v>
      </c>
      <c r="L148" s="48">
        <f>IF(VLOOKUP(Table91213[[#This Row],[Date]],'DB Details'!$A:$Q,12)=0,"",VLOOKUP(Table91213[[#This Row],[Date]],'DB Details'!$A:$Q,12))</f>
        <v>44.4</v>
      </c>
    </row>
    <row r="149" spans="1:12" x14ac:dyDescent="0.35">
      <c r="A149" s="51">
        <v>39965</v>
      </c>
      <c r="B149" s="48">
        <f>IF(VLOOKUP(Table91213[[#This Row],[Date]],'DB Details'!$A:$Q,2)=0,"",VLOOKUP(Table91213[[#This Row],[Date]],'DB Details'!$A:$Q,2))</f>
        <v>49.6</v>
      </c>
      <c r="C149" s="49">
        <f>IF(VLOOKUP(Table91213[[#This Row],[Date]],'DB Details'!$A:$Q,3)=0,"",VLOOKUP(Table91213[[#This Row],[Date]],'DB Details'!$A:$Q,3))</f>
        <v>47</v>
      </c>
      <c r="D149" s="49">
        <f>IF(VLOOKUP(Table91213[[#This Row],[Date]],'DB Details'!$A:$Q,4)=0,"",VLOOKUP(Table91213[[#This Row],[Date]],'DB Details'!$A:$Q,4))</f>
        <v>46</v>
      </c>
      <c r="E149" s="50">
        <f>IF(VLOOKUP(Table91213[[#This Row],[Date]],'DB Details'!$A:$Q,5)=0,"",VLOOKUP(Table91213[[#This Row],[Date]],'DB Details'!$A:$Q,5))</f>
        <v>52.9</v>
      </c>
      <c r="F149" s="49">
        <f>IF(VLOOKUP(Table91213[[#This Row],[Date]],'DB Details'!$A:$Q,6)=0,"",VLOOKUP(Table91213[[#This Row],[Date]],'DB Details'!$A:$Q,6))</f>
        <v>50.1</v>
      </c>
      <c r="G149" s="50">
        <f>IF(VLOOKUP(Table91213[[#This Row],[Date]],'DB Details'!$A:$Q,7)=0,"",VLOOKUP(Table91213[[#This Row],[Date]],'DB Details'!$A:$Q,7))</f>
        <v>67</v>
      </c>
      <c r="H149" s="50">
        <f>IF(VLOOKUP(Table91213[[#This Row],[Date]],'DB Details'!$A:$Q,8)=0,"",VLOOKUP(Table91213[[#This Row],[Date]],'DB Details'!$A:$Q,8))</f>
        <v>45</v>
      </c>
      <c r="I149" s="50">
        <f>IF(VLOOKUP(Table91213[[#This Row],[Date]],'DB Details'!$A:$Q,9)=0,"",VLOOKUP(Table91213[[#This Row],[Date]],'DB Details'!$A:$Q,9))</f>
        <v>46</v>
      </c>
      <c r="J149" s="50">
        <f>IF(VLOOKUP(Table91213[[#This Row],[Date]],'DB Details'!$A:$Q,10)=0,"",VLOOKUP(Table91213[[#This Row],[Date]],'DB Details'!$A:$Q,10))</f>
        <v>41.5</v>
      </c>
      <c r="K149" s="50">
        <f>IF(VLOOKUP(Table91213[[#This Row],[Date]],'DB Details'!$A:$Q,11)=0,"",VLOOKUP(Table91213[[#This Row],[Date]],'DB Details'!$A:$Q,11))</f>
        <v>54.5</v>
      </c>
      <c r="L149" s="48">
        <f>IF(VLOOKUP(Table91213[[#This Row],[Date]],'DB Details'!$A:$Q,12)=0,"",VLOOKUP(Table91213[[#This Row],[Date]],'DB Details'!$A:$Q,12))</f>
        <v>46.4</v>
      </c>
    </row>
    <row r="150" spans="1:12" x14ac:dyDescent="0.35">
      <c r="A150" s="51">
        <v>39995</v>
      </c>
      <c r="B150" s="48">
        <f>IF(VLOOKUP(Table91213[[#This Row],[Date]],'DB Details'!$A:$Q,2)=0,"",VLOOKUP(Table91213[[#This Row],[Date]],'DB Details'!$A:$Q,2))</f>
        <v>49.7</v>
      </c>
      <c r="C150" s="49">
        <f>IF(VLOOKUP(Table91213[[#This Row],[Date]],'DB Details'!$A:$Q,3)=0,"",VLOOKUP(Table91213[[#This Row],[Date]],'DB Details'!$A:$Q,3))</f>
        <v>45</v>
      </c>
      <c r="D150" s="49">
        <f>IF(VLOOKUP(Table91213[[#This Row],[Date]],'DB Details'!$A:$Q,4)=0,"",VLOOKUP(Table91213[[#This Row],[Date]],'DB Details'!$A:$Q,4))</f>
        <v>42</v>
      </c>
      <c r="E150" s="50">
        <f>IF(VLOOKUP(Table91213[[#This Row],[Date]],'DB Details'!$A:$Q,5)=0,"",VLOOKUP(Table91213[[#This Row],[Date]],'DB Details'!$A:$Q,5))</f>
        <v>41.5</v>
      </c>
      <c r="F150" s="49">
        <f>IF(VLOOKUP(Table91213[[#This Row],[Date]],'DB Details'!$A:$Q,6)=0,"",VLOOKUP(Table91213[[#This Row],[Date]],'DB Details'!$A:$Q,6))</f>
        <v>47</v>
      </c>
      <c r="G150" s="50">
        <f>IF(VLOOKUP(Table91213[[#This Row],[Date]],'DB Details'!$A:$Q,7)=0,"",VLOOKUP(Table91213[[#This Row],[Date]],'DB Details'!$A:$Q,7))</f>
        <v>62.5</v>
      </c>
      <c r="H150" s="50">
        <f>IF(VLOOKUP(Table91213[[#This Row],[Date]],'DB Details'!$A:$Q,8)=0,"",VLOOKUP(Table91213[[#This Row],[Date]],'DB Details'!$A:$Q,8))</f>
        <v>47</v>
      </c>
      <c r="I150" s="50">
        <f>IF(VLOOKUP(Table91213[[#This Row],[Date]],'DB Details'!$A:$Q,9)=0,"",VLOOKUP(Table91213[[#This Row],[Date]],'DB Details'!$A:$Q,9))</f>
        <v>50</v>
      </c>
      <c r="J150" s="50">
        <f>IF(VLOOKUP(Table91213[[#This Row],[Date]],'DB Details'!$A:$Q,10)=0,"",VLOOKUP(Table91213[[#This Row],[Date]],'DB Details'!$A:$Q,10))</f>
        <v>41.3</v>
      </c>
      <c r="K150" s="50">
        <f>IF(VLOOKUP(Table91213[[#This Row],[Date]],'DB Details'!$A:$Q,11)=0,"",VLOOKUP(Table91213[[#This Row],[Date]],'DB Details'!$A:$Q,11))</f>
        <v>47.5</v>
      </c>
      <c r="L150" s="48">
        <f>IF(VLOOKUP(Table91213[[#This Row],[Date]],'DB Details'!$A:$Q,12)=0,"",VLOOKUP(Table91213[[#This Row],[Date]],'DB Details'!$A:$Q,12))</f>
        <v>47.1</v>
      </c>
    </row>
    <row r="151" spans="1:12" x14ac:dyDescent="0.35">
      <c r="A151" s="51">
        <v>40026</v>
      </c>
      <c r="B151" s="48">
        <f>IF(VLOOKUP(Table91213[[#This Row],[Date]],'DB Details'!$A:$Q,2)=0,"",VLOOKUP(Table91213[[#This Row],[Date]],'DB Details'!$A:$Q,2))</f>
        <v>51.7</v>
      </c>
      <c r="C151" s="49">
        <f>IF(VLOOKUP(Table91213[[#This Row],[Date]],'DB Details'!$A:$Q,3)=0,"",VLOOKUP(Table91213[[#This Row],[Date]],'DB Details'!$A:$Q,3))</f>
        <v>49</v>
      </c>
      <c r="D151" s="49">
        <f>IF(VLOOKUP(Table91213[[#This Row],[Date]],'DB Details'!$A:$Q,4)=0,"",VLOOKUP(Table91213[[#This Row],[Date]],'DB Details'!$A:$Q,4))</f>
        <v>41</v>
      </c>
      <c r="E151" s="50">
        <f>IF(VLOOKUP(Table91213[[#This Row],[Date]],'DB Details'!$A:$Q,5)=0,"",VLOOKUP(Table91213[[#This Row],[Date]],'DB Details'!$A:$Q,5))</f>
        <v>60.8</v>
      </c>
      <c r="F151" s="49">
        <f>IF(VLOOKUP(Table91213[[#This Row],[Date]],'DB Details'!$A:$Q,6)=0,"",VLOOKUP(Table91213[[#This Row],[Date]],'DB Details'!$A:$Q,6))</f>
        <v>52.1</v>
      </c>
      <c r="G151" s="50">
        <f>IF(VLOOKUP(Table91213[[#This Row],[Date]],'DB Details'!$A:$Q,7)=0,"",VLOOKUP(Table91213[[#This Row],[Date]],'DB Details'!$A:$Q,7))</f>
        <v>67.5</v>
      </c>
      <c r="H151" s="50">
        <f>IF(VLOOKUP(Table91213[[#This Row],[Date]],'DB Details'!$A:$Q,8)=0,"",VLOOKUP(Table91213[[#This Row],[Date]],'DB Details'!$A:$Q,8))</f>
        <v>43</v>
      </c>
      <c r="I151" s="50">
        <f>IF(VLOOKUP(Table91213[[#This Row],[Date]],'DB Details'!$A:$Q,9)=0,"",VLOOKUP(Table91213[[#This Row],[Date]],'DB Details'!$A:$Q,9))</f>
        <v>49</v>
      </c>
      <c r="J151" s="50">
        <f>IF(VLOOKUP(Table91213[[#This Row],[Date]],'DB Details'!$A:$Q,10)=0,"",VLOOKUP(Table91213[[#This Row],[Date]],'DB Details'!$A:$Q,10))</f>
        <v>43.4</v>
      </c>
      <c r="K151" s="50">
        <f>IF(VLOOKUP(Table91213[[#This Row],[Date]],'DB Details'!$A:$Q,11)=0,"",VLOOKUP(Table91213[[#This Row],[Date]],'DB Details'!$A:$Q,11))</f>
        <v>54</v>
      </c>
      <c r="L151" s="48">
        <f>IF(VLOOKUP(Table91213[[#This Row],[Date]],'DB Details'!$A:$Q,12)=0,"",VLOOKUP(Table91213[[#This Row],[Date]],'DB Details'!$A:$Q,12))</f>
        <v>48.9</v>
      </c>
    </row>
    <row r="152" spans="1:12" x14ac:dyDescent="0.35">
      <c r="A152" s="51">
        <v>40057</v>
      </c>
      <c r="B152" s="48">
        <f>IF(VLOOKUP(Table91213[[#This Row],[Date]],'DB Details'!$A:$Q,2)=0,"",VLOOKUP(Table91213[[#This Row],[Date]],'DB Details'!$A:$Q,2))</f>
        <v>53.3</v>
      </c>
      <c r="C152" s="49">
        <f>IF(VLOOKUP(Table91213[[#This Row],[Date]],'DB Details'!$A:$Q,3)=0,"",VLOOKUP(Table91213[[#This Row],[Date]],'DB Details'!$A:$Q,3))</f>
        <v>51.5</v>
      </c>
      <c r="D152" s="49">
        <f>IF(VLOOKUP(Table91213[[#This Row],[Date]],'DB Details'!$A:$Q,4)=0,"",VLOOKUP(Table91213[[#This Row],[Date]],'DB Details'!$A:$Q,4))</f>
        <v>51.5</v>
      </c>
      <c r="E152" s="50">
        <f>IF(VLOOKUP(Table91213[[#This Row],[Date]],'DB Details'!$A:$Q,5)=0,"",VLOOKUP(Table91213[[#This Row],[Date]],'DB Details'!$A:$Q,5))</f>
        <v>49.6</v>
      </c>
      <c r="F152" s="49">
        <f>IF(VLOOKUP(Table91213[[#This Row],[Date]],'DB Details'!$A:$Q,6)=0,"",VLOOKUP(Table91213[[#This Row],[Date]],'DB Details'!$A:$Q,6))</f>
        <v>53.8</v>
      </c>
      <c r="G152" s="50">
        <f>IF(VLOOKUP(Table91213[[#This Row],[Date]],'DB Details'!$A:$Q,7)=0,"",VLOOKUP(Table91213[[#This Row],[Date]],'DB Details'!$A:$Q,7))</f>
        <v>62</v>
      </c>
      <c r="H152" s="50">
        <f>IF(VLOOKUP(Table91213[[#This Row],[Date]],'DB Details'!$A:$Q,8)=0,"",VLOOKUP(Table91213[[#This Row],[Date]],'DB Details'!$A:$Q,8))</f>
        <v>47.5</v>
      </c>
      <c r="I152" s="50">
        <f>IF(VLOOKUP(Table91213[[#This Row],[Date]],'DB Details'!$A:$Q,9)=0,"",VLOOKUP(Table91213[[#This Row],[Date]],'DB Details'!$A:$Q,9))</f>
        <v>50</v>
      </c>
      <c r="J152" s="50">
        <f>IF(VLOOKUP(Table91213[[#This Row],[Date]],'DB Details'!$A:$Q,10)=0,"",VLOOKUP(Table91213[[#This Row],[Date]],'DB Details'!$A:$Q,10))</f>
        <v>44.7</v>
      </c>
      <c r="K152" s="50">
        <f>IF(VLOOKUP(Table91213[[#This Row],[Date]],'DB Details'!$A:$Q,11)=0,"",VLOOKUP(Table91213[[#This Row],[Date]],'DB Details'!$A:$Q,11))</f>
        <v>48.5</v>
      </c>
      <c r="L152" s="48">
        <f>IF(VLOOKUP(Table91213[[#This Row],[Date]],'DB Details'!$A:$Q,12)=0,"",VLOOKUP(Table91213[[#This Row],[Date]],'DB Details'!$A:$Q,12))</f>
        <v>50.1</v>
      </c>
    </row>
    <row r="153" spans="1:12" x14ac:dyDescent="0.35">
      <c r="A153" s="51">
        <v>40087</v>
      </c>
      <c r="B153" s="48">
        <f>IF(VLOOKUP(Table91213[[#This Row],[Date]],'DB Details'!$A:$Q,2)=0,"",VLOOKUP(Table91213[[#This Row],[Date]],'DB Details'!$A:$Q,2))</f>
        <v>55.4</v>
      </c>
      <c r="C153" s="49">
        <f>IF(VLOOKUP(Table91213[[#This Row],[Date]],'DB Details'!$A:$Q,3)=0,"",VLOOKUP(Table91213[[#This Row],[Date]],'DB Details'!$A:$Q,3))</f>
        <v>46</v>
      </c>
      <c r="D153" s="49">
        <f>IF(VLOOKUP(Table91213[[#This Row],[Date]],'DB Details'!$A:$Q,4)=0,"",VLOOKUP(Table91213[[#This Row],[Date]],'DB Details'!$A:$Q,4))</f>
        <v>53.5</v>
      </c>
      <c r="E153" s="50">
        <f>IF(VLOOKUP(Table91213[[#This Row],[Date]],'DB Details'!$A:$Q,5)=0,"",VLOOKUP(Table91213[[#This Row],[Date]],'DB Details'!$A:$Q,5))</f>
        <v>53.5</v>
      </c>
      <c r="F153" s="49">
        <f>IF(VLOOKUP(Table91213[[#This Row],[Date]],'DB Details'!$A:$Q,6)=0,"",VLOOKUP(Table91213[[#This Row],[Date]],'DB Details'!$A:$Q,6))</f>
        <v>55</v>
      </c>
      <c r="G153" s="50">
        <f>IF(VLOOKUP(Table91213[[#This Row],[Date]],'DB Details'!$A:$Q,7)=0,"",VLOOKUP(Table91213[[#This Row],[Date]],'DB Details'!$A:$Q,7))</f>
        <v>63.5</v>
      </c>
      <c r="H153" s="50">
        <f>IF(VLOOKUP(Table91213[[#This Row],[Date]],'DB Details'!$A:$Q,8)=0,"",VLOOKUP(Table91213[[#This Row],[Date]],'DB Details'!$A:$Q,8))</f>
        <v>43</v>
      </c>
      <c r="I153" s="50">
        <f>IF(VLOOKUP(Table91213[[#This Row],[Date]],'DB Details'!$A:$Q,9)=0,"",VLOOKUP(Table91213[[#This Row],[Date]],'DB Details'!$A:$Q,9))</f>
        <v>50.5</v>
      </c>
      <c r="J153" s="50">
        <f>IF(VLOOKUP(Table91213[[#This Row],[Date]],'DB Details'!$A:$Q,10)=0,"",VLOOKUP(Table91213[[#This Row],[Date]],'DB Details'!$A:$Q,10))</f>
        <v>42.6</v>
      </c>
      <c r="K153" s="50">
        <f>IF(VLOOKUP(Table91213[[#This Row],[Date]],'DB Details'!$A:$Q,11)=0,"",VLOOKUP(Table91213[[#This Row],[Date]],'DB Details'!$A:$Q,11))</f>
        <v>53.5</v>
      </c>
      <c r="L153" s="48">
        <f>IF(VLOOKUP(Table91213[[#This Row],[Date]],'DB Details'!$A:$Q,12)=0,"",VLOOKUP(Table91213[[#This Row],[Date]],'DB Details'!$A:$Q,12))</f>
        <v>51</v>
      </c>
    </row>
    <row r="154" spans="1:12" x14ac:dyDescent="0.35">
      <c r="A154" s="51">
        <v>40118</v>
      </c>
      <c r="B154" s="48">
        <f>IF(VLOOKUP(Table91213[[#This Row],[Date]],'DB Details'!$A:$Q,2)=0,"",VLOOKUP(Table91213[[#This Row],[Date]],'DB Details'!$A:$Q,2))</f>
        <v>54.9</v>
      </c>
      <c r="C154" s="49">
        <f>IF(VLOOKUP(Table91213[[#This Row],[Date]],'DB Details'!$A:$Q,3)=0,"",VLOOKUP(Table91213[[#This Row],[Date]],'DB Details'!$A:$Q,3))</f>
        <v>46</v>
      </c>
      <c r="D154" s="49">
        <f>IF(VLOOKUP(Table91213[[#This Row],[Date]],'DB Details'!$A:$Q,4)=0,"",VLOOKUP(Table91213[[#This Row],[Date]],'DB Details'!$A:$Q,4))</f>
        <v>48.5</v>
      </c>
      <c r="E154" s="50">
        <f>IF(VLOOKUP(Table91213[[#This Row],[Date]],'DB Details'!$A:$Q,5)=0,"",VLOOKUP(Table91213[[#This Row],[Date]],'DB Details'!$A:$Q,5))</f>
        <v>58.9</v>
      </c>
      <c r="F154" s="49">
        <f>IF(VLOOKUP(Table91213[[#This Row],[Date]],'DB Details'!$A:$Q,6)=0,"",VLOOKUP(Table91213[[#This Row],[Date]],'DB Details'!$A:$Q,6))</f>
        <v>50.9</v>
      </c>
      <c r="G154" s="50">
        <f>IF(VLOOKUP(Table91213[[#This Row],[Date]],'DB Details'!$A:$Q,7)=0,"",VLOOKUP(Table91213[[#This Row],[Date]],'DB Details'!$A:$Q,7))</f>
        <v>61.5</v>
      </c>
      <c r="H154" s="50">
        <f>IF(VLOOKUP(Table91213[[#This Row],[Date]],'DB Details'!$A:$Q,8)=0,"",VLOOKUP(Table91213[[#This Row],[Date]],'DB Details'!$A:$Q,8))</f>
        <v>45.5</v>
      </c>
      <c r="I154" s="50">
        <f>IF(VLOOKUP(Table91213[[#This Row],[Date]],'DB Details'!$A:$Q,9)=0,"",VLOOKUP(Table91213[[#This Row],[Date]],'DB Details'!$A:$Q,9))</f>
        <v>48.5</v>
      </c>
      <c r="J154" s="50">
        <f>IF(VLOOKUP(Table91213[[#This Row],[Date]],'DB Details'!$A:$Q,10)=0,"",VLOOKUP(Table91213[[#This Row],[Date]],'DB Details'!$A:$Q,10))</f>
        <v>42.8</v>
      </c>
      <c r="K154" s="50">
        <f>IF(VLOOKUP(Table91213[[#This Row],[Date]],'DB Details'!$A:$Q,11)=0,"",VLOOKUP(Table91213[[#This Row],[Date]],'DB Details'!$A:$Q,11))</f>
        <v>54.5</v>
      </c>
      <c r="L154" s="48">
        <f>IF(VLOOKUP(Table91213[[#This Row],[Date]],'DB Details'!$A:$Q,12)=0,"",VLOOKUP(Table91213[[#This Row],[Date]],'DB Details'!$A:$Q,12))</f>
        <v>49.5</v>
      </c>
    </row>
    <row r="155" spans="1:12" x14ac:dyDescent="0.35">
      <c r="A155" s="51">
        <v>40148</v>
      </c>
      <c r="B155" s="48">
        <f>IF(VLOOKUP(Table91213[[#This Row],[Date]],'DB Details'!$A:$Q,2)=0,"",VLOOKUP(Table91213[[#This Row],[Date]],'DB Details'!$A:$Q,2))</f>
        <v>51.6</v>
      </c>
      <c r="C155" s="49">
        <f>IF(VLOOKUP(Table91213[[#This Row],[Date]],'DB Details'!$A:$Q,3)=0,"",VLOOKUP(Table91213[[#This Row],[Date]],'DB Details'!$A:$Q,3))</f>
        <v>52.5</v>
      </c>
      <c r="D155" s="49">
        <f>IF(VLOOKUP(Table91213[[#This Row],[Date]],'DB Details'!$A:$Q,4)=0,"",VLOOKUP(Table91213[[#This Row],[Date]],'DB Details'!$A:$Q,4))</f>
        <v>48</v>
      </c>
      <c r="E155" s="50">
        <f>IF(VLOOKUP(Table91213[[#This Row],[Date]],'DB Details'!$A:$Q,5)=0,"",VLOOKUP(Table91213[[#This Row],[Date]],'DB Details'!$A:$Q,5))</f>
        <v>58.9</v>
      </c>
      <c r="F155" s="49">
        <f>IF(VLOOKUP(Table91213[[#This Row],[Date]],'DB Details'!$A:$Q,6)=0,"",VLOOKUP(Table91213[[#This Row],[Date]],'DB Details'!$A:$Q,6))</f>
        <v>53</v>
      </c>
      <c r="G155" s="50">
        <f>IF(VLOOKUP(Table91213[[#This Row],[Date]],'DB Details'!$A:$Q,7)=0,"",VLOOKUP(Table91213[[#This Row],[Date]],'DB Details'!$A:$Q,7))</f>
        <v>61</v>
      </c>
      <c r="H155" s="50">
        <f>IF(VLOOKUP(Table91213[[#This Row],[Date]],'DB Details'!$A:$Q,8)=0,"",VLOOKUP(Table91213[[#This Row],[Date]],'DB Details'!$A:$Q,8))</f>
        <v>51.5</v>
      </c>
      <c r="I155" s="50">
        <f>IF(VLOOKUP(Table91213[[#This Row],[Date]],'DB Details'!$A:$Q,9)=0,"",VLOOKUP(Table91213[[#This Row],[Date]],'DB Details'!$A:$Q,9))</f>
        <v>50.5</v>
      </c>
      <c r="J155" s="50">
        <f>IF(VLOOKUP(Table91213[[#This Row],[Date]],'DB Details'!$A:$Q,10)=0,"",VLOOKUP(Table91213[[#This Row],[Date]],'DB Details'!$A:$Q,10))</f>
        <v>44.6</v>
      </c>
      <c r="K155" s="50">
        <f>IF(VLOOKUP(Table91213[[#This Row],[Date]],'DB Details'!$A:$Q,11)=0,"",VLOOKUP(Table91213[[#This Row],[Date]],'DB Details'!$A:$Q,11))</f>
        <v>46</v>
      </c>
      <c r="L155" s="48">
        <f>IF(VLOOKUP(Table91213[[#This Row],[Date]],'DB Details'!$A:$Q,12)=0,"",VLOOKUP(Table91213[[#This Row],[Date]],'DB Details'!$A:$Q,12))</f>
        <v>49.7</v>
      </c>
    </row>
    <row r="156" spans="1:12" x14ac:dyDescent="0.35">
      <c r="A156" s="51">
        <v>40179</v>
      </c>
      <c r="B156" s="48">
        <f>IF(VLOOKUP(Table91213[[#This Row],[Date]],'DB Details'!$A:$Q,2)=0,"",VLOOKUP(Table91213[[#This Row],[Date]],'DB Details'!$A:$Q,2))</f>
        <v>52.9</v>
      </c>
      <c r="C156" s="49">
        <f>IF(VLOOKUP(Table91213[[#This Row],[Date]],'DB Details'!$A:$Q,3)=0,"",VLOOKUP(Table91213[[#This Row],[Date]],'DB Details'!$A:$Q,3))</f>
        <v>47</v>
      </c>
      <c r="D156" s="49">
        <f>IF(VLOOKUP(Table91213[[#This Row],[Date]],'DB Details'!$A:$Q,4)=0,"",VLOOKUP(Table91213[[#This Row],[Date]],'DB Details'!$A:$Q,4))</f>
        <v>45.5</v>
      </c>
      <c r="E156" s="50">
        <f>IF(VLOOKUP(Table91213[[#This Row],[Date]],'DB Details'!$A:$Q,5)=0,"",VLOOKUP(Table91213[[#This Row],[Date]],'DB Details'!$A:$Q,5))</f>
        <v>59.4</v>
      </c>
      <c r="F156" s="49">
        <f>IF(VLOOKUP(Table91213[[#This Row],[Date]],'DB Details'!$A:$Q,6)=0,"",VLOOKUP(Table91213[[#This Row],[Date]],'DB Details'!$A:$Q,6))</f>
        <v>51.5</v>
      </c>
      <c r="G156" s="50">
        <f>IF(VLOOKUP(Table91213[[#This Row],[Date]],'DB Details'!$A:$Q,7)=0,"",VLOOKUP(Table91213[[#This Row],[Date]],'DB Details'!$A:$Q,7))</f>
        <v>64.5</v>
      </c>
      <c r="H156" s="50">
        <f>IF(VLOOKUP(Table91213[[#This Row],[Date]],'DB Details'!$A:$Q,8)=0,"",VLOOKUP(Table91213[[#This Row],[Date]],'DB Details'!$A:$Q,8))</f>
        <v>46.5</v>
      </c>
      <c r="I156" s="50">
        <f>IF(VLOOKUP(Table91213[[#This Row],[Date]],'DB Details'!$A:$Q,9)=0,"",VLOOKUP(Table91213[[#This Row],[Date]],'DB Details'!$A:$Q,9))</f>
        <v>50.5</v>
      </c>
      <c r="J156" s="50">
        <f>IF(VLOOKUP(Table91213[[#This Row],[Date]],'DB Details'!$A:$Q,10)=0,"",VLOOKUP(Table91213[[#This Row],[Date]],'DB Details'!$A:$Q,10))</f>
        <v>44.8</v>
      </c>
      <c r="K156" s="50">
        <f>IF(VLOOKUP(Table91213[[#This Row],[Date]],'DB Details'!$A:$Q,11)=0,"",VLOOKUP(Table91213[[#This Row],[Date]],'DB Details'!$A:$Q,11))</f>
        <v>46</v>
      </c>
      <c r="L156" s="48">
        <f>IF(VLOOKUP(Table91213[[#This Row],[Date]],'DB Details'!$A:$Q,12)=0,"",VLOOKUP(Table91213[[#This Row],[Date]],'DB Details'!$A:$Q,12))</f>
        <v>50</v>
      </c>
    </row>
    <row r="157" spans="1:12" x14ac:dyDescent="0.35">
      <c r="A157" s="51">
        <v>40210</v>
      </c>
      <c r="B157" s="48">
        <f>IF(VLOOKUP(Table91213[[#This Row],[Date]],'DB Details'!$A:$Q,2)=0,"",VLOOKUP(Table91213[[#This Row],[Date]],'DB Details'!$A:$Q,2))</f>
        <v>53.4</v>
      </c>
      <c r="C157" s="49">
        <f>IF(VLOOKUP(Table91213[[#This Row],[Date]],'DB Details'!$A:$Q,3)=0,"",VLOOKUP(Table91213[[#This Row],[Date]],'DB Details'!$A:$Q,3))</f>
        <v>48.5</v>
      </c>
      <c r="D157" s="49">
        <f>IF(VLOOKUP(Table91213[[#This Row],[Date]],'DB Details'!$A:$Q,4)=0,"",VLOOKUP(Table91213[[#This Row],[Date]],'DB Details'!$A:$Q,4))</f>
        <v>46</v>
      </c>
      <c r="E157" s="50">
        <f>IF(VLOOKUP(Table91213[[#This Row],[Date]],'DB Details'!$A:$Q,5)=0,"",VLOOKUP(Table91213[[#This Row],[Date]],'DB Details'!$A:$Q,5))</f>
        <v>58.7</v>
      </c>
      <c r="F157" s="49">
        <f>IF(VLOOKUP(Table91213[[#This Row],[Date]],'DB Details'!$A:$Q,6)=0,"",VLOOKUP(Table91213[[#This Row],[Date]],'DB Details'!$A:$Q,6))</f>
        <v>53</v>
      </c>
      <c r="G157" s="50">
        <f>IF(VLOOKUP(Table91213[[#This Row],[Date]],'DB Details'!$A:$Q,7)=0,"",VLOOKUP(Table91213[[#This Row],[Date]],'DB Details'!$A:$Q,7))</f>
        <v>60</v>
      </c>
      <c r="H157" s="50">
        <f>IF(VLOOKUP(Table91213[[#This Row],[Date]],'DB Details'!$A:$Q,8)=0,"",VLOOKUP(Table91213[[#This Row],[Date]],'DB Details'!$A:$Q,8))</f>
        <v>45</v>
      </c>
      <c r="I157" s="50">
        <f>IF(VLOOKUP(Table91213[[#This Row],[Date]],'DB Details'!$A:$Q,9)=0,"",VLOOKUP(Table91213[[#This Row],[Date]],'DB Details'!$A:$Q,9))</f>
        <v>53.5</v>
      </c>
      <c r="J157" s="50">
        <f>IF(VLOOKUP(Table91213[[#This Row],[Date]],'DB Details'!$A:$Q,10)=0,"",VLOOKUP(Table91213[[#This Row],[Date]],'DB Details'!$A:$Q,10))</f>
        <v>46</v>
      </c>
      <c r="K157" s="50">
        <f>IF(VLOOKUP(Table91213[[#This Row],[Date]],'DB Details'!$A:$Q,11)=0,"",VLOOKUP(Table91213[[#This Row],[Date]],'DB Details'!$A:$Q,11))</f>
        <v>47</v>
      </c>
      <c r="L157" s="48">
        <f>IF(VLOOKUP(Table91213[[#This Row],[Date]],'DB Details'!$A:$Q,12)=0,"",VLOOKUP(Table91213[[#This Row],[Date]],'DB Details'!$A:$Q,12))</f>
        <v>51.7</v>
      </c>
    </row>
    <row r="158" spans="1:12" x14ac:dyDescent="0.35">
      <c r="A158" s="51">
        <v>40238</v>
      </c>
      <c r="B158" s="48">
        <f>IF(VLOOKUP(Table91213[[#This Row],[Date]],'DB Details'!$A:$Q,2)=0,"",VLOOKUP(Table91213[[#This Row],[Date]],'DB Details'!$A:$Q,2))</f>
        <v>58.1</v>
      </c>
      <c r="C158" s="49">
        <f>IF(VLOOKUP(Table91213[[#This Row],[Date]],'DB Details'!$A:$Q,3)=0,"",VLOOKUP(Table91213[[#This Row],[Date]],'DB Details'!$A:$Q,3))</f>
        <v>51</v>
      </c>
      <c r="D158" s="49">
        <f>IF(VLOOKUP(Table91213[[#This Row],[Date]],'DB Details'!$A:$Q,4)=0,"",VLOOKUP(Table91213[[#This Row],[Date]],'DB Details'!$A:$Q,4))</f>
        <v>55.5</v>
      </c>
      <c r="E158" s="50">
        <f>IF(VLOOKUP(Table91213[[#This Row],[Date]],'DB Details'!$A:$Q,5)=0,"",VLOOKUP(Table91213[[#This Row],[Date]],'DB Details'!$A:$Q,5))</f>
        <v>60.9</v>
      </c>
      <c r="F158" s="49">
        <f>IF(VLOOKUP(Table91213[[#This Row],[Date]],'DB Details'!$A:$Q,6)=0,"",VLOOKUP(Table91213[[#This Row],[Date]],'DB Details'!$A:$Q,6))</f>
        <v>57.7</v>
      </c>
      <c r="G158" s="50">
        <f>IF(VLOOKUP(Table91213[[#This Row],[Date]],'DB Details'!$A:$Q,7)=0,"",VLOOKUP(Table91213[[#This Row],[Date]],'DB Details'!$A:$Q,7))</f>
        <v>52.5</v>
      </c>
      <c r="H158" s="50">
        <f>IF(VLOOKUP(Table91213[[#This Row],[Date]],'DB Details'!$A:$Q,8)=0,"",VLOOKUP(Table91213[[#This Row],[Date]],'DB Details'!$A:$Q,8))</f>
        <v>46.5</v>
      </c>
      <c r="I158" s="50">
        <f>IF(VLOOKUP(Table91213[[#This Row],[Date]],'DB Details'!$A:$Q,9)=0,"",VLOOKUP(Table91213[[#This Row],[Date]],'DB Details'!$A:$Q,9))</f>
        <v>49.5</v>
      </c>
      <c r="J158" s="50">
        <f>IF(VLOOKUP(Table91213[[#This Row],[Date]],'DB Details'!$A:$Q,10)=0,"",VLOOKUP(Table91213[[#This Row],[Date]],'DB Details'!$A:$Q,10))</f>
        <v>47.4</v>
      </c>
      <c r="K158" s="50">
        <f>IF(VLOOKUP(Table91213[[#This Row],[Date]],'DB Details'!$A:$Q,11)=0,"",VLOOKUP(Table91213[[#This Row],[Date]],'DB Details'!$A:$Q,11))</f>
        <v>57.5</v>
      </c>
      <c r="L158" s="48">
        <f>IF(VLOOKUP(Table91213[[#This Row],[Date]],'DB Details'!$A:$Q,12)=0,"",VLOOKUP(Table91213[[#This Row],[Date]],'DB Details'!$A:$Q,12))</f>
        <v>53.3</v>
      </c>
    </row>
    <row r="159" spans="1:12" x14ac:dyDescent="0.35">
      <c r="A159" s="51">
        <v>40269</v>
      </c>
      <c r="B159" s="48">
        <f>IF(VLOOKUP(Table91213[[#This Row],[Date]],'DB Details'!$A:$Q,2)=0,"",VLOOKUP(Table91213[[#This Row],[Date]],'DB Details'!$A:$Q,2))</f>
        <v>58.1</v>
      </c>
      <c r="C159" s="49">
        <f>IF(VLOOKUP(Table91213[[#This Row],[Date]],'DB Details'!$A:$Q,3)=0,"",VLOOKUP(Table91213[[#This Row],[Date]],'DB Details'!$A:$Q,3))</f>
        <v>56.5</v>
      </c>
      <c r="D159" s="49">
        <f>IF(VLOOKUP(Table91213[[#This Row],[Date]],'DB Details'!$A:$Q,4)=0,"",VLOOKUP(Table91213[[#This Row],[Date]],'DB Details'!$A:$Q,4))</f>
        <v>49.5</v>
      </c>
      <c r="E159" s="50">
        <f>IF(VLOOKUP(Table91213[[#This Row],[Date]],'DB Details'!$A:$Q,5)=0,"",VLOOKUP(Table91213[[#This Row],[Date]],'DB Details'!$A:$Q,5))</f>
        <v>63.8</v>
      </c>
      <c r="F159" s="49">
        <f>IF(VLOOKUP(Table91213[[#This Row],[Date]],'DB Details'!$A:$Q,6)=0,"",VLOOKUP(Table91213[[#This Row],[Date]],'DB Details'!$A:$Q,6))</f>
        <v>59.8</v>
      </c>
      <c r="G159" s="50">
        <f>IF(VLOOKUP(Table91213[[#This Row],[Date]],'DB Details'!$A:$Q,7)=0,"",VLOOKUP(Table91213[[#This Row],[Date]],'DB Details'!$A:$Q,7))</f>
        <v>53.5</v>
      </c>
      <c r="H159" s="50">
        <f>IF(VLOOKUP(Table91213[[#This Row],[Date]],'DB Details'!$A:$Q,8)=0,"",VLOOKUP(Table91213[[#This Row],[Date]],'DB Details'!$A:$Q,8))</f>
        <v>54.5</v>
      </c>
      <c r="I159" s="50">
        <f>IF(VLOOKUP(Table91213[[#This Row],[Date]],'DB Details'!$A:$Q,9)=0,"",VLOOKUP(Table91213[[#This Row],[Date]],'DB Details'!$A:$Q,9))</f>
        <v>53.5</v>
      </c>
      <c r="J159" s="50">
        <f>IF(VLOOKUP(Table91213[[#This Row],[Date]],'DB Details'!$A:$Q,10)=0,"",VLOOKUP(Table91213[[#This Row],[Date]],'DB Details'!$A:$Q,10))</f>
        <v>49.3</v>
      </c>
      <c r="K159" s="50">
        <f>IF(VLOOKUP(Table91213[[#This Row],[Date]],'DB Details'!$A:$Q,11)=0,"",VLOOKUP(Table91213[[#This Row],[Date]],'DB Details'!$A:$Q,11))</f>
        <v>57</v>
      </c>
      <c r="L159" s="48">
        <f>IF(VLOOKUP(Table91213[[#This Row],[Date]],'DB Details'!$A:$Q,12)=0,"",VLOOKUP(Table91213[[#This Row],[Date]],'DB Details'!$A:$Q,12))</f>
        <v>55.3</v>
      </c>
    </row>
    <row r="160" spans="1:12" x14ac:dyDescent="0.35">
      <c r="A160" s="51">
        <v>40299</v>
      </c>
      <c r="B160" s="48">
        <f>IF(VLOOKUP(Table91213[[#This Row],[Date]],'DB Details'!$A:$Q,2)=0,"",VLOOKUP(Table91213[[#This Row],[Date]],'DB Details'!$A:$Q,2))</f>
        <v>57.9</v>
      </c>
      <c r="C160" s="49">
        <f>IF(VLOOKUP(Table91213[[#This Row],[Date]],'DB Details'!$A:$Q,3)=0,"",VLOOKUP(Table91213[[#This Row],[Date]],'DB Details'!$A:$Q,3))</f>
        <v>56.5</v>
      </c>
      <c r="D160" s="49">
        <f>IF(VLOOKUP(Table91213[[#This Row],[Date]],'DB Details'!$A:$Q,4)=0,"",VLOOKUP(Table91213[[#This Row],[Date]],'DB Details'!$A:$Q,4))</f>
        <v>56</v>
      </c>
      <c r="E160" s="50">
        <f>IF(VLOOKUP(Table91213[[#This Row],[Date]],'DB Details'!$A:$Q,5)=0,"",VLOOKUP(Table91213[[#This Row],[Date]],'DB Details'!$A:$Q,5))</f>
        <v>60.8</v>
      </c>
      <c r="F160" s="49">
        <f>IF(VLOOKUP(Table91213[[#This Row],[Date]],'DB Details'!$A:$Q,6)=0,"",VLOOKUP(Table91213[[#This Row],[Date]],'DB Details'!$A:$Q,6))</f>
        <v>61.3</v>
      </c>
      <c r="G160" s="50">
        <f>IF(VLOOKUP(Table91213[[#This Row],[Date]],'DB Details'!$A:$Q,7)=0,"",VLOOKUP(Table91213[[#This Row],[Date]],'DB Details'!$A:$Q,7))</f>
        <v>60.5</v>
      </c>
      <c r="H160" s="50">
        <f>IF(VLOOKUP(Table91213[[#This Row],[Date]],'DB Details'!$A:$Q,8)=0,"",VLOOKUP(Table91213[[#This Row],[Date]],'DB Details'!$A:$Q,8))</f>
        <v>62.5</v>
      </c>
      <c r="I160" s="50">
        <f>IF(VLOOKUP(Table91213[[#This Row],[Date]],'DB Details'!$A:$Q,9)=0,"",VLOOKUP(Table91213[[#This Row],[Date]],'DB Details'!$A:$Q,9))</f>
        <v>53</v>
      </c>
      <c r="J160" s="50">
        <f>IF(VLOOKUP(Table91213[[#This Row],[Date]],'DB Details'!$A:$Q,10)=0,"",VLOOKUP(Table91213[[#This Row],[Date]],'DB Details'!$A:$Q,10))</f>
        <v>49.6</v>
      </c>
      <c r="K160" s="50">
        <f>IF(VLOOKUP(Table91213[[#This Row],[Date]],'DB Details'!$A:$Q,11)=0,"",VLOOKUP(Table91213[[#This Row],[Date]],'DB Details'!$A:$Q,11))</f>
        <v>53.5</v>
      </c>
      <c r="L160" s="48">
        <f>IF(VLOOKUP(Table91213[[#This Row],[Date]],'DB Details'!$A:$Q,12)=0,"",VLOOKUP(Table91213[[#This Row],[Date]],'DB Details'!$A:$Q,12))</f>
        <v>55.5</v>
      </c>
    </row>
    <row r="161" spans="1:12" x14ac:dyDescent="0.35">
      <c r="A161" s="51">
        <v>40330</v>
      </c>
      <c r="B161" s="48">
        <f>IF(VLOOKUP(Table91213[[#This Row],[Date]],'DB Details'!$A:$Q,2)=0,"",VLOOKUP(Table91213[[#This Row],[Date]],'DB Details'!$A:$Q,2))</f>
        <v>56.6</v>
      </c>
      <c r="C161" s="49">
        <f>IF(VLOOKUP(Table91213[[#This Row],[Date]],'DB Details'!$A:$Q,3)=0,"",VLOOKUP(Table91213[[#This Row],[Date]],'DB Details'!$A:$Q,3))</f>
        <v>48</v>
      </c>
      <c r="D161" s="49">
        <f>IF(VLOOKUP(Table91213[[#This Row],[Date]],'DB Details'!$A:$Q,4)=0,"",VLOOKUP(Table91213[[#This Row],[Date]],'DB Details'!$A:$Q,4))</f>
        <v>55.5</v>
      </c>
      <c r="E161" s="50">
        <f>IF(VLOOKUP(Table91213[[#This Row],[Date]],'DB Details'!$A:$Q,5)=0,"",VLOOKUP(Table91213[[#This Row],[Date]],'DB Details'!$A:$Q,5))</f>
        <v>56.7</v>
      </c>
      <c r="F161" s="49">
        <f>IF(VLOOKUP(Table91213[[#This Row],[Date]],'DB Details'!$A:$Q,6)=0,"",VLOOKUP(Table91213[[#This Row],[Date]],'DB Details'!$A:$Q,6))</f>
        <v>59.4</v>
      </c>
      <c r="G161" s="50">
        <f>IF(VLOOKUP(Table91213[[#This Row],[Date]],'DB Details'!$A:$Q,7)=0,"",VLOOKUP(Table91213[[#This Row],[Date]],'DB Details'!$A:$Q,7))</f>
        <v>59</v>
      </c>
      <c r="H161" s="50">
        <f>IF(VLOOKUP(Table91213[[#This Row],[Date]],'DB Details'!$A:$Q,8)=0,"",VLOOKUP(Table91213[[#This Row],[Date]],'DB Details'!$A:$Q,8))</f>
        <v>58.5</v>
      </c>
      <c r="I161" s="50">
        <f>IF(VLOOKUP(Table91213[[#This Row],[Date]],'DB Details'!$A:$Q,9)=0,"",VLOOKUP(Table91213[[#This Row],[Date]],'DB Details'!$A:$Q,9))</f>
        <v>53</v>
      </c>
      <c r="J161" s="50">
        <f>IF(VLOOKUP(Table91213[[#This Row],[Date]],'DB Details'!$A:$Q,10)=0,"",VLOOKUP(Table91213[[#This Row],[Date]],'DB Details'!$A:$Q,10))</f>
        <v>48.5</v>
      </c>
      <c r="K161" s="50">
        <f>IF(VLOOKUP(Table91213[[#This Row],[Date]],'DB Details'!$A:$Q,11)=0,"",VLOOKUP(Table91213[[#This Row],[Date]],'DB Details'!$A:$Q,11))</f>
        <v>48</v>
      </c>
      <c r="L161" s="48">
        <f>IF(VLOOKUP(Table91213[[#This Row],[Date]],'DB Details'!$A:$Q,12)=0,"",VLOOKUP(Table91213[[#This Row],[Date]],'DB Details'!$A:$Q,12))</f>
        <v>54.4</v>
      </c>
    </row>
    <row r="162" spans="1:12" x14ac:dyDescent="0.35">
      <c r="A162" s="51">
        <v>40360</v>
      </c>
      <c r="B162" s="48">
        <f>IF(VLOOKUP(Table91213[[#This Row],[Date]],'DB Details'!$A:$Q,2)=0,"",VLOOKUP(Table91213[[#This Row],[Date]],'DB Details'!$A:$Q,2))</f>
        <v>58.2</v>
      </c>
      <c r="C162" s="49">
        <f>IF(VLOOKUP(Table91213[[#This Row],[Date]],'DB Details'!$A:$Q,3)=0,"",VLOOKUP(Table91213[[#This Row],[Date]],'DB Details'!$A:$Q,3))</f>
        <v>48</v>
      </c>
      <c r="D162" s="49">
        <f>IF(VLOOKUP(Table91213[[#This Row],[Date]],'DB Details'!$A:$Q,4)=0,"",VLOOKUP(Table91213[[#This Row],[Date]],'DB Details'!$A:$Q,4))</f>
        <v>52</v>
      </c>
      <c r="E162" s="50">
        <f>IF(VLOOKUP(Table91213[[#This Row],[Date]],'DB Details'!$A:$Q,5)=0,"",VLOOKUP(Table91213[[#This Row],[Date]],'DB Details'!$A:$Q,5))</f>
        <v>56.1</v>
      </c>
      <c r="F162" s="49">
        <f>IF(VLOOKUP(Table91213[[#This Row],[Date]],'DB Details'!$A:$Q,6)=0,"",VLOOKUP(Table91213[[#This Row],[Date]],'DB Details'!$A:$Q,6))</f>
        <v>57.4</v>
      </c>
      <c r="G162" s="50">
        <f>IF(VLOOKUP(Table91213[[#This Row],[Date]],'DB Details'!$A:$Q,7)=0,"",VLOOKUP(Table91213[[#This Row],[Date]],'DB Details'!$A:$Q,7))</f>
        <v>59</v>
      </c>
      <c r="H162" s="50">
        <f>IF(VLOOKUP(Table91213[[#This Row],[Date]],'DB Details'!$A:$Q,8)=0,"",VLOOKUP(Table91213[[#This Row],[Date]],'DB Details'!$A:$Q,8))</f>
        <v>55.5</v>
      </c>
      <c r="I162" s="50">
        <f>IF(VLOOKUP(Table91213[[#This Row],[Date]],'DB Details'!$A:$Q,9)=0,"",VLOOKUP(Table91213[[#This Row],[Date]],'DB Details'!$A:$Q,9))</f>
        <v>52</v>
      </c>
      <c r="J162" s="50">
        <f>IF(VLOOKUP(Table91213[[#This Row],[Date]],'DB Details'!$A:$Q,10)=0,"",VLOOKUP(Table91213[[#This Row],[Date]],'DB Details'!$A:$Q,10))</f>
        <v>50.7</v>
      </c>
      <c r="K162" s="50">
        <f>IF(VLOOKUP(Table91213[[#This Row],[Date]],'DB Details'!$A:$Q,11)=0,"",VLOOKUP(Table91213[[#This Row],[Date]],'DB Details'!$A:$Q,11))</f>
        <v>52</v>
      </c>
      <c r="L162" s="48">
        <f>IF(VLOOKUP(Table91213[[#This Row],[Date]],'DB Details'!$A:$Q,12)=0,"",VLOOKUP(Table91213[[#This Row],[Date]],'DB Details'!$A:$Q,12))</f>
        <v>54.6</v>
      </c>
    </row>
    <row r="163" spans="1:12" x14ac:dyDescent="0.35">
      <c r="A163" s="51">
        <v>40391</v>
      </c>
      <c r="B163" s="48">
        <f>IF(VLOOKUP(Table91213[[#This Row],[Date]],'DB Details'!$A:$Q,2)=0,"",VLOOKUP(Table91213[[#This Row],[Date]],'DB Details'!$A:$Q,2))</f>
        <v>54.4</v>
      </c>
      <c r="C163" s="49">
        <f>IF(VLOOKUP(Table91213[[#This Row],[Date]],'DB Details'!$A:$Q,3)=0,"",VLOOKUP(Table91213[[#This Row],[Date]],'DB Details'!$A:$Q,3))</f>
        <v>50.5</v>
      </c>
      <c r="D163" s="49">
        <f>IF(VLOOKUP(Table91213[[#This Row],[Date]],'DB Details'!$A:$Q,4)=0,"",VLOOKUP(Table91213[[#This Row],[Date]],'DB Details'!$A:$Q,4))</f>
        <v>50.5</v>
      </c>
      <c r="E163" s="50">
        <f>IF(VLOOKUP(Table91213[[#This Row],[Date]],'DB Details'!$A:$Q,5)=0,"",VLOOKUP(Table91213[[#This Row],[Date]],'DB Details'!$A:$Q,5))</f>
        <v>59.2</v>
      </c>
      <c r="F163" s="49">
        <f>IF(VLOOKUP(Table91213[[#This Row],[Date]],'DB Details'!$A:$Q,6)=0,"",VLOOKUP(Table91213[[#This Row],[Date]],'DB Details'!$A:$Q,6))</f>
        <v>55.8</v>
      </c>
      <c r="G163" s="50">
        <f>IF(VLOOKUP(Table91213[[#This Row],[Date]],'DB Details'!$A:$Q,7)=0,"",VLOOKUP(Table91213[[#This Row],[Date]],'DB Details'!$A:$Q,7))</f>
        <v>60</v>
      </c>
      <c r="H163" s="50">
        <f>IF(VLOOKUP(Table91213[[#This Row],[Date]],'DB Details'!$A:$Q,8)=0,"",VLOOKUP(Table91213[[#This Row],[Date]],'DB Details'!$A:$Q,8))</f>
        <v>53.5</v>
      </c>
      <c r="I163" s="50">
        <f>IF(VLOOKUP(Table91213[[#This Row],[Date]],'DB Details'!$A:$Q,9)=0,"",VLOOKUP(Table91213[[#This Row],[Date]],'DB Details'!$A:$Q,9))</f>
        <v>51</v>
      </c>
      <c r="J163" s="50">
        <f>IF(VLOOKUP(Table91213[[#This Row],[Date]],'DB Details'!$A:$Q,10)=0,"",VLOOKUP(Table91213[[#This Row],[Date]],'DB Details'!$A:$Q,10))</f>
        <v>48.9</v>
      </c>
      <c r="K163" s="50">
        <f>IF(VLOOKUP(Table91213[[#This Row],[Date]],'DB Details'!$A:$Q,11)=0,"",VLOOKUP(Table91213[[#This Row],[Date]],'DB Details'!$A:$Q,11))</f>
        <v>46.5</v>
      </c>
      <c r="L163" s="48">
        <f>IF(VLOOKUP(Table91213[[#This Row],[Date]],'DB Details'!$A:$Q,12)=0,"",VLOOKUP(Table91213[[#This Row],[Date]],'DB Details'!$A:$Q,12))</f>
        <v>52.4</v>
      </c>
    </row>
    <row r="164" spans="1:12" x14ac:dyDescent="0.35">
      <c r="A164" s="51">
        <v>40422</v>
      </c>
      <c r="B164" s="48">
        <f>IF(VLOOKUP(Table91213[[#This Row],[Date]],'DB Details'!$A:$Q,2)=0,"",VLOOKUP(Table91213[[#This Row],[Date]],'DB Details'!$A:$Q,2))</f>
        <v>54.3</v>
      </c>
      <c r="C164" s="49">
        <f>IF(VLOOKUP(Table91213[[#This Row],[Date]],'DB Details'!$A:$Q,3)=0,"",VLOOKUP(Table91213[[#This Row],[Date]],'DB Details'!$A:$Q,3))</f>
        <v>53</v>
      </c>
      <c r="D164" s="49">
        <f>IF(VLOOKUP(Table91213[[#This Row],[Date]],'DB Details'!$A:$Q,4)=0,"",VLOOKUP(Table91213[[#This Row],[Date]],'DB Details'!$A:$Q,4))</f>
        <v>48</v>
      </c>
      <c r="E164" s="50">
        <f>IF(VLOOKUP(Table91213[[#This Row],[Date]],'DB Details'!$A:$Q,5)=0,"",VLOOKUP(Table91213[[#This Row],[Date]],'DB Details'!$A:$Q,5))</f>
        <v>59.5</v>
      </c>
      <c r="F164" s="49">
        <f>IF(VLOOKUP(Table91213[[#This Row],[Date]],'DB Details'!$A:$Q,6)=0,"",VLOOKUP(Table91213[[#This Row],[Date]],'DB Details'!$A:$Q,6))</f>
        <v>53.3</v>
      </c>
      <c r="G164" s="50">
        <f>IF(VLOOKUP(Table91213[[#This Row],[Date]],'DB Details'!$A:$Q,7)=0,"",VLOOKUP(Table91213[[#This Row],[Date]],'DB Details'!$A:$Q,7))</f>
        <v>59.5</v>
      </c>
      <c r="H164" s="50">
        <f>IF(VLOOKUP(Table91213[[#This Row],[Date]],'DB Details'!$A:$Q,8)=0,"",VLOOKUP(Table91213[[#This Row],[Date]],'DB Details'!$A:$Q,8))</f>
        <v>47</v>
      </c>
      <c r="I164" s="50">
        <f>IF(VLOOKUP(Table91213[[#This Row],[Date]],'DB Details'!$A:$Q,9)=0,"",VLOOKUP(Table91213[[#This Row],[Date]],'DB Details'!$A:$Q,9))</f>
        <v>55</v>
      </c>
      <c r="J164" s="50">
        <f>IF(VLOOKUP(Table91213[[#This Row],[Date]],'DB Details'!$A:$Q,10)=0,"",VLOOKUP(Table91213[[#This Row],[Date]],'DB Details'!$A:$Q,10))</f>
        <v>51.5</v>
      </c>
      <c r="K164" s="50">
        <f>IF(VLOOKUP(Table91213[[#This Row],[Date]],'DB Details'!$A:$Q,11)=0,"",VLOOKUP(Table91213[[#This Row],[Date]],'DB Details'!$A:$Q,11))</f>
        <v>58</v>
      </c>
      <c r="L164" s="48">
        <f>IF(VLOOKUP(Table91213[[#This Row],[Date]],'DB Details'!$A:$Q,12)=0,"",VLOOKUP(Table91213[[#This Row],[Date]],'DB Details'!$A:$Q,12))</f>
        <v>53.3</v>
      </c>
    </row>
    <row r="165" spans="1:12" x14ac:dyDescent="0.35">
      <c r="A165" s="51">
        <v>40452</v>
      </c>
      <c r="B165" s="48">
        <f>IF(VLOOKUP(Table91213[[#This Row],[Date]],'DB Details'!$A:$Q,2)=0,"",VLOOKUP(Table91213[[#This Row],[Date]],'DB Details'!$A:$Q,2))</f>
        <v>58.3</v>
      </c>
      <c r="C165" s="49">
        <f>IF(VLOOKUP(Table91213[[#This Row],[Date]],'DB Details'!$A:$Q,3)=0,"",VLOOKUP(Table91213[[#This Row],[Date]],'DB Details'!$A:$Q,3))</f>
        <v>54</v>
      </c>
      <c r="D165" s="49">
        <f>IF(VLOOKUP(Table91213[[#This Row],[Date]],'DB Details'!$A:$Q,4)=0,"",VLOOKUP(Table91213[[#This Row],[Date]],'DB Details'!$A:$Q,4))</f>
        <v>52</v>
      </c>
      <c r="E165" s="50">
        <f>IF(VLOOKUP(Table91213[[#This Row],[Date]],'DB Details'!$A:$Q,5)=0,"",VLOOKUP(Table91213[[#This Row],[Date]],'DB Details'!$A:$Q,5))</f>
        <v>68.2</v>
      </c>
      <c r="F165" s="49">
        <f>IF(VLOOKUP(Table91213[[#This Row],[Date]],'DB Details'!$A:$Q,6)=0,"",VLOOKUP(Table91213[[#This Row],[Date]],'DB Details'!$A:$Q,6))</f>
        <v>59.7</v>
      </c>
      <c r="G165" s="50">
        <f>IF(VLOOKUP(Table91213[[#This Row],[Date]],'DB Details'!$A:$Q,7)=0,"",VLOOKUP(Table91213[[#This Row],[Date]],'DB Details'!$A:$Q,7))</f>
        <v>61.5</v>
      </c>
      <c r="H165" s="50">
        <f>IF(VLOOKUP(Table91213[[#This Row],[Date]],'DB Details'!$A:$Q,8)=0,"",VLOOKUP(Table91213[[#This Row],[Date]],'DB Details'!$A:$Q,8))</f>
        <v>47.5</v>
      </c>
      <c r="I165" s="50">
        <f>IF(VLOOKUP(Table91213[[#This Row],[Date]],'DB Details'!$A:$Q,9)=0,"",VLOOKUP(Table91213[[#This Row],[Date]],'DB Details'!$A:$Q,9))</f>
        <v>51</v>
      </c>
      <c r="J165" s="50">
        <f>IF(VLOOKUP(Table91213[[#This Row],[Date]],'DB Details'!$A:$Q,10)=0,"",VLOOKUP(Table91213[[#This Row],[Date]],'DB Details'!$A:$Q,10))</f>
        <v>52.1</v>
      </c>
      <c r="K165" s="50">
        <f>IF(VLOOKUP(Table91213[[#This Row],[Date]],'DB Details'!$A:$Q,11)=0,"",VLOOKUP(Table91213[[#This Row],[Date]],'DB Details'!$A:$Q,11))</f>
        <v>55.5</v>
      </c>
      <c r="L165" s="48">
        <f>IF(VLOOKUP(Table91213[[#This Row],[Date]],'DB Details'!$A:$Q,12)=0,"",VLOOKUP(Table91213[[#This Row],[Date]],'DB Details'!$A:$Q,12))</f>
        <v>55.3</v>
      </c>
    </row>
    <row r="166" spans="1:12" x14ac:dyDescent="0.35">
      <c r="A166" s="51">
        <v>40483</v>
      </c>
      <c r="B166" s="48">
        <f>IF(VLOOKUP(Table91213[[#This Row],[Date]],'DB Details'!$A:$Q,2)=0,"",VLOOKUP(Table91213[[#This Row],[Date]],'DB Details'!$A:$Q,2))</f>
        <v>58.4</v>
      </c>
      <c r="C166" s="49">
        <f>IF(VLOOKUP(Table91213[[#This Row],[Date]],'DB Details'!$A:$Q,3)=0,"",VLOOKUP(Table91213[[#This Row],[Date]],'DB Details'!$A:$Q,3))</f>
        <v>54.5</v>
      </c>
      <c r="D166" s="49">
        <f>IF(VLOOKUP(Table91213[[#This Row],[Date]],'DB Details'!$A:$Q,4)=0,"",VLOOKUP(Table91213[[#This Row],[Date]],'DB Details'!$A:$Q,4))</f>
        <v>51.5</v>
      </c>
      <c r="E166" s="50">
        <f>IF(VLOOKUP(Table91213[[#This Row],[Date]],'DB Details'!$A:$Q,5)=0,"",VLOOKUP(Table91213[[#This Row],[Date]],'DB Details'!$A:$Q,5))</f>
        <v>65.599999999999994</v>
      </c>
      <c r="F166" s="49">
        <f>IF(VLOOKUP(Table91213[[#This Row],[Date]],'DB Details'!$A:$Q,6)=0,"",VLOOKUP(Table91213[[#This Row],[Date]],'DB Details'!$A:$Q,6))</f>
        <v>59.1</v>
      </c>
      <c r="G166" s="50">
        <f>IF(VLOOKUP(Table91213[[#This Row],[Date]],'DB Details'!$A:$Q,7)=0,"",VLOOKUP(Table91213[[#This Row],[Date]],'DB Details'!$A:$Q,7))</f>
        <v>60</v>
      </c>
      <c r="H166" s="50">
        <f>IF(VLOOKUP(Table91213[[#This Row],[Date]],'DB Details'!$A:$Q,8)=0,"",VLOOKUP(Table91213[[#This Row],[Date]],'DB Details'!$A:$Q,8))</f>
        <v>51.5</v>
      </c>
      <c r="I166" s="50">
        <f>IF(VLOOKUP(Table91213[[#This Row],[Date]],'DB Details'!$A:$Q,9)=0,"",VLOOKUP(Table91213[[#This Row],[Date]],'DB Details'!$A:$Q,9))</f>
        <v>52.5</v>
      </c>
      <c r="J166" s="50">
        <f>IF(VLOOKUP(Table91213[[#This Row],[Date]],'DB Details'!$A:$Q,10)=0,"",VLOOKUP(Table91213[[#This Row],[Date]],'DB Details'!$A:$Q,10))</f>
        <v>56.6</v>
      </c>
      <c r="K166" s="50">
        <f>IF(VLOOKUP(Table91213[[#This Row],[Date]],'DB Details'!$A:$Q,11)=0,"",VLOOKUP(Table91213[[#This Row],[Date]],'DB Details'!$A:$Q,11))</f>
        <v>59.5</v>
      </c>
      <c r="L166" s="48">
        <f>IF(VLOOKUP(Table91213[[#This Row],[Date]],'DB Details'!$A:$Q,12)=0,"",VLOOKUP(Table91213[[#This Row],[Date]],'DB Details'!$A:$Q,12))</f>
        <v>56.4</v>
      </c>
    </row>
    <row r="167" spans="1:12" x14ac:dyDescent="0.35">
      <c r="A167" s="51">
        <v>40513</v>
      </c>
      <c r="B167" s="48">
        <f>IF(VLOOKUP(Table91213[[#This Row],[Date]],'DB Details'!$A:$Q,2)=0,"",VLOOKUP(Table91213[[#This Row],[Date]],'DB Details'!$A:$Q,2))</f>
        <v>62.1</v>
      </c>
      <c r="C167" s="49">
        <f>IF(VLOOKUP(Table91213[[#This Row],[Date]],'DB Details'!$A:$Q,3)=0,"",VLOOKUP(Table91213[[#This Row],[Date]],'DB Details'!$A:$Q,3))</f>
        <v>51</v>
      </c>
      <c r="D167" s="49">
        <f>IF(VLOOKUP(Table91213[[#This Row],[Date]],'DB Details'!$A:$Q,4)=0,"",VLOOKUP(Table91213[[#This Row],[Date]],'DB Details'!$A:$Q,4))</f>
        <v>48.5</v>
      </c>
      <c r="E167" s="50">
        <f>IF(VLOOKUP(Table91213[[#This Row],[Date]],'DB Details'!$A:$Q,5)=0,"",VLOOKUP(Table91213[[#This Row],[Date]],'DB Details'!$A:$Q,5))</f>
        <v>69.3</v>
      </c>
      <c r="F167" s="49">
        <f>IF(VLOOKUP(Table91213[[#This Row],[Date]],'DB Details'!$A:$Q,6)=0,"",VLOOKUP(Table91213[[#This Row],[Date]],'DB Details'!$A:$Q,6))</f>
        <v>62.2</v>
      </c>
      <c r="G167" s="50">
        <f>IF(VLOOKUP(Table91213[[#This Row],[Date]],'DB Details'!$A:$Q,7)=0,"",VLOOKUP(Table91213[[#This Row],[Date]],'DB Details'!$A:$Q,7))</f>
        <v>61.5</v>
      </c>
      <c r="H167" s="50">
        <f>IF(VLOOKUP(Table91213[[#This Row],[Date]],'DB Details'!$A:$Q,8)=0,"",VLOOKUP(Table91213[[#This Row],[Date]],'DB Details'!$A:$Q,8))</f>
        <v>52.5</v>
      </c>
      <c r="I167" s="50">
        <f>IF(VLOOKUP(Table91213[[#This Row],[Date]],'DB Details'!$A:$Q,9)=0,"",VLOOKUP(Table91213[[#This Row],[Date]],'DB Details'!$A:$Q,9))</f>
        <v>51.5</v>
      </c>
      <c r="J167" s="50">
        <f>IF(VLOOKUP(Table91213[[#This Row],[Date]],'DB Details'!$A:$Q,10)=0,"",VLOOKUP(Table91213[[#This Row],[Date]],'DB Details'!$A:$Q,10))</f>
        <v>52.2</v>
      </c>
      <c r="K167" s="50">
        <f>IF(VLOOKUP(Table91213[[#This Row],[Date]],'DB Details'!$A:$Q,11)=0,"",VLOOKUP(Table91213[[#This Row],[Date]],'DB Details'!$A:$Q,11))</f>
        <v>56</v>
      </c>
      <c r="L167" s="48">
        <f>IF(VLOOKUP(Table91213[[#This Row],[Date]],'DB Details'!$A:$Q,12)=0,"",VLOOKUP(Table91213[[#This Row],[Date]],'DB Details'!$A:$Q,12))</f>
        <v>56.9</v>
      </c>
    </row>
    <row r="168" spans="1:12" x14ac:dyDescent="0.35">
      <c r="A168" s="51">
        <v>40544</v>
      </c>
      <c r="B168" s="48">
        <f>IF(VLOOKUP(Table91213[[#This Row],[Date]],'DB Details'!$A:$Q,2)=0,"",VLOOKUP(Table91213[[#This Row],[Date]],'DB Details'!$A:$Q,2))</f>
        <v>63</v>
      </c>
      <c r="C168" s="49">
        <f>IF(VLOOKUP(Table91213[[#This Row],[Date]],'DB Details'!$A:$Q,3)=0,"",VLOOKUP(Table91213[[#This Row],[Date]],'DB Details'!$A:$Q,3))</f>
        <v>53.5</v>
      </c>
      <c r="D168" s="49">
        <f>IF(VLOOKUP(Table91213[[#This Row],[Date]],'DB Details'!$A:$Q,4)=0,"",VLOOKUP(Table91213[[#This Row],[Date]],'DB Details'!$A:$Q,4))</f>
        <v>50.5</v>
      </c>
      <c r="E168" s="50">
        <f>IF(VLOOKUP(Table91213[[#This Row],[Date]],'DB Details'!$A:$Q,5)=0,"",VLOOKUP(Table91213[[#This Row],[Date]],'DB Details'!$A:$Q,5))</f>
        <v>70</v>
      </c>
      <c r="F168" s="49">
        <f>IF(VLOOKUP(Table91213[[#This Row],[Date]],'DB Details'!$A:$Q,6)=0,"",VLOOKUP(Table91213[[#This Row],[Date]],'DB Details'!$A:$Q,6))</f>
        <v>61.6</v>
      </c>
      <c r="G168" s="50">
        <f>IF(VLOOKUP(Table91213[[#This Row],[Date]],'DB Details'!$A:$Q,7)=0,"",VLOOKUP(Table91213[[#This Row],[Date]],'DB Details'!$A:$Q,7))</f>
        <v>60</v>
      </c>
      <c r="H168" s="50">
        <f>IF(VLOOKUP(Table91213[[#This Row],[Date]],'DB Details'!$A:$Q,8)=0,"",VLOOKUP(Table91213[[#This Row],[Date]],'DB Details'!$A:$Q,8))</f>
        <v>49</v>
      </c>
      <c r="I168" s="50">
        <f>IF(VLOOKUP(Table91213[[#This Row],[Date]],'DB Details'!$A:$Q,9)=0,"",VLOOKUP(Table91213[[#This Row],[Date]],'DB Details'!$A:$Q,9))</f>
        <v>53.5</v>
      </c>
      <c r="J168" s="50">
        <f>IF(VLOOKUP(Table91213[[#This Row],[Date]],'DB Details'!$A:$Q,10)=0,"",VLOOKUP(Table91213[[#This Row],[Date]],'DB Details'!$A:$Q,10))</f>
        <v>52.1</v>
      </c>
      <c r="K168" s="50">
        <f>IF(VLOOKUP(Table91213[[#This Row],[Date]],'DB Details'!$A:$Q,11)=0,"",VLOOKUP(Table91213[[#This Row],[Date]],'DB Details'!$A:$Q,11))</f>
        <v>53.5</v>
      </c>
      <c r="L168" s="48">
        <f>IF(VLOOKUP(Table91213[[#This Row],[Date]],'DB Details'!$A:$Q,12)=0,"",VLOOKUP(Table91213[[#This Row],[Date]],'DB Details'!$A:$Q,12))</f>
        <v>57.6</v>
      </c>
    </row>
    <row r="169" spans="1:12" x14ac:dyDescent="0.35">
      <c r="A169" s="51">
        <v>40575</v>
      </c>
      <c r="B169" s="48">
        <f>IF(VLOOKUP(Table91213[[#This Row],[Date]],'DB Details'!$A:$Q,2)=0,"",VLOOKUP(Table91213[[#This Row],[Date]],'DB Details'!$A:$Q,2))</f>
        <v>61.9</v>
      </c>
      <c r="C169" s="49">
        <f>IF(VLOOKUP(Table91213[[#This Row],[Date]],'DB Details'!$A:$Q,3)=0,"",VLOOKUP(Table91213[[#This Row],[Date]],'DB Details'!$A:$Q,3))</f>
        <v>53.5</v>
      </c>
      <c r="D169" s="49">
        <f>IF(VLOOKUP(Table91213[[#This Row],[Date]],'DB Details'!$A:$Q,4)=0,"",VLOOKUP(Table91213[[#This Row],[Date]],'DB Details'!$A:$Q,4))</f>
        <v>52</v>
      </c>
      <c r="E169" s="50">
        <f>IF(VLOOKUP(Table91213[[#This Row],[Date]],'DB Details'!$A:$Q,5)=0,"",VLOOKUP(Table91213[[#This Row],[Date]],'DB Details'!$A:$Q,5))</f>
        <v>70.900000000000006</v>
      </c>
      <c r="F169" s="49">
        <f>IF(VLOOKUP(Table91213[[#This Row],[Date]],'DB Details'!$A:$Q,6)=0,"",VLOOKUP(Table91213[[#This Row],[Date]],'DB Details'!$A:$Q,6))</f>
        <v>63.3</v>
      </c>
      <c r="G169" s="50">
        <f>IF(VLOOKUP(Table91213[[#This Row],[Date]],'DB Details'!$A:$Q,7)=0,"",VLOOKUP(Table91213[[#This Row],[Date]],'DB Details'!$A:$Q,7))</f>
        <v>57.5</v>
      </c>
      <c r="H169" s="50">
        <f>IF(VLOOKUP(Table91213[[#This Row],[Date]],'DB Details'!$A:$Q,8)=0,"",VLOOKUP(Table91213[[#This Row],[Date]],'DB Details'!$A:$Q,8))</f>
        <v>55.5</v>
      </c>
      <c r="I169" s="50">
        <f>IF(VLOOKUP(Table91213[[#This Row],[Date]],'DB Details'!$A:$Q,9)=0,"",VLOOKUP(Table91213[[#This Row],[Date]],'DB Details'!$A:$Q,9))</f>
        <v>52</v>
      </c>
      <c r="J169" s="50">
        <f>IF(VLOOKUP(Table91213[[#This Row],[Date]],'DB Details'!$A:$Q,10)=0,"",VLOOKUP(Table91213[[#This Row],[Date]],'DB Details'!$A:$Q,10))</f>
        <v>53.6</v>
      </c>
      <c r="K169" s="50">
        <f>IF(VLOOKUP(Table91213[[#This Row],[Date]],'DB Details'!$A:$Q,11)=0,"",VLOOKUP(Table91213[[#This Row],[Date]],'DB Details'!$A:$Q,11))</f>
        <v>56.5</v>
      </c>
      <c r="L169" s="48">
        <f>IF(VLOOKUP(Table91213[[#This Row],[Date]],'DB Details'!$A:$Q,12)=0,"",VLOOKUP(Table91213[[#This Row],[Date]],'DB Details'!$A:$Q,12))</f>
        <v>58</v>
      </c>
    </row>
    <row r="170" spans="1:12" x14ac:dyDescent="0.35">
      <c r="A170" s="51">
        <v>40603</v>
      </c>
      <c r="B170" s="48">
        <f>IF(VLOOKUP(Table91213[[#This Row],[Date]],'DB Details'!$A:$Q,2)=0,"",VLOOKUP(Table91213[[#This Row],[Date]],'DB Details'!$A:$Q,2))</f>
        <v>59.5</v>
      </c>
      <c r="C170" s="49">
        <f>IF(VLOOKUP(Table91213[[#This Row],[Date]],'DB Details'!$A:$Q,3)=0,"",VLOOKUP(Table91213[[#This Row],[Date]],'DB Details'!$A:$Q,3))</f>
        <v>50</v>
      </c>
      <c r="D170" s="49">
        <f>IF(VLOOKUP(Table91213[[#This Row],[Date]],'DB Details'!$A:$Q,4)=0,"",VLOOKUP(Table91213[[#This Row],[Date]],'DB Details'!$A:$Q,4))</f>
        <v>56</v>
      </c>
      <c r="E170" s="50">
        <f>IF(VLOOKUP(Table91213[[#This Row],[Date]],'DB Details'!$A:$Q,5)=0,"",VLOOKUP(Table91213[[#This Row],[Date]],'DB Details'!$A:$Q,5))</f>
        <v>70.900000000000006</v>
      </c>
      <c r="F170" s="49">
        <f>IF(VLOOKUP(Table91213[[#This Row],[Date]],'DB Details'!$A:$Q,6)=0,"",VLOOKUP(Table91213[[#This Row],[Date]],'DB Details'!$A:$Q,6))</f>
        <v>58.2</v>
      </c>
      <c r="G170" s="50">
        <f>IF(VLOOKUP(Table91213[[#This Row],[Date]],'DB Details'!$A:$Q,7)=0,"",VLOOKUP(Table91213[[#This Row],[Date]],'DB Details'!$A:$Q,7))</f>
        <v>67</v>
      </c>
      <c r="H170" s="50">
        <f>IF(VLOOKUP(Table91213[[#This Row],[Date]],'DB Details'!$A:$Q,8)=0,"",VLOOKUP(Table91213[[#This Row],[Date]],'DB Details'!$A:$Q,8))</f>
        <v>55.5</v>
      </c>
      <c r="I170" s="50">
        <f>IF(VLOOKUP(Table91213[[#This Row],[Date]],'DB Details'!$A:$Q,9)=0,"",VLOOKUP(Table91213[[#This Row],[Date]],'DB Details'!$A:$Q,9))</f>
        <v>51.5</v>
      </c>
      <c r="J170" s="50">
        <f>IF(VLOOKUP(Table91213[[#This Row],[Date]],'DB Details'!$A:$Q,10)=0,"",VLOOKUP(Table91213[[#This Row],[Date]],'DB Details'!$A:$Q,10))</f>
        <v>52.9</v>
      </c>
      <c r="K170" s="50">
        <f>IF(VLOOKUP(Table91213[[#This Row],[Date]],'DB Details'!$A:$Q,11)=0,"",VLOOKUP(Table91213[[#This Row],[Date]],'DB Details'!$A:$Q,11))</f>
        <v>59</v>
      </c>
      <c r="L170" s="48">
        <f>IF(VLOOKUP(Table91213[[#This Row],[Date]],'DB Details'!$A:$Q,12)=0,"",VLOOKUP(Table91213[[#This Row],[Date]],'DB Details'!$A:$Q,12))</f>
        <v>55.8</v>
      </c>
    </row>
    <row r="171" spans="1:12" x14ac:dyDescent="0.35">
      <c r="A171" s="51">
        <v>40634</v>
      </c>
      <c r="B171" s="48">
        <f>IF(VLOOKUP(Table91213[[#This Row],[Date]],'DB Details'!$A:$Q,2)=0,"",VLOOKUP(Table91213[[#This Row],[Date]],'DB Details'!$A:$Q,2))</f>
        <v>56.3</v>
      </c>
      <c r="C171" s="49">
        <f>IF(VLOOKUP(Table91213[[#This Row],[Date]],'DB Details'!$A:$Q,3)=0,"",VLOOKUP(Table91213[[#This Row],[Date]],'DB Details'!$A:$Q,3))</f>
        <v>57</v>
      </c>
      <c r="D171" s="49">
        <f>IF(VLOOKUP(Table91213[[#This Row],[Date]],'DB Details'!$A:$Q,4)=0,"",VLOOKUP(Table91213[[#This Row],[Date]],'DB Details'!$A:$Q,4))</f>
        <v>55.5</v>
      </c>
      <c r="E171" s="50">
        <f>IF(VLOOKUP(Table91213[[#This Row],[Date]],'DB Details'!$A:$Q,5)=0,"",VLOOKUP(Table91213[[#This Row],[Date]],'DB Details'!$A:$Q,5))</f>
        <v>71</v>
      </c>
      <c r="F171" s="49">
        <f>IF(VLOOKUP(Table91213[[#This Row],[Date]],'DB Details'!$A:$Q,6)=0,"",VLOOKUP(Table91213[[#This Row],[Date]],'DB Details'!$A:$Q,6))</f>
        <v>56.9</v>
      </c>
      <c r="G171" s="50">
        <f>IF(VLOOKUP(Table91213[[#This Row],[Date]],'DB Details'!$A:$Q,7)=0,"",VLOOKUP(Table91213[[#This Row],[Date]],'DB Details'!$A:$Q,7))</f>
        <v>57.5</v>
      </c>
      <c r="H171" s="50">
        <f>IF(VLOOKUP(Table91213[[#This Row],[Date]],'DB Details'!$A:$Q,8)=0,"",VLOOKUP(Table91213[[#This Row],[Date]],'DB Details'!$A:$Q,8))</f>
        <v>55.5</v>
      </c>
      <c r="I171" s="50">
        <f>IF(VLOOKUP(Table91213[[#This Row],[Date]],'DB Details'!$A:$Q,9)=0,"",VLOOKUP(Table91213[[#This Row],[Date]],'DB Details'!$A:$Q,9))</f>
        <v>53</v>
      </c>
      <c r="J171" s="50">
        <f>IF(VLOOKUP(Table91213[[#This Row],[Date]],'DB Details'!$A:$Q,10)=0,"",VLOOKUP(Table91213[[#This Row],[Date]],'DB Details'!$A:$Q,10))</f>
        <v>53.6</v>
      </c>
      <c r="K171" s="50">
        <f>IF(VLOOKUP(Table91213[[#This Row],[Date]],'DB Details'!$A:$Q,11)=0,"",VLOOKUP(Table91213[[#This Row],[Date]],'DB Details'!$A:$Q,11))</f>
        <v>53.5</v>
      </c>
      <c r="L171" s="48">
        <f>IF(VLOOKUP(Table91213[[#This Row],[Date]],'DB Details'!$A:$Q,12)=0,"",VLOOKUP(Table91213[[#This Row],[Date]],'DB Details'!$A:$Q,12))</f>
        <v>55.2</v>
      </c>
    </row>
    <row r="172" spans="1:12" x14ac:dyDescent="0.35">
      <c r="A172" s="51">
        <v>40664</v>
      </c>
      <c r="B172" s="48">
        <f>IF(VLOOKUP(Table91213[[#This Row],[Date]],'DB Details'!$A:$Q,2)=0,"",VLOOKUP(Table91213[[#This Row],[Date]],'DB Details'!$A:$Q,2))</f>
        <v>56</v>
      </c>
      <c r="C172" s="49">
        <f>IF(VLOOKUP(Table91213[[#This Row],[Date]],'DB Details'!$A:$Q,3)=0,"",VLOOKUP(Table91213[[#This Row],[Date]],'DB Details'!$A:$Q,3))</f>
        <v>50.5</v>
      </c>
      <c r="D172" s="49">
        <f>IF(VLOOKUP(Table91213[[#This Row],[Date]],'DB Details'!$A:$Q,4)=0,"",VLOOKUP(Table91213[[#This Row],[Date]],'DB Details'!$A:$Q,4))</f>
        <v>55</v>
      </c>
      <c r="E172" s="50">
        <f>IF(VLOOKUP(Table91213[[#This Row],[Date]],'DB Details'!$A:$Q,5)=0,"",VLOOKUP(Table91213[[#This Row],[Date]],'DB Details'!$A:$Q,5))</f>
        <v>70.3</v>
      </c>
      <c r="F172" s="49">
        <f>IF(VLOOKUP(Table91213[[#This Row],[Date]],'DB Details'!$A:$Q,6)=0,"",VLOOKUP(Table91213[[#This Row],[Date]],'DB Details'!$A:$Q,6))</f>
        <v>55</v>
      </c>
      <c r="G172" s="50">
        <f>IF(VLOOKUP(Table91213[[#This Row],[Date]],'DB Details'!$A:$Q,7)=0,"",VLOOKUP(Table91213[[#This Row],[Date]],'DB Details'!$A:$Q,7))</f>
        <v>55</v>
      </c>
      <c r="H172" s="50">
        <f>IF(VLOOKUP(Table91213[[#This Row],[Date]],'DB Details'!$A:$Q,8)=0,"",VLOOKUP(Table91213[[#This Row],[Date]],'DB Details'!$A:$Q,8))</f>
        <v>55</v>
      </c>
      <c r="I172" s="50">
        <f>IF(VLOOKUP(Table91213[[#This Row],[Date]],'DB Details'!$A:$Q,9)=0,"",VLOOKUP(Table91213[[#This Row],[Date]],'DB Details'!$A:$Q,9))</f>
        <v>54</v>
      </c>
      <c r="J172" s="50">
        <f>IF(VLOOKUP(Table91213[[#This Row],[Date]],'DB Details'!$A:$Q,10)=0,"",VLOOKUP(Table91213[[#This Row],[Date]],'DB Details'!$A:$Q,10))</f>
        <v>54.4</v>
      </c>
      <c r="K172" s="50">
        <f>IF(VLOOKUP(Table91213[[#This Row],[Date]],'DB Details'!$A:$Q,11)=0,"",VLOOKUP(Table91213[[#This Row],[Date]],'DB Details'!$A:$Q,11))</f>
        <v>57</v>
      </c>
      <c r="L172" s="48">
        <f>IF(VLOOKUP(Table91213[[#This Row],[Date]],'DB Details'!$A:$Q,12)=0,"",VLOOKUP(Table91213[[#This Row],[Date]],'DB Details'!$A:$Q,12))</f>
        <v>55</v>
      </c>
    </row>
    <row r="173" spans="1:12" x14ac:dyDescent="0.35">
      <c r="A173" s="51">
        <v>40695</v>
      </c>
      <c r="B173" s="48">
        <f>IF(VLOOKUP(Table91213[[#This Row],[Date]],'DB Details'!$A:$Q,2)=0,"",VLOOKUP(Table91213[[#This Row],[Date]],'DB Details'!$A:$Q,2))</f>
        <v>55.4</v>
      </c>
      <c r="C173" s="49">
        <f>IF(VLOOKUP(Table91213[[#This Row],[Date]],'DB Details'!$A:$Q,3)=0,"",VLOOKUP(Table91213[[#This Row],[Date]],'DB Details'!$A:$Q,3))</f>
        <v>46.5</v>
      </c>
      <c r="D173" s="49">
        <f>IF(VLOOKUP(Table91213[[#This Row],[Date]],'DB Details'!$A:$Q,4)=0,"",VLOOKUP(Table91213[[#This Row],[Date]],'DB Details'!$A:$Q,4))</f>
        <v>48.5</v>
      </c>
      <c r="E173" s="50">
        <f>IF(VLOOKUP(Table91213[[#This Row],[Date]],'DB Details'!$A:$Q,5)=0,"",VLOOKUP(Table91213[[#This Row],[Date]],'DB Details'!$A:$Q,5))</f>
        <v>62.4</v>
      </c>
      <c r="F173" s="49">
        <f>IF(VLOOKUP(Table91213[[#This Row],[Date]],'DB Details'!$A:$Q,6)=0,"",VLOOKUP(Table91213[[#This Row],[Date]],'DB Details'!$A:$Q,6))</f>
        <v>55.7</v>
      </c>
      <c r="G173" s="50">
        <f>IF(VLOOKUP(Table91213[[#This Row],[Date]],'DB Details'!$A:$Q,7)=0,"",VLOOKUP(Table91213[[#This Row],[Date]],'DB Details'!$A:$Q,7))</f>
        <v>58.5</v>
      </c>
      <c r="H173" s="50">
        <f>IF(VLOOKUP(Table91213[[#This Row],[Date]],'DB Details'!$A:$Q,8)=0,"",VLOOKUP(Table91213[[#This Row],[Date]],'DB Details'!$A:$Q,8))</f>
        <v>53.5</v>
      </c>
      <c r="I173" s="50">
        <f>IF(VLOOKUP(Table91213[[#This Row],[Date]],'DB Details'!$A:$Q,9)=0,"",VLOOKUP(Table91213[[#This Row],[Date]],'DB Details'!$A:$Q,9))</f>
        <v>52</v>
      </c>
      <c r="J173" s="50">
        <f>IF(VLOOKUP(Table91213[[#This Row],[Date]],'DB Details'!$A:$Q,10)=0,"",VLOOKUP(Table91213[[#This Row],[Date]],'DB Details'!$A:$Q,10))</f>
        <v>52.9</v>
      </c>
      <c r="K173" s="50">
        <f>IF(VLOOKUP(Table91213[[#This Row],[Date]],'DB Details'!$A:$Q,11)=0,"",VLOOKUP(Table91213[[#This Row],[Date]],'DB Details'!$A:$Q,11))</f>
        <v>57</v>
      </c>
      <c r="L173" s="48">
        <f>IF(VLOOKUP(Table91213[[#This Row],[Date]],'DB Details'!$A:$Q,12)=0,"",VLOOKUP(Table91213[[#This Row],[Date]],'DB Details'!$A:$Q,12))</f>
        <v>54.2</v>
      </c>
    </row>
    <row r="174" spans="1:12" x14ac:dyDescent="0.35">
      <c r="A174" s="51">
        <v>40725</v>
      </c>
      <c r="B174" s="48">
        <f>IF(VLOOKUP(Table91213[[#This Row],[Date]],'DB Details'!$A:$Q,2)=0,"",VLOOKUP(Table91213[[#This Row],[Date]],'DB Details'!$A:$Q,2))</f>
        <v>53.7</v>
      </c>
      <c r="C174" s="49">
        <f>IF(VLOOKUP(Table91213[[#This Row],[Date]],'DB Details'!$A:$Q,3)=0,"",VLOOKUP(Table91213[[#This Row],[Date]],'DB Details'!$A:$Q,3))</f>
        <v>47.5</v>
      </c>
      <c r="D174" s="49">
        <f>IF(VLOOKUP(Table91213[[#This Row],[Date]],'DB Details'!$A:$Q,4)=0,"",VLOOKUP(Table91213[[#This Row],[Date]],'DB Details'!$A:$Q,4))</f>
        <v>44</v>
      </c>
      <c r="E174" s="50">
        <f>IF(VLOOKUP(Table91213[[#This Row],[Date]],'DB Details'!$A:$Q,5)=0,"",VLOOKUP(Table91213[[#This Row],[Date]],'DB Details'!$A:$Q,5))</f>
        <v>60.7</v>
      </c>
      <c r="F174" s="49">
        <f>IF(VLOOKUP(Table91213[[#This Row],[Date]],'DB Details'!$A:$Q,6)=0,"",VLOOKUP(Table91213[[#This Row],[Date]],'DB Details'!$A:$Q,6))</f>
        <v>56.6</v>
      </c>
      <c r="G174" s="50">
        <f>IF(VLOOKUP(Table91213[[#This Row],[Date]],'DB Details'!$A:$Q,7)=0,"",VLOOKUP(Table91213[[#This Row],[Date]],'DB Details'!$A:$Q,7))</f>
        <v>59.5</v>
      </c>
      <c r="H174" s="50">
        <f>IF(VLOOKUP(Table91213[[#This Row],[Date]],'DB Details'!$A:$Q,8)=0,"",VLOOKUP(Table91213[[#This Row],[Date]],'DB Details'!$A:$Q,8))</f>
        <v>56.5</v>
      </c>
      <c r="I174" s="50">
        <f>IF(VLOOKUP(Table91213[[#This Row],[Date]],'DB Details'!$A:$Q,9)=0,"",VLOOKUP(Table91213[[#This Row],[Date]],'DB Details'!$A:$Q,9))</f>
        <v>50.5</v>
      </c>
      <c r="J174" s="50">
        <f>IF(VLOOKUP(Table91213[[#This Row],[Date]],'DB Details'!$A:$Q,10)=0,"",VLOOKUP(Table91213[[#This Row],[Date]],'DB Details'!$A:$Q,10))</f>
        <v>53.3</v>
      </c>
      <c r="K174" s="50">
        <f>IF(VLOOKUP(Table91213[[#This Row],[Date]],'DB Details'!$A:$Q,11)=0,"",VLOOKUP(Table91213[[#This Row],[Date]],'DB Details'!$A:$Q,11))</f>
        <v>49</v>
      </c>
      <c r="L174" s="48">
        <f>IF(VLOOKUP(Table91213[[#This Row],[Date]],'DB Details'!$A:$Q,12)=0,"",VLOOKUP(Table91213[[#This Row],[Date]],'DB Details'!$A:$Q,12))</f>
        <v>53.5</v>
      </c>
    </row>
    <row r="175" spans="1:12" x14ac:dyDescent="0.35">
      <c r="A175" s="51">
        <v>40756</v>
      </c>
      <c r="B175" s="48">
        <f>IF(VLOOKUP(Table91213[[#This Row],[Date]],'DB Details'!$A:$Q,2)=0,"",VLOOKUP(Table91213[[#This Row],[Date]],'DB Details'!$A:$Q,2))</f>
        <v>53.9</v>
      </c>
      <c r="C175" s="49">
        <f>IF(VLOOKUP(Table91213[[#This Row],[Date]],'DB Details'!$A:$Q,3)=0,"",VLOOKUP(Table91213[[#This Row],[Date]],'DB Details'!$A:$Q,3))</f>
        <v>53.5</v>
      </c>
      <c r="D175" s="49">
        <f>IF(VLOOKUP(Table91213[[#This Row],[Date]],'DB Details'!$A:$Q,4)=0,"",VLOOKUP(Table91213[[#This Row],[Date]],'DB Details'!$A:$Q,4))</f>
        <v>47.5</v>
      </c>
      <c r="E175" s="50">
        <f>IF(VLOOKUP(Table91213[[#This Row],[Date]],'DB Details'!$A:$Q,5)=0,"",VLOOKUP(Table91213[[#This Row],[Date]],'DB Details'!$A:$Q,5))</f>
        <v>61.3</v>
      </c>
      <c r="F175" s="49">
        <f>IF(VLOOKUP(Table91213[[#This Row],[Date]],'DB Details'!$A:$Q,6)=0,"",VLOOKUP(Table91213[[#This Row],[Date]],'DB Details'!$A:$Q,6))</f>
        <v>56.5</v>
      </c>
      <c r="G175" s="50">
        <f>IF(VLOOKUP(Table91213[[#This Row],[Date]],'DB Details'!$A:$Q,7)=0,"",VLOOKUP(Table91213[[#This Row],[Date]],'DB Details'!$A:$Q,7))</f>
        <v>56</v>
      </c>
      <c r="H175" s="50">
        <f>IF(VLOOKUP(Table91213[[#This Row],[Date]],'DB Details'!$A:$Q,8)=0,"",VLOOKUP(Table91213[[#This Row],[Date]],'DB Details'!$A:$Q,8))</f>
        <v>53.5</v>
      </c>
      <c r="I175" s="50">
        <f>IF(VLOOKUP(Table91213[[#This Row],[Date]],'DB Details'!$A:$Q,9)=0,"",VLOOKUP(Table91213[[#This Row],[Date]],'DB Details'!$A:$Q,9))</f>
        <v>53</v>
      </c>
      <c r="J175" s="50">
        <f>IF(VLOOKUP(Table91213[[#This Row],[Date]],'DB Details'!$A:$Q,10)=0,"",VLOOKUP(Table91213[[#This Row],[Date]],'DB Details'!$A:$Q,10))</f>
        <v>51.9</v>
      </c>
      <c r="K175" s="50">
        <f>IF(VLOOKUP(Table91213[[#This Row],[Date]],'DB Details'!$A:$Q,11)=0,"",VLOOKUP(Table91213[[#This Row],[Date]],'DB Details'!$A:$Q,11))</f>
        <v>56.5</v>
      </c>
      <c r="L175" s="48">
        <f>IF(VLOOKUP(Table91213[[#This Row],[Date]],'DB Details'!$A:$Q,12)=0,"",VLOOKUP(Table91213[[#This Row],[Date]],'DB Details'!$A:$Q,12))</f>
        <v>53.5</v>
      </c>
    </row>
    <row r="176" spans="1:12" x14ac:dyDescent="0.35">
      <c r="A176" s="51">
        <v>40787</v>
      </c>
      <c r="B176" s="48">
        <f>IF(VLOOKUP(Table91213[[#This Row],[Date]],'DB Details'!$A:$Q,2)=0,"",VLOOKUP(Table91213[[#This Row],[Date]],'DB Details'!$A:$Q,2))</f>
        <v>54.6</v>
      </c>
      <c r="C176" s="49">
        <f>IF(VLOOKUP(Table91213[[#This Row],[Date]],'DB Details'!$A:$Q,3)=0,"",VLOOKUP(Table91213[[#This Row],[Date]],'DB Details'!$A:$Q,3))</f>
        <v>47.5</v>
      </c>
      <c r="D176" s="49">
        <f>IF(VLOOKUP(Table91213[[#This Row],[Date]],'DB Details'!$A:$Q,4)=0,"",VLOOKUP(Table91213[[#This Row],[Date]],'DB Details'!$A:$Q,4))</f>
        <v>52.5</v>
      </c>
      <c r="E176" s="50">
        <f>IF(VLOOKUP(Table91213[[#This Row],[Date]],'DB Details'!$A:$Q,5)=0,"",VLOOKUP(Table91213[[#This Row],[Date]],'DB Details'!$A:$Q,5))</f>
        <v>60.9</v>
      </c>
      <c r="F176" s="49">
        <f>IF(VLOOKUP(Table91213[[#This Row],[Date]],'DB Details'!$A:$Q,6)=0,"",VLOOKUP(Table91213[[#This Row],[Date]],'DB Details'!$A:$Q,6))</f>
        <v>56.8</v>
      </c>
      <c r="G176" s="50">
        <f>IF(VLOOKUP(Table91213[[#This Row],[Date]],'DB Details'!$A:$Q,7)=0,"",VLOOKUP(Table91213[[#This Row],[Date]],'DB Details'!$A:$Q,7))</f>
        <v>59</v>
      </c>
      <c r="H176" s="50">
        <f>IF(VLOOKUP(Table91213[[#This Row],[Date]],'DB Details'!$A:$Q,8)=0,"",VLOOKUP(Table91213[[#This Row],[Date]],'DB Details'!$A:$Q,8))</f>
        <v>51.5</v>
      </c>
      <c r="I176" s="50">
        <f>IF(VLOOKUP(Table91213[[#This Row],[Date]],'DB Details'!$A:$Q,9)=0,"",VLOOKUP(Table91213[[#This Row],[Date]],'DB Details'!$A:$Q,9))</f>
        <v>49.5</v>
      </c>
      <c r="J176" s="50">
        <f>IF(VLOOKUP(Table91213[[#This Row],[Date]],'DB Details'!$A:$Q,10)=0,"",VLOOKUP(Table91213[[#This Row],[Date]],'DB Details'!$A:$Q,10))</f>
        <v>49.4</v>
      </c>
      <c r="K176" s="50">
        <f>IF(VLOOKUP(Table91213[[#This Row],[Date]],'DB Details'!$A:$Q,11)=0,"",VLOOKUP(Table91213[[#This Row],[Date]],'DB Details'!$A:$Q,11))</f>
        <v>52</v>
      </c>
      <c r="L176" s="48">
        <f>IF(VLOOKUP(Table91213[[#This Row],[Date]],'DB Details'!$A:$Q,12)=0,"",VLOOKUP(Table91213[[#This Row],[Date]],'DB Details'!$A:$Q,12))</f>
        <v>52.3</v>
      </c>
    </row>
    <row r="177" spans="1:12" x14ac:dyDescent="0.35">
      <c r="A177" s="51">
        <v>40817</v>
      </c>
      <c r="B177" s="48">
        <f>IF(VLOOKUP(Table91213[[#This Row],[Date]],'DB Details'!$A:$Q,2)=0,"",VLOOKUP(Table91213[[#This Row],[Date]],'DB Details'!$A:$Q,2))</f>
        <v>53.4</v>
      </c>
      <c r="C177" s="49">
        <f>IF(VLOOKUP(Table91213[[#This Row],[Date]],'DB Details'!$A:$Q,3)=0,"",VLOOKUP(Table91213[[#This Row],[Date]],'DB Details'!$A:$Q,3))</f>
        <v>48</v>
      </c>
      <c r="D177" s="49">
        <f>IF(VLOOKUP(Table91213[[#This Row],[Date]],'DB Details'!$A:$Q,4)=0,"",VLOOKUP(Table91213[[#This Row],[Date]],'DB Details'!$A:$Q,4))</f>
        <v>47</v>
      </c>
      <c r="E177" s="50">
        <f>IF(VLOOKUP(Table91213[[#This Row],[Date]],'DB Details'!$A:$Q,5)=0,"",VLOOKUP(Table91213[[#This Row],[Date]],'DB Details'!$A:$Q,5))</f>
        <v>57.7</v>
      </c>
      <c r="F177" s="49">
        <f>IF(VLOOKUP(Table91213[[#This Row],[Date]],'DB Details'!$A:$Q,6)=0,"",VLOOKUP(Table91213[[#This Row],[Date]],'DB Details'!$A:$Q,6))</f>
        <v>53.9</v>
      </c>
      <c r="G177" s="50">
        <f>IF(VLOOKUP(Table91213[[#This Row],[Date]],'DB Details'!$A:$Q,7)=0,"",VLOOKUP(Table91213[[#This Row],[Date]],'DB Details'!$A:$Q,7))</f>
        <v>57.5</v>
      </c>
      <c r="H177" s="50">
        <f>IF(VLOOKUP(Table91213[[#This Row],[Date]],'DB Details'!$A:$Q,8)=0,"",VLOOKUP(Table91213[[#This Row],[Date]],'DB Details'!$A:$Q,8))</f>
        <v>45.5</v>
      </c>
      <c r="I177" s="50">
        <f>IF(VLOOKUP(Table91213[[#This Row],[Date]],'DB Details'!$A:$Q,9)=0,"",VLOOKUP(Table91213[[#This Row],[Date]],'DB Details'!$A:$Q,9))</f>
        <v>52</v>
      </c>
      <c r="J177" s="50">
        <f>IF(VLOOKUP(Table91213[[#This Row],[Date]],'DB Details'!$A:$Q,10)=0,"",VLOOKUP(Table91213[[#This Row],[Date]],'DB Details'!$A:$Q,10))</f>
        <v>52.3</v>
      </c>
      <c r="K177" s="50">
        <f>IF(VLOOKUP(Table91213[[#This Row],[Date]],'DB Details'!$A:$Q,11)=0,"",VLOOKUP(Table91213[[#This Row],[Date]],'DB Details'!$A:$Q,11))</f>
        <v>54</v>
      </c>
      <c r="L177" s="48">
        <f>IF(VLOOKUP(Table91213[[#This Row],[Date]],'DB Details'!$A:$Q,12)=0,"",VLOOKUP(Table91213[[#This Row],[Date]],'DB Details'!$A:$Q,12))</f>
        <v>52.8</v>
      </c>
    </row>
    <row r="178" spans="1:12" x14ac:dyDescent="0.35">
      <c r="A178" s="51">
        <v>40848</v>
      </c>
      <c r="B178" s="48">
        <f>IF(VLOOKUP(Table91213[[#This Row],[Date]],'DB Details'!$A:$Q,2)=0,"",VLOOKUP(Table91213[[#This Row],[Date]],'DB Details'!$A:$Q,2))</f>
        <v>53.4</v>
      </c>
      <c r="C178" s="49">
        <f>IF(VLOOKUP(Table91213[[#This Row],[Date]],'DB Details'!$A:$Q,3)=0,"",VLOOKUP(Table91213[[#This Row],[Date]],'DB Details'!$A:$Q,3))</f>
        <v>48.5</v>
      </c>
      <c r="D178" s="49">
        <f>IF(VLOOKUP(Table91213[[#This Row],[Date]],'DB Details'!$A:$Q,4)=0,"",VLOOKUP(Table91213[[#This Row],[Date]],'DB Details'!$A:$Q,4))</f>
        <v>48</v>
      </c>
      <c r="E178" s="50">
        <f>IF(VLOOKUP(Table91213[[#This Row],[Date]],'DB Details'!$A:$Q,5)=0,"",VLOOKUP(Table91213[[#This Row],[Date]],'DB Details'!$A:$Q,5))</f>
        <v>63.4</v>
      </c>
      <c r="F178" s="49">
        <f>IF(VLOOKUP(Table91213[[#This Row],[Date]],'DB Details'!$A:$Q,6)=0,"",VLOOKUP(Table91213[[#This Row],[Date]],'DB Details'!$A:$Q,6))</f>
        <v>56.1</v>
      </c>
      <c r="G178" s="50">
        <f>IF(VLOOKUP(Table91213[[#This Row],[Date]],'DB Details'!$A:$Q,7)=0,"",VLOOKUP(Table91213[[#This Row],[Date]],'DB Details'!$A:$Q,7))</f>
        <v>63</v>
      </c>
      <c r="H178" s="50">
        <f>IF(VLOOKUP(Table91213[[#This Row],[Date]],'DB Details'!$A:$Q,8)=0,"",VLOOKUP(Table91213[[#This Row],[Date]],'DB Details'!$A:$Q,8))</f>
        <v>52.5</v>
      </c>
      <c r="I178" s="50">
        <f>IF(VLOOKUP(Table91213[[#This Row],[Date]],'DB Details'!$A:$Q,9)=0,"",VLOOKUP(Table91213[[#This Row],[Date]],'DB Details'!$A:$Q,9))</f>
        <v>50</v>
      </c>
      <c r="J178" s="50">
        <f>IF(VLOOKUP(Table91213[[#This Row],[Date]],'DB Details'!$A:$Q,10)=0,"",VLOOKUP(Table91213[[#This Row],[Date]],'DB Details'!$A:$Q,10))</f>
        <v>53.1</v>
      </c>
      <c r="K178" s="50">
        <f>IF(VLOOKUP(Table91213[[#This Row],[Date]],'DB Details'!$A:$Q,11)=0,"",VLOOKUP(Table91213[[#This Row],[Date]],'DB Details'!$A:$Q,11))</f>
        <v>55.5</v>
      </c>
      <c r="L178" s="48">
        <f>IF(VLOOKUP(Table91213[[#This Row],[Date]],'DB Details'!$A:$Q,12)=0,"",VLOOKUP(Table91213[[#This Row],[Date]],'DB Details'!$A:$Q,12))</f>
        <v>52.9</v>
      </c>
    </row>
    <row r="179" spans="1:12" x14ac:dyDescent="0.35">
      <c r="A179" s="51">
        <v>40878</v>
      </c>
      <c r="B179" s="48">
        <f>IF(VLOOKUP(Table91213[[#This Row],[Date]],'DB Details'!$A:$Q,2)=0,"",VLOOKUP(Table91213[[#This Row],[Date]],'DB Details'!$A:$Q,2))</f>
        <v>54.1</v>
      </c>
      <c r="C179" s="49">
        <f>IF(VLOOKUP(Table91213[[#This Row],[Date]],'DB Details'!$A:$Q,3)=0,"",VLOOKUP(Table91213[[#This Row],[Date]],'DB Details'!$A:$Q,3))</f>
        <v>54</v>
      </c>
      <c r="D179" s="49">
        <f>IF(VLOOKUP(Table91213[[#This Row],[Date]],'DB Details'!$A:$Q,4)=0,"",VLOOKUP(Table91213[[#This Row],[Date]],'DB Details'!$A:$Q,4))</f>
        <v>45.5</v>
      </c>
      <c r="E179" s="50">
        <f>IF(VLOOKUP(Table91213[[#This Row],[Date]],'DB Details'!$A:$Q,5)=0,"",VLOOKUP(Table91213[[#This Row],[Date]],'DB Details'!$A:$Q,5))</f>
        <v>62.2</v>
      </c>
      <c r="F179" s="49">
        <f>IF(VLOOKUP(Table91213[[#This Row],[Date]],'DB Details'!$A:$Q,6)=0,"",VLOOKUP(Table91213[[#This Row],[Date]],'DB Details'!$A:$Q,6))</f>
        <v>55.6</v>
      </c>
      <c r="G179" s="50">
        <f>IF(VLOOKUP(Table91213[[#This Row],[Date]],'DB Details'!$A:$Q,7)=0,"",VLOOKUP(Table91213[[#This Row],[Date]],'DB Details'!$A:$Q,7))</f>
        <v>59.5</v>
      </c>
      <c r="H179" s="50">
        <f>IF(VLOOKUP(Table91213[[#This Row],[Date]],'DB Details'!$A:$Q,8)=0,"",VLOOKUP(Table91213[[#This Row],[Date]],'DB Details'!$A:$Q,8))</f>
        <v>48.5</v>
      </c>
      <c r="I179" s="50">
        <f>IF(VLOOKUP(Table91213[[#This Row],[Date]],'DB Details'!$A:$Q,9)=0,"",VLOOKUP(Table91213[[#This Row],[Date]],'DB Details'!$A:$Q,9))</f>
        <v>51.5</v>
      </c>
      <c r="J179" s="50">
        <f>IF(VLOOKUP(Table91213[[#This Row],[Date]],'DB Details'!$A:$Q,10)=0,"",VLOOKUP(Table91213[[#This Row],[Date]],'DB Details'!$A:$Q,10))</f>
        <v>49</v>
      </c>
      <c r="K179" s="50">
        <f>IF(VLOOKUP(Table91213[[#This Row],[Date]],'DB Details'!$A:$Q,11)=0,"",VLOOKUP(Table91213[[#This Row],[Date]],'DB Details'!$A:$Q,11))</f>
        <v>51</v>
      </c>
      <c r="L179" s="48">
        <f>IF(VLOOKUP(Table91213[[#This Row],[Date]],'DB Details'!$A:$Q,12)=0,"",VLOOKUP(Table91213[[#This Row],[Date]],'DB Details'!$A:$Q,12))</f>
        <v>52.6</v>
      </c>
    </row>
    <row r="180" spans="1:12" x14ac:dyDescent="0.35">
      <c r="A180" s="51">
        <v>40909</v>
      </c>
      <c r="B180" s="48">
        <f>IF(VLOOKUP(Table91213[[#This Row],[Date]],'DB Details'!$A:$Q,2)=0,"",VLOOKUP(Table91213[[#This Row],[Date]],'DB Details'!$A:$Q,2))</f>
        <v>59.5</v>
      </c>
      <c r="C180" s="49">
        <f>IF(VLOOKUP(Table91213[[#This Row],[Date]],'DB Details'!$A:$Q,3)=0,"",VLOOKUP(Table91213[[#This Row],[Date]],'DB Details'!$A:$Q,3))</f>
        <v>55</v>
      </c>
      <c r="D180" s="49">
        <f>IF(VLOOKUP(Table91213[[#This Row],[Date]],'DB Details'!$A:$Q,4)=0,"",VLOOKUP(Table91213[[#This Row],[Date]],'DB Details'!$A:$Q,4))</f>
        <v>49.5</v>
      </c>
      <c r="E180" s="50">
        <f>IF(VLOOKUP(Table91213[[#This Row],[Date]],'DB Details'!$A:$Q,5)=0,"",VLOOKUP(Table91213[[#This Row],[Date]],'DB Details'!$A:$Q,5))</f>
        <v>61.4</v>
      </c>
      <c r="F180" s="49">
        <f>IF(VLOOKUP(Table91213[[#This Row],[Date]],'DB Details'!$A:$Q,6)=0,"",VLOOKUP(Table91213[[#This Row],[Date]],'DB Details'!$A:$Q,6))</f>
        <v>58.7</v>
      </c>
      <c r="G180" s="50">
        <f>IF(VLOOKUP(Table91213[[#This Row],[Date]],'DB Details'!$A:$Q,7)=0,"",VLOOKUP(Table91213[[#This Row],[Date]],'DB Details'!$A:$Q,7))</f>
        <v>58.5</v>
      </c>
      <c r="H180" s="50">
        <f>IF(VLOOKUP(Table91213[[#This Row],[Date]],'DB Details'!$A:$Q,8)=0,"",VLOOKUP(Table91213[[#This Row],[Date]],'DB Details'!$A:$Q,8))</f>
        <v>47</v>
      </c>
      <c r="I180" s="50">
        <f>IF(VLOOKUP(Table91213[[#This Row],[Date]],'DB Details'!$A:$Q,9)=0,"",VLOOKUP(Table91213[[#This Row],[Date]],'DB Details'!$A:$Q,9))</f>
        <v>51</v>
      </c>
      <c r="J180" s="50">
        <f>IF(VLOOKUP(Table91213[[#This Row],[Date]],'DB Details'!$A:$Q,10)=0,"",VLOOKUP(Table91213[[#This Row],[Date]],'DB Details'!$A:$Q,10))</f>
        <v>54.9</v>
      </c>
      <c r="K180" s="50">
        <f>IF(VLOOKUP(Table91213[[#This Row],[Date]],'DB Details'!$A:$Q,11)=0,"",VLOOKUP(Table91213[[#This Row],[Date]],'DB Details'!$A:$Q,11))</f>
        <v>56.5</v>
      </c>
      <c r="L180" s="48">
        <f>IF(VLOOKUP(Table91213[[#This Row],[Date]],'DB Details'!$A:$Q,12)=0,"",VLOOKUP(Table91213[[#This Row],[Date]],'DB Details'!$A:$Q,12))</f>
        <v>56</v>
      </c>
    </row>
    <row r="181" spans="1:12" x14ac:dyDescent="0.35">
      <c r="A181" s="51">
        <v>40940</v>
      </c>
      <c r="B181" s="48">
        <f>IF(VLOOKUP(Table91213[[#This Row],[Date]],'DB Details'!$A:$Q,2)=0,"",VLOOKUP(Table91213[[#This Row],[Date]],'DB Details'!$A:$Q,2))</f>
        <v>59.9</v>
      </c>
      <c r="C181" s="49">
        <f>IF(VLOOKUP(Table91213[[#This Row],[Date]],'DB Details'!$A:$Q,3)=0,"",VLOOKUP(Table91213[[#This Row],[Date]],'DB Details'!$A:$Q,3))</f>
        <v>52</v>
      </c>
      <c r="D181" s="49">
        <f>IF(VLOOKUP(Table91213[[#This Row],[Date]],'DB Details'!$A:$Q,4)=0,"",VLOOKUP(Table91213[[#This Row],[Date]],'DB Details'!$A:$Q,4))</f>
        <v>53</v>
      </c>
      <c r="E181" s="50">
        <f>IF(VLOOKUP(Table91213[[#This Row],[Date]],'DB Details'!$A:$Q,5)=0,"",VLOOKUP(Table91213[[#This Row],[Date]],'DB Details'!$A:$Q,5))</f>
        <v>67.400000000000006</v>
      </c>
      <c r="F181" s="49">
        <f>IF(VLOOKUP(Table91213[[#This Row],[Date]],'DB Details'!$A:$Q,6)=0,"",VLOOKUP(Table91213[[#This Row],[Date]],'DB Details'!$A:$Q,6))</f>
        <v>59.9</v>
      </c>
      <c r="G181" s="50">
        <f>IF(VLOOKUP(Table91213[[#This Row],[Date]],'DB Details'!$A:$Q,7)=0,"",VLOOKUP(Table91213[[#This Row],[Date]],'DB Details'!$A:$Q,7))</f>
        <v>61.5</v>
      </c>
      <c r="H181" s="50">
        <f>IF(VLOOKUP(Table91213[[#This Row],[Date]],'DB Details'!$A:$Q,8)=0,"",VLOOKUP(Table91213[[#This Row],[Date]],'DB Details'!$A:$Q,8))</f>
        <v>53.5</v>
      </c>
      <c r="I181" s="50">
        <f>IF(VLOOKUP(Table91213[[#This Row],[Date]],'DB Details'!$A:$Q,9)=0,"",VLOOKUP(Table91213[[#This Row],[Date]],'DB Details'!$A:$Q,9))</f>
        <v>49.5</v>
      </c>
      <c r="J181" s="50">
        <f>IF(VLOOKUP(Table91213[[#This Row],[Date]],'DB Details'!$A:$Q,10)=0,"",VLOOKUP(Table91213[[#This Row],[Date]],'DB Details'!$A:$Q,10))</f>
        <v>53.2</v>
      </c>
      <c r="K181" s="50">
        <f>IF(VLOOKUP(Table91213[[#This Row],[Date]],'DB Details'!$A:$Q,11)=0,"",VLOOKUP(Table91213[[#This Row],[Date]],'DB Details'!$A:$Q,11))</f>
        <v>54.5</v>
      </c>
      <c r="L181" s="48">
        <f>IF(VLOOKUP(Table91213[[#This Row],[Date]],'DB Details'!$A:$Q,12)=0,"",VLOOKUP(Table91213[[#This Row],[Date]],'DB Details'!$A:$Q,12))</f>
        <v>56</v>
      </c>
    </row>
    <row r="182" spans="1:12" x14ac:dyDescent="0.35">
      <c r="A182" s="51">
        <v>40969</v>
      </c>
      <c r="B182" s="48">
        <f>IF(VLOOKUP(Table91213[[#This Row],[Date]],'DB Details'!$A:$Q,2)=0,"",VLOOKUP(Table91213[[#This Row],[Date]],'DB Details'!$A:$Q,2))</f>
        <v>57.9</v>
      </c>
      <c r="C182" s="49">
        <f>IF(VLOOKUP(Table91213[[#This Row],[Date]],'DB Details'!$A:$Q,3)=0,"",VLOOKUP(Table91213[[#This Row],[Date]],'DB Details'!$A:$Q,3))</f>
        <v>56</v>
      </c>
      <c r="D182" s="49">
        <f>IF(VLOOKUP(Table91213[[#This Row],[Date]],'DB Details'!$A:$Q,4)=0,"",VLOOKUP(Table91213[[#This Row],[Date]],'DB Details'!$A:$Q,4))</f>
        <v>49.5</v>
      </c>
      <c r="E182" s="50">
        <f>IF(VLOOKUP(Table91213[[#This Row],[Date]],'DB Details'!$A:$Q,5)=0,"",VLOOKUP(Table91213[[#This Row],[Date]],'DB Details'!$A:$Q,5))</f>
        <v>65</v>
      </c>
      <c r="F182" s="49">
        <f>IF(VLOOKUP(Table91213[[#This Row],[Date]],'DB Details'!$A:$Q,6)=0,"",VLOOKUP(Table91213[[#This Row],[Date]],'DB Details'!$A:$Q,6))</f>
        <v>58.5</v>
      </c>
      <c r="G182" s="50">
        <f>IF(VLOOKUP(Table91213[[#This Row],[Date]],'DB Details'!$A:$Q,7)=0,"",VLOOKUP(Table91213[[#This Row],[Date]],'DB Details'!$A:$Q,7))</f>
        <v>58.5</v>
      </c>
      <c r="H182" s="50">
        <f>IF(VLOOKUP(Table91213[[#This Row],[Date]],'DB Details'!$A:$Q,8)=0,"",VLOOKUP(Table91213[[#This Row],[Date]],'DB Details'!$A:$Q,8))</f>
        <v>54</v>
      </c>
      <c r="I182" s="50">
        <f>IF(VLOOKUP(Table91213[[#This Row],[Date]],'DB Details'!$A:$Q,9)=0,"",VLOOKUP(Table91213[[#This Row],[Date]],'DB Details'!$A:$Q,9))</f>
        <v>49.5</v>
      </c>
      <c r="J182" s="50">
        <f>IF(VLOOKUP(Table91213[[#This Row],[Date]],'DB Details'!$A:$Q,10)=0,"",VLOOKUP(Table91213[[#This Row],[Date]],'DB Details'!$A:$Q,10))</f>
        <v>55.2</v>
      </c>
      <c r="K182" s="50">
        <f>IF(VLOOKUP(Table91213[[#This Row],[Date]],'DB Details'!$A:$Q,11)=0,"",VLOOKUP(Table91213[[#This Row],[Date]],'DB Details'!$A:$Q,11))</f>
        <v>52.5</v>
      </c>
      <c r="L182" s="48">
        <f>IF(VLOOKUP(Table91213[[#This Row],[Date]],'DB Details'!$A:$Q,12)=0,"",VLOOKUP(Table91213[[#This Row],[Date]],'DB Details'!$A:$Q,12))</f>
        <v>55.6</v>
      </c>
    </row>
    <row r="183" spans="1:12" x14ac:dyDescent="0.35">
      <c r="A183" s="51">
        <v>41000</v>
      </c>
      <c r="B183" s="48">
        <f>IF(VLOOKUP(Table91213[[#This Row],[Date]],'DB Details'!$A:$Q,2)=0,"",VLOOKUP(Table91213[[#This Row],[Date]],'DB Details'!$A:$Q,2))</f>
        <v>55.1</v>
      </c>
      <c r="C183" s="49">
        <f>IF(VLOOKUP(Table91213[[#This Row],[Date]],'DB Details'!$A:$Q,3)=0,"",VLOOKUP(Table91213[[#This Row],[Date]],'DB Details'!$A:$Q,3))</f>
        <v>56.5</v>
      </c>
      <c r="D183" s="49">
        <f>IF(VLOOKUP(Table91213[[#This Row],[Date]],'DB Details'!$A:$Q,4)=0,"",VLOOKUP(Table91213[[#This Row],[Date]],'DB Details'!$A:$Q,4))</f>
        <v>53</v>
      </c>
      <c r="E183" s="50">
        <f>IF(VLOOKUP(Table91213[[#This Row],[Date]],'DB Details'!$A:$Q,5)=0,"",VLOOKUP(Table91213[[#This Row],[Date]],'DB Details'!$A:$Q,5))</f>
        <v>56.6</v>
      </c>
      <c r="F183" s="49">
        <f>IF(VLOOKUP(Table91213[[#This Row],[Date]],'DB Details'!$A:$Q,6)=0,"",VLOOKUP(Table91213[[#This Row],[Date]],'DB Details'!$A:$Q,6))</f>
        <v>56</v>
      </c>
      <c r="G183" s="50">
        <f>IF(VLOOKUP(Table91213[[#This Row],[Date]],'DB Details'!$A:$Q,7)=0,"",VLOOKUP(Table91213[[#This Row],[Date]],'DB Details'!$A:$Q,7))</f>
        <v>61</v>
      </c>
      <c r="H183" s="50">
        <f>IF(VLOOKUP(Table91213[[#This Row],[Date]],'DB Details'!$A:$Q,8)=0,"",VLOOKUP(Table91213[[#This Row],[Date]],'DB Details'!$A:$Q,8))</f>
        <v>54</v>
      </c>
      <c r="I183" s="50">
        <f>IF(VLOOKUP(Table91213[[#This Row],[Date]],'DB Details'!$A:$Q,9)=0,"",VLOOKUP(Table91213[[#This Row],[Date]],'DB Details'!$A:$Q,9))</f>
        <v>51.5</v>
      </c>
      <c r="J183" s="50">
        <f>IF(VLOOKUP(Table91213[[#This Row],[Date]],'DB Details'!$A:$Q,10)=0,"",VLOOKUP(Table91213[[#This Row],[Date]],'DB Details'!$A:$Q,10))</f>
        <v>54.5</v>
      </c>
      <c r="K183" s="50">
        <f>IF(VLOOKUP(Table91213[[#This Row],[Date]],'DB Details'!$A:$Q,11)=0,"",VLOOKUP(Table91213[[#This Row],[Date]],'DB Details'!$A:$Q,11))</f>
        <v>58</v>
      </c>
      <c r="L183" s="48">
        <f>IF(VLOOKUP(Table91213[[#This Row],[Date]],'DB Details'!$A:$Q,12)=0,"",VLOOKUP(Table91213[[#This Row],[Date]],'DB Details'!$A:$Q,12))</f>
        <v>54.4</v>
      </c>
    </row>
    <row r="184" spans="1:12" x14ac:dyDescent="0.35">
      <c r="A184" s="51">
        <v>41030</v>
      </c>
      <c r="B184" s="48">
        <f>IF(VLOOKUP(Table91213[[#This Row],[Date]],'DB Details'!$A:$Q,2)=0,"",VLOOKUP(Table91213[[#This Row],[Date]],'DB Details'!$A:$Q,2))</f>
        <v>55.6</v>
      </c>
      <c r="C184" s="49">
        <f>IF(VLOOKUP(Table91213[[#This Row],[Date]],'DB Details'!$A:$Q,3)=0,"",VLOOKUP(Table91213[[#This Row],[Date]],'DB Details'!$A:$Q,3))</f>
        <v>53</v>
      </c>
      <c r="D184" s="49">
        <f>IF(VLOOKUP(Table91213[[#This Row],[Date]],'DB Details'!$A:$Q,4)=0,"",VLOOKUP(Table91213[[#This Row],[Date]],'DB Details'!$A:$Q,4))</f>
        <v>53</v>
      </c>
      <c r="E184" s="50">
        <f>IF(VLOOKUP(Table91213[[#This Row],[Date]],'DB Details'!$A:$Q,5)=0,"",VLOOKUP(Table91213[[#This Row],[Date]],'DB Details'!$A:$Q,5))</f>
        <v>52.8</v>
      </c>
      <c r="F184" s="49">
        <f>IF(VLOOKUP(Table91213[[#This Row],[Date]],'DB Details'!$A:$Q,6)=0,"",VLOOKUP(Table91213[[#This Row],[Date]],'DB Details'!$A:$Q,6))</f>
        <v>56.4</v>
      </c>
      <c r="G184" s="50">
        <f>IF(VLOOKUP(Table91213[[#This Row],[Date]],'DB Details'!$A:$Q,7)=0,"",VLOOKUP(Table91213[[#This Row],[Date]],'DB Details'!$A:$Q,7))</f>
        <v>63</v>
      </c>
      <c r="H184" s="50">
        <f>IF(VLOOKUP(Table91213[[#This Row],[Date]],'DB Details'!$A:$Q,8)=0,"",VLOOKUP(Table91213[[#This Row],[Date]],'DB Details'!$A:$Q,8))</f>
        <v>56</v>
      </c>
      <c r="I184" s="50">
        <f>IF(VLOOKUP(Table91213[[#This Row],[Date]],'DB Details'!$A:$Q,9)=0,"",VLOOKUP(Table91213[[#This Row],[Date]],'DB Details'!$A:$Q,9))</f>
        <v>53</v>
      </c>
      <c r="J184" s="50">
        <f>IF(VLOOKUP(Table91213[[#This Row],[Date]],'DB Details'!$A:$Q,10)=0,"",VLOOKUP(Table91213[[#This Row],[Date]],'DB Details'!$A:$Q,10))</f>
        <v>51.9</v>
      </c>
      <c r="K184" s="50">
        <f>IF(VLOOKUP(Table91213[[#This Row],[Date]],'DB Details'!$A:$Q,11)=0,"",VLOOKUP(Table91213[[#This Row],[Date]],'DB Details'!$A:$Q,11))</f>
        <v>53</v>
      </c>
      <c r="L184" s="48">
        <f>IF(VLOOKUP(Table91213[[#This Row],[Date]],'DB Details'!$A:$Q,12)=0,"",VLOOKUP(Table91213[[#This Row],[Date]],'DB Details'!$A:$Q,12))</f>
        <v>54.5</v>
      </c>
    </row>
    <row r="185" spans="1:12" x14ac:dyDescent="0.35">
      <c r="A185" s="51">
        <v>41061</v>
      </c>
      <c r="B185" s="48">
        <f>IF(VLOOKUP(Table91213[[#This Row],[Date]],'DB Details'!$A:$Q,2)=0,"",VLOOKUP(Table91213[[#This Row],[Date]],'DB Details'!$A:$Q,2))</f>
        <v>55.7</v>
      </c>
      <c r="C185" s="49">
        <f>IF(VLOOKUP(Table91213[[#This Row],[Date]],'DB Details'!$A:$Q,3)=0,"",VLOOKUP(Table91213[[#This Row],[Date]],'DB Details'!$A:$Q,3))</f>
        <v>53.5</v>
      </c>
      <c r="D185" s="49">
        <f>IF(VLOOKUP(Table91213[[#This Row],[Date]],'DB Details'!$A:$Q,4)=0,"",VLOOKUP(Table91213[[#This Row],[Date]],'DB Details'!$A:$Q,4))</f>
        <v>47.5</v>
      </c>
      <c r="E185" s="50">
        <f>IF(VLOOKUP(Table91213[[#This Row],[Date]],'DB Details'!$A:$Q,5)=0,"",VLOOKUP(Table91213[[#This Row],[Date]],'DB Details'!$A:$Q,5))</f>
        <v>49.7</v>
      </c>
      <c r="F185" s="49">
        <f>IF(VLOOKUP(Table91213[[#This Row],[Date]],'DB Details'!$A:$Q,6)=0,"",VLOOKUP(Table91213[[#This Row],[Date]],'DB Details'!$A:$Q,6))</f>
        <v>53.6</v>
      </c>
      <c r="G185" s="50">
        <f>IF(VLOOKUP(Table91213[[#This Row],[Date]],'DB Details'!$A:$Q,7)=0,"",VLOOKUP(Table91213[[#This Row],[Date]],'DB Details'!$A:$Q,7))</f>
        <v>64.5</v>
      </c>
      <c r="H185" s="50">
        <f>IF(VLOOKUP(Table91213[[#This Row],[Date]],'DB Details'!$A:$Q,8)=0,"",VLOOKUP(Table91213[[#This Row],[Date]],'DB Details'!$A:$Q,8))</f>
        <v>53</v>
      </c>
      <c r="I185" s="50">
        <f>IF(VLOOKUP(Table91213[[#This Row],[Date]],'DB Details'!$A:$Q,9)=0,"",VLOOKUP(Table91213[[#This Row],[Date]],'DB Details'!$A:$Q,9))</f>
        <v>51</v>
      </c>
      <c r="J185" s="50">
        <f>IF(VLOOKUP(Table91213[[#This Row],[Date]],'DB Details'!$A:$Q,10)=0,"",VLOOKUP(Table91213[[#This Row],[Date]],'DB Details'!$A:$Q,10))</f>
        <v>52.5</v>
      </c>
      <c r="K185" s="50">
        <f>IF(VLOOKUP(Table91213[[#This Row],[Date]],'DB Details'!$A:$Q,11)=0,"",VLOOKUP(Table91213[[#This Row],[Date]],'DB Details'!$A:$Q,11))</f>
        <v>49.5</v>
      </c>
      <c r="L185" s="48">
        <f>IF(VLOOKUP(Table91213[[#This Row],[Date]],'DB Details'!$A:$Q,12)=0,"",VLOOKUP(Table91213[[#This Row],[Date]],'DB Details'!$A:$Q,12))</f>
        <v>53.7</v>
      </c>
    </row>
    <row r="186" spans="1:12" x14ac:dyDescent="0.35">
      <c r="A186" s="51">
        <v>41091</v>
      </c>
      <c r="B186" s="48">
        <f>IF(VLOOKUP(Table91213[[#This Row],[Date]],'DB Details'!$A:$Q,2)=0,"",VLOOKUP(Table91213[[#This Row],[Date]],'DB Details'!$A:$Q,2))</f>
        <v>54.3</v>
      </c>
      <c r="C186" s="49">
        <f>IF(VLOOKUP(Table91213[[#This Row],[Date]],'DB Details'!$A:$Q,3)=0,"",VLOOKUP(Table91213[[#This Row],[Date]],'DB Details'!$A:$Q,3))</f>
        <v>44.5</v>
      </c>
      <c r="D186" s="49">
        <f>IF(VLOOKUP(Table91213[[#This Row],[Date]],'DB Details'!$A:$Q,4)=0,"",VLOOKUP(Table91213[[#This Row],[Date]],'DB Details'!$A:$Q,4))</f>
        <v>44.5</v>
      </c>
      <c r="E186" s="50">
        <f>IF(VLOOKUP(Table91213[[#This Row],[Date]],'DB Details'!$A:$Q,5)=0,"",VLOOKUP(Table91213[[#This Row],[Date]],'DB Details'!$A:$Q,5))</f>
        <v>54.8</v>
      </c>
      <c r="F186" s="49">
        <f>IF(VLOOKUP(Table91213[[#This Row],[Date]],'DB Details'!$A:$Q,6)=0,"",VLOOKUP(Table91213[[#This Row],[Date]],'DB Details'!$A:$Q,6))</f>
        <v>56.2</v>
      </c>
      <c r="G186" s="50">
        <f>IF(VLOOKUP(Table91213[[#This Row],[Date]],'DB Details'!$A:$Q,7)=0,"",VLOOKUP(Table91213[[#This Row],[Date]],'DB Details'!$A:$Q,7))</f>
        <v>59</v>
      </c>
      <c r="H186" s="50">
        <f>IF(VLOOKUP(Table91213[[#This Row],[Date]],'DB Details'!$A:$Q,8)=0,"",VLOOKUP(Table91213[[#This Row],[Date]],'DB Details'!$A:$Q,8))</f>
        <v>54.5</v>
      </c>
      <c r="I186" s="50">
        <f>IF(VLOOKUP(Table91213[[#This Row],[Date]],'DB Details'!$A:$Q,9)=0,"",VLOOKUP(Table91213[[#This Row],[Date]],'DB Details'!$A:$Q,9))</f>
        <v>49.5</v>
      </c>
      <c r="J186" s="50">
        <f>IF(VLOOKUP(Table91213[[#This Row],[Date]],'DB Details'!$A:$Q,10)=0,"",VLOOKUP(Table91213[[#This Row],[Date]],'DB Details'!$A:$Q,10))</f>
        <v>50.3</v>
      </c>
      <c r="K186" s="50">
        <f>IF(VLOOKUP(Table91213[[#This Row],[Date]],'DB Details'!$A:$Q,11)=0,"",VLOOKUP(Table91213[[#This Row],[Date]],'DB Details'!$A:$Q,11))</f>
        <v>51</v>
      </c>
      <c r="L186" s="48">
        <f>IF(VLOOKUP(Table91213[[#This Row],[Date]],'DB Details'!$A:$Q,12)=0,"",VLOOKUP(Table91213[[#This Row],[Date]],'DB Details'!$A:$Q,12))</f>
        <v>52.4</v>
      </c>
    </row>
    <row r="187" spans="1:12" x14ac:dyDescent="0.35">
      <c r="A187" s="51">
        <v>41122</v>
      </c>
      <c r="B187" s="48">
        <f>IF(VLOOKUP(Table91213[[#This Row],[Date]],'DB Details'!$A:$Q,2)=0,"",VLOOKUP(Table91213[[#This Row],[Date]],'DB Details'!$A:$Q,2))</f>
        <v>53.6</v>
      </c>
      <c r="C187" s="49">
        <f>IF(VLOOKUP(Table91213[[#This Row],[Date]],'DB Details'!$A:$Q,3)=0,"",VLOOKUP(Table91213[[#This Row],[Date]],'DB Details'!$A:$Q,3))</f>
        <v>49.5</v>
      </c>
      <c r="D187" s="49">
        <f>IF(VLOOKUP(Table91213[[#This Row],[Date]],'DB Details'!$A:$Q,4)=0,"",VLOOKUP(Table91213[[#This Row],[Date]],'DB Details'!$A:$Q,4))</f>
        <v>50.5</v>
      </c>
      <c r="E187" s="50">
        <f>IF(VLOOKUP(Table91213[[#This Row],[Date]],'DB Details'!$A:$Q,5)=0,"",VLOOKUP(Table91213[[#This Row],[Date]],'DB Details'!$A:$Q,5))</f>
        <v>61.8</v>
      </c>
      <c r="F187" s="49">
        <f>IF(VLOOKUP(Table91213[[#This Row],[Date]],'DB Details'!$A:$Q,6)=0,"",VLOOKUP(Table91213[[#This Row],[Date]],'DB Details'!$A:$Q,6))</f>
        <v>55.3</v>
      </c>
      <c r="G187" s="50">
        <f>IF(VLOOKUP(Table91213[[#This Row],[Date]],'DB Details'!$A:$Q,7)=0,"",VLOOKUP(Table91213[[#This Row],[Date]],'DB Details'!$A:$Q,7))</f>
        <v>67</v>
      </c>
      <c r="H187" s="50">
        <f>IF(VLOOKUP(Table91213[[#This Row],[Date]],'DB Details'!$A:$Q,8)=0,"",VLOOKUP(Table91213[[#This Row],[Date]],'DB Details'!$A:$Q,8))</f>
        <v>52.5</v>
      </c>
      <c r="I187" s="50">
        <f>IF(VLOOKUP(Table91213[[#This Row],[Date]],'DB Details'!$A:$Q,9)=0,"",VLOOKUP(Table91213[[#This Row],[Date]],'DB Details'!$A:$Q,9))</f>
        <v>51.5</v>
      </c>
      <c r="J187" s="50">
        <f>IF(VLOOKUP(Table91213[[#This Row],[Date]],'DB Details'!$A:$Q,10)=0,"",VLOOKUP(Table91213[[#This Row],[Date]],'DB Details'!$A:$Q,10))</f>
        <v>53.3</v>
      </c>
      <c r="K187" s="50">
        <f>IF(VLOOKUP(Table91213[[#This Row],[Date]],'DB Details'!$A:$Q,11)=0,"",VLOOKUP(Table91213[[#This Row],[Date]],'DB Details'!$A:$Q,11))</f>
        <v>52</v>
      </c>
      <c r="L187" s="48">
        <f>IF(VLOOKUP(Table91213[[#This Row],[Date]],'DB Details'!$A:$Q,12)=0,"",VLOOKUP(Table91213[[#This Row],[Date]],'DB Details'!$A:$Q,12))</f>
        <v>52.9</v>
      </c>
    </row>
    <row r="188" spans="1:12" x14ac:dyDescent="0.35">
      <c r="A188" s="51">
        <v>41153</v>
      </c>
      <c r="B188" s="48">
        <f>IF(VLOOKUP(Table91213[[#This Row],[Date]],'DB Details'!$A:$Q,2)=0,"",VLOOKUP(Table91213[[#This Row],[Date]],'DB Details'!$A:$Q,2))</f>
        <v>55.6</v>
      </c>
      <c r="C188" s="49">
        <f>IF(VLOOKUP(Table91213[[#This Row],[Date]],'DB Details'!$A:$Q,3)=0,"",VLOOKUP(Table91213[[#This Row],[Date]],'DB Details'!$A:$Q,3))</f>
        <v>50</v>
      </c>
      <c r="D188" s="49">
        <f>IF(VLOOKUP(Table91213[[#This Row],[Date]],'DB Details'!$A:$Q,4)=0,"",VLOOKUP(Table91213[[#This Row],[Date]],'DB Details'!$A:$Q,4))</f>
        <v>48</v>
      </c>
      <c r="E188" s="50">
        <f>IF(VLOOKUP(Table91213[[#This Row],[Date]],'DB Details'!$A:$Q,5)=0,"",VLOOKUP(Table91213[[#This Row],[Date]],'DB Details'!$A:$Q,5))</f>
        <v>65.900000000000006</v>
      </c>
      <c r="F188" s="49">
        <f>IF(VLOOKUP(Table91213[[#This Row],[Date]],'DB Details'!$A:$Q,6)=0,"",VLOOKUP(Table91213[[#This Row],[Date]],'DB Details'!$A:$Q,6))</f>
        <v>60.2</v>
      </c>
      <c r="G188" s="50">
        <f>IF(VLOOKUP(Table91213[[#This Row],[Date]],'DB Details'!$A:$Q,7)=0,"",VLOOKUP(Table91213[[#This Row],[Date]],'DB Details'!$A:$Q,7))</f>
        <v>65</v>
      </c>
      <c r="H188" s="50">
        <f>IF(VLOOKUP(Table91213[[#This Row],[Date]],'DB Details'!$A:$Q,8)=0,"",VLOOKUP(Table91213[[#This Row],[Date]],'DB Details'!$A:$Q,8))</f>
        <v>48.5</v>
      </c>
      <c r="I188" s="50">
        <f>IF(VLOOKUP(Table91213[[#This Row],[Date]],'DB Details'!$A:$Q,9)=0,"",VLOOKUP(Table91213[[#This Row],[Date]],'DB Details'!$A:$Q,9))</f>
        <v>51.5</v>
      </c>
      <c r="J188" s="50">
        <f>IF(VLOOKUP(Table91213[[#This Row],[Date]],'DB Details'!$A:$Q,10)=0,"",VLOOKUP(Table91213[[#This Row],[Date]],'DB Details'!$A:$Q,10))</f>
        <v>53.2</v>
      </c>
      <c r="K188" s="50">
        <f>IF(VLOOKUP(Table91213[[#This Row],[Date]],'DB Details'!$A:$Q,11)=0,"",VLOOKUP(Table91213[[#This Row],[Date]],'DB Details'!$A:$Q,11))</f>
        <v>50.5</v>
      </c>
      <c r="L188" s="48">
        <f>IF(VLOOKUP(Table91213[[#This Row],[Date]],'DB Details'!$A:$Q,12)=0,"",VLOOKUP(Table91213[[#This Row],[Date]],'DB Details'!$A:$Q,12))</f>
        <v>54.6</v>
      </c>
    </row>
    <row r="189" spans="1:12" x14ac:dyDescent="0.35">
      <c r="A189" s="51">
        <v>41183</v>
      </c>
      <c r="B189" s="48">
        <f>IF(VLOOKUP(Table91213[[#This Row],[Date]],'DB Details'!$A:$Q,2)=0,"",VLOOKUP(Table91213[[#This Row],[Date]],'DB Details'!$A:$Q,2))</f>
        <v>55.5</v>
      </c>
      <c r="C189" s="49">
        <f>IF(VLOOKUP(Table91213[[#This Row],[Date]],'DB Details'!$A:$Q,3)=0,"",VLOOKUP(Table91213[[#This Row],[Date]],'DB Details'!$A:$Q,3))</f>
        <v>49.5</v>
      </c>
      <c r="D189" s="49">
        <f>IF(VLOOKUP(Table91213[[#This Row],[Date]],'DB Details'!$A:$Q,4)=0,"",VLOOKUP(Table91213[[#This Row],[Date]],'DB Details'!$A:$Q,4))</f>
        <v>49</v>
      </c>
      <c r="E189" s="50">
        <f>IF(VLOOKUP(Table91213[[#This Row],[Date]],'DB Details'!$A:$Q,5)=0,"",VLOOKUP(Table91213[[#This Row],[Date]],'DB Details'!$A:$Q,5))</f>
        <v>61.7</v>
      </c>
      <c r="F189" s="49">
        <f>IF(VLOOKUP(Table91213[[#This Row],[Date]],'DB Details'!$A:$Q,6)=0,"",VLOOKUP(Table91213[[#This Row],[Date]],'DB Details'!$A:$Q,6))</f>
        <v>56.1</v>
      </c>
      <c r="G189" s="50">
        <f>IF(VLOOKUP(Table91213[[#This Row],[Date]],'DB Details'!$A:$Q,7)=0,"",VLOOKUP(Table91213[[#This Row],[Date]],'DB Details'!$A:$Q,7))</f>
        <v>64</v>
      </c>
      <c r="H189" s="50">
        <f>IF(VLOOKUP(Table91213[[#This Row],[Date]],'DB Details'!$A:$Q,8)=0,"",VLOOKUP(Table91213[[#This Row],[Date]],'DB Details'!$A:$Q,8))</f>
        <v>46.5</v>
      </c>
      <c r="I189" s="50">
        <f>IF(VLOOKUP(Table91213[[#This Row],[Date]],'DB Details'!$A:$Q,9)=0,"",VLOOKUP(Table91213[[#This Row],[Date]],'DB Details'!$A:$Q,9))</f>
        <v>51.5</v>
      </c>
      <c r="J189" s="50">
        <f>IF(VLOOKUP(Table91213[[#This Row],[Date]],'DB Details'!$A:$Q,10)=0,"",VLOOKUP(Table91213[[#This Row],[Date]],'DB Details'!$A:$Q,10))</f>
        <v>54.7</v>
      </c>
      <c r="K189" s="50">
        <f>IF(VLOOKUP(Table91213[[#This Row],[Date]],'DB Details'!$A:$Q,11)=0,"",VLOOKUP(Table91213[[#This Row],[Date]],'DB Details'!$A:$Q,11))</f>
        <v>47.5</v>
      </c>
      <c r="L189" s="48">
        <f>IF(VLOOKUP(Table91213[[#This Row],[Date]],'DB Details'!$A:$Q,12)=0,"",VLOOKUP(Table91213[[#This Row],[Date]],'DB Details'!$A:$Q,12))</f>
        <v>54.2</v>
      </c>
    </row>
    <row r="190" spans="1:12" x14ac:dyDescent="0.35">
      <c r="A190" s="51">
        <v>41214</v>
      </c>
      <c r="B190" s="48">
        <f>IF(VLOOKUP(Table91213[[#This Row],[Date]],'DB Details'!$A:$Q,2)=0,"",VLOOKUP(Table91213[[#This Row],[Date]],'DB Details'!$A:$Q,2))</f>
        <v>57.1</v>
      </c>
      <c r="C190" s="49">
        <f>IF(VLOOKUP(Table91213[[#This Row],[Date]],'DB Details'!$A:$Q,3)=0,"",VLOOKUP(Table91213[[#This Row],[Date]],'DB Details'!$A:$Q,3))</f>
        <v>55.5</v>
      </c>
      <c r="D190" s="49">
        <f>IF(VLOOKUP(Table91213[[#This Row],[Date]],'DB Details'!$A:$Q,4)=0,"",VLOOKUP(Table91213[[#This Row],[Date]],'DB Details'!$A:$Q,4))</f>
        <v>53.5</v>
      </c>
      <c r="E190" s="50">
        <f>IF(VLOOKUP(Table91213[[#This Row],[Date]],'DB Details'!$A:$Q,5)=0,"",VLOOKUP(Table91213[[#This Row],[Date]],'DB Details'!$A:$Q,5))</f>
        <v>57.9</v>
      </c>
      <c r="F190" s="49">
        <f>IF(VLOOKUP(Table91213[[#This Row],[Date]],'DB Details'!$A:$Q,6)=0,"",VLOOKUP(Table91213[[#This Row],[Date]],'DB Details'!$A:$Q,6))</f>
        <v>60.9</v>
      </c>
      <c r="G190" s="50">
        <f>IF(VLOOKUP(Table91213[[#This Row],[Date]],'DB Details'!$A:$Q,7)=0,"",VLOOKUP(Table91213[[#This Row],[Date]],'DB Details'!$A:$Q,7))</f>
        <v>62.5</v>
      </c>
      <c r="H190" s="50">
        <f>IF(VLOOKUP(Table91213[[#This Row],[Date]],'DB Details'!$A:$Q,8)=0,"",VLOOKUP(Table91213[[#This Row],[Date]],'DB Details'!$A:$Q,8))</f>
        <v>47</v>
      </c>
      <c r="I190" s="50">
        <f>IF(VLOOKUP(Table91213[[#This Row],[Date]],'DB Details'!$A:$Q,9)=0,"",VLOOKUP(Table91213[[#This Row],[Date]],'DB Details'!$A:$Q,9))</f>
        <v>49</v>
      </c>
      <c r="J190" s="50">
        <f>IF(VLOOKUP(Table91213[[#This Row],[Date]],'DB Details'!$A:$Q,10)=0,"",VLOOKUP(Table91213[[#This Row],[Date]],'DB Details'!$A:$Q,10))</f>
        <v>53.3</v>
      </c>
      <c r="K190" s="50">
        <f>IF(VLOOKUP(Table91213[[#This Row],[Date]],'DB Details'!$A:$Q,11)=0,"",VLOOKUP(Table91213[[#This Row],[Date]],'DB Details'!$A:$Q,11))</f>
        <v>48</v>
      </c>
      <c r="L190" s="48">
        <f>IF(VLOOKUP(Table91213[[#This Row],[Date]],'DB Details'!$A:$Q,12)=0,"",VLOOKUP(Table91213[[#This Row],[Date]],'DB Details'!$A:$Q,12))</f>
        <v>54.8</v>
      </c>
    </row>
    <row r="191" spans="1:12" x14ac:dyDescent="0.35">
      <c r="A191" s="51">
        <v>41244</v>
      </c>
      <c r="B191" s="48">
        <f>IF(VLOOKUP(Table91213[[#This Row],[Date]],'DB Details'!$A:$Q,2)=0,"",VLOOKUP(Table91213[[#This Row],[Date]],'DB Details'!$A:$Q,2))</f>
        <v>58.8</v>
      </c>
      <c r="C191" s="49">
        <f>IF(VLOOKUP(Table91213[[#This Row],[Date]],'DB Details'!$A:$Q,3)=0,"",VLOOKUP(Table91213[[#This Row],[Date]],'DB Details'!$A:$Q,3))</f>
        <v>49</v>
      </c>
      <c r="D191" s="49">
        <f>IF(VLOOKUP(Table91213[[#This Row],[Date]],'DB Details'!$A:$Q,4)=0,"",VLOOKUP(Table91213[[#This Row],[Date]],'DB Details'!$A:$Q,4))</f>
        <v>49.5</v>
      </c>
      <c r="E191" s="50">
        <f>IF(VLOOKUP(Table91213[[#This Row],[Date]],'DB Details'!$A:$Q,5)=0,"",VLOOKUP(Table91213[[#This Row],[Date]],'DB Details'!$A:$Q,5))</f>
        <v>56.9</v>
      </c>
      <c r="F191" s="49">
        <f>IF(VLOOKUP(Table91213[[#This Row],[Date]],'DB Details'!$A:$Q,6)=0,"",VLOOKUP(Table91213[[#This Row],[Date]],'DB Details'!$A:$Q,6))</f>
        <v>60</v>
      </c>
      <c r="G191" s="50">
        <f>IF(VLOOKUP(Table91213[[#This Row],[Date]],'DB Details'!$A:$Q,7)=0,"",VLOOKUP(Table91213[[#This Row],[Date]],'DB Details'!$A:$Q,7))</f>
        <v>58</v>
      </c>
      <c r="H191" s="50">
        <f>IF(VLOOKUP(Table91213[[#This Row],[Date]],'DB Details'!$A:$Q,8)=0,"",VLOOKUP(Table91213[[#This Row],[Date]],'DB Details'!$A:$Q,8))</f>
        <v>50</v>
      </c>
      <c r="I191" s="50">
        <f>IF(VLOOKUP(Table91213[[#This Row],[Date]],'DB Details'!$A:$Q,9)=0,"",VLOOKUP(Table91213[[#This Row],[Date]],'DB Details'!$A:$Q,9))</f>
        <v>48.5</v>
      </c>
      <c r="J191" s="50">
        <f>IF(VLOOKUP(Table91213[[#This Row],[Date]],'DB Details'!$A:$Q,10)=0,"",VLOOKUP(Table91213[[#This Row],[Date]],'DB Details'!$A:$Q,10))</f>
        <v>55.2</v>
      </c>
      <c r="K191" s="50">
        <f>IF(VLOOKUP(Table91213[[#This Row],[Date]],'DB Details'!$A:$Q,11)=0,"",VLOOKUP(Table91213[[#This Row],[Date]],'DB Details'!$A:$Q,11))</f>
        <v>49.5</v>
      </c>
      <c r="L191" s="48">
        <f>IF(VLOOKUP(Table91213[[#This Row],[Date]],'DB Details'!$A:$Q,12)=0,"",VLOOKUP(Table91213[[#This Row],[Date]],'DB Details'!$A:$Q,12))</f>
        <v>55.6</v>
      </c>
    </row>
    <row r="192" spans="1:12" x14ac:dyDescent="0.35">
      <c r="A192" s="51">
        <v>41275</v>
      </c>
      <c r="B192" s="48">
        <f>IF(VLOOKUP(Table91213[[#This Row],[Date]],'DB Details'!$A:$Q,2)=0,"",VLOOKUP(Table91213[[#This Row],[Date]],'DB Details'!$A:$Q,2))</f>
        <v>56.7</v>
      </c>
      <c r="C192" s="49">
        <f>IF(VLOOKUP(Table91213[[#This Row],[Date]],'DB Details'!$A:$Q,3)=0,"",VLOOKUP(Table91213[[#This Row],[Date]],'DB Details'!$A:$Q,3))</f>
        <v>51</v>
      </c>
      <c r="D192" s="49">
        <f>IF(VLOOKUP(Table91213[[#This Row],[Date]],'DB Details'!$A:$Q,4)=0,"",VLOOKUP(Table91213[[#This Row],[Date]],'DB Details'!$A:$Q,4))</f>
        <v>49</v>
      </c>
      <c r="E192" s="50">
        <f>IF(VLOOKUP(Table91213[[#This Row],[Date]],'DB Details'!$A:$Q,5)=0,"",VLOOKUP(Table91213[[#This Row],[Date]],'DB Details'!$A:$Q,5))</f>
        <v>57.4</v>
      </c>
      <c r="F192" s="49">
        <f>IF(VLOOKUP(Table91213[[#This Row],[Date]],'DB Details'!$A:$Q,6)=0,"",VLOOKUP(Table91213[[#This Row],[Date]],'DB Details'!$A:$Q,6))</f>
        <v>56.4</v>
      </c>
      <c r="G192" s="50">
        <f>IF(VLOOKUP(Table91213[[#This Row],[Date]],'DB Details'!$A:$Q,7)=0,"",VLOOKUP(Table91213[[#This Row],[Date]],'DB Details'!$A:$Q,7))</f>
        <v>64</v>
      </c>
      <c r="H192" s="50">
        <f>IF(VLOOKUP(Table91213[[#This Row],[Date]],'DB Details'!$A:$Q,8)=0,"",VLOOKUP(Table91213[[#This Row],[Date]],'DB Details'!$A:$Q,8))</f>
        <v>47</v>
      </c>
      <c r="I192" s="50">
        <f>IF(VLOOKUP(Table91213[[#This Row],[Date]],'DB Details'!$A:$Q,9)=0,"",VLOOKUP(Table91213[[#This Row],[Date]],'DB Details'!$A:$Q,9))</f>
        <v>52.5</v>
      </c>
      <c r="J192" s="50">
        <f>IF(VLOOKUP(Table91213[[#This Row],[Date]],'DB Details'!$A:$Q,10)=0,"",VLOOKUP(Table91213[[#This Row],[Date]],'DB Details'!$A:$Q,10))</f>
        <v>55.6</v>
      </c>
      <c r="K192" s="50">
        <f>IF(VLOOKUP(Table91213[[#This Row],[Date]],'DB Details'!$A:$Q,11)=0,"",VLOOKUP(Table91213[[#This Row],[Date]],'DB Details'!$A:$Q,11))</f>
        <v>55.5</v>
      </c>
      <c r="L192" s="48">
        <f>IF(VLOOKUP(Table91213[[#This Row],[Date]],'DB Details'!$A:$Q,12)=0,"",VLOOKUP(Table91213[[#This Row],[Date]],'DB Details'!$A:$Q,12))</f>
        <v>55.3</v>
      </c>
    </row>
    <row r="193" spans="1:12" x14ac:dyDescent="0.35">
      <c r="A193" s="51">
        <v>41306</v>
      </c>
      <c r="B193" s="48">
        <f>IF(VLOOKUP(Table91213[[#This Row],[Date]],'DB Details'!$A:$Q,2)=0,"",VLOOKUP(Table91213[[#This Row],[Date]],'DB Details'!$A:$Q,2))</f>
        <v>58.9</v>
      </c>
      <c r="C193" s="49">
        <f>IF(VLOOKUP(Table91213[[#This Row],[Date]],'DB Details'!$A:$Q,3)=0,"",VLOOKUP(Table91213[[#This Row],[Date]],'DB Details'!$A:$Q,3))</f>
        <v>52.5</v>
      </c>
      <c r="D193" s="49">
        <f>IF(VLOOKUP(Table91213[[#This Row],[Date]],'DB Details'!$A:$Q,4)=0,"",VLOOKUP(Table91213[[#This Row],[Date]],'DB Details'!$A:$Q,4))</f>
        <v>54.5</v>
      </c>
      <c r="E193" s="50">
        <f>IF(VLOOKUP(Table91213[[#This Row],[Date]],'DB Details'!$A:$Q,5)=0,"",VLOOKUP(Table91213[[#This Row],[Date]],'DB Details'!$A:$Q,5))</f>
        <v>61</v>
      </c>
      <c r="F193" s="49">
        <f>IF(VLOOKUP(Table91213[[#This Row],[Date]],'DB Details'!$A:$Q,6)=0,"",VLOOKUP(Table91213[[#This Row],[Date]],'DB Details'!$A:$Q,6))</f>
        <v>56.3</v>
      </c>
      <c r="G193" s="50">
        <f>IF(VLOOKUP(Table91213[[#This Row],[Date]],'DB Details'!$A:$Q,7)=0,"",VLOOKUP(Table91213[[#This Row],[Date]],'DB Details'!$A:$Q,7))</f>
        <v>62.5</v>
      </c>
      <c r="H193" s="50">
        <f>IF(VLOOKUP(Table91213[[#This Row],[Date]],'DB Details'!$A:$Q,8)=0,"",VLOOKUP(Table91213[[#This Row],[Date]],'DB Details'!$A:$Q,8))</f>
        <v>54</v>
      </c>
      <c r="I193" s="50">
        <f>IF(VLOOKUP(Table91213[[#This Row],[Date]],'DB Details'!$A:$Q,9)=0,"",VLOOKUP(Table91213[[#This Row],[Date]],'DB Details'!$A:$Q,9))</f>
        <v>51.5</v>
      </c>
      <c r="J193" s="50">
        <f>IF(VLOOKUP(Table91213[[#This Row],[Date]],'DB Details'!$A:$Q,10)=0,"",VLOOKUP(Table91213[[#This Row],[Date]],'DB Details'!$A:$Q,10))</f>
        <v>55.5</v>
      </c>
      <c r="K193" s="50">
        <f>IF(VLOOKUP(Table91213[[#This Row],[Date]],'DB Details'!$A:$Q,11)=0,"",VLOOKUP(Table91213[[#This Row],[Date]],'DB Details'!$A:$Q,11))</f>
        <v>60.5</v>
      </c>
      <c r="L193" s="48">
        <f>IF(VLOOKUP(Table91213[[#This Row],[Date]],'DB Details'!$A:$Q,12)=0,"",VLOOKUP(Table91213[[#This Row],[Date]],'DB Details'!$A:$Q,12))</f>
        <v>56.1</v>
      </c>
    </row>
    <row r="194" spans="1:12" x14ac:dyDescent="0.35">
      <c r="A194" s="51">
        <v>41334</v>
      </c>
      <c r="B194" s="48">
        <f>IF(VLOOKUP(Table91213[[#This Row],[Date]],'DB Details'!$A:$Q,2)=0,"",VLOOKUP(Table91213[[#This Row],[Date]],'DB Details'!$A:$Q,2))</f>
        <v>56.5</v>
      </c>
      <c r="C194" s="49">
        <f>IF(VLOOKUP(Table91213[[#This Row],[Date]],'DB Details'!$A:$Q,3)=0,"",VLOOKUP(Table91213[[#This Row],[Date]],'DB Details'!$A:$Q,3))</f>
        <v>57.5</v>
      </c>
      <c r="D194" s="49">
        <f>IF(VLOOKUP(Table91213[[#This Row],[Date]],'DB Details'!$A:$Q,4)=0,"",VLOOKUP(Table91213[[#This Row],[Date]],'DB Details'!$A:$Q,4))</f>
        <v>54.5</v>
      </c>
      <c r="E194" s="50">
        <f>IF(VLOOKUP(Table91213[[#This Row],[Date]],'DB Details'!$A:$Q,5)=0,"",VLOOKUP(Table91213[[#This Row],[Date]],'DB Details'!$A:$Q,5))</f>
        <v>56.2</v>
      </c>
      <c r="F194" s="49">
        <f>IF(VLOOKUP(Table91213[[#This Row],[Date]],'DB Details'!$A:$Q,6)=0,"",VLOOKUP(Table91213[[#This Row],[Date]],'DB Details'!$A:$Q,6))</f>
        <v>56.6</v>
      </c>
      <c r="G194" s="50">
        <f>IF(VLOOKUP(Table91213[[#This Row],[Date]],'DB Details'!$A:$Q,7)=0,"",VLOOKUP(Table91213[[#This Row],[Date]],'DB Details'!$A:$Q,7))</f>
        <v>59.5</v>
      </c>
      <c r="H194" s="50">
        <f>IF(VLOOKUP(Table91213[[#This Row],[Date]],'DB Details'!$A:$Q,8)=0,"",VLOOKUP(Table91213[[#This Row],[Date]],'DB Details'!$A:$Q,8))</f>
        <v>51.5</v>
      </c>
      <c r="I194" s="50">
        <f>IF(VLOOKUP(Table91213[[#This Row],[Date]],'DB Details'!$A:$Q,9)=0,"",VLOOKUP(Table91213[[#This Row],[Date]],'DB Details'!$A:$Q,9))</f>
        <v>53</v>
      </c>
      <c r="J194" s="50">
        <f>IF(VLOOKUP(Table91213[[#This Row],[Date]],'DB Details'!$A:$Q,10)=0,"",VLOOKUP(Table91213[[#This Row],[Date]],'DB Details'!$A:$Q,10))</f>
        <v>53.2</v>
      </c>
      <c r="K194" s="50">
        <f>IF(VLOOKUP(Table91213[[#This Row],[Date]],'DB Details'!$A:$Q,11)=0,"",VLOOKUP(Table91213[[#This Row],[Date]],'DB Details'!$A:$Q,11))</f>
        <v>56.5</v>
      </c>
      <c r="L194" s="48">
        <f>IF(VLOOKUP(Table91213[[#This Row],[Date]],'DB Details'!$A:$Q,12)=0,"",VLOOKUP(Table91213[[#This Row],[Date]],'DB Details'!$A:$Q,12))</f>
        <v>55.2</v>
      </c>
    </row>
    <row r="195" spans="1:12" x14ac:dyDescent="0.35">
      <c r="A195" s="51">
        <v>41365</v>
      </c>
      <c r="B195" s="48">
        <f>IF(VLOOKUP(Table91213[[#This Row],[Date]],'DB Details'!$A:$Q,2)=0,"",VLOOKUP(Table91213[[#This Row],[Date]],'DB Details'!$A:$Q,2))</f>
        <v>55.4</v>
      </c>
      <c r="C195" s="49">
        <f>IF(VLOOKUP(Table91213[[#This Row],[Date]],'DB Details'!$A:$Q,3)=0,"",VLOOKUP(Table91213[[#This Row],[Date]],'DB Details'!$A:$Q,3))</f>
        <v>58.5</v>
      </c>
      <c r="D195" s="49">
        <f>IF(VLOOKUP(Table91213[[#This Row],[Date]],'DB Details'!$A:$Q,4)=0,"",VLOOKUP(Table91213[[#This Row],[Date]],'DB Details'!$A:$Q,4))</f>
        <v>51.5</v>
      </c>
      <c r="E195" s="50">
        <f>IF(VLOOKUP(Table91213[[#This Row],[Date]],'DB Details'!$A:$Q,5)=0,"",VLOOKUP(Table91213[[#This Row],[Date]],'DB Details'!$A:$Q,5))</f>
        <v>52.7</v>
      </c>
      <c r="F195" s="49">
        <f>IF(VLOOKUP(Table91213[[#This Row],[Date]],'DB Details'!$A:$Q,6)=0,"",VLOOKUP(Table91213[[#This Row],[Date]],'DB Details'!$A:$Q,6))</f>
        <v>55.9</v>
      </c>
      <c r="G195" s="50">
        <f>IF(VLOOKUP(Table91213[[#This Row],[Date]],'DB Details'!$A:$Q,7)=0,"",VLOOKUP(Table91213[[#This Row],[Date]],'DB Details'!$A:$Q,7))</f>
        <v>60.5</v>
      </c>
      <c r="H195" s="50">
        <f>IF(VLOOKUP(Table91213[[#This Row],[Date]],'DB Details'!$A:$Q,8)=0,"",VLOOKUP(Table91213[[#This Row],[Date]],'DB Details'!$A:$Q,8))</f>
        <v>56</v>
      </c>
      <c r="I195" s="50">
        <f>IF(VLOOKUP(Table91213[[#This Row],[Date]],'DB Details'!$A:$Q,9)=0,"",VLOOKUP(Table91213[[#This Row],[Date]],'DB Details'!$A:$Q,9))</f>
        <v>51</v>
      </c>
      <c r="J195" s="50">
        <f>IF(VLOOKUP(Table91213[[#This Row],[Date]],'DB Details'!$A:$Q,10)=0,"",VLOOKUP(Table91213[[#This Row],[Date]],'DB Details'!$A:$Q,10))</f>
        <v>52.6</v>
      </c>
      <c r="K195" s="50">
        <f>IF(VLOOKUP(Table91213[[#This Row],[Date]],'DB Details'!$A:$Q,11)=0,"",VLOOKUP(Table91213[[#This Row],[Date]],'DB Details'!$A:$Q,11))</f>
        <v>53.5</v>
      </c>
      <c r="L195" s="48">
        <f>IF(VLOOKUP(Table91213[[#This Row],[Date]],'DB Details'!$A:$Q,12)=0,"",VLOOKUP(Table91213[[#This Row],[Date]],'DB Details'!$A:$Q,12))</f>
        <v>53.9</v>
      </c>
    </row>
    <row r="196" spans="1:12" x14ac:dyDescent="0.35">
      <c r="A196" s="51">
        <v>41395</v>
      </c>
      <c r="B196" s="48">
        <f>IF(VLOOKUP(Table91213[[#This Row],[Date]],'DB Details'!$A:$Q,2)=0,"",VLOOKUP(Table91213[[#This Row],[Date]],'DB Details'!$A:$Q,2))</f>
        <v>56.1</v>
      </c>
      <c r="C196" s="49">
        <f>IF(VLOOKUP(Table91213[[#This Row],[Date]],'DB Details'!$A:$Q,3)=0,"",VLOOKUP(Table91213[[#This Row],[Date]],'DB Details'!$A:$Q,3))</f>
        <v>49.5</v>
      </c>
      <c r="D196" s="49">
        <f>IF(VLOOKUP(Table91213[[#This Row],[Date]],'DB Details'!$A:$Q,4)=0,"",VLOOKUP(Table91213[[#This Row],[Date]],'DB Details'!$A:$Q,4))</f>
        <v>51.5</v>
      </c>
      <c r="E196" s="50">
        <f>IF(VLOOKUP(Table91213[[#This Row],[Date]],'DB Details'!$A:$Q,5)=0,"",VLOOKUP(Table91213[[#This Row],[Date]],'DB Details'!$A:$Q,5))</f>
        <v>52.6</v>
      </c>
      <c r="F196" s="49">
        <f>IF(VLOOKUP(Table91213[[#This Row],[Date]],'DB Details'!$A:$Q,6)=0,"",VLOOKUP(Table91213[[#This Row],[Date]],'DB Details'!$A:$Q,6))</f>
        <v>57</v>
      </c>
      <c r="G196" s="50">
        <f>IF(VLOOKUP(Table91213[[#This Row],[Date]],'DB Details'!$A:$Q,7)=0,"",VLOOKUP(Table91213[[#This Row],[Date]],'DB Details'!$A:$Q,7))</f>
        <v>62.5</v>
      </c>
      <c r="H196" s="50">
        <f>IF(VLOOKUP(Table91213[[#This Row],[Date]],'DB Details'!$A:$Q,8)=0,"",VLOOKUP(Table91213[[#This Row],[Date]],'DB Details'!$A:$Q,8))</f>
        <v>51.5</v>
      </c>
      <c r="I196" s="50">
        <f>IF(VLOOKUP(Table91213[[#This Row],[Date]],'DB Details'!$A:$Q,9)=0,"",VLOOKUP(Table91213[[#This Row],[Date]],'DB Details'!$A:$Q,9))</f>
        <v>52</v>
      </c>
      <c r="J196" s="50">
        <f>IF(VLOOKUP(Table91213[[#This Row],[Date]],'DB Details'!$A:$Q,10)=0,"",VLOOKUP(Table91213[[#This Row],[Date]],'DB Details'!$A:$Q,10))</f>
        <v>50.3</v>
      </c>
      <c r="K196" s="50">
        <f>IF(VLOOKUP(Table91213[[#This Row],[Date]],'DB Details'!$A:$Q,11)=0,"",VLOOKUP(Table91213[[#This Row],[Date]],'DB Details'!$A:$Q,11))</f>
        <v>50</v>
      </c>
      <c r="L196" s="48">
        <f>IF(VLOOKUP(Table91213[[#This Row],[Date]],'DB Details'!$A:$Q,12)=0,"",VLOOKUP(Table91213[[#This Row],[Date]],'DB Details'!$A:$Q,12))</f>
        <v>54.4</v>
      </c>
    </row>
    <row r="197" spans="1:12" x14ac:dyDescent="0.35">
      <c r="A197" s="51">
        <v>41426</v>
      </c>
      <c r="B197" s="48">
        <f>IF(VLOOKUP(Table91213[[#This Row],[Date]],'DB Details'!$A:$Q,2)=0,"",VLOOKUP(Table91213[[#This Row],[Date]],'DB Details'!$A:$Q,2))</f>
        <v>54.1</v>
      </c>
      <c r="C197" s="49">
        <f>IF(VLOOKUP(Table91213[[#This Row],[Date]],'DB Details'!$A:$Q,3)=0,"",VLOOKUP(Table91213[[#This Row],[Date]],'DB Details'!$A:$Q,3))</f>
        <v>53.5</v>
      </c>
      <c r="D197" s="49">
        <f>IF(VLOOKUP(Table91213[[#This Row],[Date]],'DB Details'!$A:$Q,4)=0,"",VLOOKUP(Table91213[[#This Row],[Date]],'DB Details'!$A:$Q,4))</f>
        <v>52</v>
      </c>
      <c r="E197" s="50">
        <f>IF(VLOOKUP(Table91213[[#This Row],[Date]],'DB Details'!$A:$Q,5)=0,"",VLOOKUP(Table91213[[#This Row],[Date]],'DB Details'!$A:$Q,5))</f>
        <v>54.8</v>
      </c>
      <c r="F197" s="49">
        <f>IF(VLOOKUP(Table91213[[#This Row],[Date]],'DB Details'!$A:$Q,6)=0,"",VLOOKUP(Table91213[[#This Row],[Date]],'DB Details'!$A:$Q,6))</f>
        <v>53.3</v>
      </c>
      <c r="G197" s="50">
        <f>IF(VLOOKUP(Table91213[[#This Row],[Date]],'DB Details'!$A:$Q,7)=0,"",VLOOKUP(Table91213[[#This Row],[Date]],'DB Details'!$A:$Q,7))</f>
        <v>61.5</v>
      </c>
      <c r="H197" s="50">
        <f>IF(VLOOKUP(Table91213[[#This Row],[Date]],'DB Details'!$A:$Q,8)=0,"",VLOOKUP(Table91213[[#This Row],[Date]],'DB Details'!$A:$Q,8))</f>
        <v>54.5</v>
      </c>
      <c r="I197" s="50">
        <f>IF(VLOOKUP(Table91213[[#This Row],[Date]],'DB Details'!$A:$Q,9)=0,"",VLOOKUP(Table91213[[#This Row],[Date]],'DB Details'!$A:$Q,9))</f>
        <v>51.5</v>
      </c>
      <c r="J197" s="50">
        <f>IF(VLOOKUP(Table91213[[#This Row],[Date]],'DB Details'!$A:$Q,10)=0,"",VLOOKUP(Table91213[[#This Row],[Date]],'DB Details'!$A:$Q,10))</f>
        <v>54.9</v>
      </c>
      <c r="K197" s="50">
        <f>IF(VLOOKUP(Table91213[[#This Row],[Date]],'DB Details'!$A:$Q,11)=0,"",VLOOKUP(Table91213[[#This Row],[Date]],'DB Details'!$A:$Q,11))</f>
        <v>47.5</v>
      </c>
      <c r="L197" s="48">
        <f>IF(VLOOKUP(Table91213[[#This Row],[Date]],'DB Details'!$A:$Q,12)=0,"",VLOOKUP(Table91213[[#This Row],[Date]],'DB Details'!$A:$Q,12))</f>
        <v>54.1</v>
      </c>
    </row>
    <row r="198" spans="1:12" x14ac:dyDescent="0.35">
      <c r="A198" s="51">
        <v>41456</v>
      </c>
      <c r="B198" s="48">
        <f>IF(VLOOKUP(Table91213[[#This Row],[Date]],'DB Details'!$A:$Q,2)=0,"",VLOOKUP(Table91213[[#This Row],[Date]],'DB Details'!$A:$Q,2))</f>
        <v>55.3</v>
      </c>
      <c r="C198" s="49">
        <f>IF(VLOOKUP(Table91213[[#This Row],[Date]],'DB Details'!$A:$Q,3)=0,"",VLOOKUP(Table91213[[#This Row],[Date]],'DB Details'!$A:$Q,3))</f>
        <v>50.5</v>
      </c>
      <c r="D198" s="49">
        <f>IF(VLOOKUP(Table91213[[#This Row],[Date]],'DB Details'!$A:$Q,4)=0,"",VLOOKUP(Table91213[[#This Row],[Date]],'DB Details'!$A:$Q,4))</f>
        <v>46.5</v>
      </c>
      <c r="E198" s="50">
        <f>IF(VLOOKUP(Table91213[[#This Row],[Date]],'DB Details'!$A:$Q,5)=0,"",VLOOKUP(Table91213[[#This Row],[Date]],'DB Details'!$A:$Q,5))</f>
        <v>56.9</v>
      </c>
      <c r="F198" s="49">
        <f>IF(VLOOKUP(Table91213[[#This Row],[Date]],'DB Details'!$A:$Q,6)=0,"",VLOOKUP(Table91213[[#This Row],[Date]],'DB Details'!$A:$Q,6))</f>
        <v>59.5</v>
      </c>
      <c r="G198" s="50">
        <f>IF(VLOOKUP(Table91213[[#This Row],[Date]],'DB Details'!$A:$Q,7)=0,"",VLOOKUP(Table91213[[#This Row],[Date]],'DB Details'!$A:$Q,7))</f>
        <v>64</v>
      </c>
      <c r="H198" s="50">
        <f>IF(VLOOKUP(Table91213[[#This Row],[Date]],'DB Details'!$A:$Q,8)=0,"",VLOOKUP(Table91213[[#This Row],[Date]],'DB Details'!$A:$Q,8))</f>
        <v>53.5</v>
      </c>
      <c r="I198" s="50">
        <f>IF(VLOOKUP(Table91213[[#This Row],[Date]],'DB Details'!$A:$Q,9)=0,"",VLOOKUP(Table91213[[#This Row],[Date]],'DB Details'!$A:$Q,9))</f>
        <v>52.5</v>
      </c>
      <c r="J198" s="50">
        <f>IF(VLOOKUP(Table91213[[#This Row],[Date]],'DB Details'!$A:$Q,10)=0,"",VLOOKUP(Table91213[[#This Row],[Date]],'DB Details'!$A:$Q,10))</f>
        <v>53.9</v>
      </c>
      <c r="K198" s="50">
        <f>IF(VLOOKUP(Table91213[[#This Row],[Date]],'DB Details'!$A:$Q,11)=0,"",VLOOKUP(Table91213[[#This Row],[Date]],'DB Details'!$A:$Q,11))</f>
        <v>49.5</v>
      </c>
      <c r="L198" s="48">
        <f>IF(VLOOKUP(Table91213[[#This Row],[Date]],'DB Details'!$A:$Q,12)=0,"",VLOOKUP(Table91213[[#This Row],[Date]],'DB Details'!$A:$Q,12))</f>
        <v>54.9</v>
      </c>
    </row>
    <row r="199" spans="1:12" x14ac:dyDescent="0.35">
      <c r="A199" s="51">
        <v>41487</v>
      </c>
      <c r="B199" s="48">
        <f>IF(VLOOKUP(Table91213[[#This Row],[Date]],'DB Details'!$A:$Q,2)=0,"",VLOOKUP(Table91213[[#This Row],[Date]],'DB Details'!$A:$Q,2))</f>
        <v>57.8</v>
      </c>
      <c r="C199" s="49">
        <f>IF(VLOOKUP(Table91213[[#This Row],[Date]],'DB Details'!$A:$Q,3)=0,"",VLOOKUP(Table91213[[#This Row],[Date]],'DB Details'!$A:$Q,3))</f>
        <v>55</v>
      </c>
      <c r="D199" s="49">
        <f>IF(VLOOKUP(Table91213[[#This Row],[Date]],'DB Details'!$A:$Q,4)=0,"",VLOOKUP(Table91213[[#This Row],[Date]],'DB Details'!$A:$Q,4))</f>
        <v>50.5</v>
      </c>
      <c r="E199" s="50">
        <f>IF(VLOOKUP(Table91213[[#This Row],[Date]],'DB Details'!$A:$Q,5)=0,"",VLOOKUP(Table91213[[#This Row],[Date]],'DB Details'!$A:$Q,5))</f>
        <v>53.2</v>
      </c>
      <c r="F199" s="49">
        <f>IF(VLOOKUP(Table91213[[#This Row],[Date]],'DB Details'!$A:$Q,6)=0,"",VLOOKUP(Table91213[[#This Row],[Date]],'DB Details'!$A:$Q,6))</f>
        <v>61</v>
      </c>
      <c r="G199" s="50">
        <f>IF(VLOOKUP(Table91213[[#This Row],[Date]],'DB Details'!$A:$Q,7)=0,"",VLOOKUP(Table91213[[#This Row],[Date]],'DB Details'!$A:$Q,7))</f>
        <v>63.5</v>
      </c>
      <c r="H199" s="50">
        <f>IF(VLOOKUP(Table91213[[#This Row],[Date]],'DB Details'!$A:$Q,8)=0,"",VLOOKUP(Table91213[[#This Row],[Date]],'DB Details'!$A:$Q,8))</f>
        <v>56</v>
      </c>
      <c r="I199" s="50">
        <f>IF(VLOOKUP(Table91213[[#This Row],[Date]],'DB Details'!$A:$Q,9)=0,"",VLOOKUP(Table91213[[#This Row],[Date]],'DB Details'!$A:$Q,9))</f>
        <v>54.5</v>
      </c>
      <c r="J199" s="50">
        <f>IF(VLOOKUP(Table91213[[#This Row],[Date]],'DB Details'!$A:$Q,10)=0,"",VLOOKUP(Table91213[[#This Row],[Date]],'DB Details'!$A:$Q,10))</f>
        <v>56.3</v>
      </c>
      <c r="K199" s="50">
        <f>IF(VLOOKUP(Table91213[[#This Row],[Date]],'DB Details'!$A:$Q,11)=0,"",VLOOKUP(Table91213[[#This Row],[Date]],'DB Details'!$A:$Q,11))</f>
        <v>50.5</v>
      </c>
      <c r="L199" s="48">
        <f>IF(VLOOKUP(Table91213[[#This Row],[Date]],'DB Details'!$A:$Q,12)=0,"",VLOOKUP(Table91213[[#This Row],[Date]],'DB Details'!$A:$Q,12))</f>
        <v>56.6</v>
      </c>
    </row>
    <row r="200" spans="1:12" x14ac:dyDescent="0.35">
      <c r="A200" s="51">
        <v>41518</v>
      </c>
      <c r="B200" s="48">
        <f>IF(VLOOKUP(Table91213[[#This Row],[Date]],'DB Details'!$A:$Q,2)=0,"",VLOOKUP(Table91213[[#This Row],[Date]],'DB Details'!$A:$Q,2))</f>
        <v>57.1</v>
      </c>
      <c r="C200" s="49">
        <f>IF(VLOOKUP(Table91213[[#This Row],[Date]],'DB Details'!$A:$Q,3)=0,"",VLOOKUP(Table91213[[#This Row],[Date]],'DB Details'!$A:$Q,3))</f>
        <v>51.5</v>
      </c>
      <c r="D200" s="49">
        <f>IF(VLOOKUP(Table91213[[#This Row],[Date]],'DB Details'!$A:$Q,4)=0,"",VLOOKUP(Table91213[[#This Row],[Date]],'DB Details'!$A:$Q,4))</f>
        <v>50.5</v>
      </c>
      <c r="E200" s="50">
        <f>IF(VLOOKUP(Table91213[[#This Row],[Date]],'DB Details'!$A:$Q,5)=0,"",VLOOKUP(Table91213[[#This Row],[Date]],'DB Details'!$A:$Q,5))</f>
        <v>57</v>
      </c>
      <c r="F200" s="49">
        <f>IF(VLOOKUP(Table91213[[#This Row],[Date]],'DB Details'!$A:$Q,6)=0,"",VLOOKUP(Table91213[[#This Row],[Date]],'DB Details'!$A:$Q,6))</f>
        <v>55.8</v>
      </c>
      <c r="G200" s="50">
        <f>IF(VLOOKUP(Table91213[[#This Row],[Date]],'DB Details'!$A:$Q,7)=0,"",VLOOKUP(Table91213[[#This Row],[Date]],'DB Details'!$A:$Q,7))</f>
        <v>62</v>
      </c>
      <c r="H200" s="50">
        <f>IF(VLOOKUP(Table91213[[#This Row],[Date]],'DB Details'!$A:$Q,8)=0,"",VLOOKUP(Table91213[[#This Row],[Date]],'DB Details'!$A:$Q,8))</f>
        <v>54.5</v>
      </c>
      <c r="I200" s="50">
        <f>IF(VLOOKUP(Table91213[[#This Row],[Date]],'DB Details'!$A:$Q,9)=0,"",VLOOKUP(Table91213[[#This Row],[Date]],'DB Details'!$A:$Q,9))</f>
        <v>50</v>
      </c>
      <c r="J200" s="50">
        <f>IF(VLOOKUP(Table91213[[#This Row],[Date]],'DB Details'!$A:$Q,10)=0,"",VLOOKUP(Table91213[[#This Row],[Date]],'DB Details'!$A:$Q,10))</f>
        <v>54.1</v>
      </c>
      <c r="K200" s="50">
        <f>IF(VLOOKUP(Table91213[[#This Row],[Date]],'DB Details'!$A:$Q,11)=0,"",VLOOKUP(Table91213[[#This Row],[Date]],'DB Details'!$A:$Q,11))</f>
        <v>57.5</v>
      </c>
      <c r="L200" s="48">
        <f>IF(VLOOKUP(Table91213[[#This Row],[Date]],'DB Details'!$A:$Q,12)=0,"",VLOOKUP(Table91213[[#This Row],[Date]],'DB Details'!$A:$Q,12))</f>
        <v>53.6</v>
      </c>
    </row>
    <row r="201" spans="1:12" x14ac:dyDescent="0.35">
      <c r="A201" s="51">
        <v>41548</v>
      </c>
      <c r="B201" s="48">
        <f>IF(VLOOKUP(Table91213[[#This Row],[Date]],'DB Details'!$A:$Q,2)=0,"",VLOOKUP(Table91213[[#This Row],[Date]],'DB Details'!$A:$Q,2))</f>
        <v>56</v>
      </c>
      <c r="C201" s="49">
        <f>IF(VLOOKUP(Table91213[[#This Row],[Date]],'DB Details'!$A:$Q,3)=0,"",VLOOKUP(Table91213[[#This Row],[Date]],'DB Details'!$A:$Q,3))</f>
        <v>55</v>
      </c>
      <c r="D201" s="49">
        <f>IF(VLOOKUP(Table91213[[#This Row],[Date]],'DB Details'!$A:$Q,4)=0,"",VLOOKUP(Table91213[[#This Row],[Date]],'DB Details'!$A:$Q,4))</f>
        <v>50</v>
      </c>
      <c r="E201" s="50">
        <f>IF(VLOOKUP(Table91213[[#This Row],[Date]],'DB Details'!$A:$Q,5)=0,"",VLOOKUP(Table91213[[#This Row],[Date]],'DB Details'!$A:$Q,5))</f>
        <v>56.7</v>
      </c>
      <c r="F201" s="49">
        <f>IF(VLOOKUP(Table91213[[#This Row],[Date]],'DB Details'!$A:$Q,6)=0,"",VLOOKUP(Table91213[[#This Row],[Date]],'DB Details'!$A:$Q,6))</f>
        <v>58.9</v>
      </c>
      <c r="G201" s="50">
        <f>IF(VLOOKUP(Table91213[[#This Row],[Date]],'DB Details'!$A:$Q,7)=0,"",VLOOKUP(Table91213[[#This Row],[Date]],'DB Details'!$A:$Q,7))</f>
        <v>62.5</v>
      </c>
      <c r="H201" s="50">
        <f>IF(VLOOKUP(Table91213[[#This Row],[Date]],'DB Details'!$A:$Q,8)=0,"",VLOOKUP(Table91213[[#This Row],[Date]],'DB Details'!$A:$Q,8))</f>
        <v>54.5</v>
      </c>
      <c r="I201" s="50">
        <f>IF(VLOOKUP(Table91213[[#This Row],[Date]],'DB Details'!$A:$Q,9)=0,"",VLOOKUP(Table91213[[#This Row],[Date]],'DB Details'!$A:$Q,9))</f>
        <v>49</v>
      </c>
      <c r="J201" s="50">
        <f>IF(VLOOKUP(Table91213[[#This Row],[Date]],'DB Details'!$A:$Q,10)=0,"",VLOOKUP(Table91213[[#This Row],[Date]],'DB Details'!$A:$Q,10))</f>
        <v>56</v>
      </c>
      <c r="K201" s="50">
        <f>IF(VLOOKUP(Table91213[[#This Row],[Date]],'DB Details'!$A:$Q,11)=0,"",VLOOKUP(Table91213[[#This Row],[Date]],'DB Details'!$A:$Q,11))</f>
        <v>53</v>
      </c>
      <c r="L201" s="48">
        <f>IF(VLOOKUP(Table91213[[#This Row],[Date]],'DB Details'!$A:$Q,12)=0,"",VLOOKUP(Table91213[[#This Row],[Date]],'DB Details'!$A:$Q,12))</f>
        <v>54.5</v>
      </c>
    </row>
    <row r="202" spans="1:12" x14ac:dyDescent="0.35">
      <c r="A202" s="51">
        <v>41579</v>
      </c>
      <c r="B202" s="48">
        <f>IF(VLOOKUP(Table91213[[#This Row],[Date]],'DB Details'!$A:$Q,2)=0,"",VLOOKUP(Table91213[[#This Row],[Date]],'DB Details'!$A:$Q,2))</f>
        <v>55.4</v>
      </c>
      <c r="C202" s="49">
        <f>IF(VLOOKUP(Table91213[[#This Row],[Date]],'DB Details'!$A:$Q,3)=0,"",VLOOKUP(Table91213[[#This Row],[Date]],'DB Details'!$A:$Q,3))</f>
        <v>55</v>
      </c>
      <c r="D202" s="49">
        <f>IF(VLOOKUP(Table91213[[#This Row],[Date]],'DB Details'!$A:$Q,4)=0,"",VLOOKUP(Table91213[[#This Row],[Date]],'DB Details'!$A:$Q,4))</f>
        <v>49</v>
      </c>
      <c r="E202" s="50">
        <f>IF(VLOOKUP(Table91213[[#This Row],[Date]],'DB Details'!$A:$Q,5)=0,"",VLOOKUP(Table91213[[#This Row],[Date]],'DB Details'!$A:$Q,5))</f>
        <v>52.9</v>
      </c>
      <c r="F202" s="49">
        <f>IF(VLOOKUP(Table91213[[#This Row],[Date]],'DB Details'!$A:$Q,6)=0,"",VLOOKUP(Table91213[[#This Row],[Date]],'DB Details'!$A:$Q,6))</f>
        <v>55.3</v>
      </c>
      <c r="G202" s="50">
        <f>IF(VLOOKUP(Table91213[[#This Row],[Date]],'DB Details'!$A:$Q,7)=0,"",VLOOKUP(Table91213[[#This Row],[Date]],'DB Details'!$A:$Q,7))</f>
        <v>60.5</v>
      </c>
      <c r="H202" s="50">
        <f>IF(VLOOKUP(Table91213[[#This Row],[Date]],'DB Details'!$A:$Q,8)=0,"",VLOOKUP(Table91213[[#This Row],[Date]],'DB Details'!$A:$Q,8))</f>
        <v>54</v>
      </c>
      <c r="I202" s="50">
        <f>IF(VLOOKUP(Table91213[[#This Row],[Date]],'DB Details'!$A:$Q,9)=0,"",VLOOKUP(Table91213[[#This Row],[Date]],'DB Details'!$A:$Q,9))</f>
        <v>51</v>
      </c>
      <c r="J202" s="50">
        <f>IF(VLOOKUP(Table91213[[#This Row],[Date]],'DB Details'!$A:$Q,10)=0,"",VLOOKUP(Table91213[[#This Row],[Date]],'DB Details'!$A:$Q,10))</f>
        <v>54.5</v>
      </c>
      <c r="K202" s="50">
        <f>IF(VLOOKUP(Table91213[[#This Row],[Date]],'DB Details'!$A:$Q,11)=0,"",VLOOKUP(Table91213[[#This Row],[Date]],'DB Details'!$A:$Q,11))</f>
        <v>58</v>
      </c>
      <c r="L202" s="48">
        <f>IF(VLOOKUP(Table91213[[#This Row],[Date]],'DB Details'!$A:$Q,12)=0,"",VLOOKUP(Table91213[[#This Row],[Date]],'DB Details'!$A:$Q,12))</f>
        <v>53.8</v>
      </c>
    </row>
    <row r="203" spans="1:12" x14ac:dyDescent="0.35">
      <c r="A203" s="51">
        <v>41609</v>
      </c>
      <c r="B203" s="48">
        <f>IF(VLOOKUP(Table91213[[#This Row],[Date]],'DB Details'!$A:$Q,2)=0,"",VLOOKUP(Table91213[[#This Row],[Date]],'DB Details'!$A:$Q,2))</f>
        <v>50.2</v>
      </c>
      <c r="C203" s="49">
        <f>IF(VLOOKUP(Table91213[[#This Row],[Date]],'DB Details'!$A:$Q,3)=0,"",VLOOKUP(Table91213[[#This Row],[Date]],'DB Details'!$A:$Q,3))</f>
        <v>50.5</v>
      </c>
      <c r="D203" s="49">
        <f>IF(VLOOKUP(Table91213[[#This Row],[Date]],'DB Details'!$A:$Q,4)=0,"",VLOOKUP(Table91213[[#This Row],[Date]],'DB Details'!$A:$Q,4))</f>
        <v>46</v>
      </c>
      <c r="E203" s="50">
        <f>IF(VLOOKUP(Table91213[[#This Row],[Date]],'DB Details'!$A:$Q,5)=0,"",VLOOKUP(Table91213[[#This Row],[Date]],'DB Details'!$A:$Q,5))</f>
        <v>56</v>
      </c>
      <c r="F203" s="49">
        <f>IF(VLOOKUP(Table91213[[#This Row],[Date]],'DB Details'!$A:$Q,6)=0,"",VLOOKUP(Table91213[[#This Row],[Date]],'DB Details'!$A:$Q,6))</f>
        <v>54.3</v>
      </c>
      <c r="G203" s="50">
        <f>IF(VLOOKUP(Table91213[[#This Row],[Date]],'DB Details'!$A:$Q,7)=0,"",VLOOKUP(Table91213[[#This Row],[Date]],'DB Details'!$A:$Q,7))</f>
        <v>57.5</v>
      </c>
      <c r="H203" s="50">
        <f>IF(VLOOKUP(Table91213[[#This Row],[Date]],'DB Details'!$A:$Q,8)=0,"",VLOOKUP(Table91213[[#This Row],[Date]],'DB Details'!$A:$Q,8))</f>
        <v>48</v>
      </c>
      <c r="I203" s="50">
        <f>IF(VLOOKUP(Table91213[[#This Row],[Date]],'DB Details'!$A:$Q,9)=0,"",VLOOKUP(Table91213[[#This Row],[Date]],'DB Details'!$A:$Q,9))</f>
        <v>51.5</v>
      </c>
      <c r="J203" s="50">
        <f>IF(VLOOKUP(Table91213[[#This Row],[Date]],'DB Details'!$A:$Q,10)=0,"",VLOOKUP(Table91213[[#This Row],[Date]],'DB Details'!$A:$Q,10))</f>
        <v>55.6</v>
      </c>
      <c r="K203" s="50">
        <f>IF(VLOOKUP(Table91213[[#This Row],[Date]],'DB Details'!$A:$Q,11)=0,"",VLOOKUP(Table91213[[#This Row],[Date]],'DB Details'!$A:$Q,11))</f>
        <v>51.5</v>
      </c>
      <c r="L203" s="48">
        <f>IF(VLOOKUP(Table91213[[#This Row],[Date]],'DB Details'!$A:$Q,12)=0,"",VLOOKUP(Table91213[[#This Row],[Date]],'DB Details'!$A:$Q,12))</f>
        <v>52.9</v>
      </c>
    </row>
    <row r="204" spans="1:12" x14ac:dyDescent="0.35">
      <c r="A204" s="51">
        <v>41640</v>
      </c>
      <c r="B204" s="48">
        <f>IF(VLOOKUP(Table91213[[#This Row],[Date]],'DB Details'!$A:$Q,2)=0,"",VLOOKUP(Table91213[[#This Row],[Date]],'DB Details'!$A:$Q,2))</f>
        <v>52.9</v>
      </c>
      <c r="C204" s="49">
        <f>IF(VLOOKUP(Table91213[[#This Row],[Date]],'DB Details'!$A:$Q,3)=0,"",VLOOKUP(Table91213[[#This Row],[Date]],'DB Details'!$A:$Q,3))</f>
        <v>48</v>
      </c>
      <c r="D204" s="49">
        <f>IF(VLOOKUP(Table91213[[#This Row],[Date]],'DB Details'!$A:$Q,4)=0,"",VLOOKUP(Table91213[[#This Row],[Date]],'DB Details'!$A:$Q,4))</f>
        <v>49</v>
      </c>
      <c r="E204" s="50">
        <f>IF(VLOOKUP(Table91213[[#This Row],[Date]],'DB Details'!$A:$Q,5)=0,"",VLOOKUP(Table91213[[#This Row],[Date]],'DB Details'!$A:$Q,5))</f>
        <v>58.1</v>
      </c>
      <c r="F204" s="49">
        <f>IF(VLOOKUP(Table91213[[#This Row],[Date]],'DB Details'!$A:$Q,6)=0,"",VLOOKUP(Table91213[[#This Row],[Date]],'DB Details'!$A:$Q,6))</f>
        <v>56.3</v>
      </c>
      <c r="G204" s="50">
        <f>IF(VLOOKUP(Table91213[[#This Row],[Date]],'DB Details'!$A:$Q,7)=0,"",VLOOKUP(Table91213[[#This Row],[Date]],'DB Details'!$A:$Q,7))</f>
        <v>63</v>
      </c>
      <c r="H204" s="50">
        <f>IF(VLOOKUP(Table91213[[#This Row],[Date]],'DB Details'!$A:$Q,8)=0,"",VLOOKUP(Table91213[[#This Row],[Date]],'DB Details'!$A:$Q,8))</f>
        <v>50.5</v>
      </c>
      <c r="I204" s="50">
        <f>IF(VLOOKUP(Table91213[[#This Row],[Date]],'DB Details'!$A:$Q,9)=0,"",VLOOKUP(Table91213[[#This Row],[Date]],'DB Details'!$A:$Q,9))</f>
        <v>52.5</v>
      </c>
      <c r="J204" s="50">
        <f>IF(VLOOKUP(Table91213[[#This Row],[Date]],'DB Details'!$A:$Q,10)=0,"",VLOOKUP(Table91213[[#This Row],[Date]],'DB Details'!$A:$Q,10))</f>
        <v>56.4</v>
      </c>
      <c r="K204" s="50">
        <f>IF(VLOOKUP(Table91213[[#This Row],[Date]],'DB Details'!$A:$Q,11)=0,"",VLOOKUP(Table91213[[#This Row],[Date]],'DB Details'!$A:$Q,11))</f>
        <v>49</v>
      </c>
      <c r="L204" s="48">
        <f>IF(VLOOKUP(Table91213[[#This Row],[Date]],'DB Details'!$A:$Q,12)=0,"",VLOOKUP(Table91213[[#This Row],[Date]],'DB Details'!$A:$Q,12))</f>
        <v>54.7</v>
      </c>
    </row>
    <row r="205" spans="1:12" x14ac:dyDescent="0.35">
      <c r="A205" s="51">
        <v>41671</v>
      </c>
      <c r="B205" s="48">
        <f>IF(VLOOKUP(Table91213[[#This Row],[Date]],'DB Details'!$A:$Q,2)=0,"",VLOOKUP(Table91213[[#This Row],[Date]],'DB Details'!$A:$Q,2))</f>
        <v>54.4</v>
      </c>
      <c r="C205" s="49">
        <f>IF(VLOOKUP(Table91213[[#This Row],[Date]],'DB Details'!$A:$Q,3)=0,"",VLOOKUP(Table91213[[#This Row],[Date]],'DB Details'!$A:$Q,3))</f>
        <v>47</v>
      </c>
      <c r="D205" s="49">
        <f>IF(VLOOKUP(Table91213[[#This Row],[Date]],'DB Details'!$A:$Q,4)=0,"",VLOOKUP(Table91213[[#This Row],[Date]],'DB Details'!$A:$Q,4))</f>
        <v>52</v>
      </c>
      <c r="E205" s="50">
        <f>IF(VLOOKUP(Table91213[[#This Row],[Date]],'DB Details'!$A:$Q,5)=0,"",VLOOKUP(Table91213[[#This Row],[Date]],'DB Details'!$A:$Q,5))</f>
        <v>56.9</v>
      </c>
      <c r="F205" s="49">
        <f>IF(VLOOKUP(Table91213[[#This Row],[Date]],'DB Details'!$A:$Q,6)=0,"",VLOOKUP(Table91213[[#This Row],[Date]],'DB Details'!$A:$Q,6))</f>
        <v>54.6</v>
      </c>
      <c r="G205" s="50">
        <f>IF(VLOOKUP(Table91213[[#This Row],[Date]],'DB Details'!$A:$Q,7)=0,"",VLOOKUP(Table91213[[#This Row],[Date]],'DB Details'!$A:$Q,7))</f>
        <v>62</v>
      </c>
      <c r="H205" s="50">
        <f>IF(VLOOKUP(Table91213[[#This Row],[Date]],'DB Details'!$A:$Q,8)=0,"",VLOOKUP(Table91213[[#This Row],[Date]],'DB Details'!$A:$Q,8))</f>
        <v>50.5</v>
      </c>
      <c r="I205" s="50">
        <f>IF(VLOOKUP(Table91213[[#This Row],[Date]],'DB Details'!$A:$Q,9)=0,"",VLOOKUP(Table91213[[#This Row],[Date]],'DB Details'!$A:$Q,9))</f>
        <v>53</v>
      </c>
      <c r="J205" s="50">
        <f>IF(VLOOKUP(Table91213[[#This Row],[Date]],'DB Details'!$A:$Q,10)=0,"",VLOOKUP(Table91213[[#This Row],[Date]],'DB Details'!$A:$Q,10))</f>
        <v>47.5</v>
      </c>
      <c r="K205" s="50">
        <f>IF(VLOOKUP(Table91213[[#This Row],[Date]],'DB Details'!$A:$Q,11)=0,"",VLOOKUP(Table91213[[#This Row],[Date]],'DB Details'!$A:$Q,11))</f>
        <v>47.5</v>
      </c>
      <c r="L205" s="48">
        <f>IF(VLOOKUP(Table91213[[#This Row],[Date]],'DB Details'!$A:$Q,12)=0,"",VLOOKUP(Table91213[[#This Row],[Date]],'DB Details'!$A:$Q,12))</f>
        <v>53</v>
      </c>
    </row>
    <row r="206" spans="1:12" x14ac:dyDescent="0.35">
      <c r="A206" s="51">
        <v>41699</v>
      </c>
      <c r="B206" s="48">
        <f>IF(VLOOKUP(Table91213[[#This Row],[Date]],'DB Details'!$A:$Q,2)=0,"",VLOOKUP(Table91213[[#This Row],[Date]],'DB Details'!$A:$Q,2))</f>
        <v>55.3</v>
      </c>
      <c r="C206" s="49">
        <f>IF(VLOOKUP(Table91213[[#This Row],[Date]],'DB Details'!$A:$Q,3)=0,"",VLOOKUP(Table91213[[#This Row],[Date]],'DB Details'!$A:$Q,3))</f>
        <v>50.5</v>
      </c>
      <c r="D206" s="49">
        <f>IF(VLOOKUP(Table91213[[#This Row],[Date]],'DB Details'!$A:$Q,4)=0,"",VLOOKUP(Table91213[[#This Row],[Date]],'DB Details'!$A:$Q,4))</f>
        <v>51.5</v>
      </c>
      <c r="E206" s="50">
        <f>IF(VLOOKUP(Table91213[[#This Row],[Date]],'DB Details'!$A:$Q,5)=0,"",VLOOKUP(Table91213[[#This Row],[Date]],'DB Details'!$A:$Q,5))</f>
        <v>58.4</v>
      </c>
      <c r="F206" s="49">
        <f>IF(VLOOKUP(Table91213[[#This Row],[Date]],'DB Details'!$A:$Q,6)=0,"",VLOOKUP(Table91213[[#This Row],[Date]],'DB Details'!$A:$Q,6))</f>
        <v>53.4</v>
      </c>
      <c r="G206" s="50">
        <f>IF(VLOOKUP(Table91213[[#This Row],[Date]],'DB Details'!$A:$Q,7)=0,"",VLOOKUP(Table91213[[#This Row],[Date]],'DB Details'!$A:$Q,7))</f>
        <v>60.5</v>
      </c>
      <c r="H206" s="50">
        <f>IF(VLOOKUP(Table91213[[#This Row],[Date]],'DB Details'!$A:$Q,8)=0,"",VLOOKUP(Table91213[[#This Row],[Date]],'DB Details'!$A:$Q,8))</f>
        <v>48</v>
      </c>
      <c r="I206" s="50">
        <f>IF(VLOOKUP(Table91213[[#This Row],[Date]],'DB Details'!$A:$Q,9)=0,"",VLOOKUP(Table91213[[#This Row],[Date]],'DB Details'!$A:$Q,9))</f>
        <v>52</v>
      </c>
      <c r="J206" s="50">
        <f>IF(VLOOKUP(Table91213[[#This Row],[Date]],'DB Details'!$A:$Q,10)=0,"",VLOOKUP(Table91213[[#This Row],[Date]],'DB Details'!$A:$Q,10))</f>
        <v>53.6</v>
      </c>
      <c r="K206" s="50">
        <f>IF(VLOOKUP(Table91213[[#This Row],[Date]],'DB Details'!$A:$Q,11)=0,"",VLOOKUP(Table91213[[#This Row],[Date]],'DB Details'!$A:$Q,11))</f>
        <v>49.5</v>
      </c>
      <c r="L206" s="48">
        <f>IF(VLOOKUP(Table91213[[#This Row],[Date]],'DB Details'!$A:$Q,12)=0,"",VLOOKUP(Table91213[[#This Row],[Date]],'DB Details'!$A:$Q,12))</f>
        <v>54.2</v>
      </c>
    </row>
    <row r="207" spans="1:12" x14ac:dyDescent="0.35">
      <c r="A207" s="51">
        <v>41730</v>
      </c>
      <c r="B207" s="48">
        <f>IF(VLOOKUP(Table91213[[#This Row],[Date]],'DB Details'!$A:$Q,2)=0,"",VLOOKUP(Table91213[[#This Row],[Date]],'DB Details'!$A:$Q,2))</f>
        <v>58</v>
      </c>
      <c r="C207" s="49">
        <f>IF(VLOOKUP(Table91213[[#This Row],[Date]],'DB Details'!$A:$Q,3)=0,"",VLOOKUP(Table91213[[#This Row],[Date]],'DB Details'!$A:$Q,3))</f>
        <v>55.5</v>
      </c>
      <c r="D207" s="49">
        <f>IF(VLOOKUP(Table91213[[#This Row],[Date]],'DB Details'!$A:$Q,4)=0,"",VLOOKUP(Table91213[[#This Row],[Date]],'DB Details'!$A:$Q,4))</f>
        <v>49</v>
      </c>
      <c r="E207" s="50">
        <f>IF(VLOOKUP(Table91213[[#This Row],[Date]],'DB Details'!$A:$Q,5)=0,"",VLOOKUP(Table91213[[#This Row],[Date]],'DB Details'!$A:$Q,5))</f>
        <v>60.5</v>
      </c>
      <c r="F207" s="49">
        <f>IF(VLOOKUP(Table91213[[#This Row],[Date]],'DB Details'!$A:$Q,6)=0,"",VLOOKUP(Table91213[[#This Row],[Date]],'DB Details'!$A:$Q,6))</f>
        <v>60.9</v>
      </c>
      <c r="G207" s="50">
        <f>IF(VLOOKUP(Table91213[[#This Row],[Date]],'DB Details'!$A:$Q,7)=0,"",VLOOKUP(Table91213[[#This Row],[Date]],'DB Details'!$A:$Q,7))</f>
        <v>65</v>
      </c>
      <c r="H207" s="50">
        <f>IF(VLOOKUP(Table91213[[#This Row],[Date]],'DB Details'!$A:$Q,8)=0,"",VLOOKUP(Table91213[[#This Row],[Date]],'DB Details'!$A:$Q,8))</f>
        <v>55.5</v>
      </c>
      <c r="I207" s="50">
        <f>IF(VLOOKUP(Table91213[[#This Row],[Date]],'DB Details'!$A:$Q,9)=0,"",VLOOKUP(Table91213[[#This Row],[Date]],'DB Details'!$A:$Q,9))</f>
        <v>50.5</v>
      </c>
      <c r="J207" s="50">
        <f>IF(VLOOKUP(Table91213[[#This Row],[Date]],'DB Details'!$A:$Q,10)=0,"",VLOOKUP(Table91213[[#This Row],[Date]],'DB Details'!$A:$Q,10))</f>
        <v>51.3</v>
      </c>
      <c r="K207" s="50">
        <f>IF(VLOOKUP(Table91213[[#This Row],[Date]],'DB Details'!$A:$Q,11)=0,"",VLOOKUP(Table91213[[#This Row],[Date]],'DB Details'!$A:$Q,11))</f>
        <v>57</v>
      </c>
      <c r="L207" s="48">
        <f>IF(VLOOKUP(Table91213[[#This Row],[Date]],'DB Details'!$A:$Q,12)=0,"",VLOOKUP(Table91213[[#This Row],[Date]],'DB Details'!$A:$Q,12))</f>
        <v>55.2</v>
      </c>
    </row>
    <row r="208" spans="1:12" x14ac:dyDescent="0.35">
      <c r="A208" s="51">
        <v>41760</v>
      </c>
      <c r="B208" s="48">
        <f>IF(VLOOKUP(Table91213[[#This Row],[Date]],'DB Details'!$A:$Q,2)=0,"",VLOOKUP(Table91213[[#This Row],[Date]],'DB Details'!$A:$Q,2))</f>
        <v>60.2</v>
      </c>
      <c r="C208" s="49">
        <f>IF(VLOOKUP(Table91213[[#This Row],[Date]],'DB Details'!$A:$Q,3)=0,"",VLOOKUP(Table91213[[#This Row],[Date]],'DB Details'!$A:$Q,3))</f>
        <v>55.5</v>
      </c>
      <c r="D208" s="49">
        <f>IF(VLOOKUP(Table91213[[#This Row],[Date]],'DB Details'!$A:$Q,4)=0,"",VLOOKUP(Table91213[[#This Row],[Date]],'DB Details'!$A:$Q,4))</f>
        <v>54</v>
      </c>
      <c r="E208" s="50">
        <f>IF(VLOOKUP(Table91213[[#This Row],[Date]],'DB Details'!$A:$Q,5)=0,"",VLOOKUP(Table91213[[#This Row],[Date]],'DB Details'!$A:$Q,5))</f>
        <v>58.7</v>
      </c>
      <c r="F208" s="49">
        <f>IF(VLOOKUP(Table91213[[#This Row],[Date]],'DB Details'!$A:$Q,6)=0,"",VLOOKUP(Table91213[[#This Row],[Date]],'DB Details'!$A:$Q,6))</f>
        <v>62.1</v>
      </c>
      <c r="G208" s="50">
        <f>IF(VLOOKUP(Table91213[[#This Row],[Date]],'DB Details'!$A:$Q,7)=0,"",VLOOKUP(Table91213[[#This Row],[Date]],'DB Details'!$A:$Q,7))</f>
        <v>63</v>
      </c>
      <c r="H208" s="50">
        <f>IF(VLOOKUP(Table91213[[#This Row],[Date]],'DB Details'!$A:$Q,8)=0,"",VLOOKUP(Table91213[[#This Row],[Date]],'DB Details'!$A:$Q,8))</f>
        <v>55.5</v>
      </c>
      <c r="I208" s="50">
        <f>IF(VLOOKUP(Table91213[[#This Row],[Date]],'DB Details'!$A:$Q,9)=0,"",VLOOKUP(Table91213[[#This Row],[Date]],'DB Details'!$A:$Q,9))</f>
        <v>50</v>
      </c>
      <c r="J208" s="50">
        <f>IF(VLOOKUP(Table91213[[#This Row],[Date]],'DB Details'!$A:$Q,10)=0,"",VLOOKUP(Table91213[[#This Row],[Date]],'DB Details'!$A:$Q,10))</f>
        <v>52.4</v>
      </c>
      <c r="K208" s="50">
        <f>IF(VLOOKUP(Table91213[[#This Row],[Date]],'DB Details'!$A:$Q,11)=0,"",VLOOKUP(Table91213[[#This Row],[Date]],'DB Details'!$A:$Q,11))</f>
        <v>53</v>
      </c>
      <c r="L208" s="48">
        <f>IF(VLOOKUP(Table91213[[#This Row],[Date]],'DB Details'!$A:$Q,12)=0,"",VLOOKUP(Table91213[[#This Row],[Date]],'DB Details'!$A:$Q,12))</f>
        <v>56.9</v>
      </c>
    </row>
    <row r="209" spans="1:12" x14ac:dyDescent="0.35">
      <c r="A209" s="51">
        <v>41791</v>
      </c>
      <c r="B209" s="48">
        <f>IF(VLOOKUP(Table91213[[#This Row],[Date]],'DB Details'!$A:$Q,2)=0,"",VLOOKUP(Table91213[[#This Row],[Date]],'DB Details'!$A:$Q,2))</f>
        <v>60.9</v>
      </c>
      <c r="C209" s="49">
        <f>IF(VLOOKUP(Table91213[[#This Row],[Date]],'DB Details'!$A:$Q,3)=0,"",VLOOKUP(Table91213[[#This Row],[Date]],'DB Details'!$A:$Q,3))</f>
        <v>53</v>
      </c>
      <c r="D209" s="49">
        <f>IF(VLOOKUP(Table91213[[#This Row],[Date]],'DB Details'!$A:$Q,4)=0,"",VLOOKUP(Table91213[[#This Row],[Date]],'DB Details'!$A:$Q,4))</f>
        <v>53</v>
      </c>
      <c r="E209" s="50">
        <f>IF(VLOOKUP(Table91213[[#This Row],[Date]],'DB Details'!$A:$Q,5)=0,"",VLOOKUP(Table91213[[#This Row],[Date]],'DB Details'!$A:$Q,5))</f>
        <v>59.3</v>
      </c>
      <c r="F209" s="49">
        <f>IF(VLOOKUP(Table91213[[#This Row],[Date]],'DB Details'!$A:$Q,6)=0,"",VLOOKUP(Table91213[[#This Row],[Date]],'DB Details'!$A:$Q,6))</f>
        <v>57.5</v>
      </c>
      <c r="G209" s="50">
        <f>IF(VLOOKUP(Table91213[[#This Row],[Date]],'DB Details'!$A:$Q,7)=0,"",VLOOKUP(Table91213[[#This Row],[Date]],'DB Details'!$A:$Q,7))</f>
        <v>60.5</v>
      </c>
      <c r="H209" s="50">
        <f>IF(VLOOKUP(Table91213[[#This Row],[Date]],'DB Details'!$A:$Q,8)=0,"",VLOOKUP(Table91213[[#This Row],[Date]],'DB Details'!$A:$Q,8))</f>
        <v>53.5</v>
      </c>
      <c r="I209" s="50">
        <f>IF(VLOOKUP(Table91213[[#This Row],[Date]],'DB Details'!$A:$Q,9)=0,"",VLOOKUP(Table91213[[#This Row],[Date]],'DB Details'!$A:$Q,9))</f>
        <v>51</v>
      </c>
      <c r="J209" s="50">
        <f>IF(VLOOKUP(Table91213[[#This Row],[Date]],'DB Details'!$A:$Q,10)=0,"",VLOOKUP(Table91213[[#This Row],[Date]],'DB Details'!$A:$Q,10))</f>
        <v>54.4</v>
      </c>
      <c r="K209" s="50">
        <f>IF(VLOOKUP(Table91213[[#This Row],[Date]],'DB Details'!$A:$Q,11)=0,"",VLOOKUP(Table91213[[#This Row],[Date]],'DB Details'!$A:$Q,11))</f>
        <v>55</v>
      </c>
      <c r="L209" s="48">
        <f>IF(VLOOKUP(Table91213[[#This Row],[Date]],'DB Details'!$A:$Q,12)=0,"",VLOOKUP(Table91213[[#This Row],[Date]],'DB Details'!$A:$Q,12))</f>
        <v>56.6</v>
      </c>
    </row>
    <row r="210" spans="1:12" x14ac:dyDescent="0.35">
      <c r="A210" s="51">
        <v>41821</v>
      </c>
      <c r="B210" s="48">
        <f>IF(VLOOKUP(Table91213[[#This Row],[Date]],'DB Details'!$A:$Q,2)=0,"",VLOOKUP(Table91213[[#This Row],[Date]],'DB Details'!$A:$Q,2))</f>
        <v>60.7</v>
      </c>
      <c r="C210" s="49">
        <f>IF(VLOOKUP(Table91213[[#This Row],[Date]],'DB Details'!$A:$Q,3)=0,"",VLOOKUP(Table91213[[#This Row],[Date]],'DB Details'!$A:$Q,3))</f>
        <v>54.5</v>
      </c>
      <c r="D210" s="49">
        <f>IF(VLOOKUP(Table91213[[#This Row],[Date]],'DB Details'!$A:$Q,4)=0,"",VLOOKUP(Table91213[[#This Row],[Date]],'DB Details'!$A:$Q,4))</f>
        <v>53</v>
      </c>
      <c r="E210" s="50">
        <f>IF(VLOOKUP(Table91213[[#This Row],[Date]],'DB Details'!$A:$Q,5)=0,"",VLOOKUP(Table91213[[#This Row],[Date]],'DB Details'!$A:$Q,5))</f>
        <v>59.1</v>
      </c>
      <c r="F210" s="49">
        <f>IF(VLOOKUP(Table91213[[#This Row],[Date]],'DB Details'!$A:$Q,6)=0,"",VLOOKUP(Table91213[[#This Row],[Date]],'DB Details'!$A:$Q,6))</f>
        <v>62.4</v>
      </c>
      <c r="G210" s="50">
        <f>IF(VLOOKUP(Table91213[[#This Row],[Date]],'DB Details'!$A:$Q,7)=0,"",VLOOKUP(Table91213[[#This Row],[Date]],'DB Details'!$A:$Q,7))</f>
        <v>58</v>
      </c>
      <c r="H210" s="50">
        <f>IF(VLOOKUP(Table91213[[#This Row],[Date]],'DB Details'!$A:$Q,8)=0,"",VLOOKUP(Table91213[[#This Row],[Date]],'DB Details'!$A:$Q,8))</f>
        <v>51</v>
      </c>
      <c r="I210" s="50">
        <f>IF(VLOOKUP(Table91213[[#This Row],[Date]],'DB Details'!$A:$Q,9)=0,"",VLOOKUP(Table91213[[#This Row],[Date]],'DB Details'!$A:$Q,9))</f>
        <v>51.5</v>
      </c>
      <c r="J210" s="50">
        <f>IF(VLOOKUP(Table91213[[#This Row],[Date]],'DB Details'!$A:$Q,10)=0,"",VLOOKUP(Table91213[[#This Row],[Date]],'DB Details'!$A:$Q,10))</f>
        <v>56</v>
      </c>
      <c r="K210" s="50">
        <f>IF(VLOOKUP(Table91213[[#This Row],[Date]],'DB Details'!$A:$Q,11)=0,"",VLOOKUP(Table91213[[#This Row],[Date]],'DB Details'!$A:$Q,11))</f>
        <v>53</v>
      </c>
      <c r="L210" s="48">
        <f>IF(VLOOKUP(Table91213[[#This Row],[Date]],'DB Details'!$A:$Q,12)=0,"",VLOOKUP(Table91213[[#This Row],[Date]],'DB Details'!$A:$Q,12))</f>
        <v>57.1</v>
      </c>
    </row>
    <row r="211" spans="1:12" x14ac:dyDescent="0.35">
      <c r="A211" s="51">
        <v>41852</v>
      </c>
      <c r="B211" s="48">
        <f>IF(VLOOKUP(Table91213[[#This Row],[Date]],'DB Details'!$A:$Q,2)=0,"",VLOOKUP(Table91213[[#This Row],[Date]],'DB Details'!$A:$Q,2))</f>
        <v>61.4</v>
      </c>
      <c r="C211" s="49">
        <f>IF(VLOOKUP(Table91213[[#This Row],[Date]],'DB Details'!$A:$Q,3)=0,"",VLOOKUP(Table91213[[#This Row],[Date]],'DB Details'!$A:$Q,3))</f>
        <v>51</v>
      </c>
      <c r="D211" s="49">
        <f>IF(VLOOKUP(Table91213[[#This Row],[Date]],'DB Details'!$A:$Q,4)=0,"",VLOOKUP(Table91213[[#This Row],[Date]],'DB Details'!$A:$Q,4))</f>
        <v>54.5</v>
      </c>
      <c r="E211" s="50">
        <f>IF(VLOOKUP(Table91213[[#This Row],[Date]],'DB Details'!$A:$Q,5)=0,"",VLOOKUP(Table91213[[#This Row],[Date]],'DB Details'!$A:$Q,5))</f>
        <v>57.5</v>
      </c>
      <c r="F211" s="49">
        <f>IF(VLOOKUP(Table91213[[#This Row],[Date]],'DB Details'!$A:$Q,6)=0,"",VLOOKUP(Table91213[[#This Row],[Date]],'DB Details'!$A:$Q,6))</f>
        <v>65</v>
      </c>
      <c r="G211" s="50">
        <f>IF(VLOOKUP(Table91213[[#This Row],[Date]],'DB Details'!$A:$Q,7)=0,"",VLOOKUP(Table91213[[#This Row],[Date]],'DB Details'!$A:$Q,7))</f>
        <v>55</v>
      </c>
      <c r="H211" s="50">
        <f>IF(VLOOKUP(Table91213[[#This Row],[Date]],'DB Details'!$A:$Q,8)=0,"",VLOOKUP(Table91213[[#This Row],[Date]],'DB Details'!$A:$Q,8))</f>
        <v>51</v>
      </c>
      <c r="I211" s="50">
        <f>IF(VLOOKUP(Table91213[[#This Row],[Date]],'DB Details'!$A:$Q,9)=0,"",VLOOKUP(Table91213[[#This Row],[Date]],'DB Details'!$A:$Q,9))</f>
        <v>52.5</v>
      </c>
      <c r="J211" s="50">
        <f>IF(VLOOKUP(Table91213[[#This Row],[Date]],'DB Details'!$A:$Q,10)=0,"",VLOOKUP(Table91213[[#This Row],[Date]],'DB Details'!$A:$Q,10))</f>
        <v>57.1</v>
      </c>
      <c r="K211" s="50">
        <f>IF(VLOOKUP(Table91213[[#This Row],[Date]],'DB Details'!$A:$Q,11)=0,"",VLOOKUP(Table91213[[#This Row],[Date]],'DB Details'!$A:$Q,11))</f>
        <v>52.5</v>
      </c>
      <c r="L211" s="48">
        <f>IF(VLOOKUP(Table91213[[#This Row],[Date]],'DB Details'!$A:$Q,12)=0,"",VLOOKUP(Table91213[[#This Row],[Date]],'DB Details'!$A:$Q,12))</f>
        <v>58</v>
      </c>
    </row>
    <row r="212" spans="1:12" x14ac:dyDescent="0.35">
      <c r="A212" s="51">
        <v>41883</v>
      </c>
      <c r="B212" s="48">
        <f>IF(VLOOKUP(Table91213[[#This Row],[Date]],'DB Details'!$A:$Q,2)=0,"",VLOOKUP(Table91213[[#This Row],[Date]],'DB Details'!$A:$Q,2))</f>
        <v>59.9</v>
      </c>
      <c r="C212" s="49">
        <f>IF(VLOOKUP(Table91213[[#This Row],[Date]],'DB Details'!$A:$Q,3)=0,"",VLOOKUP(Table91213[[#This Row],[Date]],'DB Details'!$A:$Q,3))</f>
        <v>52.5</v>
      </c>
      <c r="D212" s="49">
        <f>IF(VLOOKUP(Table91213[[#This Row],[Date]],'DB Details'!$A:$Q,4)=0,"",VLOOKUP(Table91213[[#This Row],[Date]],'DB Details'!$A:$Q,4))</f>
        <v>52</v>
      </c>
      <c r="E212" s="50">
        <f>IF(VLOOKUP(Table91213[[#This Row],[Date]],'DB Details'!$A:$Q,5)=0,"",VLOOKUP(Table91213[[#This Row],[Date]],'DB Details'!$A:$Q,5))</f>
        <v>55.3</v>
      </c>
      <c r="F212" s="49">
        <f>IF(VLOOKUP(Table91213[[#This Row],[Date]],'DB Details'!$A:$Q,6)=0,"",VLOOKUP(Table91213[[#This Row],[Date]],'DB Details'!$A:$Q,6))</f>
        <v>62.9</v>
      </c>
      <c r="G212" s="50">
        <f>IF(VLOOKUP(Table91213[[#This Row],[Date]],'DB Details'!$A:$Q,7)=0,"",VLOOKUP(Table91213[[#This Row],[Date]],'DB Details'!$A:$Q,7))</f>
        <v>60</v>
      </c>
      <c r="H212" s="50">
        <f>IF(VLOOKUP(Table91213[[#This Row],[Date]],'DB Details'!$A:$Q,8)=0,"",VLOOKUP(Table91213[[#This Row],[Date]],'DB Details'!$A:$Q,8))</f>
        <v>52</v>
      </c>
      <c r="I212" s="50">
        <f>IF(VLOOKUP(Table91213[[#This Row],[Date]],'DB Details'!$A:$Q,9)=0,"",VLOOKUP(Table91213[[#This Row],[Date]],'DB Details'!$A:$Q,9))</f>
        <v>52</v>
      </c>
      <c r="J212" s="50">
        <f>IF(VLOOKUP(Table91213[[#This Row],[Date]],'DB Details'!$A:$Q,10)=0,"",VLOOKUP(Table91213[[#This Row],[Date]],'DB Details'!$A:$Q,10))</f>
        <v>58.5</v>
      </c>
      <c r="K212" s="50">
        <f>IF(VLOOKUP(Table91213[[#This Row],[Date]],'DB Details'!$A:$Q,11)=0,"",VLOOKUP(Table91213[[#This Row],[Date]],'DB Details'!$A:$Q,11))</f>
        <v>57.5</v>
      </c>
      <c r="L212" s="48">
        <f>IF(VLOOKUP(Table91213[[#This Row],[Date]],'DB Details'!$A:$Q,12)=0,"",VLOOKUP(Table91213[[#This Row],[Date]],'DB Details'!$A:$Q,12))</f>
        <v>57.4</v>
      </c>
    </row>
    <row r="213" spans="1:12" x14ac:dyDescent="0.35">
      <c r="A213" s="51">
        <v>41913</v>
      </c>
      <c r="B213" s="48">
        <f>IF(VLOOKUP(Table91213[[#This Row],[Date]],'DB Details'!$A:$Q,2)=0,"",VLOOKUP(Table91213[[#This Row],[Date]],'DB Details'!$A:$Q,2))</f>
        <v>58.5</v>
      </c>
      <c r="C213" s="49">
        <f>IF(VLOOKUP(Table91213[[#This Row],[Date]],'DB Details'!$A:$Q,3)=0,"",VLOOKUP(Table91213[[#This Row],[Date]],'DB Details'!$A:$Q,3))</f>
        <v>56</v>
      </c>
      <c r="D213" s="49">
        <f>IF(VLOOKUP(Table91213[[#This Row],[Date]],'DB Details'!$A:$Q,4)=0,"",VLOOKUP(Table91213[[#This Row],[Date]],'DB Details'!$A:$Q,4))</f>
        <v>51.5</v>
      </c>
      <c r="E213" s="50">
        <f>IF(VLOOKUP(Table91213[[#This Row],[Date]],'DB Details'!$A:$Q,5)=0,"",VLOOKUP(Table91213[[#This Row],[Date]],'DB Details'!$A:$Q,5))</f>
        <v>52.3</v>
      </c>
      <c r="F213" s="49">
        <f>IF(VLOOKUP(Table91213[[#This Row],[Date]],'DB Details'!$A:$Q,6)=0,"",VLOOKUP(Table91213[[#This Row],[Date]],'DB Details'!$A:$Q,6))</f>
        <v>60</v>
      </c>
      <c r="G213" s="50">
        <f>IF(VLOOKUP(Table91213[[#This Row],[Date]],'DB Details'!$A:$Q,7)=0,"",VLOOKUP(Table91213[[#This Row],[Date]],'DB Details'!$A:$Q,7))</f>
        <v>58.5</v>
      </c>
      <c r="H213" s="50">
        <f>IF(VLOOKUP(Table91213[[#This Row],[Date]],'DB Details'!$A:$Q,8)=0,"",VLOOKUP(Table91213[[#This Row],[Date]],'DB Details'!$A:$Q,8))</f>
        <v>49.5</v>
      </c>
      <c r="I213" s="50">
        <f>IF(VLOOKUP(Table91213[[#This Row],[Date]],'DB Details'!$A:$Q,9)=0,"",VLOOKUP(Table91213[[#This Row],[Date]],'DB Details'!$A:$Q,9))</f>
        <v>49.5</v>
      </c>
      <c r="J213" s="50">
        <f>IF(VLOOKUP(Table91213[[#This Row],[Date]],'DB Details'!$A:$Q,10)=0,"",VLOOKUP(Table91213[[#This Row],[Date]],'DB Details'!$A:$Q,10))</f>
        <v>59.6</v>
      </c>
      <c r="K213" s="50">
        <f>IF(VLOOKUP(Table91213[[#This Row],[Date]],'DB Details'!$A:$Q,11)=0,"",VLOOKUP(Table91213[[#This Row],[Date]],'DB Details'!$A:$Q,11))</f>
        <v>53.5</v>
      </c>
      <c r="L213" s="48">
        <f>IF(VLOOKUP(Table91213[[#This Row],[Date]],'DB Details'!$A:$Q,12)=0,"",VLOOKUP(Table91213[[#This Row],[Date]],'DB Details'!$A:$Q,12))</f>
        <v>56</v>
      </c>
    </row>
    <row r="214" spans="1:12" x14ac:dyDescent="0.35">
      <c r="A214" s="51">
        <v>41944</v>
      </c>
      <c r="B214" s="48">
        <f>IF(VLOOKUP(Table91213[[#This Row],[Date]],'DB Details'!$A:$Q,2)=0,"",VLOOKUP(Table91213[[#This Row],[Date]],'DB Details'!$A:$Q,2))</f>
        <v>61.4</v>
      </c>
      <c r="C214" s="49">
        <f>IF(VLOOKUP(Table91213[[#This Row],[Date]],'DB Details'!$A:$Q,3)=0,"",VLOOKUP(Table91213[[#This Row],[Date]],'DB Details'!$A:$Q,3))</f>
        <v>53.5</v>
      </c>
      <c r="D214" s="49">
        <f>IF(VLOOKUP(Table91213[[#This Row],[Date]],'DB Details'!$A:$Q,4)=0,"",VLOOKUP(Table91213[[#This Row],[Date]],'DB Details'!$A:$Q,4))</f>
        <v>55.5</v>
      </c>
      <c r="E214" s="50">
        <f>IF(VLOOKUP(Table91213[[#This Row],[Date]],'DB Details'!$A:$Q,5)=0,"",VLOOKUP(Table91213[[#This Row],[Date]],'DB Details'!$A:$Q,5))</f>
        <v>54.3</v>
      </c>
      <c r="F214" s="49">
        <f>IF(VLOOKUP(Table91213[[#This Row],[Date]],'DB Details'!$A:$Q,6)=0,"",VLOOKUP(Table91213[[#This Row],[Date]],'DB Details'!$A:$Q,6))</f>
        <v>64.400000000000006</v>
      </c>
      <c r="G214" s="50">
        <f>IF(VLOOKUP(Table91213[[#This Row],[Date]],'DB Details'!$A:$Q,7)=0,"",VLOOKUP(Table91213[[#This Row],[Date]],'DB Details'!$A:$Q,7))</f>
        <v>63</v>
      </c>
      <c r="H214" s="50">
        <f>IF(VLOOKUP(Table91213[[#This Row],[Date]],'DB Details'!$A:$Q,8)=0,"",VLOOKUP(Table91213[[#This Row],[Date]],'DB Details'!$A:$Q,8))</f>
        <v>55.5</v>
      </c>
      <c r="I214" s="50">
        <f>IF(VLOOKUP(Table91213[[#This Row],[Date]],'DB Details'!$A:$Q,9)=0,"",VLOOKUP(Table91213[[#This Row],[Date]],'DB Details'!$A:$Q,9))</f>
        <v>54.5</v>
      </c>
      <c r="J214" s="50">
        <f>IF(VLOOKUP(Table91213[[#This Row],[Date]],'DB Details'!$A:$Q,10)=0,"",VLOOKUP(Table91213[[#This Row],[Date]],'DB Details'!$A:$Q,10))</f>
        <v>56.7</v>
      </c>
      <c r="K214" s="50">
        <f>IF(VLOOKUP(Table91213[[#This Row],[Date]],'DB Details'!$A:$Q,11)=0,"",VLOOKUP(Table91213[[#This Row],[Date]],'DB Details'!$A:$Q,11))</f>
        <v>57</v>
      </c>
      <c r="L214" s="48">
        <f>IF(VLOOKUP(Table91213[[#This Row],[Date]],'DB Details'!$A:$Q,12)=0,"",VLOOKUP(Table91213[[#This Row],[Date]],'DB Details'!$A:$Q,12))</f>
        <v>58.7</v>
      </c>
    </row>
    <row r="215" spans="1:12" x14ac:dyDescent="0.35">
      <c r="A215" s="51">
        <v>41974</v>
      </c>
      <c r="B215" s="48">
        <f>IF(VLOOKUP(Table91213[[#This Row],[Date]],'DB Details'!$A:$Q,2)=0,"",VLOOKUP(Table91213[[#This Row],[Date]],'DB Details'!$A:$Q,2))</f>
        <v>58.7</v>
      </c>
      <c r="C215" s="49">
        <f>IF(VLOOKUP(Table91213[[#This Row],[Date]],'DB Details'!$A:$Q,3)=0,"",VLOOKUP(Table91213[[#This Row],[Date]],'DB Details'!$A:$Q,3))</f>
        <v>50</v>
      </c>
      <c r="D215" s="49">
        <f>IF(VLOOKUP(Table91213[[#This Row],[Date]],'DB Details'!$A:$Q,4)=0,"",VLOOKUP(Table91213[[#This Row],[Date]],'DB Details'!$A:$Q,4))</f>
        <v>49.5</v>
      </c>
      <c r="E215" s="50">
        <f>IF(VLOOKUP(Table91213[[#This Row],[Date]],'DB Details'!$A:$Q,5)=0,"",VLOOKUP(Table91213[[#This Row],[Date]],'DB Details'!$A:$Q,5))</f>
        <v>50.3</v>
      </c>
      <c r="F215" s="49">
        <f>IF(VLOOKUP(Table91213[[#This Row],[Date]],'DB Details'!$A:$Q,6)=0,"",VLOOKUP(Table91213[[#This Row],[Date]],'DB Details'!$A:$Q,6))</f>
        <v>57.2</v>
      </c>
      <c r="G215" s="50">
        <f>IF(VLOOKUP(Table91213[[#This Row],[Date]],'DB Details'!$A:$Q,7)=0,"",VLOOKUP(Table91213[[#This Row],[Date]],'DB Details'!$A:$Q,7))</f>
        <v>59</v>
      </c>
      <c r="H215" s="50">
        <f>IF(VLOOKUP(Table91213[[#This Row],[Date]],'DB Details'!$A:$Q,8)=0,"",VLOOKUP(Table91213[[#This Row],[Date]],'DB Details'!$A:$Q,8))</f>
        <v>50</v>
      </c>
      <c r="I215" s="50">
        <f>IF(VLOOKUP(Table91213[[#This Row],[Date]],'DB Details'!$A:$Q,9)=0,"",VLOOKUP(Table91213[[#This Row],[Date]],'DB Details'!$A:$Q,9))</f>
        <v>52.5</v>
      </c>
      <c r="J215" s="50">
        <f>IF(VLOOKUP(Table91213[[#This Row],[Date]],'DB Details'!$A:$Q,10)=0,"",VLOOKUP(Table91213[[#This Row],[Date]],'DB Details'!$A:$Q,10))</f>
        <v>56</v>
      </c>
      <c r="K215" s="50">
        <f>IF(VLOOKUP(Table91213[[#This Row],[Date]],'DB Details'!$A:$Q,11)=0,"",VLOOKUP(Table91213[[#This Row],[Date]],'DB Details'!$A:$Q,11))</f>
        <v>53.5</v>
      </c>
      <c r="L215" s="48">
        <f>IF(VLOOKUP(Table91213[[#This Row],[Date]],'DB Details'!$A:$Q,12)=0,"",VLOOKUP(Table91213[[#This Row],[Date]],'DB Details'!$A:$Q,12))</f>
        <v>56.4</v>
      </c>
    </row>
    <row r="216" spans="1:12" x14ac:dyDescent="0.35">
      <c r="A216" s="51">
        <v>42005</v>
      </c>
      <c r="B216" s="48">
        <f>IF(VLOOKUP(Table91213[[#This Row],[Date]],'DB Details'!$A:$Q,2)=0,"",VLOOKUP(Table91213[[#This Row],[Date]],'DB Details'!$A:$Q,2))</f>
        <v>60.5</v>
      </c>
      <c r="C216" s="49">
        <f>IF(VLOOKUP(Table91213[[#This Row],[Date]],'DB Details'!$A:$Q,3)=0,"",VLOOKUP(Table91213[[#This Row],[Date]],'DB Details'!$A:$Q,3))</f>
        <v>46.5</v>
      </c>
      <c r="D216" s="49">
        <f>IF(VLOOKUP(Table91213[[#This Row],[Date]],'DB Details'!$A:$Q,4)=0,"",VLOOKUP(Table91213[[#This Row],[Date]],'DB Details'!$A:$Q,4))</f>
        <v>49</v>
      </c>
      <c r="E216" s="50">
        <f>IF(VLOOKUP(Table91213[[#This Row],[Date]],'DB Details'!$A:$Q,5)=0,"",VLOOKUP(Table91213[[#This Row],[Date]],'DB Details'!$A:$Q,5))</f>
        <v>47.1</v>
      </c>
      <c r="F216" s="49">
        <f>IF(VLOOKUP(Table91213[[#This Row],[Date]],'DB Details'!$A:$Q,6)=0,"",VLOOKUP(Table91213[[#This Row],[Date]],'DB Details'!$A:$Q,6))</f>
        <v>61.5</v>
      </c>
      <c r="G216" s="50">
        <f>IF(VLOOKUP(Table91213[[#This Row],[Date]],'DB Details'!$A:$Q,7)=0,"",VLOOKUP(Table91213[[#This Row],[Date]],'DB Details'!$A:$Q,7))</f>
        <v>61.5</v>
      </c>
      <c r="H216" s="50">
        <f>IF(VLOOKUP(Table91213[[#This Row],[Date]],'DB Details'!$A:$Q,8)=0,"",VLOOKUP(Table91213[[#This Row],[Date]],'DB Details'!$A:$Q,8))</f>
        <v>52.5</v>
      </c>
      <c r="I216" s="50">
        <f>IF(VLOOKUP(Table91213[[#This Row],[Date]],'DB Details'!$A:$Q,9)=0,"",VLOOKUP(Table91213[[#This Row],[Date]],'DB Details'!$A:$Q,9))</f>
        <v>54</v>
      </c>
      <c r="J216" s="50">
        <f>IF(VLOOKUP(Table91213[[#This Row],[Date]],'DB Details'!$A:$Q,10)=0,"",VLOOKUP(Table91213[[#This Row],[Date]],'DB Details'!$A:$Q,10))</f>
        <v>51.6</v>
      </c>
      <c r="K216" s="50">
        <f>IF(VLOOKUP(Table91213[[#This Row],[Date]],'DB Details'!$A:$Q,11)=0,"",VLOOKUP(Table91213[[#This Row],[Date]],'DB Details'!$A:$Q,11))</f>
        <v>52.5</v>
      </c>
      <c r="L216" s="48">
        <f>IF(VLOOKUP(Table91213[[#This Row],[Date]],'DB Details'!$A:$Q,12)=0,"",VLOOKUP(Table91213[[#This Row],[Date]],'DB Details'!$A:$Q,12))</f>
        <v>57.3</v>
      </c>
    </row>
    <row r="217" spans="1:12" x14ac:dyDescent="0.35">
      <c r="A217" s="51">
        <v>42036</v>
      </c>
      <c r="B217" s="48">
        <f>IF(VLOOKUP(Table91213[[#This Row],[Date]],'DB Details'!$A:$Q,2)=0,"",VLOOKUP(Table91213[[#This Row],[Date]],'DB Details'!$A:$Q,2))</f>
        <v>58.8</v>
      </c>
      <c r="C217" s="49">
        <f>IF(VLOOKUP(Table91213[[#This Row],[Date]],'DB Details'!$A:$Q,3)=0,"",VLOOKUP(Table91213[[#This Row],[Date]],'DB Details'!$A:$Q,3))</f>
        <v>51</v>
      </c>
      <c r="D217" s="49">
        <f>IF(VLOOKUP(Table91213[[#This Row],[Date]],'DB Details'!$A:$Q,4)=0,"",VLOOKUP(Table91213[[#This Row],[Date]],'DB Details'!$A:$Q,4))</f>
        <v>53</v>
      </c>
      <c r="E217" s="50">
        <f>IF(VLOOKUP(Table91213[[#This Row],[Date]],'DB Details'!$A:$Q,5)=0,"",VLOOKUP(Table91213[[#This Row],[Date]],'DB Details'!$A:$Q,5))</f>
        <v>50.7</v>
      </c>
      <c r="F217" s="49">
        <f>IF(VLOOKUP(Table91213[[#This Row],[Date]],'DB Details'!$A:$Q,6)=0,"",VLOOKUP(Table91213[[#This Row],[Date]],'DB Details'!$A:$Q,6))</f>
        <v>59.4</v>
      </c>
      <c r="G217" s="50">
        <f>IF(VLOOKUP(Table91213[[#This Row],[Date]],'DB Details'!$A:$Q,7)=0,"",VLOOKUP(Table91213[[#This Row],[Date]],'DB Details'!$A:$Q,7))</f>
        <v>62</v>
      </c>
      <c r="H217" s="50">
        <f>IF(VLOOKUP(Table91213[[#This Row],[Date]],'DB Details'!$A:$Q,8)=0,"",VLOOKUP(Table91213[[#This Row],[Date]],'DB Details'!$A:$Q,8))</f>
        <v>54.5</v>
      </c>
      <c r="I217" s="50">
        <f>IF(VLOOKUP(Table91213[[#This Row],[Date]],'DB Details'!$A:$Q,9)=0,"",VLOOKUP(Table91213[[#This Row],[Date]],'DB Details'!$A:$Q,9))</f>
        <v>55</v>
      </c>
      <c r="J217" s="50">
        <f>IF(VLOOKUP(Table91213[[#This Row],[Date]],'DB Details'!$A:$Q,10)=0,"",VLOOKUP(Table91213[[#This Row],[Date]],'DB Details'!$A:$Q,10))</f>
        <v>56.4</v>
      </c>
      <c r="K217" s="50">
        <f>IF(VLOOKUP(Table91213[[#This Row],[Date]],'DB Details'!$A:$Q,11)=0,"",VLOOKUP(Table91213[[#This Row],[Date]],'DB Details'!$A:$Q,11))</f>
        <v>53</v>
      </c>
      <c r="L217" s="48">
        <f>IF(VLOOKUP(Table91213[[#This Row],[Date]],'DB Details'!$A:$Q,12)=0,"",VLOOKUP(Table91213[[#This Row],[Date]],'DB Details'!$A:$Q,12))</f>
        <v>57.6</v>
      </c>
    </row>
    <row r="218" spans="1:12" x14ac:dyDescent="0.35">
      <c r="A218" s="51">
        <v>42064</v>
      </c>
      <c r="B218" s="48">
        <f>IF(VLOOKUP(Table91213[[#This Row],[Date]],'DB Details'!$A:$Q,2)=0,"",VLOOKUP(Table91213[[#This Row],[Date]],'DB Details'!$A:$Q,2))</f>
        <v>58.9</v>
      </c>
      <c r="C218" s="49">
        <f>IF(VLOOKUP(Table91213[[#This Row],[Date]],'DB Details'!$A:$Q,3)=0,"",VLOOKUP(Table91213[[#This Row],[Date]],'DB Details'!$A:$Q,3))</f>
        <v>55.5</v>
      </c>
      <c r="D218" s="49">
        <f>IF(VLOOKUP(Table91213[[#This Row],[Date]],'DB Details'!$A:$Q,4)=0,"",VLOOKUP(Table91213[[#This Row],[Date]],'DB Details'!$A:$Q,4))</f>
        <v>53.5</v>
      </c>
      <c r="E218" s="50">
        <f>IF(VLOOKUP(Table91213[[#This Row],[Date]],'DB Details'!$A:$Q,5)=0,"",VLOOKUP(Table91213[[#This Row],[Date]],'DB Details'!$A:$Q,5))</f>
        <v>53.3</v>
      </c>
      <c r="F218" s="49">
        <f>IF(VLOOKUP(Table91213[[#This Row],[Date]],'DB Details'!$A:$Q,6)=0,"",VLOOKUP(Table91213[[#This Row],[Date]],'DB Details'!$A:$Q,6))</f>
        <v>57.5</v>
      </c>
      <c r="G218" s="50">
        <f>IF(VLOOKUP(Table91213[[#This Row],[Date]],'DB Details'!$A:$Q,7)=0,"",VLOOKUP(Table91213[[#This Row],[Date]],'DB Details'!$A:$Q,7))</f>
        <v>61</v>
      </c>
      <c r="H218" s="50">
        <f>IF(VLOOKUP(Table91213[[#This Row],[Date]],'DB Details'!$A:$Q,8)=0,"",VLOOKUP(Table91213[[#This Row],[Date]],'DB Details'!$A:$Q,8))</f>
        <v>49.5</v>
      </c>
      <c r="I218" s="50">
        <f>IF(VLOOKUP(Table91213[[#This Row],[Date]],'DB Details'!$A:$Q,9)=0,"",VLOOKUP(Table91213[[#This Row],[Date]],'DB Details'!$A:$Q,9))</f>
        <v>54</v>
      </c>
      <c r="J218" s="50">
        <f>IF(VLOOKUP(Table91213[[#This Row],[Date]],'DB Details'!$A:$Q,10)=0,"",VLOOKUP(Table91213[[#This Row],[Date]],'DB Details'!$A:$Q,10))</f>
        <v>56.6</v>
      </c>
      <c r="K218" s="50">
        <f>IF(VLOOKUP(Table91213[[#This Row],[Date]],'DB Details'!$A:$Q,11)=0,"",VLOOKUP(Table91213[[#This Row],[Date]],'DB Details'!$A:$Q,11))</f>
        <v>59</v>
      </c>
      <c r="L218" s="48">
        <f>IF(VLOOKUP(Table91213[[#This Row],[Date]],'DB Details'!$A:$Q,12)=0,"",VLOOKUP(Table91213[[#This Row],[Date]],'DB Details'!$A:$Q,12))</f>
        <v>57.5</v>
      </c>
    </row>
    <row r="219" spans="1:12" x14ac:dyDescent="0.35">
      <c r="A219" s="51">
        <v>42095</v>
      </c>
      <c r="B219" s="48">
        <f>IF(VLOOKUP(Table91213[[#This Row],[Date]],'DB Details'!$A:$Q,2)=0,"",VLOOKUP(Table91213[[#This Row],[Date]],'DB Details'!$A:$Q,2))</f>
        <v>58.7</v>
      </c>
      <c r="C219" s="49">
        <f>IF(VLOOKUP(Table91213[[#This Row],[Date]],'DB Details'!$A:$Q,3)=0,"",VLOOKUP(Table91213[[#This Row],[Date]],'DB Details'!$A:$Q,3))</f>
        <v>51.5</v>
      </c>
      <c r="D219" s="49">
        <f>IF(VLOOKUP(Table91213[[#This Row],[Date]],'DB Details'!$A:$Q,4)=0,"",VLOOKUP(Table91213[[#This Row],[Date]],'DB Details'!$A:$Q,4))</f>
        <v>54.5</v>
      </c>
      <c r="E219" s="50">
        <f>IF(VLOOKUP(Table91213[[#This Row],[Date]],'DB Details'!$A:$Q,5)=0,"",VLOOKUP(Table91213[[#This Row],[Date]],'DB Details'!$A:$Q,5))</f>
        <v>50.2</v>
      </c>
      <c r="F219" s="49">
        <f>IF(VLOOKUP(Table91213[[#This Row],[Date]],'DB Details'!$A:$Q,6)=0,"",VLOOKUP(Table91213[[#This Row],[Date]],'DB Details'!$A:$Q,6))</f>
        <v>61.6</v>
      </c>
      <c r="G219" s="50">
        <f>IF(VLOOKUP(Table91213[[#This Row],[Date]],'DB Details'!$A:$Q,7)=0,"",VLOOKUP(Table91213[[#This Row],[Date]],'DB Details'!$A:$Q,7))</f>
        <v>59.5</v>
      </c>
      <c r="H219" s="50">
        <f>IF(VLOOKUP(Table91213[[#This Row],[Date]],'DB Details'!$A:$Q,8)=0,"",VLOOKUP(Table91213[[#This Row],[Date]],'DB Details'!$A:$Q,8))</f>
        <v>51</v>
      </c>
      <c r="I219" s="50">
        <f>IF(VLOOKUP(Table91213[[#This Row],[Date]],'DB Details'!$A:$Q,9)=0,"",VLOOKUP(Table91213[[#This Row],[Date]],'DB Details'!$A:$Q,9))</f>
        <v>53.5</v>
      </c>
      <c r="J219" s="50">
        <f>IF(VLOOKUP(Table91213[[#This Row],[Date]],'DB Details'!$A:$Q,10)=0,"",VLOOKUP(Table91213[[#This Row],[Date]],'DB Details'!$A:$Q,10))</f>
        <v>56.7</v>
      </c>
      <c r="K219" s="50">
        <f>IF(VLOOKUP(Table91213[[#This Row],[Date]],'DB Details'!$A:$Q,11)=0,"",VLOOKUP(Table91213[[#This Row],[Date]],'DB Details'!$A:$Q,11))</f>
        <v>48.5</v>
      </c>
      <c r="L219" s="48">
        <f>IF(VLOOKUP(Table91213[[#This Row],[Date]],'DB Details'!$A:$Q,12)=0,"",VLOOKUP(Table91213[[#This Row],[Date]],'DB Details'!$A:$Q,12))</f>
        <v>57.5</v>
      </c>
    </row>
    <row r="220" spans="1:12" x14ac:dyDescent="0.35">
      <c r="A220" s="51">
        <v>42125</v>
      </c>
      <c r="B220" s="48">
        <f>IF(VLOOKUP(Table91213[[#This Row],[Date]],'DB Details'!$A:$Q,2)=0,"",VLOOKUP(Table91213[[#This Row],[Date]],'DB Details'!$A:$Q,2))</f>
        <v>58.4</v>
      </c>
      <c r="C220" s="49">
        <f>IF(VLOOKUP(Table91213[[#This Row],[Date]],'DB Details'!$A:$Q,3)=0,"",VLOOKUP(Table91213[[#This Row],[Date]],'DB Details'!$A:$Q,3))</f>
        <v>53.5</v>
      </c>
      <c r="D220" s="49">
        <f>IF(VLOOKUP(Table91213[[#This Row],[Date]],'DB Details'!$A:$Q,4)=0,"",VLOOKUP(Table91213[[#This Row],[Date]],'DB Details'!$A:$Q,4))</f>
        <v>48.5</v>
      </c>
      <c r="E220" s="50">
        <f>IF(VLOOKUP(Table91213[[#This Row],[Date]],'DB Details'!$A:$Q,5)=0,"",VLOOKUP(Table91213[[#This Row],[Date]],'DB Details'!$A:$Q,5))</f>
        <v>54</v>
      </c>
      <c r="F220" s="49">
        <f>IF(VLOOKUP(Table91213[[#This Row],[Date]],'DB Details'!$A:$Q,6)=0,"",VLOOKUP(Table91213[[#This Row],[Date]],'DB Details'!$A:$Q,6))</f>
        <v>59.5</v>
      </c>
      <c r="G220" s="50">
        <f>IF(VLOOKUP(Table91213[[#This Row],[Date]],'DB Details'!$A:$Q,7)=0,"",VLOOKUP(Table91213[[#This Row],[Date]],'DB Details'!$A:$Q,7))</f>
        <v>59</v>
      </c>
      <c r="H220" s="50">
        <f>IF(VLOOKUP(Table91213[[#This Row],[Date]],'DB Details'!$A:$Q,8)=0,"",VLOOKUP(Table91213[[#This Row],[Date]],'DB Details'!$A:$Q,8))</f>
        <v>51</v>
      </c>
      <c r="I220" s="50">
        <f>IF(VLOOKUP(Table91213[[#This Row],[Date]],'DB Details'!$A:$Q,9)=0,"",VLOOKUP(Table91213[[#This Row],[Date]],'DB Details'!$A:$Q,9))</f>
        <v>50</v>
      </c>
      <c r="J220" s="50">
        <f>IF(VLOOKUP(Table91213[[#This Row],[Date]],'DB Details'!$A:$Q,10)=0,"",VLOOKUP(Table91213[[#This Row],[Date]],'DB Details'!$A:$Q,10))</f>
        <v>55.3</v>
      </c>
      <c r="K220" s="50">
        <f>IF(VLOOKUP(Table91213[[#This Row],[Date]],'DB Details'!$A:$Q,11)=0,"",VLOOKUP(Table91213[[#This Row],[Date]],'DB Details'!$A:$Q,11))</f>
        <v>55</v>
      </c>
      <c r="L220" s="48">
        <f>IF(VLOOKUP(Table91213[[#This Row],[Date]],'DB Details'!$A:$Q,12)=0,"",VLOOKUP(Table91213[[#This Row],[Date]],'DB Details'!$A:$Q,12))</f>
        <v>56.8</v>
      </c>
    </row>
    <row r="221" spans="1:12" x14ac:dyDescent="0.35">
      <c r="A221" s="51">
        <v>42156</v>
      </c>
      <c r="B221" s="48">
        <f>IF(VLOOKUP(Table91213[[#This Row],[Date]],'DB Details'!$A:$Q,2)=0,"",VLOOKUP(Table91213[[#This Row],[Date]],'DB Details'!$A:$Q,2))</f>
        <v>58.3</v>
      </c>
      <c r="C221" s="49">
        <f>IF(VLOOKUP(Table91213[[#This Row],[Date]],'DB Details'!$A:$Q,3)=0,"",VLOOKUP(Table91213[[#This Row],[Date]],'DB Details'!$A:$Q,3))</f>
        <v>48</v>
      </c>
      <c r="D221" s="49">
        <f>IF(VLOOKUP(Table91213[[#This Row],[Date]],'DB Details'!$A:$Q,4)=0,"",VLOOKUP(Table91213[[#This Row],[Date]],'DB Details'!$A:$Q,4))</f>
        <v>50.5</v>
      </c>
      <c r="E221" s="50">
        <f>IF(VLOOKUP(Table91213[[#This Row],[Date]],'DB Details'!$A:$Q,5)=0,"",VLOOKUP(Table91213[[#This Row],[Date]],'DB Details'!$A:$Q,5))</f>
        <v>52.3</v>
      </c>
      <c r="F221" s="49">
        <f>IF(VLOOKUP(Table91213[[#This Row],[Date]],'DB Details'!$A:$Q,6)=0,"",VLOOKUP(Table91213[[#This Row],[Date]],'DB Details'!$A:$Q,6))</f>
        <v>61.5</v>
      </c>
      <c r="G221" s="50">
        <f>IF(VLOOKUP(Table91213[[#This Row],[Date]],'DB Details'!$A:$Q,7)=0,"",VLOOKUP(Table91213[[#This Row],[Date]],'DB Details'!$A:$Q,7))</f>
        <v>65</v>
      </c>
      <c r="H221" s="50">
        <f>IF(VLOOKUP(Table91213[[#This Row],[Date]],'DB Details'!$A:$Q,8)=0,"",VLOOKUP(Table91213[[#This Row],[Date]],'DB Details'!$A:$Q,8))</f>
        <v>55</v>
      </c>
      <c r="I221" s="50">
        <f>IF(VLOOKUP(Table91213[[#This Row],[Date]],'DB Details'!$A:$Q,9)=0,"",VLOOKUP(Table91213[[#This Row],[Date]],'DB Details'!$A:$Q,9))</f>
        <v>51.5</v>
      </c>
      <c r="J221" s="50">
        <f>IF(VLOOKUP(Table91213[[#This Row],[Date]],'DB Details'!$A:$Q,10)=0,"",VLOOKUP(Table91213[[#This Row],[Date]],'DB Details'!$A:$Q,10))</f>
        <v>52.7</v>
      </c>
      <c r="K221" s="50">
        <f>IF(VLOOKUP(Table91213[[#This Row],[Date]],'DB Details'!$A:$Q,11)=0,"",VLOOKUP(Table91213[[#This Row],[Date]],'DB Details'!$A:$Q,11))</f>
        <v>52</v>
      </c>
      <c r="L221" s="48">
        <f>IF(VLOOKUP(Table91213[[#This Row],[Date]],'DB Details'!$A:$Q,12)=0,"",VLOOKUP(Table91213[[#This Row],[Date]],'DB Details'!$A:$Q,12))</f>
        <v>56</v>
      </c>
    </row>
    <row r="222" spans="1:12" x14ac:dyDescent="0.35">
      <c r="A222" s="51">
        <v>42186</v>
      </c>
      <c r="B222" s="48">
        <f>IF(VLOOKUP(Table91213[[#This Row],[Date]],'DB Details'!$A:$Q,2)=0,"",VLOOKUP(Table91213[[#This Row],[Date]],'DB Details'!$A:$Q,2))</f>
        <v>60.9</v>
      </c>
      <c r="C222" s="49">
        <f>IF(VLOOKUP(Table91213[[#This Row],[Date]],'DB Details'!$A:$Q,3)=0,"",VLOOKUP(Table91213[[#This Row],[Date]],'DB Details'!$A:$Q,3))</f>
        <v>50.5</v>
      </c>
      <c r="D222" s="49">
        <f>IF(VLOOKUP(Table91213[[#This Row],[Date]],'DB Details'!$A:$Q,4)=0,"",VLOOKUP(Table91213[[#This Row],[Date]],'DB Details'!$A:$Q,4))</f>
        <v>54</v>
      </c>
      <c r="E222" s="50">
        <f>IF(VLOOKUP(Table91213[[#This Row],[Date]],'DB Details'!$A:$Q,5)=0,"",VLOOKUP(Table91213[[#This Row],[Date]],'DB Details'!$A:$Q,5))</f>
        <v>52.8</v>
      </c>
      <c r="F222" s="49">
        <f>IF(VLOOKUP(Table91213[[#This Row],[Date]],'DB Details'!$A:$Q,6)=0,"",VLOOKUP(Table91213[[#This Row],[Date]],'DB Details'!$A:$Q,6))</f>
        <v>64.900000000000006</v>
      </c>
      <c r="G222" s="50">
        <f>IF(VLOOKUP(Table91213[[#This Row],[Date]],'DB Details'!$A:$Q,7)=0,"",VLOOKUP(Table91213[[#This Row],[Date]],'DB Details'!$A:$Q,7))</f>
        <v>63.5</v>
      </c>
      <c r="H222" s="50">
        <f>IF(VLOOKUP(Table91213[[#This Row],[Date]],'DB Details'!$A:$Q,8)=0,"",VLOOKUP(Table91213[[#This Row],[Date]],'DB Details'!$A:$Q,8))</f>
        <v>57</v>
      </c>
      <c r="I222" s="50">
        <f>IF(VLOOKUP(Table91213[[#This Row],[Date]],'DB Details'!$A:$Q,9)=0,"",VLOOKUP(Table91213[[#This Row],[Date]],'DB Details'!$A:$Q,9))</f>
        <v>53</v>
      </c>
      <c r="J222" s="50">
        <f>IF(VLOOKUP(Table91213[[#This Row],[Date]],'DB Details'!$A:$Q,10)=0,"",VLOOKUP(Table91213[[#This Row],[Date]],'DB Details'!$A:$Q,10))</f>
        <v>59.6</v>
      </c>
      <c r="K222" s="50">
        <f>IF(VLOOKUP(Table91213[[#This Row],[Date]],'DB Details'!$A:$Q,11)=0,"",VLOOKUP(Table91213[[#This Row],[Date]],'DB Details'!$A:$Q,11))</f>
        <v>56.5</v>
      </c>
      <c r="L222" s="48">
        <f>IF(VLOOKUP(Table91213[[#This Row],[Date]],'DB Details'!$A:$Q,12)=0,"",VLOOKUP(Table91213[[#This Row],[Date]],'DB Details'!$A:$Q,12))</f>
        <v>59.3</v>
      </c>
    </row>
    <row r="223" spans="1:12" x14ac:dyDescent="0.35">
      <c r="A223" s="51">
        <v>42217</v>
      </c>
      <c r="B223" s="48">
        <f>IF(VLOOKUP(Table91213[[#This Row],[Date]],'DB Details'!$A:$Q,2)=0,"",VLOOKUP(Table91213[[#This Row],[Date]],'DB Details'!$A:$Q,2))</f>
        <v>62.7</v>
      </c>
      <c r="C223" s="49">
        <f>IF(VLOOKUP(Table91213[[#This Row],[Date]],'DB Details'!$A:$Q,3)=0,"",VLOOKUP(Table91213[[#This Row],[Date]],'DB Details'!$A:$Q,3))</f>
        <v>51.5</v>
      </c>
      <c r="D223" s="49">
        <f>IF(VLOOKUP(Table91213[[#This Row],[Date]],'DB Details'!$A:$Q,4)=0,"",VLOOKUP(Table91213[[#This Row],[Date]],'DB Details'!$A:$Q,4))</f>
        <v>56.5</v>
      </c>
      <c r="E223" s="50">
        <f>IF(VLOOKUP(Table91213[[#This Row],[Date]],'DB Details'!$A:$Q,5)=0,"",VLOOKUP(Table91213[[#This Row],[Date]],'DB Details'!$A:$Q,5))</f>
        <v>50.9</v>
      </c>
      <c r="F223" s="49">
        <f>IF(VLOOKUP(Table91213[[#This Row],[Date]],'DB Details'!$A:$Q,6)=0,"",VLOOKUP(Table91213[[#This Row],[Date]],'DB Details'!$A:$Q,6))</f>
        <v>63.9</v>
      </c>
      <c r="G223" s="50">
        <f>IF(VLOOKUP(Table91213[[#This Row],[Date]],'DB Details'!$A:$Q,7)=0,"",VLOOKUP(Table91213[[#This Row],[Date]],'DB Details'!$A:$Q,7))</f>
        <v>69</v>
      </c>
      <c r="H223" s="50">
        <f>IF(VLOOKUP(Table91213[[#This Row],[Date]],'DB Details'!$A:$Q,8)=0,"",VLOOKUP(Table91213[[#This Row],[Date]],'DB Details'!$A:$Q,8))</f>
        <v>54.5</v>
      </c>
      <c r="I223" s="50">
        <f>IF(VLOOKUP(Table91213[[#This Row],[Date]],'DB Details'!$A:$Q,9)=0,"",VLOOKUP(Table91213[[#This Row],[Date]],'DB Details'!$A:$Q,9))</f>
        <v>52.5</v>
      </c>
      <c r="J223" s="50">
        <f>IF(VLOOKUP(Table91213[[#This Row],[Date]],'DB Details'!$A:$Q,10)=0,"",VLOOKUP(Table91213[[#This Row],[Date]],'DB Details'!$A:$Q,10))</f>
        <v>56</v>
      </c>
      <c r="K223" s="50">
        <f>IF(VLOOKUP(Table91213[[#This Row],[Date]],'DB Details'!$A:$Q,11)=0,"",VLOOKUP(Table91213[[#This Row],[Date]],'DB Details'!$A:$Q,11))</f>
        <v>52</v>
      </c>
      <c r="L223" s="48">
        <f>IF(VLOOKUP(Table91213[[#This Row],[Date]],'DB Details'!$A:$Q,12)=0,"",VLOOKUP(Table91213[[#This Row],[Date]],'DB Details'!$A:$Q,12))</f>
        <v>58.4</v>
      </c>
    </row>
    <row r="224" spans="1:12" x14ac:dyDescent="0.35">
      <c r="A224" s="51">
        <v>42248</v>
      </c>
      <c r="B224" s="48">
        <f>IF(VLOOKUP(Table91213[[#This Row],[Date]],'DB Details'!$A:$Q,2)=0,"",VLOOKUP(Table91213[[#This Row],[Date]],'DB Details'!$A:$Q,2))</f>
        <v>56</v>
      </c>
      <c r="C224" s="49">
        <f>IF(VLOOKUP(Table91213[[#This Row],[Date]],'DB Details'!$A:$Q,3)=0,"",VLOOKUP(Table91213[[#This Row],[Date]],'DB Details'!$A:$Q,3))</f>
        <v>53</v>
      </c>
      <c r="D224" s="49">
        <f>IF(VLOOKUP(Table91213[[#This Row],[Date]],'DB Details'!$A:$Q,4)=0,"",VLOOKUP(Table91213[[#This Row],[Date]],'DB Details'!$A:$Q,4))</f>
        <v>54.5</v>
      </c>
      <c r="E224" s="50">
        <f>IF(VLOOKUP(Table91213[[#This Row],[Date]],'DB Details'!$A:$Q,5)=0,"",VLOOKUP(Table91213[[#This Row],[Date]],'DB Details'!$A:$Q,5))</f>
        <v>48.7</v>
      </c>
      <c r="F224" s="49">
        <f>IF(VLOOKUP(Table91213[[#This Row],[Date]],'DB Details'!$A:$Q,6)=0,"",VLOOKUP(Table91213[[#This Row],[Date]],'DB Details'!$A:$Q,6))</f>
        <v>60.2</v>
      </c>
      <c r="G224" s="50">
        <f>IF(VLOOKUP(Table91213[[#This Row],[Date]],'DB Details'!$A:$Q,7)=0,"",VLOOKUP(Table91213[[#This Row],[Date]],'DB Details'!$A:$Q,7))</f>
        <v>65</v>
      </c>
      <c r="H224" s="50">
        <f>IF(VLOOKUP(Table91213[[#This Row],[Date]],'DB Details'!$A:$Q,8)=0,"",VLOOKUP(Table91213[[#This Row],[Date]],'DB Details'!$A:$Q,8))</f>
        <v>51</v>
      </c>
      <c r="I224" s="50">
        <f>IF(VLOOKUP(Table91213[[#This Row],[Date]],'DB Details'!$A:$Q,9)=0,"",VLOOKUP(Table91213[[#This Row],[Date]],'DB Details'!$A:$Q,9))</f>
        <v>52.5</v>
      </c>
      <c r="J224" s="50">
        <f>IF(VLOOKUP(Table91213[[#This Row],[Date]],'DB Details'!$A:$Q,10)=0,"",VLOOKUP(Table91213[[#This Row],[Date]],'DB Details'!$A:$Q,10))</f>
        <v>58.3</v>
      </c>
      <c r="K224" s="50">
        <f>IF(VLOOKUP(Table91213[[#This Row],[Date]],'DB Details'!$A:$Q,11)=0,"",VLOOKUP(Table91213[[#This Row],[Date]],'DB Details'!$A:$Q,11))</f>
        <v>52.5</v>
      </c>
      <c r="L224" s="48">
        <f>IF(VLOOKUP(Table91213[[#This Row],[Date]],'DB Details'!$A:$Q,12)=0,"",VLOOKUP(Table91213[[#This Row],[Date]],'DB Details'!$A:$Q,12))</f>
        <v>56.1</v>
      </c>
    </row>
    <row r="225" spans="1:12" x14ac:dyDescent="0.35">
      <c r="A225" s="51">
        <v>42278</v>
      </c>
      <c r="B225" s="48">
        <f>IF(VLOOKUP(Table91213[[#This Row],[Date]],'DB Details'!$A:$Q,2)=0,"",VLOOKUP(Table91213[[#This Row],[Date]],'DB Details'!$A:$Q,2))</f>
        <v>61</v>
      </c>
      <c r="C225" s="49">
        <f>IF(VLOOKUP(Table91213[[#This Row],[Date]],'DB Details'!$A:$Q,3)=0,"",VLOOKUP(Table91213[[#This Row],[Date]],'DB Details'!$A:$Q,3))</f>
        <v>54.5</v>
      </c>
      <c r="D225" s="49">
        <f>IF(VLOOKUP(Table91213[[#This Row],[Date]],'DB Details'!$A:$Q,4)=0,"",VLOOKUP(Table91213[[#This Row],[Date]],'DB Details'!$A:$Q,4))</f>
        <v>54.5</v>
      </c>
      <c r="E225" s="50">
        <f>IF(VLOOKUP(Table91213[[#This Row],[Date]],'DB Details'!$A:$Q,5)=0,"",VLOOKUP(Table91213[[#This Row],[Date]],'DB Details'!$A:$Q,5))</f>
        <v>48.4</v>
      </c>
      <c r="F225" s="49">
        <f>IF(VLOOKUP(Table91213[[#This Row],[Date]],'DB Details'!$A:$Q,6)=0,"",VLOOKUP(Table91213[[#This Row],[Date]],'DB Details'!$A:$Q,6))</f>
        <v>63</v>
      </c>
      <c r="G225" s="50">
        <f>IF(VLOOKUP(Table91213[[#This Row],[Date]],'DB Details'!$A:$Q,7)=0,"",VLOOKUP(Table91213[[#This Row],[Date]],'DB Details'!$A:$Q,7))</f>
        <v>63</v>
      </c>
      <c r="H225" s="50">
        <f>IF(VLOOKUP(Table91213[[#This Row],[Date]],'DB Details'!$A:$Q,8)=0,"",VLOOKUP(Table91213[[#This Row],[Date]],'DB Details'!$A:$Q,8))</f>
        <v>52.5</v>
      </c>
      <c r="I225" s="50">
        <f>IF(VLOOKUP(Table91213[[#This Row],[Date]],'DB Details'!$A:$Q,9)=0,"",VLOOKUP(Table91213[[#This Row],[Date]],'DB Details'!$A:$Q,9))</f>
        <v>52</v>
      </c>
      <c r="J225" s="50">
        <f>IF(VLOOKUP(Table91213[[#This Row],[Date]],'DB Details'!$A:$Q,10)=0,"",VLOOKUP(Table91213[[#This Row],[Date]],'DB Details'!$A:$Q,10))</f>
        <v>59.2</v>
      </c>
      <c r="K225" s="50">
        <f>IF(VLOOKUP(Table91213[[#This Row],[Date]],'DB Details'!$A:$Q,11)=0,"",VLOOKUP(Table91213[[#This Row],[Date]],'DB Details'!$A:$Q,11))</f>
        <v>54.5</v>
      </c>
      <c r="L225" s="48">
        <f>IF(VLOOKUP(Table91213[[#This Row],[Date]],'DB Details'!$A:$Q,12)=0,"",VLOOKUP(Table91213[[#This Row],[Date]],'DB Details'!$A:$Q,12))</f>
        <v>57.9</v>
      </c>
    </row>
    <row r="226" spans="1:12" x14ac:dyDescent="0.35">
      <c r="A226" s="51">
        <v>42309</v>
      </c>
      <c r="B226" s="48">
        <f>IF(VLOOKUP(Table91213[[#This Row],[Date]],'DB Details'!$A:$Q,2)=0,"",VLOOKUP(Table91213[[#This Row],[Date]],'DB Details'!$A:$Q,2))</f>
        <v>58.2</v>
      </c>
      <c r="C226" s="49">
        <f>IF(VLOOKUP(Table91213[[#This Row],[Date]],'DB Details'!$A:$Q,3)=0,"",VLOOKUP(Table91213[[#This Row],[Date]],'DB Details'!$A:$Q,3))</f>
        <v>51</v>
      </c>
      <c r="D226" s="49">
        <f>IF(VLOOKUP(Table91213[[#This Row],[Date]],'DB Details'!$A:$Q,4)=0,"",VLOOKUP(Table91213[[#This Row],[Date]],'DB Details'!$A:$Q,4))</f>
        <v>51.5</v>
      </c>
      <c r="E226" s="50">
        <f>IF(VLOOKUP(Table91213[[#This Row],[Date]],'DB Details'!$A:$Q,5)=0,"",VLOOKUP(Table91213[[#This Row],[Date]],'DB Details'!$A:$Q,5))</f>
        <v>49.1</v>
      </c>
      <c r="F226" s="49">
        <f>IF(VLOOKUP(Table91213[[#This Row],[Date]],'DB Details'!$A:$Q,6)=0,"",VLOOKUP(Table91213[[#This Row],[Date]],'DB Details'!$A:$Q,6))</f>
        <v>58.2</v>
      </c>
      <c r="G226" s="50">
        <f>IF(VLOOKUP(Table91213[[#This Row],[Date]],'DB Details'!$A:$Q,7)=0,"",VLOOKUP(Table91213[[#This Row],[Date]],'DB Details'!$A:$Q,7))</f>
        <v>63.5</v>
      </c>
      <c r="H226" s="50">
        <f>IF(VLOOKUP(Table91213[[#This Row],[Date]],'DB Details'!$A:$Q,8)=0,"",VLOOKUP(Table91213[[#This Row],[Date]],'DB Details'!$A:$Q,8))</f>
        <v>54.5</v>
      </c>
      <c r="I226" s="50">
        <f>IF(VLOOKUP(Table91213[[#This Row],[Date]],'DB Details'!$A:$Q,9)=0,"",VLOOKUP(Table91213[[#This Row],[Date]],'DB Details'!$A:$Q,9))</f>
        <v>53</v>
      </c>
      <c r="J226" s="50">
        <f>IF(VLOOKUP(Table91213[[#This Row],[Date]],'DB Details'!$A:$Q,10)=0,"",VLOOKUP(Table91213[[#This Row],[Date]],'DB Details'!$A:$Q,10))</f>
        <v>55</v>
      </c>
      <c r="K226" s="50">
        <f>IF(VLOOKUP(Table91213[[#This Row],[Date]],'DB Details'!$A:$Q,11)=0,"",VLOOKUP(Table91213[[#This Row],[Date]],'DB Details'!$A:$Q,11))</f>
        <v>49.5</v>
      </c>
      <c r="L226" s="48">
        <f>IF(VLOOKUP(Table91213[[#This Row],[Date]],'DB Details'!$A:$Q,12)=0,"",VLOOKUP(Table91213[[#This Row],[Date]],'DB Details'!$A:$Q,12))</f>
        <v>55.8</v>
      </c>
    </row>
    <row r="227" spans="1:12" x14ac:dyDescent="0.35">
      <c r="A227" s="51">
        <v>42339</v>
      </c>
      <c r="B227" s="48">
        <f>IF(VLOOKUP(Table91213[[#This Row],[Date]],'DB Details'!$A:$Q,2)=0,"",VLOOKUP(Table91213[[#This Row],[Date]],'DB Details'!$A:$Q,2))</f>
        <v>57.9</v>
      </c>
      <c r="C227" s="49">
        <f>IF(VLOOKUP(Table91213[[#This Row],[Date]],'DB Details'!$A:$Q,3)=0,"",VLOOKUP(Table91213[[#This Row],[Date]],'DB Details'!$A:$Q,3))</f>
        <v>49</v>
      </c>
      <c r="D227" s="49">
        <f>IF(VLOOKUP(Table91213[[#This Row],[Date]],'DB Details'!$A:$Q,4)=0,"",VLOOKUP(Table91213[[#This Row],[Date]],'DB Details'!$A:$Q,4))</f>
        <v>50</v>
      </c>
      <c r="E227" s="50">
        <f>IF(VLOOKUP(Table91213[[#This Row],[Date]],'DB Details'!$A:$Q,5)=0,"",VLOOKUP(Table91213[[#This Row],[Date]],'DB Details'!$A:$Q,5))</f>
        <v>50.1</v>
      </c>
      <c r="F227" s="49">
        <f>IF(VLOOKUP(Table91213[[#This Row],[Date]],'DB Details'!$A:$Q,6)=0,"",VLOOKUP(Table91213[[#This Row],[Date]],'DB Details'!$A:$Q,6))</f>
        <v>58.7</v>
      </c>
      <c r="G227" s="50">
        <f>IF(VLOOKUP(Table91213[[#This Row],[Date]],'DB Details'!$A:$Q,7)=0,"",VLOOKUP(Table91213[[#This Row],[Date]],'DB Details'!$A:$Q,7))</f>
        <v>64.5</v>
      </c>
      <c r="H227" s="50">
        <f>IF(VLOOKUP(Table91213[[#This Row],[Date]],'DB Details'!$A:$Q,8)=0,"",VLOOKUP(Table91213[[#This Row],[Date]],'DB Details'!$A:$Q,8))</f>
        <v>53</v>
      </c>
      <c r="I227" s="50">
        <f>IF(VLOOKUP(Table91213[[#This Row],[Date]],'DB Details'!$A:$Q,9)=0,"",VLOOKUP(Table91213[[#This Row],[Date]],'DB Details'!$A:$Q,9))</f>
        <v>48.5</v>
      </c>
      <c r="J227" s="50">
        <f>IF(VLOOKUP(Table91213[[#This Row],[Date]],'DB Details'!$A:$Q,10)=0,"",VLOOKUP(Table91213[[#This Row],[Date]],'DB Details'!$A:$Q,10))</f>
        <v>55.7</v>
      </c>
      <c r="K227" s="50">
        <f>IF(VLOOKUP(Table91213[[#This Row],[Date]],'DB Details'!$A:$Q,11)=0,"",VLOOKUP(Table91213[[#This Row],[Date]],'DB Details'!$A:$Q,11))</f>
        <v>53.5</v>
      </c>
      <c r="L227" s="48">
        <f>IF(VLOOKUP(Table91213[[#This Row],[Date]],'DB Details'!$A:$Q,12)=0,"",VLOOKUP(Table91213[[#This Row],[Date]],'DB Details'!$A:$Q,12))</f>
        <v>55.3</v>
      </c>
    </row>
    <row r="228" spans="1:12" x14ac:dyDescent="0.35">
      <c r="A228" s="51">
        <v>42370</v>
      </c>
      <c r="B228" s="48">
        <f>IF(VLOOKUP(Table91213[[#This Row],[Date]],'DB Details'!$A:$Q,2)=0,"",VLOOKUP(Table91213[[#This Row],[Date]],'DB Details'!$A:$Q,2))</f>
        <v>57</v>
      </c>
      <c r="C228" s="49">
        <f>IF(VLOOKUP(Table91213[[#This Row],[Date]],'DB Details'!$A:$Q,3)=0,"",VLOOKUP(Table91213[[#This Row],[Date]],'DB Details'!$A:$Q,3))</f>
        <v>46</v>
      </c>
      <c r="D228" s="49">
        <f>IF(VLOOKUP(Table91213[[#This Row],[Date]],'DB Details'!$A:$Q,4)=0,"",VLOOKUP(Table91213[[#This Row],[Date]],'DB Details'!$A:$Q,4))</f>
        <v>52</v>
      </c>
      <c r="E228" s="50">
        <f>IF(VLOOKUP(Table91213[[#This Row],[Date]],'DB Details'!$A:$Q,5)=0,"",VLOOKUP(Table91213[[#This Row],[Date]],'DB Details'!$A:$Q,5))</f>
        <v>47.3</v>
      </c>
      <c r="F228" s="49">
        <f>IF(VLOOKUP(Table91213[[#This Row],[Date]],'DB Details'!$A:$Q,6)=0,"",VLOOKUP(Table91213[[#This Row],[Date]],'DB Details'!$A:$Q,6))</f>
        <v>53.9</v>
      </c>
      <c r="G228" s="50">
        <f>IF(VLOOKUP(Table91213[[#This Row],[Date]],'DB Details'!$A:$Q,7)=0,"",VLOOKUP(Table91213[[#This Row],[Date]],'DB Details'!$A:$Q,7))</f>
        <v>61.5</v>
      </c>
      <c r="H228" s="50">
        <f>IF(VLOOKUP(Table91213[[#This Row],[Date]],'DB Details'!$A:$Q,8)=0,"",VLOOKUP(Table91213[[#This Row],[Date]],'DB Details'!$A:$Q,8))</f>
        <v>51.5</v>
      </c>
      <c r="I228" s="50">
        <f>IF(VLOOKUP(Table91213[[#This Row],[Date]],'DB Details'!$A:$Q,9)=0,"",VLOOKUP(Table91213[[#This Row],[Date]],'DB Details'!$A:$Q,9))</f>
        <v>51.5</v>
      </c>
      <c r="J228" s="50">
        <f>IF(VLOOKUP(Table91213[[#This Row],[Date]],'DB Details'!$A:$Q,10)=0,"",VLOOKUP(Table91213[[#This Row],[Date]],'DB Details'!$A:$Q,10))</f>
        <v>52.1</v>
      </c>
      <c r="K228" s="50">
        <f>IF(VLOOKUP(Table91213[[#This Row],[Date]],'DB Details'!$A:$Q,11)=0,"",VLOOKUP(Table91213[[#This Row],[Date]],'DB Details'!$A:$Q,11))</f>
        <v>45.5</v>
      </c>
      <c r="L228" s="48">
        <f>IF(VLOOKUP(Table91213[[#This Row],[Date]],'DB Details'!$A:$Q,12)=0,"",VLOOKUP(Table91213[[#This Row],[Date]],'DB Details'!$A:$Q,12))</f>
        <v>54</v>
      </c>
    </row>
    <row r="229" spans="1:12" x14ac:dyDescent="0.35">
      <c r="A229" s="51">
        <v>42401</v>
      </c>
      <c r="B229" s="48">
        <f>IF(VLOOKUP(Table91213[[#This Row],[Date]],'DB Details'!$A:$Q,2)=0,"",VLOOKUP(Table91213[[#This Row],[Date]],'DB Details'!$A:$Q,2))</f>
        <v>56.8</v>
      </c>
      <c r="C229" s="49">
        <f>IF(VLOOKUP(Table91213[[#This Row],[Date]],'DB Details'!$A:$Q,3)=0,"",VLOOKUP(Table91213[[#This Row],[Date]],'DB Details'!$A:$Q,3))</f>
        <v>55.5</v>
      </c>
      <c r="D229" s="49">
        <f>IF(VLOOKUP(Table91213[[#This Row],[Date]],'DB Details'!$A:$Q,4)=0,"",VLOOKUP(Table91213[[#This Row],[Date]],'DB Details'!$A:$Q,4))</f>
        <v>52</v>
      </c>
      <c r="E229" s="50">
        <f>IF(VLOOKUP(Table91213[[#This Row],[Date]],'DB Details'!$A:$Q,5)=0,"",VLOOKUP(Table91213[[#This Row],[Date]],'DB Details'!$A:$Q,5))</f>
        <v>45.6</v>
      </c>
      <c r="F229" s="49">
        <f>IF(VLOOKUP(Table91213[[#This Row],[Date]],'DB Details'!$A:$Q,6)=0,"",VLOOKUP(Table91213[[#This Row],[Date]],'DB Details'!$A:$Q,6))</f>
        <v>57.8</v>
      </c>
      <c r="G229" s="50">
        <f>IF(VLOOKUP(Table91213[[#This Row],[Date]],'DB Details'!$A:$Q,7)=0,"",VLOOKUP(Table91213[[#This Row],[Date]],'DB Details'!$A:$Q,7))</f>
        <v>62</v>
      </c>
      <c r="H229" s="50">
        <f>IF(VLOOKUP(Table91213[[#This Row],[Date]],'DB Details'!$A:$Q,8)=0,"",VLOOKUP(Table91213[[#This Row],[Date]],'DB Details'!$A:$Q,8))</f>
        <v>52.5</v>
      </c>
      <c r="I229" s="50">
        <f>IF(VLOOKUP(Table91213[[#This Row],[Date]],'DB Details'!$A:$Q,9)=0,"",VLOOKUP(Table91213[[#This Row],[Date]],'DB Details'!$A:$Q,9))</f>
        <v>50.5</v>
      </c>
      <c r="J229" s="50">
        <f>IF(VLOOKUP(Table91213[[#This Row],[Date]],'DB Details'!$A:$Q,10)=0,"",VLOOKUP(Table91213[[#This Row],[Date]],'DB Details'!$A:$Q,10))</f>
        <v>49.7</v>
      </c>
      <c r="K229" s="50">
        <f>IF(VLOOKUP(Table91213[[#This Row],[Date]],'DB Details'!$A:$Q,11)=0,"",VLOOKUP(Table91213[[#This Row],[Date]],'DB Details'!$A:$Q,11))</f>
        <v>53.5</v>
      </c>
      <c r="L229" s="48">
        <f>IF(VLOOKUP(Table91213[[#This Row],[Date]],'DB Details'!$A:$Q,12)=0,"",VLOOKUP(Table91213[[#This Row],[Date]],'DB Details'!$A:$Q,12))</f>
        <v>54</v>
      </c>
    </row>
    <row r="230" spans="1:12" x14ac:dyDescent="0.35">
      <c r="A230" s="51">
        <v>42430</v>
      </c>
      <c r="B230" s="48">
        <f>IF(VLOOKUP(Table91213[[#This Row],[Date]],'DB Details'!$A:$Q,2)=0,"",VLOOKUP(Table91213[[#This Row],[Date]],'DB Details'!$A:$Q,2))</f>
        <v>57.4</v>
      </c>
      <c r="C230" s="49">
        <f>IF(VLOOKUP(Table91213[[#This Row],[Date]],'DB Details'!$A:$Q,3)=0,"",VLOOKUP(Table91213[[#This Row],[Date]],'DB Details'!$A:$Q,3))</f>
        <v>53</v>
      </c>
      <c r="D230" s="49">
        <f>IF(VLOOKUP(Table91213[[#This Row],[Date]],'DB Details'!$A:$Q,4)=0,"",VLOOKUP(Table91213[[#This Row],[Date]],'DB Details'!$A:$Q,4))</f>
        <v>52</v>
      </c>
      <c r="E230" s="50">
        <f>IF(VLOOKUP(Table91213[[#This Row],[Date]],'DB Details'!$A:$Q,5)=0,"",VLOOKUP(Table91213[[#This Row],[Date]],'DB Details'!$A:$Q,5))</f>
        <v>50.4</v>
      </c>
      <c r="F230" s="49">
        <f>IF(VLOOKUP(Table91213[[#This Row],[Date]],'DB Details'!$A:$Q,6)=0,"",VLOOKUP(Table91213[[#This Row],[Date]],'DB Details'!$A:$Q,6))</f>
        <v>59.8</v>
      </c>
      <c r="G230" s="50">
        <f>IF(VLOOKUP(Table91213[[#This Row],[Date]],'DB Details'!$A:$Q,7)=0,"",VLOOKUP(Table91213[[#This Row],[Date]],'DB Details'!$A:$Q,7))</f>
        <v>62.5</v>
      </c>
      <c r="H230" s="50">
        <f>IF(VLOOKUP(Table91213[[#This Row],[Date]],'DB Details'!$A:$Q,8)=0,"",VLOOKUP(Table91213[[#This Row],[Date]],'DB Details'!$A:$Q,8))</f>
        <v>52.5</v>
      </c>
      <c r="I230" s="50">
        <f>IF(VLOOKUP(Table91213[[#This Row],[Date]],'DB Details'!$A:$Q,9)=0,"",VLOOKUP(Table91213[[#This Row],[Date]],'DB Details'!$A:$Q,9))</f>
        <v>51</v>
      </c>
      <c r="J230" s="50">
        <f>IF(VLOOKUP(Table91213[[#This Row],[Date]],'DB Details'!$A:$Q,10)=0,"",VLOOKUP(Table91213[[#This Row],[Date]],'DB Details'!$A:$Q,10))</f>
        <v>50.3</v>
      </c>
      <c r="K230" s="50">
        <f>IF(VLOOKUP(Table91213[[#This Row],[Date]],'DB Details'!$A:$Q,11)=0,"",VLOOKUP(Table91213[[#This Row],[Date]],'DB Details'!$A:$Q,11))</f>
        <v>58.5</v>
      </c>
      <c r="L230" s="48">
        <f>IF(VLOOKUP(Table91213[[#This Row],[Date]],'DB Details'!$A:$Q,12)=0,"",VLOOKUP(Table91213[[#This Row],[Date]],'DB Details'!$A:$Q,12))</f>
        <v>55.2</v>
      </c>
    </row>
    <row r="231" spans="1:12" x14ac:dyDescent="0.35">
      <c r="A231" s="51">
        <v>42461</v>
      </c>
      <c r="B231" s="48">
        <f>IF(VLOOKUP(Table91213[[#This Row],[Date]],'DB Details'!$A:$Q,2)=0,"",VLOOKUP(Table91213[[#This Row],[Date]],'DB Details'!$A:$Q,2))</f>
        <v>59.5</v>
      </c>
      <c r="C231" s="49">
        <f>IF(VLOOKUP(Table91213[[#This Row],[Date]],'DB Details'!$A:$Q,3)=0,"",VLOOKUP(Table91213[[#This Row],[Date]],'DB Details'!$A:$Q,3))</f>
        <v>54</v>
      </c>
      <c r="D231" s="49">
        <f>IF(VLOOKUP(Table91213[[#This Row],[Date]],'DB Details'!$A:$Q,4)=0,"",VLOOKUP(Table91213[[#This Row],[Date]],'DB Details'!$A:$Q,4))</f>
        <v>51.5</v>
      </c>
      <c r="E231" s="50">
        <f>IF(VLOOKUP(Table91213[[#This Row],[Date]],'DB Details'!$A:$Q,5)=0,"",VLOOKUP(Table91213[[#This Row],[Date]],'DB Details'!$A:$Q,5))</f>
        <v>53.6</v>
      </c>
      <c r="F231" s="49">
        <f>IF(VLOOKUP(Table91213[[#This Row],[Date]],'DB Details'!$A:$Q,6)=0,"",VLOOKUP(Table91213[[#This Row],[Date]],'DB Details'!$A:$Q,6))</f>
        <v>58.8</v>
      </c>
      <c r="G231" s="50">
        <f>IF(VLOOKUP(Table91213[[#This Row],[Date]],'DB Details'!$A:$Q,7)=0,"",VLOOKUP(Table91213[[#This Row],[Date]],'DB Details'!$A:$Q,7))</f>
        <v>61</v>
      </c>
      <c r="H231" s="50">
        <f>IF(VLOOKUP(Table91213[[#This Row],[Date]],'DB Details'!$A:$Q,8)=0,"",VLOOKUP(Table91213[[#This Row],[Date]],'DB Details'!$A:$Q,8))</f>
        <v>54</v>
      </c>
      <c r="I231" s="50">
        <f>IF(VLOOKUP(Table91213[[#This Row],[Date]],'DB Details'!$A:$Q,9)=0,"",VLOOKUP(Table91213[[#This Row],[Date]],'DB Details'!$A:$Q,9))</f>
        <v>51</v>
      </c>
      <c r="J231" s="50">
        <f>IF(VLOOKUP(Table91213[[#This Row],[Date]],'DB Details'!$A:$Q,10)=0,"",VLOOKUP(Table91213[[#This Row],[Date]],'DB Details'!$A:$Q,10))</f>
        <v>53</v>
      </c>
      <c r="K231" s="50">
        <f>IF(VLOOKUP(Table91213[[#This Row],[Date]],'DB Details'!$A:$Q,11)=0,"",VLOOKUP(Table91213[[#This Row],[Date]],'DB Details'!$A:$Q,11))</f>
        <v>56.5</v>
      </c>
      <c r="L231" s="48">
        <f>IF(VLOOKUP(Table91213[[#This Row],[Date]],'DB Details'!$A:$Q,12)=0,"",VLOOKUP(Table91213[[#This Row],[Date]],'DB Details'!$A:$Q,12))</f>
        <v>55.6</v>
      </c>
    </row>
    <row r="232" spans="1:12" x14ac:dyDescent="0.35">
      <c r="A232" s="51">
        <v>42491</v>
      </c>
      <c r="B232" s="48">
        <f>IF(VLOOKUP(Table91213[[#This Row],[Date]],'DB Details'!$A:$Q,2)=0,"",VLOOKUP(Table91213[[#This Row],[Date]],'DB Details'!$A:$Q,2))</f>
        <v>54.8</v>
      </c>
      <c r="C232" s="49">
        <f>IF(VLOOKUP(Table91213[[#This Row],[Date]],'DB Details'!$A:$Q,3)=0,"",VLOOKUP(Table91213[[#This Row],[Date]],'DB Details'!$A:$Q,3))</f>
        <v>53.5</v>
      </c>
      <c r="D232" s="49">
        <f>IF(VLOOKUP(Table91213[[#This Row],[Date]],'DB Details'!$A:$Q,4)=0,"",VLOOKUP(Table91213[[#This Row],[Date]],'DB Details'!$A:$Q,4))</f>
        <v>50</v>
      </c>
      <c r="E232" s="50">
        <f>IF(VLOOKUP(Table91213[[#This Row],[Date]],'DB Details'!$A:$Q,5)=0,"",VLOOKUP(Table91213[[#This Row],[Date]],'DB Details'!$A:$Q,5))</f>
        <v>55.5</v>
      </c>
      <c r="F232" s="49">
        <f>IF(VLOOKUP(Table91213[[#This Row],[Date]],'DB Details'!$A:$Q,6)=0,"",VLOOKUP(Table91213[[#This Row],[Date]],'DB Details'!$A:$Q,6))</f>
        <v>55.1</v>
      </c>
      <c r="G232" s="50">
        <f>IF(VLOOKUP(Table91213[[#This Row],[Date]],'DB Details'!$A:$Q,7)=0,"",VLOOKUP(Table91213[[#This Row],[Date]],'DB Details'!$A:$Q,7))</f>
        <v>60</v>
      </c>
      <c r="H232" s="50">
        <f>IF(VLOOKUP(Table91213[[#This Row],[Date]],'DB Details'!$A:$Q,8)=0,"",VLOOKUP(Table91213[[#This Row],[Date]],'DB Details'!$A:$Q,8))</f>
        <v>54</v>
      </c>
      <c r="I232" s="50">
        <f>IF(VLOOKUP(Table91213[[#This Row],[Date]],'DB Details'!$A:$Q,9)=0,"",VLOOKUP(Table91213[[#This Row],[Date]],'DB Details'!$A:$Q,9))</f>
        <v>52.5</v>
      </c>
      <c r="J232" s="50">
        <f>IF(VLOOKUP(Table91213[[#This Row],[Date]],'DB Details'!$A:$Q,10)=0,"",VLOOKUP(Table91213[[#This Row],[Date]],'DB Details'!$A:$Q,10))</f>
        <v>49.7</v>
      </c>
      <c r="K232" s="50">
        <f>IF(VLOOKUP(Table91213[[#This Row],[Date]],'DB Details'!$A:$Q,11)=0,"",VLOOKUP(Table91213[[#This Row],[Date]],'DB Details'!$A:$Q,11))</f>
        <v>49</v>
      </c>
      <c r="L232" s="48">
        <f>IF(VLOOKUP(Table91213[[#This Row],[Date]],'DB Details'!$A:$Q,12)=0,"",VLOOKUP(Table91213[[#This Row],[Date]],'DB Details'!$A:$Q,12))</f>
        <v>53.8</v>
      </c>
    </row>
    <row r="233" spans="1:12" x14ac:dyDescent="0.35">
      <c r="A233" s="51">
        <v>42522</v>
      </c>
      <c r="B233" s="48">
        <f>IF(VLOOKUP(Table91213[[#This Row],[Date]],'DB Details'!$A:$Q,2)=0,"",VLOOKUP(Table91213[[#This Row],[Date]],'DB Details'!$A:$Q,2))</f>
        <v>58.9</v>
      </c>
      <c r="C233" s="49">
        <f>IF(VLOOKUP(Table91213[[#This Row],[Date]],'DB Details'!$A:$Q,3)=0,"",VLOOKUP(Table91213[[#This Row],[Date]],'DB Details'!$A:$Q,3))</f>
        <v>54</v>
      </c>
      <c r="D233" s="49">
        <f>IF(VLOOKUP(Table91213[[#This Row],[Date]],'DB Details'!$A:$Q,4)=0,"",VLOOKUP(Table91213[[#This Row],[Date]],'DB Details'!$A:$Q,4))</f>
        <v>47.5</v>
      </c>
      <c r="E233" s="50">
        <f>IF(VLOOKUP(Table91213[[#This Row],[Date]],'DB Details'!$A:$Q,5)=0,"",VLOOKUP(Table91213[[#This Row],[Date]],'DB Details'!$A:$Q,5))</f>
        <v>55.7</v>
      </c>
      <c r="F233" s="49">
        <f>IF(VLOOKUP(Table91213[[#This Row],[Date]],'DB Details'!$A:$Q,6)=0,"",VLOOKUP(Table91213[[#This Row],[Date]],'DB Details'!$A:$Q,6))</f>
        <v>59.5</v>
      </c>
      <c r="G233" s="50">
        <f>IF(VLOOKUP(Table91213[[#This Row],[Date]],'DB Details'!$A:$Q,7)=0,"",VLOOKUP(Table91213[[#This Row],[Date]],'DB Details'!$A:$Q,7))</f>
        <v>62.5</v>
      </c>
      <c r="H233" s="50">
        <f>IF(VLOOKUP(Table91213[[#This Row],[Date]],'DB Details'!$A:$Q,8)=0,"",VLOOKUP(Table91213[[#This Row],[Date]],'DB Details'!$A:$Q,8))</f>
        <v>55.5</v>
      </c>
      <c r="I233" s="50">
        <f>IF(VLOOKUP(Table91213[[#This Row],[Date]],'DB Details'!$A:$Q,9)=0,"",VLOOKUP(Table91213[[#This Row],[Date]],'DB Details'!$A:$Q,9))</f>
        <v>54</v>
      </c>
      <c r="J233" s="50">
        <f>IF(VLOOKUP(Table91213[[#This Row],[Date]],'DB Details'!$A:$Q,10)=0,"",VLOOKUP(Table91213[[#This Row],[Date]],'DB Details'!$A:$Q,10))</f>
        <v>52.7</v>
      </c>
      <c r="K233" s="50">
        <f>IF(VLOOKUP(Table91213[[#This Row],[Date]],'DB Details'!$A:$Q,11)=0,"",VLOOKUP(Table91213[[#This Row],[Date]],'DB Details'!$A:$Q,11))</f>
        <v>53</v>
      </c>
      <c r="L233" s="48">
        <f>IF(VLOOKUP(Table91213[[#This Row],[Date]],'DB Details'!$A:$Q,12)=0,"",VLOOKUP(Table91213[[#This Row],[Date]],'DB Details'!$A:$Q,12))</f>
        <v>56</v>
      </c>
    </row>
    <row r="234" spans="1:12" x14ac:dyDescent="0.35">
      <c r="A234" s="51">
        <v>42552</v>
      </c>
      <c r="B234" s="48">
        <f>IF(VLOOKUP(Table91213[[#This Row],[Date]],'DB Details'!$A:$Q,2)=0,"",VLOOKUP(Table91213[[#This Row],[Date]],'DB Details'!$A:$Q,2))</f>
        <v>58.5</v>
      </c>
      <c r="C234" s="49">
        <f>IF(VLOOKUP(Table91213[[#This Row],[Date]],'DB Details'!$A:$Q,3)=0,"",VLOOKUP(Table91213[[#This Row],[Date]],'DB Details'!$A:$Q,3))</f>
        <v>53</v>
      </c>
      <c r="D234" s="49">
        <f>IF(VLOOKUP(Table91213[[#This Row],[Date]],'DB Details'!$A:$Q,4)=0,"",VLOOKUP(Table91213[[#This Row],[Date]],'DB Details'!$A:$Q,4))</f>
        <v>51</v>
      </c>
      <c r="E234" s="50">
        <f>IF(VLOOKUP(Table91213[[#This Row],[Date]],'DB Details'!$A:$Q,5)=0,"",VLOOKUP(Table91213[[#This Row],[Date]],'DB Details'!$A:$Q,5))</f>
        <v>52.7</v>
      </c>
      <c r="F234" s="49">
        <f>IF(VLOOKUP(Table91213[[#This Row],[Date]],'DB Details'!$A:$Q,6)=0,"",VLOOKUP(Table91213[[#This Row],[Date]],'DB Details'!$A:$Q,6))</f>
        <v>59.3</v>
      </c>
      <c r="G234" s="50">
        <f>IF(VLOOKUP(Table91213[[#This Row],[Date]],'DB Details'!$A:$Q,7)=0,"",VLOOKUP(Table91213[[#This Row],[Date]],'DB Details'!$A:$Q,7))</f>
        <v>63</v>
      </c>
      <c r="H234" s="50">
        <f>IF(VLOOKUP(Table91213[[#This Row],[Date]],'DB Details'!$A:$Q,8)=0,"",VLOOKUP(Table91213[[#This Row],[Date]],'DB Details'!$A:$Q,8))</f>
        <v>54</v>
      </c>
      <c r="I234" s="50">
        <f>IF(VLOOKUP(Table91213[[#This Row],[Date]],'DB Details'!$A:$Q,9)=0,"",VLOOKUP(Table91213[[#This Row],[Date]],'DB Details'!$A:$Q,9))</f>
        <v>51</v>
      </c>
      <c r="J234" s="50">
        <f>IF(VLOOKUP(Table91213[[#This Row],[Date]],'DB Details'!$A:$Q,10)=0,"",VLOOKUP(Table91213[[#This Row],[Date]],'DB Details'!$A:$Q,10))</f>
        <v>51.4</v>
      </c>
      <c r="K234" s="50">
        <f>IF(VLOOKUP(Table91213[[#This Row],[Date]],'DB Details'!$A:$Q,11)=0,"",VLOOKUP(Table91213[[#This Row],[Date]],'DB Details'!$A:$Q,11))</f>
        <v>55.5</v>
      </c>
      <c r="L234" s="48">
        <f>IF(VLOOKUP(Table91213[[#This Row],[Date]],'DB Details'!$A:$Q,12)=0,"",VLOOKUP(Table91213[[#This Row],[Date]],'DB Details'!$A:$Q,12))</f>
        <v>55.2</v>
      </c>
    </row>
    <row r="235" spans="1:12" x14ac:dyDescent="0.35">
      <c r="A235" s="51">
        <v>42583</v>
      </c>
      <c r="B235" s="48">
        <f>IF(VLOOKUP(Table91213[[#This Row],[Date]],'DB Details'!$A:$Q,2)=0,"",VLOOKUP(Table91213[[#This Row],[Date]],'DB Details'!$A:$Q,2))</f>
        <v>52</v>
      </c>
      <c r="C235" s="49">
        <f>IF(VLOOKUP(Table91213[[#This Row],[Date]],'DB Details'!$A:$Q,3)=0,"",VLOOKUP(Table91213[[#This Row],[Date]],'DB Details'!$A:$Q,3))</f>
        <v>50.5</v>
      </c>
      <c r="D235" s="49">
        <f>IF(VLOOKUP(Table91213[[#This Row],[Date]],'DB Details'!$A:$Q,4)=0,"",VLOOKUP(Table91213[[#This Row],[Date]],'DB Details'!$A:$Q,4))</f>
        <v>49.5</v>
      </c>
      <c r="E235" s="50">
        <f>IF(VLOOKUP(Table91213[[#This Row],[Date]],'DB Details'!$A:$Q,5)=0,"",VLOOKUP(Table91213[[#This Row],[Date]],'DB Details'!$A:$Q,5))</f>
        <v>52</v>
      </c>
      <c r="F235" s="49">
        <f>IF(VLOOKUP(Table91213[[#This Row],[Date]],'DB Details'!$A:$Q,6)=0,"",VLOOKUP(Table91213[[#This Row],[Date]],'DB Details'!$A:$Q,6))</f>
        <v>51.8</v>
      </c>
      <c r="G235" s="50">
        <f>IF(VLOOKUP(Table91213[[#This Row],[Date]],'DB Details'!$A:$Q,7)=0,"",VLOOKUP(Table91213[[#This Row],[Date]],'DB Details'!$A:$Q,7))</f>
        <v>64</v>
      </c>
      <c r="H235" s="50">
        <f>IF(VLOOKUP(Table91213[[#This Row],[Date]],'DB Details'!$A:$Q,8)=0,"",VLOOKUP(Table91213[[#This Row],[Date]],'DB Details'!$A:$Q,8))</f>
        <v>48</v>
      </c>
      <c r="I235" s="50">
        <f>IF(VLOOKUP(Table91213[[#This Row],[Date]],'DB Details'!$A:$Q,9)=0,"",VLOOKUP(Table91213[[#This Row],[Date]],'DB Details'!$A:$Q,9))</f>
        <v>51.5</v>
      </c>
      <c r="J235" s="50">
        <f>IF(VLOOKUP(Table91213[[#This Row],[Date]],'DB Details'!$A:$Q,10)=0,"",VLOOKUP(Table91213[[#This Row],[Date]],'DB Details'!$A:$Q,10))</f>
        <v>50.7</v>
      </c>
      <c r="K235" s="50">
        <f>IF(VLOOKUP(Table91213[[#This Row],[Date]],'DB Details'!$A:$Q,11)=0,"",VLOOKUP(Table91213[[#This Row],[Date]],'DB Details'!$A:$Q,11))</f>
        <v>46.5</v>
      </c>
      <c r="L235" s="48">
        <f>IF(VLOOKUP(Table91213[[#This Row],[Date]],'DB Details'!$A:$Q,12)=0,"",VLOOKUP(Table91213[[#This Row],[Date]],'DB Details'!$A:$Q,12))</f>
        <v>51.6</v>
      </c>
    </row>
    <row r="236" spans="1:12" x14ac:dyDescent="0.35">
      <c r="A236" s="51">
        <v>42614</v>
      </c>
      <c r="B236" s="48">
        <f>IF(VLOOKUP(Table91213[[#This Row],[Date]],'DB Details'!$A:$Q,2)=0,"",VLOOKUP(Table91213[[#This Row],[Date]],'DB Details'!$A:$Q,2))</f>
        <v>59.6</v>
      </c>
      <c r="C236" s="49">
        <f>IF(VLOOKUP(Table91213[[#This Row],[Date]],'DB Details'!$A:$Q,3)=0,"",VLOOKUP(Table91213[[#This Row],[Date]],'DB Details'!$A:$Q,3))</f>
        <v>51</v>
      </c>
      <c r="D236" s="49">
        <f>IF(VLOOKUP(Table91213[[#This Row],[Date]],'DB Details'!$A:$Q,4)=0,"",VLOOKUP(Table91213[[#This Row],[Date]],'DB Details'!$A:$Q,4))</f>
        <v>52</v>
      </c>
      <c r="E236" s="50">
        <f>IF(VLOOKUP(Table91213[[#This Row],[Date]],'DB Details'!$A:$Q,5)=0,"",VLOOKUP(Table91213[[#This Row],[Date]],'DB Details'!$A:$Q,5))</f>
        <v>53.4</v>
      </c>
      <c r="F236" s="49">
        <f>IF(VLOOKUP(Table91213[[#This Row],[Date]],'DB Details'!$A:$Q,6)=0,"",VLOOKUP(Table91213[[#This Row],[Date]],'DB Details'!$A:$Q,6))</f>
        <v>60.3</v>
      </c>
      <c r="G236" s="50">
        <f>IF(VLOOKUP(Table91213[[#This Row],[Date]],'DB Details'!$A:$Q,7)=0,"",VLOOKUP(Table91213[[#This Row],[Date]],'DB Details'!$A:$Q,7))</f>
        <v>64.5</v>
      </c>
      <c r="H236" s="50">
        <f>IF(VLOOKUP(Table91213[[#This Row],[Date]],'DB Details'!$A:$Q,8)=0,"",VLOOKUP(Table91213[[#This Row],[Date]],'DB Details'!$A:$Q,8))</f>
        <v>51.5</v>
      </c>
      <c r="I236" s="50">
        <f>IF(VLOOKUP(Table91213[[#This Row],[Date]],'DB Details'!$A:$Q,9)=0,"",VLOOKUP(Table91213[[#This Row],[Date]],'DB Details'!$A:$Q,9))</f>
        <v>51</v>
      </c>
      <c r="J236" s="50">
        <f>IF(VLOOKUP(Table91213[[#This Row],[Date]],'DB Details'!$A:$Q,10)=0,"",VLOOKUP(Table91213[[#This Row],[Date]],'DB Details'!$A:$Q,10))</f>
        <v>57.2</v>
      </c>
      <c r="K236" s="50">
        <f>IF(VLOOKUP(Table91213[[#This Row],[Date]],'DB Details'!$A:$Q,11)=0,"",VLOOKUP(Table91213[[#This Row],[Date]],'DB Details'!$A:$Q,11))</f>
        <v>56.5</v>
      </c>
      <c r="L236" s="48">
        <f>IF(VLOOKUP(Table91213[[#This Row],[Date]],'DB Details'!$A:$Q,12)=0,"",VLOOKUP(Table91213[[#This Row],[Date]],'DB Details'!$A:$Q,12))</f>
        <v>56.3</v>
      </c>
    </row>
    <row r="237" spans="1:12" x14ac:dyDescent="0.35">
      <c r="A237" s="51">
        <v>42644</v>
      </c>
      <c r="B237" s="48">
        <f>IF(VLOOKUP(Table91213[[#This Row],[Date]],'DB Details'!$A:$Q,2)=0,"",VLOOKUP(Table91213[[#This Row],[Date]],'DB Details'!$A:$Q,2))</f>
        <v>57.7</v>
      </c>
      <c r="C237" s="49">
        <f>IF(VLOOKUP(Table91213[[#This Row],[Date]],'DB Details'!$A:$Q,3)=0,"",VLOOKUP(Table91213[[#This Row],[Date]],'DB Details'!$A:$Q,3))</f>
        <v>53</v>
      </c>
      <c r="D237" s="49">
        <f>IF(VLOOKUP(Table91213[[#This Row],[Date]],'DB Details'!$A:$Q,4)=0,"",VLOOKUP(Table91213[[#This Row],[Date]],'DB Details'!$A:$Q,4))</f>
        <v>52</v>
      </c>
      <c r="E237" s="50">
        <f>IF(VLOOKUP(Table91213[[#This Row],[Date]],'DB Details'!$A:$Q,5)=0,"",VLOOKUP(Table91213[[#This Row],[Date]],'DB Details'!$A:$Q,5))</f>
        <v>54.9</v>
      </c>
      <c r="F237" s="49">
        <f>IF(VLOOKUP(Table91213[[#This Row],[Date]],'DB Details'!$A:$Q,6)=0,"",VLOOKUP(Table91213[[#This Row],[Date]],'DB Details'!$A:$Q,6))</f>
        <v>57.7</v>
      </c>
      <c r="G237" s="50">
        <f>IF(VLOOKUP(Table91213[[#This Row],[Date]],'DB Details'!$A:$Q,7)=0,"",VLOOKUP(Table91213[[#This Row],[Date]],'DB Details'!$A:$Q,7))</f>
        <v>62</v>
      </c>
      <c r="H237" s="50">
        <f>IF(VLOOKUP(Table91213[[#This Row],[Date]],'DB Details'!$A:$Q,8)=0,"",VLOOKUP(Table91213[[#This Row],[Date]],'DB Details'!$A:$Q,8))</f>
        <v>52</v>
      </c>
      <c r="I237" s="50">
        <f>IF(VLOOKUP(Table91213[[#This Row],[Date]],'DB Details'!$A:$Q,9)=0,"",VLOOKUP(Table91213[[#This Row],[Date]],'DB Details'!$A:$Q,9))</f>
        <v>50.5</v>
      </c>
      <c r="J237" s="50">
        <f>IF(VLOOKUP(Table91213[[#This Row],[Date]],'DB Details'!$A:$Q,10)=0,"",VLOOKUP(Table91213[[#This Row],[Date]],'DB Details'!$A:$Q,10))</f>
        <v>53.1</v>
      </c>
      <c r="K237" s="50">
        <f>IF(VLOOKUP(Table91213[[#This Row],[Date]],'DB Details'!$A:$Q,11)=0,"",VLOOKUP(Table91213[[#This Row],[Date]],'DB Details'!$A:$Q,11))</f>
        <v>55.5</v>
      </c>
      <c r="L237" s="48">
        <f>IF(VLOOKUP(Table91213[[#This Row],[Date]],'DB Details'!$A:$Q,12)=0,"",VLOOKUP(Table91213[[#This Row],[Date]],'DB Details'!$A:$Q,12))</f>
        <v>54.4</v>
      </c>
    </row>
    <row r="238" spans="1:12" x14ac:dyDescent="0.35">
      <c r="A238" s="51">
        <v>42675</v>
      </c>
      <c r="B238" s="48">
        <f>IF(VLOOKUP(Table91213[[#This Row],[Date]],'DB Details'!$A:$Q,2)=0,"",VLOOKUP(Table91213[[#This Row],[Date]],'DB Details'!$A:$Q,2))</f>
        <v>57.4</v>
      </c>
      <c r="C238" s="49">
        <f>IF(VLOOKUP(Table91213[[#This Row],[Date]],'DB Details'!$A:$Q,3)=0,"",VLOOKUP(Table91213[[#This Row],[Date]],'DB Details'!$A:$Q,3))</f>
        <v>54</v>
      </c>
      <c r="D238" s="49">
        <f>IF(VLOOKUP(Table91213[[#This Row],[Date]],'DB Details'!$A:$Q,4)=0,"",VLOOKUP(Table91213[[#This Row],[Date]],'DB Details'!$A:$Q,4))</f>
        <v>51</v>
      </c>
      <c r="E238" s="50">
        <f>IF(VLOOKUP(Table91213[[#This Row],[Date]],'DB Details'!$A:$Q,5)=0,"",VLOOKUP(Table91213[[#This Row],[Date]],'DB Details'!$A:$Q,5))</f>
        <v>55</v>
      </c>
      <c r="F238" s="49">
        <f>IF(VLOOKUP(Table91213[[#This Row],[Date]],'DB Details'!$A:$Q,6)=0,"",VLOOKUP(Table91213[[#This Row],[Date]],'DB Details'!$A:$Q,6))</f>
        <v>61.7</v>
      </c>
      <c r="G238" s="50">
        <f>IF(VLOOKUP(Table91213[[#This Row],[Date]],'DB Details'!$A:$Q,7)=0,"",VLOOKUP(Table91213[[#This Row],[Date]],'DB Details'!$A:$Q,7))</f>
        <v>60.5</v>
      </c>
      <c r="H238" s="50">
        <f>IF(VLOOKUP(Table91213[[#This Row],[Date]],'DB Details'!$A:$Q,8)=0,"",VLOOKUP(Table91213[[#This Row],[Date]],'DB Details'!$A:$Q,8))</f>
        <v>51.5</v>
      </c>
      <c r="I238" s="50">
        <f>IF(VLOOKUP(Table91213[[#This Row],[Date]],'DB Details'!$A:$Q,9)=0,"",VLOOKUP(Table91213[[#This Row],[Date]],'DB Details'!$A:$Q,9))</f>
        <v>52</v>
      </c>
      <c r="J238" s="50">
        <f>IF(VLOOKUP(Table91213[[#This Row],[Date]],'DB Details'!$A:$Q,10)=0,"",VLOOKUP(Table91213[[#This Row],[Date]],'DB Details'!$A:$Q,10))</f>
        <v>58.2</v>
      </c>
      <c r="K238" s="50">
        <f>IF(VLOOKUP(Table91213[[#This Row],[Date]],'DB Details'!$A:$Q,11)=0,"",VLOOKUP(Table91213[[#This Row],[Date]],'DB Details'!$A:$Q,11))</f>
        <v>57</v>
      </c>
      <c r="L238" s="48">
        <f>IF(VLOOKUP(Table91213[[#This Row],[Date]],'DB Details'!$A:$Q,12)=0,"",VLOOKUP(Table91213[[#This Row],[Date]],'DB Details'!$A:$Q,12))</f>
        <v>56.2</v>
      </c>
    </row>
    <row r="239" spans="1:12" x14ac:dyDescent="0.35">
      <c r="A239" s="51">
        <v>42705</v>
      </c>
      <c r="B239" s="48">
        <f>IF(VLOOKUP(Table91213[[#This Row],[Date]],'DB Details'!$A:$Q,2)=0,"",VLOOKUP(Table91213[[#This Row],[Date]],'DB Details'!$A:$Q,2))</f>
        <v>60.7</v>
      </c>
      <c r="C239" s="49">
        <f>IF(VLOOKUP(Table91213[[#This Row],[Date]],'DB Details'!$A:$Q,3)=0,"",VLOOKUP(Table91213[[#This Row],[Date]],'DB Details'!$A:$Q,3))</f>
        <v>50</v>
      </c>
      <c r="D239" s="49">
        <f>IF(VLOOKUP(Table91213[[#This Row],[Date]],'DB Details'!$A:$Q,4)=0,"",VLOOKUP(Table91213[[#This Row],[Date]],'DB Details'!$A:$Q,4))</f>
        <v>48</v>
      </c>
      <c r="E239" s="50">
        <f>IF(VLOOKUP(Table91213[[#This Row],[Date]],'DB Details'!$A:$Q,5)=0,"",VLOOKUP(Table91213[[#This Row],[Date]],'DB Details'!$A:$Q,5))</f>
        <v>55.4</v>
      </c>
      <c r="F239" s="49">
        <f>IF(VLOOKUP(Table91213[[#This Row],[Date]],'DB Details'!$A:$Q,6)=0,"",VLOOKUP(Table91213[[#This Row],[Date]],'DB Details'!$A:$Q,6))</f>
        <v>61.4</v>
      </c>
      <c r="G239" s="50">
        <f>IF(VLOOKUP(Table91213[[#This Row],[Date]],'DB Details'!$A:$Q,7)=0,"",VLOOKUP(Table91213[[#This Row],[Date]],'DB Details'!$A:$Q,7))</f>
        <v>61.5</v>
      </c>
      <c r="H239" s="50">
        <f>IF(VLOOKUP(Table91213[[#This Row],[Date]],'DB Details'!$A:$Q,8)=0,"",VLOOKUP(Table91213[[#This Row],[Date]],'DB Details'!$A:$Q,8))</f>
        <v>52</v>
      </c>
      <c r="I239" s="50">
        <f>IF(VLOOKUP(Table91213[[#This Row],[Date]],'DB Details'!$A:$Q,9)=0,"",VLOOKUP(Table91213[[#This Row],[Date]],'DB Details'!$A:$Q,9))</f>
        <v>52</v>
      </c>
      <c r="J239" s="50">
        <f>IF(VLOOKUP(Table91213[[#This Row],[Date]],'DB Details'!$A:$Q,10)=0,"",VLOOKUP(Table91213[[#This Row],[Date]],'DB Details'!$A:$Q,10))</f>
        <v>53.8</v>
      </c>
      <c r="K239" s="50">
        <f>IF(VLOOKUP(Table91213[[#This Row],[Date]],'DB Details'!$A:$Q,11)=0,"",VLOOKUP(Table91213[[#This Row],[Date]],'DB Details'!$A:$Q,11))</f>
        <v>53</v>
      </c>
      <c r="L239" s="48">
        <f>IF(VLOOKUP(Table91213[[#This Row],[Date]],'DB Details'!$A:$Q,12)=0,"",VLOOKUP(Table91213[[#This Row],[Date]],'DB Details'!$A:$Q,12))</f>
        <v>56.7</v>
      </c>
    </row>
    <row r="240" spans="1:12" x14ac:dyDescent="0.35">
      <c r="A240" s="51">
        <v>42736</v>
      </c>
      <c r="B240" s="48">
        <f>IF(VLOOKUP(Table91213[[#This Row],[Date]],'DB Details'!$A:$Q,2)=0,"",VLOOKUP(Table91213[[#This Row],[Date]],'DB Details'!$A:$Q,2))</f>
        <v>58.6</v>
      </c>
      <c r="C240" s="49">
        <f>IF(VLOOKUP(Table91213[[#This Row],[Date]],'DB Details'!$A:$Q,3)=0,"",VLOOKUP(Table91213[[#This Row],[Date]],'DB Details'!$A:$Q,3))</f>
        <v>54</v>
      </c>
      <c r="D240" s="49">
        <f>IF(VLOOKUP(Table91213[[#This Row],[Date]],'DB Details'!$A:$Q,4)=0,"",VLOOKUP(Table91213[[#This Row],[Date]],'DB Details'!$A:$Q,4))</f>
        <v>50</v>
      </c>
      <c r="E240" s="50">
        <f>IF(VLOOKUP(Table91213[[#This Row],[Date]],'DB Details'!$A:$Q,5)=0,"",VLOOKUP(Table91213[[#This Row],[Date]],'DB Details'!$A:$Q,5))</f>
        <v>57.5</v>
      </c>
      <c r="F240" s="49">
        <f>IF(VLOOKUP(Table91213[[#This Row],[Date]],'DB Details'!$A:$Q,6)=0,"",VLOOKUP(Table91213[[#This Row],[Date]],'DB Details'!$A:$Q,6))</f>
        <v>60.3</v>
      </c>
      <c r="G240" s="50">
        <f>IF(VLOOKUP(Table91213[[#This Row],[Date]],'DB Details'!$A:$Q,7)=0,"",VLOOKUP(Table91213[[#This Row],[Date]],'DB Details'!$A:$Q,7))</f>
        <v>62</v>
      </c>
      <c r="H240" s="50">
        <f>IF(VLOOKUP(Table91213[[#This Row],[Date]],'DB Details'!$A:$Q,8)=0,"",VLOOKUP(Table91213[[#This Row],[Date]],'DB Details'!$A:$Q,8))</f>
        <v>48</v>
      </c>
      <c r="I240" s="50">
        <f>IF(VLOOKUP(Table91213[[#This Row],[Date]],'DB Details'!$A:$Q,9)=0,"",VLOOKUP(Table91213[[#This Row],[Date]],'DB Details'!$A:$Q,9))</f>
        <v>52.5</v>
      </c>
      <c r="J240" s="50">
        <f>IF(VLOOKUP(Table91213[[#This Row],[Date]],'DB Details'!$A:$Q,10)=0,"",VLOOKUP(Table91213[[#This Row],[Date]],'DB Details'!$A:$Q,10))</f>
        <v>54.7</v>
      </c>
      <c r="K240" s="50">
        <f>IF(VLOOKUP(Table91213[[#This Row],[Date]],'DB Details'!$A:$Q,11)=0,"",VLOOKUP(Table91213[[#This Row],[Date]],'DB Details'!$A:$Q,11))</f>
        <v>48</v>
      </c>
      <c r="L240" s="48">
        <f>IF(VLOOKUP(Table91213[[#This Row],[Date]],'DB Details'!$A:$Q,12)=0,"",VLOOKUP(Table91213[[#This Row],[Date]],'DB Details'!$A:$Q,12))</f>
        <v>56.8</v>
      </c>
    </row>
    <row r="241" spans="1:12" x14ac:dyDescent="0.35">
      <c r="A241" s="51">
        <v>42767</v>
      </c>
      <c r="B241" s="48">
        <f>IF(VLOOKUP(Table91213[[#This Row],[Date]],'DB Details'!$A:$Q,2)=0,"",VLOOKUP(Table91213[[#This Row],[Date]],'DB Details'!$A:$Q,2))</f>
        <v>61.2</v>
      </c>
      <c r="C241" s="49">
        <f>IF(VLOOKUP(Table91213[[#This Row],[Date]],'DB Details'!$A:$Q,3)=0,"",VLOOKUP(Table91213[[#This Row],[Date]],'DB Details'!$A:$Q,3))</f>
        <v>51</v>
      </c>
      <c r="D241" s="49">
        <f>IF(VLOOKUP(Table91213[[#This Row],[Date]],'DB Details'!$A:$Q,4)=0,"",VLOOKUP(Table91213[[#This Row],[Date]],'DB Details'!$A:$Q,4))</f>
        <v>54</v>
      </c>
      <c r="E241" s="50">
        <f>IF(VLOOKUP(Table91213[[#This Row],[Date]],'DB Details'!$A:$Q,5)=0,"",VLOOKUP(Table91213[[#This Row],[Date]],'DB Details'!$A:$Q,5))</f>
        <v>57.1</v>
      </c>
      <c r="F241" s="49">
        <f>IF(VLOOKUP(Table91213[[#This Row],[Date]],'DB Details'!$A:$Q,6)=0,"",VLOOKUP(Table91213[[#This Row],[Date]],'DB Details'!$A:$Q,6))</f>
        <v>63.6</v>
      </c>
      <c r="G241" s="50">
        <f>IF(VLOOKUP(Table91213[[#This Row],[Date]],'DB Details'!$A:$Q,7)=0,"",VLOOKUP(Table91213[[#This Row],[Date]],'DB Details'!$A:$Q,7))</f>
        <v>64.5</v>
      </c>
      <c r="H241" s="50">
        <f>IF(VLOOKUP(Table91213[[#This Row],[Date]],'DB Details'!$A:$Q,8)=0,"",VLOOKUP(Table91213[[#This Row],[Date]],'DB Details'!$A:$Q,8))</f>
        <v>52</v>
      </c>
      <c r="I241" s="50">
        <f>IF(VLOOKUP(Table91213[[#This Row],[Date]],'DB Details'!$A:$Q,9)=0,"",VLOOKUP(Table91213[[#This Row],[Date]],'DB Details'!$A:$Q,9))</f>
        <v>50.5</v>
      </c>
      <c r="J241" s="50">
        <f>IF(VLOOKUP(Table91213[[#This Row],[Date]],'DB Details'!$A:$Q,10)=0,"",VLOOKUP(Table91213[[#This Row],[Date]],'DB Details'!$A:$Q,10))</f>
        <v>55.2</v>
      </c>
      <c r="K241" s="50">
        <f>IF(VLOOKUP(Table91213[[#This Row],[Date]],'DB Details'!$A:$Q,11)=0,"",VLOOKUP(Table91213[[#This Row],[Date]],'DB Details'!$A:$Q,11))</f>
        <v>57</v>
      </c>
      <c r="L241" s="48">
        <f>IF(VLOOKUP(Table91213[[#This Row],[Date]],'DB Details'!$A:$Q,12)=0,"",VLOOKUP(Table91213[[#This Row],[Date]],'DB Details'!$A:$Q,12))</f>
        <v>57.4</v>
      </c>
    </row>
    <row r="242" spans="1:12" x14ac:dyDescent="0.35">
      <c r="A242" s="51">
        <v>42795</v>
      </c>
      <c r="B242" s="48">
        <f>IF(VLOOKUP(Table91213[[#This Row],[Date]],'DB Details'!$A:$Q,2)=0,"",VLOOKUP(Table91213[[#This Row],[Date]],'DB Details'!$A:$Q,2))</f>
        <v>58.9</v>
      </c>
      <c r="C242" s="49">
        <f>IF(VLOOKUP(Table91213[[#This Row],[Date]],'DB Details'!$A:$Q,3)=0,"",VLOOKUP(Table91213[[#This Row],[Date]],'DB Details'!$A:$Q,3))</f>
        <v>56.5</v>
      </c>
      <c r="D242" s="49">
        <f>IF(VLOOKUP(Table91213[[#This Row],[Date]],'DB Details'!$A:$Q,4)=0,"",VLOOKUP(Table91213[[#This Row],[Date]],'DB Details'!$A:$Q,4))</f>
        <v>53</v>
      </c>
      <c r="E242" s="50">
        <f>IF(VLOOKUP(Table91213[[#This Row],[Date]],'DB Details'!$A:$Q,5)=0,"",VLOOKUP(Table91213[[#This Row],[Date]],'DB Details'!$A:$Q,5))</f>
        <v>54.3</v>
      </c>
      <c r="F242" s="49">
        <f>IF(VLOOKUP(Table91213[[#This Row],[Date]],'DB Details'!$A:$Q,6)=0,"",VLOOKUP(Table91213[[#This Row],[Date]],'DB Details'!$A:$Q,6))</f>
        <v>58.9</v>
      </c>
      <c r="G242" s="50">
        <f>IF(VLOOKUP(Table91213[[#This Row],[Date]],'DB Details'!$A:$Q,7)=0,"",VLOOKUP(Table91213[[#This Row],[Date]],'DB Details'!$A:$Q,7))</f>
        <v>65</v>
      </c>
      <c r="H242" s="50">
        <f>IF(VLOOKUP(Table91213[[#This Row],[Date]],'DB Details'!$A:$Q,8)=0,"",VLOOKUP(Table91213[[#This Row],[Date]],'DB Details'!$A:$Q,8))</f>
        <v>48.5</v>
      </c>
      <c r="I242" s="50">
        <f>IF(VLOOKUP(Table91213[[#This Row],[Date]],'DB Details'!$A:$Q,9)=0,"",VLOOKUP(Table91213[[#This Row],[Date]],'DB Details'!$A:$Q,9))</f>
        <v>51.5</v>
      </c>
      <c r="J242" s="50">
        <f>IF(VLOOKUP(Table91213[[#This Row],[Date]],'DB Details'!$A:$Q,10)=0,"",VLOOKUP(Table91213[[#This Row],[Date]],'DB Details'!$A:$Q,10))</f>
        <v>51.6</v>
      </c>
      <c r="K242" s="50">
        <f>IF(VLOOKUP(Table91213[[#This Row],[Date]],'DB Details'!$A:$Q,11)=0,"",VLOOKUP(Table91213[[#This Row],[Date]],'DB Details'!$A:$Q,11))</f>
        <v>62.5</v>
      </c>
      <c r="L242" s="48">
        <f>IF(VLOOKUP(Table91213[[#This Row],[Date]],'DB Details'!$A:$Q,12)=0,"",VLOOKUP(Table91213[[#This Row],[Date]],'DB Details'!$A:$Q,12))</f>
        <v>55.6</v>
      </c>
    </row>
    <row r="243" spans="1:12" x14ac:dyDescent="0.35">
      <c r="A243" s="51">
        <v>42826</v>
      </c>
      <c r="B243" s="48">
        <f>IF(VLOOKUP(Table91213[[#This Row],[Date]],'DB Details'!$A:$Q,2)=0,"",VLOOKUP(Table91213[[#This Row],[Date]],'DB Details'!$A:$Q,2))</f>
        <v>63.2</v>
      </c>
      <c r="C243" s="49">
        <f>IF(VLOOKUP(Table91213[[#This Row],[Date]],'DB Details'!$A:$Q,3)=0,"",VLOOKUP(Table91213[[#This Row],[Date]],'DB Details'!$A:$Q,3))</f>
        <v>53</v>
      </c>
      <c r="D243" s="49">
        <f>IF(VLOOKUP(Table91213[[#This Row],[Date]],'DB Details'!$A:$Q,4)=0,"",VLOOKUP(Table91213[[#This Row],[Date]],'DB Details'!$A:$Q,4))</f>
        <v>53.5</v>
      </c>
      <c r="E243" s="50">
        <f>IF(VLOOKUP(Table91213[[#This Row],[Date]],'DB Details'!$A:$Q,5)=0,"",VLOOKUP(Table91213[[#This Row],[Date]],'DB Details'!$A:$Q,5))</f>
        <v>58</v>
      </c>
      <c r="F243" s="49">
        <f>IF(VLOOKUP(Table91213[[#This Row],[Date]],'DB Details'!$A:$Q,6)=0,"",VLOOKUP(Table91213[[#This Row],[Date]],'DB Details'!$A:$Q,6))</f>
        <v>62.4</v>
      </c>
      <c r="G243" s="50">
        <f>IF(VLOOKUP(Table91213[[#This Row],[Date]],'DB Details'!$A:$Q,7)=0,"",VLOOKUP(Table91213[[#This Row],[Date]],'DB Details'!$A:$Q,7))</f>
        <v>60</v>
      </c>
      <c r="H243" s="50">
        <f>IF(VLOOKUP(Table91213[[#This Row],[Date]],'DB Details'!$A:$Q,8)=0,"",VLOOKUP(Table91213[[#This Row],[Date]],'DB Details'!$A:$Q,8))</f>
        <v>52.5</v>
      </c>
      <c r="I243" s="50">
        <f>IF(VLOOKUP(Table91213[[#This Row],[Date]],'DB Details'!$A:$Q,9)=0,"",VLOOKUP(Table91213[[#This Row],[Date]],'DB Details'!$A:$Q,9))</f>
        <v>53</v>
      </c>
      <c r="J243" s="50">
        <f>IF(VLOOKUP(Table91213[[#This Row],[Date]],'DB Details'!$A:$Q,10)=0,"",VLOOKUP(Table91213[[#This Row],[Date]],'DB Details'!$A:$Q,10))</f>
        <v>51.4</v>
      </c>
      <c r="K243" s="50">
        <f>IF(VLOOKUP(Table91213[[#This Row],[Date]],'DB Details'!$A:$Q,11)=0,"",VLOOKUP(Table91213[[#This Row],[Date]],'DB Details'!$A:$Q,11))</f>
        <v>65.5</v>
      </c>
      <c r="L243" s="48">
        <f>IF(VLOOKUP(Table91213[[#This Row],[Date]],'DB Details'!$A:$Q,12)=0,"",VLOOKUP(Table91213[[#This Row],[Date]],'DB Details'!$A:$Q,12))</f>
        <v>57.3</v>
      </c>
    </row>
    <row r="244" spans="1:12" x14ac:dyDescent="0.35">
      <c r="A244" s="51">
        <v>42856</v>
      </c>
      <c r="B244" s="48">
        <f>IF(VLOOKUP(Table91213[[#This Row],[Date]],'DB Details'!$A:$Q,2)=0,"",VLOOKUP(Table91213[[#This Row],[Date]],'DB Details'!$A:$Q,2))</f>
        <v>57.7</v>
      </c>
      <c r="C244" s="49">
        <f>IF(VLOOKUP(Table91213[[#This Row],[Date]],'DB Details'!$A:$Q,3)=0,"",VLOOKUP(Table91213[[#This Row],[Date]],'DB Details'!$A:$Q,3))</f>
        <v>48.5</v>
      </c>
      <c r="D244" s="49">
        <f>IF(VLOOKUP(Table91213[[#This Row],[Date]],'DB Details'!$A:$Q,4)=0,"",VLOOKUP(Table91213[[#This Row],[Date]],'DB Details'!$A:$Q,4))</f>
        <v>57</v>
      </c>
      <c r="E244" s="50">
        <f>IF(VLOOKUP(Table91213[[#This Row],[Date]],'DB Details'!$A:$Q,5)=0,"",VLOOKUP(Table91213[[#This Row],[Date]],'DB Details'!$A:$Q,5))</f>
        <v>50.1</v>
      </c>
      <c r="F244" s="49">
        <f>IF(VLOOKUP(Table91213[[#This Row],[Date]],'DB Details'!$A:$Q,6)=0,"",VLOOKUP(Table91213[[#This Row],[Date]],'DB Details'!$A:$Q,6))</f>
        <v>60.7</v>
      </c>
      <c r="G244" s="50">
        <f>IF(VLOOKUP(Table91213[[#This Row],[Date]],'DB Details'!$A:$Q,7)=0,"",VLOOKUP(Table91213[[#This Row],[Date]],'DB Details'!$A:$Q,7))</f>
        <v>63</v>
      </c>
      <c r="H244" s="50">
        <f>IF(VLOOKUP(Table91213[[#This Row],[Date]],'DB Details'!$A:$Q,8)=0,"",VLOOKUP(Table91213[[#This Row],[Date]],'DB Details'!$A:$Q,8))</f>
        <v>54</v>
      </c>
      <c r="I244" s="50">
        <f>IF(VLOOKUP(Table91213[[#This Row],[Date]],'DB Details'!$A:$Q,9)=0,"",VLOOKUP(Table91213[[#This Row],[Date]],'DB Details'!$A:$Q,9))</f>
        <v>51.5</v>
      </c>
      <c r="J244" s="50">
        <f>IF(VLOOKUP(Table91213[[#This Row],[Date]],'DB Details'!$A:$Q,10)=0,"",VLOOKUP(Table91213[[#This Row],[Date]],'DB Details'!$A:$Q,10))</f>
        <v>57.8</v>
      </c>
      <c r="K244" s="50">
        <f>IF(VLOOKUP(Table91213[[#This Row],[Date]],'DB Details'!$A:$Q,11)=0,"",VLOOKUP(Table91213[[#This Row],[Date]],'DB Details'!$A:$Q,11))</f>
        <v>54.5</v>
      </c>
      <c r="L244" s="48">
        <f>IF(VLOOKUP(Table91213[[#This Row],[Date]],'DB Details'!$A:$Q,12)=0,"",VLOOKUP(Table91213[[#This Row],[Date]],'DB Details'!$A:$Q,12))</f>
        <v>57.1</v>
      </c>
    </row>
    <row r="245" spans="1:12" x14ac:dyDescent="0.35">
      <c r="A245" s="51">
        <v>42887</v>
      </c>
      <c r="B245" s="48">
        <f>IF(VLOOKUP(Table91213[[#This Row],[Date]],'DB Details'!$A:$Q,2)=0,"",VLOOKUP(Table91213[[#This Row],[Date]],'DB Details'!$A:$Q,2))</f>
        <v>60.5</v>
      </c>
      <c r="C245" s="49">
        <f>IF(VLOOKUP(Table91213[[#This Row],[Date]],'DB Details'!$A:$Q,3)=0,"",VLOOKUP(Table91213[[#This Row],[Date]],'DB Details'!$A:$Q,3))</f>
        <v>51</v>
      </c>
      <c r="D245" s="49">
        <f>IF(VLOOKUP(Table91213[[#This Row],[Date]],'DB Details'!$A:$Q,4)=0,"",VLOOKUP(Table91213[[#This Row],[Date]],'DB Details'!$A:$Q,4))</f>
        <v>52.5</v>
      </c>
      <c r="E245" s="50">
        <f>IF(VLOOKUP(Table91213[[#This Row],[Date]],'DB Details'!$A:$Q,5)=0,"",VLOOKUP(Table91213[[#This Row],[Date]],'DB Details'!$A:$Q,5))</f>
        <v>53.3</v>
      </c>
      <c r="F245" s="49">
        <f>IF(VLOOKUP(Table91213[[#This Row],[Date]],'DB Details'!$A:$Q,6)=0,"",VLOOKUP(Table91213[[#This Row],[Date]],'DB Details'!$A:$Q,6))</f>
        <v>60.8</v>
      </c>
      <c r="G245" s="50">
        <f>IF(VLOOKUP(Table91213[[#This Row],[Date]],'DB Details'!$A:$Q,7)=0,"",VLOOKUP(Table91213[[#This Row],[Date]],'DB Details'!$A:$Q,7))</f>
        <v>62</v>
      </c>
      <c r="H245" s="50">
        <f>IF(VLOOKUP(Table91213[[#This Row],[Date]],'DB Details'!$A:$Q,8)=0,"",VLOOKUP(Table91213[[#This Row],[Date]],'DB Details'!$A:$Q,8))</f>
        <v>57.5</v>
      </c>
      <c r="I245" s="50">
        <f>IF(VLOOKUP(Table91213[[#This Row],[Date]],'DB Details'!$A:$Q,9)=0,"",VLOOKUP(Table91213[[#This Row],[Date]],'DB Details'!$A:$Q,9))</f>
        <v>52.5</v>
      </c>
      <c r="J245" s="50">
        <f>IF(VLOOKUP(Table91213[[#This Row],[Date]],'DB Details'!$A:$Q,10)=0,"",VLOOKUP(Table91213[[#This Row],[Date]],'DB Details'!$A:$Q,10))</f>
        <v>55.8</v>
      </c>
      <c r="K245" s="50">
        <f>IF(VLOOKUP(Table91213[[#This Row],[Date]],'DB Details'!$A:$Q,11)=0,"",VLOOKUP(Table91213[[#This Row],[Date]],'DB Details'!$A:$Q,11))</f>
        <v>55</v>
      </c>
      <c r="L245" s="48">
        <f>IF(VLOOKUP(Table91213[[#This Row],[Date]],'DB Details'!$A:$Q,12)=0,"",VLOOKUP(Table91213[[#This Row],[Date]],'DB Details'!$A:$Q,12))</f>
        <v>57.2</v>
      </c>
    </row>
    <row r="246" spans="1:12" x14ac:dyDescent="0.35">
      <c r="A246" s="51">
        <v>42917</v>
      </c>
      <c r="B246" s="48">
        <f>IF(VLOOKUP(Table91213[[#This Row],[Date]],'DB Details'!$A:$Q,2)=0,"",VLOOKUP(Table91213[[#This Row],[Date]],'DB Details'!$A:$Q,2))</f>
        <v>55.1</v>
      </c>
      <c r="C246" s="49">
        <f>IF(VLOOKUP(Table91213[[#This Row],[Date]],'DB Details'!$A:$Q,3)=0,"",VLOOKUP(Table91213[[#This Row],[Date]],'DB Details'!$A:$Q,3))</f>
        <v>51.5</v>
      </c>
      <c r="D246" s="49">
        <f>IF(VLOOKUP(Table91213[[#This Row],[Date]],'DB Details'!$A:$Q,4)=0,"",VLOOKUP(Table91213[[#This Row],[Date]],'DB Details'!$A:$Q,4))</f>
        <v>52</v>
      </c>
      <c r="E246" s="50">
        <f>IF(VLOOKUP(Table91213[[#This Row],[Date]],'DB Details'!$A:$Q,5)=0,"",VLOOKUP(Table91213[[#This Row],[Date]],'DB Details'!$A:$Q,5))</f>
        <v>56.4</v>
      </c>
      <c r="F246" s="49">
        <f>IF(VLOOKUP(Table91213[[#This Row],[Date]],'DB Details'!$A:$Q,6)=0,"",VLOOKUP(Table91213[[#This Row],[Date]],'DB Details'!$A:$Q,6))</f>
        <v>55.9</v>
      </c>
      <c r="G246" s="50">
        <f>IF(VLOOKUP(Table91213[[#This Row],[Date]],'DB Details'!$A:$Q,7)=0,"",VLOOKUP(Table91213[[#This Row],[Date]],'DB Details'!$A:$Q,7))</f>
        <v>67.5</v>
      </c>
      <c r="H246" s="50">
        <f>IF(VLOOKUP(Table91213[[#This Row],[Date]],'DB Details'!$A:$Q,8)=0,"",VLOOKUP(Table91213[[#This Row],[Date]],'DB Details'!$A:$Q,8))</f>
        <v>56.5</v>
      </c>
      <c r="I246" s="50">
        <f>IF(VLOOKUP(Table91213[[#This Row],[Date]],'DB Details'!$A:$Q,9)=0,"",VLOOKUP(Table91213[[#This Row],[Date]],'DB Details'!$A:$Q,9))</f>
        <v>51</v>
      </c>
      <c r="J246" s="50">
        <f>IF(VLOOKUP(Table91213[[#This Row],[Date]],'DB Details'!$A:$Q,10)=0,"",VLOOKUP(Table91213[[#This Row],[Date]],'DB Details'!$A:$Q,10))</f>
        <v>53.6</v>
      </c>
      <c r="K246" s="50">
        <f>IF(VLOOKUP(Table91213[[#This Row],[Date]],'DB Details'!$A:$Q,11)=0,"",VLOOKUP(Table91213[[#This Row],[Date]],'DB Details'!$A:$Q,11))</f>
        <v>53</v>
      </c>
      <c r="L246" s="48">
        <f>IF(VLOOKUP(Table91213[[#This Row],[Date]],'DB Details'!$A:$Q,12)=0,"",VLOOKUP(Table91213[[#This Row],[Date]],'DB Details'!$A:$Q,12))</f>
        <v>54.3</v>
      </c>
    </row>
    <row r="247" spans="1:12" x14ac:dyDescent="0.35">
      <c r="A247" s="51">
        <v>42948</v>
      </c>
      <c r="B247" s="48">
        <f>IF(VLOOKUP(Table91213[[#This Row],[Date]],'DB Details'!$A:$Q,2)=0,"",VLOOKUP(Table91213[[#This Row],[Date]],'DB Details'!$A:$Q,2))</f>
        <v>57.1</v>
      </c>
      <c r="C247" s="49">
        <f>IF(VLOOKUP(Table91213[[#This Row],[Date]],'DB Details'!$A:$Q,3)=0,"",VLOOKUP(Table91213[[#This Row],[Date]],'DB Details'!$A:$Q,3))</f>
        <v>50.5</v>
      </c>
      <c r="D247" s="49">
        <f>IF(VLOOKUP(Table91213[[#This Row],[Date]],'DB Details'!$A:$Q,4)=0,"",VLOOKUP(Table91213[[#This Row],[Date]],'DB Details'!$A:$Q,4))</f>
        <v>53.5</v>
      </c>
      <c r="E247" s="50">
        <f>IF(VLOOKUP(Table91213[[#This Row],[Date]],'DB Details'!$A:$Q,5)=0,"",VLOOKUP(Table91213[[#This Row],[Date]],'DB Details'!$A:$Q,5))</f>
        <v>58.1</v>
      </c>
      <c r="F247" s="49">
        <f>IF(VLOOKUP(Table91213[[#This Row],[Date]],'DB Details'!$A:$Q,6)=0,"",VLOOKUP(Table91213[[#This Row],[Date]],'DB Details'!$A:$Q,6))</f>
        <v>57.5</v>
      </c>
      <c r="G247" s="50">
        <f>IF(VLOOKUP(Table91213[[#This Row],[Date]],'DB Details'!$A:$Q,7)=0,"",VLOOKUP(Table91213[[#This Row],[Date]],'DB Details'!$A:$Q,7))</f>
        <v>61</v>
      </c>
      <c r="H247" s="50">
        <f>IF(VLOOKUP(Table91213[[#This Row],[Date]],'DB Details'!$A:$Q,8)=0,"",VLOOKUP(Table91213[[#This Row],[Date]],'DB Details'!$A:$Q,8))</f>
        <v>53.5</v>
      </c>
      <c r="I247" s="50">
        <f>IF(VLOOKUP(Table91213[[#This Row],[Date]],'DB Details'!$A:$Q,9)=0,"",VLOOKUP(Table91213[[#This Row],[Date]],'DB Details'!$A:$Q,9))</f>
        <v>50.5</v>
      </c>
      <c r="J247" s="50">
        <f>IF(VLOOKUP(Table91213[[#This Row],[Date]],'DB Details'!$A:$Q,10)=0,"",VLOOKUP(Table91213[[#This Row],[Date]],'DB Details'!$A:$Q,10))</f>
        <v>56.2</v>
      </c>
      <c r="K247" s="50">
        <f>IF(VLOOKUP(Table91213[[#This Row],[Date]],'DB Details'!$A:$Q,11)=0,"",VLOOKUP(Table91213[[#This Row],[Date]],'DB Details'!$A:$Q,11))</f>
        <v>55</v>
      </c>
      <c r="L247" s="48">
        <f>IF(VLOOKUP(Table91213[[#This Row],[Date]],'DB Details'!$A:$Q,12)=0,"",VLOOKUP(Table91213[[#This Row],[Date]],'DB Details'!$A:$Q,12))</f>
        <v>55.2</v>
      </c>
    </row>
    <row r="248" spans="1:12" x14ac:dyDescent="0.35">
      <c r="A248" s="51">
        <v>42979</v>
      </c>
      <c r="B248" s="48">
        <f>IF(VLOOKUP(Table91213[[#This Row],[Date]],'DB Details'!$A:$Q,2)=0,"",VLOOKUP(Table91213[[#This Row],[Date]],'DB Details'!$A:$Q,2))</f>
        <v>63</v>
      </c>
      <c r="C248" s="49">
        <f>IF(VLOOKUP(Table91213[[#This Row],[Date]],'DB Details'!$A:$Q,3)=0,"",VLOOKUP(Table91213[[#This Row],[Date]],'DB Details'!$A:$Q,3))</f>
        <v>52</v>
      </c>
      <c r="D248" s="49">
        <f>IF(VLOOKUP(Table91213[[#This Row],[Date]],'DB Details'!$A:$Q,4)=0,"",VLOOKUP(Table91213[[#This Row],[Date]],'DB Details'!$A:$Q,4))</f>
        <v>56</v>
      </c>
      <c r="E248" s="50">
        <f>IF(VLOOKUP(Table91213[[#This Row],[Date]],'DB Details'!$A:$Q,5)=0,"",VLOOKUP(Table91213[[#This Row],[Date]],'DB Details'!$A:$Q,5))</f>
        <v>65.900000000000006</v>
      </c>
      <c r="F248" s="49">
        <f>IF(VLOOKUP(Table91213[[#This Row],[Date]],'DB Details'!$A:$Q,6)=0,"",VLOOKUP(Table91213[[#This Row],[Date]],'DB Details'!$A:$Q,6))</f>
        <v>61.3</v>
      </c>
      <c r="G248" s="50">
        <f>IF(VLOOKUP(Table91213[[#This Row],[Date]],'DB Details'!$A:$Q,7)=0,"",VLOOKUP(Table91213[[#This Row],[Date]],'DB Details'!$A:$Q,7))</f>
        <v>58.5</v>
      </c>
      <c r="H248" s="50">
        <f>IF(VLOOKUP(Table91213[[#This Row],[Date]],'DB Details'!$A:$Q,8)=0,"",VLOOKUP(Table91213[[#This Row],[Date]],'DB Details'!$A:$Q,8))</f>
        <v>51.5</v>
      </c>
      <c r="I248" s="50">
        <f>IF(VLOOKUP(Table91213[[#This Row],[Date]],'DB Details'!$A:$Q,9)=0,"",VLOOKUP(Table91213[[#This Row],[Date]],'DB Details'!$A:$Q,9))</f>
        <v>58</v>
      </c>
      <c r="J248" s="50">
        <f>IF(VLOOKUP(Table91213[[#This Row],[Date]],'DB Details'!$A:$Q,10)=0,"",VLOOKUP(Table91213[[#This Row],[Date]],'DB Details'!$A:$Q,10))</f>
        <v>56.8</v>
      </c>
      <c r="K248" s="50">
        <f>IF(VLOOKUP(Table91213[[#This Row],[Date]],'DB Details'!$A:$Q,11)=0,"",VLOOKUP(Table91213[[#This Row],[Date]],'DB Details'!$A:$Q,11))</f>
        <v>56</v>
      </c>
      <c r="L248" s="48">
        <f>IF(VLOOKUP(Table91213[[#This Row],[Date]],'DB Details'!$A:$Q,12)=0,"",VLOOKUP(Table91213[[#This Row],[Date]],'DB Details'!$A:$Q,12))</f>
        <v>59.4</v>
      </c>
    </row>
    <row r="249" spans="1:12" x14ac:dyDescent="0.35">
      <c r="A249" s="51">
        <v>43009</v>
      </c>
      <c r="B249" s="48">
        <f>IF(VLOOKUP(Table91213[[#This Row],[Date]],'DB Details'!$A:$Q,2)=0,"",VLOOKUP(Table91213[[#This Row],[Date]],'DB Details'!$A:$Q,2))</f>
        <v>62.8</v>
      </c>
      <c r="C249" s="49">
        <f>IF(VLOOKUP(Table91213[[#This Row],[Date]],'DB Details'!$A:$Q,3)=0,"",VLOOKUP(Table91213[[#This Row],[Date]],'DB Details'!$A:$Q,3))</f>
        <v>52</v>
      </c>
      <c r="D249" s="49">
        <f>IF(VLOOKUP(Table91213[[#This Row],[Date]],'DB Details'!$A:$Q,4)=0,"",VLOOKUP(Table91213[[#This Row],[Date]],'DB Details'!$A:$Q,4))</f>
        <v>53.5</v>
      </c>
      <c r="E249" s="50">
        <f>IF(VLOOKUP(Table91213[[#This Row],[Date]],'DB Details'!$A:$Q,5)=0,"",VLOOKUP(Table91213[[#This Row],[Date]],'DB Details'!$A:$Q,5))</f>
        <v>61.5</v>
      </c>
      <c r="F249" s="49">
        <f>IF(VLOOKUP(Table91213[[#This Row],[Date]],'DB Details'!$A:$Q,6)=0,"",VLOOKUP(Table91213[[#This Row],[Date]],'DB Details'!$A:$Q,6))</f>
        <v>62.2</v>
      </c>
      <c r="G249" s="50">
        <f>IF(VLOOKUP(Table91213[[#This Row],[Date]],'DB Details'!$A:$Q,7)=0,"",VLOOKUP(Table91213[[#This Row],[Date]],'DB Details'!$A:$Q,7))</f>
        <v>61</v>
      </c>
      <c r="H249" s="50">
        <f>IF(VLOOKUP(Table91213[[#This Row],[Date]],'DB Details'!$A:$Q,8)=0,"",VLOOKUP(Table91213[[#This Row],[Date]],'DB Details'!$A:$Q,8))</f>
        <v>52.5</v>
      </c>
      <c r="I249" s="50">
        <f>IF(VLOOKUP(Table91213[[#This Row],[Date]],'DB Details'!$A:$Q,9)=0,"",VLOOKUP(Table91213[[#This Row],[Date]],'DB Details'!$A:$Q,9))</f>
        <v>58</v>
      </c>
      <c r="J249" s="50">
        <f>IF(VLOOKUP(Table91213[[#This Row],[Date]],'DB Details'!$A:$Q,10)=0,"",VLOOKUP(Table91213[[#This Row],[Date]],'DB Details'!$A:$Q,10))</f>
        <v>57.5</v>
      </c>
      <c r="K249" s="50">
        <f>IF(VLOOKUP(Table91213[[#This Row],[Date]],'DB Details'!$A:$Q,11)=0,"",VLOOKUP(Table91213[[#This Row],[Date]],'DB Details'!$A:$Q,11))</f>
        <v>60</v>
      </c>
      <c r="L249" s="48">
        <f>IF(VLOOKUP(Table91213[[#This Row],[Date]],'DB Details'!$A:$Q,12)=0,"",VLOOKUP(Table91213[[#This Row],[Date]],'DB Details'!$A:$Q,12))</f>
        <v>59.8</v>
      </c>
    </row>
    <row r="250" spans="1:12" x14ac:dyDescent="0.35">
      <c r="A250" s="51">
        <v>43040</v>
      </c>
      <c r="B250" s="48">
        <f>IF(VLOOKUP(Table91213[[#This Row],[Date]],'DB Details'!$A:$Q,2)=0,"",VLOOKUP(Table91213[[#This Row],[Date]],'DB Details'!$A:$Q,2))</f>
        <v>58.7</v>
      </c>
      <c r="C250" s="49">
        <f>IF(VLOOKUP(Table91213[[#This Row],[Date]],'DB Details'!$A:$Q,3)=0,"",VLOOKUP(Table91213[[#This Row],[Date]],'DB Details'!$A:$Q,3))</f>
        <v>52.5</v>
      </c>
      <c r="D250" s="49">
        <f>IF(VLOOKUP(Table91213[[#This Row],[Date]],'DB Details'!$A:$Q,4)=0,"",VLOOKUP(Table91213[[#This Row],[Date]],'DB Details'!$A:$Q,4))</f>
        <v>51.5</v>
      </c>
      <c r="E250" s="50">
        <f>IF(VLOOKUP(Table91213[[#This Row],[Date]],'DB Details'!$A:$Q,5)=0,"",VLOOKUP(Table91213[[#This Row],[Date]],'DB Details'!$A:$Q,5))</f>
        <v>60.1</v>
      </c>
      <c r="F250" s="49">
        <f>IF(VLOOKUP(Table91213[[#This Row],[Date]],'DB Details'!$A:$Q,6)=0,"",VLOOKUP(Table91213[[#This Row],[Date]],'DB Details'!$A:$Q,6))</f>
        <v>61.4</v>
      </c>
      <c r="G250" s="50">
        <f>IF(VLOOKUP(Table91213[[#This Row],[Date]],'DB Details'!$A:$Q,7)=0,"",VLOOKUP(Table91213[[#This Row],[Date]],'DB Details'!$A:$Q,7))</f>
        <v>56</v>
      </c>
      <c r="H250" s="50">
        <f>IF(VLOOKUP(Table91213[[#This Row],[Date]],'DB Details'!$A:$Q,8)=0,"",VLOOKUP(Table91213[[#This Row],[Date]],'DB Details'!$A:$Q,8))</f>
        <v>54.5</v>
      </c>
      <c r="I250" s="50">
        <f>IF(VLOOKUP(Table91213[[#This Row],[Date]],'DB Details'!$A:$Q,9)=0,"",VLOOKUP(Table91213[[#This Row],[Date]],'DB Details'!$A:$Q,9))</f>
        <v>54</v>
      </c>
      <c r="J250" s="50">
        <f>IF(VLOOKUP(Table91213[[#This Row],[Date]],'DB Details'!$A:$Q,10)=0,"",VLOOKUP(Table91213[[#This Row],[Date]],'DB Details'!$A:$Q,10))</f>
        <v>55.3</v>
      </c>
      <c r="K250" s="50">
        <f>IF(VLOOKUP(Table91213[[#This Row],[Date]],'DB Details'!$A:$Q,11)=0,"",VLOOKUP(Table91213[[#This Row],[Date]],'DB Details'!$A:$Q,11))</f>
        <v>57</v>
      </c>
      <c r="L250" s="48">
        <f>IF(VLOOKUP(Table91213[[#This Row],[Date]],'DB Details'!$A:$Q,12)=0,"",VLOOKUP(Table91213[[#This Row],[Date]],'DB Details'!$A:$Q,12))</f>
        <v>57.3</v>
      </c>
    </row>
    <row r="251" spans="1:12" x14ac:dyDescent="0.35">
      <c r="A251" s="51">
        <v>43070</v>
      </c>
      <c r="B251" s="48">
        <f>IF(VLOOKUP(Table91213[[#This Row],[Date]],'DB Details'!$A:$Q,2)=0,"",VLOOKUP(Table91213[[#This Row],[Date]],'DB Details'!$A:$Q,2))</f>
        <v>54.3</v>
      </c>
      <c r="C251" s="49">
        <f>IF(VLOOKUP(Table91213[[#This Row],[Date]],'DB Details'!$A:$Q,3)=0,"",VLOOKUP(Table91213[[#This Row],[Date]],'DB Details'!$A:$Q,3))</f>
        <v>52.5</v>
      </c>
      <c r="D251" s="49">
        <f>IF(VLOOKUP(Table91213[[#This Row],[Date]],'DB Details'!$A:$Q,4)=0,"",VLOOKUP(Table91213[[#This Row],[Date]],'DB Details'!$A:$Q,4))</f>
        <v>50</v>
      </c>
      <c r="E251" s="50">
        <f>IF(VLOOKUP(Table91213[[#This Row],[Date]],'DB Details'!$A:$Q,5)=0,"",VLOOKUP(Table91213[[#This Row],[Date]],'DB Details'!$A:$Q,5))</f>
        <v>59.9</v>
      </c>
      <c r="F251" s="49">
        <f>IF(VLOOKUP(Table91213[[#This Row],[Date]],'DB Details'!$A:$Q,6)=0,"",VLOOKUP(Table91213[[#This Row],[Date]],'DB Details'!$A:$Q,6))</f>
        <v>57.3</v>
      </c>
      <c r="G251" s="50">
        <f>IF(VLOOKUP(Table91213[[#This Row],[Date]],'DB Details'!$A:$Q,7)=0,"",VLOOKUP(Table91213[[#This Row],[Date]],'DB Details'!$A:$Q,7))</f>
        <v>62.5</v>
      </c>
      <c r="H251" s="50">
        <f>IF(VLOOKUP(Table91213[[#This Row],[Date]],'DB Details'!$A:$Q,8)=0,"",VLOOKUP(Table91213[[#This Row],[Date]],'DB Details'!$A:$Q,8))</f>
        <v>53.5</v>
      </c>
      <c r="I251" s="50">
        <f>IF(VLOOKUP(Table91213[[#This Row],[Date]],'DB Details'!$A:$Q,9)=0,"",VLOOKUP(Table91213[[#This Row],[Date]],'DB Details'!$A:$Q,9))</f>
        <v>55.5</v>
      </c>
      <c r="J251" s="50">
        <f>IF(VLOOKUP(Table91213[[#This Row],[Date]],'DB Details'!$A:$Q,10)=0,"",VLOOKUP(Table91213[[#This Row],[Date]],'DB Details'!$A:$Q,10))</f>
        <v>56.3</v>
      </c>
      <c r="K251" s="50">
        <f>IF(VLOOKUP(Table91213[[#This Row],[Date]],'DB Details'!$A:$Q,11)=0,"",VLOOKUP(Table91213[[#This Row],[Date]],'DB Details'!$A:$Q,11))</f>
        <v>56.5</v>
      </c>
      <c r="L251" s="48">
        <f>IF(VLOOKUP(Table91213[[#This Row],[Date]],'DB Details'!$A:$Q,12)=0,"",VLOOKUP(Table91213[[#This Row],[Date]],'DB Details'!$A:$Q,12))</f>
        <v>56</v>
      </c>
    </row>
    <row r="252" spans="1:12" x14ac:dyDescent="0.35">
      <c r="A252" s="51">
        <v>43101</v>
      </c>
      <c r="B252" s="48">
        <f>IF(VLOOKUP(Table91213[[#This Row],[Date]],'DB Details'!$A:$Q,2)=0,"",VLOOKUP(Table91213[[#This Row],[Date]],'DB Details'!$A:$Q,2))</f>
        <v>62.7</v>
      </c>
      <c r="C252" s="49">
        <f>IF(VLOOKUP(Table91213[[#This Row],[Date]],'DB Details'!$A:$Q,3)=0,"",VLOOKUP(Table91213[[#This Row],[Date]],'DB Details'!$A:$Q,3))</f>
        <v>54</v>
      </c>
      <c r="D252" s="49">
        <f>IF(VLOOKUP(Table91213[[#This Row],[Date]],'DB Details'!$A:$Q,4)=0,"",VLOOKUP(Table91213[[#This Row],[Date]],'DB Details'!$A:$Q,4))</f>
        <v>50.5</v>
      </c>
      <c r="E252" s="50">
        <f>IF(VLOOKUP(Table91213[[#This Row],[Date]],'DB Details'!$A:$Q,5)=0,"",VLOOKUP(Table91213[[#This Row],[Date]],'DB Details'!$A:$Q,5))</f>
        <v>61.9</v>
      </c>
      <c r="F252" s="49">
        <f>IF(VLOOKUP(Table91213[[#This Row],[Date]],'DB Details'!$A:$Q,6)=0,"",VLOOKUP(Table91213[[#This Row],[Date]],'DB Details'!$A:$Q,6))</f>
        <v>59.8</v>
      </c>
      <c r="G252" s="50">
        <f>IF(VLOOKUP(Table91213[[#This Row],[Date]],'DB Details'!$A:$Q,7)=0,"",VLOOKUP(Table91213[[#This Row],[Date]],'DB Details'!$A:$Q,7))</f>
        <v>61</v>
      </c>
      <c r="H252" s="50">
        <f>IF(VLOOKUP(Table91213[[#This Row],[Date]],'DB Details'!$A:$Q,8)=0,"",VLOOKUP(Table91213[[#This Row],[Date]],'DB Details'!$A:$Q,8))</f>
        <v>49</v>
      </c>
      <c r="I252" s="50">
        <f>IF(VLOOKUP(Table91213[[#This Row],[Date]],'DB Details'!$A:$Q,9)=0,"",VLOOKUP(Table91213[[#This Row],[Date]],'DB Details'!$A:$Q,9))</f>
        <v>55.5</v>
      </c>
      <c r="J252" s="50">
        <f>IF(VLOOKUP(Table91213[[#This Row],[Date]],'DB Details'!$A:$Q,10)=0,"",VLOOKUP(Table91213[[#This Row],[Date]],'DB Details'!$A:$Q,10))</f>
        <v>61.6</v>
      </c>
      <c r="K252" s="50">
        <f>IF(VLOOKUP(Table91213[[#This Row],[Date]],'DB Details'!$A:$Q,11)=0,"",VLOOKUP(Table91213[[#This Row],[Date]],'DB Details'!$A:$Q,11))</f>
        <v>58</v>
      </c>
      <c r="L252" s="48">
        <f>IF(VLOOKUP(Table91213[[#This Row],[Date]],'DB Details'!$A:$Q,12)=0,"",VLOOKUP(Table91213[[#This Row],[Date]],'DB Details'!$A:$Q,12))</f>
        <v>59.9</v>
      </c>
    </row>
    <row r="253" spans="1:12" x14ac:dyDescent="0.35">
      <c r="A253" s="51">
        <v>43132</v>
      </c>
      <c r="B253" s="48">
        <f>IF(VLOOKUP(Table91213[[#This Row],[Date]],'DB Details'!$A:$Q,2)=0,"",VLOOKUP(Table91213[[#This Row],[Date]],'DB Details'!$A:$Q,2))</f>
        <v>64.8</v>
      </c>
      <c r="C253" s="49">
        <f>IF(VLOOKUP(Table91213[[#This Row],[Date]],'DB Details'!$A:$Q,3)=0,"",VLOOKUP(Table91213[[#This Row],[Date]],'DB Details'!$A:$Q,3))</f>
        <v>50</v>
      </c>
      <c r="D253" s="49">
        <f>IF(VLOOKUP(Table91213[[#This Row],[Date]],'DB Details'!$A:$Q,4)=0,"",VLOOKUP(Table91213[[#This Row],[Date]],'DB Details'!$A:$Q,4))</f>
        <v>56</v>
      </c>
      <c r="E253" s="50">
        <f>IF(VLOOKUP(Table91213[[#This Row],[Date]],'DB Details'!$A:$Q,5)=0,"",VLOOKUP(Table91213[[#This Row],[Date]],'DB Details'!$A:$Q,5))</f>
        <v>61</v>
      </c>
      <c r="F253" s="49">
        <f>IF(VLOOKUP(Table91213[[#This Row],[Date]],'DB Details'!$A:$Q,6)=0,"",VLOOKUP(Table91213[[#This Row],[Date]],'DB Details'!$A:$Q,6))</f>
        <v>62.8</v>
      </c>
      <c r="G253" s="50">
        <f>IF(VLOOKUP(Table91213[[#This Row],[Date]],'DB Details'!$A:$Q,7)=0,"",VLOOKUP(Table91213[[#This Row],[Date]],'DB Details'!$A:$Q,7))</f>
        <v>61</v>
      </c>
      <c r="H253" s="50">
        <f>IF(VLOOKUP(Table91213[[#This Row],[Date]],'DB Details'!$A:$Q,8)=0,"",VLOOKUP(Table91213[[#This Row],[Date]],'DB Details'!$A:$Q,8))</f>
        <v>53.5</v>
      </c>
      <c r="I253" s="50">
        <f>IF(VLOOKUP(Table91213[[#This Row],[Date]],'DB Details'!$A:$Q,9)=0,"",VLOOKUP(Table91213[[#This Row],[Date]],'DB Details'!$A:$Q,9))</f>
        <v>55.5</v>
      </c>
      <c r="J253" s="50">
        <f>IF(VLOOKUP(Table91213[[#This Row],[Date]],'DB Details'!$A:$Q,10)=0,"",VLOOKUP(Table91213[[#This Row],[Date]],'DB Details'!$A:$Q,10))</f>
        <v>55</v>
      </c>
      <c r="K253" s="50">
        <f>IF(VLOOKUP(Table91213[[#This Row],[Date]],'DB Details'!$A:$Q,11)=0,"",VLOOKUP(Table91213[[#This Row],[Date]],'DB Details'!$A:$Q,11))</f>
        <v>59.5</v>
      </c>
      <c r="L253" s="48">
        <f>IF(VLOOKUP(Table91213[[#This Row],[Date]],'DB Details'!$A:$Q,12)=0,"",VLOOKUP(Table91213[[#This Row],[Date]],'DB Details'!$A:$Q,12))</f>
        <v>59.5</v>
      </c>
    </row>
    <row r="254" spans="1:12" x14ac:dyDescent="0.35">
      <c r="A254" s="51">
        <v>43160</v>
      </c>
      <c r="B254" s="48">
        <f>IF(VLOOKUP(Table91213[[#This Row],[Date]],'DB Details'!$A:$Q,2)=0,"",VLOOKUP(Table91213[[#This Row],[Date]],'DB Details'!$A:$Q,2))</f>
        <v>59.5</v>
      </c>
      <c r="C254" s="49">
        <f>IF(VLOOKUP(Table91213[[#This Row],[Date]],'DB Details'!$A:$Q,3)=0,"",VLOOKUP(Table91213[[#This Row],[Date]],'DB Details'!$A:$Q,3))</f>
        <v>55</v>
      </c>
      <c r="D254" s="49">
        <f>IF(VLOOKUP(Table91213[[#This Row],[Date]],'DB Details'!$A:$Q,4)=0,"",VLOOKUP(Table91213[[#This Row],[Date]],'DB Details'!$A:$Q,4))</f>
        <v>56.5</v>
      </c>
      <c r="E254" s="50">
        <f>IF(VLOOKUP(Table91213[[#This Row],[Date]],'DB Details'!$A:$Q,5)=0,"",VLOOKUP(Table91213[[#This Row],[Date]],'DB Details'!$A:$Q,5))</f>
        <v>61.5</v>
      </c>
      <c r="F254" s="49">
        <f>IF(VLOOKUP(Table91213[[#This Row],[Date]],'DB Details'!$A:$Q,6)=0,"",VLOOKUP(Table91213[[#This Row],[Date]],'DB Details'!$A:$Q,6))</f>
        <v>60.6</v>
      </c>
      <c r="G254" s="50">
        <f>IF(VLOOKUP(Table91213[[#This Row],[Date]],'DB Details'!$A:$Q,7)=0,"",VLOOKUP(Table91213[[#This Row],[Date]],'DB Details'!$A:$Q,7))</f>
        <v>58.5</v>
      </c>
      <c r="H254" s="50">
        <f>IF(VLOOKUP(Table91213[[#This Row],[Date]],'DB Details'!$A:$Q,8)=0,"",VLOOKUP(Table91213[[#This Row],[Date]],'DB Details'!$A:$Q,8))</f>
        <v>53.5</v>
      </c>
      <c r="I254" s="50">
        <f>IF(VLOOKUP(Table91213[[#This Row],[Date]],'DB Details'!$A:$Q,9)=0,"",VLOOKUP(Table91213[[#This Row],[Date]],'DB Details'!$A:$Q,9))</f>
        <v>58.5</v>
      </c>
      <c r="J254" s="50">
        <f>IF(VLOOKUP(Table91213[[#This Row],[Date]],'DB Details'!$A:$Q,10)=0,"",VLOOKUP(Table91213[[#This Row],[Date]],'DB Details'!$A:$Q,10))</f>
        <v>56.6</v>
      </c>
      <c r="K254" s="50">
        <f>IF(VLOOKUP(Table91213[[#This Row],[Date]],'DB Details'!$A:$Q,11)=0,"",VLOOKUP(Table91213[[#This Row],[Date]],'DB Details'!$A:$Q,11))</f>
        <v>58</v>
      </c>
      <c r="L254" s="48">
        <f>IF(VLOOKUP(Table91213[[#This Row],[Date]],'DB Details'!$A:$Q,12)=0,"",VLOOKUP(Table91213[[#This Row],[Date]],'DB Details'!$A:$Q,12))</f>
        <v>58.8</v>
      </c>
    </row>
    <row r="255" spans="1:12" x14ac:dyDescent="0.35">
      <c r="A255" s="51">
        <v>43191</v>
      </c>
      <c r="B255" s="48">
        <f>IF(VLOOKUP(Table91213[[#This Row],[Date]],'DB Details'!$A:$Q,2)=0,"",VLOOKUP(Table91213[[#This Row],[Date]],'DB Details'!$A:$Q,2))</f>
        <v>60</v>
      </c>
      <c r="C255" s="49">
        <f>IF(VLOOKUP(Table91213[[#This Row],[Date]],'DB Details'!$A:$Q,3)=0,"",VLOOKUP(Table91213[[#This Row],[Date]],'DB Details'!$A:$Q,3))</f>
        <v>54.5</v>
      </c>
      <c r="D255" s="49">
        <f>IF(VLOOKUP(Table91213[[#This Row],[Date]],'DB Details'!$A:$Q,4)=0,"",VLOOKUP(Table91213[[#This Row],[Date]],'DB Details'!$A:$Q,4))</f>
        <v>52</v>
      </c>
      <c r="E255" s="50">
        <f>IF(VLOOKUP(Table91213[[#This Row],[Date]],'DB Details'!$A:$Q,5)=0,"",VLOOKUP(Table91213[[#This Row],[Date]],'DB Details'!$A:$Q,5))</f>
        <v>61.8</v>
      </c>
      <c r="F255" s="49">
        <f>IF(VLOOKUP(Table91213[[#This Row],[Date]],'DB Details'!$A:$Q,6)=0,"",VLOOKUP(Table91213[[#This Row],[Date]],'DB Details'!$A:$Q,6))</f>
        <v>59.1</v>
      </c>
      <c r="G255" s="50">
        <f>IF(VLOOKUP(Table91213[[#This Row],[Date]],'DB Details'!$A:$Q,7)=0,"",VLOOKUP(Table91213[[#This Row],[Date]],'DB Details'!$A:$Q,7))</f>
        <v>60</v>
      </c>
      <c r="H255" s="50">
        <f>IF(VLOOKUP(Table91213[[#This Row],[Date]],'DB Details'!$A:$Q,8)=0,"",VLOOKUP(Table91213[[#This Row],[Date]],'DB Details'!$A:$Q,8))</f>
        <v>57</v>
      </c>
      <c r="I255" s="50">
        <f>IF(VLOOKUP(Table91213[[#This Row],[Date]],'DB Details'!$A:$Q,9)=0,"",VLOOKUP(Table91213[[#This Row],[Date]],'DB Details'!$A:$Q,9))</f>
        <v>54.5</v>
      </c>
      <c r="J255" s="50">
        <f>IF(VLOOKUP(Table91213[[#This Row],[Date]],'DB Details'!$A:$Q,10)=0,"",VLOOKUP(Table91213[[#This Row],[Date]],'DB Details'!$A:$Q,10))</f>
        <v>53.6</v>
      </c>
      <c r="K255" s="50">
        <f>IF(VLOOKUP(Table91213[[#This Row],[Date]],'DB Details'!$A:$Q,11)=0,"",VLOOKUP(Table91213[[#This Row],[Date]],'DB Details'!$A:$Q,11))</f>
        <v>61.5</v>
      </c>
      <c r="L255" s="48">
        <f>IF(VLOOKUP(Table91213[[#This Row],[Date]],'DB Details'!$A:$Q,12)=0,"",VLOOKUP(Table91213[[#This Row],[Date]],'DB Details'!$A:$Q,12))</f>
        <v>56.8</v>
      </c>
    </row>
    <row r="256" spans="1:12" x14ac:dyDescent="0.35">
      <c r="A256" s="51">
        <v>43221</v>
      </c>
      <c r="B256" s="48">
        <f>IF(VLOOKUP(Table91213[[#This Row],[Date]],'DB Details'!$A:$Q,2)=0,"",VLOOKUP(Table91213[[#This Row],[Date]],'DB Details'!$A:$Q,2))</f>
        <v>60.5</v>
      </c>
      <c r="C256" s="49">
        <f>IF(VLOOKUP(Table91213[[#This Row],[Date]],'DB Details'!$A:$Q,3)=0,"",VLOOKUP(Table91213[[#This Row],[Date]],'DB Details'!$A:$Q,3))</f>
        <v>54</v>
      </c>
      <c r="D256" s="49">
        <f>IF(VLOOKUP(Table91213[[#This Row],[Date]],'DB Details'!$A:$Q,4)=0,"",VLOOKUP(Table91213[[#This Row],[Date]],'DB Details'!$A:$Q,4))</f>
        <v>60.5</v>
      </c>
      <c r="E256" s="50">
        <f>IF(VLOOKUP(Table91213[[#This Row],[Date]],'DB Details'!$A:$Q,5)=0,"",VLOOKUP(Table91213[[#This Row],[Date]],'DB Details'!$A:$Q,5))</f>
        <v>64.3</v>
      </c>
      <c r="F256" s="49">
        <f>IF(VLOOKUP(Table91213[[#This Row],[Date]],'DB Details'!$A:$Q,6)=0,"",VLOOKUP(Table91213[[#This Row],[Date]],'DB Details'!$A:$Q,6))</f>
        <v>61.3</v>
      </c>
      <c r="G256" s="50">
        <f>IF(VLOOKUP(Table91213[[#This Row],[Date]],'DB Details'!$A:$Q,7)=0,"",VLOOKUP(Table91213[[#This Row],[Date]],'DB Details'!$A:$Q,7))</f>
        <v>61</v>
      </c>
      <c r="H256" s="50">
        <f>IF(VLOOKUP(Table91213[[#This Row],[Date]],'DB Details'!$A:$Q,8)=0,"",VLOOKUP(Table91213[[#This Row],[Date]],'DB Details'!$A:$Q,8))</f>
        <v>57.5</v>
      </c>
      <c r="I256" s="50">
        <f>IF(VLOOKUP(Table91213[[#This Row],[Date]],'DB Details'!$A:$Q,9)=0,"",VLOOKUP(Table91213[[#This Row],[Date]],'DB Details'!$A:$Q,9))</f>
        <v>58.5</v>
      </c>
      <c r="J256" s="50">
        <f>IF(VLOOKUP(Table91213[[#This Row],[Date]],'DB Details'!$A:$Q,10)=0,"",VLOOKUP(Table91213[[#This Row],[Date]],'DB Details'!$A:$Q,10))</f>
        <v>54.1</v>
      </c>
      <c r="K256" s="50">
        <f>IF(VLOOKUP(Table91213[[#This Row],[Date]],'DB Details'!$A:$Q,11)=0,"",VLOOKUP(Table91213[[#This Row],[Date]],'DB Details'!$A:$Q,11))</f>
        <v>57.5</v>
      </c>
      <c r="L256" s="48">
        <f>IF(VLOOKUP(Table91213[[#This Row],[Date]],'DB Details'!$A:$Q,12)=0,"",VLOOKUP(Table91213[[#This Row],[Date]],'DB Details'!$A:$Q,12))</f>
        <v>58.6</v>
      </c>
    </row>
    <row r="257" spans="1:12" x14ac:dyDescent="0.35">
      <c r="A257" s="51">
        <v>43252</v>
      </c>
      <c r="B257" s="48">
        <f>IF(VLOOKUP(Table91213[[#This Row],[Date]],'DB Details'!$A:$Q,2)=0,"",VLOOKUP(Table91213[[#This Row],[Date]],'DB Details'!$A:$Q,2))</f>
        <v>63.2</v>
      </c>
      <c r="C257" s="49">
        <f>IF(VLOOKUP(Table91213[[#This Row],[Date]],'DB Details'!$A:$Q,3)=0,"",VLOOKUP(Table91213[[#This Row],[Date]],'DB Details'!$A:$Q,3))</f>
        <v>51.5</v>
      </c>
      <c r="D257" s="49">
        <f>IF(VLOOKUP(Table91213[[#This Row],[Date]],'DB Details'!$A:$Q,4)=0,"",VLOOKUP(Table91213[[#This Row],[Date]],'DB Details'!$A:$Q,4))</f>
        <v>56.5</v>
      </c>
      <c r="E257" s="50">
        <f>IF(VLOOKUP(Table91213[[#This Row],[Date]],'DB Details'!$A:$Q,5)=0,"",VLOOKUP(Table91213[[#This Row],[Date]],'DB Details'!$A:$Q,5))</f>
        <v>60.7</v>
      </c>
      <c r="F257" s="49">
        <f>IF(VLOOKUP(Table91213[[#This Row],[Date]],'DB Details'!$A:$Q,6)=0,"",VLOOKUP(Table91213[[#This Row],[Date]],'DB Details'!$A:$Q,6))</f>
        <v>63.9</v>
      </c>
      <c r="G257" s="50">
        <f>IF(VLOOKUP(Table91213[[#This Row],[Date]],'DB Details'!$A:$Q,7)=0,"",VLOOKUP(Table91213[[#This Row],[Date]],'DB Details'!$A:$Q,7))</f>
        <v>57.5</v>
      </c>
      <c r="H257" s="50">
        <f>IF(VLOOKUP(Table91213[[#This Row],[Date]],'DB Details'!$A:$Q,8)=0,"",VLOOKUP(Table91213[[#This Row],[Date]],'DB Details'!$A:$Q,8))</f>
        <v>53.5</v>
      </c>
      <c r="I257" s="50">
        <f>IF(VLOOKUP(Table91213[[#This Row],[Date]],'DB Details'!$A:$Q,9)=0,"",VLOOKUP(Table91213[[#This Row],[Date]],'DB Details'!$A:$Q,9))</f>
        <v>55.5</v>
      </c>
      <c r="J257" s="50">
        <f>IF(VLOOKUP(Table91213[[#This Row],[Date]],'DB Details'!$A:$Q,10)=0,"",VLOOKUP(Table91213[[#This Row],[Date]],'DB Details'!$A:$Q,10))</f>
        <v>53.6</v>
      </c>
      <c r="K257" s="50">
        <f>IF(VLOOKUP(Table91213[[#This Row],[Date]],'DB Details'!$A:$Q,11)=0,"",VLOOKUP(Table91213[[#This Row],[Date]],'DB Details'!$A:$Q,11))</f>
        <v>60.5</v>
      </c>
      <c r="L257" s="48">
        <f>IF(VLOOKUP(Table91213[[#This Row],[Date]],'DB Details'!$A:$Q,12)=0,"",VLOOKUP(Table91213[[#This Row],[Date]],'DB Details'!$A:$Q,12))</f>
        <v>59.1</v>
      </c>
    </row>
    <row r="258" spans="1:12" x14ac:dyDescent="0.35">
      <c r="A258" s="51">
        <v>43282</v>
      </c>
      <c r="B258" s="48">
        <f>IF(VLOOKUP(Table91213[[#This Row],[Date]],'DB Details'!$A:$Q,2)=0,"",VLOOKUP(Table91213[[#This Row],[Date]],'DB Details'!$A:$Q,2))</f>
        <v>57</v>
      </c>
      <c r="C258" s="49">
        <f>IF(VLOOKUP(Table91213[[#This Row],[Date]],'DB Details'!$A:$Q,3)=0,"",VLOOKUP(Table91213[[#This Row],[Date]],'DB Details'!$A:$Q,3))</f>
        <v>52.5</v>
      </c>
      <c r="D258" s="49">
        <f>IF(VLOOKUP(Table91213[[#This Row],[Date]],'DB Details'!$A:$Q,4)=0,"",VLOOKUP(Table91213[[#This Row],[Date]],'DB Details'!$A:$Q,4))</f>
        <v>51.5</v>
      </c>
      <c r="E258" s="50">
        <f>IF(VLOOKUP(Table91213[[#This Row],[Date]],'DB Details'!$A:$Q,5)=0,"",VLOOKUP(Table91213[[#This Row],[Date]],'DB Details'!$A:$Q,5))</f>
        <v>63.4</v>
      </c>
      <c r="F258" s="49">
        <f>IF(VLOOKUP(Table91213[[#This Row],[Date]],'DB Details'!$A:$Q,6)=0,"",VLOOKUP(Table91213[[#This Row],[Date]],'DB Details'!$A:$Q,6))</f>
        <v>56.5</v>
      </c>
      <c r="G258" s="50">
        <f>IF(VLOOKUP(Table91213[[#This Row],[Date]],'DB Details'!$A:$Q,7)=0,"",VLOOKUP(Table91213[[#This Row],[Date]],'DB Details'!$A:$Q,7))</f>
        <v>58</v>
      </c>
      <c r="H258" s="50">
        <f>IF(VLOOKUP(Table91213[[#This Row],[Date]],'DB Details'!$A:$Q,8)=0,"",VLOOKUP(Table91213[[#This Row],[Date]],'DB Details'!$A:$Q,8))</f>
        <v>53.5</v>
      </c>
      <c r="I258" s="50">
        <f>IF(VLOOKUP(Table91213[[#This Row],[Date]],'DB Details'!$A:$Q,9)=0,"",VLOOKUP(Table91213[[#This Row],[Date]],'DB Details'!$A:$Q,9))</f>
        <v>53</v>
      </c>
      <c r="J258" s="50">
        <f>IF(VLOOKUP(Table91213[[#This Row],[Date]],'DB Details'!$A:$Q,10)=0,"",VLOOKUP(Table91213[[#This Row],[Date]],'DB Details'!$A:$Q,10))</f>
        <v>56.1</v>
      </c>
      <c r="K258" s="50">
        <f>IF(VLOOKUP(Table91213[[#This Row],[Date]],'DB Details'!$A:$Q,11)=0,"",VLOOKUP(Table91213[[#This Row],[Date]],'DB Details'!$A:$Q,11))</f>
        <v>58</v>
      </c>
      <c r="L258" s="48">
        <f>IF(VLOOKUP(Table91213[[#This Row],[Date]],'DB Details'!$A:$Q,12)=0,"",VLOOKUP(Table91213[[#This Row],[Date]],'DB Details'!$A:$Q,12))</f>
        <v>55.7</v>
      </c>
    </row>
    <row r="259" spans="1:12" x14ac:dyDescent="0.35">
      <c r="A259" s="51">
        <v>43313</v>
      </c>
      <c r="B259" s="48">
        <f>IF(VLOOKUP(Table91213[[#This Row],[Date]],'DB Details'!$A:$Q,2)=0,"",VLOOKUP(Table91213[[#This Row],[Date]],'DB Details'!$A:$Q,2))</f>
        <v>60.4</v>
      </c>
      <c r="C259" s="49">
        <f>IF(VLOOKUP(Table91213[[#This Row],[Date]],'DB Details'!$A:$Q,3)=0,"",VLOOKUP(Table91213[[#This Row],[Date]],'DB Details'!$A:$Q,3))</f>
        <v>52</v>
      </c>
      <c r="D259" s="49">
        <f>IF(VLOOKUP(Table91213[[#This Row],[Date]],'DB Details'!$A:$Q,4)=0,"",VLOOKUP(Table91213[[#This Row],[Date]],'DB Details'!$A:$Q,4))</f>
        <v>56.5</v>
      </c>
      <c r="E259" s="50">
        <f>IF(VLOOKUP(Table91213[[#This Row],[Date]],'DB Details'!$A:$Q,5)=0,"",VLOOKUP(Table91213[[#This Row],[Date]],'DB Details'!$A:$Q,5))</f>
        <v>62.8</v>
      </c>
      <c r="F259" s="49">
        <f>IF(VLOOKUP(Table91213[[#This Row],[Date]],'DB Details'!$A:$Q,6)=0,"",VLOOKUP(Table91213[[#This Row],[Date]],'DB Details'!$A:$Q,6))</f>
        <v>60.7</v>
      </c>
      <c r="G259" s="50">
        <f>IF(VLOOKUP(Table91213[[#This Row],[Date]],'DB Details'!$A:$Q,7)=0,"",VLOOKUP(Table91213[[#This Row],[Date]],'DB Details'!$A:$Q,7))</f>
        <v>59.5</v>
      </c>
      <c r="H259" s="50">
        <f>IF(VLOOKUP(Table91213[[#This Row],[Date]],'DB Details'!$A:$Q,8)=0,"",VLOOKUP(Table91213[[#This Row],[Date]],'DB Details'!$A:$Q,8))</f>
        <v>53.5</v>
      </c>
      <c r="I259" s="50">
        <f>IF(VLOOKUP(Table91213[[#This Row],[Date]],'DB Details'!$A:$Q,9)=0,"",VLOOKUP(Table91213[[#This Row],[Date]],'DB Details'!$A:$Q,9))</f>
        <v>56</v>
      </c>
      <c r="J259" s="50">
        <f>IF(VLOOKUP(Table91213[[#This Row],[Date]],'DB Details'!$A:$Q,10)=0,"",VLOOKUP(Table91213[[#This Row],[Date]],'DB Details'!$A:$Q,10))</f>
        <v>56.7</v>
      </c>
      <c r="K259" s="50">
        <f>IF(VLOOKUP(Table91213[[#This Row],[Date]],'DB Details'!$A:$Q,11)=0,"",VLOOKUP(Table91213[[#This Row],[Date]],'DB Details'!$A:$Q,11))</f>
        <v>60.5</v>
      </c>
      <c r="L259" s="48">
        <f>IF(VLOOKUP(Table91213[[#This Row],[Date]],'DB Details'!$A:$Q,12)=0,"",VLOOKUP(Table91213[[#This Row],[Date]],'DB Details'!$A:$Q,12))</f>
        <v>58.5</v>
      </c>
    </row>
    <row r="260" spans="1:12" x14ac:dyDescent="0.35">
      <c r="A260" s="51">
        <v>43344</v>
      </c>
      <c r="B260" s="48">
        <f>IF(VLOOKUP(Table91213[[#This Row],[Date]],'DB Details'!$A:$Q,2)=0,"",VLOOKUP(Table91213[[#This Row],[Date]],'DB Details'!$A:$Q,2))</f>
        <v>61.6</v>
      </c>
      <c r="C260" s="49">
        <f>IF(VLOOKUP(Table91213[[#This Row],[Date]],'DB Details'!$A:$Q,3)=0,"",VLOOKUP(Table91213[[#This Row],[Date]],'DB Details'!$A:$Q,3))</f>
        <v>55</v>
      </c>
      <c r="D260" s="49">
        <f>IF(VLOOKUP(Table91213[[#This Row],[Date]],'DB Details'!$A:$Q,4)=0,"",VLOOKUP(Table91213[[#This Row],[Date]],'DB Details'!$A:$Q,4))</f>
        <v>58.5</v>
      </c>
      <c r="E260" s="50">
        <f>IF(VLOOKUP(Table91213[[#This Row],[Date]],'DB Details'!$A:$Q,5)=0,"",VLOOKUP(Table91213[[#This Row],[Date]],'DB Details'!$A:$Q,5))</f>
        <v>64.2</v>
      </c>
      <c r="F260" s="49">
        <f>IF(VLOOKUP(Table91213[[#This Row],[Date]],'DB Details'!$A:$Q,6)=0,"",VLOOKUP(Table91213[[#This Row],[Date]],'DB Details'!$A:$Q,6))</f>
        <v>65.2</v>
      </c>
      <c r="G260" s="50">
        <f>IF(VLOOKUP(Table91213[[#This Row],[Date]],'DB Details'!$A:$Q,7)=0,"",VLOOKUP(Table91213[[#This Row],[Date]],'DB Details'!$A:$Q,7))</f>
        <v>59.5</v>
      </c>
      <c r="H260" s="50">
        <f>IF(VLOOKUP(Table91213[[#This Row],[Date]],'DB Details'!$A:$Q,8)=0,"",VLOOKUP(Table91213[[#This Row],[Date]],'DB Details'!$A:$Q,8))</f>
        <v>54.5</v>
      </c>
      <c r="I260" s="50">
        <f>IF(VLOOKUP(Table91213[[#This Row],[Date]],'DB Details'!$A:$Q,9)=0,"",VLOOKUP(Table91213[[#This Row],[Date]],'DB Details'!$A:$Q,9))</f>
        <v>57</v>
      </c>
      <c r="J260" s="50">
        <f>IF(VLOOKUP(Table91213[[#This Row],[Date]],'DB Details'!$A:$Q,10)=0,"",VLOOKUP(Table91213[[#This Row],[Date]],'DB Details'!$A:$Q,10))</f>
        <v>62.4</v>
      </c>
      <c r="K260" s="50">
        <f>IF(VLOOKUP(Table91213[[#This Row],[Date]],'DB Details'!$A:$Q,11)=0,"",VLOOKUP(Table91213[[#This Row],[Date]],'DB Details'!$A:$Q,11))</f>
        <v>61</v>
      </c>
      <c r="L260" s="48">
        <f>IF(VLOOKUP(Table91213[[#This Row],[Date]],'DB Details'!$A:$Q,12)=0,"",VLOOKUP(Table91213[[#This Row],[Date]],'DB Details'!$A:$Q,12))</f>
        <v>61.6</v>
      </c>
    </row>
    <row r="261" spans="1:12" x14ac:dyDescent="0.35">
      <c r="A261" s="51">
        <v>43374</v>
      </c>
      <c r="B261" s="48">
        <f>IF(VLOOKUP(Table91213[[#This Row],[Date]],'DB Details'!$A:$Q,2)=0,"",VLOOKUP(Table91213[[#This Row],[Date]],'DB Details'!$A:$Q,2))</f>
        <v>61.5</v>
      </c>
      <c r="C261" s="49">
        <f>IF(VLOOKUP(Table91213[[#This Row],[Date]],'DB Details'!$A:$Q,3)=0,"",VLOOKUP(Table91213[[#This Row],[Date]],'DB Details'!$A:$Q,3))</f>
        <v>51</v>
      </c>
      <c r="D261" s="49">
        <f>IF(VLOOKUP(Table91213[[#This Row],[Date]],'DB Details'!$A:$Q,4)=0,"",VLOOKUP(Table91213[[#This Row],[Date]],'DB Details'!$A:$Q,4))</f>
        <v>53.5</v>
      </c>
      <c r="E261" s="50">
        <f>IF(VLOOKUP(Table91213[[#This Row],[Date]],'DB Details'!$A:$Q,5)=0,"",VLOOKUP(Table91213[[#This Row],[Date]],'DB Details'!$A:$Q,5))</f>
        <v>61.7</v>
      </c>
      <c r="F261" s="49">
        <f>IF(VLOOKUP(Table91213[[#This Row],[Date]],'DB Details'!$A:$Q,6)=0,"",VLOOKUP(Table91213[[#This Row],[Date]],'DB Details'!$A:$Q,6))</f>
        <v>62.5</v>
      </c>
      <c r="G261" s="50">
        <f>IF(VLOOKUP(Table91213[[#This Row],[Date]],'DB Details'!$A:$Q,7)=0,"",VLOOKUP(Table91213[[#This Row],[Date]],'DB Details'!$A:$Q,7))</f>
        <v>62</v>
      </c>
      <c r="H261" s="50">
        <f>IF(VLOOKUP(Table91213[[#This Row],[Date]],'DB Details'!$A:$Q,8)=0,"",VLOOKUP(Table91213[[#This Row],[Date]],'DB Details'!$A:$Q,8))</f>
        <v>56</v>
      </c>
      <c r="I261" s="50">
        <f>IF(VLOOKUP(Table91213[[#This Row],[Date]],'DB Details'!$A:$Q,9)=0,"",VLOOKUP(Table91213[[#This Row],[Date]],'DB Details'!$A:$Q,9))</f>
        <v>57.5</v>
      </c>
      <c r="J261" s="50">
        <f>IF(VLOOKUP(Table91213[[#This Row],[Date]],'DB Details'!$A:$Q,10)=0,"",VLOOKUP(Table91213[[#This Row],[Date]],'DB Details'!$A:$Q,10))</f>
        <v>59.7</v>
      </c>
      <c r="K261" s="50">
        <f>IF(VLOOKUP(Table91213[[#This Row],[Date]],'DB Details'!$A:$Q,11)=0,"",VLOOKUP(Table91213[[#This Row],[Date]],'DB Details'!$A:$Q,11))</f>
        <v>61</v>
      </c>
      <c r="L261" s="48">
        <f>IF(VLOOKUP(Table91213[[#This Row],[Date]],'DB Details'!$A:$Q,12)=0,"",VLOOKUP(Table91213[[#This Row],[Date]],'DB Details'!$A:$Q,12))</f>
        <v>60.3</v>
      </c>
    </row>
    <row r="262" spans="1:12" x14ac:dyDescent="0.35">
      <c r="A262" s="51">
        <v>43405</v>
      </c>
      <c r="B262" s="48">
        <f>IF(VLOOKUP(Table91213[[#This Row],[Date]],'DB Details'!$A:$Q,2)=0,"",VLOOKUP(Table91213[[#This Row],[Date]],'DB Details'!$A:$Q,2))</f>
        <v>62.5</v>
      </c>
      <c r="C262" s="49">
        <f>IF(VLOOKUP(Table91213[[#This Row],[Date]],'DB Details'!$A:$Q,3)=0,"",VLOOKUP(Table91213[[#This Row],[Date]],'DB Details'!$A:$Q,3))</f>
        <v>54.5</v>
      </c>
      <c r="D262" s="49">
        <f>IF(VLOOKUP(Table91213[[#This Row],[Date]],'DB Details'!$A:$Q,4)=0,"",VLOOKUP(Table91213[[#This Row],[Date]],'DB Details'!$A:$Q,4))</f>
        <v>55.5</v>
      </c>
      <c r="E262" s="50">
        <f>IF(VLOOKUP(Table91213[[#This Row],[Date]],'DB Details'!$A:$Q,5)=0,"",VLOOKUP(Table91213[[#This Row],[Date]],'DB Details'!$A:$Q,5))</f>
        <v>64.3</v>
      </c>
      <c r="F262" s="49">
        <f>IF(VLOOKUP(Table91213[[#This Row],[Date]],'DB Details'!$A:$Q,6)=0,"",VLOOKUP(Table91213[[#This Row],[Date]],'DB Details'!$A:$Q,6))</f>
        <v>65.2</v>
      </c>
      <c r="G262" s="50">
        <f>IF(VLOOKUP(Table91213[[#This Row],[Date]],'DB Details'!$A:$Q,7)=0,"",VLOOKUP(Table91213[[#This Row],[Date]],'DB Details'!$A:$Q,7))</f>
        <v>60</v>
      </c>
      <c r="H262" s="50">
        <f>IF(VLOOKUP(Table91213[[#This Row],[Date]],'DB Details'!$A:$Q,8)=0,"",VLOOKUP(Table91213[[#This Row],[Date]],'DB Details'!$A:$Q,8))</f>
        <v>57.5</v>
      </c>
      <c r="I262" s="50">
        <f>IF(VLOOKUP(Table91213[[#This Row],[Date]],'DB Details'!$A:$Q,9)=0,"",VLOOKUP(Table91213[[#This Row],[Date]],'DB Details'!$A:$Q,9))</f>
        <v>56.5</v>
      </c>
      <c r="J262" s="50">
        <f>IF(VLOOKUP(Table91213[[#This Row],[Date]],'DB Details'!$A:$Q,10)=0,"",VLOOKUP(Table91213[[#This Row],[Date]],'DB Details'!$A:$Q,10))</f>
        <v>58.4</v>
      </c>
      <c r="K262" s="50">
        <f>IF(VLOOKUP(Table91213[[#This Row],[Date]],'DB Details'!$A:$Q,11)=0,"",VLOOKUP(Table91213[[#This Row],[Date]],'DB Details'!$A:$Q,11))</f>
        <v>57.5</v>
      </c>
      <c r="L262" s="48">
        <f>IF(VLOOKUP(Table91213[[#This Row],[Date]],'DB Details'!$A:$Q,12)=0,"",VLOOKUP(Table91213[[#This Row],[Date]],'DB Details'!$A:$Q,12))</f>
        <v>60.7</v>
      </c>
    </row>
    <row r="263" spans="1:12" x14ac:dyDescent="0.35">
      <c r="A263" s="51">
        <v>43435</v>
      </c>
      <c r="B263" s="48">
        <f>IF(VLOOKUP(Table91213[[#This Row],[Date]],'DB Details'!$A:$Q,2)=0,"",VLOOKUP(Table91213[[#This Row],[Date]],'DB Details'!$A:$Q,2))</f>
        <v>62.7</v>
      </c>
      <c r="C263" s="49">
        <f>IF(VLOOKUP(Table91213[[#This Row],[Date]],'DB Details'!$A:$Q,3)=0,"",VLOOKUP(Table91213[[#This Row],[Date]],'DB Details'!$A:$Q,3))</f>
        <v>53.5</v>
      </c>
      <c r="D263" s="49">
        <f>IF(VLOOKUP(Table91213[[#This Row],[Date]],'DB Details'!$A:$Q,4)=0,"",VLOOKUP(Table91213[[#This Row],[Date]],'DB Details'!$A:$Q,4))</f>
        <v>50.5</v>
      </c>
      <c r="E263" s="50">
        <f>IF(VLOOKUP(Table91213[[#This Row],[Date]],'DB Details'!$A:$Q,5)=0,"",VLOOKUP(Table91213[[#This Row],[Date]],'DB Details'!$A:$Q,5))</f>
        <v>57.6</v>
      </c>
      <c r="F263" s="49">
        <f>IF(VLOOKUP(Table91213[[#This Row],[Date]],'DB Details'!$A:$Q,6)=0,"",VLOOKUP(Table91213[[#This Row],[Date]],'DB Details'!$A:$Q,6))</f>
        <v>59.9</v>
      </c>
      <c r="G263" s="50">
        <f>IF(VLOOKUP(Table91213[[#This Row],[Date]],'DB Details'!$A:$Q,7)=0,"",VLOOKUP(Table91213[[#This Row],[Date]],'DB Details'!$A:$Q,7))</f>
        <v>59</v>
      </c>
      <c r="H263" s="50">
        <f>IF(VLOOKUP(Table91213[[#This Row],[Date]],'DB Details'!$A:$Q,8)=0,"",VLOOKUP(Table91213[[#This Row],[Date]],'DB Details'!$A:$Q,8))</f>
        <v>51.5</v>
      </c>
      <c r="I263" s="50">
        <f>IF(VLOOKUP(Table91213[[#This Row],[Date]],'DB Details'!$A:$Q,9)=0,"",VLOOKUP(Table91213[[#This Row],[Date]],'DB Details'!$A:$Q,9))</f>
        <v>51.5</v>
      </c>
      <c r="J263" s="50">
        <f>IF(VLOOKUP(Table91213[[#This Row],[Date]],'DB Details'!$A:$Q,10)=0,"",VLOOKUP(Table91213[[#This Row],[Date]],'DB Details'!$A:$Q,10))</f>
        <v>56.3</v>
      </c>
      <c r="K263" s="50">
        <f>IF(VLOOKUP(Table91213[[#This Row],[Date]],'DB Details'!$A:$Q,11)=0,"",VLOOKUP(Table91213[[#This Row],[Date]],'DB Details'!$A:$Q,11))</f>
        <v>59.5</v>
      </c>
      <c r="L263" s="48">
        <f>IF(VLOOKUP(Table91213[[#This Row],[Date]],'DB Details'!$A:$Q,12)=0,"",VLOOKUP(Table91213[[#This Row],[Date]],'DB Details'!$A:$Q,12))</f>
        <v>57.6</v>
      </c>
    </row>
    <row r="264" spans="1:12" x14ac:dyDescent="0.35">
      <c r="A264" s="51">
        <v>43466</v>
      </c>
      <c r="B264" s="48">
        <f>IF(VLOOKUP(Table91213[[#This Row],[Date]],'DB Details'!$A:$Q,2)=0,"",VLOOKUP(Table91213[[#This Row],[Date]],'DB Details'!$A:$Q,2))</f>
        <v>57.7</v>
      </c>
      <c r="C264" s="49">
        <f>IF(VLOOKUP(Table91213[[#This Row],[Date]],'DB Details'!$A:$Q,3)=0,"",VLOOKUP(Table91213[[#This Row],[Date]],'DB Details'!$A:$Q,3))</f>
        <v>52</v>
      </c>
      <c r="D264" s="49">
        <f>IF(VLOOKUP(Table91213[[#This Row],[Date]],'DB Details'!$A:$Q,4)=0,"",VLOOKUP(Table91213[[#This Row],[Date]],'DB Details'!$A:$Q,4))</f>
        <v>52.5</v>
      </c>
      <c r="E264" s="50">
        <f>IF(VLOOKUP(Table91213[[#This Row],[Date]],'DB Details'!$A:$Q,5)=0,"",VLOOKUP(Table91213[[#This Row],[Date]],'DB Details'!$A:$Q,5))</f>
        <v>59.4</v>
      </c>
      <c r="F264" s="49">
        <f>IF(VLOOKUP(Table91213[[#This Row],[Date]],'DB Details'!$A:$Q,6)=0,"",VLOOKUP(Table91213[[#This Row],[Date]],'DB Details'!$A:$Q,6))</f>
        <v>59.7</v>
      </c>
      <c r="G264" s="50">
        <f>IF(VLOOKUP(Table91213[[#This Row],[Date]],'DB Details'!$A:$Q,7)=0,"",VLOOKUP(Table91213[[#This Row],[Date]],'DB Details'!$A:$Q,7))</f>
        <v>60.5</v>
      </c>
      <c r="H264" s="50">
        <f>IF(VLOOKUP(Table91213[[#This Row],[Date]],'DB Details'!$A:$Q,8)=0,"",VLOOKUP(Table91213[[#This Row],[Date]],'DB Details'!$A:$Q,8))</f>
        <v>49</v>
      </c>
      <c r="I264" s="50">
        <f>IF(VLOOKUP(Table91213[[#This Row],[Date]],'DB Details'!$A:$Q,9)=0,"",VLOOKUP(Table91213[[#This Row],[Date]],'DB Details'!$A:$Q,9))</f>
        <v>51.5</v>
      </c>
      <c r="J264" s="50">
        <f>IF(VLOOKUP(Table91213[[#This Row],[Date]],'DB Details'!$A:$Q,10)=0,"",VLOOKUP(Table91213[[#This Row],[Date]],'DB Details'!$A:$Q,10))</f>
        <v>57.8</v>
      </c>
      <c r="K264" s="50">
        <f>IF(VLOOKUP(Table91213[[#This Row],[Date]],'DB Details'!$A:$Q,11)=0,"",VLOOKUP(Table91213[[#This Row],[Date]],'DB Details'!$A:$Q,11))</f>
        <v>50.5</v>
      </c>
      <c r="L264" s="48">
        <f>IF(VLOOKUP(Table91213[[#This Row],[Date]],'DB Details'!$A:$Q,12)=0,"",VLOOKUP(Table91213[[#This Row],[Date]],'DB Details'!$A:$Q,12))</f>
        <v>56.7</v>
      </c>
    </row>
    <row r="265" spans="1:12" x14ac:dyDescent="0.35">
      <c r="A265" s="51">
        <v>43497</v>
      </c>
      <c r="B265" s="48">
        <f>IF(VLOOKUP(Table91213[[#This Row],[Date]],'DB Details'!$A:$Q,2)=0,"",VLOOKUP(Table91213[[#This Row],[Date]],'DB Details'!$A:$Q,2))</f>
        <v>65.2</v>
      </c>
      <c r="C265" s="49">
        <f>IF(VLOOKUP(Table91213[[#This Row],[Date]],'DB Details'!$A:$Q,3)=0,"",VLOOKUP(Table91213[[#This Row],[Date]],'DB Details'!$A:$Q,3))</f>
        <v>48.5</v>
      </c>
      <c r="D265" s="49">
        <f>IF(VLOOKUP(Table91213[[#This Row],[Date]],'DB Details'!$A:$Q,4)=0,"",VLOOKUP(Table91213[[#This Row],[Date]],'DB Details'!$A:$Q,4))</f>
        <v>55.5</v>
      </c>
      <c r="E265" s="50">
        <f>IF(VLOOKUP(Table91213[[#This Row],[Date]],'DB Details'!$A:$Q,5)=0,"",VLOOKUP(Table91213[[#This Row],[Date]],'DB Details'!$A:$Q,5))</f>
        <v>54.4</v>
      </c>
      <c r="F265" s="49">
        <f>IF(VLOOKUP(Table91213[[#This Row],[Date]],'DB Details'!$A:$Q,6)=0,"",VLOOKUP(Table91213[[#This Row],[Date]],'DB Details'!$A:$Q,6))</f>
        <v>64.7</v>
      </c>
      <c r="G265" s="50">
        <f>IF(VLOOKUP(Table91213[[#This Row],[Date]],'DB Details'!$A:$Q,7)=0,"",VLOOKUP(Table91213[[#This Row],[Date]],'DB Details'!$A:$Q,7))</f>
        <v>59</v>
      </c>
      <c r="H265" s="50">
        <f>IF(VLOOKUP(Table91213[[#This Row],[Date]],'DB Details'!$A:$Q,8)=0,"",VLOOKUP(Table91213[[#This Row],[Date]],'DB Details'!$A:$Q,8))</f>
        <v>51</v>
      </c>
      <c r="I265" s="50">
        <f>IF(VLOOKUP(Table91213[[#This Row],[Date]],'DB Details'!$A:$Q,9)=0,"",VLOOKUP(Table91213[[#This Row],[Date]],'DB Details'!$A:$Q,9))</f>
        <v>53.5</v>
      </c>
      <c r="J265" s="50">
        <f>IF(VLOOKUP(Table91213[[#This Row],[Date]],'DB Details'!$A:$Q,10)=0,"",VLOOKUP(Table91213[[#This Row],[Date]],'DB Details'!$A:$Q,10))</f>
        <v>55.2</v>
      </c>
      <c r="K265" s="50">
        <f>IF(VLOOKUP(Table91213[[#This Row],[Date]],'DB Details'!$A:$Q,11)=0,"",VLOOKUP(Table91213[[#This Row],[Date]],'DB Details'!$A:$Q,11))</f>
        <v>55</v>
      </c>
      <c r="L265" s="48">
        <f>IF(VLOOKUP(Table91213[[#This Row],[Date]],'DB Details'!$A:$Q,12)=0,"",VLOOKUP(Table91213[[#This Row],[Date]],'DB Details'!$A:$Q,12))</f>
        <v>59.7</v>
      </c>
    </row>
    <row r="266" spans="1:12" x14ac:dyDescent="0.35">
      <c r="A266" s="51">
        <v>43525</v>
      </c>
      <c r="B266" s="48">
        <f>IF(VLOOKUP(Table91213[[#This Row],[Date]],'DB Details'!$A:$Q,2)=0,"",VLOOKUP(Table91213[[#This Row],[Date]],'DB Details'!$A:$Q,2))</f>
        <v>59</v>
      </c>
      <c r="C266" s="49">
        <f>IF(VLOOKUP(Table91213[[#This Row],[Date]],'DB Details'!$A:$Q,3)=0,"",VLOOKUP(Table91213[[#This Row],[Date]],'DB Details'!$A:$Q,3))</f>
        <v>51.5</v>
      </c>
      <c r="D266" s="49">
        <f>IF(VLOOKUP(Table91213[[#This Row],[Date]],'DB Details'!$A:$Q,4)=0,"",VLOOKUP(Table91213[[#This Row],[Date]],'DB Details'!$A:$Q,4))</f>
        <v>56.5</v>
      </c>
      <c r="E266" s="50">
        <f>IF(VLOOKUP(Table91213[[#This Row],[Date]],'DB Details'!$A:$Q,5)=0,"",VLOOKUP(Table91213[[#This Row],[Date]],'DB Details'!$A:$Q,5))</f>
        <v>58.7</v>
      </c>
      <c r="F266" s="49">
        <f>IF(VLOOKUP(Table91213[[#This Row],[Date]],'DB Details'!$A:$Q,6)=0,"",VLOOKUP(Table91213[[#This Row],[Date]],'DB Details'!$A:$Q,6))</f>
        <v>57.4</v>
      </c>
      <c r="G266" s="50">
        <f>IF(VLOOKUP(Table91213[[#This Row],[Date]],'DB Details'!$A:$Q,7)=0,"",VLOOKUP(Table91213[[#This Row],[Date]],'DB Details'!$A:$Q,7))</f>
        <v>62.5</v>
      </c>
      <c r="H266" s="50">
        <f>IF(VLOOKUP(Table91213[[#This Row],[Date]],'DB Details'!$A:$Q,8)=0,"",VLOOKUP(Table91213[[#This Row],[Date]],'DB Details'!$A:$Q,8))</f>
        <v>50</v>
      </c>
      <c r="I266" s="50">
        <f>IF(VLOOKUP(Table91213[[#This Row],[Date]],'DB Details'!$A:$Q,9)=0,"",VLOOKUP(Table91213[[#This Row],[Date]],'DB Details'!$A:$Q,9))</f>
        <v>52</v>
      </c>
      <c r="J266" s="50">
        <f>IF(VLOOKUP(Table91213[[#This Row],[Date]],'DB Details'!$A:$Q,10)=0,"",VLOOKUP(Table91213[[#This Row],[Date]],'DB Details'!$A:$Q,10))</f>
        <v>55.9</v>
      </c>
      <c r="K266" s="50">
        <f>IF(VLOOKUP(Table91213[[#This Row],[Date]],'DB Details'!$A:$Q,11)=0,"",VLOOKUP(Table91213[[#This Row],[Date]],'DB Details'!$A:$Q,11))</f>
        <v>52.5</v>
      </c>
      <c r="L266" s="48">
        <f>IF(VLOOKUP(Table91213[[#This Row],[Date]],'DB Details'!$A:$Q,12)=0,"",VLOOKUP(Table91213[[#This Row],[Date]],'DB Details'!$A:$Q,12))</f>
        <v>56.1</v>
      </c>
    </row>
    <row r="267" spans="1:12" x14ac:dyDescent="0.35">
      <c r="A267" s="51">
        <v>43556</v>
      </c>
      <c r="B267" s="48">
        <f>IF(VLOOKUP(Table91213[[#This Row],[Date]],'DB Details'!$A:$Q,2)=0,"",VLOOKUP(Table91213[[#This Row],[Date]],'DB Details'!$A:$Q,2))</f>
        <v>58.1</v>
      </c>
      <c r="C267" s="49">
        <f>IF(VLOOKUP(Table91213[[#This Row],[Date]],'DB Details'!$A:$Q,3)=0,"",VLOOKUP(Table91213[[#This Row],[Date]],'DB Details'!$A:$Q,3))</f>
        <v>55</v>
      </c>
      <c r="D267" s="49">
        <f>IF(VLOOKUP(Table91213[[#This Row],[Date]],'DB Details'!$A:$Q,4)=0,"",VLOOKUP(Table91213[[#This Row],[Date]],'DB Details'!$A:$Q,4))</f>
        <v>55</v>
      </c>
      <c r="E267" s="50">
        <f>IF(VLOOKUP(Table91213[[#This Row],[Date]],'DB Details'!$A:$Q,5)=0,"",VLOOKUP(Table91213[[#This Row],[Date]],'DB Details'!$A:$Q,5))</f>
        <v>55.7</v>
      </c>
      <c r="F267" s="49">
        <f>IF(VLOOKUP(Table91213[[#This Row],[Date]],'DB Details'!$A:$Q,6)=0,"",VLOOKUP(Table91213[[#This Row],[Date]],'DB Details'!$A:$Q,6))</f>
        <v>59.5</v>
      </c>
      <c r="G267" s="50">
        <f>IF(VLOOKUP(Table91213[[#This Row],[Date]],'DB Details'!$A:$Q,7)=0,"",VLOOKUP(Table91213[[#This Row],[Date]],'DB Details'!$A:$Q,7))</f>
        <v>60</v>
      </c>
      <c r="H267" s="50">
        <f>IF(VLOOKUP(Table91213[[#This Row],[Date]],'DB Details'!$A:$Q,8)=0,"",VLOOKUP(Table91213[[#This Row],[Date]],'DB Details'!$A:$Q,8))</f>
        <v>51.5</v>
      </c>
      <c r="I267" s="50">
        <f>IF(VLOOKUP(Table91213[[#This Row],[Date]],'DB Details'!$A:$Q,9)=0,"",VLOOKUP(Table91213[[#This Row],[Date]],'DB Details'!$A:$Q,9))</f>
        <v>50.5</v>
      </c>
      <c r="J267" s="50">
        <f>IF(VLOOKUP(Table91213[[#This Row],[Date]],'DB Details'!$A:$Q,10)=0,"",VLOOKUP(Table91213[[#This Row],[Date]],'DB Details'!$A:$Q,10))</f>
        <v>53.7</v>
      </c>
      <c r="K267" s="50">
        <f>IF(VLOOKUP(Table91213[[#This Row],[Date]],'DB Details'!$A:$Q,11)=0,"",VLOOKUP(Table91213[[#This Row],[Date]],'DB Details'!$A:$Q,11))</f>
        <v>57</v>
      </c>
      <c r="L267" s="48">
        <f>IF(VLOOKUP(Table91213[[#This Row],[Date]],'DB Details'!$A:$Q,12)=0,"",VLOOKUP(Table91213[[#This Row],[Date]],'DB Details'!$A:$Q,12))</f>
        <v>55.5</v>
      </c>
    </row>
    <row r="268" spans="1:12" x14ac:dyDescent="0.35">
      <c r="A268" s="51">
        <v>43586</v>
      </c>
      <c r="B268" s="48">
        <f>IF(VLOOKUP(Table91213[[#This Row],[Date]],'DB Details'!$A:$Q,2)=0,"",VLOOKUP(Table91213[[#This Row],[Date]],'DB Details'!$A:$Q,2))</f>
        <v>58.6</v>
      </c>
      <c r="C268" s="49">
        <f>IF(VLOOKUP(Table91213[[#This Row],[Date]],'DB Details'!$A:$Q,3)=0,"",VLOOKUP(Table91213[[#This Row],[Date]],'DB Details'!$A:$Q,3))</f>
        <v>50</v>
      </c>
      <c r="D268" s="49">
        <f>IF(VLOOKUP(Table91213[[#This Row],[Date]],'DB Details'!$A:$Q,4)=0,"",VLOOKUP(Table91213[[#This Row],[Date]],'DB Details'!$A:$Q,4))</f>
        <v>52.5</v>
      </c>
      <c r="E268" s="50">
        <f>IF(VLOOKUP(Table91213[[#This Row],[Date]],'DB Details'!$A:$Q,5)=0,"",VLOOKUP(Table91213[[#This Row],[Date]],'DB Details'!$A:$Q,5))</f>
        <v>55.4</v>
      </c>
      <c r="F268" s="49">
        <f>IF(VLOOKUP(Table91213[[#This Row],[Date]],'DB Details'!$A:$Q,6)=0,"",VLOOKUP(Table91213[[#This Row],[Date]],'DB Details'!$A:$Q,6))</f>
        <v>61.2</v>
      </c>
      <c r="G268" s="50">
        <f>IF(VLOOKUP(Table91213[[#This Row],[Date]],'DB Details'!$A:$Q,7)=0,"",VLOOKUP(Table91213[[#This Row],[Date]],'DB Details'!$A:$Q,7))</f>
        <v>58.5</v>
      </c>
      <c r="H268" s="50">
        <f>IF(VLOOKUP(Table91213[[#This Row],[Date]],'DB Details'!$A:$Q,8)=0,"",VLOOKUP(Table91213[[#This Row],[Date]],'DB Details'!$A:$Q,8))</f>
        <v>54</v>
      </c>
      <c r="I268" s="50">
        <f>IF(VLOOKUP(Table91213[[#This Row],[Date]],'DB Details'!$A:$Q,9)=0,"",VLOOKUP(Table91213[[#This Row],[Date]],'DB Details'!$A:$Q,9))</f>
        <v>49.5</v>
      </c>
      <c r="J268" s="50">
        <f>IF(VLOOKUP(Table91213[[#This Row],[Date]],'DB Details'!$A:$Q,10)=0,"",VLOOKUP(Table91213[[#This Row],[Date]],'DB Details'!$A:$Q,10))</f>
        <v>58.1</v>
      </c>
      <c r="K268" s="50">
        <f>IF(VLOOKUP(Table91213[[#This Row],[Date]],'DB Details'!$A:$Q,11)=0,"",VLOOKUP(Table91213[[#This Row],[Date]],'DB Details'!$A:$Q,11))</f>
        <v>55.5</v>
      </c>
      <c r="L268" s="48">
        <f>IF(VLOOKUP(Table91213[[#This Row],[Date]],'DB Details'!$A:$Q,12)=0,"",VLOOKUP(Table91213[[#This Row],[Date]],'DB Details'!$A:$Q,12))</f>
        <v>56.9</v>
      </c>
    </row>
    <row r="269" spans="1:12" x14ac:dyDescent="0.35">
      <c r="A269" s="51">
        <v>43617</v>
      </c>
      <c r="B269" s="48">
        <f>IF(VLOOKUP(Table91213[[#This Row],[Date]],'DB Details'!$A:$Q,2)=0,"",VLOOKUP(Table91213[[#This Row],[Date]],'DB Details'!$A:$Q,2))</f>
        <v>55.8</v>
      </c>
      <c r="C269" s="49">
        <f>IF(VLOOKUP(Table91213[[#This Row],[Date]],'DB Details'!$A:$Q,3)=0,"",VLOOKUP(Table91213[[#This Row],[Date]],'DB Details'!$A:$Q,3))</f>
        <v>50</v>
      </c>
      <c r="D269" s="49">
        <f>IF(VLOOKUP(Table91213[[#This Row],[Date]],'DB Details'!$A:$Q,4)=0,"",VLOOKUP(Table91213[[#This Row],[Date]],'DB Details'!$A:$Q,4))</f>
        <v>56</v>
      </c>
      <c r="E269" s="50">
        <f>IF(VLOOKUP(Table91213[[#This Row],[Date]],'DB Details'!$A:$Q,5)=0,"",VLOOKUP(Table91213[[#This Row],[Date]],'DB Details'!$A:$Q,5))</f>
        <v>58.9</v>
      </c>
      <c r="F269" s="49">
        <f>IF(VLOOKUP(Table91213[[#This Row],[Date]],'DB Details'!$A:$Q,6)=0,"",VLOOKUP(Table91213[[#This Row],[Date]],'DB Details'!$A:$Q,6))</f>
        <v>58.2</v>
      </c>
      <c r="G269" s="50">
        <f>IF(VLOOKUP(Table91213[[#This Row],[Date]],'DB Details'!$A:$Q,7)=0,"",VLOOKUP(Table91213[[#This Row],[Date]],'DB Details'!$A:$Q,7))</f>
        <v>58.5</v>
      </c>
      <c r="H269" s="50">
        <f>IF(VLOOKUP(Table91213[[#This Row],[Date]],'DB Details'!$A:$Q,8)=0,"",VLOOKUP(Table91213[[#This Row],[Date]],'DB Details'!$A:$Q,8))</f>
        <v>55</v>
      </c>
      <c r="I269" s="50">
        <f>IF(VLOOKUP(Table91213[[#This Row],[Date]],'DB Details'!$A:$Q,9)=0,"",VLOOKUP(Table91213[[#This Row],[Date]],'DB Details'!$A:$Q,9))</f>
        <v>51.5</v>
      </c>
      <c r="J269" s="50">
        <f>IF(VLOOKUP(Table91213[[#This Row],[Date]],'DB Details'!$A:$Q,10)=0,"",VLOOKUP(Table91213[[#This Row],[Date]],'DB Details'!$A:$Q,10))</f>
        <v>55</v>
      </c>
      <c r="K269" s="50">
        <f>IF(VLOOKUP(Table91213[[#This Row],[Date]],'DB Details'!$A:$Q,11)=0,"",VLOOKUP(Table91213[[#This Row],[Date]],'DB Details'!$A:$Q,11))</f>
        <v>55.5</v>
      </c>
      <c r="L269" s="48">
        <f>IF(VLOOKUP(Table91213[[#This Row],[Date]],'DB Details'!$A:$Q,12)=0,"",VLOOKUP(Table91213[[#This Row],[Date]],'DB Details'!$A:$Q,12))</f>
        <v>55.1</v>
      </c>
    </row>
    <row r="270" spans="1:12" x14ac:dyDescent="0.35">
      <c r="A270" s="51">
        <v>43647</v>
      </c>
      <c r="B270" s="48">
        <f>IF(VLOOKUP(Table91213[[#This Row],[Date]],'DB Details'!$A:$Q,2)=0,"",VLOOKUP(Table91213[[#This Row],[Date]],'DB Details'!$A:$Q,2))</f>
        <v>54.1</v>
      </c>
      <c r="C270" s="49">
        <f>IF(VLOOKUP(Table91213[[#This Row],[Date]],'DB Details'!$A:$Q,3)=0,"",VLOOKUP(Table91213[[#This Row],[Date]],'DB Details'!$A:$Q,3))</f>
        <v>53.5</v>
      </c>
      <c r="D270" s="49">
        <f>IF(VLOOKUP(Table91213[[#This Row],[Date]],'DB Details'!$A:$Q,4)=0,"",VLOOKUP(Table91213[[#This Row],[Date]],'DB Details'!$A:$Q,4))</f>
        <v>53.5</v>
      </c>
      <c r="E270" s="50">
        <f>IF(VLOOKUP(Table91213[[#This Row],[Date]],'DB Details'!$A:$Q,5)=0,"",VLOOKUP(Table91213[[#This Row],[Date]],'DB Details'!$A:$Q,5))</f>
        <v>56.5</v>
      </c>
      <c r="F270" s="49">
        <f>IF(VLOOKUP(Table91213[[#This Row],[Date]],'DB Details'!$A:$Q,6)=0,"",VLOOKUP(Table91213[[#This Row],[Date]],'DB Details'!$A:$Q,6))</f>
        <v>53.1</v>
      </c>
      <c r="G270" s="50">
        <f>IF(VLOOKUP(Table91213[[#This Row],[Date]],'DB Details'!$A:$Q,7)=0,"",VLOOKUP(Table91213[[#This Row],[Date]],'DB Details'!$A:$Q,7))</f>
        <v>60.5</v>
      </c>
      <c r="H270" s="50">
        <f>IF(VLOOKUP(Table91213[[#This Row],[Date]],'DB Details'!$A:$Q,8)=0,"",VLOOKUP(Table91213[[#This Row],[Date]],'DB Details'!$A:$Q,8))</f>
        <v>50</v>
      </c>
      <c r="I270" s="50">
        <f>IF(VLOOKUP(Table91213[[#This Row],[Date]],'DB Details'!$A:$Q,9)=0,"",VLOOKUP(Table91213[[#This Row],[Date]],'DB Details'!$A:$Q,9))</f>
        <v>51.5</v>
      </c>
      <c r="J270" s="50">
        <f>IF(VLOOKUP(Table91213[[#This Row],[Date]],'DB Details'!$A:$Q,10)=0,"",VLOOKUP(Table91213[[#This Row],[Date]],'DB Details'!$A:$Q,10))</f>
        <v>56.2</v>
      </c>
      <c r="K270" s="50">
        <f>IF(VLOOKUP(Table91213[[#This Row],[Date]],'DB Details'!$A:$Q,11)=0,"",VLOOKUP(Table91213[[#This Row],[Date]],'DB Details'!$A:$Q,11))</f>
        <v>53.5</v>
      </c>
      <c r="L270" s="48">
        <f>IF(VLOOKUP(Table91213[[#This Row],[Date]],'DB Details'!$A:$Q,12)=0,"",VLOOKUP(Table91213[[#This Row],[Date]],'DB Details'!$A:$Q,12))</f>
        <v>53.7</v>
      </c>
    </row>
    <row r="271" spans="1:12" x14ac:dyDescent="0.35">
      <c r="A271" s="51">
        <v>43678</v>
      </c>
      <c r="B271" s="48">
        <f>IF(VLOOKUP(Table91213[[#This Row],[Date]],'DB Details'!$A:$Q,2)=0,"",VLOOKUP(Table91213[[#This Row],[Date]],'DB Details'!$A:$Q,2))</f>
        <v>60.3</v>
      </c>
      <c r="C271" s="49">
        <f>IF(VLOOKUP(Table91213[[#This Row],[Date]],'DB Details'!$A:$Q,3)=0,"",VLOOKUP(Table91213[[#This Row],[Date]],'DB Details'!$A:$Q,3))</f>
        <v>50.5</v>
      </c>
      <c r="D271" s="49">
        <f>IF(VLOOKUP(Table91213[[#This Row],[Date]],'DB Details'!$A:$Q,4)=0,"",VLOOKUP(Table91213[[#This Row],[Date]],'DB Details'!$A:$Q,4))</f>
        <v>49</v>
      </c>
      <c r="E271" s="50">
        <f>IF(VLOOKUP(Table91213[[#This Row],[Date]],'DB Details'!$A:$Q,5)=0,"",VLOOKUP(Table91213[[#This Row],[Date]],'DB Details'!$A:$Q,5))</f>
        <v>58.2</v>
      </c>
      <c r="F271" s="49">
        <f>IF(VLOOKUP(Table91213[[#This Row],[Date]],'DB Details'!$A:$Q,6)=0,"",VLOOKUP(Table91213[[#This Row],[Date]],'DB Details'!$A:$Q,6))</f>
        <v>61.5</v>
      </c>
      <c r="G271" s="50">
        <f>IF(VLOOKUP(Table91213[[#This Row],[Date]],'DB Details'!$A:$Q,7)=0,"",VLOOKUP(Table91213[[#This Row],[Date]],'DB Details'!$A:$Q,7))</f>
        <v>56</v>
      </c>
      <c r="H271" s="50">
        <f>IF(VLOOKUP(Table91213[[#This Row],[Date]],'DB Details'!$A:$Q,8)=0,"",VLOOKUP(Table91213[[#This Row],[Date]],'DB Details'!$A:$Q,8))</f>
        <v>55</v>
      </c>
      <c r="I271" s="50">
        <f>IF(VLOOKUP(Table91213[[#This Row],[Date]],'DB Details'!$A:$Q,9)=0,"",VLOOKUP(Table91213[[#This Row],[Date]],'DB Details'!$A:$Q,9))</f>
        <v>50.5</v>
      </c>
      <c r="J271" s="50">
        <f>IF(VLOOKUP(Table91213[[#This Row],[Date]],'DB Details'!$A:$Q,10)=0,"",VLOOKUP(Table91213[[#This Row],[Date]],'DB Details'!$A:$Q,10))</f>
        <v>53.1</v>
      </c>
      <c r="K271" s="50">
        <f>IF(VLOOKUP(Table91213[[#This Row],[Date]],'DB Details'!$A:$Q,11)=0,"",VLOOKUP(Table91213[[#This Row],[Date]],'DB Details'!$A:$Q,11))</f>
        <v>50.5</v>
      </c>
      <c r="L271" s="48">
        <f>IF(VLOOKUP(Table91213[[#This Row],[Date]],'DB Details'!$A:$Q,12)=0,"",VLOOKUP(Table91213[[#This Row],[Date]],'DB Details'!$A:$Q,12))</f>
        <v>56.4</v>
      </c>
    </row>
    <row r="272" spans="1:12" x14ac:dyDescent="0.35">
      <c r="A272" s="51">
        <v>43709</v>
      </c>
      <c r="B272" s="48">
        <f>IF(VLOOKUP(Table91213[[#This Row],[Date]],'DB Details'!$A:$Q,2)=0,"",VLOOKUP(Table91213[[#This Row],[Date]],'DB Details'!$A:$Q,2))</f>
        <v>53.7</v>
      </c>
      <c r="C272" s="49">
        <f>IF(VLOOKUP(Table91213[[#This Row],[Date]],'DB Details'!$A:$Q,3)=0,"",VLOOKUP(Table91213[[#This Row],[Date]],'DB Details'!$A:$Q,3))</f>
        <v>49</v>
      </c>
      <c r="D272" s="49">
        <f>IF(VLOOKUP(Table91213[[#This Row],[Date]],'DB Details'!$A:$Q,4)=0,"",VLOOKUP(Table91213[[#This Row],[Date]],'DB Details'!$A:$Q,4))</f>
        <v>54</v>
      </c>
      <c r="E272" s="50">
        <f>IF(VLOOKUP(Table91213[[#This Row],[Date]],'DB Details'!$A:$Q,5)=0,"",VLOOKUP(Table91213[[#This Row],[Date]],'DB Details'!$A:$Q,5))</f>
        <v>60</v>
      </c>
      <c r="F272" s="49">
        <f>IF(VLOOKUP(Table91213[[#This Row],[Date]],'DB Details'!$A:$Q,6)=0,"",VLOOKUP(Table91213[[#This Row],[Date]],'DB Details'!$A:$Q,6))</f>
        <v>55.2</v>
      </c>
      <c r="G272" s="50">
        <f>IF(VLOOKUP(Table91213[[#This Row],[Date]],'DB Details'!$A:$Q,7)=0,"",VLOOKUP(Table91213[[#This Row],[Date]],'DB Details'!$A:$Q,7))</f>
        <v>58</v>
      </c>
      <c r="H272" s="50">
        <f>IF(VLOOKUP(Table91213[[#This Row],[Date]],'DB Details'!$A:$Q,8)=0,"",VLOOKUP(Table91213[[#This Row],[Date]],'DB Details'!$A:$Q,8))</f>
        <v>53</v>
      </c>
      <c r="I272" s="50">
        <f>IF(VLOOKUP(Table91213[[#This Row],[Date]],'DB Details'!$A:$Q,9)=0,"",VLOOKUP(Table91213[[#This Row],[Date]],'DB Details'!$A:$Q,9))</f>
        <v>51</v>
      </c>
      <c r="J272" s="50">
        <f>IF(VLOOKUP(Table91213[[#This Row],[Date]],'DB Details'!$A:$Q,10)=0,"",VLOOKUP(Table91213[[#This Row],[Date]],'DB Details'!$A:$Q,10))</f>
        <v>50.4</v>
      </c>
      <c r="K272" s="50">
        <f>IF(VLOOKUP(Table91213[[#This Row],[Date]],'DB Details'!$A:$Q,11)=0,"",VLOOKUP(Table91213[[#This Row],[Date]],'DB Details'!$A:$Q,11))</f>
        <v>52</v>
      </c>
      <c r="L272" s="48">
        <f>IF(VLOOKUP(Table91213[[#This Row],[Date]],'DB Details'!$A:$Q,12)=0,"",VLOOKUP(Table91213[[#This Row],[Date]],'DB Details'!$A:$Q,12))</f>
        <v>52.6</v>
      </c>
    </row>
    <row r="273" spans="1:12" x14ac:dyDescent="0.35">
      <c r="A273" s="51">
        <v>43739</v>
      </c>
      <c r="B273" s="48">
        <f>IF(VLOOKUP(Table91213[[#This Row],[Date]],'DB Details'!$A:$Q,2)=0,"",VLOOKUP(Table91213[[#This Row],[Date]],'DB Details'!$A:$Q,2))</f>
        <v>55.6</v>
      </c>
      <c r="C273" s="49">
        <f>IF(VLOOKUP(Table91213[[#This Row],[Date]],'DB Details'!$A:$Q,3)=0,"",VLOOKUP(Table91213[[#This Row],[Date]],'DB Details'!$A:$Q,3))</f>
        <v>48.5</v>
      </c>
      <c r="D273" s="49">
        <f>IF(VLOOKUP(Table91213[[#This Row],[Date]],'DB Details'!$A:$Q,4)=0,"",VLOOKUP(Table91213[[#This Row],[Date]],'DB Details'!$A:$Q,4))</f>
        <v>48.5</v>
      </c>
      <c r="E273" s="50">
        <f>IF(VLOOKUP(Table91213[[#This Row],[Date]],'DB Details'!$A:$Q,5)=0,"",VLOOKUP(Table91213[[#This Row],[Date]],'DB Details'!$A:$Q,5))</f>
        <v>56.6</v>
      </c>
      <c r="F273" s="49">
        <f>IF(VLOOKUP(Table91213[[#This Row],[Date]],'DB Details'!$A:$Q,6)=0,"",VLOOKUP(Table91213[[#This Row],[Date]],'DB Details'!$A:$Q,6))</f>
        <v>57</v>
      </c>
      <c r="G273" s="50">
        <f>IF(VLOOKUP(Table91213[[#This Row],[Date]],'DB Details'!$A:$Q,7)=0,"",VLOOKUP(Table91213[[#This Row],[Date]],'DB Details'!$A:$Q,7))</f>
        <v>57</v>
      </c>
      <c r="H273" s="50">
        <f>IF(VLOOKUP(Table91213[[#This Row],[Date]],'DB Details'!$A:$Q,8)=0,"",VLOOKUP(Table91213[[#This Row],[Date]],'DB Details'!$A:$Q,8))</f>
        <v>50.5</v>
      </c>
      <c r="I273" s="50">
        <f>IF(VLOOKUP(Table91213[[#This Row],[Date]],'DB Details'!$A:$Q,9)=0,"",VLOOKUP(Table91213[[#This Row],[Date]],'DB Details'!$A:$Q,9))</f>
        <v>52.5</v>
      </c>
      <c r="J273" s="50">
        <f>IF(VLOOKUP(Table91213[[#This Row],[Date]],'DB Details'!$A:$Q,10)=0,"",VLOOKUP(Table91213[[#This Row],[Date]],'DB Details'!$A:$Q,10))</f>
        <v>53.7</v>
      </c>
      <c r="K273" s="50">
        <f>IF(VLOOKUP(Table91213[[#This Row],[Date]],'DB Details'!$A:$Q,11)=0,"",VLOOKUP(Table91213[[#This Row],[Date]],'DB Details'!$A:$Q,11))</f>
        <v>50</v>
      </c>
      <c r="L273" s="48">
        <f>IF(VLOOKUP(Table91213[[#This Row],[Date]],'DB Details'!$A:$Q,12)=0,"",VLOOKUP(Table91213[[#This Row],[Date]],'DB Details'!$A:$Q,12))</f>
        <v>54.7</v>
      </c>
    </row>
    <row r="274" spans="1:12" x14ac:dyDescent="0.35">
      <c r="A274" s="51">
        <v>43770</v>
      </c>
      <c r="B274" s="48">
        <f>IF(VLOOKUP(Table91213[[#This Row],[Date]],'DB Details'!$A:$Q,2)=0,"",VLOOKUP(Table91213[[#This Row],[Date]],'DB Details'!$A:$Q,2))</f>
        <v>57.1</v>
      </c>
      <c r="C274" s="49">
        <f>IF(VLOOKUP(Table91213[[#This Row],[Date]],'DB Details'!$A:$Q,3)=0,"",VLOOKUP(Table91213[[#This Row],[Date]],'DB Details'!$A:$Q,3))</f>
        <v>45</v>
      </c>
      <c r="D274" s="49">
        <f>IF(VLOOKUP(Table91213[[#This Row],[Date]],'DB Details'!$A:$Q,4)=0,"",VLOOKUP(Table91213[[#This Row],[Date]],'DB Details'!$A:$Q,4))</f>
        <v>48.5</v>
      </c>
      <c r="E274" s="50">
        <f>IF(VLOOKUP(Table91213[[#This Row],[Date]],'DB Details'!$A:$Q,5)=0,"",VLOOKUP(Table91213[[#This Row],[Date]],'DB Details'!$A:$Q,5))</f>
        <v>58.5</v>
      </c>
      <c r="F274" s="49">
        <f>IF(VLOOKUP(Table91213[[#This Row],[Date]],'DB Details'!$A:$Q,6)=0,"",VLOOKUP(Table91213[[#This Row],[Date]],'DB Details'!$A:$Q,6))</f>
        <v>51.6</v>
      </c>
      <c r="G274" s="50">
        <f>IF(VLOOKUP(Table91213[[#This Row],[Date]],'DB Details'!$A:$Q,7)=0,"",VLOOKUP(Table91213[[#This Row],[Date]],'DB Details'!$A:$Q,7))</f>
        <v>58.5</v>
      </c>
      <c r="H274" s="50">
        <f>IF(VLOOKUP(Table91213[[#This Row],[Date]],'DB Details'!$A:$Q,8)=0,"",VLOOKUP(Table91213[[#This Row],[Date]],'DB Details'!$A:$Q,8))</f>
        <v>50.5</v>
      </c>
      <c r="I274" s="50">
        <f>IF(VLOOKUP(Table91213[[#This Row],[Date]],'DB Details'!$A:$Q,9)=0,"",VLOOKUP(Table91213[[#This Row],[Date]],'DB Details'!$A:$Q,9))</f>
        <v>51.5</v>
      </c>
      <c r="J274" s="50">
        <f>IF(VLOOKUP(Table91213[[#This Row],[Date]],'DB Details'!$A:$Q,10)=0,"",VLOOKUP(Table91213[[#This Row],[Date]],'DB Details'!$A:$Q,10))</f>
        <v>55.5</v>
      </c>
      <c r="K274" s="50">
        <f>IF(VLOOKUP(Table91213[[#This Row],[Date]],'DB Details'!$A:$Q,11)=0,"",VLOOKUP(Table91213[[#This Row],[Date]],'DB Details'!$A:$Q,11))</f>
        <v>52</v>
      </c>
      <c r="L274" s="48">
        <f>IF(VLOOKUP(Table91213[[#This Row],[Date]],'DB Details'!$A:$Q,12)=0,"",VLOOKUP(Table91213[[#This Row],[Date]],'DB Details'!$A:$Q,12))</f>
        <v>53.9</v>
      </c>
    </row>
    <row r="275" spans="1:12" x14ac:dyDescent="0.35">
      <c r="A275" s="51">
        <v>43800</v>
      </c>
      <c r="B275" s="48">
        <f>IF(VLOOKUP(Table91213[[#This Row],[Date]],'DB Details'!$A:$Q,2)=0,"",VLOOKUP(Table91213[[#This Row],[Date]],'DB Details'!$A:$Q,2))</f>
        <v>54.9</v>
      </c>
      <c r="C275" s="49">
        <f>IF(VLOOKUP(Table91213[[#This Row],[Date]],'DB Details'!$A:$Q,3)=0,"",VLOOKUP(Table91213[[#This Row],[Date]],'DB Details'!$A:$Q,3))</f>
        <v>48</v>
      </c>
      <c r="D275" s="49">
        <f>IF(VLOOKUP(Table91213[[#This Row],[Date]],'DB Details'!$A:$Q,4)=0,"",VLOOKUP(Table91213[[#This Row],[Date]],'DB Details'!$A:$Q,4))</f>
        <v>47.5</v>
      </c>
      <c r="E275" s="50">
        <f>IF(VLOOKUP(Table91213[[#This Row],[Date]],'DB Details'!$A:$Q,5)=0,"",VLOOKUP(Table91213[[#This Row],[Date]],'DB Details'!$A:$Q,5))</f>
        <v>58.5</v>
      </c>
      <c r="F275" s="49">
        <f>IF(VLOOKUP(Table91213[[#This Row],[Date]],'DB Details'!$A:$Q,6)=0,"",VLOOKUP(Table91213[[#This Row],[Date]],'DB Details'!$A:$Q,6))</f>
        <v>57.2</v>
      </c>
      <c r="G275" s="50">
        <f>IF(VLOOKUP(Table91213[[#This Row],[Date]],'DB Details'!$A:$Q,7)=0,"",VLOOKUP(Table91213[[#This Row],[Date]],'DB Details'!$A:$Q,7))</f>
        <v>60</v>
      </c>
      <c r="H275" s="50">
        <f>IF(VLOOKUP(Table91213[[#This Row],[Date]],'DB Details'!$A:$Q,8)=0,"",VLOOKUP(Table91213[[#This Row],[Date]],'DB Details'!$A:$Q,8))</f>
        <v>51</v>
      </c>
      <c r="I275" s="50">
        <f>IF(VLOOKUP(Table91213[[#This Row],[Date]],'DB Details'!$A:$Q,9)=0,"",VLOOKUP(Table91213[[#This Row],[Date]],'DB Details'!$A:$Q,9))</f>
        <v>52.5</v>
      </c>
      <c r="J275" s="50">
        <f>IF(VLOOKUP(Table91213[[#This Row],[Date]],'DB Details'!$A:$Q,10)=0,"",VLOOKUP(Table91213[[#This Row],[Date]],'DB Details'!$A:$Q,10))</f>
        <v>55.2</v>
      </c>
      <c r="K275" s="50">
        <f>IF(VLOOKUP(Table91213[[#This Row],[Date]],'DB Details'!$A:$Q,11)=0,"",VLOOKUP(Table91213[[#This Row],[Date]],'DB Details'!$A:$Q,11))</f>
        <v>51</v>
      </c>
      <c r="L275" s="48">
        <f>IF(VLOOKUP(Table91213[[#This Row],[Date]],'DB Details'!$A:$Q,12)=0,"",VLOOKUP(Table91213[[#This Row],[Date]],'DB Details'!$A:$Q,12))</f>
        <v>55</v>
      </c>
    </row>
    <row r="276" spans="1:12" x14ac:dyDescent="0.35">
      <c r="A276" s="51">
        <v>43831</v>
      </c>
      <c r="B276" s="48">
        <f>IF(VLOOKUP(Table91213[[#This Row],[Date]],'DB Details'!$A:$Q,2)=0,"",VLOOKUP(Table91213[[#This Row],[Date]],'DB Details'!$A:$Q,2))</f>
        <v>56.2</v>
      </c>
      <c r="C276" s="49">
        <f>IF(VLOOKUP(Table91213[[#This Row],[Date]],'DB Details'!$A:$Q,3)=0,"",VLOOKUP(Table91213[[#This Row],[Date]],'DB Details'!$A:$Q,3))</f>
        <v>55.1</v>
      </c>
      <c r="D276" s="49">
        <f>IF(VLOOKUP(Table91213[[#This Row],[Date]],'DB Details'!$A:$Q,4)=0,"",VLOOKUP(Table91213[[#This Row],[Date]],'DB Details'!$A:$Q,4))</f>
        <v>45.5</v>
      </c>
      <c r="E276" s="50">
        <f>IF(VLOOKUP(Table91213[[#This Row],[Date]],'DB Details'!$A:$Q,5)=0,"",VLOOKUP(Table91213[[#This Row],[Date]],'DB Details'!$A:$Q,5))</f>
        <v>55.5</v>
      </c>
      <c r="F276" s="49">
        <f>IF(VLOOKUP(Table91213[[#This Row],[Date]],'DB Details'!$A:$Q,6)=0,"",VLOOKUP(Table91213[[#This Row],[Date]],'DB Details'!$A:$Q,6))</f>
        <v>60.9</v>
      </c>
      <c r="G276" s="50">
        <f>IF(VLOOKUP(Table91213[[#This Row],[Date]],'DB Details'!$A:$Q,7)=0,"",VLOOKUP(Table91213[[#This Row],[Date]],'DB Details'!$A:$Q,7))</f>
        <v>54.9</v>
      </c>
      <c r="H276" s="50">
        <f>IF(VLOOKUP(Table91213[[#This Row],[Date]],'DB Details'!$A:$Q,8)=0,"",VLOOKUP(Table91213[[#This Row],[Date]],'DB Details'!$A:$Q,8))</f>
        <v>46.5</v>
      </c>
      <c r="I276" s="50">
        <f>IF(VLOOKUP(Table91213[[#This Row],[Date]],'DB Details'!$A:$Q,9)=0,"",VLOOKUP(Table91213[[#This Row],[Date]],'DB Details'!$A:$Q,9))</f>
        <v>51.7</v>
      </c>
      <c r="J276" s="50">
        <f>IF(VLOOKUP(Table91213[[#This Row],[Date]],'DB Details'!$A:$Q,10)=0,"",VLOOKUP(Table91213[[#This Row],[Date]],'DB Details'!$A:$Q,10))</f>
        <v>53.1</v>
      </c>
      <c r="K276" s="50">
        <f>IF(VLOOKUP(Table91213[[#This Row],[Date]],'DB Details'!$A:$Q,11)=0,"",VLOOKUP(Table91213[[#This Row],[Date]],'DB Details'!$A:$Q,11))</f>
        <v>50.1</v>
      </c>
      <c r="L276" s="48">
        <f>IF(VLOOKUP(Table91213[[#This Row],[Date]],'DB Details'!$A:$Q,12)=0,"",VLOOKUP(Table91213[[#This Row],[Date]],'DB Details'!$A:$Q,12))</f>
        <v>55.5</v>
      </c>
    </row>
    <row r="277" spans="1:12" x14ac:dyDescent="0.35">
      <c r="A277" s="51">
        <v>43862</v>
      </c>
      <c r="B277" s="48">
        <f>IF(VLOOKUP(Table91213[[#This Row],[Date]],'DB Details'!$A:$Q,2)=0,"",VLOOKUP(Table91213[[#This Row],[Date]],'DB Details'!$A:$Q,2))</f>
        <v>63.1</v>
      </c>
      <c r="C277" s="49">
        <f>IF(VLOOKUP(Table91213[[#This Row],[Date]],'DB Details'!$A:$Q,3)=0,"",VLOOKUP(Table91213[[#This Row],[Date]],'DB Details'!$A:$Q,3))</f>
        <v>52.6</v>
      </c>
      <c r="D277" s="49">
        <f>IF(VLOOKUP(Table91213[[#This Row],[Date]],'DB Details'!$A:$Q,4)=0,"",VLOOKUP(Table91213[[#This Row],[Date]],'DB Details'!$A:$Q,4))</f>
        <v>53.2</v>
      </c>
      <c r="E277" s="50">
        <f>IF(VLOOKUP(Table91213[[#This Row],[Date]],'DB Details'!$A:$Q,5)=0,"",VLOOKUP(Table91213[[#This Row],[Date]],'DB Details'!$A:$Q,5))</f>
        <v>50.8</v>
      </c>
      <c r="F277" s="49">
        <f>IF(VLOOKUP(Table91213[[#This Row],[Date]],'DB Details'!$A:$Q,6)=0,"",VLOOKUP(Table91213[[#This Row],[Date]],'DB Details'!$A:$Q,6))</f>
        <v>57.8</v>
      </c>
      <c r="G277" s="50">
        <f>IF(VLOOKUP(Table91213[[#This Row],[Date]],'DB Details'!$A:$Q,7)=0,"",VLOOKUP(Table91213[[#This Row],[Date]],'DB Details'!$A:$Q,7))</f>
        <v>59.3</v>
      </c>
      <c r="H277" s="50">
        <f>IF(VLOOKUP(Table91213[[#This Row],[Date]],'DB Details'!$A:$Q,8)=0,"",VLOOKUP(Table91213[[#This Row],[Date]],'DB Details'!$A:$Q,8))</f>
        <v>53.9</v>
      </c>
      <c r="I277" s="50">
        <f>IF(VLOOKUP(Table91213[[#This Row],[Date]],'DB Details'!$A:$Q,9)=0,"",VLOOKUP(Table91213[[#This Row],[Date]],'DB Details'!$A:$Q,9))</f>
        <v>52.4</v>
      </c>
      <c r="J277" s="50">
        <f>IF(VLOOKUP(Table91213[[#This Row],[Date]],'DB Details'!$A:$Q,10)=0,"",VLOOKUP(Table91213[[#This Row],[Date]],'DB Details'!$A:$Q,10))</f>
        <v>55.6</v>
      </c>
      <c r="K277" s="50">
        <f>IF(VLOOKUP(Table91213[[#This Row],[Date]],'DB Details'!$A:$Q,11)=0,"",VLOOKUP(Table91213[[#This Row],[Date]],'DB Details'!$A:$Q,11))</f>
        <v>55.6</v>
      </c>
      <c r="L277" s="48">
        <f>IF(VLOOKUP(Table91213[[#This Row],[Date]],'DB Details'!$A:$Q,12)=0,"",VLOOKUP(Table91213[[#This Row],[Date]],'DB Details'!$A:$Q,12))</f>
        <v>57.3</v>
      </c>
    </row>
    <row r="278" spans="1:12" x14ac:dyDescent="0.35">
      <c r="A278" s="51">
        <v>43891</v>
      </c>
      <c r="B278" s="48">
        <f>IF(VLOOKUP(Table91213[[#This Row],[Date]],'DB Details'!$A:$Q,2)=0,"",VLOOKUP(Table91213[[#This Row],[Date]],'DB Details'!$A:$Q,2))</f>
        <v>52.9</v>
      </c>
      <c r="C278" s="49">
        <f>IF(VLOOKUP(Table91213[[#This Row],[Date]],'DB Details'!$A:$Q,3)=0,"",VLOOKUP(Table91213[[#This Row],[Date]],'DB Details'!$A:$Q,3))</f>
        <v>40.200000000000003</v>
      </c>
      <c r="D278" s="49">
        <f>IF(VLOOKUP(Table91213[[#This Row],[Date]],'DB Details'!$A:$Q,4)=0,"",VLOOKUP(Table91213[[#This Row],[Date]],'DB Details'!$A:$Q,4))</f>
        <v>55</v>
      </c>
      <c r="E278" s="50">
        <f>IF(VLOOKUP(Table91213[[#This Row],[Date]],'DB Details'!$A:$Q,5)=0,"",VLOOKUP(Table91213[[#This Row],[Date]],'DB Details'!$A:$Q,5))</f>
        <v>50</v>
      </c>
      <c r="F278" s="49">
        <f>IF(VLOOKUP(Table91213[[#This Row],[Date]],'DB Details'!$A:$Q,6)=0,"",VLOOKUP(Table91213[[#This Row],[Date]],'DB Details'!$A:$Q,6))</f>
        <v>48</v>
      </c>
      <c r="G278" s="50">
        <f>IF(VLOOKUP(Table91213[[#This Row],[Date]],'DB Details'!$A:$Q,7)=0,"",VLOOKUP(Table91213[[#This Row],[Date]],'DB Details'!$A:$Q,7))</f>
        <v>47.8</v>
      </c>
      <c r="H278" s="50">
        <f>IF(VLOOKUP(Table91213[[#This Row],[Date]],'DB Details'!$A:$Q,8)=0,"",VLOOKUP(Table91213[[#This Row],[Date]],'DB Details'!$A:$Q,8))</f>
        <v>41.5</v>
      </c>
      <c r="I278" s="50">
        <f>IF(VLOOKUP(Table91213[[#This Row],[Date]],'DB Details'!$A:$Q,9)=0,"",VLOOKUP(Table91213[[#This Row],[Date]],'DB Details'!$A:$Q,9))</f>
        <v>62.1</v>
      </c>
      <c r="J278" s="50">
        <f>IF(VLOOKUP(Table91213[[#This Row],[Date]],'DB Details'!$A:$Q,10)=0,"",VLOOKUP(Table91213[[#This Row],[Date]],'DB Details'!$A:$Q,10))</f>
        <v>47</v>
      </c>
      <c r="K278" s="50">
        <f>IF(VLOOKUP(Table91213[[#This Row],[Date]],'DB Details'!$A:$Q,11)=0,"",VLOOKUP(Table91213[[#This Row],[Date]],'DB Details'!$A:$Q,11))</f>
        <v>45.9</v>
      </c>
      <c r="L278" s="48">
        <f>IF(VLOOKUP(Table91213[[#This Row],[Date]],'DB Details'!$A:$Q,12)=0,"",VLOOKUP(Table91213[[#This Row],[Date]],'DB Details'!$A:$Q,12))</f>
        <v>52.5</v>
      </c>
    </row>
    <row r="279" spans="1:12" x14ac:dyDescent="0.35">
      <c r="A279" s="51">
        <v>43922</v>
      </c>
      <c r="B279" s="48">
        <f>IF(VLOOKUP(Table91213[[#This Row],[Date]],'DB Details'!$A:$Q,2)=0,"",VLOOKUP(Table91213[[#This Row],[Date]],'DB Details'!$A:$Q,2))</f>
        <v>32.9</v>
      </c>
      <c r="C279" s="49">
        <f>IF(VLOOKUP(Table91213[[#This Row],[Date]],'DB Details'!$A:$Q,3)=0,"",VLOOKUP(Table91213[[#This Row],[Date]],'DB Details'!$A:$Q,3))</f>
        <v>49.3</v>
      </c>
      <c r="D279" s="49">
        <f>IF(VLOOKUP(Table91213[[#This Row],[Date]],'DB Details'!$A:$Q,4)=0,"",VLOOKUP(Table91213[[#This Row],[Date]],'DB Details'!$A:$Q,4))</f>
        <v>47.7</v>
      </c>
      <c r="E279" s="50">
        <f>IF(VLOOKUP(Table91213[[#This Row],[Date]],'DB Details'!$A:$Q,5)=0,"",VLOOKUP(Table91213[[#This Row],[Date]],'DB Details'!$A:$Q,5))</f>
        <v>55.1</v>
      </c>
      <c r="F279" s="49">
        <f>IF(VLOOKUP(Table91213[[#This Row],[Date]],'DB Details'!$A:$Q,6)=0,"",VLOOKUP(Table91213[[#This Row],[Date]],'DB Details'!$A:$Q,6))</f>
        <v>26</v>
      </c>
      <c r="G279" s="50">
        <f>IF(VLOOKUP(Table91213[[#This Row],[Date]],'DB Details'!$A:$Q,7)=0,"",VLOOKUP(Table91213[[#This Row],[Date]],'DB Details'!$A:$Q,7))</f>
        <v>62.6</v>
      </c>
      <c r="H279" s="50">
        <f>IF(VLOOKUP(Table91213[[#This Row],[Date]],'DB Details'!$A:$Q,8)=0,"",VLOOKUP(Table91213[[#This Row],[Date]],'DB Details'!$A:$Q,8))</f>
        <v>46.9</v>
      </c>
      <c r="I279" s="50">
        <f>IF(VLOOKUP(Table91213[[#This Row],[Date]],'DB Details'!$A:$Q,9)=0,"",VLOOKUP(Table91213[[#This Row],[Date]],'DB Details'!$A:$Q,9))</f>
        <v>78.3</v>
      </c>
      <c r="J279" s="50">
        <f>IF(VLOOKUP(Table91213[[#This Row],[Date]],'DB Details'!$A:$Q,10)=0,"",VLOOKUP(Table91213[[#This Row],[Date]],'DB Details'!$A:$Q,10))</f>
        <v>30</v>
      </c>
      <c r="K279" s="50">
        <f>IF(VLOOKUP(Table91213[[#This Row],[Date]],'DB Details'!$A:$Q,11)=0,"",VLOOKUP(Table91213[[#This Row],[Date]],'DB Details'!$A:$Q,11))</f>
        <v>36.299999999999997</v>
      </c>
      <c r="L279" s="48">
        <f>IF(VLOOKUP(Table91213[[#This Row],[Date]],'DB Details'!$A:$Q,12)=0,"",VLOOKUP(Table91213[[#This Row],[Date]],'DB Details'!$A:$Q,12))</f>
        <v>41.8</v>
      </c>
    </row>
    <row r="280" spans="1:12" x14ac:dyDescent="0.35">
      <c r="A280" s="51">
        <v>43952</v>
      </c>
      <c r="B280" s="48">
        <f>IF(VLOOKUP(Table91213[[#This Row],[Date]],'DB Details'!$A:$Q,2)=0,"",VLOOKUP(Table91213[[#This Row],[Date]],'DB Details'!$A:$Q,2))</f>
        <v>41.9</v>
      </c>
      <c r="C280" s="49">
        <f>IF(VLOOKUP(Table91213[[#This Row],[Date]],'DB Details'!$A:$Q,3)=0,"",VLOOKUP(Table91213[[#This Row],[Date]],'DB Details'!$A:$Q,3))</f>
        <v>43.7</v>
      </c>
      <c r="D280" s="49">
        <f>IF(VLOOKUP(Table91213[[#This Row],[Date]],'DB Details'!$A:$Q,4)=0,"",VLOOKUP(Table91213[[#This Row],[Date]],'DB Details'!$A:$Q,4))</f>
        <v>46.4</v>
      </c>
      <c r="E280" s="50">
        <f>IF(VLOOKUP(Table91213[[#This Row],[Date]],'DB Details'!$A:$Q,5)=0,"",VLOOKUP(Table91213[[#This Row],[Date]],'DB Details'!$A:$Q,5))</f>
        <v>55.6</v>
      </c>
      <c r="F280" s="49">
        <f>IF(VLOOKUP(Table91213[[#This Row],[Date]],'DB Details'!$A:$Q,6)=0,"",VLOOKUP(Table91213[[#This Row],[Date]],'DB Details'!$A:$Q,6))</f>
        <v>41</v>
      </c>
      <c r="G280" s="50">
        <f>IF(VLOOKUP(Table91213[[#This Row],[Date]],'DB Details'!$A:$Q,7)=0,"",VLOOKUP(Table91213[[#This Row],[Date]],'DB Details'!$A:$Q,7))</f>
        <v>55.1</v>
      </c>
      <c r="H280" s="50">
        <f>IF(VLOOKUP(Table91213[[#This Row],[Date]],'DB Details'!$A:$Q,8)=0,"",VLOOKUP(Table91213[[#This Row],[Date]],'DB Details'!$A:$Q,8))</f>
        <v>48</v>
      </c>
      <c r="I280" s="50">
        <f>IF(VLOOKUP(Table91213[[#This Row],[Date]],'DB Details'!$A:$Q,9)=0,"",VLOOKUP(Table91213[[#This Row],[Date]],'DB Details'!$A:$Q,9))</f>
        <v>67</v>
      </c>
      <c r="J280" s="50">
        <f>IF(VLOOKUP(Table91213[[#This Row],[Date]],'DB Details'!$A:$Q,10)=0,"",VLOOKUP(Table91213[[#This Row],[Date]],'DB Details'!$A:$Q,10))</f>
        <v>31.8</v>
      </c>
      <c r="K280" s="50">
        <f>IF(VLOOKUP(Table91213[[#This Row],[Date]],'DB Details'!$A:$Q,11)=0,"",VLOOKUP(Table91213[[#This Row],[Date]],'DB Details'!$A:$Q,11))</f>
        <v>41.5</v>
      </c>
      <c r="L280" s="48">
        <f>IF(VLOOKUP(Table91213[[#This Row],[Date]],'DB Details'!$A:$Q,12)=0,"",VLOOKUP(Table91213[[#This Row],[Date]],'DB Details'!$A:$Q,12))</f>
        <v>45.4</v>
      </c>
    </row>
    <row r="281" spans="1:12" x14ac:dyDescent="0.35">
      <c r="A281" s="51">
        <v>43983</v>
      </c>
      <c r="B281" s="48">
        <f>IF(VLOOKUP(Table91213[[#This Row],[Date]],'DB Details'!$A:$Q,2)=0,"",VLOOKUP(Table91213[[#This Row],[Date]],'DB Details'!$A:$Q,2))</f>
        <v>61.6</v>
      </c>
      <c r="C281" s="49">
        <f>IF(VLOOKUP(Table91213[[#This Row],[Date]],'DB Details'!$A:$Q,3)=0,"",VLOOKUP(Table91213[[#This Row],[Date]],'DB Details'!$A:$Q,3))</f>
        <v>52.9</v>
      </c>
      <c r="D281" s="49">
        <f>IF(VLOOKUP(Table91213[[#This Row],[Date]],'DB Details'!$A:$Q,4)=0,"",VLOOKUP(Table91213[[#This Row],[Date]],'DB Details'!$A:$Q,4))</f>
        <v>41.9</v>
      </c>
      <c r="E281" s="50">
        <f>IF(VLOOKUP(Table91213[[#This Row],[Date]],'DB Details'!$A:$Q,5)=0,"",VLOOKUP(Table91213[[#This Row],[Date]],'DB Details'!$A:$Q,5))</f>
        <v>62.4</v>
      </c>
      <c r="F281" s="49">
        <f>IF(VLOOKUP(Table91213[[#This Row],[Date]],'DB Details'!$A:$Q,6)=0,"",VLOOKUP(Table91213[[#This Row],[Date]],'DB Details'!$A:$Q,6))</f>
        <v>66</v>
      </c>
      <c r="G281" s="50">
        <f>IF(VLOOKUP(Table91213[[#This Row],[Date]],'DB Details'!$A:$Q,7)=0,"",VLOOKUP(Table91213[[#This Row],[Date]],'DB Details'!$A:$Q,7))</f>
        <v>55.9</v>
      </c>
      <c r="H281" s="50">
        <f>IF(VLOOKUP(Table91213[[#This Row],[Date]],'DB Details'!$A:$Q,8)=0,"",VLOOKUP(Table91213[[#This Row],[Date]],'DB Details'!$A:$Q,8))</f>
        <v>60.7</v>
      </c>
      <c r="I281" s="50">
        <f>IF(VLOOKUP(Table91213[[#This Row],[Date]],'DB Details'!$A:$Q,9)=0,"",VLOOKUP(Table91213[[#This Row],[Date]],'DB Details'!$A:$Q,9))</f>
        <v>57.5</v>
      </c>
      <c r="J281" s="50">
        <f>IF(VLOOKUP(Table91213[[#This Row],[Date]],'DB Details'!$A:$Q,10)=0,"",VLOOKUP(Table91213[[#This Row],[Date]],'DB Details'!$A:$Q,10))</f>
        <v>43.1</v>
      </c>
      <c r="K281" s="50">
        <f>IF(VLOOKUP(Table91213[[#This Row],[Date]],'DB Details'!$A:$Q,11)=0,"",VLOOKUP(Table91213[[#This Row],[Date]],'DB Details'!$A:$Q,11))</f>
        <v>58.9</v>
      </c>
      <c r="L281" s="48">
        <f>IF(VLOOKUP(Table91213[[#This Row],[Date]],'DB Details'!$A:$Q,12)=0,"",VLOOKUP(Table91213[[#This Row],[Date]],'DB Details'!$A:$Q,12))</f>
        <v>57.1</v>
      </c>
    </row>
    <row r="282" spans="1:12" x14ac:dyDescent="0.35">
      <c r="A282" s="51">
        <v>44013</v>
      </c>
      <c r="B282" s="48">
        <f>IF(VLOOKUP(Table91213[[#This Row],[Date]],'DB Details'!$A:$Q,2)=0,"",VLOOKUP(Table91213[[#This Row],[Date]],'DB Details'!$A:$Q,2))</f>
        <v>67.7</v>
      </c>
      <c r="C282" s="49">
        <f>IF(VLOOKUP(Table91213[[#This Row],[Date]],'DB Details'!$A:$Q,3)=0,"",VLOOKUP(Table91213[[#This Row],[Date]],'DB Details'!$A:$Q,3))</f>
        <v>46.3</v>
      </c>
      <c r="D282" s="49">
        <f>IF(VLOOKUP(Table91213[[#This Row],[Date]],'DB Details'!$A:$Q,4)=0,"",VLOOKUP(Table91213[[#This Row],[Date]],'DB Details'!$A:$Q,4))</f>
        <v>55.9</v>
      </c>
      <c r="E282" s="50">
        <f>IF(VLOOKUP(Table91213[[#This Row],[Date]],'DB Details'!$A:$Q,5)=0,"",VLOOKUP(Table91213[[#This Row],[Date]],'DB Details'!$A:$Q,5))</f>
        <v>57.6</v>
      </c>
      <c r="F282" s="49">
        <f>IF(VLOOKUP(Table91213[[#This Row],[Date]],'DB Details'!$A:$Q,6)=0,"",VLOOKUP(Table91213[[#This Row],[Date]],'DB Details'!$A:$Q,6))</f>
        <v>67.2</v>
      </c>
      <c r="G282" s="50">
        <f>IF(VLOOKUP(Table91213[[#This Row],[Date]],'DB Details'!$A:$Q,7)=0,"",VLOOKUP(Table91213[[#This Row],[Date]],'DB Details'!$A:$Q,7))</f>
        <v>50</v>
      </c>
      <c r="H282" s="50">
        <f>IF(VLOOKUP(Table91213[[#This Row],[Date]],'DB Details'!$A:$Q,8)=0,"",VLOOKUP(Table91213[[#This Row],[Date]],'DB Details'!$A:$Q,8))</f>
        <v>52</v>
      </c>
      <c r="I282" s="50">
        <f>IF(VLOOKUP(Table91213[[#This Row],[Date]],'DB Details'!$A:$Q,9)=0,"",VLOOKUP(Table91213[[#This Row],[Date]],'DB Details'!$A:$Q,9))</f>
        <v>55.2</v>
      </c>
      <c r="J282" s="50">
        <f>IF(VLOOKUP(Table91213[[#This Row],[Date]],'DB Details'!$A:$Q,10)=0,"",VLOOKUP(Table91213[[#This Row],[Date]],'DB Details'!$A:$Q,10))</f>
        <v>42.1</v>
      </c>
      <c r="K282" s="50">
        <f>IF(VLOOKUP(Table91213[[#This Row],[Date]],'DB Details'!$A:$Q,11)=0,"",VLOOKUP(Table91213[[#This Row],[Date]],'DB Details'!$A:$Q,11))</f>
        <v>49.3</v>
      </c>
      <c r="L282" s="48">
        <f>IF(VLOOKUP(Table91213[[#This Row],[Date]],'DB Details'!$A:$Q,12)=0,"",VLOOKUP(Table91213[[#This Row],[Date]],'DB Details'!$A:$Q,12))</f>
        <v>58.1</v>
      </c>
    </row>
    <row r="283" spans="1:12" x14ac:dyDescent="0.35">
      <c r="A283" s="51">
        <v>44044</v>
      </c>
      <c r="B283" s="48">
        <f>IF(VLOOKUP(Table91213[[#This Row],[Date]],'DB Details'!$A:$Q,2)=0,"",VLOOKUP(Table91213[[#This Row],[Date]],'DB Details'!$A:$Q,2))</f>
        <v>56.8</v>
      </c>
      <c r="C283" s="49">
        <f>IF(VLOOKUP(Table91213[[#This Row],[Date]],'DB Details'!$A:$Q,3)=0,"",VLOOKUP(Table91213[[#This Row],[Date]],'DB Details'!$A:$Q,3))</f>
        <v>50.8</v>
      </c>
      <c r="D283" s="49">
        <f>IF(VLOOKUP(Table91213[[#This Row],[Date]],'DB Details'!$A:$Q,4)=0,"",VLOOKUP(Table91213[[#This Row],[Date]],'DB Details'!$A:$Q,4))</f>
        <v>56.6</v>
      </c>
      <c r="E283" s="50">
        <f>IF(VLOOKUP(Table91213[[#This Row],[Date]],'DB Details'!$A:$Q,5)=0,"",VLOOKUP(Table91213[[#This Row],[Date]],'DB Details'!$A:$Q,5))</f>
        <v>64.2</v>
      </c>
      <c r="F283" s="49">
        <f>IF(VLOOKUP(Table91213[[#This Row],[Date]],'DB Details'!$A:$Q,6)=0,"",VLOOKUP(Table91213[[#This Row],[Date]],'DB Details'!$A:$Q,6))</f>
        <v>62.4</v>
      </c>
      <c r="G283" s="50">
        <f>IF(VLOOKUP(Table91213[[#This Row],[Date]],'DB Details'!$A:$Q,7)=0,"",VLOOKUP(Table91213[[#This Row],[Date]],'DB Details'!$A:$Q,7))</f>
        <v>52.5</v>
      </c>
      <c r="H283" s="50">
        <f>IF(VLOOKUP(Table91213[[#This Row],[Date]],'DB Details'!$A:$Q,8)=0,"",VLOOKUP(Table91213[[#This Row],[Date]],'DB Details'!$A:$Q,8))</f>
        <v>45.8</v>
      </c>
      <c r="I283" s="50">
        <f>IF(VLOOKUP(Table91213[[#This Row],[Date]],'DB Details'!$A:$Q,9)=0,"",VLOOKUP(Table91213[[#This Row],[Date]],'DB Details'!$A:$Q,9))</f>
        <v>60.5</v>
      </c>
      <c r="J283" s="50">
        <f>IF(VLOOKUP(Table91213[[#This Row],[Date]],'DB Details'!$A:$Q,10)=0,"",VLOOKUP(Table91213[[#This Row],[Date]],'DB Details'!$A:$Q,10))</f>
        <v>47.9</v>
      </c>
      <c r="K283" s="50">
        <f>IF(VLOOKUP(Table91213[[#This Row],[Date]],'DB Details'!$A:$Q,11)=0,"",VLOOKUP(Table91213[[#This Row],[Date]],'DB Details'!$A:$Q,11))</f>
        <v>55.8</v>
      </c>
      <c r="L283" s="48">
        <f>IF(VLOOKUP(Table91213[[#This Row],[Date]],'DB Details'!$A:$Q,12)=0,"",VLOOKUP(Table91213[[#This Row],[Date]],'DB Details'!$A:$Q,12))</f>
        <v>56.9</v>
      </c>
    </row>
    <row r="284" spans="1:12" x14ac:dyDescent="0.35">
      <c r="A284" s="51">
        <v>44075</v>
      </c>
      <c r="B284" s="48">
        <f>IF(VLOOKUP(Table91213[[#This Row],[Date]],'DB Details'!$A:$Q,2)=0,"",VLOOKUP(Table91213[[#This Row],[Date]],'DB Details'!$A:$Q,2))</f>
        <v>61.5</v>
      </c>
      <c r="C284" s="49">
        <f>IF(VLOOKUP(Table91213[[#This Row],[Date]],'DB Details'!$A:$Q,3)=0,"",VLOOKUP(Table91213[[#This Row],[Date]],'DB Details'!$A:$Q,3))</f>
        <v>46.6</v>
      </c>
      <c r="D284" s="49">
        <f>IF(VLOOKUP(Table91213[[#This Row],[Date]],'DB Details'!$A:$Q,4)=0,"",VLOOKUP(Table91213[[#This Row],[Date]],'DB Details'!$A:$Q,4))</f>
        <v>50.1</v>
      </c>
      <c r="E284" s="50">
        <f>IF(VLOOKUP(Table91213[[#This Row],[Date]],'DB Details'!$A:$Q,5)=0,"",VLOOKUP(Table91213[[#This Row],[Date]],'DB Details'!$A:$Q,5))</f>
        <v>59</v>
      </c>
      <c r="F284" s="49">
        <f>IF(VLOOKUP(Table91213[[#This Row],[Date]],'DB Details'!$A:$Q,6)=0,"",VLOOKUP(Table91213[[#This Row],[Date]],'DB Details'!$A:$Q,6))</f>
        <v>63</v>
      </c>
      <c r="G284" s="50">
        <f>IF(VLOOKUP(Table91213[[#This Row],[Date]],'DB Details'!$A:$Q,7)=0,"",VLOOKUP(Table91213[[#This Row],[Date]],'DB Details'!$A:$Q,7))</f>
        <v>55.4</v>
      </c>
      <c r="H284" s="50">
        <f>IF(VLOOKUP(Table91213[[#This Row],[Date]],'DB Details'!$A:$Q,8)=0,"",VLOOKUP(Table91213[[#This Row],[Date]],'DB Details'!$A:$Q,8))</f>
        <v>48.8</v>
      </c>
      <c r="I284" s="50">
        <f>IF(VLOOKUP(Table91213[[#This Row],[Date]],'DB Details'!$A:$Q,9)=0,"",VLOOKUP(Table91213[[#This Row],[Date]],'DB Details'!$A:$Q,9))</f>
        <v>54.9</v>
      </c>
      <c r="J284" s="50">
        <f>IF(VLOOKUP(Table91213[[#This Row],[Date]],'DB Details'!$A:$Q,10)=0,"",VLOOKUP(Table91213[[#This Row],[Date]],'DB Details'!$A:$Q,10))</f>
        <v>51.8</v>
      </c>
      <c r="K284" s="50">
        <f>IF(VLOOKUP(Table91213[[#This Row],[Date]],'DB Details'!$A:$Q,11)=0,"",VLOOKUP(Table91213[[#This Row],[Date]],'DB Details'!$A:$Q,11))</f>
        <v>52.6</v>
      </c>
      <c r="L284" s="48">
        <f>IF(VLOOKUP(Table91213[[#This Row],[Date]],'DB Details'!$A:$Q,12)=0,"",VLOOKUP(Table91213[[#This Row],[Date]],'DB Details'!$A:$Q,12))</f>
        <v>57.8</v>
      </c>
    </row>
    <row r="285" spans="1:12" x14ac:dyDescent="0.35">
      <c r="A285" s="51">
        <v>44105</v>
      </c>
      <c r="B285" s="48">
        <f>IF(VLOOKUP(Table91213[[#This Row],[Date]],'DB Details'!$A:$Q,2)=0,"",VLOOKUP(Table91213[[#This Row],[Date]],'DB Details'!$A:$Q,2))</f>
        <v>58.8</v>
      </c>
      <c r="C285" s="49">
        <f>IF(VLOOKUP(Table91213[[#This Row],[Date]],'DB Details'!$A:$Q,3)=0,"",VLOOKUP(Table91213[[#This Row],[Date]],'DB Details'!$A:$Q,3))</f>
        <v>52.5</v>
      </c>
      <c r="D285" s="49">
        <f>IF(VLOOKUP(Table91213[[#This Row],[Date]],'DB Details'!$A:$Q,4)=0,"",VLOOKUP(Table91213[[#This Row],[Date]],'DB Details'!$A:$Q,4))</f>
        <v>54.4</v>
      </c>
      <c r="E285" s="50">
        <f>IF(VLOOKUP(Table91213[[#This Row],[Date]],'DB Details'!$A:$Q,5)=0,"",VLOOKUP(Table91213[[#This Row],[Date]],'DB Details'!$A:$Q,5))</f>
        <v>63.9</v>
      </c>
      <c r="F285" s="49">
        <f>IF(VLOOKUP(Table91213[[#This Row],[Date]],'DB Details'!$A:$Q,6)=0,"",VLOOKUP(Table91213[[#This Row],[Date]],'DB Details'!$A:$Q,6))</f>
        <v>61.2</v>
      </c>
      <c r="G285" s="50">
        <f>IF(VLOOKUP(Table91213[[#This Row],[Date]],'DB Details'!$A:$Q,7)=0,"",VLOOKUP(Table91213[[#This Row],[Date]],'DB Details'!$A:$Q,7))</f>
        <v>51.1</v>
      </c>
      <c r="H285" s="50">
        <f>IF(VLOOKUP(Table91213[[#This Row],[Date]],'DB Details'!$A:$Q,8)=0,"",VLOOKUP(Table91213[[#This Row],[Date]],'DB Details'!$A:$Q,8))</f>
        <v>53.1</v>
      </c>
      <c r="I285" s="50">
        <f>IF(VLOOKUP(Table91213[[#This Row],[Date]],'DB Details'!$A:$Q,9)=0,"",VLOOKUP(Table91213[[#This Row],[Date]],'DB Details'!$A:$Q,9))</f>
        <v>56.2</v>
      </c>
      <c r="J285" s="50">
        <f>IF(VLOOKUP(Table91213[[#This Row],[Date]],'DB Details'!$A:$Q,10)=0,"",VLOOKUP(Table91213[[#This Row],[Date]],'DB Details'!$A:$Q,10))</f>
        <v>50.1</v>
      </c>
      <c r="K285" s="50">
        <f>IF(VLOOKUP(Table91213[[#This Row],[Date]],'DB Details'!$A:$Q,11)=0,"",VLOOKUP(Table91213[[#This Row],[Date]],'DB Details'!$A:$Q,11))</f>
        <v>53.7</v>
      </c>
      <c r="L285" s="48">
        <f>IF(VLOOKUP(Table91213[[#This Row],[Date]],'DB Details'!$A:$Q,12)=0,"",VLOOKUP(Table91213[[#This Row],[Date]],'DB Details'!$A:$Q,12))</f>
        <v>56.6</v>
      </c>
    </row>
    <row r="286" spans="1:12" x14ac:dyDescent="0.35">
      <c r="A286" s="51">
        <v>44136</v>
      </c>
      <c r="B286" s="48">
        <f>IF(VLOOKUP(Table91213[[#This Row],[Date]],'DB Details'!$A:$Q,2)=0,"",VLOOKUP(Table91213[[#This Row],[Date]],'DB Details'!$A:$Q,2))</f>
        <v>57.2</v>
      </c>
      <c r="C286" s="49">
        <f>IF(VLOOKUP(Table91213[[#This Row],[Date]],'DB Details'!$A:$Q,3)=0,"",VLOOKUP(Table91213[[#This Row],[Date]],'DB Details'!$A:$Q,3))</f>
        <v>55</v>
      </c>
      <c r="D286" s="49">
        <f>IF(VLOOKUP(Table91213[[#This Row],[Date]],'DB Details'!$A:$Q,4)=0,"",VLOOKUP(Table91213[[#This Row],[Date]],'DB Details'!$A:$Q,4))</f>
        <v>50.7</v>
      </c>
      <c r="E286" s="50">
        <f>IF(VLOOKUP(Table91213[[#This Row],[Date]],'DB Details'!$A:$Q,5)=0,"",VLOOKUP(Table91213[[#This Row],[Date]],'DB Details'!$A:$Q,5))</f>
        <v>66.099999999999994</v>
      </c>
      <c r="F286" s="49">
        <f>IF(VLOOKUP(Table91213[[#This Row],[Date]],'DB Details'!$A:$Q,6)=0,"",VLOOKUP(Table91213[[#This Row],[Date]],'DB Details'!$A:$Q,6))</f>
        <v>58</v>
      </c>
      <c r="G286" s="50">
        <f>IF(VLOOKUP(Table91213[[#This Row],[Date]],'DB Details'!$A:$Q,7)=0,"",VLOOKUP(Table91213[[#This Row],[Date]],'DB Details'!$A:$Q,7))</f>
        <v>49.9</v>
      </c>
      <c r="H286" s="50">
        <f>IF(VLOOKUP(Table91213[[#This Row],[Date]],'DB Details'!$A:$Q,8)=0,"",VLOOKUP(Table91213[[#This Row],[Date]],'DB Details'!$A:$Q,8))</f>
        <v>49.3</v>
      </c>
      <c r="I286" s="50">
        <f>IF(VLOOKUP(Table91213[[#This Row],[Date]],'DB Details'!$A:$Q,9)=0,"",VLOOKUP(Table91213[[#This Row],[Date]],'DB Details'!$A:$Q,9))</f>
        <v>57</v>
      </c>
      <c r="J286" s="50">
        <f>IF(VLOOKUP(Table91213[[#This Row],[Date]],'DB Details'!$A:$Q,10)=0,"",VLOOKUP(Table91213[[#This Row],[Date]],'DB Details'!$A:$Q,10))</f>
        <v>51.5</v>
      </c>
      <c r="K286" s="50">
        <f>IF(VLOOKUP(Table91213[[#This Row],[Date]],'DB Details'!$A:$Q,11)=0,"",VLOOKUP(Table91213[[#This Row],[Date]],'DB Details'!$A:$Q,11))</f>
        <v>50.4</v>
      </c>
      <c r="L286" s="48">
        <f>IF(VLOOKUP(Table91213[[#This Row],[Date]],'DB Details'!$A:$Q,12)=0,"",VLOOKUP(Table91213[[#This Row],[Date]],'DB Details'!$A:$Q,12))</f>
        <v>55.9</v>
      </c>
    </row>
    <row r="287" spans="1:12" x14ac:dyDescent="0.35">
      <c r="A287" s="51">
        <v>44166</v>
      </c>
      <c r="B287" s="48">
        <f>IF(VLOOKUP(Table91213[[#This Row],[Date]],'DB Details'!$A:$Q,2)=0,"",VLOOKUP(Table91213[[#This Row],[Date]],'DB Details'!$A:$Q,2))</f>
        <v>58.5</v>
      </c>
      <c r="C287" s="49">
        <f>IF(VLOOKUP(Table91213[[#This Row],[Date]],'DB Details'!$A:$Q,3)=0,"",VLOOKUP(Table91213[[#This Row],[Date]],'DB Details'!$A:$Q,3))</f>
        <v>51.8</v>
      </c>
      <c r="D287" s="49">
        <f>IF(VLOOKUP(Table91213[[#This Row],[Date]],'DB Details'!$A:$Q,4)=0,"",VLOOKUP(Table91213[[#This Row],[Date]],'DB Details'!$A:$Q,4))</f>
        <v>48.7</v>
      </c>
      <c r="E287" s="50">
        <f>IF(VLOOKUP(Table91213[[#This Row],[Date]],'DB Details'!$A:$Q,5)=0,"",VLOOKUP(Table91213[[#This Row],[Date]],'DB Details'!$A:$Q,5))</f>
        <v>64.8</v>
      </c>
      <c r="F287" s="49">
        <f>IF(VLOOKUP(Table91213[[#This Row],[Date]],'DB Details'!$A:$Q,6)=0,"",VLOOKUP(Table91213[[#This Row],[Date]],'DB Details'!$A:$Q,6))</f>
        <v>59.4</v>
      </c>
      <c r="G287" s="50">
        <f>IF(VLOOKUP(Table91213[[#This Row],[Date]],'DB Details'!$A:$Q,7)=0,"",VLOOKUP(Table91213[[#This Row],[Date]],'DB Details'!$A:$Q,7))</f>
        <v>47.7</v>
      </c>
      <c r="H287" s="50">
        <f>IF(VLOOKUP(Table91213[[#This Row],[Date]],'DB Details'!$A:$Q,8)=0,"",VLOOKUP(Table91213[[#This Row],[Date]],'DB Details'!$A:$Q,8))</f>
        <v>58.2</v>
      </c>
      <c r="I287" s="50">
        <f>IF(VLOOKUP(Table91213[[#This Row],[Date]],'DB Details'!$A:$Q,9)=0,"",VLOOKUP(Table91213[[#This Row],[Date]],'DB Details'!$A:$Q,9))</f>
        <v>62.8</v>
      </c>
      <c r="J287" s="50">
        <f>IF(VLOOKUP(Table91213[[#This Row],[Date]],'DB Details'!$A:$Q,10)=0,"",VLOOKUP(Table91213[[#This Row],[Date]],'DB Details'!$A:$Q,10))</f>
        <v>48.2</v>
      </c>
      <c r="K287" s="50">
        <f>IF(VLOOKUP(Table91213[[#This Row],[Date]],'DB Details'!$A:$Q,11)=0,"",VLOOKUP(Table91213[[#This Row],[Date]],'DB Details'!$A:$Q,11))</f>
        <v>57.3</v>
      </c>
      <c r="L287" s="48">
        <f>IF(VLOOKUP(Table91213[[#This Row],[Date]],'DB Details'!$A:$Q,12)=0,"",VLOOKUP(Table91213[[#This Row],[Date]],'DB Details'!$A:$Q,12))</f>
        <v>57.2</v>
      </c>
    </row>
    <row r="288" spans="1:12" x14ac:dyDescent="0.35">
      <c r="A288" s="51">
        <v>44197</v>
      </c>
      <c r="B288" s="48">
        <f>IF(VLOOKUP(Table91213[[#This Row],[Date]],'DB Details'!$A:$Q,2)=0,"",VLOOKUP(Table91213[[#This Row],[Date]],'DB Details'!$A:$Q,2))</f>
        <v>61.8</v>
      </c>
      <c r="C288" s="49">
        <f>IF(VLOOKUP(Table91213[[#This Row],[Date]],'DB Details'!$A:$Q,3)=0,"",VLOOKUP(Table91213[[#This Row],[Date]],'DB Details'!$A:$Q,3))</f>
        <v>53.5</v>
      </c>
      <c r="D288" s="49">
        <f>IF(VLOOKUP(Table91213[[#This Row],[Date]],'DB Details'!$A:$Q,4)=0,"",VLOOKUP(Table91213[[#This Row],[Date]],'DB Details'!$A:$Q,4))</f>
        <v>50.9</v>
      </c>
      <c r="E288" s="50">
        <f>IF(VLOOKUP(Table91213[[#This Row],[Date]],'DB Details'!$A:$Q,5)=0,"",VLOOKUP(Table91213[[#This Row],[Date]],'DB Details'!$A:$Q,5))</f>
        <v>64.2</v>
      </c>
      <c r="F288" s="49">
        <f>IF(VLOOKUP(Table91213[[#This Row],[Date]],'DB Details'!$A:$Q,6)=0,"",VLOOKUP(Table91213[[#This Row],[Date]],'DB Details'!$A:$Q,6))</f>
        <v>59.9</v>
      </c>
      <c r="G288" s="50">
        <f>IF(VLOOKUP(Table91213[[#This Row],[Date]],'DB Details'!$A:$Q,7)=0,"",VLOOKUP(Table91213[[#This Row],[Date]],'DB Details'!$A:$Q,7))</f>
        <v>49.7</v>
      </c>
      <c r="H288" s="50">
        <f>IF(VLOOKUP(Table91213[[#This Row],[Date]],'DB Details'!$A:$Q,8)=0,"",VLOOKUP(Table91213[[#This Row],[Date]],'DB Details'!$A:$Q,8))</f>
        <v>49.2</v>
      </c>
      <c r="I288" s="50">
        <f>IF(VLOOKUP(Table91213[[#This Row],[Date]],'DB Details'!$A:$Q,9)=0,"",VLOOKUP(Table91213[[#This Row],[Date]],'DB Details'!$A:$Q,9))</f>
        <v>57.8</v>
      </c>
      <c r="J288" s="50">
        <f>IF(VLOOKUP(Table91213[[#This Row],[Date]],'DB Details'!$A:$Q,10)=0,"",VLOOKUP(Table91213[[#This Row],[Date]],'DB Details'!$A:$Q,10))</f>
        <v>55.2</v>
      </c>
      <c r="K288" s="50">
        <f>IF(VLOOKUP(Table91213[[#This Row],[Date]],'DB Details'!$A:$Q,11)=0,"",VLOOKUP(Table91213[[#This Row],[Date]],'DB Details'!$A:$Q,11))</f>
        <v>47</v>
      </c>
      <c r="L288" s="48">
        <f>IF(VLOOKUP(Table91213[[#This Row],[Date]],'DB Details'!$A:$Q,12)=0,"",VLOOKUP(Table91213[[#This Row],[Date]],'DB Details'!$A:$Q,12))</f>
        <v>58.7</v>
      </c>
    </row>
    <row r="289" spans="1:12" x14ac:dyDescent="0.35">
      <c r="A289" s="51">
        <v>44228</v>
      </c>
      <c r="B289" s="48">
        <f>IF(VLOOKUP(Table91213[[#This Row],[Date]],'DB Details'!$A:$Q,2)=0,"",VLOOKUP(Table91213[[#This Row],[Date]],'DB Details'!$A:$Q,2))</f>
        <v>51.9</v>
      </c>
      <c r="C289" s="49">
        <f>IF(VLOOKUP(Table91213[[#This Row],[Date]],'DB Details'!$A:$Q,3)=0,"",VLOOKUP(Table91213[[#This Row],[Date]],'DB Details'!$A:$Q,3))</f>
        <v>50.5</v>
      </c>
      <c r="D289" s="49">
        <f>IF(VLOOKUP(Table91213[[#This Row],[Date]],'DB Details'!$A:$Q,4)=0,"",VLOOKUP(Table91213[[#This Row],[Date]],'DB Details'!$A:$Q,4))</f>
        <v>55.2</v>
      </c>
      <c r="E289" s="50">
        <f>IF(VLOOKUP(Table91213[[#This Row],[Date]],'DB Details'!$A:$Q,5)=0,"",VLOOKUP(Table91213[[#This Row],[Date]],'DB Details'!$A:$Q,5))</f>
        <v>71.8</v>
      </c>
      <c r="F289" s="49">
        <f>IF(VLOOKUP(Table91213[[#This Row],[Date]],'DB Details'!$A:$Q,6)=0,"",VLOOKUP(Table91213[[#This Row],[Date]],'DB Details'!$A:$Q,6))</f>
        <v>55.5</v>
      </c>
      <c r="G289" s="50">
        <f>IF(VLOOKUP(Table91213[[#This Row],[Date]],'DB Details'!$A:$Q,7)=0,"",VLOOKUP(Table91213[[#This Row],[Date]],'DB Details'!$A:$Q,7))</f>
        <v>54.3</v>
      </c>
      <c r="H289" s="50">
        <f>IF(VLOOKUP(Table91213[[#This Row],[Date]],'DB Details'!$A:$Q,8)=0,"",VLOOKUP(Table91213[[#This Row],[Date]],'DB Details'!$A:$Q,8))</f>
        <v>58.9</v>
      </c>
      <c r="I289" s="50">
        <f>IF(VLOOKUP(Table91213[[#This Row],[Date]],'DB Details'!$A:$Q,9)=0,"",VLOOKUP(Table91213[[#This Row],[Date]],'DB Details'!$A:$Q,9))</f>
        <v>60.8</v>
      </c>
      <c r="J289" s="50">
        <f>IF(VLOOKUP(Table91213[[#This Row],[Date]],'DB Details'!$A:$Q,10)=0,"",VLOOKUP(Table91213[[#This Row],[Date]],'DB Details'!$A:$Q,10))</f>
        <v>52.7</v>
      </c>
      <c r="K289" s="50">
        <f>IF(VLOOKUP(Table91213[[#This Row],[Date]],'DB Details'!$A:$Q,11)=0,"",VLOOKUP(Table91213[[#This Row],[Date]],'DB Details'!$A:$Q,11))</f>
        <v>57.6</v>
      </c>
      <c r="L289" s="48">
        <f>IF(VLOOKUP(Table91213[[#This Row],[Date]],'DB Details'!$A:$Q,12)=0,"",VLOOKUP(Table91213[[#This Row],[Date]],'DB Details'!$A:$Q,12))</f>
        <v>55.3</v>
      </c>
    </row>
    <row r="290" spans="1:12" x14ac:dyDescent="0.35">
      <c r="A290" s="51">
        <v>44256</v>
      </c>
      <c r="B290" s="48">
        <f>IF(VLOOKUP(Table91213[[#This Row],[Date]],'DB Details'!$A:$Q,2)=0,"",VLOOKUP(Table91213[[#This Row],[Date]],'DB Details'!$A:$Q,2))</f>
        <v>67.2</v>
      </c>
      <c r="C290" s="49">
        <f>IF(VLOOKUP(Table91213[[#This Row],[Date]],'DB Details'!$A:$Q,3)=0,"",VLOOKUP(Table91213[[#This Row],[Date]],'DB Details'!$A:$Q,3))</f>
        <v>74</v>
      </c>
      <c r="D290" s="49">
        <f>IF(VLOOKUP(Table91213[[#This Row],[Date]],'DB Details'!$A:$Q,4)=0,"",VLOOKUP(Table91213[[#This Row],[Date]],'DB Details'!$A:$Q,4))</f>
        <v>50.2</v>
      </c>
      <c r="E290" s="50">
        <f>IF(VLOOKUP(Table91213[[#This Row],[Date]],'DB Details'!$A:$Q,5)=0,"",VLOOKUP(Table91213[[#This Row],[Date]],'DB Details'!$A:$Q,5))</f>
        <v>74</v>
      </c>
      <c r="F290" s="49">
        <f>IF(VLOOKUP(Table91213[[#This Row],[Date]],'DB Details'!$A:$Q,6)=0,"",VLOOKUP(Table91213[[#This Row],[Date]],'DB Details'!$A:$Q,6))</f>
        <v>69.400000000000006</v>
      </c>
      <c r="G290" s="50">
        <f>IF(VLOOKUP(Table91213[[#This Row],[Date]],'DB Details'!$A:$Q,7)=0,"",VLOOKUP(Table91213[[#This Row],[Date]],'DB Details'!$A:$Q,7))</f>
        <v>52.7</v>
      </c>
      <c r="H290" s="50">
        <f>IF(VLOOKUP(Table91213[[#This Row],[Date]],'DB Details'!$A:$Q,8)=0,"",VLOOKUP(Table91213[[#This Row],[Date]],'DB Details'!$A:$Q,8))</f>
        <v>54</v>
      </c>
      <c r="I290" s="50">
        <f>IF(VLOOKUP(Table91213[[#This Row],[Date]],'DB Details'!$A:$Q,9)=0,"",VLOOKUP(Table91213[[#This Row],[Date]],'DB Details'!$A:$Q,9))</f>
        <v>61</v>
      </c>
      <c r="J290" s="50">
        <f>IF(VLOOKUP(Table91213[[#This Row],[Date]],'DB Details'!$A:$Q,10)=0,"",VLOOKUP(Table91213[[#This Row],[Date]],'DB Details'!$A:$Q,10))</f>
        <v>57.2</v>
      </c>
      <c r="K290" s="50">
        <f>IF(VLOOKUP(Table91213[[#This Row],[Date]],'DB Details'!$A:$Q,11)=0,"",VLOOKUP(Table91213[[#This Row],[Date]],'DB Details'!$A:$Q,11))</f>
        <v>55.5</v>
      </c>
      <c r="L290" s="48">
        <f>IF(VLOOKUP(Table91213[[#This Row],[Date]],'DB Details'!$A:$Q,12)=0,"",VLOOKUP(Table91213[[#This Row],[Date]],'DB Details'!$A:$Q,12))</f>
        <v>63.7</v>
      </c>
    </row>
    <row r="291" spans="1:12" x14ac:dyDescent="0.35">
      <c r="A291" s="51">
        <v>44287</v>
      </c>
      <c r="B291" s="48">
        <f>IF(VLOOKUP(Table91213[[#This Row],[Date]],'DB Details'!$A:$Q,2)=0,"",VLOOKUP(Table91213[[#This Row],[Date]],'DB Details'!$A:$Q,2))</f>
        <v>63.2</v>
      </c>
      <c r="C291" s="49">
        <f>IF(VLOOKUP(Table91213[[#This Row],[Date]],'DB Details'!$A:$Q,3)=0,"",VLOOKUP(Table91213[[#This Row],[Date]],'DB Details'!$A:$Q,3))</f>
        <v>55.7</v>
      </c>
      <c r="D291" s="49">
        <f>IF(VLOOKUP(Table91213[[#This Row],[Date]],'DB Details'!$A:$Q,4)=0,"",VLOOKUP(Table91213[[#This Row],[Date]],'DB Details'!$A:$Q,4))</f>
        <v>55.7</v>
      </c>
      <c r="E291" s="50">
        <f>IF(VLOOKUP(Table91213[[#This Row],[Date]],'DB Details'!$A:$Q,5)=0,"",VLOOKUP(Table91213[[#This Row],[Date]],'DB Details'!$A:$Q,5))</f>
        <v>76.8</v>
      </c>
      <c r="F291" s="49">
        <f>IF(VLOOKUP(Table91213[[#This Row],[Date]],'DB Details'!$A:$Q,6)=0,"",VLOOKUP(Table91213[[#This Row],[Date]],'DB Details'!$A:$Q,6))</f>
        <v>62.7</v>
      </c>
      <c r="G291" s="50">
        <f>IF(VLOOKUP(Table91213[[#This Row],[Date]],'DB Details'!$A:$Q,7)=0,"",VLOOKUP(Table91213[[#This Row],[Date]],'DB Details'!$A:$Q,7))</f>
        <v>46.8</v>
      </c>
      <c r="H291" s="50">
        <f>IF(VLOOKUP(Table91213[[#This Row],[Date]],'DB Details'!$A:$Q,8)=0,"",VLOOKUP(Table91213[[#This Row],[Date]],'DB Details'!$A:$Q,8))</f>
        <v>49.1</v>
      </c>
      <c r="I291" s="50">
        <f>IF(VLOOKUP(Table91213[[#This Row],[Date]],'DB Details'!$A:$Q,9)=0,"",VLOOKUP(Table91213[[#This Row],[Date]],'DB Details'!$A:$Q,9))</f>
        <v>66.099999999999994</v>
      </c>
      <c r="J291" s="50">
        <f>IF(VLOOKUP(Table91213[[#This Row],[Date]],'DB Details'!$A:$Q,10)=0,"",VLOOKUP(Table91213[[#This Row],[Date]],'DB Details'!$A:$Q,10))</f>
        <v>58.8</v>
      </c>
      <c r="K291" s="50">
        <f>IF(VLOOKUP(Table91213[[#This Row],[Date]],'DB Details'!$A:$Q,11)=0,"",VLOOKUP(Table91213[[#This Row],[Date]],'DB Details'!$A:$Q,11))</f>
        <v>58.6</v>
      </c>
      <c r="L291" s="48">
        <f>IF(VLOOKUP(Table91213[[#This Row],[Date]],'DB Details'!$A:$Q,12)=0,"",VLOOKUP(Table91213[[#This Row],[Date]],'DB Details'!$A:$Q,12))</f>
        <v>62.7</v>
      </c>
    </row>
    <row r="292" spans="1:12" x14ac:dyDescent="0.35">
      <c r="A292" s="51">
        <v>44317</v>
      </c>
      <c r="B292" s="48">
        <f>IF(VLOOKUP(Table91213[[#This Row],[Date]],'DB Details'!$A:$Q,2)=0,"",VLOOKUP(Table91213[[#This Row],[Date]],'DB Details'!$A:$Q,2))</f>
        <v>63.9</v>
      </c>
      <c r="C292" s="49">
        <f>IF(VLOOKUP(Table91213[[#This Row],[Date]],'DB Details'!$A:$Q,3)=0,"",VLOOKUP(Table91213[[#This Row],[Date]],'DB Details'!$A:$Q,3))</f>
        <v>50.4</v>
      </c>
      <c r="D292" s="49">
        <f>IF(VLOOKUP(Table91213[[#This Row],[Date]],'DB Details'!$A:$Q,4)=0,"",VLOOKUP(Table91213[[#This Row],[Date]],'DB Details'!$A:$Q,4))</f>
        <v>61.1</v>
      </c>
      <c r="E292" s="50">
        <f>IF(VLOOKUP(Table91213[[#This Row],[Date]],'DB Details'!$A:$Q,5)=0,"",VLOOKUP(Table91213[[#This Row],[Date]],'DB Details'!$A:$Q,5))</f>
        <v>80.599999999999994</v>
      </c>
      <c r="F292" s="49">
        <f>IF(VLOOKUP(Table91213[[#This Row],[Date]],'DB Details'!$A:$Q,6)=0,"",VLOOKUP(Table91213[[#This Row],[Date]],'DB Details'!$A:$Q,6))</f>
        <v>66.2</v>
      </c>
      <c r="G292" s="50">
        <f>IF(VLOOKUP(Table91213[[#This Row],[Date]],'DB Details'!$A:$Q,7)=0,"",VLOOKUP(Table91213[[#This Row],[Date]],'DB Details'!$A:$Q,7))</f>
        <v>40.5</v>
      </c>
      <c r="H292" s="50">
        <f>IF(VLOOKUP(Table91213[[#This Row],[Date]],'DB Details'!$A:$Q,8)=0,"",VLOOKUP(Table91213[[#This Row],[Date]],'DB Details'!$A:$Q,8))</f>
        <v>51.5</v>
      </c>
      <c r="I292" s="50">
        <f>IF(VLOOKUP(Table91213[[#This Row],[Date]],'DB Details'!$A:$Q,9)=0,"",VLOOKUP(Table91213[[#This Row],[Date]],'DB Details'!$A:$Q,9))</f>
        <v>70.400000000000006</v>
      </c>
      <c r="J292" s="50">
        <f>IF(VLOOKUP(Table91213[[#This Row],[Date]],'DB Details'!$A:$Q,10)=0,"",VLOOKUP(Table91213[[#This Row],[Date]],'DB Details'!$A:$Q,10))</f>
        <v>55.3</v>
      </c>
      <c r="K292" s="50">
        <f>IF(VLOOKUP(Table91213[[#This Row],[Date]],'DB Details'!$A:$Q,11)=0,"",VLOOKUP(Table91213[[#This Row],[Date]],'DB Details'!$A:$Q,11))</f>
        <v>60</v>
      </c>
      <c r="L292" s="48">
        <f>IF(VLOOKUP(Table91213[[#This Row],[Date]],'DB Details'!$A:$Q,12)=0,"",VLOOKUP(Table91213[[#This Row],[Date]],'DB Details'!$A:$Q,12))</f>
        <v>64</v>
      </c>
    </row>
    <row r="293" spans="1:12" x14ac:dyDescent="0.35">
      <c r="A293" s="51">
        <v>44348</v>
      </c>
      <c r="B293" s="48">
        <f>IF(VLOOKUP(Table91213[[#This Row],[Date]],'DB Details'!$A:$Q,2)=0,"",VLOOKUP(Table91213[[#This Row],[Date]],'DB Details'!$A:$Q,2))</f>
        <v>62.1</v>
      </c>
      <c r="C293" s="49">
        <f>IF(VLOOKUP(Table91213[[#This Row],[Date]],'DB Details'!$A:$Q,3)=0,"",VLOOKUP(Table91213[[#This Row],[Date]],'DB Details'!$A:$Q,3))</f>
        <v>58.2</v>
      </c>
      <c r="D293" s="49">
        <f>IF(VLOOKUP(Table91213[[#This Row],[Date]],'DB Details'!$A:$Q,4)=0,"",VLOOKUP(Table91213[[#This Row],[Date]],'DB Details'!$A:$Q,4))</f>
        <v>65.8</v>
      </c>
      <c r="E293" s="50">
        <f>IF(VLOOKUP(Table91213[[#This Row],[Date]],'DB Details'!$A:$Q,5)=0,"",VLOOKUP(Table91213[[#This Row],[Date]],'DB Details'!$A:$Q,5))</f>
        <v>79.5</v>
      </c>
      <c r="F293" s="49">
        <f>IF(VLOOKUP(Table91213[[#This Row],[Date]],'DB Details'!$A:$Q,6)=0,"",VLOOKUP(Table91213[[#This Row],[Date]],'DB Details'!$A:$Q,6))</f>
        <v>60.4</v>
      </c>
      <c r="G293" s="50">
        <f>IF(VLOOKUP(Table91213[[#This Row],[Date]],'DB Details'!$A:$Q,7)=0,"",VLOOKUP(Table91213[[#This Row],[Date]],'DB Details'!$A:$Q,7))</f>
        <v>37.200000000000003</v>
      </c>
      <c r="H293" s="50">
        <f>IF(VLOOKUP(Table91213[[#This Row],[Date]],'DB Details'!$A:$Q,8)=0,"",VLOOKUP(Table91213[[#This Row],[Date]],'DB Details'!$A:$Q,8))</f>
        <v>49.9</v>
      </c>
      <c r="I293" s="50">
        <f>IF(VLOOKUP(Table91213[[#This Row],[Date]],'DB Details'!$A:$Q,9)=0,"",VLOOKUP(Table91213[[#This Row],[Date]],'DB Details'!$A:$Q,9))</f>
        <v>68.5</v>
      </c>
      <c r="J293" s="50">
        <f>IF(VLOOKUP(Table91213[[#This Row],[Date]],'DB Details'!$A:$Q,10)=0,"",VLOOKUP(Table91213[[#This Row],[Date]],'DB Details'!$A:$Q,10))</f>
        <v>49.3</v>
      </c>
      <c r="K293" s="50">
        <f>IF(VLOOKUP(Table91213[[#This Row],[Date]],'DB Details'!$A:$Q,11)=0,"",VLOOKUP(Table91213[[#This Row],[Date]],'DB Details'!$A:$Q,11))</f>
        <v>50.7</v>
      </c>
      <c r="L293" s="48">
        <f>IF(VLOOKUP(Table91213[[#This Row],[Date]],'DB Details'!$A:$Q,12)=0,"",VLOOKUP(Table91213[[#This Row],[Date]],'DB Details'!$A:$Q,12))</f>
        <v>60.1</v>
      </c>
    </row>
    <row r="294" spans="1:12" x14ac:dyDescent="0.35">
      <c r="A294" s="51">
        <v>44378</v>
      </c>
      <c r="B294" s="48">
        <f>IF(VLOOKUP(Table91213[[#This Row],[Date]],'DB Details'!$A:$Q,2)=0,"",VLOOKUP(Table91213[[#This Row],[Date]],'DB Details'!$A:$Q,2))</f>
        <v>63.7</v>
      </c>
      <c r="C294" s="49">
        <f>IF(VLOOKUP(Table91213[[#This Row],[Date]],'DB Details'!$A:$Q,3)=0,"",VLOOKUP(Table91213[[#This Row],[Date]],'DB Details'!$A:$Q,3))</f>
        <v>51.6</v>
      </c>
      <c r="D294" s="49">
        <f>IF(VLOOKUP(Table91213[[#This Row],[Date]],'DB Details'!$A:$Q,4)=0,"",VLOOKUP(Table91213[[#This Row],[Date]],'DB Details'!$A:$Q,4))</f>
        <v>63.5</v>
      </c>
      <c r="E294" s="50">
        <f>IF(VLOOKUP(Table91213[[#This Row],[Date]],'DB Details'!$A:$Q,5)=0,"",VLOOKUP(Table91213[[#This Row],[Date]],'DB Details'!$A:$Q,5))</f>
        <v>82.3</v>
      </c>
      <c r="F294" s="49">
        <f>IF(VLOOKUP(Table91213[[#This Row],[Date]],'DB Details'!$A:$Q,6)=0,"",VLOOKUP(Table91213[[#This Row],[Date]],'DB Details'!$A:$Q,6))</f>
        <v>67</v>
      </c>
      <c r="G294" s="50">
        <f>IF(VLOOKUP(Table91213[[#This Row],[Date]],'DB Details'!$A:$Q,7)=0,"",VLOOKUP(Table91213[[#This Row],[Date]],'DB Details'!$A:$Q,7))</f>
        <v>40.299999999999997</v>
      </c>
      <c r="H294" s="50">
        <f>IF(VLOOKUP(Table91213[[#This Row],[Date]],'DB Details'!$A:$Q,8)=0,"",VLOOKUP(Table91213[[#This Row],[Date]],'DB Details'!$A:$Q,8))</f>
        <v>49.2</v>
      </c>
      <c r="I294" s="50">
        <f>IF(VLOOKUP(Table91213[[#This Row],[Date]],'DB Details'!$A:$Q,9)=0,"",VLOOKUP(Table91213[[#This Row],[Date]],'DB Details'!$A:$Q,9))</f>
        <v>72</v>
      </c>
      <c r="J294" s="50">
        <f>IF(VLOOKUP(Table91213[[#This Row],[Date]],'DB Details'!$A:$Q,10)=0,"",VLOOKUP(Table91213[[#This Row],[Date]],'DB Details'!$A:$Q,10))</f>
        <v>53.8</v>
      </c>
      <c r="K294" s="50">
        <f>IF(VLOOKUP(Table91213[[#This Row],[Date]],'DB Details'!$A:$Q,11)=0,"",VLOOKUP(Table91213[[#This Row],[Date]],'DB Details'!$A:$Q,11))</f>
        <v>65.8</v>
      </c>
      <c r="L294" s="48">
        <f>IF(VLOOKUP(Table91213[[#This Row],[Date]],'DB Details'!$A:$Q,12)=0,"",VLOOKUP(Table91213[[#This Row],[Date]],'DB Details'!$A:$Q,12))</f>
        <v>64.099999999999994</v>
      </c>
    </row>
    <row r="295" spans="1:12" x14ac:dyDescent="0.35">
      <c r="A295" s="51">
        <v>44409</v>
      </c>
      <c r="B295" s="48">
        <f>IF(VLOOKUP(Table91213[[#This Row],[Date]],'DB Details'!$A:$Q,2)=0,"",VLOOKUP(Table91213[[#This Row],[Date]],'DB Details'!$A:$Q,2))</f>
        <v>63.2</v>
      </c>
      <c r="C295" s="49">
        <f>IF(VLOOKUP(Table91213[[#This Row],[Date]],'DB Details'!$A:$Q,3)=0,"",VLOOKUP(Table91213[[#This Row],[Date]],'DB Details'!$A:$Q,3))</f>
        <v>48.7</v>
      </c>
      <c r="D295" s="49">
        <f>IF(VLOOKUP(Table91213[[#This Row],[Date]],'DB Details'!$A:$Q,4)=0,"",VLOOKUP(Table91213[[#This Row],[Date]],'DB Details'!$A:$Q,4))</f>
        <v>61.3</v>
      </c>
      <c r="E295" s="50">
        <f>IF(VLOOKUP(Table91213[[#This Row],[Date]],'DB Details'!$A:$Q,5)=0,"",VLOOKUP(Table91213[[#This Row],[Date]],'DB Details'!$A:$Q,5))</f>
        <v>75.400000000000006</v>
      </c>
      <c r="F295" s="49">
        <f>IF(VLOOKUP(Table91213[[#This Row],[Date]],'DB Details'!$A:$Q,6)=0,"",VLOOKUP(Table91213[[#This Row],[Date]],'DB Details'!$A:$Q,6))</f>
        <v>60.1</v>
      </c>
      <c r="G295" s="50">
        <f>IF(VLOOKUP(Table91213[[#This Row],[Date]],'DB Details'!$A:$Q,7)=0,"",VLOOKUP(Table91213[[#This Row],[Date]],'DB Details'!$A:$Q,7))</f>
        <v>41.4</v>
      </c>
      <c r="H295" s="50">
        <f>IF(VLOOKUP(Table91213[[#This Row],[Date]],'DB Details'!$A:$Q,8)=0,"",VLOOKUP(Table91213[[#This Row],[Date]],'DB Details'!$A:$Q,8))</f>
        <v>46.9</v>
      </c>
      <c r="I295" s="50">
        <f>IF(VLOOKUP(Table91213[[#This Row],[Date]],'DB Details'!$A:$Q,9)=0,"",VLOOKUP(Table91213[[#This Row],[Date]],'DB Details'!$A:$Q,9))</f>
        <v>69.599999999999994</v>
      </c>
      <c r="J295" s="50">
        <f>IF(VLOOKUP(Table91213[[#This Row],[Date]],'DB Details'!$A:$Q,10)=0,"",VLOOKUP(Table91213[[#This Row],[Date]],'DB Details'!$A:$Q,10))</f>
        <v>53.7</v>
      </c>
      <c r="K295" s="50">
        <f>IF(VLOOKUP(Table91213[[#This Row],[Date]],'DB Details'!$A:$Q,11)=0,"",VLOOKUP(Table91213[[#This Row],[Date]],'DB Details'!$A:$Q,11))</f>
        <v>60.6</v>
      </c>
      <c r="L295" s="48">
        <f>IF(VLOOKUP(Table91213[[#This Row],[Date]],'DB Details'!$A:$Q,12)=0,"",VLOOKUP(Table91213[[#This Row],[Date]],'DB Details'!$A:$Q,12))</f>
        <v>61.7</v>
      </c>
    </row>
    <row r="296" spans="1:12" x14ac:dyDescent="0.35">
      <c r="A296" s="51">
        <v>44440</v>
      </c>
      <c r="B296" s="48">
        <f>IF(VLOOKUP(Table91213[[#This Row],[Date]],'DB Details'!$A:$Q,2)=0,"",VLOOKUP(Table91213[[#This Row],[Date]],'DB Details'!$A:$Q,2))</f>
        <v>63.5</v>
      </c>
      <c r="C296" s="49">
        <f>IF(VLOOKUP(Table91213[[#This Row],[Date]],'DB Details'!$A:$Q,3)=0,"",VLOOKUP(Table91213[[#This Row],[Date]],'DB Details'!$A:$Q,3))</f>
        <v>47.7</v>
      </c>
      <c r="D296" s="49">
        <f>IF(VLOOKUP(Table91213[[#This Row],[Date]],'DB Details'!$A:$Q,4)=0,"",VLOOKUP(Table91213[[#This Row],[Date]],'DB Details'!$A:$Q,4))</f>
        <v>61.9</v>
      </c>
      <c r="E296" s="50">
        <f>IF(VLOOKUP(Table91213[[#This Row],[Date]],'DB Details'!$A:$Q,5)=0,"",VLOOKUP(Table91213[[#This Row],[Date]],'DB Details'!$A:$Q,5))</f>
        <v>77.5</v>
      </c>
      <c r="F296" s="49">
        <f>IF(VLOOKUP(Table91213[[#This Row],[Date]],'DB Details'!$A:$Q,6)=0,"",VLOOKUP(Table91213[[#This Row],[Date]],'DB Details'!$A:$Q,6))</f>
        <v>62.3</v>
      </c>
      <c r="G296" s="50">
        <f>IF(VLOOKUP(Table91213[[#This Row],[Date]],'DB Details'!$A:$Q,7)=0,"",VLOOKUP(Table91213[[#This Row],[Date]],'DB Details'!$A:$Q,7))</f>
        <v>46.3</v>
      </c>
      <c r="H296" s="50">
        <f>IF(VLOOKUP(Table91213[[#This Row],[Date]],'DB Details'!$A:$Q,8)=0,"",VLOOKUP(Table91213[[#This Row],[Date]],'DB Details'!$A:$Q,8))</f>
        <v>46.1</v>
      </c>
      <c r="I296" s="50">
        <f>IF(VLOOKUP(Table91213[[#This Row],[Date]],'DB Details'!$A:$Q,9)=0,"",VLOOKUP(Table91213[[#This Row],[Date]],'DB Details'!$A:$Q,9))</f>
        <v>68.8</v>
      </c>
      <c r="J296" s="50">
        <f>IF(VLOOKUP(Table91213[[#This Row],[Date]],'DB Details'!$A:$Q,10)=0,"",VLOOKUP(Table91213[[#This Row],[Date]],'DB Details'!$A:$Q,10))</f>
        <v>53</v>
      </c>
      <c r="K296" s="50">
        <f>IF(VLOOKUP(Table91213[[#This Row],[Date]],'DB Details'!$A:$Q,11)=0,"",VLOOKUP(Table91213[[#This Row],[Date]],'DB Details'!$A:$Q,11))</f>
        <v>59.5</v>
      </c>
      <c r="L296" s="48">
        <f>IF(VLOOKUP(Table91213[[#This Row],[Date]],'DB Details'!$A:$Q,12)=0,"",VLOOKUP(Table91213[[#This Row],[Date]],'DB Details'!$A:$Q,12))</f>
        <v>61.9</v>
      </c>
    </row>
    <row r="297" spans="1:12" x14ac:dyDescent="0.35">
      <c r="A297" s="51">
        <v>44470</v>
      </c>
      <c r="B297" s="48">
        <f>IF(VLOOKUP(Table91213[[#This Row],[Date]],'DB Details'!$A:$Q,2)=0,"",VLOOKUP(Table91213[[#This Row],[Date]],'DB Details'!$A:$Q,2))</f>
        <v>69.7</v>
      </c>
      <c r="C297" s="49">
        <f>IF(VLOOKUP(Table91213[[#This Row],[Date]],'DB Details'!$A:$Q,3)=0,"",VLOOKUP(Table91213[[#This Row],[Date]],'DB Details'!$A:$Q,3))</f>
        <v>53.3</v>
      </c>
      <c r="D297" s="49">
        <f>IF(VLOOKUP(Table91213[[#This Row],[Date]],'DB Details'!$A:$Q,4)=0,"",VLOOKUP(Table91213[[#This Row],[Date]],'DB Details'!$A:$Q,4))</f>
        <v>67.3</v>
      </c>
      <c r="E297" s="50">
        <f>IF(VLOOKUP(Table91213[[#This Row],[Date]],'DB Details'!$A:$Q,5)=0,"",VLOOKUP(Table91213[[#This Row],[Date]],'DB Details'!$A:$Q,5))</f>
        <v>82.9</v>
      </c>
      <c r="F297" s="49">
        <f>IF(VLOOKUP(Table91213[[#This Row],[Date]],'DB Details'!$A:$Q,6)=0,"",VLOOKUP(Table91213[[#This Row],[Date]],'DB Details'!$A:$Q,6))</f>
        <v>69.8</v>
      </c>
      <c r="G297" s="50">
        <f>IF(VLOOKUP(Table91213[[#This Row],[Date]],'DB Details'!$A:$Q,7)=0,"",VLOOKUP(Table91213[[#This Row],[Date]],'DB Details'!$A:$Q,7))</f>
        <v>37.299999999999997</v>
      </c>
      <c r="H297" s="50">
        <f>IF(VLOOKUP(Table91213[[#This Row],[Date]],'DB Details'!$A:$Q,8)=0,"",VLOOKUP(Table91213[[#This Row],[Date]],'DB Details'!$A:$Q,8))</f>
        <v>42.2</v>
      </c>
      <c r="I297" s="50">
        <f>IF(VLOOKUP(Table91213[[#This Row],[Date]],'DB Details'!$A:$Q,9)=0,"",VLOOKUP(Table91213[[#This Row],[Date]],'DB Details'!$A:$Q,9))</f>
        <v>75.7</v>
      </c>
      <c r="J297" s="50">
        <f>IF(VLOOKUP(Table91213[[#This Row],[Date]],'DB Details'!$A:$Q,10)=0,"",VLOOKUP(Table91213[[#This Row],[Date]],'DB Details'!$A:$Q,10))</f>
        <v>51.6</v>
      </c>
      <c r="K297" s="50">
        <f>IF(VLOOKUP(Table91213[[#This Row],[Date]],'DB Details'!$A:$Q,11)=0,"",VLOOKUP(Table91213[[#This Row],[Date]],'DB Details'!$A:$Q,11))</f>
        <v>62.3</v>
      </c>
      <c r="L297" s="48">
        <f>IF(VLOOKUP(Table91213[[#This Row],[Date]],'DB Details'!$A:$Q,12)=0,"",VLOOKUP(Table91213[[#This Row],[Date]],'DB Details'!$A:$Q,12))</f>
        <v>66.7</v>
      </c>
    </row>
    <row r="298" spans="1:12" x14ac:dyDescent="0.35">
      <c r="A298" s="51">
        <v>44501</v>
      </c>
      <c r="B298" s="48">
        <f>IF(VLOOKUP(Table91213[[#This Row],[Date]],'DB Details'!$A:$Q,2)=0,"",VLOOKUP(Table91213[[#This Row],[Date]],'DB Details'!$A:$Q,2))</f>
        <v>69.7</v>
      </c>
      <c r="C298" s="49">
        <f>IF(VLOOKUP(Table91213[[#This Row],[Date]],'DB Details'!$A:$Q,3)=0,"",VLOOKUP(Table91213[[#This Row],[Date]],'DB Details'!$A:$Q,3))</f>
        <v>50.5</v>
      </c>
      <c r="D298" s="49">
        <f>IF(VLOOKUP(Table91213[[#This Row],[Date]],'DB Details'!$A:$Q,4)=0,"",VLOOKUP(Table91213[[#This Row],[Date]],'DB Details'!$A:$Q,4))</f>
        <v>65.900000000000006</v>
      </c>
      <c r="E298" s="50">
        <f>IF(VLOOKUP(Table91213[[#This Row],[Date]],'DB Details'!$A:$Q,5)=0,"",VLOOKUP(Table91213[[#This Row],[Date]],'DB Details'!$A:$Q,5))</f>
        <v>82.3</v>
      </c>
      <c r="F298" s="49">
        <f>IF(VLOOKUP(Table91213[[#This Row],[Date]],'DB Details'!$A:$Q,6)=0,"",VLOOKUP(Table91213[[#This Row],[Date]],'DB Details'!$A:$Q,6))</f>
        <v>74.599999999999994</v>
      </c>
      <c r="G298" s="50">
        <f>IF(VLOOKUP(Table91213[[#This Row],[Date]],'DB Details'!$A:$Q,7)=0,"",VLOOKUP(Table91213[[#This Row],[Date]],'DB Details'!$A:$Q,7))</f>
        <v>36.4</v>
      </c>
      <c r="H298" s="50">
        <f>IF(VLOOKUP(Table91213[[#This Row],[Date]],'DB Details'!$A:$Q,8)=0,"",VLOOKUP(Table91213[[#This Row],[Date]],'DB Details'!$A:$Q,8))</f>
        <v>48.2</v>
      </c>
      <c r="I298" s="50">
        <f>IF(VLOOKUP(Table91213[[#This Row],[Date]],'DB Details'!$A:$Q,9)=0,"",VLOOKUP(Table91213[[#This Row],[Date]],'DB Details'!$A:$Q,9))</f>
        <v>75.7</v>
      </c>
      <c r="J298" s="50">
        <f>IF(VLOOKUP(Table91213[[#This Row],[Date]],'DB Details'!$A:$Q,10)=0,"",VLOOKUP(Table91213[[#This Row],[Date]],'DB Details'!$A:$Q,10))</f>
        <v>56.5</v>
      </c>
      <c r="K298" s="50">
        <f>IF(VLOOKUP(Table91213[[#This Row],[Date]],'DB Details'!$A:$Q,11)=0,"",VLOOKUP(Table91213[[#This Row],[Date]],'DB Details'!$A:$Q,11))</f>
        <v>57.9</v>
      </c>
      <c r="L298" s="48">
        <f>IF(VLOOKUP(Table91213[[#This Row],[Date]],'DB Details'!$A:$Q,12)=0,"",VLOOKUP(Table91213[[#This Row],[Date]],'DB Details'!$A:$Q,12))</f>
        <v>69.099999999999994</v>
      </c>
    </row>
    <row r="299" spans="1:12" x14ac:dyDescent="0.35">
      <c r="A299" s="51">
        <v>44531</v>
      </c>
      <c r="B299" s="48">
        <f>IF(VLOOKUP(Table91213[[#This Row],[Date]],'DB Details'!$A:$Q,2)=0,"",VLOOKUP(Table91213[[#This Row],[Date]],'DB Details'!$A:$Q,2))</f>
        <v>61.5</v>
      </c>
      <c r="C299" s="49">
        <f>IF(VLOOKUP(Table91213[[#This Row],[Date]],'DB Details'!$A:$Q,3)=0,"",VLOOKUP(Table91213[[#This Row],[Date]],'DB Details'!$A:$Q,3))</f>
        <v>55.5</v>
      </c>
      <c r="D299" s="49">
        <f>IF(VLOOKUP(Table91213[[#This Row],[Date]],'DB Details'!$A:$Q,4)=0,"",VLOOKUP(Table91213[[#This Row],[Date]],'DB Details'!$A:$Q,4))</f>
        <v>62.3</v>
      </c>
      <c r="E299" s="50">
        <f>IF(VLOOKUP(Table91213[[#This Row],[Date]],'DB Details'!$A:$Q,5)=0,"",VLOOKUP(Table91213[[#This Row],[Date]],'DB Details'!$A:$Q,5))</f>
        <v>82.5</v>
      </c>
      <c r="F299" s="49">
        <f>IF(VLOOKUP(Table91213[[#This Row],[Date]],'DB Details'!$A:$Q,6)=0,"",VLOOKUP(Table91213[[#This Row],[Date]],'DB Details'!$A:$Q,6))</f>
        <v>67.599999999999994</v>
      </c>
      <c r="G299" s="50">
        <f>IF(VLOOKUP(Table91213[[#This Row],[Date]],'DB Details'!$A:$Q,7)=0,"",VLOOKUP(Table91213[[#This Row],[Date]],'DB Details'!$A:$Q,7))</f>
        <v>38.299999999999997</v>
      </c>
      <c r="H299" s="50">
        <f>IF(VLOOKUP(Table91213[[#This Row],[Date]],'DB Details'!$A:$Q,8)=0,"",VLOOKUP(Table91213[[#This Row],[Date]],'DB Details'!$A:$Q,8))</f>
        <v>46.7</v>
      </c>
      <c r="I299" s="50">
        <f>IF(VLOOKUP(Table91213[[#This Row],[Date]],'DB Details'!$A:$Q,9)=0,"",VLOOKUP(Table91213[[#This Row],[Date]],'DB Details'!$A:$Q,9))</f>
        <v>63.9</v>
      </c>
      <c r="J299" s="50">
        <f>IF(VLOOKUP(Table91213[[#This Row],[Date]],'DB Details'!$A:$Q,10)=0,"",VLOOKUP(Table91213[[#This Row],[Date]],'DB Details'!$A:$Q,10))</f>
        <v>54.9</v>
      </c>
      <c r="K299" s="50">
        <f>IF(VLOOKUP(Table91213[[#This Row],[Date]],'DB Details'!$A:$Q,11)=0,"",VLOOKUP(Table91213[[#This Row],[Date]],'DB Details'!$A:$Q,11))</f>
        <v>61.5</v>
      </c>
      <c r="L299" s="48">
        <f>IF(VLOOKUP(Table91213[[#This Row],[Date]],'DB Details'!$A:$Q,12)=0,"",VLOOKUP(Table91213[[#This Row],[Date]],'DB Details'!$A:$Q,12))</f>
        <v>62</v>
      </c>
    </row>
    <row r="300" spans="1:12" x14ac:dyDescent="0.35">
      <c r="A300" s="51">
        <v>44562</v>
      </c>
      <c r="B300" s="48">
        <f>IF(VLOOKUP(Table91213[[#This Row],[Date]],'DB Details'!$A:$Q,2)=0,"",VLOOKUP(Table91213[[#This Row],[Date]],'DB Details'!$A:$Q,2))</f>
        <v>61.7</v>
      </c>
      <c r="C300" s="49">
        <f>IF(VLOOKUP(Table91213[[#This Row],[Date]],'DB Details'!$A:$Q,3)=0,"",VLOOKUP(Table91213[[#This Row],[Date]],'DB Details'!$A:$Q,3))</f>
        <v>51.1</v>
      </c>
      <c r="D300" s="49">
        <f>IF(VLOOKUP(Table91213[[#This Row],[Date]],'DB Details'!$A:$Q,4)=0,"",VLOOKUP(Table91213[[#This Row],[Date]],'DB Details'!$A:$Q,4))</f>
        <v>57.4</v>
      </c>
      <c r="E300" s="50">
        <f>IF(VLOOKUP(Table91213[[#This Row],[Date]],'DB Details'!$A:$Q,5)=0,"",VLOOKUP(Table91213[[#This Row],[Date]],'DB Details'!$A:$Q,5))</f>
        <v>82.3</v>
      </c>
      <c r="F300" s="49">
        <f>IF(VLOOKUP(Table91213[[#This Row],[Date]],'DB Details'!$A:$Q,6)=0,"",VLOOKUP(Table91213[[#This Row],[Date]],'DB Details'!$A:$Q,6))</f>
        <v>59.9</v>
      </c>
      <c r="G300" s="50">
        <f>IF(VLOOKUP(Table91213[[#This Row],[Date]],'DB Details'!$A:$Q,7)=0,"",VLOOKUP(Table91213[[#This Row],[Date]],'DB Details'!$A:$Q,7))</f>
        <v>47.5</v>
      </c>
      <c r="H300" s="50">
        <f>IF(VLOOKUP(Table91213[[#This Row],[Date]],'DB Details'!$A:$Q,8)=0,"",VLOOKUP(Table91213[[#This Row],[Date]],'DB Details'!$A:$Q,8))</f>
        <v>49.4</v>
      </c>
      <c r="I300" s="50">
        <f>IF(VLOOKUP(Table91213[[#This Row],[Date]],'DB Details'!$A:$Q,9)=0,"",VLOOKUP(Table91213[[#This Row],[Date]],'DB Details'!$A:$Q,9))</f>
        <v>65.7</v>
      </c>
      <c r="J300" s="50">
        <f>IF(VLOOKUP(Table91213[[#This Row],[Date]],'DB Details'!$A:$Q,10)=0,"",VLOOKUP(Table91213[[#This Row],[Date]],'DB Details'!$A:$Q,10))</f>
        <v>52.3</v>
      </c>
      <c r="K300" s="50">
        <f>IF(VLOOKUP(Table91213[[#This Row],[Date]],'DB Details'!$A:$Q,11)=0,"",VLOOKUP(Table91213[[#This Row],[Date]],'DB Details'!$A:$Q,11))</f>
        <v>45.9</v>
      </c>
      <c r="L300" s="48">
        <f>IF(VLOOKUP(Table91213[[#This Row],[Date]],'DB Details'!$A:$Q,12)=0,"",VLOOKUP(Table91213[[#This Row],[Date]],'DB Details'!$A:$Q,12))</f>
        <v>59.9</v>
      </c>
    </row>
    <row r="301" spans="1:12" x14ac:dyDescent="0.35">
      <c r="A301" s="51">
        <v>44593</v>
      </c>
      <c r="B301" s="48">
        <f>IF(VLOOKUP(Table91213[[#This Row],[Date]],'DB Details'!$A:$Q,2)=0,"",VLOOKUP(Table91213[[#This Row],[Date]],'DB Details'!$A:$Q,2))</f>
        <v>56.1</v>
      </c>
      <c r="C301" s="49">
        <f>IF(VLOOKUP(Table91213[[#This Row],[Date]],'DB Details'!$A:$Q,3)=0,"",VLOOKUP(Table91213[[#This Row],[Date]],'DB Details'!$A:$Q,3))</f>
        <v>51.7</v>
      </c>
      <c r="D301" s="49">
        <f>IF(VLOOKUP(Table91213[[#This Row],[Date]],'DB Details'!$A:$Q,4)=0,"",VLOOKUP(Table91213[[#This Row],[Date]],'DB Details'!$A:$Q,4))</f>
        <v>64.2</v>
      </c>
      <c r="E301" s="50">
        <f>IF(VLOOKUP(Table91213[[#This Row],[Date]],'DB Details'!$A:$Q,5)=0,"",VLOOKUP(Table91213[[#This Row],[Date]],'DB Details'!$A:$Q,5))</f>
        <v>83.1</v>
      </c>
      <c r="F301" s="49">
        <f>IF(VLOOKUP(Table91213[[#This Row],[Date]],'DB Details'!$A:$Q,6)=0,"",VLOOKUP(Table91213[[#This Row],[Date]],'DB Details'!$A:$Q,6))</f>
        <v>55.1</v>
      </c>
      <c r="G301" s="50">
        <f>IF(VLOOKUP(Table91213[[#This Row],[Date]],'DB Details'!$A:$Q,7)=0,"",VLOOKUP(Table91213[[#This Row],[Date]],'DB Details'!$A:$Q,7))</f>
        <v>55.3</v>
      </c>
      <c r="H301" s="50">
        <f>IF(VLOOKUP(Table91213[[#This Row],[Date]],'DB Details'!$A:$Q,8)=0,"",VLOOKUP(Table91213[[#This Row],[Date]],'DB Details'!$A:$Q,8))</f>
        <v>50.8</v>
      </c>
      <c r="I301" s="50">
        <f>IF(VLOOKUP(Table91213[[#This Row],[Date]],'DB Details'!$A:$Q,9)=0,"",VLOOKUP(Table91213[[#This Row],[Date]],'DB Details'!$A:$Q,9))</f>
        <v>66.2</v>
      </c>
      <c r="J301" s="50">
        <f>IF(VLOOKUP(Table91213[[#This Row],[Date]],'DB Details'!$A:$Q,10)=0,"",VLOOKUP(Table91213[[#This Row],[Date]],'DB Details'!$A:$Q,10))</f>
        <v>48.5</v>
      </c>
      <c r="K301" s="50">
        <f>IF(VLOOKUP(Table91213[[#This Row],[Date]],'DB Details'!$A:$Q,11)=0,"",VLOOKUP(Table91213[[#This Row],[Date]],'DB Details'!$A:$Q,11))</f>
        <v>53</v>
      </c>
      <c r="L301" s="48">
        <f>IF(VLOOKUP(Table91213[[#This Row],[Date]],'DB Details'!$A:$Q,12)=0,"",VLOOKUP(Table91213[[#This Row],[Date]],'DB Details'!$A:$Q,12))</f>
        <v>56.5</v>
      </c>
    </row>
    <row r="302" spans="1:12" x14ac:dyDescent="0.35">
      <c r="A302" s="51">
        <v>44621</v>
      </c>
      <c r="B302" s="48">
        <f>IF(VLOOKUP(Table91213[[#This Row],[Date]],'DB Details'!$A:$Q,2)=0,"",VLOOKUP(Table91213[[#This Row],[Date]],'DB Details'!$A:$Q,2))</f>
        <v>60.1</v>
      </c>
      <c r="C302" s="49">
        <f>IF(VLOOKUP(Table91213[[#This Row],[Date]],'DB Details'!$A:$Q,3)=0,"",VLOOKUP(Table91213[[#This Row],[Date]],'DB Details'!$A:$Q,3))</f>
        <v>45</v>
      </c>
      <c r="D302" s="49">
        <f>IF(VLOOKUP(Table91213[[#This Row],[Date]],'DB Details'!$A:$Q,4)=0,"",VLOOKUP(Table91213[[#This Row],[Date]],'DB Details'!$A:$Q,4))</f>
        <v>64.5</v>
      </c>
      <c r="E302" s="50">
        <f>IF(VLOOKUP(Table91213[[#This Row],[Date]],'DB Details'!$A:$Q,5)=0,"",VLOOKUP(Table91213[[#This Row],[Date]],'DB Details'!$A:$Q,5))</f>
        <v>83.8</v>
      </c>
      <c r="F302" s="49">
        <f>IF(VLOOKUP(Table91213[[#This Row],[Date]],'DB Details'!$A:$Q,6)=0,"",VLOOKUP(Table91213[[#This Row],[Date]],'DB Details'!$A:$Q,6))</f>
        <v>55.5</v>
      </c>
      <c r="G302" s="50">
        <f>IF(VLOOKUP(Table91213[[#This Row],[Date]],'DB Details'!$A:$Q,7)=0,"",VLOOKUP(Table91213[[#This Row],[Date]],'DB Details'!$A:$Q,7))</f>
        <v>40.200000000000003</v>
      </c>
      <c r="H302" s="50">
        <f>IF(VLOOKUP(Table91213[[#This Row],[Date]],'DB Details'!$A:$Q,8)=0,"",VLOOKUP(Table91213[[#This Row],[Date]],'DB Details'!$A:$Q,8))</f>
        <v>51.7</v>
      </c>
      <c r="I302" s="50">
        <f>IF(VLOOKUP(Table91213[[#This Row],[Date]],'DB Details'!$A:$Q,9)=0,"",VLOOKUP(Table91213[[#This Row],[Date]],'DB Details'!$A:$Q,9))</f>
        <v>63.4</v>
      </c>
      <c r="J302" s="50">
        <f>IF(VLOOKUP(Table91213[[#This Row],[Date]],'DB Details'!$A:$Q,10)=0,"",VLOOKUP(Table91213[[#This Row],[Date]],'DB Details'!$A:$Q,10))</f>
        <v>54</v>
      </c>
      <c r="K302" s="50">
        <f>IF(VLOOKUP(Table91213[[#This Row],[Date]],'DB Details'!$A:$Q,11)=0,"",VLOOKUP(Table91213[[#This Row],[Date]],'DB Details'!$A:$Q,11))</f>
        <v>61</v>
      </c>
      <c r="L302" s="48">
        <f>IF(VLOOKUP(Table91213[[#This Row],[Date]],'DB Details'!$A:$Q,12)=0,"",VLOOKUP(Table91213[[#This Row],[Date]],'DB Details'!$A:$Q,12))</f>
        <v>58.3</v>
      </c>
    </row>
    <row r="303" spans="1:12" x14ac:dyDescent="0.35">
      <c r="A303" s="51">
        <v>44652</v>
      </c>
      <c r="B303" s="48">
        <f>IF(VLOOKUP(Table91213[[#This Row],[Date]],'DB Details'!$A:$Q,2)=0,"",VLOOKUP(Table91213[[#This Row],[Date]],'DB Details'!$A:$Q,2))</f>
        <v>54.6</v>
      </c>
      <c r="C303" s="49">
        <f>IF(VLOOKUP(Table91213[[#This Row],[Date]],'DB Details'!$A:$Q,3)=0,"",VLOOKUP(Table91213[[#This Row],[Date]],'DB Details'!$A:$Q,3))</f>
        <v>52.9</v>
      </c>
      <c r="D303" s="49">
        <f>IF(VLOOKUP(Table91213[[#This Row],[Date]],'DB Details'!$A:$Q,4)=0,"",VLOOKUP(Table91213[[#This Row],[Date]],'DB Details'!$A:$Q,4))</f>
        <v>59.4</v>
      </c>
      <c r="E303" s="50">
        <f>IF(VLOOKUP(Table91213[[#This Row],[Date]],'DB Details'!$A:$Q,5)=0,"",VLOOKUP(Table91213[[#This Row],[Date]],'DB Details'!$A:$Q,5))</f>
        <v>84.6</v>
      </c>
      <c r="F303" s="49">
        <f>IF(VLOOKUP(Table91213[[#This Row],[Date]],'DB Details'!$A:$Q,6)=0,"",VLOOKUP(Table91213[[#This Row],[Date]],'DB Details'!$A:$Q,6))</f>
        <v>59.1</v>
      </c>
      <c r="G303" s="50">
        <f>IF(VLOOKUP(Table91213[[#This Row],[Date]],'DB Details'!$A:$Q,7)=0,"",VLOOKUP(Table91213[[#This Row],[Date]],'DB Details'!$A:$Q,7))</f>
        <v>46.7</v>
      </c>
      <c r="H303" s="50">
        <f>IF(VLOOKUP(Table91213[[#This Row],[Date]],'DB Details'!$A:$Q,8)=0,"",VLOOKUP(Table91213[[#This Row],[Date]],'DB Details'!$A:$Q,8))</f>
        <v>52.3</v>
      </c>
      <c r="I303" s="50">
        <f>IF(VLOOKUP(Table91213[[#This Row],[Date]],'DB Details'!$A:$Q,9)=0,"",VLOOKUP(Table91213[[#This Row],[Date]],'DB Details'!$A:$Q,9))</f>
        <v>65.099999999999994</v>
      </c>
      <c r="J303" s="50">
        <f>IF(VLOOKUP(Table91213[[#This Row],[Date]],'DB Details'!$A:$Q,10)=0,"",VLOOKUP(Table91213[[#This Row],[Date]],'DB Details'!$A:$Q,10))</f>
        <v>49.5</v>
      </c>
      <c r="K303" s="50">
        <f>IF(VLOOKUP(Table91213[[#This Row],[Date]],'DB Details'!$A:$Q,11)=0,"",VLOOKUP(Table91213[[#This Row],[Date]],'DB Details'!$A:$Q,11))</f>
        <v>58.1</v>
      </c>
      <c r="L303" s="48">
        <f>IF(VLOOKUP(Table91213[[#This Row],[Date]],'DB Details'!$A:$Q,12)=0,"",VLOOKUP(Table91213[[#This Row],[Date]],'DB Details'!$A:$Q,12))</f>
        <v>57.1</v>
      </c>
    </row>
    <row r="304" spans="1:12" x14ac:dyDescent="0.35">
      <c r="A304" s="51">
        <v>44682</v>
      </c>
      <c r="B304" s="48">
        <f>IF(VLOOKUP(Table91213[[#This Row],[Date]],'DB Details'!$A:$Q,2)=0,"",VLOOKUP(Table91213[[#This Row],[Date]],'DB Details'!$A:$Q,2))</f>
        <v>57.6</v>
      </c>
      <c r="C304" s="49">
        <f>IF(VLOOKUP(Table91213[[#This Row],[Date]],'DB Details'!$A:$Q,3)=0,"",VLOOKUP(Table91213[[#This Row],[Date]],'DB Details'!$A:$Q,3))</f>
        <v>52.8</v>
      </c>
      <c r="D304" s="49">
        <f>IF(VLOOKUP(Table91213[[#This Row],[Date]],'DB Details'!$A:$Q,4)=0,"",VLOOKUP(Table91213[[#This Row],[Date]],'DB Details'!$A:$Q,4))</f>
        <v>52</v>
      </c>
      <c r="E304" s="50">
        <f>IF(VLOOKUP(Table91213[[#This Row],[Date]],'DB Details'!$A:$Q,5)=0,"",VLOOKUP(Table91213[[#This Row],[Date]],'DB Details'!$A:$Q,5))</f>
        <v>82.1</v>
      </c>
      <c r="F304" s="49">
        <f>IF(VLOOKUP(Table91213[[#This Row],[Date]],'DB Details'!$A:$Q,6)=0,"",VLOOKUP(Table91213[[#This Row],[Date]],'DB Details'!$A:$Q,6))</f>
        <v>54.5</v>
      </c>
      <c r="G304" s="50">
        <f>IF(VLOOKUP(Table91213[[#This Row],[Date]],'DB Details'!$A:$Q,7)=0,"",VLOOKUP(Table91213[[#This Row],[Date]],'DB Details'!$A:$Q,7))</f>
        <v>44.5</v>
      </c>
      <c r="H304" s="50">
        <f>IF(VLOOKUP(Table91213[[#This Row],[Date]],'DB Details'!$A:$Q,8)=0,"",VLOOKUP(Table91213[[#This Row],[Date]],'DB Details'!$A:$Q,8))</f>
        <v>51</v>
      </c>
      <c r="I304" s="50">
        <f>IF(VLOOKUP(Table91213[[#This Row],[Date]],'DB Details'!$A:$Q,9)=0,"",VLOOKUP(Table91213[[#This Row],[Date]],'DB Details'!$A:$Q,9))</f>
        <v>61.3</v>
      </c>
      <c r="J304" s="50">
        <f>IF(VLOOKUP(Table91213[[#This Row],[Date]],'DB Details'!$A:$Q,10)=0,"",VLOOKUP(Table91213[[#This Row],[Date]],'DB Details'!$A:$Q,10))</f>
        <v>50.2</v>
      </c>
      <c r="K304" s="50">
        <f>IF(VLOOKUP(Table91213[[#This Row],[Date]],'DB Details'!$A:$Q,11)=0,"",VLOOKUP(Table91213[[#This Row],[Date]],'DB Details'!$A:$Q,11))</f>
        <v>60.9</v>
      </c>
      <c r="L304" s="48">
        <f>IF(VLOOKUP(Table91213[[#This Row],[Date]],'DB Details'!$A:$Q,12)=0,"",VLOOKUP(Table91213[[#This Row],[Date]],'DB Details'!$A:$Q,12))</f>
        <v>55.9</v>
      </c>
    </row>
    <row r="305" spans="1:12" x14ac:dyDescent="0.35">
      <c r="A305" s="51">
        <v>44713</v>
      </c>
      <c r="B305" s="48">
        <f>IF(VLOOKUP(Table91213[[#This Row],[Date]],'DB Details'!$A:$Q,2)=0,"",VLOOKUP(Table91213[[#This Row],[Date]],'DB Details'!$A:$Q,2))</f>
        <v>55.6</v>
      </c>
      <c r="C305" s="49">
        <f>IF(VLOOKUP(Table91213[[#This Row],[Date]],'DB Details'!$A:$Q,3)=0,"",VLOOKUP(Table91213[[#This Row],[Date]],'DB Details'!$A:$Q,3))</f>
        <v>46.3</v>
      </c>
      <c r="D305" s="49">
        <f>IF(VLOOKUP(Table91213[[#This Row],[Date]],'DB Details'!$A:$Q,4)=0,"",VLOOKUP(Table91213[[#This Row],[Date]],'DB Details'!$A:$Q,4))</f>
        <v>60.5</v>
      </c>
      <c r="E305" s="50">
        <f>IF(VLOOKUP(Table91213[[#This Row],[Date]],'DB Details'!$A:$Q,5)=0,"",VLOOKUP(Table91213[[#This Row],[Date]],'DB Details'!$A:$Q,5))</f>
        <v>80.099999999999994</v>
      </c>
      <c r="F305" s="49">
        <f>IF(VLOOKUP(Table91213[[#This Row],[Date]],'DB Details'!$A:$Q,6)=0,"",VLOOKUP(Table91213[[#This Row],[Date]],'DB Details'!$A:$Q,6))</f>
        <v>56.1</v>
      </c>
      <c r="G305" s="50">
        <f>IF(VLOOKUP(Table91213[[#This Row],[Date]],'DB Details'!$A:$Q,7)=0,"",VLOOKUP(Table91213[[#This Row],[Date]],'DB Details'!$A:$Q,7))</f>
        <v>46.2</v>
      </c>
      <c r="H305" s="50">
        <f>IF(VLOOKUP(Table91213[[#This Row],[Date]],'DB Details'!$A:$Q,8)=0,"",VLOOKUP(Table91213[[#This Row],[Date]],'DB Details'!$A:$Q,8))</f>
        <v>47.5</v>
      </c>
      <c r="I305" s="50">
        <f>IF(VLOOKUP(Table91213[[#This Row],[Date]],'DB Details'!$A:$Q,9)=0,"",VLOOKUP(Table91213[[#This Row],[Date]],'DB Details'!$A:$Q,9))</f>
        <v>61.9</v>
      </c>
      <c r="J305" s="50">
        <f>IF(VLOOKUP(Table91213[[#This Row],[Date]],'DB Details'!$A:$Q,10)=0,"",VLOOKUP(Table91213[[#This Row],[Date]],'DB Details'!$A:$Q,10))</f>
        <v>47.4</v>
      </c>
      <c r="K305" s="50">
        <f>IF(VLOOKUP(Table91213[[#This Row],[Date]],'DB Details'!$A:$Q,11)=0,"",VLOOKUP(Table91213[[#This Row],[Date]],'DB Details'!$A:$Q,11))</f>
        <v>57.5</v>
      </c>
      <c r="L305" s="48">
        <f>IF(VLOOKUP(Table91213[[#This Row],[Date]],'DB Details'!$A:$Q,12)=0,"",VLOOKUP(Table91213[[#This Row],[Date]],'DB Details'!$A:$Q,12))</f>
        <v>55.3</v>
      </c>
    </row>
    <row r="306" spans="1:12" x14ac:dyDescent="0.35">
      <c r="A306" s="51">
        <v>44743</v>
      </c>
      <c r="B306" s="48">
        <f>IF(VLOOKUP(Table91213[[#This Row],[Date]],'DB Details'!$A:$Q,2)=0,"",VLOOKUP(Table91213[[#This Row],[Date]],'DB Details'!$A:$Q,2))</f>
        <v>59.9</v>
      </c>
      <c r="C306" s="49">
        <f>IF(VLOOKUP(Table91213[[#This Row],[Date]],'DB Details'!$A:$Q,3)=0,"",VLOOKUP(Table91213[[#This Row],[Date]],'DB Details'!$A:$Q,3))</f>
        <v>48</v>
      </c>
      <c r="D306" s="49">
        <f>IF(VLOOKUP(Table91213[[#This Row],[Date]],'DB Details'!$A:$Q,4)=0,"",VLOOKUP(Table91213[[#This Row],[Date]],'DB Details'!$A:$Q,4))</f>
        <v>58.3</v>
      </c>
      <c r="E306" s="50">
        <f>IF(VLOOKUP(Table91213[[#This Row],[Date]],'DB Details'!$A:$Q,5)=0,"",VLOOKUP(Table91213[[#This Row],[Date]],'DB Details'!$A:$Q,5))</f>
        <v>72.3</v>
      </c>
      <c r="F306" s="49">
        <f>IF(VLOOKUP(Table91213[[#This Row],[Date]],'DB Details'!$A:$Q,6)=0,"",VLOOKUP(Table91213[[#This Row],[Date]],'DB Details'!$A:$Q,6))</f>
        <v>59.9</v>
      </c>
      <c r="G306" s="50">
        <f>IF(VLOOKUP(Table91213[[#This Row],[Date]],'DB Details'!$A:$Q,7)=0,"",VLOOKUP(Table91213[[#This Row],[Date]],'DB Details'!$A:$Q,7))</f>
        <v>50.1</v>
      </c>
      <c r="H306" s="50">
        <f>IF(VLOOKUP(Table91213[[#This Row],[Date]],'DB Details'!$A:$Q,8)=0,"",VLOOKUP(Table91213[[#This Row],[Date]],'DB Details'!$A:$Q,8))</f>
        <v>45</v>
      </c>
      <c r="I306" s="50">
        <f>IF(VLOOKUP(Table91213[[#This Row],[Date]],'DB Details'!$A:$Q,9)=0,"",VLOOKUP(Table91213[[#This Row],[Date]],'DB Details'!$A:$Q,9))</f>
        <v>57.8</v>
      </c>
      <c r="J306" s="50">
        <f>IF(VLOOKUP(Table91213[[#This Row],[Date]],'DB Details'!$A:$Q,10)=0,"",VLOOKUP(Table91213[[#This Row],[Date]],'DB Details'!$A:$Q,10))</f>
        <v>49.1</v>
      </c>
      <c r="K306" s="50">
        <f>IF(VLOOKUP(Table91213[[#This Row],[Date]],'DB Details'!$A:$Q,11)=0,"",VLOOKUP(Table91213[[#This Row],[Date]],'DB Details'!$A:$Q,11))</f>
        <v>59.5</v>
      </c>
      <c r="L306" s="48">
        <f>IF(VLOOKUP(Table91213[[#This Row],[Date]],'DB Details'!$A:$Q,12)=0,"",VLOOKUP(Table91213[[#This Row],[Date]],'DB Details'!$A:$Q,12))</f>
        <v>56.7</v>
      </c>
    </row>
    <row r="307" spans="1:12" x14ac:dyDescent="0.35">
      <c r="A307" s="51">
        <v>44774</v>
      </c>
      <c r="B307" s="48">
        <f>IF(VLOOKUP(Table91213[[#This Row],[Date]],'DB Details'!$A:$Q,2)=0,"",VLOOKUP(Table91213[[#This Row],[Date]],'DB Details'!$A:$Q,2))</f>
        <v>61.8</v>
      </c>
      <c r="C307" s="49">
        <f>IF(VLOOKUP(Table91213[[#This Row],[Date]],'DB Details'!$A:$Q,3)=0,"",VLOOKUP(Table91213[[#This Row],[Date]],'DB Details'!$A:$Q,3))</f>
        <v>48.2</v>
      </c>
      <c r="D307" s="49">
        <f>IF(VLOOKUP(Table91213[[#This Row],[Date]],'DB Details'!$A:$Q,4)=0,"",VLOOKUP(Table91213[[#This Row],[Date]],'DB Details'!$A:$Q,4))</f>
        <v>53.9</v>
      </c>
      <c r="E307" s="50">
        <f>IF(VLOOKUP(Table91213[[#This Row],[Date]],'DB Details'!$A:$Q,5)=0,"",VLOOKUP(Table91213[[#This Row],[Date]],'DB Details'!$A:$Q,5))</f>
        <v>71.5</v>
      </c>
      <c r="F307" s="49">
        <f>IF(VLOOKUP(Table91213[[#This Row],[Date]],'DB Details'!$A:$Q,6)=0,"",VLOOKUP(Table91213[[#This Row],[Date]],'DB Details'!$A:$Q,6))</f>
        <v>60.9</v>
      </c>
      <c r="G307" s="50">
        <f>IF(VLOOKUP(Table91213[[#This Row],[Date]],'DB Details'!$A:$Q,7)=0,"",VLOOKUP(Table91213[[#This Row],[Date]],'DB Details'!$A:$Q,7))</f>
        <v>47.1</v>
      </c>
      <c r="H307" s="50">
        <f>IF(VLOOKUP(Table91213[[#This Row],[Date]],'DB Details'!$A:$Q,8)=0,"",VLOOKUP(Table91213[[#This Row],[Date]],'DB Details'!$A:$Q,8))</f>
        <v>46.2</v>
      </c>
      <c r="I307" s="50">
        <f>IF(VLOOKUP(Table91213[[#This Row],[Date]],'DB Details'!$A:$Q,9)=0,"",VLOOKUP(Table91213[[#This Row],[Date]],'DB Details'!$A:$Q,9))</f>
        <v>54.5</v>
      </c>
      <c r="J307" s="50">
        <f>IF(VLOOKUP(Table91213[[#This Row],[Date]],'DB Details'!$A:$Q,10)=0,"",VLOOKUP(Table91213[[#This Row],[Date]],'DB Details'!$A:$Q,10))</f>
        <v>50.2</v>
      </c>
      <c r="K307" s="50">
        <f>IF(VLOOKUP(Table91213[[#This Row],[Date]],'DB Details'!$A:$Q,11)=0,"",VLOOKUP(Table91213[[#This Row],[Date]],'DB Details'!$A:$Q,11))</f>
        <v>61.9</v>
      </c>
      <c r="L307" s="48">
        <f>IF(VLOOKUP(Table91213[[#This Row],[Date]],'DB Details'!$A:$Q,12)=0,"",VLOOKUP(Table91213[[#This Row],[Date]],'DB Details'!$A:$Q,12))</f>
        <v>56.9</v>
      </c>
    </row>
    <row r="308" spans="1:12" x14ac:dyDescent="0.35">
      <c r="A308" s="51">
        <v>44805</v>
      </c>
      <c r="B308" s="48">
        <f>IF(VLOOKUP(Table91213[[#This Row],[Date]],'DB Details'!$A:$Q,2)=0,"",VLOOKUP(Table91213[[#This Row],[Date]],'DB Details'!$A:$Q,2))</f>
        <v>60.6</v>
      </c>
      <c r="C308" s="49">
        <f>IF(VLOOKUP(Table91213[[#This Row],[Date]],'DB Details'!$A:$Q,3)=0,"",VLOOKUP(Table91213[[#This Row],[Date]],'DB Details'!$A:$Q,3))</f>
        <v>51.3</v>
      </c>
      <c r="D308" s="49">
        <f>IF(VLOOKUP(Table91213[[#This Row],[Date]],'DB Details'!$A:$Q,4)=0,"",VLOOKUP(Table91213[[#This Row],[Date]],'DB Details'!$A:$Q,4))</f>
        <v>52.5</v>
      </c>
      <c r="E308" s="50">
        <f>IF(VLOOKUP(Table91213[[#This Row],[Date]],'DB Details'!$A:$Q,5)=0,"",VLOOKUP(Table91213[[#This Row],[Date]],'DB Details'!$A:$Q,5))</f>
        <v>68.7</v>
      </c>
      <c r="F308" s="49">
        <f>IF(VLOOKUP(Table91213[[#This Row],[Date]],'DB Details'!$A:$Q,6)=0,"",VLOOKUP(Table91213[[#This Row],[Date]],'DB Details'!$A:$Q,6))</f>
        <v>59.1</v>
      </c>
      <c r="G308" s="50">
        <f>IF(VLOOKUP(Table91213[[#This Row],[Date]],'DB Details'!$A:$Q,7)=0,"",VLOOKUP(Table91213[[#This Row],[Date]],'DB Details'!$A:$Q,7))</f>
        <v>47.2</v>
      </c>
      <c r="H308" s="50">
        <f>IF(VLOOKUP(Table91213[[#This Row],[Date]],'DB Details'!$A:$Q,8)=0,"",VLOOKUP(Table91213[[#This Row],[Date]],'DB Details'!$A:$Q,8))</f>
        <v>44.1</v>
      </c>
      <c r="I308" s="50">
        <f>IF(VLOOKUP(Table91213[[#This Row],[Date]],'DB Details'!$A:$Q,9)=0,"",VLOOKUP(Table91213[[#This Row],[Date]],'DB Details'!$A:$Q,9))</f>
        <v>53.9</v>
      </c>
      <c r="J308" s="50">
        <f>IF(VLOOKUP(Table91213[[#This Row],[Date]],'DB Details'!$A:$Q,10)=0,"",VLOOKUP(Table91213[[#This Row],[Date]],'DB Details'!$A:$Q,10))</f>
        <v>53</v>
      </c>
      <c r="K308" s="50">
        <f>IF(VLOOKUP(Table91213[[#This Row],[Date]],'DB Details'!$A:$Q,11)=0,"",VLOOKUP(Table91213[[#This Row],[Date]],'DB Details'!$A:$Q,11))</f>
        <v>65.099999999999994</v>
      </c>
      <c r="L308" s="48">
        <f>IF(VLOOKUP(Table91213[[#This Row],[Date]],'DB Details'!$A:$Q,12)=0,"",VLOOKUP(Table91213[[#This Row],[Date]],'DB Details'!$A:$Q,12))</f>
        <v>56.7</v>
      </c>
    </row>
    <row r="309" spans="1:12" x14ac:dyDescent="0.35">
      <c r="A309" s="51">
        <v>44835</v>
      </c>
      <c r="B309" s="48">
        <f>IF(VLOOKUP(Table91213[[#This Row],[Date]],'DB Details'!$A:$Q,2)=0,"",VLOOKUP(Table91213[[#This Row],[Date]],'DB Details'!$A:$Q,2))</f>
        <v>56.5</v>
      </c>
      <c r="C309" s="49">
        <f>IF(VLOOKUP(Table91213[[#This Row],[Date]],'DB Details'!$A:$Q,3)=0,"",VLOOKUP(Table91213[[#This Row],[Date]],'DB Details'!$A:$Q,3))</f>
        <v>50.4</v>
      </c>
      <c r="D309" s="49">
        <f>IF(VLOOKUP(Table91213[[#This Row],[Date]],'DB Details'!$A:$Q,4)=0,"",VLOOKUP(Table91213[[#This Row],[Date]],'DB Details'!$A:$Q,4))</f>
        <v>52.2</v>
      </c>
      <c r="E309" s="50">
        <f>IF(VLOOKUP(Table91213[[#This Row],[Date]],'DB Details'!$A:$Q,5)=0,"",VLOOKUP(Table91213[[#This Row],[Date]],'DB Details'!$A:$Q,5))</f>
        <v>70.7</v>
      </c>
      <c r="F309" s="49">
        <f>IF(VLOOKUP(Table91213[[#This Row],[Date]],'DB Details'!$A:$Q,6)=0,"",VLOOKUP(Table91213[[#This Row],[Date]],'DB Details'!$A:$Q,6))</f>
        <v>55.7</v>
      </c>
      <c r="G309" s="50">
        <f>IF(VLOOKUP(Table91213[[#This Row],[Date]],'DB Details'!$A:$Q,7)=0,"",VLOOKUP(Table91213[[#This Row],[Date]],'DB Details'!$A:$Q,7))</f>
        <v>46.4</v>
      </c>
      <c r="H309" s="50">
        <f>IF(VLOOKUP(Table91213[[#This Row],[Date]],'DB Details'!$A:$Q,8)=0,"",VLOOKUP(Table91213[[#This Row],[Date]],'DB Details'!$A:$Q,8))</f>
        <v>47.2</v>
      </c>
      <c r="I309" s="50">
        <f>IF(VLOOKUP(Table91213[[#This Row],[Date]],'DB Details'!$A:$Q,9)=0,"",VLOOKUP(Table91213[[#This Row],[Date]],'DB Details'!$A:$Q,9))</f>
        <v>56.2</v>
      </c>
      <c r="J309" s="50">
        <f>IF(VLOOKUP(Table91213[[#This Row],[Date]],'DB Details'!$A:$Q,10)=0,"",VLOOKUP(Table91213[[#This Row],[Date]],'DB Details'!$A:$Q,10))</f>
        <v>49.1</v>
      </c>
      <c r="K309" s="50">
        <f>IF(VLOOKUP(Table91213[[#This Row],[Date]],'DB Details'!$A:$Q,11)=0,"",VLOOKUP(Table91213[[#This Row],[Date]],'DB Details'!$A:$Q,11))</f>
        <v>47.7</v>
      </c>
      <c r="L309" s="48">
        <f>IF(VLOOKUP(Table91213[[#This Row],[Date]],'DB Details'!$A:$Q,12)=0,"",VLOOKUP(Table91213[[#This Row],[Date]],'DB Details'!$A:$Q,12))</f>
        <v>54.4</v>
      </c>
    </row>
    <row r="310" spans="1:12" x14ac:dyDescent="0.35">
      <c r="A310" s="51">
        <v>44866</v>
      </c>
      <c r="B310" s="48">
        <f>IF(VLOOKUP(Table91213[[#This Row],[Date]],'DB Details'!$A:$Q,2)=0,"",VLOOKUP(Table91213[[#This Row],[Date]],'DB Details'!$A:$Q,2))</f>
        <v>56</v>
      </c>
      <c r="C310" s="49">
        <f>IF(VLOOKUP(Table91213[[#This Row],[Date]],'DB Details'!$A:$Q,3)=0,"",VLOOKUP(Table91213[[#This Row],[Date]],'DB Details'!$A:$Q,3))</f>
        <v>59.5</v>
      </c>
      <c r="D310" s="49">
        <f>IF(VLOOKUP(Table91213[[#This Row],[Date]],'DB Details'!$A:$Q,4)=0,"",VLOOKUP(Table91213[[#This Row],[Date]],'DB Details'!$A:$Q,4))</f>
        <v>51.8</v>
      </c>
      <c r="E310" s="50">
        <f>IF(VLOOKUP(Table91213[[#This Row],[Date]],'DB Details'!$A:$Q,5)=0,"",VLOOKUP(Table91213[[#This Row],[Date]],'DB Details'!$A:$Q,5))</f>
        <v>70</v>
      </c>
      <c r="F310" s="49">
        <f>IF(VLOOKUP(Table91213[[#This Row],[Date]],'DB Details'!$A:$Q,6)=0,"",VLOOKUP(Table91213[[#This Row],[Date]],'DB Details'!$A:$Q,6))</f>
        <v>64.7</v>
      </c>
      <c r="G310" s="50">
        <f>IF(VLOOKUP(Table91213[[#This Row],[Date]],'DB Details'!$A:$Q,7)=0,"",VLOOKUP(Table91213[[#This Row],[Date]],'DB Details'!$A:$Q,7))</f>
        <v>44.2</v>
      </c>
      <c r="H310" s="50">
        <f>IF(VLOOKUP(Table91213[[#This Row],[Date]],'DB Details'!$A:$Q,8)=0,"",VLOOKUP(Table91213[[#This Row],[Date]],'DB Details'!$A:$Q,8))</f>
        <v>47.9</v>
      </c>
      <c r="I310" s="50">
        <f>IF(VLOOKUP(Table91213[[#This Row],[Date]],'DB Details'!$A:$Q,9)=0,"",VLOOKUP(Table91213[[#This Row],[Date]],'DB Details'!$A:$Q,9))</f>
        <v>53.8</v>
      </c>
      <c r="J310" s="50">
        <f>IF(VLOOKUP(Table91213[[#This Row],[Date]],'DB Details'!$A:$Q,10)=0,"",VLOOKUP(Table91213[[#This Row],[Date]],'DB Details'!$A:$Q,10))</f>
        <v>51.5</v>
      </c>
      <c r="K310" s="50">
        <f>IF(VLOOKUP(Table91213[[#This Row],[Date]],'DB Details'!$A:$Q,11)=0,"",VLOOKUP(Table91213[[#This Row],[Date]],'DB Details'!$A:$Q,11))</f>
        <v>38.4</v>
      </c>
      <c r="L310" s="48">
        <f>IF(VLOOKUP(Table91213[[#This Row],[Date]],'DB Details'!$A:$Q,12)=0,"",VLOOKUP(Table91213[[#This Row],[Date]],'DB Details'!$A:$Q,12))</f>
        <v>56.5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10" zoomScaleNormal="110" workbookViewId="0">
      <selection activeCell="AF56" sqref="AF56"/>
    </sheetView>
  </sheetViews>
  <sheetFormatPr defaultColWidth="9.1796875" defaultRowHeight="14.5" x14ac:dyDescent="0.35"/>
  <cols>
    <col min="1" max="22" width="9.1796875" style="63" customWidth="1"/>
    <col min="23" max="16384" width="9.1796875" style="63"/>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10"/>
  <sheetViews>
    <sheetView zoomScale="140" zoomScaleNormal="140" workbookViewId="0">
      <pane ySplit="5" topLeftCell="A282" activePane="bottomLeft" state="frozen"/>
      <selection activeCell="F274" sqref="F274"/>
      <selection pane="bottomLeft" activeCell="E317" sqref="E317"/>
    </sheetView>
  </sheetViews>
  <sheetFormatPr defaultColWidth="9.1796875" defaultRowHeight="14.5" x14ac:dyDescent="0.35"/>
  <cols>
    <col min="1" max="1" width="12.36328125" style="63" customWidth="1"/>
    <col min="2" max="5" width="14.6328125" style="63" customWidth="1"/>
    <col min="6" max="27" width="9.1796875" style="63" customWidth="1"/>
    <col min="28" max="16384" width="9.1796875" style="63"/>
  </cols>
  <sheetData>
    <row r="1" spans="1:5" x14ac:dyDescent="0.35">
      <c r="A1" s="26" t="s">
        <v>78</v>
      </c>
    </row>
    <row r="2" spans="1:5" ht="3.75" customHeight="1" x14ac:dyDescent="0.35"/>
    <row r="3" spans="1:5" ht="3.75" customHeight="1" x14ac:dyDescent="0.35"/>
    <row r="4" spans="1:5" ht="16" customHeight="1" thickBot="1" x14ac:dyDescent="0.4"/>
    <row r="5" spans="1:5" ht="25" customHeight="1" thickBot="1" x14ac:dyDescent="0.4">
      <c r="A5" s="53" t="s">
        <v>77</v>
      </c>
      <c r="B5" s="54" t="s">
        <v>16</v>
      </c>
      <c r="C5" s="55" t="s">
        <v>79</v>
      </c>
      <c r="D5" s="56" t="s">
        <v>80</v>
      </c>
      <c r="E5" s="57" t="s">
        <v>81</v>
      </c>
    </row>
    <row r="6" spans="1:5" x14ac:dyDescent="0.35">
      <c r="A6" s="58">
        <v>35612</v>
      </c>
      <c r="B6" s="48">
        <f>IF(VLOOKUP(Table311[[#This Row],[Date]],'DB Details'!$A:$Q,12)=0,"",VLOOKUP(Table311[[#This Row],[Date]],'DB Details'!$A:$Q,12))</f>
        <v>56.7</v>
      </c>
      <c r="C6" s="59">
        <f>IF(VLOOKUP(Table311[[#This Row],[Date]],'DB Details'!$A:$Q,16)=0,"",VLOOKUP(Table311[[#This Row],[Date]],'DB Details'!$A:$Q,16))</f>
        <v>4.6738025753933231E-2</v>
      </c>
      <c r="D6" s="59">
        <f>IF(VLOOKUP(Table311[[#This Row],[Date]],'DB Details'!$A:$Q,15)=0,"",VLOOKUP(Table311[[#This Row],[Date]],'DB Details'!$A:$Q,15))</f>
        <v>1.2507785733139491E-2</v>
      </c>
      <c r="E6" s="59">
        <f>IF(VLOOKUP(Table311[[#This Row],[Date]],'DB Details'!$A:$Q,17)=0,"",VLOOKUP(Table311[[#This Row],[Date]],'DB Details'!$A:$Q,17))</f>
        <v>5.0977662738524332E-2</v>
      </c>
    </row>
    <row r="7" spans="1:5" x14ac:dyDescent="0.35">
      <c r="A7" s="58">
        <v>35643</v>
      </c>
      <c r="B7" s="48">
        <f>IF(VLOOKUP(Table311[[#This Row],[Date]],'DB Details'!$A:$Q,12)=0,"",VLOOKUP(Table311[[#This Row],[Date]],'DB Details'!$A:$Q,12))</f>
        <v>62</v>
      </c>
      <c r="C7" s="59">
        <f>IF(VLOOKUP(Table311[[#This Row],[Date]],'DB Details'!$A:$Q,16)=0,"",VLOOKUP(Table311[[#This Row],[Date]],'DB Details'!$A:$Q,16))</f>
        <v>4.6738025753933231E-2</v>
      </c>
      <c r="D7" s="59">
        <f>IF(VLOOKUP(Table311[[#This Row],[Date]],'DB Details'!$A:$Q,15)=0,"",VLOOKUP(Table311[[#This Row],[Date]],'DB Details'!$A:$Q,15))</f>
        <v>1.2507785733139491E-2</v>
      </c>
      <c r="E7" s="59">
        <f>IF(VLOOKUP(Table311[[#This Row],[Date]],'DB Details'!$A:$Q,17)=0,"",VLOOKUP(Table311[[#This Row],[Date]],'DB Details'!$A:$Q,17))</f>
        <v>5.0977662738524332E-2</v>
      </c>
    </row>
    <row r="8" spans="1:5" x14ac:dyDescent="0.35">
      <c r="A8" s="58">
        <v>35674</v>
      </c>
      <c r="B8" s="48">
        <f>IF(VLOOKUP(Table311[[#This Row],[Date]],'DB Details'!$A:$Q,12)=0,"",VLOOKUP(Table311[[#This Row],[Date]],'DB Details'!$A:$Q,12))</f>
        <v>56.2</v>
      </c>
      <c r="C8" s="59">
        <f>IF(VLOOKUP(Table311[[#This Row],[Date]],'DB Details'!$A:$Q,16)=0,"",VLOOKUP(Table311[[#This Row],[Date]],'DB Details'!$A:$Q,16))</f>
        <v>4.6738025753933231E-2</v>
      </c>
      <c r="D8" s="59">
        <f>IF(VLOOKUP(Table311[[#This Row],[Date]],'DB Details'!$A:$Q,15)=0,"",VLOOKUP(Table311[[#This Row],[Date]],'DB Details'!$A:$Q,15))</f>
        <v>1.2507785733139491E-2</v>
      </c>
      <c r="E8" s="59">
        <f>IF(VLOOKUP(Table311[[#This Row],[Date]],'DB Details'!$A:$Q,17)=0,"",VLOOKUP(Table311[[#This Row],[Date]],'DB Details'!$A:$Q,17))</f>
        <v>5.0977662738524332E-2</v>
      </c>
    </row>
    <row r="9" spans="1:5" x14ac:dyDescent="0.35">
      <c r="A9" s="58">
        <v>35704</v>
      </c>
      <c r="B9" s="48">
        <f>IF(VLOOKUP(Table311[[#This Row],[Date]],'DB Details'!$A:$Q,12)=0,"",VLOOKUP(Table311[[#This Row],[Date]],'DB Details'!$A:$Q,12))</f>
        <v>56.6</v>
      </c>
      <c r="C9" s="59">
        <f>IF(VLOOKUP(Table311[[#This Row],[Date]],'DB Details'!$A:$Q,16)=0,"",VLOOKUP(Table311[[#This Row],[Date]],'DB Details'!$A:$Q,16))</f>
        <v>4.4876844577145122E-2</v>
      </c>
      <c r="D9" s="59">
        <f>IF(VLOOKUP(Table311[[#This Row],[Date]],'DB Details'!$A:$Q,15)=0,"",VLOOKUP(Table311[[#This Row],[Date]],'DB Details'!$A:$Q,15))</f>
        <v>8.5874356260664548E-3</v>
      </c>
      <c r="E9" s="59">
        <f>IF(VLOOKUP(Table311[[#This Row],[Date]],'DB Details'!$A:$Q,17)=0,"",VLOOKUP(Table311[[#This Row],[Date]],'DB Details'!$A:$Q,17))</f>
        <v>3.4794745335392292E-2</v>
      </c>
    </row>
    <row r="10" spans="1:5" x14ac:dyDescent="0.35">
      <c r="A10" s="58">
        <v>35735</v>
      </c>
      <c r="B10" s="48">
        <f>IF(VLOOKUP(Table311[[#This Row],[Date]],'DB Details'!$A:$Q,12)=0,"",VLOOKUP(Table311[[#This Row],[Date]],'DB Details'!$A:$Q,12))</f>
        <v>58.5</v>
      </c>
      <c r="C10" s="59">
        <f>IF(VLOOKUP(Table311[[#This Row],[Date]],'DB Details'!$A:$Q,16)=0,"",VLOOKUP(Table311[[#This Row],[Date]],'DB Details'!$A:$Q,16))</f>
        <v>4.4876844577145122E-2</v>
      </c>
      <c r="D10" s="59">
        <f>IF(VLOOKUP(Table311[[#This Row],[Date]],'DB Details'!$A:$Q,15)=0,"",VLOOKUP(Table311[[#This Row],[Date]],'DB Details'!$A:$Q,15))</f>
        <v>8.5874356260664548E-3</v>
      </c>
      <c r="E10" s="59">
        <f>IF(VLOOKUP(Table311[[#This Row],[Date]],'DB Details'!$A:$Q,17)=0,"",VLOOKUP(Table311[[#This Row],[Date]],'DB Details'!$A:$Q,17))</f>
        <v>3.4794745335392292E-2</v>
      </c>
    </row>
    <row r="11" spans="1:5" x14ac:dyDescent="0.35">
      <c r="A11" s="58">
        <v>35765</v>
      </c>
      <c r="B11" s="48">
        <f>IF(VLOOKUP(Table311[[#This Row],[Date]],'DB Details'!$A:$Q,12)=0,"",VLOOKUP(Table311[[#This Row],[Date]],'DB Details'!$A:$Q,12))</f>
        <v>55.5</v>
      </c>
      <c r="C11" s="59">
        <f>IF(VLOOKUP(Table311[[#This Row],[Date]],'DB Details'!$A:$Q,16)=0,"",VLOOKUP(Table311[[#This Row],[Date]],'DB Details'!$A:$Q,16))</f>
        <v>4.4876844577145122E-2</v>
      </c>
      <c r="D11" s="59">
        <f>IF(VLOOKUP(Table311[[#This Row],[Date]],'DB Details'!$A:$Q,15)=0,"",VLOOKUP(Table311[[#This Row],[Date]],'DB Details'!$A:$Q,15))</f>
        <v>8.5874356260664548E-3</v>
      </c>
      <c r="E11" s="59">
        <f>IF(VLOOKUP(Table311[[#This Row],[Date]],'DB Details'!$A:$Q,17)=0,"",VLOOKUP(Table311[[#This Row],[Date]],'DB Details'!$A:$Q,17))</f>
        <v>3.4794745335392292E-2</v>
      </c>
    </row>
    <row r="12" spans="1:5" x14ac:dyDescent="0.35">
      <c r="A12" s="58">
        <v>35796</v>
      </c>
      <c r="B12" s="48">
        <f>IF(VLOOKUP(Table311[[#This Row],[Date]],'DB Details'!$A:$Q,12)=0,"",VLOOKUP(Table311[[#This Row],[Date]],'DB Details'!$A:$Q,12))</f>
        <v>57</v>
      </c>
      <c r="C12" s="59">
        <f>IF(VLOOKUP(Table311[[#This Row],[Date]],'DB Details'!$A:$Q,16)=0,"",VLOOKUP(Table311[[#This Row],[Date]],'DB Details'!$A:$Q,16))</f>
        <v>4.8550058826576883E-2</v>
      </c>
      <c r="D12" s="59">
        <f>IF(VLOOKUP(Table311[[#This Row],[Date]],'DB Details'!$A:$Q,15)=0,"",VLOOKUP(Table311[[#This Row],[Date]],'DB Details'!$A:$Q,15))</f>
        <v>9.9937540103740806E-3</v>
      </c>
      <c r="E12" s="59">
        <f>IF(VLOOKUP(Table311[[#This Row],[Date]],'DB Details'!$A:$Q,17)=0,"",VLOOKUP(Table311[[#This Row],[Date]],'DB Details'!$A:$Q,17))</f>
        <v>4.0578269241347893E-2</v>
      </c>
    </row>
    <row r="13" spans="1:5" x14ac:dyDescent="0.35">
      <c r="A13" s="58">
        <v>35827</v>
      </c>
      <c r="B13" s="48">
        <f>IF(VLOOKUP(Table311[[#This Row],[Date]],'DB Details'!$A:$Q,12)=0,"",VLOOKUP(Table311[[#This Row],[Date]],'DB Details'!$A:$Q,12))</f>
        <v>56.2</v>
      </c>
      <c r="C13" s="59">
        <f>IF(VLOOKUP(Table311[[#This Row],[Date]],'DB Details'!$A:$Q,16)=0,"",VLOOKUP(Table311[[#This Row],[Date]],'DB Details'!$A:$Q,16))</f>
        <v>4.8550058826576883E-2</v>
      </c>
      <c r="D13" s="59">
        <f>IF(VLOOKUP(Table311[[#This Row],[Date]],'DB Details'!$A:$Q,15)=0,"",VLOOKUP(Table311[[#This Row],[Date]],'DB Details'!$A:$Q,15))</f>
        <v>9.9937540103740806E-3</v>
      </c>
      <c r="E13" s="59">
        <f>IF(VLOOKUP(Table311[[#This Row],[Date]],'DB Details'!$A:$Q,17)=0,"",VLOOKUP(Table311[[#This Row],[Date]],'DB Details'!$A:$Q,17))</f>
        <v>4.0578269241347893E-2</v>
      </c>
    </row>
    <row r="14" spans="1:5" x14ac:dyDescent="0.35">
      <c r="A14" s="58">
        <v>35855</v>
      </c>
      <c r="B14" s="48">
        <f>IF(VLOOKUP(Table311[[#This Row],[Date]],'DB Details'!$A:$Q,12)=0,"",VLOOKUP(Table311[[#This Row],[Date]],'DB Details'!$A:$Q,12))</f>
        <v>54.7</v>
      </c>
      <c r="C14" s="59">
        <f>IF(VLOOKUP(Table311[[#This Row],[Date]],'DB Details'!$A:$Q,16)=0,"",VLOOKUP(Table311[[#This Row],[Date]],'DB Details'!$A:$Q,16))</f>
        <v>4.8550058826576883E-2</v>
      </c>
      <c r="D14" s="59">
        <f>IF(VLOOKUP(Table311[[#This Row],[Date]],'DB Details'!$A:$Q,15)=0,"",VLOOKUP(Table311[[#This Row],[Date]],'DB Details'!$A:$Q,15))</f>
        <v>9.9937540103740806E-3</v>
      </c>
      <c r="E14" s="59">
        <f>IF(VLOOKUP(Table311[[#This Row],[Date]],'DB Details'!$A:$Q,17)=0,"",VLOOKUP(Table311[[#This Row],[Date]],'DB Details'!$A:$Q,17))</f>
        <v>4.0578269241347893E-2</v>
      </c>
    </row>
    <row r="15" spans="1:5" x14ac:dyDescent="0.35">
      <c r="A15" s="58">
        <v>35886</v>
      </c>
      <c r="B15" s="48">
        <f>IF(VLOOKUP(Table311[[#This Row],[Date]],'DB Details'!$A:$Q,12)=0,"",VLOOKUP(Table311[[#This Row],[Date]],'DB Details'!$A:$Q,12))</f>
        <v>54.9</v>
      </c>
      <c r="C15" s="59">
        <f>IF(VLOOKUP(Table311[[#This Row],[Date]],'DB Details'!$A:$Q,16)=0,"",VLOOKUP(Table311[[#This Row],[Date]],'DB Details'!$A:$Q,16))</f>
        <v>4.0957268412006649E-2</v>
      </c>
      <c r="D15" s="59">
        <f>IF(VLOOKUP(Table311[[#This Row],[Date]],'DB Details'!$A:$Q,15)=0,"",VLOOKUP(Table311[[#This Row],[Date]],'DB Details'!$A:$Q,15))</f>
        <v>9.2582050690395729E-3</v>
      </c>
      <c r="E15" s="59">
        <f>IF(VLOOKUP(Table311[[#This Row],[Date]],'DB Details'!$A:$Q,17)=0,"",VLOOKUP(Table311[[#This Row],[Date]],'DB Details'!$A:$Q,17))</f>
        <v>3.7550288034241763E-2</v>
      </c>
    </row>
    <row r="16" spans="1:5" x14ac:dyDescent="0.35">
      <c r="A16" s="58">
        <v>35916</v>
      </c>
      <c r="B16" s="48">
        <f>IF(VLOOKUP(Table311[[#This Row],[Date]],'DB Details'!$A:$Q,12)=0,"",VLOOKUP(Table311[[#This Row],[Date]],'DB Details'!$A:$Q,12))</f>
        <v>56.2</v>
      </c>
      <c r="C16" s="59">
        <f>IF(VLOOKUP(Table311[[#This Row],[Date]],'DB Details'!$A:$Q,16)=0,"",VLOOKUP(Table311[[#This Row],[Date]],'DB Details'!$A:$Q,16))</f>
        <v>4.0957268412006649E-2</v>
      </c>
      <c r="D16" s="59">
        <f>IF(VLOOKUP(Table311[[#This Row],[Date]],'DB Details'!$A:$Q,15)=0,"",VLOOKUP(Table311[[#This Row],[Date]],'DB Details'!$A:$Q,15))</f>
        <v>9.2582050690395729E-3</v>
      </c>
      <c r="E16" s="59">
        <f>IF(VLOOKUP(Table311[[#This Row],[Date]],'DB Details'!$A:$Q,17)=0,"",VLOOKUP(Table311[[#This Row],[Date]],'DB Details'!$A:$Q,17))</f>
        <v>3.7550288034241763E-2</v>
      </c>
    </row>
    <row r="17" spans="1:5" x14ac:dyDescent="0.35">
      <c r="A17" s="58">
        <v>35947</v>
      </c>
      <c r="B17" s="48">
        <f>IF(VLOOKUP(Table311[[#This Row],[Date]],'DB Details'!$A:$Q,12)=0,"",VLOOKUP(Table311[[#This Row],[Date]],'DB Details'!$A:$Q,12))</f>
        <v>55.1</v>
      </c>
      <c r="C17" s="59">
        <f>IF(VLOOKUP(Table311[[#This Row],[Date]],'DB Details'!$A:$Q,16)=0,"",VLOOKUP(Table311[[#This Row],[Date]],'DB Details'!$A:$Q,16))</f>
        <v>4.0957268412006649E-2</v>
      </c>
      <c r="D17" s="59">
        <f>IF(VLOOKUP(Table311[[#This Row],[Date]],'DB Details'!$A:$Q,15)=0,"",VLOOKUP(Table311[[#This Row],[Date]],'DB Details'!$A:$Q,15))</f>
        <v>9.2582050690395729E-3</v>
      </c>
      <c r="E17" s="59">
        <f>IF(VLOOKUP(Table311[[#This Row],[Date]],'DB Details'!$A:$Q,17)=0,"",VLOOKUP(Table311[[#This Row],[Date]],'DB Details'!$A:$Q,17))</f>
        <v>3.7550288034241763E-2</v>
      </c>
    </row>
    <row r="18" spans="1:5" x14ac:dyDescent="0.35">
      <c r="A18" s="58">
        <v>35977</v>
      </c>
      <c r="B18" s="48">
        <f>IF(VLOOKUP(Table311[[#This Row],[Date]],'DB Details'!$A:$Q,12)=0,"",VLOOKUP(Table311[[#This Row],[Date]],'DB Details'!$A:$Q,12))</f>
        <v>55.8</v>
      </c>
      <c r="C18" s="59">
        <f>IF(VLOOKUP(Table311[[#This Row],[Date]],'DB Details'!$A:$Q,16)=0,"",VLOOKUP(Table311[[#This Row],[Date]],'DB Details'!$A:$Q,16))</f>
        <v>4.0977686226798142E-2</v>
      </c>
      <c r="D18" s="59">
        <f>IF(VLOOKUP(Table311[[#This Row],[Date]],'DB Details'!$A:$Q,15)=0,"",VLOOKUP(Table311[[#This Row],[Date]],'DB Details'!$A:$Q,15))</f>
        <v>1.252764552668854E-2</v>
      </c>
      <c r="E18" s="59">
        <f>IF(VLOOKUP(Table311[[#This Row],[Date]],'DB Details'!$A:$Q,17)=0,"",VLOOKUP(Table311[[#This Row],[Date]],'DB Details'!$A:$Q,17))</f>
        <v>5.1060122602257341E-2</v>
      </c>
    </row>
    <row r="19" spans="1:5" x14ac:dyDescent="0.35">
      <c r="A19" s="58">
        <v>36008</v>
      </c>
      <c r="B19" s="48">
        <f>IF(VLOOKUP(Table311[[#This Row],[Date]],'DB Details'!$A:$Q,12)=0,"",VLOOKUP(Table311[[#This Row],[Date]],'DB Details'!$A:$Q,12))</f>
        <v>53.5</v>
      </c>
      <c r="C19" s="59">
        <f>IF(VLOOKUP(Table311[[#This Row],[Date]],'DB Details'!$A:$Q,16)=0,"",VLOOKUP(Table311[[#This Row],[Date]],'DB Details'!$A:$Q,16))</f>
        <v>4.0977686226798142E-2</v>
      </c>
      <c r="D19" s="59">
        <f>IF(VLOOKUP(Table311[[#This Row],[Date]],'DB Details'!$A:$Q,15)=0,"",VLOOKUP(Table311[[#This Row],[Date]],'DB Details'!$A:$Q,15))</f>
        <v>1.252764552668854E-2</v>
      </c>
      <c r="E19" s="59">
        <f>IF(VLOOKUP(Table311[[#This Row],[Date]],'DB Details'!$A:$Q,17)=0,"",VLOOKUP(Table311[[#This Row],[Date]],'DB Details'!$A:$Q,17))</f>
        <v>5.1060122602257341E-2</v>
      </c>
    </row>
    <row r="20" spans="1:5" x14ac:dyDescent="0.35">
      <c r="A20" s="58">
        <v>36039</v>
      </c>
      <c r="B20" s="48">
        <f>IF(VLOOKUP(Table311[[#This Row],[Date]],'DB Details'!$A:$Q,12)=0,"",VLOOKUP(Table311[[#This Row],[Date]],'DB Details'!$A:$Q,12))</f>
        <v>55</v>
      </c>
      <c r="C20" s="59">
        <f>IF(VLOOKUP(Table311[[#This Row],[Date]],'DB Details'!$A:$Q,16)=0,"",VLOOKUP(Table311[[#This Row],[Date]],'DB Details'!$A:$Q,16))</f>
        <v>4.0977686226798142E-2</v>
      </c>
      <c r="D20" s="59">
        <f>IF(VLOOKUP(Table311[[#This Row],[Date]],'DB Details'!$A:$Q,15)=0,"",VLOOKUP(Table311[[#This Row],[Date]],'DB Details'!$A:$Q,15))</f>
        <v>1.252764552668854E-2</v>
      </c>
      <c r="E20" s="59">
        <f>IF(VLOOKUP(Table311[[#This Row],[Date]],'DB Details'!$A:$Q,17)=0,"",VLOOKUP(Table311[[#This Row],[Date]],'DB Details'!$A:$Q,17))</f>
        <v>5.1060122602257341E-2</v>
      </c>
    </row>
    <row r="21" spans="1:5" x14ac:dyDescent="0.35">
      <c r="A21" s="58">
        <v>36069</v>
      </c>
      <c r="B21" s="48">
        <f>IF(VLOOKUP(Table311[[#This Row],[Date]],'DB Details'!$A:$Q,12)=0,"",VLOOKUP(Table311[[#This Row],[Date]],'DB Details'!$A:$Q,12))</f>
        <v>53.8</v>
      </c>
      <c r="C21" s="59">
        <f>IF(VLOOKUP(Table311[[#This Row],[Date]],'DB Details'!$A:$Q,16)=0,"",VLOOKUP(Table311[[#This Row],[Date]],'DB Details'!$A:$Q,16))</f>
        <v>4.8795407755980173E-2</v>
      </c>
      <c r="D21" s="59">
        <f>IF(VLOOKUP(Table311[[#This Row],[Date]],'DB Details'!$A:$Q,15)=0,"",VLOOKUP(Table311[[#This Row],[Date]],'DB Details'!$A:$Q,15))</f>
        <v>1.6161907023370281E-2</v>
      </c>
      <c r="E21" s="59">
        <f>IF(VLOOKUP(Table311[[#This Row],[Date]],'DB Details'!$A:$Q,17)=0,"",VLOOKUP(Table311[[#This Row],[Date]],'DB Details'!$A:$Q,17))</f>
        <v>6.6231826182913345E-2</v>
      </c>
    </row>
    <row r="22" spans="1:5" x14ac:dyDescent="0.35">
      <c r="A22" s="58">
        <v>36100</v>
      </c>
      <c r="B22" s="48">
        <f>IF(VLOOKUP(Table311[[#This Row],[Date]],'DB Details'!$A:$Q,12)=0,"",VLOOKUP(Table311[[#This Row],[Date]],'DB Details'!$A:$Q,12))</f>
        <v>52.6</v>
      </c>
      <c r="C22" s="59">
        <f>IF(VLOOKUP(Table311[[#This Row],[Date]],'DB Details'!$A:$Q,16)=0,"",VLOOKUP(Table311[[#This Row],[Date]],'DB Details'!$A:$Q,16))</f>
        <v>4.8795407755980173E-2</v>
      </c>
      <c r="D22" s="59">
        <f>IF(VLOOKUP(Table311[[#This Row],[Date]],'DB Details'!$A:$Q,15)=0,"",VLOOKUP(Table311[[#This Row],[Date]],'DB Details'!$A:$Q,15))</f>
        <v>1.6161907023370281E-2</v>
      </c>
      <c r="E22" s="59">
        <f>IF(VLOOKUP(Table311[[#This Row],[Date]],'DB Details'!$A:$Q,17)=0,"",VLOOKUP(Table311[[#This Row],[Date]],'DB Details'!$A:$Q,17))</f>
        <v>6.6231826182913345E-2</v>
      </c>
    </row>
    <row r="23" spans="1:5" x14ac:dyDescent="0.35">
      <c r="A23" s="58">
        <v>36130</v>
      </c>
      <c r="B23" s="48">
        <f>IF(VLOOKUP(Table311[[#This Row],[Date]],'DB Details'!$A:$Q,12)=0,"",VLOOKUP(Table311[[#This Row],[Date]],'DB Details'!$A:$Q,12))</f>
        <v>52.9</v>
      </c>
      <c r="C23" s="59">
        <f>IF(VLOOKUP(Table311[[#This Row],[Date]],'DB Details'!$A:$Q,16)=0,"",VLOOKUP(Table311[[#This Row],[Date]],'DB Details'!$A:$Q,16))</f>
        <v>4.8795407755980173E-2</v>
      </c>
      <c r="D23" s="59">
        <f>IF(VLOOKUP(Table311[[#This Row],[Date]],'DB Details'!$A:$Q,15)=0,"",VLOOKUP(Table311[[#This Row],[Date]],'DB Details'!$A:$Q,15))</f>
        <v>1.6161907023370281E-2</v>
      </c>
      <c r="E23" s="59">
        <f>IF(VLOOKUP(Table311[[#This Row],[Date]],'DB Details'!$A:$Q,17)=0,"",VLOOKUP(Table311[[#This Row],[Date]],'DB Details'!$A:$Q,17))</f>
        <v>6.6231826182913345E-2</v>
      </c>
    </row>
    <row r="24" spans="1:5" x14ac:dyDescent="0.35">
      <c r="A24" s="58">
        <v>36161</v>
      </c>
      <c r="B24" s="48">
        <f>IF(VLOOKUP(Table311[[#This Row],[Date]],'DB Details'!$A:$Q,12)=0,"",VLOOKUP(Table311[[#This Row],[Date]],'DB Details'!$A:$Q,12))</f>
        <v>55.6</v>
      </c>
      <c r="C24" s="59">
        <f>IF(VLOOKUP(Table311[[#This Row],[Date]],'DB Details'!$A:$Q,16)=0,"",VLOOKUP(Table311[[#This Row],[Date]],'DB Details'!$A:$Q,16))</f>
        <v>4.8218579316202298E-2</v>
      </c>
      <c r="D24" s="59">
        <f>IF(VLOOKUP(Table311[[#This Row],[Date]],'DB Details'!$A:$Q,15)=0,"",VLOOKUP(Table311[[#This Row],[Date]],'DB Details'!$A:$Q,15))</f>
        <v>9.438266145912767E-3</v>
      </c>
      <c r="E24" s="59">
        <f>IF(VLOOKUP(Table311[[#This Row],[Date]],'DB Details'!$A:$Q,17)=0,"",VLOOKUP(Table311[[#This Row],[Date]],'DB Details'!$A:$Q,17))</f>
        <v>3.8290920801855137E-2</v>
      </c>
    </row>
    <row r="25" spans="1:5" x14ac:dyDescent="0.35">
      <c r="A25" s="58">
        <v>36192</v>
      </c>
      <c r="B25" s="48">
        <f>IF(VLOOKUP(Table311[[#This Row],[Date]],'DB Details'!$A:$Q,12)=0,"",VLOOKUP(Table311[[#This Row],[Date]],'DB Details'!$A:$Q,12))</f>
        <v>54.4</v>
      </c>
      <c r="C25" s="59">
        <f>IF(VLOOKUP(Table311[[#This Row],[Date]],'DB Details'!$A:$Q,16)=0,"",VLOOKUP(Table311[[#This Row],[Date]],'DB Details'!$A:$Q,16))</f>
        <v>4.8218579316202298E-2</v>
      </c>
      <c r="D25" s="59">
        <f>IF(VLOOKUP(Table311[[#This Row],[Date]],'DB Details'!$A:$Q,15)=0,"",VLOOKUP(Table311[[#This Row],[Date]],'DB Details'!$A:$Q,15))</f>
        <v>9.438266145912767E-3</v>
      </c>
      <c r="E25" s="59">
        <f>IF(VLOOKUP(Table311[[#This Row],[Date]],'DB Details'!$A:$Q,17)=0,"",VLOOKUP(Table311[[#This Row],[Date]],'DB Details'!$A:$Q,17))</f>
        <v>3.8290920801855137E-2</v>
      </c>
    </row>
    <row r="26" spans="1:5" x14ac:dyDescent="0.35">
      <c r="A26" s="58">
        <v>36220</v>
      </c>
      <c r="B26" s="48">
        <f>IF(VLOOKUP(Table311[[#This Row],[Date]],'DB Details'!$A:$Q,12)=0,"",VLOOKUP(Table311[[#This Row],[Date]],'DB Details'!$A:$Q,12))</f>
        <v>55.3</v>
      </c>
      <c r="C26" s="59">
        <f>IF(VLOOKUP(Table311[[#This Row],[Date]],'DB Details'!$A:$Q,16)=0,"",VLOOKUP(Table311[[#This Row],[Date]],'DB Details'!$A:$Q,16))</f>
        <v>4.8218579316202298E-2</v>
      </c>
      <c r="D26" s="59">
        <f>IF(VLOOKUP(Table311[[#This Row],[Date]],'DB Details'!$A:$Q,15)=0,"",VLOOKUP(Table311[[#This Row],[Date]],'DB Details'!$A:$Q,15))</f>
        <v>9.438266145912767E-3</v>
      </c>
      <c r="E26" s="59">
        <f>IF(VLOOKUP(Table311[[#This Row],[Date]],'DB Details'!$A:$Q,17)=0,"",VLOOKUP(Table311[[#This Row],[Date]],'DB Details'!$A:$Q,17))</f>
        <v>3.8290920801855137E-2</v>
      </c>
    </row>
    <row r="27" spans="1:5" x14ac:dyDescent="0.35">
      <c r="A27" s="58">
        <v>36251</v>
      </c>
      <c r="B27" s="48">
        <f>IF(VLOOKUP(Table311[[#This Row],[Date]],'DB Details'!$A:$Q,12)=0,"",VLOOKUP(Table311[[#This Row],[Date]],'DB Details'!$A:$Q,12))</f>
        <v>55.5</v>
      </c>
      <c r="C27" s="59">
        <f>IF(VLOOKUP(Table311[[#This Row],[Date]],'DB Details'!$A:$Q,16)=0,"",VLOOKUP(Table311[[#This Row],[Date]],'DB Details'!$A:$Q,16))</f>
        <v>4.7275315134735367E-2</v>
      </c>
      <c r="D27" s="59">
        <f>IF(VLOOKUP(Table311[[#This Row],[Date]],'DB Details'!$A:$Q,15)=0,"",VLOOKUP(Table311[[#This Row],[Date]],'DB Details'!$A:$Q,15))</f>
        <v>8.3500002981279006E-3</v>
      </c>
      <c r="E27" s="59">
        <f>IF(VLOOKUP(Table311[[#This Row],[Date]],'DB Details'!$A:$Q,17)=0,"",VLOOKUP(Table311[[#This Row],[Date]],'DB Details'!$A:$Q,17))</f>
        <v>3.3820669815360922E-2</v>
      </c>
    </row>
    <row r="28" spans="1:5" x14ac:dyDescent="0.35">
      <c r="A28" s="58">
        <v>36281</v>
      </c>
      <c r="B28" s="48">
        <f>IF(VLOOKUP(Table311[[#This Row],[Date]],'DB Details'!$A:$Q,12)=0,"",VLOOKUP(Table311[[#This Row],[Date]],'DB Details'!$A:$Q,12))</f>
        <v>55.3</v>
      </c>
      <c r="C28" s="59">
        <f>IF(VLOOKUP(Table311[[#This Row],[Date]],'DB Details'!$A:$Q,16)=0,"",VLOOKUP(Table311[[#This Row],[Date]],'DB Details'!$A:$Q,16))</f>
        <v>4.7275315134735367E-2</v>
      </c>
      <c r="D28" s="59">
        <f>IF(VLOOKUP(Table311[[#This Row],[Date]],'DB Details'!$A:$Q,15)=0,"",VLOOKUP(Table311[[#This Row],[Date]],'DB Details'!$A:$Q,15))</f>
        <v>8.3500002981279006E-3</v>
      </c>
      <c r="E28" s="59">
        <f>IF(VLOOKUP(Table311[[#This Row],[Date]],'DB Details'!$A:$Q,17)=0,"",VLOOKUP(Table311[[#This Row],[Date]],'DB Details'!$A:$Q,17))</f>
        <v>3.3820669815360922E-2</v>
      </c>
    </row>
    <row r="29" spans="1:5" x14ac:dyDescent="0.35">
      <c r="A29" s="58">
        <v>36312</v>
      </c>
      <c r="B29" s="48">
        <f>IF(VLOOKUP(Table311[[#This Row],[Date]],'DB Details'!$A:$Q,12)=0,"",VLOOKUP(Table311[[#This Row],[Date]],'DB Details'!$A:$Q,12))</f>
        <v>56.7</v>
      </c>
      <c r="C29" s="59">
        <f>IF(VLOOKUP(Table311[[#This Row],[Date]],'DB Details'!$A:$Q,16)=0,"",VLOOKUP(Table311[[#This Row],[Date]],'DB Details'!$A:$Q,16))</f>
        <v>4.7275315134735367E-2</v>
      </c>
      <c r="D29" s="59">
        <f>IF(VLOOKUP(Table311[[#This Row],[Date]],'DB Details'!$A:$Q,15)=0,"",VLOOKUP(Table311[[#This Row],[Date]],'DB Details'!$A:$Q,15))</f>
        <v>8.3500002981279006E-3</v>
      </c>
      <c r="E29" s="59">
        <f>IF(VLOOKUP(Table311[[#This Row],[Date]],'DB Details'!$A:$Q,17)=0,"",VLOOKUP(Table311[[#This Row],[Date]],'DB Details'!$A:$Q,17))</f>
        <v>3.3820669815360922E-2</v>
      </c>
    </row>
    <row r="30" spans="1:5" x14ac:dyDescent="0.35">
      <c r="A30" s="58">
        <v>36342</v>
      </c>
      <c r="B30" s="48">
        <f>IF(VLOOKUP(Table311[[#This Row],[Date]],'DB Details'!$A:$Q,12)=0,"",VLOOKUP(Table311[[#This Row],[Date]],'DB Details'!$A:$Q,12))</f>
        <v>56.2</v>
      </c>
      <c r="C30" s="59">
        <f>IF(VLOOKUP(Table311[[#This Row],[Date]],'DB Details'!$A:$Q,16)=0,"",VLOOKUP(Table311[[#This Row],[Date]],'DB Details'!$A:$Q,16))</f>
        <v>4.8002052368625307E-2</v>
      </c>
      <c r="D30" s="59">
        <f>IF(VLOOKUP(Table311[[#This Row],[Date]],'DB Details'!$A:$Q,15)=0,"",VLOOKUP(Table311[[#This Row],[Date]],'DB Details'!$A:$Q,15))</f>
        <v>1.3230270261286141E-2</v>
      </c>
      <c r="E30" s="59">
        <f>IF(VLOOKUP(Table311[[#This Row],[Date]],'DB Details'!$A:$Q,17)=0,"",VLOOKUP(Table311[[#This Row],[Date]],'DB Details'!$A:$Q,17))</f>
        <v>5.3980615300018853E-2</v>
      </c>
    </row>
    <row r="31" spans="1:5" x14ac:dyDescent="0.35">
      <c r="A31" s="58">
        <v>36373</v>
      </c>
      <c r="B31" s="48">
        <f>IF(VLOOKUP(Table311[[#This Row],[Date]],'DB Details'!$A:$Q,12)=0,"",VLOOKUP(Table311[[#This Row],[Date]],'DB Details'!$A:$Q,12))</f>
        <v>56.4</v>
      </c>
      <c r="C31" s="59">
        <f>IF(VLOOKUP(Table311[[#This Row],[Date]],'DB Details'!$A:$Q,16)=0,"",VLOOKUP(Table311[[#This Row],[Date]],'DB Details'!$A:$Q,16))</f>
        <v>4.8002052368625307E-2</v>
      </c>
      <c r="D31" s="59">
        <f>IF(VLOOKUP(Table311[[#This Row],[Date]],'DB Details'!$A:$Q,15)=0,"",VLOOKUP(Table311[[#This Row],[Date]],'DB Details'!$A:$Q,15))</f>
        <v>1.3230270261286141E-2</v>
      </c>
      <c r="E31" s="59">
        <f>IF(VLOOKUP(Table311[[#This Row],[Date]],'DB Details'!$A:$Q,17)=0,"",VLOOKUP(Table311[[#This Row],[Date]],'DB Details'!$A:$Q,17))</f>
        <v>5.3980615300018853E-2</v>
      </c>
    </row>
    <row r="32" spans="1:5" x14ac:dyDescent="0.35">
      <c r="A32" s="58">
        <v>36404</v>
      </c>
      <c r="B32" s="48">
        <f>IF(VLOOKUP(Table311[[#This Row],[Date]],'DB Details'!$A:$Q,12)=0,"",VLOOKUP(Table311[[#This Row],[Date]],'DB Details'!$A:$Q,12))</f>
        <v>56.2</v>
      </c>
      <c r="C32" s="59">
        <f>IF(VLOOKUP(Table311[[#This Row],[Date]],'DB Details'!$A:$Q,16)=0,"",VLOOKUP(Table311[[#This Row],[Date]],'DB Details'!$A:$Q,16))</f>
        <v>4.8002052368625307E-2</v>
      </c>
      <c r="D32" s="59">
        <f>IF(VLOOKUP(Table311[[#This Row],[Date]],'DB Details'!$A:$Q,15)=0,"",VLOOKUP(Table311[[#This Row],[Date]],'DB Details'!$A:$Q,15))</f>
        <v>1.3230270261286141E-2</v>
      </c>
      <c r="E32" s="59">
        <f>IF(VLOOKUP(Table311[[#This Row],[Date]],'DB Details'!$A:$Q,17)=0,"",VLOOKUP(Table311[[#This Row],[Date]],'DB Details'!$A:$Q,17))</f>
        <v>5.3980615300018853E-2</v>
      </c>
    </row>
    <row r="33" spans="1:5" x14ac:dyDescent="0.35">
      <c r="A33" s="58">
        <v>36434</v>
      </c>
      <c r="B33" s="48">
        <f>IF(VLOOKUP(Table311[[#This Row],[Date]],'DB Details'!$A:$Q,12)=0,"",VLOOKUP(Table311[[#This Row],[Date]],'DB Details'!$A:$Q,12))</f>
        <v>57.6</v>
      </c>
      <c r="C33" s="59">
        <f>IF(VLOOKUP(Table311[[#This Row],[Date]],'DB Details'!$A:$Q,16)=0,"",VLOOKUP(Table311[[#This Row],[Date]],'DB Details'!$A:$Q,16))</f>
        <v>4.827626650330151E-2</v>
      </c>
      <c r="D33" s="59">
        <f>IF(VLOOKUP(Table311[[#This Row],[Date]],'DB Details'!$A:$Q,15)=0,"",VLOOKUP(Table311[[#This Row],[Date]],'DB Details'!$A:$Q,15))</f>
        <v>1.6427790050407821E-2</v>
      </c>
      <c r="E33" s="59">
        <f>IF(VLOOKUP(Table311[[#This Row],[Date]],'DB Details'!$A:$Q,17)=0,"",VLOOKUP(Table311[[#This Row],[Date]],'DB Details'!$A:$Q,17))</f>
        <v>6.734820036933864E-2</v>
      </c>
    </row>
    <row r="34" spans="1:5" x14ac:dyDescent="0.35">
      <c r="A34" s="58">
        <v>36465</v>
      </c>
      <c r="B34" s="48">
        <f>IF(VLOOKUP(Table311[[#This Row],[Date]],'DB Details'!$A:$Q,12)=0,"",VLOOKUP(Table311[[#This Row],[Date]],'DB Details'!$A:$Q,12))</f>
        <v>54.9</v>
      </c>
      <c r="C34" s="59">
        <f>IF(VLOOKUP(Table311[[#This Row],[Date]],'DB Details'!$A:$Q,16)=0,"",VLOOKUP(Table311[[#This Row],[Date]],'DB Details'!$A:$Q,16))</f>
        <v>4.827626650330151E-2</v>
      </c>
      <c r="D34" s="59">
        <f>IF(VLOOKUP(Table311[[#This Row],[Date]],'DB Details'!$A:$Q,15)=0,"",VLOOKUP(Table311[[#This Row],[Date]],'DB Details'!$A:$Q,15))</f>
        <v>1.6427790050407821E-2</v>
      </c>
      <c r="E34" s="59">
        <f>IF(VLOOKUP(Table311[[#This Row],[Date]],'DB Details'!$A:$Q,17)=0,"",VLOOKUP(Table311[[#This Row],[Date]],'DB Details'!$A:$Q,17))</f>
        <v>6.734820036933864E-2</v>
      </c>
    </row>
    <row r="35" spans="1:5" x14ac:dyDescent="0.35">
      <c r="A35" s="58">
        <v>36495</v>
      </c>
      <c r="B35" s="48">
        <f>IF(VLOOKUP(Table311[[#This Row],[Date]],'DB Details'!$A:$Q,12)=0,"",VLOOKUP(Table311[[#This Row],[Date]],'DB Details'!$A:$Q,12))</f>
        <v>56.9</v>
      </c>
      <c r="C35" s="59">
        <f>IF(VLOOKUP(Table311[[#This Row],[Date]],'DB Details'!$A:$Q,16)=0,"",VLOOKUP(Table311[[#This Row],[Date]],'DB Details'!$A:$Q,16))</f>
        <v>4.827626650330151E-2</v>
      </c>
      <c r="D35" s="59">
        <f>IF(VLOOKUP(Table311[[#This Row],[Date]],'DB Details'!$A:$Q,15)=0,"",VLOOKUP(Table311[[#This Row],[Date]],'DB Details'!$A:$Q,15))</f>
        <v>1.6427790050407821E-2</v>
      </c>
      <c r="E35" s="59">
        <f>IF(VLOOKUP(Table311[[#This Row],[Date]],'DB Details'!$A:$Q,17)=0,"",VLOOKUP(Table311[[#This Row],[Date]],'DB Details'!$A:$Q,17))</f>
        <v>6.734820036933864E-2</v>
      </c>
    </row>
    <row r="36" spans="1:5" x14ac:dyDescent="0.35">
      <c r="A36" s="58">
        <v>36526</v>
      </c>
      <c r="B36" s="48">
        <f>IF(VLOOKUP(Table311[[#This Row],[Date]],'DB Details'!$A:$Q,12)=0,"",VLOOKUP(Table311[[#This Row],[Date]],'DB Details'!$A:$Q,12))</f>
        <v>56.6</v>
      </c>
      <c r="C36" s="59">
        <f>IF(VLOOKUP(Table311[[#This Row],[Date]],'DB Details'!$A:$Q,16)=0,"",VLOOKUP(Table311[[#This Row],[Date]],'DB Details'!$A:$Q,16))</f>
        <v>4.225955858689924E-2</v>
      </c>
      <c r="D36" s="59">
        <f>IF(VLOOKUP(Table311[[#This Row],[Date]],'DB Details'!$A:$Q,15)=0,"",VLOOKUP(Table311[[#This Row],[Date]],'DB Details'!$A:$Q,15))</f>
        <v>3.6444736113372721E-3</v>
      </c>
      <c r="E36" s="59">
        <f>IF(VLOOKUP(Table311[[#This Row],[Date]],'DB Details'!$A:$Q,17)=0,"",VLOOKUP(Table311[[#This Row],[Date]],'DB Details'!$A:$Q,17))</f>
        <v>1.46577813755211E-2</v>
      </c>
    </row>
    <row r="37" spans="1:5" x14ac:dyDescent="0.35">
      <c r="A37" s="58">
        <v>36557</v>
      </c>
      <c r="B37" s="48">
        <f>IF(VLOOKUP(Table311[[#This Row],[Date]],'DB Details'!$A:$Q,12)=0,"",VLOOKUP(Table311[[#This Row],[Date]],'DB Details'!$A:$Q,12))</f>
        <v>56.2</v>
      </c>
      <c r="C37" s="59">
        <f>IF(VLOOKUP(Table311[[#This Row],[Date]],'DB Details'!$A:$Q,16)=0,"",VLOOKUP(Table311[[#This Row],[Date]],'DB Details'!$A:$Q,16))</f>
        <v>4.225955858689924E-2</v>
      </c>
      <c r="D37" s="59">
        <f>IF(VLOOKUP(Table311[[#This Row],[Date]],'DB Details'!$A:$Q,15)=0,"",VLOOKUP(Table311[[#This Row],[Date]],'DB Details'!$A:$Q,15))</f>
        <v>3.6444736113372721E-3</v>
      </c>
      <c r="E37" s="59">
        <f>IF(VLOOKUP(Table311[[#This Row],[Date]],'DB Details'!$A:$Q,17)=0,"",VLOOKUP(Table311[[#This Row],[Date]],'DB Details'!$A:$Q,17))</f>
        <v>1.46577813755211E-2</v>
      </c>
    </row>
    <row r="38" spans="1:5" x14ac:dyDescent="0.35">
      <c r="A38" s="58">
        <v>36586</v>
      </c>
      <c r="B38" s="48">
        <f>IF(VLOOKUP(Table311[[#This Row],[Date]],'DB Details'!$A:$Q,12)=0,"",VLOOKUP(Table311[[#This Row],[Date]],'DB Details'!$A:$Q,12))</f>
        <v>57.4</v>
      </c>
      <c r="C38" s="59">
        <f>IF(VLOOKUP(Table311[[#This Row],[Date]],'DB Details'!$A:$Q,16)=0,"",VLOOKUP(Table311[[#This Row],[Date]],'DB Details'!$A:$Q,16))</f>
        <v>4.225955858689924E-2</v>
      </c>
      <c r="D38" s="59">
        <f>IF(VLOOKUP(Table311[[#This Row],[Date]],'DB Details'!$A:$Q,15)=0,"",VLOOKUP(Table311[[#This Row],[Date]],'DB Details'!$A:$Q,15))</f>
        <v>3.6444736113372721E-3</v>
      </c>
      <c r="E38" s="59">
        <f>IF(VLOOKUP(Table311[[#This Row],[Date]],'DB Details'!$A:$Q,17)=0,"",VLOOKUP(Table311[[#This Row],[Date]],'DB Details'!$A:$Q,17))</f>
        <v>1.46577813755211E-2</v>
      </c>
    </row>
    <row r="39" spans="1:5" x14ac:dyDescent="0.35">
      <c r="A39" s="58">
        <v>36617</v>
      </c>
      <c r="B39" s="48">
        <f>IF(VLOOKUP(Table311[[#This Row],[Date]],'DB Details'!$A:$Q,12)=0,"",VLOOKUP(Table311[[#This Row],[Date]],'DB Details'!$A:$Q,12))</f>
        <v>58</v>
      </c>
      <c r="C39" s="59">
        <f>IF(VLOOKUP(Table311[[#This Row],[Date]],'DB Details'!$A:$Q,16)=0,"",VLOOKUP(Table311[[#This Row],[Date]],'DB Details'!$A:$Q,16))</f>
        <v>5.2446827688533121E-2</v>
      </c>
      <c r="D39" s="59">
        <f>IF(VLOOKUP(Table311[[#This Row],[Date]],'DB Details'!$A:$Q,15)=0,"",VLOOKUP(Table311[[#This Row],[Date]],'DB Details'!$A:$Q,15))</f>
        <v>1.820583008355766E-2</v>
      </c>
      <c r="E39" s="59">
        <f>IF(VLOOKUP(Table311[[#This Row],[Date]],'DB Details'!$A:$Q,17)=0,"",VLOOKUP(Table311[[#This Row],[Date]],'DB Details'!$A:$Q,17))</f>
        <v>7.4836281142319105E-2</v>
      </c>
    </row>
    <row r="40" spans="1:5" x14ac:dyDescent="0.35">
      <c r="A40" s="58">
        <v>36647</v>
      </c>
      <c r="B40" s="48">
        <f>IF(VLOOKUP(Table311[[#This Row],[Date]],'DB Details'!$A:$Q,12)=0,"",VLOOKUP(Table311[[#This Row],[Date]],'DB Details'!$A:$Q,12))</f>
        <v>57.7</v>
      </c>
      <c r="C40" s="59">
        <f>IF(VLOOKUP(Table311[[#This Row],[Date]],'DB Details'!$A:$Q,16)=0,"",VLOOKUP(Table311[[#This Row],[Date]],'DB Details'!$A:$Q,16))</f>
        <v>5.2446827688533121E-2</v>
      </c>
      <c r="D40" s="59">
        <f>IF(VLOOKUP(Table311[[#This Row],[Date]],'DB Details'!$A:$Q,15)=0,"",VLOOKUP(Table311[[#This Row],[Date]],'DB Details'!$A:$Q,15))</f>
        <v>1.820583008355766E-2</v>
      </c>
      <c r="E40" s="59">
        <f>IF(VLOOKUP(Table311[[#This Row],[Date]],'DB Details'!$A:$Q,17)=0,"",VLOOKUP(Table311[[#This Row],[Date]],'DB Details'!$A:$Q,17))</f>
        <v>7.4836281142319105E-2</v>
      </c>
    </row>
    <row r="41" spans="1:5" x14ac:dyDescent="0.35">
      <c r="A41" s="58">
        <v>36678</v>
      </c>
      <c r="B41" s="48">
        <f>IF(VLOOKUP(Table311[[#This Row],[Date]],'DB Details'!$A:$Q,12)=0,"",VLOOKUP(Table311[[#This Row],[Date]],'DB Details'!$A:$Q,12))</f>
        <v>56.9</v>
      </c>
      <c r="C41" s="59">
        <f>IF(VLOOKUP(Table311[[#This Row],[Date]],'DB Details'!$A:$Q,16)=0,"",VLOOKUP(Table311[[#This Row],[Date]],'DB Details'!$A:$Q,16))</f>
        <v>5.2446827688533121E-2</v>
      </c>
      <c r="D41" s="59">
        <f>IF(VLOOKUP(Table311[[#This Row],[Date]],'DB Details'!$A:$Q,15)=0,"",VLOOKUP(Table311[[#This Row],[Date]],'DB Details'!$A:$Q,15))</f>
        <v>1.820583008355766E-2</v>
      </c>
      <c r="E41" s="59">
        <f>IF(VLOOKUP(Table311[[#This Row],[Date]],'DB Details'!$A:$Q,17)=0,"",VLOOKUP(Table311[[#This Row],[Date]],'DB Details'!$A:$Q,17))</f>
        <v>7.4836281142319105E-2</v>
      </c>
    </row>
    <row r="42" spans="1:5" x14ac:dyDescent="0.35">
      <c r="A42" s="58">
        <v>36708</v>
      </c>
      <c r="B42" s="48">
        <f>IF(VLOOKUP(Table311[[#This Row],[Date]],'DB Details'!$A:$Q,12)=0,"",VLOOKUP(Table311[[#This Row],[Date]],'DB Details'!$A:$Q,12))</f>
        <v>55.3</v>
      </c>
      <c r="C42" s="59">
        <f>IF(VLOOKUP(Table311[[#This Row],[Date]],'DB Details'!$A:$Q,16)=0,"",VLOOKUP(Table311[[#This Row],[Date]],'DB Details'!$A:$Q,16))</f>
        <v>3.9740844955791207E-2</v>
      </c>
      <c r="D42" s="59">
        <f>IF(VLOOKUP(Table311[[#This Row],[Date]],'DB Details'!$A:$Q,15)=0,"",VLOOKUP(Table311[[#This Row],[Date]],'DB Details'!$A:$Q,15))</f>
        <v>9.9774128259521319E-4</v>
      </c>
      <c r="E42" s="59">
        <f>IF(VLOOKUP(Table311[[#This Row],[Date]],'DB Details'!$A:$Q,17)=0,"",VLOOKUP(Table311[[#This Row],[Date]],'DB Details'!$A:$Q,17))</f>
        <v>3.9969420303305192E-3</v>
      </c>
    </row>
    <row r="43" spans="1:5" x14ac:dyDescent="0.35">
      <c r="A43" s="58">
        <v>36739</v>
      </c>
      <c r="B43" s="48">
        <f>IF(VLOOKUP(Table311[[#This Row],[Date]],'DB Details'!$A:$Q,12)=0,"",VLOOKUP(Table311[[#This Row],[Date]],'DB Details'!$A:$Q,12))</f>
        <v>57.6</v>
      </c>
      <c r="C43" s="59">
        <f>IF(VLOOKUP(Table311[[#This Row],[Date]],'DB Details'!$A:$Q,16)=0,"",VLOOKUP(Table311[[#This Row],[Date]],'DB Details'!$A:$Q,16))</f>
        <v>3.9740844955791207E-2</v>
      </c>
      <c r="D43" s="59">
        <f>IF(VLOOKUP(Table311[[#This Row],[Date]],'DB Details'!$A:$Q,15)=0,"",VLOOKUP(Table311[[#This Row],[Date]],'DB Details'!$A:$Q,15))</f>
        <v>9.9774128259521319E-4</v>
      </c>
      <c r="E43" s="59">
        <f>IF(VLOOKUP(Table311[[#This Row],[Date]],'DB Details'!$A:$Q,17)=0,"",VLOOKUP(Table311[[#This Row],[Date]],'DB Details'!$A:$Q,17))</f>
        <v>3.9969420303305192E-3</v>
      </c>
    </row>
    <row r="44" spans="1:5" x14ac:dyDescent="0.35">
      <c r="A44" s="58">
        <v>36770</v>
      </c>
      <c r="B44" s="48">
        <f>IF(VLOOKUP(Table311[[#This Row],[Date]],'DB Details'!$A:$Q,12)=0,"",VLOOKUP(Table311[[#This Row],[Date]],'DB Details'!$A:$Q,12))</f>
        <v>56.7</v>
      </c>
      <c r="C44" s="59">
        <f>IF(VLOOKUP(Table311[[#This Row],[Date]],'DB Details'!$A:$Q,16)=0,"",VLOOKUP(Table311[[#This Row],[Date]],'DB Details'!$A:$Q,16))</f>
        <v>3.9740844955791207E-2</v>
      </c>
      <c r="D44" s="59">
        <f>IF(VLOOKUP(Table311[[#This Row],[Date]],'DB Details'!$A:$Q,15)=0,"",VLOOKUP(Table311[[#This Row],[Date]],'DB Details'!$A:$Q,15))</f>
        <v>9.9774128259521319E-4</v>
      </c>
      <c r="E44" s="59">
        <f>IF(VLOOKUP(Table311[[#This Row],[Date]],'DB Details'!$A:$Q,17)=0,"",VLOOKUP(Table311[[#This Row],[Date]],'DB Details'!$A:$Q,17))</f>
        <v>3.9969420303305192E-3</v>
      </c>
    </row>
    <row r="45" spans="1:5" x14ac:dyDescent="0.35">
      <c r="A45" s="58">
        <v>36800</v>
      </c>
      <c r="B45" s="48">
        <f>IF(VLOOKUP(Table311[[#This Row],[Date]],'DB Details'!$A:$Q,12)=0,"",VLOOKUP(Table311[[#This Row],[Date]],'DB Details'!$A:$Q,12))</f>
        <v>56.7</v>
      </c>
      <c r="C45" s="59">
        <f>IF(VLOOKUP(Table311[[#This Row],[Date]],'DB Details'!$A:$Q,16)=0,"",VLOOKUP(Table311[[#This Row],[Date]],'DB Details'!$A:$Q,16))</f>
        <v>2.9016204721172601E-2</v>
      </c>
      <c r="D45" s="59">
        <f>IF(VLOOKUP(Table311[[#This Row],[Date]],'DB Details'!$A:$Q,15)=0,"",VLOOKUP(Table311[[#This Row],[Date]],'DB Details'!$A:$Q,15))</f>
        <v>5.9436175514207554E-3</v>
      </c>
      <c r="E45" s="59">
        <f>IF(VLOOKUP(Table311[[#This Row],[Date]],'DB Details'!$A:$Q,17)=0,"",VLOOKUP(Table311[[#This Row],[Date]],'DB Details'!$A:$Q,17))</f>
        <v>2.3987270862187989E-2</v>
      </c>
    </row>
    <row r="46" spans="1:5" x14ac:dyDescent="0.35">
      <c r="A46" s="58">
        <v>36831</v>
      </c>
      <c r="B46" s="48">
        <f>IF(VLOOKUP(Table311[[#This Row],[Date]],'DB Details'!$A:$Q,12)=0,"",VLOOKUP(Table311[[#This Row],[Date]],'DB Details'!$A:$Q,12))</f>
        <v>56.2</v>
      </c>
      <c r="C46" s="59">
        <f>IF(VLOOKUP(Table311[[#This Row],[Date]],'DB Details'!$A:$Q,16)=0,"",VLOOKUP(Table311[[#This Row],[Date]],'DB Details'!$A:$Q,16))</f>
        <v>2.9016204721172601E-2</v>
      </c>
      <c r="D46" s="59">
        <f>IF(VLOOKUP(Table311[[#This Row],[Date]],'DB Details'!$A:$Q,15)=0,"",VLOOKUP(Table311[[#This Row],[Date]],'DB Details'!$A:$Q,15))</f>
        <v>5.9436175514207554E-3</v>
      </c>
      <c r="E46" s="59">
        <f>IF(VLOOKUP(Table311[[#This Row],[Date]],'DB Details'!$A:$Q,17)=0,"",VLOOKUP(Table311[[#This Row],[Date]],'DB Details'!$A:$Q,17))</f>
        <v>2.3987270862187989E-2</v>
      </c>
    </row>
    <row r="47" spans="1:5" x14ac:dyDescent="0.35">
      <c r="A47" s="58">
        <v>36861</v>
      </c>
      <c r="B47" s="48">
        <f>IF(VLOOKUP(Table311[[#This Row],[Date]],'DB Details'!$A:$Q,12)=0,"",VLOOKUP(Table311[[#This Row],[Date]],'DB Details'!$A:$Q,12))</f>
        <v>54</v>
      </c>
      <c r="C47" s="59">
        <f>IF(VLOOKUP(Table311[[#This Row],[Date]],'DB Details'!$A:$Q,16)=0,"",VLOOKUP(Table311[[#This Row],[Date]],'DB Details'!$A:$Q,16))</f>
        <v>2.9016204721172601E-2</v>
      </c>
      <c r="D47" s="59">
        <f>IF(VLOOKUP(Table311[[#This Row],[Date]],'DB Details'!$A:$Q,15)=0,"",VLOOKUP(Table311[[#This Row],[Date]],'DB Details'!$A:$Q,15))</f>
        <v>5.9436175514207554E-3</v>
      </c>
      <c r="E47" s="59">
        <f>IF(VLOOKUP(Table311[[#This Row],[Date]],'DB Details'!$A:$Q,17)=0,"",VLOOKUP(Table311[[#This Row],[Date]],'DB Details'!$A:$Q,17))</f>
        <v>2.3987270862187989E-2</v>
      </c>
    </row>
    <row r="48" spans="1:5" x14ac:dyDescent="0.35">
      <c r="A48" s="58">
        <v>36892</v>
      </c>
      <c r="B48" s="48">
        <f>IF(VLOOKUP(Table311[[#This Row],[Date]],'DB Details'!$A:$Q,12)=0,"",VLOOKUP(Table311[[#This Row],[Date]],'DB Details'!$A:$Q,12))</f>
        <v>51.6</v>
      </c>
      <c r="C48" s="59">
        <f>IF(VLOOKUP(Table311[[#This Row],[Date]],'DB Details'!$A:$Q,16)=0,"",VLOOKUP(Table311[[#This Row],[Date]],'DB Details'!$A:$Q,16))</f>
        <v>2.1955428467879849E-2</v>
      </c>
      <c r="D48" s="59">
        <f>IF(VLOOKUP(Table311[[#This Row],[Date]],'DB Details'!$A:$Q,15)=0,"",VLOOKUP(Table311[[#This Row],[Date]],'DB Details'!$A:$Q,15))</f>
        <v>-3.2422100322343338E-3</v>
      </c>
      <c r="E48" s="59">
        <f>IF(VLOOKUP(Table311[[#This Row],[Date]],'DB Details'!$A:$Q,17)=0,"",VLOOKUP(Table311[[#This Row],[Date]],'DB Details'!$A:$Q,17))</f>
        <v>-1.2905904790564421E-2</v>
      </c>
    </row>
    <row r="49" spans="1:5" x14ac:dyDescent="0.35">
      <c r="A49" s="58">
        <v>36923</v>
      </c>
      <c r="B49" s="48">
        <f>IF(VLOOKUP(Table311[[#This Row],[Date]],'DB Details'!$A:$Q,12)=0,"",VLOOKUP(Table311[[#This Row],[Date]],'DB Details'!$A:$Q,12))</f>
        <v>51.3</v>
      </c>
      <c r="C49" s="59">
        <f>IF(VLOOKUP(Table311[[#This Row],[Date]],'DB Details'!$A:$Q,16)=0,"",VLOOKUP(Table311[[#This Row],[Date]],'DB Details'!$A:$Q,16))</f>
        <v>2.1955428467879849E-2</v>
      </c>
      <c r="D49" s="59">
        <f>IF(VLOOKUP(Table311[[#This Row],[Date]],'DB Details'!$A:$Q,15)=0,"",VLOOKUP(Table311[[#This Row],[Date]],'DB Details'!$A:$Q,15))</f>
        <v>-3.2422100322343338E-3</v>
      </c>
      <c r="E49" s="59">
        <f>IF(VLOOKUP(Table311[[#This Row],[Date]],'DB Details'!$A:$Q,17)=0,"",VLOOKUP(Table311[[#This Row],[Date]],'DB Details'!$A:$Q,17))</f>
        <v>-1.2905904790564421E-2</v>
      </c>
    </row>
    <row r="50" spans="1:5" x14ac:dyDescent="0.35">
      <c r="A50" s="58">
        <v>36951</v>
      </c>
      <c r="B50" s="48">
        <f>IF(VLOOKUP(Table311[[#This Row],[Date]],'DB Details'!$A:$Q,12)=0,"",VLOOKUP(Table311[[#This Row],[Date]],'DB Details'!$A:$Q,12))</f>
        <v>50.7</v>
      </c>
      <c r="C50" s="59">
        <f>IF(VLOOKUP(Table311[[#This Row],[Date]],'DB Details'!$A:$Q,16)=0,"",VLOOKUP(Table311[[#This Row],[Date]],'DB Details'!$A:$Q,16))</f>
        <v>2.1955428467879849E-2</v>
      </c>
      <c r="D50" s="59">
        <f>IF(VLOOKUP(Table311[[#This Row],[Date]],'DB Details'!$A:$Q,15)=0,"",VLOOKUP(Table311[[#This Row],[Date]],'DB Details'!$A:$Q,15))</f>
        <v>-3.2422100322343338E-3</v>
      </c>
      <c r="E50" s="59">
        <f>IF(VLOOKUP(Table311[[#This Row],[Date]],'DB Details'!$A:$Q,17)=0,"",VLOOKUP(Table311[[#This Row],[Date]],'DB Details'!$A:$Q,17))</f>
        <v>-1.2905904790564421E-2</v>
      </c>
    </row>
    <row r="51" spans="1:5" x14ac:dyDescent="0.35">
      <c r="A51" s="58">
        <v>36982</v>
      </c>
      <c r="B51" s="48">
        <f>IF(VLOOKUP(Table311[[#This Row],[Date]],'DB Details'!$A:$Q,12)=0,"",VLOOKUP(Table311[[#This Row],[Date]],'DB Details'!$A:$Q,12))</f>
        <v>48.3</v>
      </c>
      <c r="C51" s="59">
        <f>IF(VLOOKUP(Table311[[#This Row],[Date]],'DB Details'!$A:$Q,16)=0,"",VLOOKUP(Table311[[#This Row],[Date]],'DB Details'!$A:$Q,16))</f>
        <v>9.9193295688802842E-3</v>
      </c>
      <c r="D51" s="59">
        <f>IF(VLOOKUP(Table311[[#This Row],[Date]],'DB Details'!$A:$Q,15)=0,"",VLOOKUP(Table311[[#This Row],[Date]],'DB Details'!$A:$Q,15))</f>
        <v>6.2138921486550201E-3</v>
      </c>
      <c r="E51" s="59">
        <f>IF(VLOOKUP(Table311[[#This Row],[Date]],'DB Details'!$A:$Q,17)=0,"",VLOOKUP(Table311[[#This Row],[Date]],'DB Details'!$A:$Q,17))</f>
        <v>2.508820455389205E-2</v>
      </c>
    </row>
    <row r="52" spans="1:5" x14ac:dyDescent="0.35">
      <c r="A52" s="58">
        <v>37012</v>
      </c>
      <c r="B52" s="48">
        <f>IF(VLOOKUP(Table311[[#This Row],[Date]],'DB Details'!$A:$Q,12)=0,"",VLOOKUP(Table311[[#This Row],[Date]],'DB Details'!$A:$Q,12))</f>
        <v>49</v>
      </c>
      <c r="C52" s="59">
        <f>IF(VLOOKUP(Table311[[#This Row],[Date]],'DB Details'!$A:$Q,16)=0,"",VLOOKUP(Table311[[#This Row],[Date]],'DB Details'!$A:$Q,16))</f>
        <v>9.9193295688802842E-3</v>
      </c>
      <c r="D52" s="59">
        <f>IF(VLOOKUP(Table311[[#This Row],[Date]],'DB Details'!$A:$Q,15)=0,"",VLOOKUP(Table311[[#This Row],[Date]],'DB Details'!$A:$Q,15))</f>
        <v>6.2138921486550201E-3</v>
      </c>
      <c r="E52" s="59">
        <f>IF(VLOOKUP(Table311[[#This Row],[Date]],'DB Details'!$A:$Q,17)=0,"",VLOOKUP(Table311[[#This Row],[Date]],'DB Details'!$A:$Q,17))</f>
        <v>2.508820455389205E-2</v>
      </c>
    </row>
    <row r="53" spans="1:5" x14ac:dyDescent="0.35">
      <c r="A53" s="58">
        <v>37043</v>
      </c>
      <c r="B53" s="48">
        <f>IF(VLOOKUP(Table311[[#This Row],[Date]],'DB Details'!$A:$Q,12)=0,"",VLOOKUP(Table311[[#This Row],[Date]],'DB Details'!$A:$Q,12))</f>
        <v>50.1</v>
      </c>
      <c r="C53" s="59">
        <f>IF(VLOOKUP(Table311[[#This Row],[Date]],'DB Details'!$A:$Q,16)=0,"",VLOOKUP(Table311[[#This Row],[Date]],'DB Details'!$A:$Q,16))</f>
        <v>9.9193295688802842E-3</v>
      </c>
      <c r="D53" s="59">
        <f>IF(VLOOKUP(Table311[[#This Row],[Date]],'DB Details'!$A:$Q,15)=0,"",VLOOKUP(Table311[[#This Row],[Date]],'DB Details'!$A:$Q,15))</f>
        <v>6.2138921486550201E-3</v>
      </c>
      <c r="E53" s="59">
        <f>IF(VLOOKUP(Table311[[#This Row],[Date]],'DB Details'!$A:$Q,17)=0,"",VLOOKUP(Table311[[#This Row],[Date]],'DB Details'!$A:$Q,17))</f>
        <v>2.508820455389205E-2</v>
      </c>
    </row>
    <row r="54" spans="1:5" x14ac:dyDescent="0.35">
      <c r="A54" s="58">
        <v>37073</v>
      </c>
      <c r="B54" s="48">
        <f>IF(VLOOKUP(Table311[[#This Row],[Date]],'DB Details'!$A:$Q,12)=0,"",VLOOKUP(Table311[[#This Row],[Date]],'DB Details'!$A:$Q,12))</f>
        <v>48.1</v>
      </c>
      <c r="C54" s="59">
        <f>IF(VLOOKUP(Table311[[#This Row],[Date]],'DB Details'!$A:$Q,16)=0,"",VLOOKUP(Table311[[#This Row],[Date]],'DB Details'!$A:$Q,16))</f>
        <v>4.8735236716932872E-3</v>
      </c>
      <c r="D54" s="59">
        <f>IF(VLOOKUP(Table311[[#This Row],[Date]],'DB Details'!$A:$Q,15)=0,"",VLOOKUP(Table311[[#This Row],[Date]],'DB Details'!$A:$Q,15))</f>
        <v>-4.0034901605050122E-3</v>
      </c>
      <c r="E54" s="59">
        <f>IF(VLOOKUP(Table311[[#This Row],[Date]],'DB Details'!$A:$Q,17)=0,"",VLOOKUP(Table311[[#This Row],[Date]],'DB Details'!$A:$Q,17))</f>
        <v>-1.5918049455029729E-2</v>
      </c>
    </row>
    <row r="55" spans="1:5" x14ac:dyDescent="0.35">
      <c r="A55" s="58">
        <v>37104</v>
      </c>
      <c r="B55" s="48">
        <f>IF(VLOOKUP(Table311[[#This Row],[Date]],'DB Details'!$A:$Q,12)=0,"",VLOOKUP(Table311[[#This Row],[Date]],'DB Details'!$A:$Q,12))</f>
        <v>46.9</v>
      </c>
      <c r="C55" s="59">
        <f>IF(VLOOKUP(Table311[[#This Row],[Date]],'DB Details'!$A:$Q,16)=0,"",VLOOKUP(Table311[[#This Row],[Date]],'DB Details'!$A:$Q,16))</f>
        <v>4.8735236716932872E-3</v>
      </c>
      <c r="D55" s="59">
        <f>IF(VLOOKUP(Table311[[#This Row],[Date]],'DB Details'!$A:$Q,15)=0,"",VLOOKUP(Table311[[#This Row],[Date]],'DB Details'!$A:$Q,15))</f>
        <v>-4.0034901605050122E-3</v>
      </c>
      <c r="E55" s="59">
        <f>IF(VLOOKUP(Table311[[#This Row],[Date]],'DB Details'!$A:$Q,17)=0,"",VLOOKUP(Table311[[#This Row],[Date]],'DB Details'!$A:$Q,17))</f>
        <v>-1.5918049455029729E-2</v>
      </c>
    </row>
    <row r="56" spans="1:5" x14ac:dyDescent="0.35">
      <c r="A56" s="58">
        <v>37135</v>
      </c>
      <c r="B56" s="48">
        <f>IF(VLOOKUP(Table311[[#This Row],[Date]],'DB Details'!$A:$Q,12)=0,"",VLOOKUP(Table311[[#This Row],[Date]],'DB Details'!$A:$Q,12))</f>
        <v>49.5</v>
      </c>
      <c r="C56" s="59">
        <f>IF(VLOOKUP(Table311[[#This Row],[Date]],'DB Details'!$A:$Q,16)=0,"",VLOOKUP(Table311[[#This Row],[Date]],'DB Details'!$A:$Q,16))</f>
        <v>4.8735236716932872E-3</v>
      </c>
      <c r="D56" s="59">
        <f>IF(VLOOKUP(Table311[[#This Row],[Date]],'DB Details'!$A:$Q,15)=0,"",VLOOKUP(Table311[[#This Row],[Date]],'DB Details'!$A:$Q,15))</f>
        <v>-4.0034901605050122E-3</v>
      </c>
      <c r="E56" s="59">
        <f>IF(VLOOKUP(Table311[[#This Row],[Date]],'DB Details'!$A:$Q,17)=0,"",VLOOKUP(Table311[[#This Row],[Date]],'DB Details'!$A:$Q,17))</f>
        <v>-1.5918049455029729E-2</v>
      </c>
    </row>
    <row r="57" spans="1:5" x14ac:dyDescent="0.35">
      <c r="A57" s="58">
        <v>37165</v>
      </c>
      <c r="B57" s="48">
        <f>IF(VLOOKUP(Table311[[#This Row],[Date]],'DB Details'!$A:$Q,12)=0,"",VLOOKUP(Table311[[#This Row],[Date]],'DB Details'!$A:$Q,12))</f>
        <v>44.8</v>
      </c>
      <c r="C57" s="59">
        <f>IF(VLOOKUP(Table311[[#This Row],[Date]],'DB Details'!$A:$Q,16)=0,"",VLOOKUP(Table311[[#This Row],[Date]],'DB Details'!$A:$Q,16))</f>
        <v>1.706422364229252E-3</v>
      </c>
      <c r="D57" s="59">
        <f>IF(VLOOKUP(Table311[[#This Row],[Date]],'DB Details'!$A:$Q,15)=0,"",VLOOKUP(Table311[[#This Row],[Date]],'DB Details'!$A:$Q,15))</f>
        <v>2.7731435849645621E-3</v>
      </c>
      <c r="E57" s="59">
        <f>IF(VLOOKUP(Table311[[#This Row],[Date]],'DB Details'!$A:$Q,17)=0,"",VLOOKUP(Table311[[#This Row],[Date]],'DB Details'!$A:$Q,17))</f>
        <v>1.113880165656167E-2</v>
      </c>
    </row>
    <row r="58" spans="1:5" x14ac:dyDescent="0.35">
      <c r="A58" s="58">
        <v>37196</v>
      </c>
      <c r="B58" s="48">
        <f>IF(VLOOKUP(Table311[[#This Row],[Date]],'DB Details'!$A:$Q,12)=0,"",VLOOKUP(Table311[[#This Row],[Date]],'DB Details'!$A:$Q,12))</f>
        <v>48.2</v>
      </c>
      <c r="C58" s="59">
        <f>IF(VLOOKUP(Table311[[#This Row],[Date]],'DB Details'!$A:$Q,16)=0,"",VLOOKUP(Table311[[#This Row],[Date]],'DB Details'!$A:$Q,16))</f>
        <v>1.706422364229252E-3</v>
      </c>
      <c r="D58" s="59">
        <f>IF(VLOOKUP(Table311[[#This Row],[Date]],'DB Details'!$A:$Q,15)=0,"",VLOOKUP(Table311[[#This Row],[Date]],'DB Details'!$A:$Q,15))</f>
        <v>2.7731435849645621E-3</v>
      </c>
      <c r="E58" s="59">
        <f>IF(VLOOKUP(Table311[[#This Row],[Date]],'DB Details'!$A:$Q,17)=0,"",VLOOKUP(Table311[[#This Row],[Date]],'DB Details'!$A:$Q,17))</f>
        <v>1.113880165656167E-2</v>
      </c>
    </row>
    <row r="59" spans="1:5" x14ac:dyDescent="0.35">
      <c r="A59" s="58">
        <v>37226</v>
      </c>
      <c r="B59" s="48">
        <f>IF(VLOOKUP(Table311[[#This Row],[Date]],'DB Details'!$A:$Q,12)=0,"",VLOOKUP(Table311[[#This Row],[Date]],'DB Details'!$A:$Q,12))</f>
        <v>49.7</v>
      </c>
      <c r="C59" s="59">
        <f>IF(VLOOKUP(Table311[[#This Row],[Date]],'DB Details'!$A:$Q,16)=0,"",VLOOKUP(Table311[[#This Row],[Date]],'DB Details'!$A:$Q,16))</f>
        <v>1.706422364229252E-3</v>
      </c>
      <c r="D59" s="59">
        <f>IF(VLOOKUP(Table311[[#This Row],[Date]],'DB Details'!$A:$Q,15)=0,"",VLOOKUP(Table311[[#This Row],[Date]],'DB Details'!$A:$Q,15))</f>
        <v>2.7731435849645621E-3</v>
      </c>
      <c r="E59" s="59">
        <f>IF(VLOOKUP(Table311[[#This Row],[Date]],'DB Details'!$A:$Q,17)=0,"",VLOOKUP(Table311[[#This Row],[Date]],'DB Details'!$A:$Q,17))</f>
        <v>1.113880165656167E-2</v>
      </c>
    </row>
    <row r="60" spans="1:5" x14ac:dyDescent="0.35">
      <c r="A60" s="58">
        <v>37257</v>
      </c>
      <c r="B60" s="48">
        <f>IF(VLOOKUP(Table311[[#This Row],[Date]],'DB Details'!$A:$Q,12)=0,"",VLOOKUP(Table311[[#This Row],[Date]],'DB Details'!$A:$Q,12))</f>
        <v>48.9</v>
      </c>
      <c r="C60" s="59">
        <f>IF(VLOOKUP(Table311[[#This Row],[Date]],'DB Details'!$A:$Q,16)=0,"",VLOOKUP(Table311[[#This Row],[Date]],'DB Details'!$A:$Q,16))</f>
        <v>1.3288120484284601E-2</v>
      </c>
      <c r="D60" s="59">
        <f>IF(VLOOKUP(Table311[[#This Row],[Date]],'DB Details'!$A:$Q,15)=0,"",VLOOKUP(Table311[[#This Row],[Date]],'DB Details'!$A:$Q,15))</f>
        <v>8.2822721558439595E-3</v>
      </c>
      <c r="E60" s="59">
        <f>IF(VLOOKUP(Table311[[#This Row],[Date]],'DB Details'!$A:$Q,17)=0,"",VLOOKUP(Table311[[#This Row],[Date]],'DB Details'!$A:$Q,17))</f>
        <v>3.354294204519781E-2</v>
      </c>
    </row>
    <row r="61" spans="1:5" x14ac:dyDescent="0.35">
      <c r="A61" s="58">
        <v>37288</v>
      </c>
      <c r="B61" s="48">
        <f>IF(VLOOKUP(Table311[[#This Row],[Date]],'DB Details'!$A:$Q,12)=0,"",VLOOKUP(Table311[[#This Row],[Date]],'DB Details'!$A:$Q,12))</f>
        <v>52.7</v>
      </c>
      <c r="C61" s="59">
        <f>IF(VLOOKUP(Table311[[#This Row],[Date]],'DB Details'!$A:$Q,16)=0,"",VLOOKUP(Table311[[#This Row],[Date]],'DB Details'!$A:$Q,16))</f>
        <v>1.3288120484284601E-2</v>
      </c>
      <c r="D61" s="59">
        <f>IF(VLOOKUP(Table311[[#This Row],[Date]],'DB Details'!$A:$Q,15)=0,"",VLOOKUP(Table311[[#This Row],[Date]],'DB Details'!$A:$Q,15))</f>
        <v>8.2822721558439595E-3</v>
      </c>
      <c r="E61" s="59">
        <f>IF(VLOOKUP(Table311[[#This Row],[Date]],'DB Details'!$A:$Q,17)=0,"",VLOOKUP(Table311[[#This Row],[Date]],'DB Details'!$A:$Q,17))</f>
        <v>3.354294204519781E-2</v>
      </c>
    </row>
    <row r="62" spans="1:5" x14ac:dyDescent="0.35">
      <c r="A62" s="58">
        <v>37316</v>
      </c>
      <c r="B62" s="48">
        <f>IF(VLOOKUP(Table311[[#This Row],[Date]],'DB Details'!$A:$Q,12)=0,"",VLOOKUP(Table311[[#This Row],[Date]],'DB Details'!$A:$Q,12))</f>
        <v>52.8</v>
      </c>
      <c r="C62" s="59">
        <f>IF(VLOOKUP(Table311[[#This Row],[Date]],'DB Details'!$A:$Q,16)=0,"",VLOOKUP(Table311[[#This Row],[Date]],'DB Details'!$A:$Q,16))</f>
        <v>1.3288120484284601E-2</v>
      </c>
      <c r="D62" s="59">
        <f>IF(VLOOKUP(Table311[[#This Row],[Date]],'DB Details'!$A:$Q,15)=0,"",VLOOKUP(Table311[[#This Row],[Date]],'DB Details'!$A:$Q,15))</f>
        <v>8.2822721558439595E-3</v>
      </c>
      <c r="E62" s="59">
        <f>IF(VLOOKUP(Table311[[#This Row],[Date]],'DB Details'!$A:$Q,17)=0,"",VLOOKUP(Table311[[#This Row],[Date]],'DB Details'!$A:$Q,17))</f>
        <v>3.354294204519781E-2</v>
      </c>
    </row>
    <row r="63" spans="1:5" x14ac:dyDescent="0.35">
      <c r="A63" s="58">
        <v>37347</v>
      </c>
      <c r="B63" s="48">
        <f>IF(VLOOKUP(Table311[[#This Row],[Date]],'DB Details'!$A:$Q,12)=0,"",VLOOKUP(Table311[[#This Row],[Date]],'DB Details'!$A:$Q,12))</f>
        <v>53.5</v>
      </c>
      <c r="C63" s="59">
        <f>IF(VLOOKUP(Table311[[#This Row],[Date]],'DB Details'!$A:$Q,16)=0,"",VLOOKUP(Table311[[#This Row],[Date]],'DB Details'!$A:$Q,16))</f>
        <v>1.322883902243626E-2</v>
      </c>
      <c r="D63" s="59">
        <f>IF(VLOOKUP(Table311[[#This Row],[Date]],'DB Details'!$A:$Q,15)=0,"",VLOOKUP(Table311[[#This Row],[Date]],'DB Details'!$A:$Q,15))</f>
        <v>6.1550245578357683E-3</v>
      </c>
      <c r="E63" s="59">
        <f>IF(VLOOKUP(Table311[[#This Row],[Date]],'DB Details'!$A:$Q,17)=0,"",VLOOKUP(Table311[[#This Row],[Date]],'DB Details'!$A:$Q,17))</f>
        <v>2.484833834627009E-2</v>
      </c>
    </row>
    <row r="64" spans="1:5" x14ac:dyDescent="0.35">
      <c r="A64" s="58">
        <v>37377</v>
      </c>
      <c r="B64" s="48">
        <f>IF(VLOOKUP(Table311[[#This Row],[Date]],'DB Details'!$A:$Q,12)=0,"",VLOOKUP(Table311[[#This Row],[Date]],'DB Details'!$A:$Q,12))</f>
        <v>54.8</v>
      </c>
      <c r="C64" s="59">
        <f>IF(VLOOKUP(Table311[[#This Row],[Date]],'DB Details'!$A:$Q,16)=0,"",VLOOKUP(Table311[[#This Row],[Date]],'DB Details'!$A:$Q,16))</f>
        <v>1.322883902243626E-2</v>
      </c>
      <c r="D64" s="59">
        <f>IF(VLOOKUP(Table311[[#This Row],[Date]],'DB Details'!$A:$Q,15)=0,"",VLOOKUP(Table311[[#This Row],[Date]],'DB Details'!$A:$Q,15))</f>
        <v>6.1550245578357683E-3</v>
      </c>
      <c r="E64" s="59">
        <f>IF(VLOOKUP(Table311[[#This Row],[Date]],'DB Details'!$A:$Q,17)=0,"",VLOOKUP(Table311[[#This Row],[Date]],'DB Details'!$A:$Q,17))</f>
        <v>2.484833834627009E-2</v>
      </c>
    </row>
    <row r="65" spans="1:5" x14ac:dyDescent="0.35">
      <c r="A65" s="58">
        <v>37408</v>
      </c>
      <c r="B65" s="48">
        <f>IF(VLOOKUP(Table311[[#This Row],[Date]],'DB Details'!$A:$Q,12)=0,"",VLOOKUP(Table311[[#This Row],[Date]],'DB Details'!$A:$Q,12))</f>
        <v>52.5</v>
      </c>
      <c r="C65" s="59">
        <f>IF(VLOOKUP(Table311[[#This Row],[Date]],'DB Details'!$A:$Q,16)=0,"",VLOOKUP(Table311[[#This Row],[Date]],'DB Details'!$A:$Q,16))</f>
        <v>1.322883902243626E-2</v>
      </c>
      <c r="D65" s="59">
        <f>IF(VLOOKUP(Table311[[#This Row],[Date]],'DB Details'!$A:$Q,15)=0,"",VLOOKUP(Table311[[#This Row],[Date]],'DB Details'!$A:$Q,15))</f>
        <v>6.1550245578357683E-3</v>
      </c>
      <c r="E65" s="59">
        <f>IF(VLOOKUP(Table311[[#This Row],[Date]],'DB Details'!$A:$Q,17)=0,"",VLOOKUP(Table311[[#This Row],[Date]],'DB Details'!$A:$Q,17))</f>
        <v>2.484833834627009E-2</v>
      </c>
    </row>
    <row r="66" spans="1:5" x14ac:dyDescent="0.35">
      <c r="A66" s="58">
        <v>37438</v>
      </c>
      <c r="B66" s="48">
        <f>IF(VLOOKUP(Table311[[#This Row],[Date]],'DB Details'!$A:$Q,12)=0,"",VLOOKUP(Table311[[#This Row],[Date]],'DB Details'!$A:$Q,12))</f>
        <v>50.4</v>
      </c>
      <c r="C66" s="59">
        <f>IF(VLOOKUP(Table311[[#This Row],[Date]],'DB Details'!$A:$Q,16)=0,"",VLOOKUP(Table311[[#This Row],[Date]],'DB Details'!$A:$Q,16))</f>
        <v>2.140669989799325E-2</v>
      </c>
      <c r="D66" s="59">
        <f>IF(VLOOKUP(Table311[[#This Row],[Date]],'DB Details'!$A:$Q,15)=0,"",VLOOKUP(Table311[[#This Row],[Date]],'DB Details'!$A:$Q,15))</f>
        <v>4.0352870399802624E-3</v>
      </c>
      <c r="E66" s="59">
        <f>IF(VLOOKUP(Table311[[#This Row],[Date]],'DB Details'!$A:$Q,17)=0,"",VLOOKUP(Table311[[#This Row],[Date]],'DB Details'!$A:$Q,17))</f>
        <v>1.6239112509100821E-2</v>
      </c>
    </row>
    <row r="67" spans="1:5" x14ac:dyDescent="0.35">
      <c r="A67" s="58">
        <v>37469</v>
      </c>
      <c r="B67" s="48">
        <f>IF(VLOOKUP(Table311[[#This Row],[Date]],'DB Details'!$A:$Q,12)=0,"",VLOOKUP(Table311[[#This Row],[Date]],'DB Details'!$A:$Q,12))</f>
        <v>50.9</v>
      </c>
      <c r="C67" s="59">
        <f>IF(VLOOKUP(Table311[[#This Row],[Date]],'DB Details'!$A:$Q,16)=0,"",VLOOKUP(Table311[[#This Row],[Date]],'DB Details'!$A:$Q,16))</f>
        <v>2.140669989799325E-2</v>
      </c>
      <c r="D67" s="59">
        <f>IF(VLOOKUP(Table311[[#This Row],[Date]],'DB Details'!$A:$Q,15)=0,"",VLOOKUP(Table311[[#This Row],[Date]],'DB Details'!$A:$Q,15))</f>
        <v>4.0352870399802624E-3</v>
      </c>
      <c r="E67" s="59">
        <f>IF(VLOOKUP(Table311[[#This Row],[Date]],'DB Details'!$A:$Q,17)=0,"",VLOOKUP(Table311[[#This Row],[Date]],'DB Details'!$A:$Q,17))</f>
        <v>1.6239112509100821E-2</v>
      </c>
    </row>
    <row r="68" spans="1:5" x14ac:dyDescent="0.35">
      <c r="A68" s="58">
        <v>37500</v>
      </c>
      <c r="B68" s="48">
        <f>IF(VLOOKUP(Table311[[#This Row],[Date]],'DB Details'!$A:$Q,12)=0,"",VLOOKUP(Table311[[#This Row],[Date]],'DB Details'!$A:$Q,12))</f>
        <v>52.3</v>
      </c>
      <c r="C68" s="59">
        <f>IF(VLOOKUP(Table311[[#This Row],[Date]],'DB Details'!$A:$Q,16)=0,"",VLOOKUP(Table311[[#This Row],[Date]],'DB Details'!$A:$Q,16))</f>
        <v>2.140669989799325E-2</v>
      </c>
      <c r="D68" s="59">
        <f>IF(VLOOKUP(Table311[[#This Row],[Date]],'DB Details'!$A:$Q,15)=0,"",VLOOKUP(Table311[[#This Row],[Date]],'DB Details'!$A:$Q,15))</f>
        <v>4.0352870399802624E-3</v>
      </c>
      <c r="E68" s="59">
        <f>IF(VLOOKUP(Table311[[#This Row],[Date]],'DB Details'!$A:$Q,17)=0,"",VLOOKUP(Table311[[#This Row],[Date]],'DB Details'!$A:$Q,17))</f>
        <v>1.6239112509100821E-2</v>
      </c>
    </row>
    <row r="69" spans="1:5" x14ac:dyDescent="0.35">
      <c r="A69" s="58">
        <v>37530</v>
      </c>
      <c r="B69" s="48">
        <f>IF(VLOOKUP(Table311[[#This Row],[Date]],'DB Details'!$A:$Q,12)=0,"",VLOOKUP(Table311[[#This Row],[Date]],'DB Details'!$A:$Q,12))</f>
        <v>51.4</v>
      </c>
      <c r="C69" s="59">
        <f>IF(VLOOKUP(Table311[[#This Row],[Date]],'DB Details'!$A:$Q,16)=0,"",VLOOKUP(Table311[[#This Row],[Date]],'DB Details'!$A:$Q,16))</f>
        <v>1.9912861846485559E-2</v>
      </c>
      <c r="D69" s="59">
        <f>IF(VLOOKUP(Table311[[#This Row],[Date]],'DB Details'!$A:$Q,15)=0,"",VLOOKUP(Table311[[#This Row],[Date]],'DB Details'!$A:$Q,15))</f>
        <v>1.306557670590968E-3</v>
      </c>
      <c r="E69" s="59">
        <f>IF(VLOOKUP(Table311[[#This Row],[Date]],'DB Details'!$A:$Q,17)=0,"",VLOOKUP(Table311[[#This Row],[Date]],'DB Details'!$A:$Q,17))</f>
        <v>5.2364821646193596E-3</v>
      </c>
    </row>
    <row r="70" spans="1:5" x14ac:dyDescent="0.35">
      <c r="A70" s="58">
        <v>37561</v>
      </c>
      <c r="B70" s="48">
        <f>IF(VLOOKUP(Table311[[#This Row],[Date]],'DB Details'!$A:$Q,12)=0,"",VLOOKUP(Table311[[#This Row],[Date]],'DB Details'!$A:$Q,12))</f>
        <v>52.9</v>
      </c>
      <c r="C70" s="59">
        <f>IF(VLOOKUP(Table311[[#This Row],[Date]],'DB Details'!$A:$Q,16)=0,"",VLOOKUP(Table311[[#This Row],[Date]],'DB Details'!$A:$Q,16))</f>
        <v>1.9912861846485559E-2</v>
      </c>
      <c r="D70" s="59">
        <f>IF(VLOOKUP(Table311[[#This Row],[Date]],'DB Details'!$A:$Q,15)=0,"",VLOOKUP(Table311[[#This Row],[Date]],'DB Details'!$A:$Q,15))</f>
        <v>1.306557670590968E-3</v>
      </c>
      <c r="E70" s="59">
        <f>IF(VLOOKUP(Table311[[#This Row],[Date]],'DB Details'!$A:$Q,17)=0,"",VLOOKUP(Table311[[#This Row],[Date]],'DB Details'!$A:$Q,17))</f>
        <v>5.2364821646193596E-3</v>
      </c>
    </row>
    <row r="71" spans="1:5" x14ac:dyDescent="0.35">
      <c r="A71" s="58">
        <v>37591</v>
      </c>
      <c r="B71" s="48">
        <f>IF(VLOOKUP(Table311[[#This Row],[Date]],'DB Details'!$A:$Q,12)=0,"",VLOOKUP(Table311[[#This Row],[Date]],'DB Details'!$A:$Q,12))</f>
        <v>52.3</v>
      </c>
      <c r="C71" s="59">
        <f>IF(VLOOKUP(Table311[[#This Row],[Date]],'DB Details'!$A:$Q,16)=0,"",VLOOKUP(Table311[[#This Row],[Date]],'DB Details'!$A:$Q,16))</f>
        <v>1.9912861846485559E-2</v>
      </c>
      <c r="D71" s="59">
        <f>IF(VLOOKUP(Table311[[#This Row],[Date]],'DB Details'!$A:$Q,15)=0,"",VLOOKUP(Table311[[#This Row],[Date]],'DB Details'!$A:$Q,15))</f>
        <v>1.306557670590968E-3</v>
      </c>
      <c r="E71" s="59">
        <f>IF(VLOOKUP(Table311[[#This Row],[Date]],'DB Details'!$A:$Q,17)=0,"",VLOOKUP(Table311[[#This Row],[Date]],'DB Details'!$A:$Q,17))</f>
        <v>5.2364821646193596E-3</v>
      </c>
    </row>
    <row r="72" spans="1:5" x14ac:dyDescent="0.35">
      <c r="A72" s="58">
        <v>37622</v>
      </c>
      <c r="B72" s="48">
        <f>IF(VLOOKUP(Table311[[#This Row],[Date]],'DB Details'!$A:$Q,12)=0,"",VLOOKUP(Table311[[#This Row],[Date]],'DB Details'!$A:$Q,12))</f>
        <v>53.3</v>
      </c>
      <c r="C72" s="59">
        <f>IF(VLOOKUP(Table311[[#This Row],[Date]],'DB Details'!$A:$Q,16)=0,"",VLOOKUP(Table311[[#This Row],[Date]],'DB Details'!$A:$Q,16))</f>
        <v>1.676188940425874E-2</v>
      </c>
      <c r="D72" s="59">
        <f>IF(VLOOKUP(Table311[[#This Row],[Date]],'DB Details'!$A:$Q,15)=0,"",VLOOKUP(Table311[[#This Row],[Date]],'DB Details'!$A:$Q,15))</f>
        <v>5.1672318691698346E-3</v>
      </c>
      <c r="E72" s="59">
        <f>IF(VLOOKUP(Table311[[#This Row],[Date]],'DB Details'!$A:$Q,17)=0,"",VLOOKUP(Table311[[#This Row],[Date]],'DB Details'!$A:$Q,17))</f>
        <v>2.0829681766981079E-2</v>
      </c>
    </row>
    <row r="73" spans="1:5" x14ac:dyDescent="0.35">
      <c r="A73" s="58">
        <v>37653</v>
      </c>
      <c r="B73" s="48">
        <f>IF(VLOOKUP(Table311[[#This Row],[Date]],'DB Details'!$A:$Q,12)=0,"",VLOOKUP(Table311[[#This Row],[Date]],'DB Details'!$A:$Q,12))</f>
        <v>52.6</v>
      </c>
      <c r="C73" s="59">
        <f>IF(VLOOKUP(Table311[[#This Row],[Date]],'DB Details'!$A:$Q,16)=0,"",VLOOKUP(Table311[[#This Row],[Date]],'DB Details'!$A:$Q,16))</f>
        <v>1.676188940425874E-2</v>
      </c>
      <c r="D73" s="59">
        <f>IF(VLOOKUP(Table311[[#This Row],[Date]],'DB Details'!$A:$Q,15)=0,"",VLOOKUP(Table311[[#This Row],[Date]],'DB Details'!$A:$Q,15))</f>
        <v>5.1672318691698346E-3</v>
      </c>
      <c r="E73" s="59">
        <f>IF(VLOOKUP(Table311[[#This Row],[Date]],'DB Details'!$A:$Q,17)=0,"",VLOOKUP(Table311[[#This Row],[Date]],'DB Details'!$A:$Q,17))</f>
        <v>2.0829681766981079E-2</v>
      </c>
    </row>
    <row r="74" spans="1:5" x14ac:dyDescent="0.35">
      <c r="A74" s="58">
        <v>37681</v>
      </c>
      <c r="B74" s="48">
        <f>IF(VLOOKUP(Table311[[#This Row],[Date]],'DB Details'!$A:$Q,12)=0,"",VLOOKUP(Table311[[#This Row],[Date]],'DB Details'!$A:$Q,12))</f>
        <v>49.1</v>
      </c>
      <c r="C74" s="59">
        <f>IF(VLOOKUP(Table311[[#This Row],[Date]],'DB Details'!$A:$Q,16)=0,"",VLOOKUP(Table311[[#This Row],[Date]],'DB Details'!$A:$Q,16))</f>
        <v>1.676188940425874E-2</v>
      </c>
      <c r="D74" s="59">
        <f>IF(VLOOKUP(Table311[[#This Row],[Date]],'DB Details'!$A:$Q,15)=0,"",VLOOKUP(Table311[[#This Row],[Date]],'DB Details'!$A:$Q,15))</f>
        <v>5.1672318691698346E-3</v>
      </c>
      <c r="E74" s="59">
        <f>IF(VLOOKUP(Table311[[#This Row],[Date]],'DB Details'!$A:$Q,17)=0,"",VLOOKUP(Table311[[#This Row],[Date]],'DB Details'!$A:$Q,17))</f>
        <v>2.0829681766981079E-2</v>
      </c>
    </row>
    <row r="75" spans="1:5" x14ac:dyDescent="0.35">
      <c r="A75" s="58">
        <v>37712</v>
      </c>
      <c r="B75" s="48">
        <f>IF(VLOOKUP(Table311[[#This Row],[Date]],'DB Details'!$A:$Q,12)=0,"",VLOOKUP(Table311[[#This Row],[Date]],'DB Details'!$A:$Q,12))</f>
        <v>50.1</v>
      </c>
      <c r="C75" s="59">
        <f>IF(VLOOKUP(Table311[[#This Row],[Date]],'DB Details'!$A:$Q,16)=0,"",VLOOKUP(Table311[[#This Row],[Date]],'DB Details'!$A:$Q,16))</f>
        <v>1.9569936417795909E-2</v>
      </c>
      <c r="D75" s="59">
        <f>IF(VLOOKUP(Table311[[#This Row],[Date]],'DB Details'!$A:$Q,15)=0,"",VLOOKUP(Table311[[#This Row],[Date]],'DB Details'!$A:$Q,15))</f>
        <v>8.9337780116266717E-3</v>
      </c>
      <c r="E75" s="59">
        <f>IF(VLOOKUP(Table311[[#This Row],[Date]],'DB Details'!$A:$Q,17)=0,"",VLOOKUP(Table311[[#This Row],[Date]],'DB Details'!$A:$Q,17))</f>
        <v>3.621684485857446E-2</v>
      </c>
    </row>
    <row r="76" spans="1:5" x14ac:dyDescent="0.35">
      <c r="A76" s="58">
        <v>37742</v>
      </c>
      <c r="B76" s="48">
        <f>IF(VLOOKUP(Table311[[#This Row],[Date]],'DB Details'!$A:$Q,12)=0,"",VLOOKUP(Table311[[#This Row],[Date]],'DB Details'!$A:$Q,12))</f>
        <v>52.8</v>
      </c>
      <c r="C76" s="59">
        <f>IF(VLOOKUP(Table311[[#This Row],[Date]],'DB Details'!$A:$Q,16)=0,"",VLOOKUP(Table311[[#This Row],[Date]],'DB Details'!$A:$Q,16))</f>
        <v>1.9569936417795909E-2</v>
      </c>
      <c r="D76" s="59">
        <f>IF(VLOOKUP(Table311[[#This Row],[Date]],'DB Details'!$A:$Q,15)=0,"",VLOOKUP(Table311[[#This Row],[Date]],'DB Details'!$A:$Q,15))</f>
        <v>8.9337780116266717E-3</v>
      </c>
      <c r="E76" s="59">
        <f>IF(VLOOKUP(Table311[[#This Row],[Date]],'DB Details'!$A:$Q,17)=0,"",VLOOKUP(Table311[[#This Row],[Date]],'DB Details'!$A:$Q,17))</f>
        <v>3.621684485857446E-2</v>
      </c>
    </row>
    <row r="77" spans="1:5" x14ac:dyDescent="0.35">
      <c r="A77" s="58">
        <v>37773</v>
      </c>
      <c r="B77" s="48">
        <f>IF(VLOOKUP(Table311[[#This Row],[Date]],'DB Details'!$A:$Q,12)=0,"",VLOOKUP(Table311[[#This Row],[Date]],'DB Details'!$A:$Q,12))</f>
        <v>54.3</v>
      </c>
      <c r="C77" s="59">
        <f>IF(VLOOKUP(Table311[[#This Row],[Date]],'DB Details'!$A:$Q,16)=0,"",VLOOKUP(Table311[[#This Row],[Date]],'DB Details'!$A:$Q,16))</f>
        <v>1.9569936417795909E-2</v>
      </c>
      <c r="D77" s="59">
        <f>IF(VLOOKUP(Table311[[#This Row],[Date]],'DB Details'!$A:$Q,15)=0,"",VLOOKUP(Table311[[#This Row],[Date]],'DB Details'!$A:$Q,15))</f>
        <v>8.9337780116266717E-3</v>
      </c>
      <c r="E77" s="59">
        <f>IF(VLOOKUP(Table311[[#This Row],[Date]],'DB Details'!$A:$Q,17)=0,"",VLOOKUP(Table311[[#This Row],[Date]],'DB Details'!$A:$Q,17))</f>
        <v>3.621684485857446E-2</v>
      </c>
    </row>
    <row r="78" spans="1:5" x14ac:dyDescent="0.35">
      <c r="A78" s="58">
        <v>37803</v>
      </c>
      <c r="B78" s="48">
        <f>IF(VLOOKUP(Table311[[#This Row],[Date]],'DB Details'!$A:$Q,12)=0,"",VLOOKUP(Table311[[#This Row],[Date]],'DB Details'!$A:$Q,12))</f>
        <v>57.3</v>
      </c>
      <c r="C78" s="59">
        <f>IF(VLOOKUP(Table311[[#This Row],[Date]],'DB Details'!$A:$Q,16)=0,"",VLOOKUP(Table311[[#This Row],[Date]],'DB Details'!$A:$Q,16))</f>
        <v>3.2399083015260143E-2</v>
      </c>
      <c r="D78" s="59">
        <f>IF(VLOOKUP(Table311[[#This Row],[Date]],'DB Details'!$A:$Q,15)=0,"",VLOOKUP(Table311[[#This Row],[Date]],'DB Details'!$A:$Q,15))</f>
        <v>1.666896269711016E-2</v>
      </c>
      <c r="E78" s="59">
        <f>IF(VLOOKUP(Table311[[#This Row],[Date]],'DB Details'!$A:$Q,17)=0,"",VLOOKUP(Table311[[#This Row],[Date]],'DB Details'!$A:$Q,17))</f>
        <v>6.8361580068855954E-2</v>
      </c>
    </row>
    <row r="79" spans="1:5" x14ac:dyDescent="0.35">
      <c r="A79" s="58">
        <v>37834</v>
      </c>
      <c r="B79" s="48">
        <f>IF(VLOOKUP(Table311[[#This Row],[Date]],'DB Details'!$A:$Q,12)=0,"",VLOOKUP(Table311[[#This Row],[Date]],'DB Details'!$A:$Q,12))</f>
        <v>59.1</v>
      </c>
      <c r="C79" s="59">
        <f>IF(VLOOKUP(Table311[[#This Row],[Date]],'DB Details'!$A:$Q,16)=0,"",VLOOKUP(Table311[[#This Row],[Date]],'DB Details'!$A:$Q,16))</f>
        <v>3.2399083015260143E-2</v>
      </c>
      <c r="D79" s="59">
        <f>IF(VLOOKUP(Table311[[#This Row],[Date]],'DB Details'!$A:$Q,15)=0,"",VLOOKUP(Table311[[#This Row],[Date]],'DB Details'!$A:$Q,15))</f>
        <v>1.666896269711016E-2</v>
      </c>
      <c r="E79" s="59">
        <f>IF(VLOOKUP(Table311[[#This Row],[Date]],'DB Details'!$A:$Q,17)=0,"",VLOOKUP(Table311[[#This Row],[Date]],'DB Details'!$A:$Q,17))</f>
        <v>6.8361580068855954E-2</v>
      </c>
    </row>
    <row r="80" spans="1:5" x14ac:dyDescent="0.35">
      <c r="A80" s="58">
        <v>37865</v>
      </c>
      <c r="B80" s="48">
        <f>IF(VLOOKUP(Table311[[#This Row],[Date]],'DB Details'!$A:$Q,12)=0,"",VLOOKUP(Table311[[#This Row],[Date]],'DB Details'!$A:$Q,12))</f>
        <v>57.6</v>
      </c>
      <c r="C80" s="59">
        <f>IF(VLOOKUP(Table311[[#This Row],[Date]],'DB Details'!$A:$Q,16)=0,"",VLOOKUP(Table311[[#This Row],[Date]],'DB Details'!$A:$Q,16))</f>
        <v>3.2399083015260143E-2</v>
      </c>
      <c r="D80" s="59">
        <f>IF(VLOOKUP(Table311[[#This Row],[Date]],'DB Details'!$A:$Q,15)=0,"",VLOOKUP(Table311[[#This Row],[Date]],'DB Details'!$A:$Q,15))</f>
        <v>1.666896269711016E-2</v>
      </c>
      <c r="E80" s="59">
        <f>IF(VLOOKUP(Table311[[#This Row],[Date]],'DB Details'!$A:$Q,17)=0,"",VLOOKUP(Table311[[#This Row],[Date]],'DB Details'!$A:$Q,17))</f>
        <v>6.8361580068855954E-2</v>
      </c>
    </row>
    <row r="81" spans="1:5" x14ac:dyDescent="0.35">
      <c r="A81" s="58">
        <v>37895</v>
      </c>
      <c r="B81" s="48">
        <f>IF(VLOOKUP(Table311[[#This Row],[Date]],'DB Details'!$A:$Q,12)=0,"",VLOOKUP(Table311[[#This Row],[Date]],'DB Details'!$A:$Q,12))</f>
        <v>58.7</v>
      </c>
      <c r="C81" s="59">
        <f>IF(VLOOKUP(Table311[[#This Row],[Date]],'DB Details'!$A:$Q,16)=0,"",VLOOKUP(Table311[[#This Row],[Date]],'DB Details'!$A:$Q,16))</f>
        <v>4.2950765202439317E-2</v>
      </c>
      <c r="D81" s="59">
        <f>IF(VLOOKUP(Table311[[#This Row],[Date]],'DB Details'!$A:$Q,15)=0,"",VLOOKUP(Table311[[#This Row],[Date]],'DB Details'!$A:$Q,15))</f>
        <v>1.154045727617818E-2</v>
      </c>
      <c r="E81" s="59">
        <f>IF(VLOOKUP(Table311[[#This Row],[Date]],'DB Details'!$A:$Q,17)=0,"",VLOOKUP(Table311[[#This Row],[Date]],'DB Details'!$A:$Q,17))</f>
        <v>4.6967087698897902E-2</v>
      </c>
    </row>
    <row r="82" spans="1:5" x14ac:dyDescent="0.35">
      <c r="A82" s="58">
        <v>37926</v>
      </c>
      <c r="B82" s="48">
        <f>IF(VLOOKUP(Table311[[#This Row],[Date]],'DB Details'!$A:$Q,12)=0,"",VLOOKUP(Table311[[#This Row],[Date]],'DB Details'!$A:$Q,12))</f>
        <v>57.5</v>
      </c>
      <c r="C82" s="59">
        <f>IF(VLOOKUP(Table311[[#This Row],[Date]],'DB Details'!$A:$Q,16)=0,"",VLOOKUP(Table311[[#This Row],[Date]],'DB Details'!$A:$Q,16))</f>
        <v>4.2950765202439317E-2</v>
      </c>
      <c r="D82" s="59">
        <f>IF(VLOOKUP(Table311[[#This Row],[Date]],'DB Details'!$A:$Q,15)=0,"",VLOOKUP(Table311[[#This Row],[Date]],'DB Details'!$A:$Q,15))</f>
        <v>1.154045727617818E-2</v>
      </c>
      <c r="E82" s="59">
        <f>IF(VLOOKUP(Table311[[#This Row],[Date]],'DB Details'!$A:$Q,17)=0,"",VLOOKUP(Table311[[#This Row],[Date]],'DB Details'!$A:$Q,17))</f>
        <v>4.6967087698897902E-2</v>
      </c>
    </row>
    <row r="83" spans="1:5" x14ac:dyDescent="0.35">
      <c r="A83" s="58">
        <v>37956</v>
      </c>
      <c r="B83" s="48">
        <f>IF(VLOOKUP(Table311[[#This Row],[Date]],'DB Details'!$A:$Q,12)=0,"",VLOOKUP(Table311[[#This Row],[Date]],'DB Details'!$A:$Q,12))</f>
        <v>56.8</v>
      </c>
      <c r="C83" s="59">
        <f>IF(VLOOKUP(Table311[[#This Row],[Date]],'DB Details'!$A:$Q,16)=0,"",VLOOKUP(Table311[[#This Row],[Date]],'DB Details'!$A:$Q,16))</f>
        <v>4.2950765202439317E-2</v>
      </c>
      <c r="D83" s="59">
        <f>IF(VLOOKUP(Table311[[#This Row],[Date]],'DB Details'!$A:$Q,15)=0,"",VLOOKUP(Table311[[#This Row],[Date]],'DB Details'!$A:$Q,15))</f>
        <v>1.154045727617818E-2</v>
      </c>
      <c r="E83" s="59">
        <f>IF(VLOOKUP(Table311[[#This Row],[Date]],'DB Details'!$A:$Q,17)=0,"",VLOOKUP(Table311[[#This Row],[Date]],'DB Details'!$A:$Q,17))</f>
        <v>4.6967087698897902E-2</v>
      </c>
    </row>
    <row r="84" spans="1:5" x14ac:dyDescent="0.35">
      <c r="A84" s="58">
        <v>37987</v>
      </c>
      <c r="B84" s="48">
        <f>IF(VLOOKUP(Table311[[#This Row],[Date]],'DB Details'!$A:$Q,12)=0,"",VLOOKUP(Table311[[#This Row],[Date]],'DB Details'!$A:$Q,12))</f>
        <v>61.2</v>
      </c>
      <c r="C84" s="59">
        <f>IF(VLOOKUP(Table311[[#This Row],[Date]],'DB Details'!$A:$Q,16)=0,"",VLOOKUP(Table311[[#This Row],[Date]],'DB Details'!$A:$Q,16))</f>
        <v>4.3533820862159241E-2</v>
      </c>
      <c r="D84" s="59">
        <f>IF(VLOOKUP(Table311[[#This Row],[Date]],'DB Details'!$A:$Q,15)=0,"",VLOOKUP(Table311[[#This Row],[Date]],'DB Details'!$A:$Q,15))</f>
        <v>5.7291648606975533E-3</v>
      </c>
      <c r="E84" s="59">
        <f>IF(VLOOKUP(Table311[[#This Row],[Date]],'DB Details'!$A:$Q,17)=0,"",VLOOKUP(Table311[[#This Row],[Date]],'DB Details'!$A:$Q,17))</f>
        <v>2.3114352701243179E-2</v>
      </c>
    </row>
    <row r="85" spans="1:5" x14ac:dyDescent="0.35">
      <c r="A85" s="58">
        <v>38018</v>
      </c>
      <c r="B85" s="48">
        <f>IF(VLOOKUP(Table311[[#This Row],[Date]],'DB Details'!$A:$Q,12)=0,"",VLOOKUP(Table311[[#This Row],[Date]],'DB Details'!$A:$Q,12))</f>
        <v>58</v>
      </c>
      <c r="C85" s="59">
        <f>IF(VLOOKUP(Table311[[#This Row],[Date]],'DB Details'!$A:$Q,16)=0,"",VLOOKUP(Table311[[#This Row],[Date]],'DB Details'!$A:$Q,16))</f>
        <v>4.3533820862159241E-2</v>
      </c>
      <c r="D85" s="59">
        <f>IF(VLOOKUP(Table311[[#This Row],[Date]],'DB Details'!$A:$Q,15)=0,"",VLOOKUP(Table311[[#This Row],[Date]],'DB Details'!$A:$Q,15))</f>
        <v>5.7291648606975533E-3</v>
      </c>
      <c r="E85" s="59">
        <f>IF(VLOOKUP(Table311[[#This Row],[Date]],'DB Details'!$A:$Q,17)=0,"",VLOOKUP(Table311[[#This Row],[Date]],'DB Details'!$A:$Q,17))</f>
        <v>2.3114352701243179E-2</v>
      </c>
    </row>
    <row r="86" spans="1:5" x14ac:dyDescent="0.35">
      <c r="A86" s="58">
        <v>38047</v>
      </c>
      <c r="B86" s="48">
        <f>IF(VLOOKUP(Table311[[#This Row],[Date]],'DB Details'!$A:$Q,12)=0,"",VLOOKUP(Table311[[#This Row],[Date]],'DB Details'!$A:$Q,12))</f>
        <v>58.3</v>
      </c>
      <c r="C86" s="59">
        <f>IF(VLOOKUP(Table311[[#This Row],[Date]],'DB Details'!$A:$Q,16)=0,"",VLOOKUP(Table311[[#This Row],[Date]],'DB Details'!$A:$Q,16))</f>
        <v>4.3533820862159241E-2</v>
      </c>
      <c r="D86" s="59">
        <f>IF(VLOOKUP(Table311[[#This Row],[Date]],'DB Details'!$A:$Q,15)=0,"",VLOOKUP(Table311[[#This Row],[Date]],'DB Details'!$A:$Q,15))</f>
        <v>5.7291648606975533E-3</v>
      </c>
      <c r="E86" s="59">
        <f>IF(VLOOKUP(Table311[[#This Row],[Date]],'DB Details'!$A:$Q,17)=0,"",VLOOKUP(Table311[[#This Row],[Date]],'DB Details'!$A:$Q,17))</f>
        <v>2.3114352701243179E-2</v>
      </c>
    </row>
    <row r="87" spans="1:5" x14ac:dyDescent="0.35">
      <c r="A87" s="58">
        <v>38078</v>
      </c>
      <c r="B87" s="48">
        <f>IF(VLOOKUP(Table311[[#This Row],[Date]],'DB Details'!$A:$Q,12)=0,"",VLOOKUP(Table311[[#This Row],[Date]],'DB Details'!$A:$Q,12))</f>
        <v>59.6</v>
      </c>
      <c r="C87" s="59">
        <f>IF(VLOOKUP(Table311[[#This Row],[Date]],'DB Details'!$A:$Q,16)=0,"",VLOOKUP(Table311[[#This Row],[Date]],'DB Details'!$A:$Q,16))</f>
        <v>4.2348116494544417E-2</v>
      </c>
      <c r="D87" s="59">
        <f>IF(VLOOKUP(Table311[[#This Row],[Date]],'DB Details'!$A:$Q,15)=0,"",VLOOKUP(Table311[[#This Row],[Date]],'DB Details'!$A:$Q,15))</f>
        <v>7.7873875800888301E-3</v>
      </c>
      <c r="E87" s="59">
        <f>IF(VLOOKUP(Table311[[#This Row],[Date]],'DB Details'!$A:$Q,17)=0,"",VLOOKUP(Table311[[#This Row],[Date]],'DB Details'!$A:$Q,17))</f>
        <v>3.1515303444719089E-2</v>
      </c>
    </row>
    <row r="88" spans="1:5" x14ac:dyDescent="0.35">
      <c r="A88" s="58">
        <v>38108</v>
      </c>
      <c r="B88" s="48">
        <f>IF(VLOOKUP(Table311[[#This Row],[Date]],'DB Details'!$A:$Q,12)=0,"",VLOOKUP(Table311[[#This Row],[Date]],'DB Details'!$A:$Q,12))</f>
        <v>58.5</v>
      </c>
      <c r="C88" s="59">
        <f>IF(VLOOKUP(Table311[[#This Row],[Date]],'DB Details'!$A:$Q,16)=0,"",VLOOKUP(Table311[[#This Row],[Date]],'DB Details'!$A:$Q,16))</f>
        <v>4.2348116494544417E-2</v>
      </c>
      <c r="D88" s="59">
        <f>IF(VLOOKUP(Table311[[#This Row],[Date]],'DB Details'!$A:$Q,15)=0,"",VLOOKUP(Table311[[#This Row],[Date]],'DB Details'!$A:$Q,15))</f>
        <v>7.7873875800888301E-3</v>
      </c>
      <c r="E88" s="59">
        <f>IF(VLOOKUP(Table311[[#This Row],[Date]],'DB Details'!$A:$Q,17)=0,"",VLOOKUP(Table311[[#This Row],[Date]],'DB Details'!$A:$Q,17))</f>
        <v>3.1515303444719089E-2</v>
      </c>
    </row>
    <row r="89" spans="1:5" x14ac:dyDescent="0.35">
      <c r="A89" s="58">
        <v>38139</v>
      </c>
      <c r="B89" s="48">
        <f>IF(VLOOKUP(Table311[[#This Row],[Date]],'DB Details'!$A:$Q,12)=0,"",VLOOKUP(Table311[[#This Row],[Date]],'DB Details'!$A:$Q,12))</f>
        <v>58.6</v>
      </c>
      <c r="C89" s="59">
        <f>IF(VLOOKUP(Table311[[#This Row],[Date]],'DB Details'!$A:$Q,16)=0,"",VLOOKUP(Table311[[#This Row],[Date]],'DB Details'!$A:$Q,16))</f>
        <v>4.2348116494544417E-2</v>
      </c>
      <c r="D89" s="59">
        <f>IF(VLOOKUP(Table311[[#This Row],[Date]],'DB Details'!$A:$Q,15)=0,"",VLOOKUP(Table311[[#This Row],[Date]],'DB Details'!$A:$Q,15))</f>
        <v>7.7873875800888301E-3</v>
      </c>
      <c r="E89" s="59">
        <f>IF(VLOOKUP(Table311[[#This Row],[Date]],'DB Details'!$A:$Q,17)=0,"",VLOOKUP(Table311[[#This Row],[Date]],'DB Details'!$A:$Q,17))</f>
        <v>3.1515303444719089E-2</v>
      </c>
    </row>
    <row r="90" spans="1:5" x14ac:dyDescent="0.35">
      <c r="A90" s="58">
        <v>38169</v>
      </c>
      <c r="B90" s="48">
        <f>IF(VLOOKUP(Table311[[#This Row],[Date]],'DB Details'!$A:$Q,12)=0,"",VLOOKUP(Table311[[#This Row],[Date]],'DB Details'!$A:$Q,12))</f>
        <v>58.5</v>
      </c>
      <c r="C90" s="59">
        <f>IF(VLOOKUP(Table311[[#This Row],[Date]],'DB Details'!$A:$Q,16)=0,"",VLOOKUP(Table311[[#This Row],[Date]],'DB Details'!$A:$Q,16))</f>
        <v>3.4908340686507763E-2</v>
      </c>
      <c r="D90" s="59">
        <f>IF(VLOOKUP(Table311[[#This Row],[Date]],'DB Details'!$A:$Q,15)=0,"",VLOOKUP(Table311[[#This Row],[Date]],'DB Details'!$A:$Q,15))</f>
        <v>9.4124722465944513E-3</v>
      </c>
      <c r="E90" s="59">
        <f>IF(VLOOKUP(Table311[[#This Row],[Date]],'DB Details'!$A:$Q,17)=0,"",VLOOKUP(Table311[[#This Row],[Date]],'DB Details'!$A:$Q,17))</f>
        <v>3.8184800216271693E-2</v>
      </c>
    </row>
    <row r="91" spans="1:5" x14ac:dyDescent="0.35">
      <c r="A91" s="58">
        <v>38200</v>
      </c>
      <c r="B91" s="48">
        <f>IF(VLOOKUP(Table311[[#This Row],[Date]],'DB Details'!$A:$Q,12)=0,"",VLOOKUP(Table311[[#This Row],[Date]],'DB Details'!$A:$Q,12))</f>
        <v>57.3</v>
      </c>
      <c r="C91" s="59">
        <f>IF(VLOOKUP(Table311[[#This Row],[Date]],'DB Details'!$A:$Q,16)=0,"",VLOOKUP(Table311[[#This Row],[Date]],'DB Details'!$A:$Q,16))</f>
        <v>3.4908340686507763E-2</v>
      </c>
      <c r="D91" s="59">
        <f>IF(VLOOKUP(Table311[[#This Row],[Date]],'DB Details'!$A:$Q,15)=0,"",VLOOKUP(Table311[[#This Row],[Date]],'DB Details'!$A:$Q,15))</f>
        <v>9.4124722465944513E-3</v>
      </c>
      <c r="E91" s="59">
        <f>IF(VLOOKUP(Table311[[#This Row],[Date]],'DB Details'!$A:$Q,17)=0,"",VLOOKUP(Table311[[#This Row],[Date]],'DB Details'!$A:$Q,17))</f>
        <v>3.8184800216271693E-2</v>
      </c>
    </row>
    <row r="92" spans="1:5" x14ac:dyDescent="0.35">
      <c r="A92" s="58">
        <v>38231</v>
      </c>
      <c r="B92" s="48">
        <f>IF(VLOOKUP(Table311[[#This Row],[Date]],'DB Details'!$A:$Q,12)=0,"",VLOOKUP(Table311[[#This Row],[Date]],'DB Details'!$A:$Q,12))</f>
        <v>57.9</v>
      </c>
      <c r="C92" s="59">
        <f>IF(VLOOKUP(Table311[[#This Row],[Date]],'DB Details'!$A:$Q,16)=0,"",VLOOKUP(Table311[[#This Row],[Date]],'DB Details'!$A:$Q,16))</f>
        <v>3.4908340686507763E-2</v>
      </c>
      <c r="D92" s="59">
        <f>IF(VLOOKUP(Table311[[#This Row],[Date]],'DB Details'!$A:$Q,15)=0,"",VLOOKUP(Table311[[#This Row],[Date]],'DB Details'!$A:$Q,15))</f>
        <v>9.4124722465944513E-3</v>
      </c>
      <c r="E92" s="59">
        <f>IF(VLOOKUP(Table311[[#This Row],[Date]],'DB Details'!$A:$Q,17)=0,"",VLOOKUP(Table311[[#This Row],[Date]],'DB Details'!$A:$Q,17))</f>
        <v>3.8184800216271693E-2</v>
      </c>
    </row>
    <row r="93" spans="1:5" x14ac:dyDescent="0.35">
      <c r="A93" s="58">
        <v>38261</v>
      </c>
      <c r="B93" s="48">
        <f>IF(VLOOKUP(Table311[[#This Row],[Date]],'DB Details'!$A:$Q,12)=0,"",VLOOKUP(Table311[[#This Row],[Date]],'DB Details'!$A:$Q,12))</f>
        <v>58.8</v>
      </c>
      <c r="C93" s="59">
        <f>IF(VLOOKUP(Table311[[#This Row],[Date]],'DB Details'!$A:$Q,16)=0,"",VLOOKUP(Table311[[#This Row],[Date]],'DB Details'!$A:$Q,16))</f>
        <v>3.3557659164048917E-2</v>
      </c>
      <c r="D93" s="59">
        <f>IF(VLOOKUP(Table311[[#This Row],[Date]],'DB Details'!$A:$Q,15)=0,"",VLOOKUP(Table311[[#This Row],[Date]],'DB Details'!$A:$Q,15))</f>
        <v>1.0220273689720489E-2</v>
      </c>
      <c r="E93" s="59">
        <f>IF(VLOOKUP(Table311[[#This Row],[Date]],'DB Details'!$A:$Q,17)=0,"",VLOOKUP(Table311[[#This Row],[Date]],'DB Details'!$A:$Q,17))</f>
        <v>4.1512099828914462E-2</v>
      </c>
    </row>
    <row r="94" spans="1:5" x14ac:dyDescent="0.35">
      <c r="A94" s="58">
        <v>38292</v>
      </c>
      <c r="B94" s="48">
        <f>IF(VLOOKUP(Table311[[#This Row],[Date]],'DB Details'!$A:$Q,12)=0,"",VLOOKUP(Table311[[#This Row],[Date]],'DB Details'!$A:$Q,12))</f>
        <v>58.4</v>
      </c>
      <c r="C94" s="59">
        <f>IF(VLOOKUP(Table311[[#This Row],[Date]],'DB Details'!$A:$Q,16)=0,"",VLOOKUP(Table311[[#This Row],[Date]],'DB Details'!$A:$Q,16))</f>
        <v>3.3557659164048917E-2</v>
      </c>
      <c r="D94" s="59">
        <f>IF(VLOOKUP(Table311[[#This Row],[Date]],'DB Details'!$A:$Q,15)=0,"",VLOOKUP(Table311[[#This Row],[Date]],'DB Details'!$A:$Q,15))</f>
        <v>1.0220273689720489E-2</v>
      </c>
      <c r="E94" s="59">
        <f>IF(VLOOKUP(Table311[[#This Row],[Date]],'DB Details'!$A:$Q,17)=0,"",VLOOKUP(Table311[[#This Row],[Date]],'DB Details'!$A:$Q,17))</f>
        <v>4.1512099828914462E-2</v>
      </c>
    </row>
    <row r="95" spans="1:5" x14ac:dyDescent="0.35">
      <c r="A95" s="58">
        <v>38322</v>
      </c>
      <c r="B95" s="48">
        <f>IF(VLOOKUP(Table311[[#This Row],[Date]],'DB Details'!$A:$Q,12)=0,"",VLOOKUP(Table311[[#This Row],[Date]],'DB Details'!$A:$Q,12))</f>
        <v>59.6</v>
      </c>
      <c r="C95" s="59">
        <f>IF(VLOOKUP(Table311[[#This Row],[Date]],'DB Details'!$A:$Q,16)=0,"",VLOOKUP(Table311[[#This Row],[Date]],'DB Details'!$A:$Q,16))</f>
        <v>3.3557659164048917E-2</v>
      </c>
      <c r="D95" s="59">
        <f>IF(VLOOKUP(Table311[[#This Row],[Date]],'DB Details'!$A:$Q,15)=0,"",VLOOKUP(Table311[[#This Row],[Date]],'DB Details'!$A:$Q,15))</f>
        <v>1.0220273689720489E-2</v>
      </c>
      <c r="E95" s="59">
        <f>IF(VLOOKUP(Table311[[#This Row],[Date]],'DB Details'!$A:$Q,17)=0,"",VLOOKUP(Table311[[#This Row],[Date]],'DB Details'!$A:$Q,17))</f>
        <v>4.1512099828914462E-2</v>
      </c>
    </row>
    <row r="96" spans="1:5" x14ac:dyDescent="0.35">
      <c r="A96" s="58">
        <v>38353</v>
      </c>
      <c r="B96" s="48">
        <f>IF(VLOOKUP(Table311[[#This Row],[Date]],'DB Details'!$A:$Q,12)=0,"",VLOOKUP(Table311[[#This Row],[Date]],'DB Details'!$A:$Q,12))</f>
        <v>58</v>
      </c>
      <c r="C96" s="59">
        <f>IF(VLOOKUP(Table311[[#This Row],[Date]],'DB Details'!$A:$Q,16)=0,"",VLOOKUP(Table311[[#This Row],[Date]],'DB Details'!$A:$Q,16))</f>
        <v>3.9086174408999461E-2</v>
      </c>
      <c r="D96" s="59">
        <f>IF(VLOOKUP(Table311[[#This Row],[Date]],'DB Details'!$A:$Q,15)=0,"",VLOOKUP(Table311[[#This Row],[Date]],'DB Details'!$A:$Q,15))</f>
        <v>1.110882507696538E-2</v>
      </c>
      <c r="E96" s="59">
        <f>IF(VLOOKUP(Table311[[#This Row],[Date]],'DB Details'!$A:$Q,17)=0,"",VLOOKUP(Table311[[#This Row],[Date]],'DB Details'!$A:$Q,17))</f>
        <v>4.5181235086873883E-2</v>
      </c>
    </row>
    <row r="97" spans="1:5" x14ac:dyDescent="0.35">
      <c r="A97" s="58">
        <v>38384</v>
      </c>
      <c r="B97" s="48">
        <f>IF(VLOOKUP(Table311[[#This Row],[Date]],'DB Details'!$A:$Q,12)=0,"",VLOOKUP(Table311[[#This Row],[Date]],'DB Details'!$A:$Q,12))</f>
        <v>59.4</v>
      </c>
      <c r="C97" s="59">
        <f>IF(VLOOKUP(Table311[[#This Row],[Date]],'DB Details'!$A:$Q,16)=0,"",VLOOKUP(Table311[[#This Row],[Date]],'DB Details'!$A:$Q,16))</f>
        <v>3.9086174408999461E-2</v>
      </c>
      <c r="D97" s="59">
        <f>IF(VLOOKUP(Table311[[#This Row],[Date]],'DB Details'!$A:$Q,15)=0,"",VLOOKUP(Table311[[#This Row],[Date]],'DB Details'!$A:$Q,15))</f>
        <v>1.110882507696538E-2</v>
      </c>
      <c r="E97" s="59">
        <f>IF(VLOOKUP(Table311[[#This Row],[Date]],'DB Details'!$A:$Q,17)=0,"",VLOOKUP(Table311[[#This Row],[Date]],'DB Details'!$A:$Q,17))</f>
        <v>4.5181235086873883E-2</v>
      </c>
    </row>
    <row r="98" spans="1:5" x14ac:dyDescent="0.35">
      <c r="A98" s="58">
        <v>38412</v>
      </c>
      <c r="B98" s="48">
        <f>IF(VLOOKUP(Table311[[#This Row],[Date]],'DB Details'!$A:$Q,12)=0,"",VLOOKUP(Table311[[#This Row],[Date]],'DB Details'!$A:$Q,12))</f>
        <v>58</v>
      </c>
      <c r="C98" s="59">
        <f>IF(VLOOKUP(Table311[[#This Row],[Date]],'DB Details'!$A:$Q,16)=0,"",VLOOKUP(Table311[[#This Row],[Date]],'DB Details'!$A:$Q,16))</f>
        <v>3.9086174408999461E-2</v>
      </c>
      <c r="D98" s="59">
        <f>IF(VLOOKUP(Table311[[#This Row],[Date]],'DB Details'!$A:$Q,15)=0,"",VLOOKUP(Table311[[#This Row],[Date]],'DB Details'!$A:$Q,15))</f>
        <v>1.110882507696538E-2</v>
      </c>
      <c r="E98" s="59">
        <f>IF(VLOOKUP(Table311[[#This Row],[Date]],'DB Details'!$A:$Q,17)=0,"",VLOOKUP(Table311[[#This Row],[Date]],'DB Details'!$A:$Q,17))</f>
        <v>4.5181235086873883E-2</v>
      </c>
    </row>
    <row r="99" spans="1:5" x14ac:dyDescent="0.35">
      <c r="A99" s="58">
        <v>38443</v>
      </c>
      <c r="B99" s="48">
        <f>IF(VLOOKUP(Table311[[#This Row],[Date]],'DB Details'!$A:$Q,12)=0,"",VLOOKUP(Table311[[#This Row],[Date]],'DB Details'!$A:$Q,12))</f>
        <v>55.6</v>
      </c>
      <c r="C99" s="59">
        <f>IF(VLOOKUP(Table311[[#This Row],[Date]],'DB Details'!$A:$Q,16)=0,"",VLOOKUP(Table311[[#This Row],[Date]],'DB Details'!$A:$Q,16))</f>
        <v>3.6074103661260792E-2</v>
      </c>
      <c r="D99" s="59">
        <f>IF(VLOOKUP(Table311[[#This Row],[Date]],'DB Details'!$A:$Q,15)=0,"",VLOOKUP(Table311[[#This Row],[Date]],'DB Details'!$A:$Q,15))</f>
        <v>4.8660447840531912E-3</v>
      </c>
      <c r="E99" s="59">
        <f>IF(VLOOKUP(Table311[[#This Row],[Date]],'DB Details'!$A:$Q,17)=0,"",VLOOKUP(Table311[[#This Row],[Date]],'DB Details'!$A:$Q,17))</f>
        <v>1.9606710928381729E-2</v>
      </c>
    </row>
    <row r="100" spans="1:5" x14ac:dyDescent="0.35">
      <c r="A100" s="58">
        <v>38473</v>
      </c>
      <c r="B100" s="48">
        <f>IF(VLOOKUP(Table311[[#This Row],[Date]],'DB Details'!$A:$Q,12)=0,"",VLOOKUP(Table311[[#This Row],[Date]],'DB Details'!$A:$Q,12))</f>
        <v>55.3</v>
      </c>
      <c r="C100" s="59">
        <f>IF(VLOOKUP(Table311[[#This Row],[Date]],'DB Details'!$A:$Q,16)=0,"",VLOOKUP(Table311[[#This Row],[Date]],'DB Details'!$A:$Q,16))</f>
        <v>3.6074103661260792E-2</v>
      </c>
      <c r="D100" s="59">
        <f>IF(VLOOKUP(Table311[[#This Row],[Date]],'DB Details'!$A:$Q,15)=0,"",VLOOKUP(Table311[[#This Row],[Date]],'DB Details'!$A:$Q,15))</f>
        <v>4.8660447840531912E-3</v>
      </c>
      <c r="E100" s="59">
        <f>IF(VLOOKUP(Table311[[#This Row],[Date]],'DB Details'!$A:$Q,17)=0,"",VLOOKUP(Table311[[#This Row],[Date]],'DB Details'!$A:$Q,17))</f>
        <v>1.9606710928381729E-2</v>
      </c>
    </row>
    <row r="101" spans="1:5" x14ac:dyDescent="0.35">
      <c r="A101" s="58">
        <v>38504</v>
      </c>
      <c r="B101" s="48">
        <f>IF(VLOOKUP(Table311[[#This Row],[Date]],'DB Details'!$A:$Q,12)=0,"",VLOOKUP(Table311[[#This Row],[Date]],'DB Details'!$A:$Q,12))</f>
        <v>58.1</v>
      </c>
      <c r="C101" s="59">
        <f>IF(VLOOKUP(Table311[[#This Row],[Date]],'DB Details'!$A:$Q,16)=0,"",VLOOKUP(Table311[[#This Row],[Date]],'DB Details'!$A:$Q,16))</f>
        <v>3.6074103661260792E-2</v>
      </c>
      <c r="D101" s="59">
        <f>IF(VLOOKUP(Table311[[#This Row],[Date]],'DB Details'!$A:$Q,15)=0,"",VLOOKUP(Table311[[#This Row],[Date]],'DB Details'!$A:$Q,15))</f>
        <v>4.8660447840531912E-3</v>
      </c>
      <c r="E101" s="59">
        <f>IF(VLOOKUP(Table311[[#This Row],[Date]],'DB Details'!$A:$Q,17)=0,"",VLOOKUP(Table311[[#This Row],[Date]],'DB Details'!$A:$Q,17))</f>
        <v>1.9606710928381729E-2</v>
      </c>
    </row>
    <row r="102" spans="1:5" x14ac:dyDescent="0.35">
      <c r="A102" s="58">
        <v>38534</v>
      </c>
      <c r="B102" s="48">
        <f>IF(VLOOKUP(Table311[[#This Row],[Date]],'DB Details'!$A:$Q,12)=0,"",VLOOKUP(Table311[[#This Row],[Date]],'DB Details'!$A:$Q,12))</f>
        <v>59.5</v>
      </c>
      <c r="C102" s="59">
        <f>IF(VLOOKUP(Table311[[#This Row],[Date]],'DB Details'!$A:$Q,16)=0,"",VLOOKUP(Table311[[#This Row],[Date]],'DB Details'!$A:$Q,16))</f>
        <v>3.4476745891085119E-2</v>
      </c>
      <c r="D102" s="59">
        <f>IF(VLOOKUP(Table311[[#This Row],[Date]],'DB Details'!$A:$Q,15)=0,"",VLOOKUP(Table311[[#This Row],[Date]],'DB Details'!$A:$Q,15))</f>
        <v>7.8562198027224469E-3</v>
      </c>
      <c r="E102" s="59">
        <f>IF(VLOOKUP(Table311[[#This Row],[Date]],'DB Details'!$A:$Q,17)=0,"",VLOOKUP(Table311[[#This Row],[Date]],'DB Details'!$A:$Q,17))</f>
        <v>3.1797143707306803E-2</v>
      </c>
    </row>
    <row r="103" spans="1:5" x14ac:dyDescent="0.35">
      <c r="A103" s="58">
        <v>38565</v>
      </c>
      <c r="B103" s="48">
        <f>IF(VLOOKUP(Table311[[#This Row],[Date]],'DB Details'!$A:$Q,12)=0,"",VLOOKUP(Table311[[#This Row],[Date]],'DB Details'!$A:$Q,12))</f>
        <v>61.3</v>
      </c>
      <c r="C103" s="59">
        <f>IF(VLOOKUP(Table311[[#This Row],[Date]],'DB Details'!$A:$Q,16)=0,"",VLOOKUP(Table311[[#This Row],[Date]],'DB Details'!$A:$Q,16))</f>
        <v>3.4476745891085119E-2</v>
      </c>
      <c r="D103" s="59">
        <f>IF(VLOOKUP(Table311[[#This Row],[Date]],'DB Details'!$A:$Q,15)=0,"",VLOOKUP(Table311[[#This Row],[Date]],'DB Details'!$A:$Q,15))</f>
        <v>7.8562198027224469E-3</v>
      </c>
      <c r="E103" s="59">
        <f>IF(VLOOKUP(Table311[[#This Row],[Date]],'DB Details'!$A:$Q,17)=0,"",VLOOKUP(Table311[[#This Row],[Date]],'DB Details'!$A:$Q,17))</f>
        <v>3.1797143707306803E-2</v>
      </c>
    </row>
    <row r="104" spans="1:5" x14ac:dyDescent="0.35">
      <c r="A104" s="58">
        <v>38596</v>
      </c>
      <c r="B104" s="48">
        <f>IF(VLOOKUP(Table311[[#This Row],[Date]],'DB Details'!$A:$Q,12)=0,"",VLOOKUP(Table311[[#This Row],[Date]],'DB Details'!$A:$Q,12))</f>
        <v>55.7</v>
      </c>
      <c r="C104" s="59">
        <f>IF(VLOOKUP(Table311[[#This Row],[Date]],'DB Details'!$A:$Q,16)=0,"",VLOOKUP(Table311[[#This Row],[Date]],'DB Details'!$A:$Q,16))</f>
        <v>3.4476745891085119E-2</v>
      </c>
      <c r="D104" s="59">
        <f>IF(VLOOKUP(Table311[[#This Row],[Date]],'DB Details'!$A:$Q,15)=0,"",VLOOKUP(Table311[[#This Row],[Date]],'DB Details'!$A:$Q,15))</f>
        <v>7.8562198027224469E-3</v>
      </c>
      <c r="E104" s="59">
        <f>IF(VLOOKUP(Table311[[#This Row],[Date]],'DB Details'!$A:$Q,17)=0,"",VLOOKUP(Table311[[#This Row],[Date]],'DB Details'!$A:$Q,17))</f>
        <v>3.1797143707306803E-2</v>
      </c>
    </row>
    <row r="105" spans="1:5" x14ac:dyDescent="0.35">
      <c r="A105" s="58">
        <v>38626</v>
      </c>
      <c r="B105" s="48">
        <f>IF(VLOOKUP(Table311[[#This Row],[Date]],'DB Details'!$A:$Q,12)=0,"",VLOOKUP(Table311[[#This Row],[Date]],'DB Details'!$A:$Q,12))</f>
        <v>57.4</v>
      </c>
      <c r="C105" s="59">
        <f>IF(VLOOKUP(Table311[[#This Row],[Date]],'DB Details'!$A:$Q,16)=0,"",VLOOKUP(Table311[[#This Row],[Date]],'DB Details'!$A:$Q,16))</f>
        <v>2.9826720513611439E-2</v>
      </c>
      <c r="D105" s="59">
        <f>IF(VLOOKUP(Table311[[#This Row],[Date]],'DB Details'!$A:$Q,15)=0,"",VLOOKUP(Table311[[#This Row],[Date]],'DB Details'!$A:$Q,15))</f>
        <v>5.6792823835803089E-3</v>
      </c>
      <c r="E105" s="59">
        <f>IF(VLOOKUP(Table311[[#This Row],[Date]],'DB Details'!$A:$Q,17)=0,"",VLOOKUP(Table311[[#This Row],[Date]],'DB Details'!$A:$Q,17))</f>
        <v>2.2911388788951159E-2</v>
      </c>
    </row>
    <row r="106" spans="1:5" x14ac:dyDescent="0.35">
      <c r="A106" s="58">
        <v>38657</v>
      </c>
      <c r="B106" s="48">
        <f>IF(VLOOKUP(Table311[[#This Row],[Date]],'DB Details'!$A:$Q,12)=0,"",VLOOKUP(Table311[[#This Row],[Date]],'DB Details'!$A:$Q,12))</f>
        <v>59.1</v>
      </c>
      <c r="C106" s="59">
        <f>IF(VLOOKUP(Table311[[#This Row],[Date]],'DB Details'!$A:$Q,16)=0,"",VLOOKUP(Table311[[#This Row],[Date]],'DB Details'!$A:$Q,16))</f>
        <v>2.9826720513611439E-2</v>
      </c>
      <c r="D106" s="59">
        <f>IF(VLOOKUP(Table311[[#This Row],[Date]],'DB Details'!$A:$Q,15)=0,"",VLOOKUP(Table311[[#This Row],[Date]],'DB Details'!$A:$Q,15))</f>
        <v>5.6792823835803089E-3</v>
      </c>
      <c r="E106" s="59">
        <f>IF(VLOOKUP(Table311[[#This Row],[Date]],'DB Details'!$A:$Q,17)=0,"",VLOOKUP(Table311[[#This Row],[Date]],'DB Details'!$A:$Q,17))</f>
        <v>2.2911388788951159E-2</v>
      </c>
    </row>
    <row r="107" spans="1:5" x14ac:dyDescent="0.35">
      <c r="A107" s="58">
        <v>38687</v>
      </c>
      <c r="B107" s="48">
        <f>IF(VLOOKUP(Table311[[#This Row],[Date]],'DB Details'!$A:$Q,12)=0,"",VLOOKUP(Table311[[#This Row],[Date]],'DB Details'!$A:$Q,12))</f>
        <v>59</v>
      </c>
      <c r="C107" s="59">
        <f>IF(VLOOKUP(Table311[[#This Row],[Date]],'DB Details'!$A:$Q,16)=0,"",VLOOKUP(Table311[[#This Row],[Date]],'DB Details'!$A:$Q,16))</f>
        <v>2.9826720513611439E-2</v>
      </c>
      <c r="D107" s="59">
        <f>IF(VLOOKUP(Table311[[#This Row],[Date]],'DB Details'!$A:$Q,15)=0,"",VLOOKUP(Table311[[#This Row],[Date]],'DB Details'!$A:$Q,15))</f>
        <v>5.6792823835803089E-3</v>
      </c>
      <c r="E107" s="59">
        <f>IF(VLOOKUP(Table311[[#This Row],[Date]],'DB Details'!$A:$Q,17)=0,"",VLOOKUP(Table311[[#This Row],[Date]],'DB Details'!$A:$Q,17))</f>
        <v>2.2911388788951159E-2</v>
      </c>
    </row>
    <row r="108" spans="1:5" x14ac:dyDescent="0.35">
      <c r="A108" s="58">
        <v>38718</v>
      </c>
      <c r="B108" s="48">
        <f>IF(VLOOKUP(Table311[[#This Row],[Date]],'DB Details'!$A:$Q,12)=0,"",VLOOKUP(Table311[[#This Row],[Date]],'DB Details'!$A:$Q,12))</f>
        <v>56.3</v>
      </c>
      <c r="C108" s="59">
        <f>IF(VLOOKUP(Table311[[#This Row],[Date]],'DB Details'!$A:$Q,16)=0,"",VLOOKUP(Table311[[#This Row],[Date]],'DB Details'!$A:$Q,16))</f>
        <v>3.2248575723230061E-2</v>
      </c>
      <c r="D108" s="59">
        <f>IF(VLOOKUP(Table311[[#This Row],[Date]],'DB Details'!$A:$Q,15)=0,"",VLOOKUP(Table311[[#This Row],[Date]],'DB Details'!$A:$Q,15))</f>
        <v>1.3486661199029431E-2</v>
      </c>
      <c r="E108" s="59">
        <f>IF(VLOOKUP(Table311[[#This Row],[Date]],'DB Details'!$A:$Q,17)=0,"",VLOOKUP(Table311[[#This Row],[Date]],'DB Details'!$A:$Q,17))</f>
        <v>5.5047830418741617E-2</v>
      </c>
    </row>
    <row r="109" spans="1:5" x14ac:dyDescent="0.35">
      <c r="A109" s="58">
        <v>38749</v>
      </c>
      <c r="B109" s="48">
        <f>IF(VLOOKUP(Table311[[#This Row],[Date]],'DB Details'!$A:$Q,12)=0,"",VLOOKUP(Table311[[#This Row],[Date]],'DB Details'!$A:$Q,12))</f>
        <v>57.6</v>
      </c>
      <c r="C109" s="59">
        <f>IF(VLOOKUP(Table311[[#This Row],[Date]],'DB Details'!$A:$Q,16)=0,"",VLOOKUP(Table311[[#This Row],[Date]],'DB Details'!$A:$Q,16))</f>
        <v>3.2248575723230061E-2</v>
      </c>
      <c r="D109" s="59">
        <f>IF(VLOOKUP(Table311[[#This Row],[Date]],'DB Details'!$A:$Q,15)=0,"",VLOOKUP(Table311[[#This Row],[Date]],'DB Details'!$A:$Q,15))</f>
        <v>1.3486661199029431E-2</v>
      </c>
      <c r="E109" s="59">
        <f>IF(VLOOKUP(Table311[[#This Row],[Date]],'DB Details'!$A:$Q,17)=0,"",VLOOKUP(Table311[[#This Row],[Date]],'DB Details'!$A:$Q,17))</f>
        <v>5.5047830418741617E-2</v>
      </c>
    </row>
    <row r="110" spans="1:5" x14ac:dyDescent="0.35">
      <c r="A110" s="58">
        <v>38777</v>
      </c>
      <c r="B110" s="48">
        <f>IF(VLOOKUP(Table311[[#This Row],[Date]],'DB Details'!$A:$Q,12)=0,"",VLOOKUP(Table311[[#This Row],[Date]],'DB Details'!$A:$Q,12))</f>
        <v>56.9</v>
      </c>
      <c r="C110" s="59">
        <f>IF(VLOOKUP(Table311[[#This Row],[Date]],'DB Details'!$A:$Q,16)=0,"",VLOOKUP(Table311[[#This Row],[Date]],'DB Details'!$A:$Q,16))</f>
        <v>3.2248575723230061E-2</v>
      </c>
      <c r="D110" s="59">
        <f>IF(VLOOKUP(Table311[[#This Row],[Date]],'DB Details'!$A:$Q,15)=0,"",VLOOKUP(Table311[[#This Row],[Date]],'DB Details'!$A:$Q,15))</f>
        <v>1.3486661199029431E-2</v>
      </c>
      <c r="E110" s="59">
        <f>IF(VLOOKUP(Table311[[#This Row],[Date]],'DB Details'!$A:$Q,17)=0,"",VLOOKUP(Table311[[#This Row],[Date]],'DB Details'!$A:$Q,17))</f>
        <v>5.5047830418741617E-2</v>
      </c>
    </row>
    <row r="111" spans="1:5" x14ac:dyDescent="0.35">
      <c r="A111" s="58">
        <v>38808</v>
      </c>
      <c r="B111" s="48">
        <f>IF(VLOOKUP(Table311[[#This Row],[Date]],'DB Details'!$A:$Q,12)=0,"",VLOOKUP(Table311[[#This Row],[Date]],'DB Details'!$A:$Q,12))</f>
        <v>58.4</v>
      </c>
      <c r="C111" s="59">
        <f>IF(VLOOKUP(Table311[[#This Row],[Date]],'DB Details'!$A:$Q,16)=0,"",VLOOKUP(Table311[[#This Row],[Date]],'DB Details'!$A:$Q,16))</f>
        <v>2.977269025594638E-2</v>
      </c>
      <c r="D111" s="59">
        <f>IF(VLOOKUP(Table311[[#This Row],[Date]],'DB Details'!$A:$Q,15)=0,"",VLOOKUP(Table311[[#This Row],[Date]],'DB Details'!$A:$Q,15))</f>
        <v>2.4558373055836402E-3</v>
      </c>
      <c r="E111" s="59">
        <f>IF(VLOOKUP(Table311[[#This Row],[Date]],'DB Details'!$A:$Q,17)=0,"",VLOOKUP(Table311[[#This Row],[Date]],'DB Details'!$A:$Q,17))</f>
        <v>9.8595953259017488E-3</v>
      </c>
    </row>
    <row r="112" spans="1:5" x14ac:dyDescent="0.35">
      <c r="A112" s="58">
        <v>38838</v>
      </c>
      <c r="B112" s="48">
        <f>IF(VLOOKUP(Table311[[#This Row],[Date]],'DB Details'!$A:$Q,12)=0,"",VLOOKUP(Table311[[#This Row],[Date]],'DB Details'!$A:$Q,12))</f>
        <v>57</v>
      </c>
      <c r="C112" s="59">
        <f>IF(VLOOKUP(Table311[[#This Row],[Date]],'DB Details'!$A:$Q,16)=0,"",VLOOKUP(Table311[[#This Row],[Date]],'DB Details'!$A:$Q,16))</f>
        <v>2.977269025594638E-2</v>
      </c>
      <c r="D112" s="59">
        <f>IF(VLOOKUP(Table311[[#This Row],[Date]],'DB Details'!$A:$Q,15)=0,"",VLOOKUP(Table311[[#This Row],[Date]],'DB Details'!$A:$Q,15))</f>
        <v>2.4558373055836402E-3</v>
      </c>
      <c r="E112" s="59">
        <f>IF(VLOOKUP(Table311[[#This Row],[Date]],'DB Details'!$A:$Q,17)=0,"",VLOOKUP(Table311[[#This Row],[Date]],'DB Details'!$A:$Q,17))</f>
        <v>9.8595953259017488E-3</v>
      </c>
    </row>
    <row r="113" spans="1:5" x14ac:dyDescent="0.35">
      <c r="A113" s="58">
        <v>38869</v>
      </c>
      <c r="B113" s="48">
        <f>IF(VLOOKUP(Table311[[#This Row],[Date]],'DB Details'!$A:$Q,12)=0,"",VLOOKUP(Table311[[#This Row],[Date]],'DB Details'!$A:$Q,12))</f>
        <v>55.2</v>
      </c>
      <c r="C113" s="59">
        <f>IF(VLOOKUP(Table311[[#This Row],[Date]],'DB Details'!$A:$Q,16)=0,"",VLOOKUP(Table311[[#This Row],[Date]],'DB Details'!$A:$Q,16))</f>
        <v>2.977269025594638E-2</v>
      </c>
      <c r="D113" s="59">
        <f>IF(VLOOKUP(Table311[[#This Row],[Date]],'DB Details'!$A:$Q,15)=0,"",VLOOKUP(Table311[[#This Row],[Date]],'DB Details'!$A:$Q,15))</f>
        <v>2.4558373055836402E-3</v>
      </c>
      <c r="E113" s="59">
        <f>IF(VLOOKUP(Table311[[#This Row],[Date]],'DB Details'!$A:$Q,17)=0,"",VLOOKUP(Table311[[#This Row],[Date]],'DB Details'!$A:$Q,17))</f>
        <v>9.8595953259017488E-3</v>
      </c>
    </row>
    <row r="114" spans="1:5" x14ac:dyDescent="0.35">
      <c r="A114" s="58">
        <v>38899</v>
      </c>
      <c r="B114" s="48">
        <f>IF(VLOOKUP(Table311[[#This Row],[Date]],'DB Details'!$A:$Q,12)=0,"",VLOOKUP(Table311[[#This Row],[Date]],'DB Details'!$A:$Q,12))</f>
        <v>55.6</v>
      </c>
      <c r="C114" s="59">
        <f>IF(VLOOKUP(Table311[[#This Row],[Date]],'DB Details'!$A:$Q,16)=0,"",VLOOKUP(Table311[[#This Row],[Date]],'DB Details'!$A:$Q,16))</f>
        <v>2.328291151863791E-2</v>
      </c>
      <c r="D114" s="59">
        <f>IF(VLOOKUP(Table311[[#This Row],[Date]],'DB Details'!$A:$Q,15)=0,"",VLOOKUP(Table311[[#This Row],[Date]],'DB Details'!$A:$Q,15))</f>
        <v>1.5045618810949951E-3</v>
      </c>
      <c r="E114" s="59">
        <f>IF(VLOOKUP(Table311[[#This Row],[Date]],'DB Details'!$A:$Q,17)=0,"",VLOOKUP(Table311[[#This Row],[Date]],'DB Details'!$A:$Q,17))</f>
        <v>6.0318433917740943E-3</v>
      </c>
    </row>
    <row r="115" spans="1:5" x14ac:dyDescent="0.35">
      <c r="A115" s="58">
        <v>38930</v>
      </c>
      <c r="B115" s="48">
        <f>IF(VLOOKUP(Table311[[#This Row],[Date]],'DB Details'!$A:$Q,12)=0,"",VLOOKUP(Table311[[#This Row],[Date]],'DB Details'!$A:$Q,12))</f>
        <v>53.9</v>
      </c>
      <c r="C115" s="59">
        <f>IF(VLOOKUP(Table311[[#This Row],[Date]],'DB Details'!$A:$Q,16)=0,"",VLOOKUP(Table311[[#This Row],[Date]],'DB Details'!$A:$Q,16))</f>
        <v>2.328291151863791E-2</v>
      </c>
      <c r="D115" s="59">
        <f>IF(VLOOKUP(Table311[[#This Row],[Date]],'DB Details'!$A:$Q,15)=0,"",VLOOKUP(Table311[[#This Row],[Date]],'DB Details'!$A:$Q,15))</f>
        <v>1.5045618810949951E-3</v>
      </c>
      <c r="E115" s="59">
        <f>IF(VLOOKUP(Table311[[#This Row],[Date]],'DB Details'!$A:$Q,17)=0,"",VLOOKUP(Table311[[#This Row],[Date]],'DB Details'!$A:$Q,17))</f>
        <v>6.0318433917740943E-3</v>
      </c>
    </row>
    <row r="116" spans="1:5" x14ac:dyDescent="0.35">
      <c r="A116" s="58">
        <v>38961</v>
      </c>
      <c r="B116" s="48">
        <f>IF(VLOOKUP(Table311[[#This Row],[Date]],'DB Details'!$A:$Q,12)=0,"",VLOOKUP(Table311[[#This Row],[Date]],'DB Details'!$A:$Q,12))</f>
        <v>54.5</v>
      </c>
      <c r="C116" s="59">
        <f>IF(VLOOKUP(Table311[[#This Row],[Date]],'DB Details'!$A:$Q,16)=0,"",VLOOKUP(Table311[[#This Row],[Date]],'DB Details'!$A:$Q,16))</f>
        <v>2.328291151863791E-2</v>
      </c>
      <c r="D116" s="59">
        <f>IF(VLOOKUP(Table311[[#This Row],[Date]],'DB Details'!$A:$Q,15)=0,"",VLOOKUP(Table311[[#This Row],[Date]],'DB Details'!$A:$Q,15))</f>
        <v>1.5045618810949951E-3</v>
      </c>
      <c r="E116" s="59">
        <f>IF(VLOOKUP(Table311[[#This Row],[Date]],'DB Details'!$A:$Q,17)=0,"",VLOOKUP(Table311[[#This Row],[Date]],'DB Details'!$A:$Q,17))</f>
        <v>6.0318433917740943E-3</v>
      </c>
    </row>
    <row r="117" spans="1:5" x14ac:dyDescent="0.35">
      <c r="A117" s="58">
        <v>38991</v>
      </c>
      <c r="B117" s="48">
        <f>IF(VLOOKUP(Table311[[#This Row],[Date]],'DB Details'!$A:$Q,12)=0,"",VLOOKUP(Table311[[#This Row],[Date]],'DB Details'!$A:$Q,12))</f>
        <v>54.9</v>
      </c>
      <c r="C117" s="59">
        <f>IF(VLOOKUP(Table311[[#This Row],[Date]],'DB Details'!$A:$Q,16)=0,"",VLOOKUP(Table311[[#This Row],[Date]],'DB Details'!$A:$Q,16))</f>
        <v>2.6089019835609219E-2</v>
      </c>
      <c r="D117" s="59">
        <f>IF(VLOOKUP(Table311[[#This Row],[Date]],'DB Details'!$A:$Q,15)=0,"",VLOOKUP(Table311[[#This Row],[Date]],'DB Details'!$A:$Q,15))</f>
        <v>8.4371169635735783E-3</v>
      </c>
      <c r="E117" s="59">
        <f>IF(VLOOKUP(Table311[[#This Row],[Date]],'DB Details'!$A:$Q,17)=0,"",VLOOKUP(Table311[[#This Row],[Date]],'DB Details'!$A:$Q,17))</f>
        <v>3.4177984960281238E-2</v>
      </c>
    </row>
    <row r="118" spans="1:5" x14ac:dyDescent="0.35">
      <c r="A118" s="58">
        <v>39022</v>
      </c>
      <c r="B118" s="48">
        <f>IF(VLOOKUP(Table311[[#This Row],[Date]],'DB Details'!$A:$Q,12)=0,"",VLOOKUP(Table311[[#This Row],[Date]],'DB Details'!$A:$Q,12))</f>
        <v>54.5</v>
      </c>
      <c r="C118" s="59">
        <f>IF(VLOOKUP(Table311[[#This Row],[Date]],'DB Details'!$A:$Q,16)=0,"",VLOOKUP(Table311[[#This Row],[Date]],'DB Details'!$A:$Q,16))</f>
        <v>2.6089019835609219E-2</v>
      </c>
      <c r="D118" s="59">
        <f>IF(VLOOKUP(Table311[[#This Row],[Date]],'DB Details'!$A:$Q,15)=0,"",VLOOKUP(Table311[[#This Row],[Date]],'DB Details'!$A:$Q,15))</f>
        <v>8.4371169635735783E-3</v>
      </c>
      <c r="E118" s="59">
        <f>IF(VLOOKUP(Table311[[#This Row],[Date]],'DB Details'!$A:$Q,17)=0,"",VLOOKUP(Table311[[#This Row],[Date]],'DB Details'!$A:$Q,17))</f>
        <v>3.4177984960281238E-2</v>
      </c>
    </row>
    <row r="119" spans="1:5" x14ac:dyDescent="0.35">
      <c r="A119" s="58">
        <v>39052</v>
      </c>
      <c r="B119" s="48">
        <f>IF(VLOOKUP(Table311[[#This Row],[Date]],'DB Details'!$A:$Q,12)=0,"",VLOOKUP(Table311[[#This Row],[Date]],'DB Details'!$A:$Q,12))</f>
        <v>53.7</v>
      </c>
      <c r="C119" s="59">
        <f>IF(VLOOKUP(Table311[[#This Row],[Date]],'DB Details'!$A:$Q,16)=0,"",VLOOKUP(Table311[[#This Row],[Date]],'DB Details'!$A:$Q,16))</f>
        <v>2.6089019835609219E-2</v>
      </c>
      <c r="D119" s="59">
        <f>IF(VLOOKUP(Table311[[#This Row],[Date]],'DB Details'!$A:$Q,15)=0,"",VLOOKUP(Table311[[#This Row],[Date]],'DB Details'!$A:$Q,15))</f>
        <v>8.4371169635735783E-3</v>
      </c>
      <c r="E119" s="59">
        <f>IF(VLOOKUP(Table311[[#This Row],[Date]],'DB Details'!$A:$Q,17)=0,"",VLOOKUP(Table311[[#This Row],[Date]],'DB Details'!$A:$Q,17))</f>
        <v>3.4177984960281238E-2</v>
      </c>
    </row>
    <row r="120" spans="1:5" x14ac:dyDescent="0.35">
      <c r="A120" s="58">
        <v>39083</v>
      </c>
      <c r="B120" s="48">
        <f>IF(VLOOKUP(Table311[[#This Row],[Date]],'DB Details'!$A:$Q,12)=0,"",VLOOKUP(Table311[[#This Row],[Date]],'DB Details'!$A:$Q,12))</f>
        <v>55.4</v>
      </c>
      <c r="C120" s="59">
        <f>IF(VLOOKUP(Table311[[#This Row],[Date]],'DB Details'!$A:$Q,16)=0,"",VLOOKUP(Table311[[#This Row],[Date]],'DB Details'!$A:$Q,16))</f>
        <v>1.540715325180492E-2</v>
      </c>
      <c r="D120" s="59">
        <f>IF(VLOOKUP(Table311[[#This Row],[Date]],'DB Details'!$A:$Q,15)=0,"",VLOOKUP(Table311[[#This Row],[Date]],'DB Details'!$A:$Q,15))</f>
        <v>2.9359886061897439E-3</v>
      </c>
      <c r="E120" s="59">
        <f>IF(VLOOKUP(Table311[[#This Row],[Date]],'DB Details'!$A:$Q,17)=0,"",VLOOKUP(Table311[[#This Row],[Date]],'DB Details'!$A:$Q,17))</f>
        <v>1.1795775906866529E-2</v>
      </c>
    </row>
    <row r="121" spans="1:5" x14ac:dyDescent="0.35">
      <c r="A121" s="58">
        <v>39114</v>
      </c>
      <c r="B121" s="48">
        <f>IF(VLOOKUP(Table311[[#This Row],[Date]],'DB Details'!$A:$Q,12)=0,"",VLOOKUP(Table311[[#This Row],[Date]],'DB Details'!$A:$Q,12))</f>
        <v>54.2</v>
      </c>
      <c r="C121" s="59">
        <f>IF(VLOOKUP(Table311[[#This Row],[Date]],'DB Details'!$A:$Q,16)=0,"",VLOOKUP(Table311[[#This Row],[Date]],'DB Details'!$A:$Q,16))</f>
        <v>1.540715325180492E-2</v>
      </c>
      <c r="D121" s="59">
        <f>IF(VLOOKUP(Table311[[#This Row],[Date]],'DB Details'!$A:$Q,15)=0,"",VLOOKUP(Table311[[#This Row],[Date]],'DB Details'!$A:$Q,15))</f>
        <v>2.9359886061897439E-3</v>
      </c>
      <c r="E121" s="59">
        <f>IF(VLOOKUP(Table311[[#This Row],[Date]],'DB Details'!$A:$Q,17)=0,"",VLOOKUP(Table311[[#This Row],[Date]],'DB Details'!$A:$Q,17))</f>
        <v>1.1795775906866529E-2</v>
      </c>
    </row>
    <row r="122" spans="1:5" x14ac:dyDescent="0.35">
      <c r="A122" s="58">
        <v>39142</v>
      </c>
      <c r="B122" s="48">
        <f>IF(VLOOKUP(Table311[[#This Row],[Date]],'DB Details'!$A:$Q,12)=0,"",VLOOKUP(Table311[[#This Row],[Date]],'DB Details'!$A:$Q,12))</f>
        <v>52.1</v>
      </c>
      <c r="C122" s="59">
        <f>IF(VLOOKUP(Table311[[#This Row],[Date]],'DB Details'!$A:$Q,16)=0,"",VLOOKUP(Table311[[#This Row],[Date]],'DB Details'!$A:$Q,16))</f>
        <v>1.540715325180492E-2</v>
      </c>
      <c r="D122" s="59">
        <f>IF(VLOOKUP(Table311[[#This Row],[Date]],'DB Details'!$A:$Q,15)=0,"",VLOOKUP(Table311[[#This Row],[Date]],'DB Details'!$A:$Q,15))</f>
        <v>2.9359886061897439E-3</v>
      </c>
      <c r="E122" s="59">
        <f>IF(VLOOKUP(Table311[[#This Row],[Date]],'DB Details'!$A:$Q,17)=0,"",VLOOKUP(Table311[[#This Row],[Date]],'DB Details'!$A:$Q,17))</f>
        <v>1.1795775906866529E-2</v>
      </c>
    </row>
    <row r="123" spans="1:5" x14ac:dyDescent="0.35">
      <c r="A123" s="58">
        <v>39173</v>
      </c>
      <c r="B123" s="48">
        <f>IF(VLOOKUP(Table311[[#This Row],[Date]],'DB Details'!$A:$Q,12)=0,"",VLOOKUP(Table311[[#This Row],[Date]],'DB Details'!$A:$Q,12))</f>
        <v>53.4</v>
      </c>
      <c r="C123" s="59">
        <f>IF(VLOOKUP(Table311[[#This Row],[Date]],'DB Details'!$A:$Q,16)=0,"",VLOOKUP(Table311[[#This Row],[Date]],'DB Details'!$A:$Q,16))</f>
        <v>1.938641594997887E-2</v>
      </c>
      <c r="D123" s="59">
        <f>IF(VLOOKUP(Table311[[#This Row],[Date]],'DB Details'!$A:$Q,15)=0,"",VLOOKUP(Table311[[#This Row],[Date]],'DB Details'!$A:$Q,15))</f>
        <v>6.3843453008071297E-3</v>
      </c>
      <c r="E123" s="59">
        <f>IF(VLOOKUP(Table311[[#This Row],[Date]],'DB Details'!$A:$Q,17)=0,"",VLOOKUP(Table311[[#This Row],[Date]],'DB Details'!$A:$Q,17))</f>
        <v>2.578298295432346E-2</v>
      </c>
    </row>
    <row r="124" spans="1:5" x14ac:dyDescent="0.35">
      <c r="A124" s="58">
        <v>39203</v>
      </c>
      <c r="B124" s="48">
        <f>IF(VLOOKUP(Table311[[#This Row],[Date]],'DB Details'!$A:$Q,12)=0,"",VLOOKUP(Table311[[#This Row],[Date]],'DB Details'!$A:$Q,12))</f>
        <v>54.3</v>
      </c>
      <c r="C124" s="59">
        <f>IF(VLOOKUP(Table311[[#This Row],[Date]],'DB Details'!$A:$Q,16)=0,"",VLOOKUP(Table311[[#This Row],[Date]],'DB Details'!$A:$Q,16))</f>
        <v>1.938641594997887E-2</v>
      </c>
      <c r="D124" s="59">
        <f>IF(VLOOKUP(Table311[[#This Row],[Date]],'DB Details'!$A:$Q,15)=0,"",VLOOKUP(Table311[[#This Row],[Date]],'DB Details'!$A:$Q,15))</f>
        <v>6.3843453008071297E-3</v>
      </c>
      <c r="E124" s="59">
        <f>IF(VLOOKUP(Table311[[#This Row],[Date]],'DB Details'!$A:$Q,17)=0,"",VLOOKUP(Table311[[#This Row],[Date]],'DB Details'!$A:$Q,17))</f>
        <v>2.578298295432346E-2</v>
      </c>
    </row>
    <row r="125" spans="1:5" x14ac:dyDescent="0.35">
      <c r="A125" s="58">
        <v>39234</v>
      </c>
      <c r="B125" s="48">
        <f>IF(VLOOKUP(Table311[[#This Row],[Date]],'DB Details'!$A:$Q,12)=0,"",VLOOKUP(Table311[[#This Row],[Date]],'DB Details'!$A:$Q,12))</f>
        <v>54.9</v>
      </c>
      <c r="C125" s="59">
        <f>IF(VLOOKUP(Table311[[#This Row],[Date]],'DB Details'!$A:$Q,16)=0,"",VLOOKUP(Table311[[#This Row],[Date]],'DB Details'!$A:$Q,16))</f>
        <v>1.938641594997887E-2</v>
      </c>
      <c r="D125" s="59">
        <f>IF(VLOOKUP(Table311[[#This Row],[Date]],'DB Details'!$A:$Q,15)=0,"",VLOOKUP(Table311[[#This Row],[Date]],'DB Details'!$A:$Q,15))</f>
        <v>6.3843453008071297E-3</v>
      </c>
      <c r="E125" s="59">
        <f>IF(VLOOKUP(Table311[[#This Row],[Date]],'DB Details'!$A:$Q,17)=0,"",VLOOKUP(Table311[[#This Row],[Date]],'DB Details'!$A:$Q,17))</f>
        <v>2.578298295432346E-2</v>
      </c>
    </row>
    <row r="126" spans="1:5" x14ac:dyDescent="0.35">
      <c r="A126" s="58">
        <v>39264</v>
      </c>
      <c r="B126" s="48">
        <f>IF(VLOOKUP(Table311[[#This Row],[Date]],'DB Details'!$A:$Q,12)=0,"",VLOOKUP(Table311[[#This Row],[Date]],'DB Details'!$A:$Q,12))</f>
        <v>53.6</v>
      </c>
      <c r="C126" s="59">
        <f>IF(VLOOKUP(Table311[[#This Row],[Date]],'DB Details'!$A:$Q,16)=0,"",VLOOKUP(Table311[[#This Row],[Date]],'DB Details'!$A:$Q,16))</f>
        <v>2.3985598500102932E-2</v>
      </c>
      <c r="D126" s="59">
        <f>IF(VLOOKUP(Table311[[#This Row],[Date]],'DB Details'!$A:$Q,15)=0,"",VLOOKUP(Table311[[#This Row],[Date]],'DB Details'!$A:$Q,15))</f>
        <v>6.0230665745096982E-3</v>
      </c>
      <c r="E126" s="59">
        <f>IF(VLOOKUP(Table311[[#This Row],[Date]],'DB Details'!$A:$Q,17)=0,"",VLOOKUP(Table311[[#This Row],[Date]],'DB Details'!$A:$Q,17))</f>
        <v>2.4310805602967941E-2</v>
      </c>
    </row>
    <row r="127" spans="1:5" x14ac:dyDescent="0.35">
      <c r="A127" s="58">
        <v>39295</v>
      </c>
      <c r="B127" s="48">
        <f>IF(VLOOKUP(Table311[[#This Row],[Date]],'DB Details'!$A:$Q,12)=0,"",VLOOKUP(Table311[[#This Row],[Date]],'DB Details'!$A:$Q,12))</f>
        <v>52.7</v>
      </c>
      <c r="C127" s="59">
        <f>IF(VLOOKUP(Table311[[#This Row],[Date]],'DB Details'!$A:$Q,16)=0,"",VLOOKUP(Table311[[#This Row],[Date]],'DB Details'!$A:$Q,16))</f>
        <v>2.3985598500102932E-2</v>
      </c>
      <c r="D127" s="59">
        <f>IF(VLOOKUP(Table311[[#This Row],[Date]],'DB Details'!$A:$Q,15)=0,"",VLOOKUP(Table311[[#This Row],[Date]],'DB Details'!$A:$Q,15))</f>
        <v>6.0230665745096982E-3</v>
      </c>
      <c r="E127" s="59">
        <f>IF(VLOOKUP(Table311[[#This Row],[Date]],'DB Details'!$A:$Q,17)=0,"",VLOOKUP(Table311[[#This Row],[Date]],'DB Details'!$A:$Q,17))</f>
        <v>2.4310805602967941E-2</v>
      </c>
    </row>
    <row r="128" spans="1:5" x14ac:dyDescent="0.35">
      <c r="A128" s="58">
        <v>39326</v>
      </c>
      <c r="B128" s="48">
        <f>IF(VLOOKUP(Table311[[#This Row],[Date]],'DB Details'!$A:$Q,12)=0,"",VLOOKUP(Table311[[#This Row],[Date]],'DB Details'!$A:$Q,12))</f>
        <v>52.6</v>
      </c>
      <c r="C128" s="59">
        <f>IF(VLOOKUP(Table311[[#This Row],[Date]],'DB Details'!$A:$Q,16)=0,"",VLOOKUP(Table311[[#This Row],[Date]],'DB Details'!$A:$Q,16))</f>
        <v>2.3985598500102932E-2</v>
      </c>
      <c r="D128" s="59">
        <f>IF(VLOOKUP(Table311[[#This Row],[Date]],'DB Details'!$A:$Q,15)=0,"",VLOOKUP(Table311[[#This Row],[Date]],'DB Details'!$A:$Q,15))</f>
        <v>6.0230665745096982E-3</v>
      </c>
      <c r="E128" s="59">
        <f>IF(VLOOKUP(Table311[[#This Row],[Date]],'DB Details'!$A:$Q,17)=0,"",VLOOKUP(Table311[[#This Row],[Date]],'DB Details'!$A:$Q,17))</f>
        <v>2.4310805602967941E-2</v>
      </c>
    </row>
    <row r="129" spans="1:5" x14ac:dyDescent="0.35">
      <c r="A129" s="58">
        <v>39356</v>
      </c>
      <c r="B129" s="48">
        <f>IF(VLOOKUP(Table311[[#This Row],[Date]],'DB Details'!$A:$Q,12)=0,"",VLOOKUP(Table311[[#This Row],[Date]],'DB Details'!$A:$Q,12))</f>
        <v>53.6</v>
      </c>
      <c r="C129" s="59">
        <f>IF(VLOOKUP(Table311[[#This Row],[Date]],'DB Details'!$A:$Q,16)=0,"",VLOOKUP(Table311[[#This Row],[Date]],'DB Details'!$A:$Q,16))</f>
        <v>2.1608832081965391E-2</v>
      </c>
      <c r="D129" s="59">
        <f>IF(VLOOKUP(Table311[[#This Row],[Date]],'DB Details'!$A:$Q,15)=0,"",VLOOKUP(Table311[[#This Row],[Date]],'DB Details'!$A:$Q,15))</f>
        <v>6.0964400264045121E-3</v>
      </c>
      <c r="E129" s="59">
        <f>IF(VLOOKUP(Table311[[#This Row],[Date]],'DB Details'!$A:$Q,17)=0,"",VLOOKUP(Table311[[#This Row],[Date]],'DB Details'!$A:$Q,17))</f>
        <v>2.46096673082743E-2</v>
      </c>
    </row>
    <row r="130" spans="1:5" x14ac:dyDescent="0.35">
      <c r="A130" s="58">
        <v>39387</v>
      </c>
      <c r="B130" s="48">
        <f>IF(VLOOKUP(Table311[[#This Row],[Date]],'DB Details'!$A:$Q,12)=0,"",VLOOKUP(Table311[[#This Row],[Date]],'DB Details'!$A:$Q,12))</f>
        <v>52.8</v>
      </c>
      <c r="C130" s="59">
        <f>IF(VLOOKUP(Table311[[#This Row],[Date]],'DB Details'!$A:$Q,16)=0,"",VLOOKUP(Table311[[#This Row],[Date]],'DB Details'!$A:$Q,16))</f>
        <v>2.1608832081965391E-2</v>
      </c>
      <c r="D130" s="59">
        <f>IF(VLOOKUP(Table311[[#This Row],[Date]],'DB Details'!$A:$Q,15)=0,"",VLOOKUP(Table311[[#This Row],[Date]],'DB Details'!$A:$Q,15))</f>
        <v>6.0964400264045121E-3</v>
      </c>
      <c r="E130" s="59">
        <f>IF(VLOOKUP(Table311[[#This Row],[Date]],'DB Details'!$A:$Q,17)=0,"",VLOOKUP(Table311[[#This Row],[Date]],'DB Details'!$A:$Q,17))</f>
        <v>2.46096673082743E-2</v>
      </c>
    </row>
    <row r="131" spans="1:5" x14ac:dyDescent="0.35">
      <c r="A131" s="58">
        <v>39417</v>
      </c>
      <c r="B131" s="48">
        <f>IF(VLOOKUP(Table311[[#This Row],[Date]],'DB Details'!$A:$Q,12)=0,"",VLOOKUP(Table311[[#This Row],[Date]],'DB Details'!$A:$Q,12))</f>
        <v>52.5</v>
      </c>
      <c r="C131" s="59">
        <f>IF(VLOOKUP(Table311[[#This Row],[Date]],'DB Details'!$A:$Q,16)=0,"",VLOOKUP(Table311[[#This Row],[Date]],'DB Details'!$A:$Q,16))</f>
        <v>2.1608832081965391E-2</v>
      </c>
      <c r="D131" s="59">
        <f>IF(VLOOKUP(Table311[[#This Row],[Date]],'DB Details'!$A:$Q,15)=0,"",VLOOKUP(Table311[[#This Row],[Date]],'DB Details'!$A:$Q,15))</f>
        <v>6.0964400264045121E-3</v>
      </c>
      <c r="E131" s="59">
        <f>IF(VLOOKUP(Table311[[#This Row],[Date]],'DB Details'!$A:$Q,17)=0,"",VLOOKUP(Table311[[#This Row],[Date]],'DB Details'!$A:$Q,17))</f>
        <v>2.46096673082743E-2</v>
      </c>
    </row>
    <row r="132" spans="1:5" x14ac:dyDescent="0.35">
      <c r="A132" s="58">
        <v>39448</v>
      </c>
      <c r="B132" s="48">
        <f>IF(VLOOKUP(Table311[[#This Row],[Date]],'DB Details'!$A:$Q,12)=0,"",VLOOKUP(Table311[[#This Row],[Date]],'DB Details'!$A:$Q,12))</f>
        <v>44.8</v>
      </c>
      <c r="C132" s="59">
        <f>IF(VLOOKUP(Table311[[#This Row],[Date]],'DB Details'!$A:$Q,16)=0,"",VLOOKUP(Table311[[#This Row],[Date]],'DB Details'!$A:$Q,16))</f>
        <v>1.4468030014427379E-2</v>
      </c>
      <c r="D132" s="59">
        <f>IF(VLOOKUP(Table311[[#This Row],[Date]],'DB Details'!$A:$Q,15)=0,"",VLOOKUP(Table311[[#This Row],[Date]],'DB Details'!$A:$Q,15))</f>
        <v>-4.0742947392000926E-3</v>
      </c>
      <c r="E132" s="59">
        <f>IF(VLOOKUP(Table311[[#This Row],[Date]],'DB Details'!$A:$Q,17)=0,"",VLOOKUP(Table311[[#This Row],[Date]],'DB Details'!$A:$Q,17))</f>
        <v>-1.619784994668938E-2</v>
      </c>
    </row>
    <row r="133" spans="1:5" x14ac:dyDescent="0.35">
      <c r="A133" s="58">
        <v>39479</v>
      </c>
      <c r="B133" s="48">
        <f>IF(VLOOKUP(Table311[[#This Row],[Date]],'DB Details'!$A:$Q,12)=0,"",VLOOKUP(Table311[[#This Row],[Date]],'DB Details'!$A:$Q,12))</f>
        <v>49.9</v>
      </c>
      <c r="C133" s="59">
        <f>IF(VLOOKUP(Table311[[#This Row],[Date]],'DB Details'!$A:$Q,16)=0,"",VLOOKUP(Table311[[#This Row],[Date]],'DB Details'!$A:$Q,16))</f>
        <v>1.4468030014427379E-2</v>
      </c>
      <c r="D133" s="59">
        <f>IF(VLOOKUP(Table311[[#This Row],[Date]],'DB Details'!$A:$Q,15)=0,"",VLOOKUP(Table311[[#This Row],[Date]],'DB Details'!$A:$Q,15))</f>
        <v>-4.0742947392000926E-3</v>
      </c>
      <c r="E133" s="59">
        <f>IF(VLOOKUP(Table311[[#This Row],[Date]],'DB Details'!$A:$Q,17)=0,"",VLOOKUP(Table311[[#This Row],[Date]],'DB Details'!$A:$Q,17))</f>
        <v>-1.619784994668938E-2</v>
      </c>
    </row>
    <row r="134" spans="1:5" x14ac:dyDescent="0.35">
      <c r="A134" s="58">
        <v>39508</v>
      </c>
      <c r="B134" s="48">
        <f>IF(VLOOKUP(Table311[[#This Row],[Date]],'DB Details'!$A:$Q,12)=0,"",VLOOKUP(Table311[[#This Row],[Date]],'DB Details'!$A:$Q,12))</f>
        <v>49.4</v>
      </c>
      <c r="C134" s="59">
        <f>IF(VLOOKUP(Table311[[#This Row],[Date]],'DB Details'!$A:$Q,16)=0,"",VLOOKUP(Table311[[#This Row],[Date]],'DB Details'!$A:$Q,16))</f>
        <v>1.4468030014427379E-2</v>
      </c>
      <c r="D134" s="59">
        <f>IF(VLOOKUP(Table311[[#This Row],[Date]],'DB Details'!$A:$Q,15)=0,"",VLOOKUP(Table311[[#This Row],[Date]],'DB Details'!$A:$Q,15))</f>
        <v>-4.0742947392000926E-3</v>
      </c>
      <c r="E134" s="59">
        <f>IF(VLOOKUP(Table311[[#This Row],[Date]],'DB Details'!$A:$Q,17)=0,"",VLOOKUP(Table311[[#This Row],[Date]],'DB Details'!$A:$Q,17))</f>
        <v>-1.619784994668938E-2</v>
      </c>
    </row>
    <row r="135" spans="1:5" x14ac:dyDescent="0.35">
      <c r="A135" s="58">
        <v>39539</v>
      </c>
      <c r="B135" s="48">
        <f>IF(VLOOKUP(Table311[[#This Row],[Date]],'DB Details'!$A:$Q,12)=0,"",VLOOKUP(Table311[[#This Row],[Date]],'DB Details'!$A:$Q,12))</f>
        <v>51.9</v>
      </c>
      <c r="C135" s="59">
        <f>IF(VLOOKUP(Table311[[#This Row],[Date]],'DB Details'!$A:$Q,16)=0,"",VLOOKUP(Table311[[#This Row],[Date]],'DB Details'!$A:$Q,16))</f>
        <v>1.3801325593333859E-2</v>
      </c>
      <c r="D135" s="59">
        <f>IF(VLOOKUP(Table311[[#This Row],[Date]],'DB Details'!$A:$Q,15)=0,"",VLOOKUP(Table311[[#This Row],[Date]],'DB Details'!$A:$Q,15))</f>
        <v>5.7229534456869546E-3</v>
      </c>
      <c r="E135" s="59">
        <f>IF(VLOOKUP(Table311[[#This Row],[Date]],'DB Details'!$A:$Q,17)=0,"",VLOOKUP(Table311[[#This Row],[Date]],'DB Details'!$A:$Q,17))</f>
        <v>2.3089077789477889E-2</v>
      </c>
    </row>
    <row r="136" spans="1:5" x14ac:dyDescent="0.35">
      <c r="A136" s="58">
        <v>39569</v>
      </c>
      <c r="B136" s="48">
        <f>IF(VLOOKUP(Table311[[#This Row],[Date]],'DB Details'!$A:$Q,12)=0,"",VLOOKUP(Table311[[#This Row],[Date]],'DB Details'!$A:$Q,12))</f>
        <v>51.5</v>
      </c>
      <c r="C136" s="59">
        <f>IF(VLOOKUP(Table311[[#This Row],[Date]],'DB Details'!$A:$Q,16)=0,"",VLOOKUP(Table311[[#This Row],[Date]],'DB Details'!$A:$Q,16))</f>
        <v>1.3801325593333859E-2</v>
      </c>
      <c r="D136" s="59">
        <f>IF(VLOOKUP(Table311[[#This Row],[Date]],'DB Details'!$A:$Q,15)=0,"",VLOOKUP(Table311[[#This Row],[Date]],'DB Details'!$A:$Q,15))</f>
        <v>5.7229534456869546E-3</v>
      </c>
      <c r="E136" s="59">
        <f>IF(VLOOKUP(Table311[[#This Row],[Date]],'DB Details'!$A:$Q,17)=0,"",VLOOKUP(Table311[[#This Row],[Date]],'DB Details'!$A:$Q,17))</f>
        <v>2.3089077789477889E-2</v>
      </c>
    </row>
    <row r="137" spans="1:5" x14ac:dyDescent="0.35">
      <c r="A137" s="58">
        <v>39600</v>
      </c>
      <c r="B137" s="48">
        <f>IF(VLOOKUP(Table311[[#This Row],[Date]],'DB Details'!$A:$Q,12)=0,"",VLOOKUP(Table311[[#This Row],[Date]],'DB Details'!$A:$Q,12))</f>
        <v>48.1</v>
      </c>
      <c r="C137" s="59">
        <f>IF(VLOOKUP(Table311[[#This Row],[Date]],'DB Details'!$A:$Q,16)=0,"",VLOOKUP(Table311[[#This Row],[Date]],'DB Details'!$A:$Q,16))</f>
        <v>1.3801325593333859E-2</v>
      </c>
      <c r="D137" s="59">
        <f>IF(VLOOKUP(Table311[[#This Row],[Date]],'DB Details'!$A:$Q,15)=0,"",VLOOKUP(Table311[[#This Row],[Date]],'DB Details'!$A:$Q,15))</f>
        <v>5.7229534456869546E-3</v>
      </c>
      <c r="E137" s="59">
        <f>IF(VLOOKUP(Table311[[#This Row],[Date]],'DB Details'!$A:$Q,17)=0,"",VLOOKUP(Table311[[#This Row],[Date]],'DB Details'!$A:$Q,17))</f>
        <v>2.3089077789477889E-2</v>
      </c>
    </row>
    <row r="138" spans="1:5" x14ac:dyDescent="0.35">
      <c r="A138" s="58">
        <v>39630</v>
      </c>
      <c r="B138" s="48">
        <f>IF(VLOOKUP(Table311[[#This Row],[Date]],'DB Details'!$A:$Q,12)=0,"",VLOOKUP(Table311[[#This Row],[Date]],'DB Details'!$A:$Q,12))</f>
        <v>50.1</v>
      </c>
      <c r="C138" s="59">
        <f>IF(VLOOKUP(Table311[[#This Row],[Date]],'DB Details'!$A:$Q,16)=0,"",VLOOKUP(Table311[[#This Row],[Date]],'DB Details'!$A:$Q,16))</f>
        <v>2.4220237812272792E-3</v>
      </c>
      <c r="D138" s="59">
        <f>IF(VLOOKUP(Table311[[#This Row],[Date]],'DB Details'!$A:$Q,15)=0,"",VLOOKUP(Table311[[#This Row],[Date]],'DB Details'!$A:$Q,15))</f>
        <v>-5.2689290221545849E-3</v>
      </c>
      <c r="E138" s="59">
        <f>IF(VLOOKUP(Table311[[#This Row],[Date]],'DB Details'!$A:$Q,17)=0,"",VLOOKUP(Table311[[#This Row],[Date]],'DB Details'!$A:$Q,17))</f>
        <v>-2.0909730735542809E-2</v>
      </c>
    </row>
    <row r="139" spans="1:5" x14ac:dyDescent="0.35">
      <c r="A139" s="58">
        <v>39661</v>
      </c>
      <c r="B139" s="48">
        <f>IF(VLOOKUP(Table311[[#This Row],[Date]],'DB Details'!$A:$Q,12)=0,"",VLOOKUP(Table311[[#This Row],[Date]],'DB Details'!$A:$Q,12))</f>
        <v>50.6</v>
      </c>
      <c r="C139" s="59">
        <f>IF(VLOOKUP(Table311[[#This Row],[Date]],'DB Details'!$A:$Q,16)=0,"",VLOOKUP(Table311[[#This Row],[Date]],'DB Details'!$A:$Q,16))</f>
        <v>2.4220237812272792E-3</v>
      </c>
      <c r="D139" s="59">
        <f>IF(VLOOKUP(Table311[[#This Row],[Date]],'DB Details'!$A:$Q,15)=0,"",VLOOKUP(Table311[[#This Row],[Date]],'DB Details'!$A:$Q,15))</f>
        <v>-5.2689290221545849E-3</v>
      </c>
      <c r="E139" s="59">
        <f>IF(VLOOKUP(Table311[[#This Row],[Date]],'DB Details'!$A:$Q,17)=0,"",VLOOKUP(Table311[[#This Row],[Date]],'DB Details'!$A:$Q,17))</f>
        <v>-2.0909730735542809E-2</v>
      </c>
    </row>
    <row r="140" spans="1:5" x14ac:dyDescent="0.35">
      <c r="A140" s="58">
        <v>39692</v>
      </c>
      <c r="B140" s="48">
        <f>IF(VLOOKUP(Table311[[#This Row],[Date]],'DB Details'!$A:$Q,12)=0,"",VLOOKUP(Table311[[#This Row],[Date]],'DB Details'!$A:$Q,12))</f>
        <v>49.4</v>
      </c>
      <c r="C140" s="59">
        <f>IF(VLOOKUP(Table311[[#This Row],[Date]],'DB Details'!$A:$Q,16)=0,"",VLOOKUP(Table311[[#This Row],[Date]],'DB Details'!$A:$Q,16))</f>
        <v>2.4220237812272792E-3</v>
      </c>
      <c r="D140" s="59">
        <f>IF(VLOOKUP(Table311[[#This Row],[Date]],'DB Details'!$A:$Q,15)=0,"",VLOOKUP(Table311[[#This Row],[Date]],'DB Details'!$A:$Q,15))</f>
        <v>-5.2689290221545849E-3</v>
      </c>
      <c r="E140" s="59">
        <f>IF(VLOOKUP(Table311[[#This Row],[Date]],'DB Details'!$A:$Q,17)=0,"",VLOOKUP(Table311[[#This Row],[Date]],'DB Details'!$A:$Q,17))</f>
        <v>-2.0909730735542809E-2</v>
      </c>
    </row>
    <row r="141" spans="1:5" x14ac:dyDescent="0.35">
      <c r="A141" s="58">
        <v>39722</v>
      </c>
      <c r="B141" s="48">
        <f>IF(VLOOKUP(Table311[[#This Row],[Date]],'DB Details'!$A:$Q,12)=0,"",VLOOKUP(Table311[[#This Row],[Date]],'DB Details'!$A:$Q,12))</f>
        <v>44.7</v>
      </c>
      <c r="C141" s="59">
        <f>IF(VLOOKUP(Table311[[#This Row],[Date]],'DB Details'!$A:$Q,16)=0,"",VLOOKUP(Table311[[#This Row],[Date]],'DB Details'!$A:$Q,16))</f>
        <v>-2.5403392598762051E-2</v>
      </c>
      <c r="D141" s="59">
        <f>IF(VLOOKUP(Table311[[#This Row],[Date]],'DB Details'!$A:$Q,15)=0,"",VLOOKUP(Table311[[#This Row],[Date]],'DB Details'!$A:$Q,15))</f>
        <v>-2.1830971480936261E-2</v>
      </c>
      <c r="E141" s="59">
        <f>IF(VLOOKUP(Table311[[#This Row],[Date]],'DB Details'!$A:$Q,17)=0,"",VLOOKUP(Table311[[#This Row],[Date]],'DB Details'!$A:$Q,17))</f>
        <v>-8.4505728695347337E-2</v>
      </c>
    </row>
    <row r="142" spans="1:5" x14ac:dyDescent="0.35">
      <c r="A142" s="58">
        <v>39753</v>
      </c>
      <c r="B142" s="48">
        <f>IF(VLOOKUP(Table311[[#This Row],[Date]],'DB Details'!$A:$Q,12)=0,"",VLOOKUP(Table311[[#This Row],[Date]],'DB Details'!$A:$Q,12))</f>
        <v>37.799999999999997</v>
      </c>
      <c r="C142" s="59">
        <f>IF(VLOOKUP(Table311[[#This Row],[Date]],'DB Details'!$A:$Q,16)=0,"",VLOOKUP(Table311[[#This Row],[Date]],'DB Details'!$A:$Q,16))</f>
        <v>-2.5403392598762051E-2</v>
      </c>
      <c r="D142" s="59">
        <f>IF(VLOOKUP(Table311[[#This Row],[Date]],'DB Details'!$A:$Q,15)=0,"",VLOOKUP(Table311[[#This Row],[Date]],'DB Details'!$A:$Q,15))</f>
        <v>-2.1830971480936261E-2</v>
      </c>
      <c r="E142" s="59">
        <f>IF(VLOOKUP(Table311[[#This Row],[Date]],'DB Details'!$A:$Q,17)=0,"",VLOOKUP(Table311[[#This Row],[Date]],'DB Details'!$A:$Q,17))</f>
        <v>-8.4505728695347337E-2</v>
      </c>
    </row>
    <row r="143" spans="1:5" x14ac:dyDescent="0.35">
      <c r="A143" s="58">
        <v>39783</v>
      </c>
      <c r="B143" s="48">
        <f>IF(VLOOKUP(Table311[[#This Row],[Date]],'DB Details'!$A:$Q,12)=0,"",VLOOKUP(Table311[[#This Row],[Date]],'DB Details'!$A:$Q,12))</f>
        <v>40</v>
      </c>
      <c r="C143" s="59">
        <f>IF(VLOOKUP(Table311[[#This Row],[Date]],'DB Details'!$A:$Q,16)=0,"",VLOOKUP(Table311[[#This Row],[Date]],'DB Details'!$A:$Q,16))</f>
        <v>-2.5403392598762051E-2</v>
      </c>
      <c r="D143" s="59">
        <f>IF(VLOOKUP(Table311[[#This Row],[Date]],'DB Details'!$A:$Q,15)=0,"",VLOOKUP(Table311[[#This Row],[Date]],'DB Details'!$A:$Q,15))</f>
        <v>-2.1830971480936261E-2</v>
      </c>
      <c r="E143" s="59">
        <f>IF(VLOOKUP(Table311[[#This Row],[Date]],'DB Details'!$A:$Q,17)=0,"",VLOOKUP(Table311[[#This Row],[Date]],'DB Details'!$A:$Q,17))</f>
        <v>-8.4505728695347337E-2</v>
      </c>
    </row>
    <row r="144" spans="1:5" x14ac:dyDescent="0.35">
      <c r="A144" s="58">
        <v>39814</v>
      </c>
      <c r="B144" s="48">
        <f>IF(VLOOKUP(Table311[[#This Row],[Date]],'DB Details'!$A:$Q,12)=0,"",VLOOKUP(Table311[[#This Row],[Date]],'DB Details'!$A:$Q,12))</f>
        <v>43</v>
      </c>
      <c r="C144" s="59">
        <f>IF(VLOOKUP(Table311[[#This Row],[Date]],'DB Details'!$A:$Q,16)=0,"",VLOOKUP(Table311[[#This Row],[Date]],'DB Details'!$A:$Q,16))</f>
        <v>-3.2823924437935283E-2</v>
      </c>
      <c r="D144" s="59">
        <f>IF(VLOOKUP(Table311[[#This Row],[Date]],'DB Details'!$A:$Q,15)=0,"",VLOOKUP(Table311[[#This Row],[Date]],'DB Details'!$A:$Q,15))</f>
        <v>-1.165722530679672E-2</v>
      </c>
      <c r="E144" s="59">
        <f>IF(VLOOKUP(Table311[[#This Row],[Date]],'DB Details'!$A:$Q,17)=0,"",VLOOKUP(Table311[[#This Row],[Date]],'DB Details'!$A:$Q,17))</f>
        <v>-4.5819873793169208E-2</v>
      </c>
    </row>
    <row r="145" spans="1:5" x14ac:dyDescent="0.35">
      <c r="A145" s="58">
        <v>39845</v>
      </c>
      <c r="B145" s="48">
        <f>IF(VLOOKUP(Table311[[#This Row],[Date]],'DB Details'!$A:$Q,12)=0,"",VLOOKUP(Table311[[#This Row],[Date]],'DB Details'!$A:$Q,12))</f>
        <v>41.6</v>
      </c>
      <c r="C145" s="59">
        <f>IF(VLOOKUP(Table311[[#This Row],[Date]],'DB Details'!$A:$Q,16)=0,"",VLOOKUP(Table311[[#This Row],[Date]],'DB Details'!$A:$Q,16))</f>
        <v>-3.2823924437935283E-2</v>
      </c>
      <c r="D145" s="59">
        <f>IF(VLOOKUP(Table311[[#This Row],[Date]],'DB Details'!$A:$Q,15)=0,"",VLOOKUP(Table311[[#This Row],[Date]],'DB Details'!$A:$Q,15))</f>
        <v>-1.165722530679672E-2</v>
      </c>
      <c r="E145" s="59">
        <f>IF(VLOOKUP(Table311[[#This Row],[Date]],'DB Details'!$A:$Q,17)=0,"",VLOOKUP(Table311[[#This Row],[Date]],'DB Details'!$A:$Q,17))</f>
        <v>-4.5819873793169208E-2</v>
      </c>
    </row>
    <row r="146" spans="1:5" x14ac:dyDescent="0.35">
      <c r="A146" s="58">
        <v>39873</v>
      </c>
      <c r="B146" s="48">
        <f>IF(VLOOKUP(Table311[[#This Row],[Date]],'DB Details'!$A:$Q,12)=0,"",VLOOKUP(Table311[[#This Row],[Date]],'DB Details'!$A:$Q,12))</f>
        <v>40.1</v>
      </c>
      <c r="C146" s="59">
        <f>IF(VLOOKUP(Table311[[#This Row],[Date]],'DB Details'!$A:$Q,16)=0,"",VLOOKUP(Table311[[#This Row],[Date]],'DB Details'!$A:$Q,16))</f>
        <v>-3.2823924437935283E-2</v>
      </c>
      <c r="D146" s="59">
        <f>IF(VLOOKUP(Table311[[#This Row],[Date]],'DB Details'!$A:$Q,15)=0,"",VLOOKUP(Table311[[#This Row],[Date]],'DB Details'!$A:$Q,15))</f>
        <v>-1.165722530679672E-2</v>
      </c>
      <c r="E146" s="59">
        <f>IF(VLOOKUP(Table311[[#This Row],[Date]],'DB Details'!$A:$Q,17)=0,"",VLOOKUP(Table311[[#This Row],[Date]],'DB Details'!$A:$Q,17))</f>
        <v>-4.5819873793169208E-2</v>
      </c>
    </row>
    <row r="147" spans="1:5" x14ac:dyDescent="0.35">
      <c r="A147" s="58">
        <v>39904</v>
      </c>
      <c r="B147" s="48">
        <f>IF(VLOOKUP(Table311[[#This Row],[Date]],'DB Details'!$A:$Q,12)=0,"",VLOOKUP(Table311[[#This Row],[Date]],'DB Details'!$A:$Q,12))</f>
        <v>43.7</v>
      </c>
      <c r="C147" s="59">
        <f>IF(VLOOKUP(Table311[[#This Row],[Date]],'DB Details'!$A:$Q,16)=0,"",VLOOKUP(Table311[[#This Row],[Date]],'DB Details'!$A:$Q,16))</f>
        <v>-3.995504779306322E-2</v>
      </c>
      <c r="D147" s="59">
        <f>IF(VLOOKUP(Table311[[#This Row],[Date]],'DB Details'!$A:$Q,15)=0,"",VLOOKUP(Table311[[#This Row],[Date]],'DB Details'!$A:$Q,15))</f>
        <v>-1.692381386635996E-3</v>
      </c>
      <c r="E147" s="59">
        <f>IF(VLOOKUP(Table311[[#This Row],[Date]],'DB Details'!$A:$Q,17)=0,"",VLOOKUP(Table311[[#This Row],[Date]],'DB Details'!$A:$Q,17))</f>
        <v>-6.7523599987623362E-3</v>
      </c>
    </row>
    <row r="148" spans="1:5" x14ac:dyDescent="0.35">
      <c r="A148" s="58">
        <v>39934</v>
      </c>
      <c r="B148" s="48">
        <f>IF(VLOOKUP(Table311[[#This Row],[Date]],'DB Details'!$A:$Q,12)=0,"",VLOOKUP(Table311[[#This Row],[Date]],'DB Details'!$A:$Q,12))</f>
        <v>44.4</v>
      </c>
      <c r="C148" s="59">
        <f>IF(VLOOKUP(Table311[[#This Row],[Date]],'DB Details'!$A:$Q,16)=0,"",VLOOKUP(Table311[[#This Row],[Date]],'DB Details'!$A:$Q,16))</f>
        <v>-3.995504779306322E-2</v>
      </c>
      <c r="D148" s="59">
        <f>IF(VLOOKUP(Table311[[#This Row],[Date]],'DB Details'!$A:$Q,15)=0,"",VLOOKUP(Table311[[#This Row],[Date]],'DB Details'!$A:$Q,15))</f>
        <v>-1.692381386635996E-3</v>
      </c>
      <c r="E148" s="59">
        <f>IF(VLOOKUP(Table311[[#This Row],[Date]],'DB Details'!$A:$Q,17)=0,"",VLOOKUP(Table311[[#This Row],[Date]],'DB Details'!$A:$Q,17))</f>
        <v>-6.7523599987623362E-3</v>
      </c>
    </row>
    <row r="149" spans="1:5" x14ac:dyDescent="0.35">
      <c r="A149" s="58">
        <v>39965</v>
      </c>
      <c r="B149" s="48">
        <f>IF(VLOOKUP(Table311[[#This Row],[Date]],'DB Details'!$A:$Q,12)=0,"",VLOOKUP(Table311[[#This Row],[Date]],'DB Details'!$A:$Q,12))</f>
        <v>46.4</v>
      </c>
      <c r="C149" s="59">
        <f>IF(VLOOKUP(Table311[[#This Row],[Date]],'DB Details'!$A:$Q,16)=0,"",VLOOKUP(Table311[[#This Row],[Date]],'DB Details'!$A:$Q,16))</f>
        <v>-3.995504779306322E-2</v>
      </c>
      <c r="D149" s="59">
        <f>IF(VLOOKUP(Table311[[#This Row],[Date]],'DB Details'!$A:$Q,15)=0,"",VLOOKUP(Table311[[#This Row],[Date]],'DB Details'!$A:$Q,15))</f>
        <v>-1.692381386635996E-3</v>
      </c>
      <c r="E149" s="59">
        <f>IF(VLOOKUP(Table311[[#This Row],[Date]],'DB Details'!$A:$Q,17)=0,"",VLOOKUP(Table311[[#This Row],[Date]],'DB Details'!$A:$Q,17))</f>
        <v>-6.7523599987623362E-3</v>
      </c>
    </row>
    <row r="150" spans="1:5" x14ac:dyDescent="0.35">
      <c r="A150" s="58">
        <v>39995</v>
      </c>
      <c r="B150" s="48">
        <f>IF(VLOOKUP(Table311[[#This Row],[Date]],'DB Details'!$A:$Q,12)=0,"",VLOOKUP(Table311[[#This Row],[Date]],'DB Details'!$A:$Q,12))</f>
        <v>47.1</v>
      </c>
      <c r="C150" s="59">
        <f>IF(VLOOKUP(Table311[[#This Row],[Date]],'DB Details'!$A:$Q,16)=0,"",VLOOKUP(Table311[[#This Row],[Date]],'DB Details'!$A:$Q,16))</f>
        <v>-3.1376750032878008E-2</v>
      </c>
      <c r="D150" s="59">
        <f>IF(VLOOKUP(Table311[[#This Row],[Date]],'DB Details'!$A:$Q,15)=0,"",VLOOKUP(Table311[[#This Row],[Date]],'DB Details'!$A:$Q,15))</f>
        <v>3.6192999076888901E-3</v>
      </c>
      <c r="E150" s="59">
        <f>IF(VLOOKUP(Table311[[#This Row],[Date]],'DB Details'!$A:$Q,17)=0,"",VLOOKUP(Table311[[#This Row],[Date]],'DB Details'!$A:$Q,17))</f>
        <v>1.4555985434920871E-2</v>
      </c>
    </row>
    <row r="151" spans="1:5" x14ac:dyDescent="0.35">
      <c r="A151" s="58">
        <v>40026</v>
      </c>
      <c r="B151" s="48">
        <f>IF(VLOOKUP(Table311[[#This Row],[Date]],'DB Details'!$A:$Q,12)=0,"",VLOOKUP(Table311[[#This Row],[Date]],'DB Details'!$A:$Q,12))</f>
        <v>48.9</v>
      </c>
      <c r="C151" s="59">
        <f>IF(VLOOKUP(Table311[[#This Row],[Date]],'DB Details'!$A:$Q,16)=0,"",VLOOKUP(Table311[[#This Row],[Date]],'DB Details'!$A:$Q,16))</f>
        <v>-3.1376750032878008E-2</v>
      </c>
      <c r="D151" s="59">
        <f>IF(VLOOKUP(Table311[[#This Row],[Date]],'DB Details'!$A:$Q,15)=0,"",VLOOKUP(Table311[[#This Row],[Date]],'DB Details'!$A:$Q,15))</f>
        <v>3.6192999076888901E-3</v>
      </c>
      <c r="E151" s="59">
        <f>IF(VLOOKUP(Table311[[#This Row],[Date]],'DB Details'!$A:$Q,17)=0,"",VLOOKUP(Table311[[#This Row],[Date]],'DB Details'!$A:$Q,17))</f>
        <v>1.4555985434920871E-2</v>
      </c>
    </row>
    <row r="152" spans="1:5" x14ac:dyDescent="0.35">
      <c r="A152" s="58">
        <v>40057</v>
      </c>
      <c r="B152" s="48">
        <f>IF(VLOOKUP(Table311[[#This Row],[Date]],'DB Details'!$A:$Q,12)=0,"",VLOOKUP(Table311[[#This Row],[Date]],'DB Details'!$A:$Q,12))</f>
        <v>50.1</v>
      </c>
      <c r="C152" s="59">
        <f>IF(VLOOKUP(Table311[[#This Row],[Date]],'DB Details'!$A:$Q,16)=0,"",VLOOKUP(Table311[[#This Row],[Date]],'DB Details'!$A:$Q,16))</f>
        <v>-3.1376750032878008E-2</v>
      </c>
      <c r="D152" s="59">
        <f>IF(VLOOKUP(Table311[[#This Row],[Date]],'DB Details'!$A:$Q,15)=0,"",VLOOKUP(Table311[[#This Row],[Date]],'DB Details'!$A:$Q,15))</f>
        <v>3.6192999076888901E-3</v>
      </c>
      <c r="E152" s="59">
        <f>IF(VLOOKUP(Table311[[#This Row],[Date]],'DB Details'!$A:$Q,17)=0,"",VLOOKUP(Table311[[#This Row],[Date]],'DB Details'!$A:$Q,17))</f>
        <v>1.4555985434920871E-2</v>
      </c>
    </row>
    <row r="153" spans="1:5" x14ac:dyDescent="0.35">
      <c r="A153" s="58">
        <v>40087</v>
      </c>
      <c r="B153" s="48">
        <f>IF(VLOOKUP(Table311[[#This Row],[Date]],'DB Details'!$A:$Q,12)=0,"",VLOOKUP(Table311[[#This Row],[Date]],'DB Details'!$A:$Q,12))</f>
        <v>51</v>
      </c>
      <c r="C153" s="59">
        <f>IF(VLOOKUP(Table311[[#This Row],[Date]],'DB Details'!$A:$Q,16)=0,"",VLOOKUP(Table311[[#This Row],[Date]],'DB Details'!$A:$Q,16))</f>
        <v>8.1657583876523191E-4</v>
      </c>
      <c r="D153" s="59">
        <f>IF(VLOOKUP(Table311[[#This Row],[Date]],'DB Details'!$A:$Q,15)=0,"",VLOOKUP(Table311[[#This Row],[Date]],'DB Details'!$A:$Q,15))</f>
        <v>1.0679619498303389E-2</v>
      </c>
      <c r="E153" s="59">
        <f>IF(VLOOKUP(Table311[[#This Row],[Date]],'DB Details'!$A:$Q,17)=0,"",VLOOKUP(Table311[[#This Row],[Date]],'DB Details'!$A:$Q,17))</f>
        <v>4.34076888622974E-2</v>
      </c>
    </row>
    <row r="154" spans="1:5" x14ac:dyDescent="0.35">
      <c r="A154" s="58">
        <v>40118</v>
      </c>
      <c r="B154" s="48">
        <f>IF(VLOOKUP(Table311[[#This Row],[Date]],'DB Details'!$A:$Q,12)=0,"",VLOOKUP(Table311[[#This Row],[Date]],'DB Details'!$A:$Q,12))</f>
        <v>49.5</v>
      </c>
      <c r="C154" s="59">
        <f>IF(VLOOKUP(Table311[[#This Row],[Date]],'DB Details'!$A:$Q,16)=0,"",VLOOKUP(Table311[[#This Row],[Date]],'DB Details'!$A:$Q,16))</f>
        <v>8.1657583876523191E-4</v>
      </c>
      <c r="D154" s="59">
        <f>IF(VLOOKUP(Table311[[#This Row],[Date]],'DB Details'!$A:$Q,15)=0,"",VLOOKUP(Table311[[#This Row],[Date]],'DB Details'!$A:$Q,15))</f>
        <v>1.0679619498303389E-2</v>
      </c>
      <c r="E154" s="59">
        <f>IF(VLOOKUP(Table311[[#This Row],[Date]],'DB Details'!$A:$Q,17)=0,"",VLOOKUP(Table311[[#This Row],[Date]],'DB Details'!$A:$Q,17))</f>
        <v>4.34076888622974E-2</v>
      </c>
    </row>
    <row r="155" spans="1:5" x14ac:dyDescent="0.35">
      <c r="A155" s="58">
        <v>40148</v>
      </c>
      <c r="B155" s="48">
        <f>IF(VLOOKUP(Table311[[#This Row],[Date]],'DB Details'!$A:$Q,12)=0,"",VLOOKUP(Table311[[#This Row],[Date]],'DB Details'!$A:$Q,12))</f>
        <v>49.7</v>
      </c>
      <c r="C155" s="59">
        <f>IF(VLOOKUP(Table311[[#This Row],[Date]],'DB Details'!$A:$Q,16)=0,"",VLOOKUP(Table311[[#This Row],[Date]],'DB Details'!$A:$Q,16))</f>
        <v>8.1657583876523191E-4</v>
      </c>
      <c r="D155" s="59">
        <f>IF(VLOOKUP(Table311[[#This Row],[Date]],'DB Details'!$A:$Q,15)=0,"",VLOOKUP(Table311[[#This Row],[Date]],'DB Details'!$A:$Q,15))</f>
        <v>1.0679619498303389E-2</v>
      </c>
      <c r="E155" s="59">
        <f>IF(VLOOKUP(Table311[[#This Row],[Date]],'DB Details'!$A:$Q,17)=0,"",VLOOKUP(Table311[[#This Row],[Date]],'DB Details'!$A:$Q,17))</f>
        <v>4.34076888622974E-2</v>
      </c>
    </row>
    <row r="156" spans="1:5" x14ac:dyDescent="0.35">
      <c r="A156" s="58">
        <v>40179</v>
      </c>
      <c r="B156" s="48">
        <f>IF(VLOOKUP(Table311[[#This Row],[Date]],'DB Details'!$A:$Q,12)=0,"",VLOOKUP(Table311[[#This Row],[Date]],'DB Details'!$A:$Q,12))</f>
        <v>50</v>
      </c>
      <c r="C156" s="59">
        <f>IF(VLOOKUP(Table311[[#This Row],[Date]],'DB Details'!$A:$Q,16)=0,"",VLOOKUP(Table311[[#This Row],[Date]],'DB Details'!$A:$Q,16))</f>
        <v>1.768457232028358E-2</v>
      </c>
      <c r="D156" s="59">
        <f>IF(VLOOKUP(Table311[[#This Row],[Date]],'DB Details'!$A:$Q,15)=0,"",VLOOKUP(Table311[[#This Row],[Date]],'DB Details'!$A:$Q,15))</f>
        <v>5.0005348148190604E-3</v>
      </c>
      <c r="E156" s="59">
        <f>IF(VLOOKUP(Table311[[#This Row],[Date]],'DB Details'!$A:$Q,17)=0,"",VLOOKUP(Table311[[#This Row],[Date]],'DB Details'!$A:$Q,17))</f>
        <v>2.0152672135610231E-2</v>
      </c>
    </row>
    <row r="157" spans="1:5" x14ac:dyDescent="0.35">
      <c r="A157" s="58">
        <v>40210</v>
      </c>
      <c r="B157" s="48">
        <f>IF(VLOOKUP(Table311[[#This Row],[Date]],'DB Details'!$A:$Q,12)=0,"",VLOOKUP(Table311[[#This Row],[Date]],'DB Details'!$A:$Q,12))</f>
        <v>51.7</v>
      </c>
      <c r="C157" s="59">
        <f>IF(VLOOKUP(Table311[[#This Row],[Date]],'DB Details'!$A:$Q,16)=0,"",VLOOKUP(Table311[[#This Row],[Date]],'DB Details'!$A:$Q,16))</f>
        <v>1.768457232028358E-2</v>
      </c>
      <c r="D157" s="59">
        <f>IF(VLOOKUP(Table311[[#This Row],[Date]],'DB Details'!$A:$Q,15)=0,"",VLOOKUP(Table311[[#This Row],[Date]],'DB Details'!$A:$Q,15))</f>
        <v>5.0005348148190604E-3</v>
      </c>
      <c r="E157" s="59">
        <f>IF(VLOOKUP(Table311[[#This Row],[Date]],'DB Details'!$A:$Q,17)=0,"",VLOOKUP(Table311[[#This Row],[Date]],'DB Details'!$A:$Q,17))</f>
        <v>2.0152672135610231E-2</v>
      </c>
    </row>
    <row r="158" spans="1:5" x14ac:dyDescent="0.35">
      <c r="A158" s="58">
        <v>40238</v>
      </c>
      <c r="B158" s="48">
        <f>IF(VLOOKUP(Table311[[#This Row],[Date]],'DB Details'!$A:$Q,12)=0,"",VLOOKUP(Table311[[#This Row],[Date]],'DB Details'!$A:$Q,12))</f>
        <v>53.3</v>
      </c>
      <c r="C158" s="59">
        <f>IF(VLOOKUP(Table311[[#This Row],[Date]],'DB Details'!$A:$Q,16)=0,"",VLOOKUP(Table311[[#This Row],[Date]],'DB Details'!$A:$Q,16))</f>
        <v>1.768457232028358E-2</v>
      </c>
      <c r="D158" s="59">
        <f>IF(VLOOKUP(Table311[[#This Row],[Date]],'DB Details'!$A:$Q,15)=0,"",VLOOKUP(Table311[[#This Row],[Date]],'DB Details'!$A:$Q,15))</f>
        <v>5.0005348148190604E-3</v>
      </c>
      <c r="E158" s="59">
        <f>IF(VLOOKUP(Table311[[#This Row],[Date]],'DB Details'!$A:$Q,17)=0,"",VLOOKUP(Table311[[#This Row],[Date]],'DB Details'!$A:$Q,17))</f>
        <v>2.0152672135610231E-2</v>
      </c>
    </row>
    <row r="159" spans="1:5" x14ac:dyDescent="0.35">
      <c r="A159" s="58">
        <v>40269</v>
      </c>
      <c r="B159" s="48">
        <f>IF(VLOOKUP(Table311[[#This Row],[Date]],'DB Details'!$A:$Q,12)=0,"",VLOOKUP(Table311[[#This Row],[Date]],'DB Details'!$A:$Q,12))</f>
        <v>55.3</v>
      </c>
      <c r="C159" s="59">
        <f>IF(VLOOKUP(Table311[[#This Row],[Date]],'DB Details'!$A:$Q,16)=0,"",VLOOKUP(Table311[[#This Row],[Date]],'DB Details'!$A:$Q,16))</f>
        <v>2.9274678447875339E-2</v>
      </c>
      <c r="D159" s="59">
        <f>IF(VLOOKUP(Table311[[#This Row],[Date]],'DB Details'!$A:$Q,15)=0,"",VLOOKUP(Table311[[#This Row],[Date]],'DB Details'!$A:$Q,15))</f>
        <v>9.6770463932624312E-3</v>
      </c>
      <c r="E159" s="59">
        <f>IF(VLOOKUP(Table311[[#This Row],[Date]],'DB Details'!$A:$Q,17)=0,"",VLOOKUP(Table311[[#This Row],[Date]],'DB Details'!$A:$Q,17))</f>
        <v>3.9273690540683408E-2</v>
      </c>
    </row>
    <row r="160" spans="1:5" x14ac:dyDescent="0.35">
      <c r="A160" s="58">
        <v>40299</v>
      </c>
      <c r="B160" s="48">
        <f>IF(VLOOKUP(Table311[[#This Row],[Date]],'DB Details'!$A:$Q,12)=0,"",VLOOKUP(Table311[[#This Row],[Date]],'DB Details'!$A:$Q,12))</f>
        <v>55.5</v>
      </c>
      <c r="C160" s="59">
        <f>IF(VLOOKUP(Table311[[#This Row],[Date]],'DB Details'!$A:$Q,16)=0,"",VLOOKUP(Table311[[#This Row],[Date]],'DB Details'!$A:$Q,16))</f>
        <v>2.9274678447875339E-2</v>
      </c>
      <c r="D160" s="59">
        <f>IF(VLOOKUP(Table311[[#This Row],[Date]],'DB Details'!$A:$Q,15)=0,"",VLOOKUP(Table311[[#This Row],[Date]],'DB Details'!$A:$Q,15))</f>
        <v>9.6770463932624312E-3</v>
      </c>
      <c r="E160" s="59">
        <f>IF(VLOOKUP(Table311[[#This Row],[Date]],'DB Details'!$A:$Q,17)=0,"",VLOOKUP(Table311[[#This Row],[Date]],'DB Details'!$A:$Q,17))</f>
        <v>3.9273690540683408E-2</v>
      </c>
    </row>
    <row r="161" spans="1:5" x14ac:dyDescent="0.35">
      <c r="A161" s="58">
        <v>40330</v>
      </c>
      <c r="B161" s="48">
        <f>IF(VLOOKUP(Table311[[#This Row],[Date]],'DB Details'!$A:$Q,12)=0,"",VLOOKUP(Table311[[#This Row],[Date]],'DB Details'!$A:$Q,12))</f>
        <v>54.4</v>
      </c>
      <c r="C161" s="59">
        <f>IF(VLOOKUP(Table311[[#This Row],[Date]],'DB Details'!$A:$Q,16)=0,"",VLOOKUP(Table311[[#This Row],[Date]],'DB Details'!$A:$Q,16))</f>
        <v>2.9274678447875339E-2</v>
      </c>
      <c r="D161" s="59">
        <f>IF(VLOOKUP(Table311[[#This Row],[Date]],'DB Details'!$A:$Q,15)=0,"",VLOOKUP(Table311[[#This Row],[Date]],'DB Details'!$A:$Q,15))</f>
        <v>9.6770463932624312E-3</v>
      </c>
      <c r="E161" s="59">
        <f>IF(VLOOKUP(Table311[[#This Row],[Date]],'DB Details'!$A:$Q,17)=0,"",VLOOKUP(Table311[[#This Row],[Date]],'DB Details'!$A:$Q,17))</f>
        <v>3.9273690540683408E-2</v>
      </c>
    </row>
    <row r="162" spans="1:5" x14ac:dyDescent="0.35">
      <c r="A162" s="58">
        <v>40360</v>
      </c>
      <c r="B162" s="48">
        <f>IF(VLOOKUP(Table311[[#This Row],[Date]],'DB Details'!$A:$Q,12)=0,"",VLOOKUP(Table311[[#This Row],[Date]],'DB Details'!$A:$Q,12))</f>
        <v>54.6</v>
      </c>
      <c r="C162" s="59">
        <f>IF(VLOOKUP(Table311[[#This Row],[Date]],'DB Details'!$A:$Q,16)=0,"",VLOOKUP(Table311[[#This Row],[Date]],'DB Details'!$A:$Q,16))</f>
        <v>3.3491938138539873E-2</v>
      </c>
      <c r="D162" s="59">
        <f>IF(VLOOKUP(Table311[[#This Row],[Date]],'DB Details'!$A:$Q,15)=0,"",VLOOKUP(Table311[[#This Row],[Date]],'DB Details'!$A:$Q,15))</f>
        <v>7.7314415030268974E-3</v>
      </c>
      <c r="E162" s="59">
        <f>IF(VLOOKUP(Table311[[#This Row],[Date]],'DB Details'!$A:$Q,17)=0,"",VLOOKUP(Table311[[#This Row],[Date]],'DB Details'!$A:$Q,17))</f>
        <v>3.128626930493783E-2</v>
      </c>
    </row>
    <row r="163" spans="1:5" x14ac:dyDescent="0.35">
      <c r="A163" s="58">
        <v>40391</v>
      </c>
      <c r="B163" s="48">
        <f>IF(VLOOKUP(Table311[[#This Row],[Date]],'DB Details'!$A:$Q,12)=0,"",VLOOKUP(Table311[[#This Row],[Date]],'DB Details'!$A:$Q,12))</f>
        <v>52.4</v>
      </c>
      <c r="C163" s="59">
        <f>IF(VLOOKUP(Table311[[#This Row],[Date]],'DB Details'!$A:$Q,16)=0,"",VLOOKUP(Table311[[#This Row],[Date]],'DB Details'!$A:$Q,16))</f>
        <v>3.3491938138539873E-2</v>
      </c>
      <c r="D163" s="59">
        <f>IF(VLOOKUP(Table311[[#This Row],[Date]],'DB Details'!$A:$Q,15)=0,"",VLOOKUP(Table311[[#This Row],[Date]],'DB Details'!$A:$Q,15))</f>
        <v>7.7314415030268974E-3</v>
      </c>
      <c r="E163" s="59">
        <f>IF(VLOOKUP(Table311[[#This Row],[Date]],'DB Details'!$A:$Q,17)=0,"",VLOOKUP(Table311[[#This Row],[Date]],'DB Details'!$A:$Q,17))</f>
        <v>3.128626930493783E-2</v>
      </c>
    </row>
    <row r="164" spans="1:5" x14ac:dyDescent="0.35">
      <c r="A164" s="58">
        <v>40422</v>
      </c>
      <c r="B164" s="48">
        <f>IF(VLOOKUP(Table311[[#This Row],[Date]],'DB Details'!$A:$Q,12)=0,"",VLOOKUP(Table311[[#This Row],[Date]],'DB Details'!$A:$Q,12))</f>
        <v>53.3</v>
      </c>
      <c r="C164" s="59">
        <f>IF(VLOOKUP(Table311[[#This Row],[Date]],'DB Details'!$A:$Q,16)=0,"",VLOOKUP(Table311[[#This Row],[Date]],'DB Details'!$A:$Q,16))</f>
        <v>3.3491938138539873E-2</v>
      </c>
      <c r="D164" s="59">
        <f>IF(VLOOKUP(Table311[[#This Row],[Date]],'DB Details'!$A:$Q,15)=0,"",VLOOKUP(Table311[[#This Row],[Date]],'DB Details'!$A:$Q,15))</f>
        <v>7.7314415030268974E-3</v>
      </c>
      <c r="E164" s="59">
        <f>IF(VLOOKUP(Table311[[#This Row],[Date]],'DB Details'!$A:$Q,17)=0,"",VLOOKUP(Table311[[#This Row],[Date]],'DB Details'!$A:$Q,17))</f>
        <v>3.128626930493783E-2</v>
      </c>
    </row>
    <row r="165" spans="1:5" x14ac:dyDescent="0.35">
      <c r="A165" s="58">
        <v>40452</v>
      </c>
      <c r="B165" s="48">
        <f>IF(VLOOKUP(Table311[[#This Row],[Date]],'DB Details'!$A:$Q,12)=0,"",VLOOKUP(Table311[[#This Row],[Date]],'DB Details'!$A:$Q,12))</f>
        <v>55.3</v>
      </c>
      <c r="C165" s="59">
        <f>IF(VLOOKUP(Table311[[#This Row],[Date]],'DB Details'!$A:$Q,16)=0,"",VLOOKUP(Table311[[#This Row],[Date]],'DB Details'!$A:$Q,16))</f>
        <v>2.7884496905064039E-2</v>
      </c>
      <c r="D165" s="59">
        <f>IF(VLOOKUP(Table311[[#This Row],[Date]],'DB Details'!$A:$Q,15)=0,"",VLOOKUP(Table311[[#This Row],[Date]],'DB Details'!$A:$Q,15))</f>
        <v>5.1959515923726638E-3</v>
      </c>
      <c r="E165" s="59">
        <f>IF(VLOOKUP(Table311[[#This Row],[Date]],'DB Details'!$A:$Q,17)=0,"",VLOOKUP(Table311[[#This Row],[Date]],'DB Details'!$A:$Q,17))</f>
        <v>2.094635569547498E-2</v>
      </c>
    </row>
    <row r="166" spans="1:5" x14ac:dyDescent="0.35">
      <c r="A166" s="58">
        <v>40483</v>
      </c>
      <c r="B166" s="48">
        <f>IF(VLOOKUP(Table311[[#This Row],[Date]],'DB Details'!$A:$Q,12)=0,"",VLOOKUP(Table311[[#This Row],[Date]],'DB Details'!$A:$Q,12))</f>
        <v>56.4</v>
      </c>
      <c r="C166" s="59">
        <f>IF(VLOOKUP(Table311[[#This Row],[Date]],'DB Details'!$A:$Q,16)=0,"",VLOOKUP(Table311[[#This Row],[Date]],'DB Details'!$A:$Q,16))</f>
        <v>2.7884496905064039E-2</v>
      </c>
      <c r="D166" s="59">
        <f>IF(VLOOKUP(Table311[[#This Row],[Date]],'DB Details'!$A:$Q,15)=0,"",VLOOKUP(Table311[[#This Row],[Date]],'DB Details'!$A:$Q,15))</f>
        <v>5.1959515923726638E-3</v>
      </c>
      <c r="E166" s="59">
        <f>IF(VLOOKUP(Table311[[#This Row],[Date]],'DB Details'!$A:$Q,17)=0,"",VLOOKUP(Table311[[#This Row],[Date]],'DB Details'!$A:$Q,17))</f>
        <v>2.094635569547498E-2</v>
      </c>
    </row>
    <row r="167" spans="1:5" x14ac:dyDescent="0.35">
      <c r="A167" s="58">
        <v>40513</v>
      </c>
      <c r="B167" s="48">
        <f>IF(VLOOKUP(Table311[[#This Row],[Date]],'DB Details'!$A:$Q,12)=0,"",VLOOKUP(Table311[[#This Row],[Date]],'DB Details'!$A:$Q,12))</f>
        <v>56.9</v>
      </c>
      <c r="C167" s="59">
        <f>IF(VLOOKUP(Table311[[#This Row],[Date]],'DB Details'!$A:$Q,16)=0,"",VLOOKUP(Table311[[#This Row],[Date]],'DB Details'!$A:$Q,16))</f>
        <v>2.7884496905064039E-2</v>
      </c>
      <c r="D167" s="59">
        <f>IF(VLOOKUP(Table311[[#This Row],[Date]],'DB Details'!$A:$Q,15)=0,"",VLOOKUP(Table311[[#This Row],[Date]],'DB Details'!$A:$Q,15))</f>
        <v>5.1959515923726638E-3</v>
      </c>
      <c r="E167" s="59">
        <f>IF(VLOOKUP(Table311[[#This Row],[Date]],'DB Details'!$A:$Q,17)=0,"",VLOOKUP(Table311[[#This Row],[Date]],'DB Details'!$A:$Q,17))</f>
        <v>2.094635569547498E-2</v>
      </c>
    </row>
    <row r="168" spans="1:5" x14ac:dyDescent="0.35">
      <c r="A168" s="58">
        <v>40544</v>
      </c>
      <c r="B168" s="48">
        <f>IF(VLOOKUP(Table311[[#This Row],[Date]],'DB Details'!$A:$Q,12)=0,"",VLOOKUP(Table311[[#This Row],[Date]],'DB Details'!$A:$Q,12))</f>
        <v>57.6</v>
      </c>
      <c r="C168" s="59">
        <f>IF(VLOOKUP(Table311[[#This Row],[Date]],'DB Details'!$A:$Q,16)=0,"",VLOOKUP(Table311[[#This Row],[Date]],'DB Details'!$A:$Q,16))</f>
        <v>2.0306081906131489E-2</v>
      </c>
      <c r="D168" s="59">
        <f>IF(VLOOKUP(Table311[[#This Row],[Date]],'DB Details'!$A:$Q,15)=0,"",VLOOKUP(Table311[[#This Row],[Date]],'DB Details'!$A:$Q,15))</f>
        <v>-2.409160681035181E-3</v>
      </c>
      <c r="E168" s="59">
        <f>IF(VLOOKUP(Table311[[#This Row],[Date]],'DB Details'!$A:$Q,17)=0,"",VLOOKUP(Table311[[#This Row],[Date]],'DB Details'!$A:$Q,17))</f>
        <v>-9.6018742909373955E-3</v>
      </c>
    </row>
    <row r="169" spans="1:5" x14ac:dyDescent="0.35">
      <c r="A169" s="58">
        <v>40575</v>
      </c>
      <c r="B169" s="48">
        <f>IF(VLOOKUP(Table311[[#This Row],[Date]],'DB Details'!$A:$Q,12)=0,"",VLOOKUP(Table311[[#This Row],[Date]],'DB Details'!$A:$Q,12))</f>
        <v>58</v>
      </c>
      <c r="C169" s="59">
        <f>IF(VLOOKUP(Table311[[#This Row],[Date]],'DB Details'!$A:$Q,16)=0,"",VLOOKUP(Table311[[#This Row],[Date]],'DB Details'!$A:$Q,16))</f>
        <v>2.0306081906131489E-2</v>
      </c>
      <c r="D169" s="59">
        <f>IF(VLOOKUP(Table311[[#This Row],[Date]],'DB Details'!$A:$Q,15)=0,"",VLOOKUP(Table311[[#This Row],[Date]],'DB Details'!$A:$Q,15))</f>
        <v>-2.409160681035181E-3</v>
      </c>
      <c r="E169" s="59">
        <f>IF(VLOOKUP(Table311[[#This Row],[Date]],'DB Details'!$A:$Q,17)=0,"",VLOOKUP(Table311[[#This Row],[Date]],'DB Details'!$A:$Q,17))</f>
        <v>-9.6018742909373955E-3</v>
      </c>
    </row>
    <row r="170" spans="1:5" x14ac:dyDescent="0.35">
      <c r="A170" s="58">
        <v>40603</v>
      </c>
      <c r="B170" s="48">
        <f>IF(VLOOKUP(Table311[[#This Row],[Date]],'DB Details'!$A:$Q,12)=0,"",VLOOKUP(Table311[[#This Row],[Date]],'DB Details'!$A:$Q,12))</f>
        <v>55.8</v>
      </c>
      <c r="C170" s="59">
        <f>IF(VLOOKUP(Table311[[#This Row],[Date]],'DB Details'!$A:$Q,16)=0,"",VLOOKUP(Table311[[#This Row],[Date]],'DB Details'!$A:$Q,16))</f>
        <v>2.0306081906131489E-2</v>
      </c>
      <c r="D170" s="59">
        <f>IF(VLOOKUP(Table311[[#This Row],[Date]],'DB Details'!$A:$Q,15)=0,"",VLOOKUP(Table311[[#This Row],[Date]],'DB Details'!$A:$Q,15))</f>
        <v>-2.409160681035181E-3</v>
      </c>
      <c r="E170" s="59">
        <f>IF(VLOOKUP(Table311[[#This Row],[Date]],'DB Details'!$A:$Q,17)=0,"",VLOOKUP(Table311[[#This Row],[Date]],'DB Details'!$A:$Q,17))</f>
        <v>-9.6018742909373955E-3</v>
      </c>
    </row>
    <row r="171" spans="1:5" x14ac:dyDescent="0.35">
      <c r="A171" s="58">
        <v>40634</v>
      </c>
      <c r="B171" s="48">
        <f>IF(VLOOKUP(Table311[[#This Row],[Date]],'DB Details'!$A:$Q,12)=0,"",VLOOKUP(Table311[[#This Row],[Date]],'DB Details'!$A:$Q,12))</f>
        <v>55.2</v>
      </c>
      <c r="C171" s="59">
        <f>IF(VLOOKUP(Table311[[#This Row],[Date]],'DB Details'!$A:$Q,16)=0,"",VLOOKUP(Table311[[#This Row],[Date]],'DB Details'!$A:$Q,16))</f>
        <v>1.7379050686072959E-2</v>
      </c>
      <c r="D171" s="59">
        <f>IF(VLOOKUP(Table311[[#This Row],[Date]],'DB Details'!$A:$Q,15)=0,"",VLOOKUP(Table311[[#This Row],[Date]],'DB Details'!$A:$Q,15))</f>
        <v>6.7805075120588752E-3</v>
      </c>
      <c r="E171" s="59">
        <f>IF(VLOOKUP(Table311[[#This Row],[Date]],'DB Details'!$A:$Q,17)=0,"",VLOOKUP(Table311[[#This Row],[Date]],'DB Details'!$A:$Q,17))</f>
        <v>2.739913079767153E-2</v>
      </c>
    </row>
    <row r="172" spans="1:5" x14ac:dyDescent="0.35">
      <c r="A172" s="58">
        <v>40664</v>
      </c>
      <c r="B172" s="48">
        <f>IF(VLOOKUP(Table311[[#This Row],[Date]],'DB Details'!$A:$Q,12)=0,"",VLOOKUP(Table311[[#This Row],[Date]],'DB Details'!$A:$Q,12))</f>
        <v>55</v>
      </c>
      <c r="C172" s="59">
        <f>IF(VLOOKUP(Table311[[#This Row],[Date]],'DB Details'!$A:$Q,16)=0,"",VLOOKUP(Table311[[#This Row],[Date]],'DB Details'!$A:$Q,16))</f>
        <v>1.7379050686072959E-2</v>
      </c>
      <c r="D172" s="59">
        <f>IF(VLOOKUP(Table311[[#This Row],[Date]],'DB Details'!$A:$Q,15)=0,"",VLOOKUP(Table311[[#This Row],[Date]],'DB Details'!$A:$Q,15))</f>
        <v>6.7805075120588752E-3</v>
      </c>
      <c r="E172" s="59">
        <f>IF(VLOOKUP(Table311[[#This Row],[Date]],'DB Details'!$A:$Q,17)=0,"",VLOOKUP(Table311[[#This Row],[Date]],'DB Details'!$A:$Q,17))</f>
        <v>2.739913079767153E-2</v>
      </c>
    </row>
    <row r="173" spans="1:5" x14ac:dyDescent="0.35">
      <c r="A173" s="58">
        <v>40695</v>
      </c>
      <c r="B173" s="48">
        <f>IF(VLOOKUP(Table311[[#This Row],[Date]],'DB Details'!$A:$Q,12)=0,"",VLOOKUP(Table311[[#This Row],[Date]],'DB Details'!$A:$Q,12))</f>
        <v>54.2</v>
      </c>
      <c r="C173" s="59">
        <f>IF(VLOOKUP(Table311[[#This Row],[Date]],'DB Details'!$A:$Q,16)=0,"",VLOOKUP(Table311[[#This Row],[Date]],'DB Details'!$A:$Q,16))</f>
        <v>1.7379050686072959E-2</v>
      </c>
      <c r="D173" s="59">
        <f>IF(VLOOKUP(Table311[[#This Row],[Date]],'DB Details'!$A:$Q,15)=0,"",VLOOKUP(Table311[[#This Row],[Date]],'DB Details'!$A:$Q,15))</f>
        <v>6.7805075120588752E-3</v>
      </c>
      <c r="E173" s="59">
        <f>IF(VLOOKUP(Table311[[#This Row],[Date]],'DB Details'!$A:$Q,17)=0,"",VLOOKUP(Table311[[#This Row],[Date]],'DB Details'!$A:$Q,17))</f>
        <v>2.739913079767153E-2</v>
      </c>
    </row>
    <row r="174" spans="1:5" x14ac:dyDescent="0.35">
      <c r="A174" s="58">
        <v>40725</v>
      </c>
      <c r="B174" s="48">
        <f>IF(VLOOKUP(Table311[[#This Row],[Date]],'DB Details'!$A:$Q,12)=0,"",VLOOKUP(Table311[[#This Row],[Date]],'DB Details'!$A:$Q,12))</f>
        <v>53.5</v>
      </c>
      <c r="C174" s="59">
        <f>IF(VLOOKUP(Table311[[#This Row],[Date]],'DB Details'!$A:$Q,16)=0,"",VLOOKUP(Table311[[#This Row],[Date]],'DB Details'!$A:$Q,16))</f>
        <v>9.1822084838616043E-3</v>
      </c>
      <c r="D174" s="59">
        <f>IF(VLOOKUP(Table311[[#This Row],[Date]],'DB Details'!$A:$Q,15)=0,"",VLOOKUP(Table311[[#This Row],[Date]],'DB Details'!$A:$Q,15))</f>
        <v>-3.8767162657507928E-4</v>
      </c>
      <c r="E174" s="59">
        <f>IF(VLOOKUP(Table311[[#This Row],[Date]],'DB Details'!$A:$Q,17)=0,"",VLOOKUP(Table311[[#This Row],[Date]],'DB Details'!$A:$Q,17))</f>
        <v>-1.5497850035888221E-3</v>
      </c>
    </row>
    <row r="175" spans="1:5" x14ac:dyDescent="0.35">
      <c r="A175" s="58">
        <v>40756</v>
      </c>
      <c r="B175" s="48">
        <f>IF(VLOOKUP(Table311[[#This Row],[Date]],'DB Details'!$A:$Q,12)=0,"",VLOOKUP(Table311[[#This Row],[Date]],'DB Details'!$A:$Q,12))</f>
        <v>53.5</v>
      </c>
      <c r="C175" s="59">
        <f>IF(VLOOKUP(Table311[[#This Row],[Date]],'DB Details'!$A:$Q,16)=0,"",VLOOKUP(Table311[[#This Row],[Date]],'DB Details'!$A:$Q,16))</f>
        <v>9.1822084838616043E-3</v>
      </c>
      <c r="D175" s="59">
        <f>IF(VLOOKUP(Table311[[#This Row],[Date]],'DB Details'!$A:$Q,15)=0,"",VLOOKUP(Table311[[#This Row],[Date]],'DB Details'!$A:$Q,15))</f>
        <v>-3.8767162657507928E-4</v>
      </c>
      <c r="E175" s="59">
        <f>IF(VLOOKUP(Table311[[#This Row],[Date]],'DB Details'!$A:$Q,17)=0,"",VLOOKUP(Table311[[#This Row],[Date]],'DB Details'!$A:$Q,17))</f>
        <v>-1.5497850035888221E-3</v>
      </c>
    </row>
    <row r="176" spans="1:5" x14ac:dyDescent="0.35">
      <c r="A176" s="58">
        <v>40787</v>
      </c>
      <c r="B176" s="48">
        <f>IF(VLOOKUP(Table311[[#This Row],[Date]],'DB Details'!$A:$Q,12)=0,"",VLOOKUP(Table311[[#This Row],[Date]],'DB Details'!$A:$Q,12))</f>
        <v>52.3</v>
      </c>
      <c r="C176" s="59">
        <f>IF(VLOOKUP(Table311[[#This Row],[Date]],'DB Details'!$A:$Q,16)=0,"",VLOOKUP(Table311[[#This Row],[Date]],'DB Details'!$A:$Q,16))</f>
        <v>9.1822084838616043E-3</v>
      </c>
      <c r="D176" s="59">
        <f>IF(VLOOKUP(Table311[[#This Row],[Date]],'DB Details'!$A:$Q,15)=0,"",VLOOKUP(Table311[[#This Row],[Date]],'DB Details'!$A:$Q,15))</f>
        <v>-3.8767162657507928E-4</v>
      </c>
      <c r="E176" s="59">
        <f>IF(VLOOKUP(Table311[[#This Row],[Date]],'DB Details'!$A:$Q,17)=0,"",VLOOKUP(Table311[[#This Row],[Date]],'DB Details'!$A:$Q,17))</f>
        <v>-1.5497850035888221E-3</v>
      </c>
    </row>
    <row r="177" spans="1:5" x14ac:dyDescent="0.35">
      <c r="A177" s="58">
        <v>40817</v>
      </c>
      <c r="B177" s="48">
        <f>IF(VLOOKUP(Table311[[#This Row],[Date]],'DB Details'!$A:$Q,12)=0,"",VLOOKUP(Table311[[#This Row],[Date]],'DB Details'!$A:$Q,12))</f>
        <v>52.8</v>
      </c>
      <c r="C177" s="59">
        <f>IF(VLOOKUP(Table311[[#This Row],[Date]],'DB Details'!$A:$Q,16)=0,"",VLOOKUP(Table311[[#This Row],[Date]],'DB Details'!$A:$Q,16))</f>
        <v>1.52269152413066E-2</v>
      </c>
      <c r="D177" s="59">
        <f>IF(VLOOKUP(Table311[[#This Row],[Date]],'DB Details'!$A:$Q,15)=0,"",VLOOKUP(Table311[[#This Row],[Date]],'DB Details'!$A:$Q,15))</f>
        <v>1.121678183498582E-2</v>
      </c>
      <c r="E177" s="59">
        <f>IF(VLOOKUP(Table311[[#This Row],[Date]],'DB Details'!$A:$Q,17)=0,"",VLOOKUP(Table311[[#This Row],[Date]],'DB Details'!$A:$Q,17))</f>
        <v>4.5627685349290507E-2</v>
      </c>
    </row>
    <row r="178" spans="1:5" x14ac:dyDescent="0.35">
      <c r="A178" s="58">
        <v>40848</v>
      </c>
      <c r="B178" s="48">
        <f>IF(VLOOKUP(Table311[[#This Row],[Date]],'DB Details'!$A:$Q,12)=0,"",VLOOKUP(Table311[[#This Row],[Date]],'DB Details'!$A:$Q,12))</f>
        <v>52.9</v>
      </c>
      <c r="C178" s="59">
        <f>IF(VLOOKUP(Table311[[#This Row],[Date]],'DB Details'!$A:$Q,16)=0,"",VLOOKUP(Table311[[#This Row],[Date]],'DB Details'!$A:$Q,16))</f>
        <v>1.52269152413066E-2</v>
      </c>
      <c r="D178" s="59">
        <f>IF(VLOOKUP(Table311[[#This Row],[Date]],'DB Details'!$A:$Q,15)=0,"",VLOOKUP(Table311[[#This Row],[Date]],'DB Details'!$A:$Q,15))</f>
        <v>1.121678183498582E-2</v>
      </c>
      <c r="E178" s="59">
        <f>IF(VLOOKUP(Table311[[#This Row],[Date]],'DB Details'!$A:$Q,17)=0,"",VLOOKUP(Table311[[#This Row],[Date]],'DB Details'!$A:$Q,17))</f>
        <v>4.5627685349290507E-2</v>
      </c>
    </row>
    <row r="179" spans="1:5" x14ac:dyDescent="0.35">
      <c r="A179" s="58">
        <v>40878</v>
      </c>
      <c r="B179" s="48">
        <f>IF(VLOOKUP(Table311[[#This Row],[Date]],'DB Details'!$A:$Q,12)=0,"",VLOOKUP(Table311[[#This Row],[Date]],'DB Details'!$A:$Q,12))</f>
        <v>52.6</v>
      </c>
      <c r="C179" s="59">
        <f>IF(VLOOKUP(Table311[[#This Row],[Date]],'DB Details'!$A:$Q,16)=0,"",VLOOKUP(Table311[[#This Row],[Date]],'DB Details'!$A:$Q,16))</f>
        <v>1.52269152413066E-2</v>
      </c>
      <c r="D179" s="59">
        <f>IF(VLOOKUP(Table311[[#This Row],[Date]],'DB Details'!$A:$Q,15)=0,"",VLOOKUP(Table311[[#This Row],[Date]],'DB Details'!$A:$Q,15))</f>
        <v>1.121678183498582E-2</v>
      </c>
      <c r="E179" s="59">
        <f>IF(VLOOKUP(Table311[[#This Row],[Date]],'DB Details'!$A:$Q,17)=0,"",VLOOKUP(Table311[[#This Row],[Date]],'DB Details'!$A:$Q,17))</f>
        <v>4.5627685349290507E-2</v>
      </c>
    </row>
    <row r="180" spans="1:5" x14ac:dyDescent="0.35">
      <c r="A180" s="58">
        <v>40909</v>
      </c>
      <c r="B180" s="48">
        <f>IF(VLOOKUP(Table311[[#This Row],[Date]],'DB Details'!$A:$Q,12)=0,"",VLOOKUP(Table311[[#This Row],[Date]],'DB Details'!$A:$Q,12))</f>
        <v>56</v>
      </c>
      <c r="C180" s="59">
        <f>IF(VLOOKUP(Table311[[#This Row],[Date]],'DB Details'!$A:$Q,16)=0,"",VLOOKUP(Table311[[#This Row],[Date]],'DB Details'!$A:$Q,16))</f>
        <v>2.6002492975388428E-2</v>
      </c>
      <c r="D180" s="59">
        <f>IF(VLOOKUP(Table311[[#This Row],[Date]],'DB Details'!$A:$Q,15)=0,"",VLOOKUP(Table311[[#This Row],[Date]],'DB Details'!$A:$Q,15))</f>
        <v>8.1792284509988062E-3</v>
      </c>
      <c r="E180" s="59">
        <f>IF(VLOOKUP(Table311[[#This Row],[Date]],'DB Details'!$A:$Q,17)=0,"",VLOOKUP(Table311[[#This Row],[Date]],'DB Details'!$A:$Q,17))</f>
        <v>3.3120505702169067E-2</v>
      </c>
    </row>
    <row r="181" spans="1:5" x14ac:dyDescent="0.35">
      <c r="A181" s="58">
        <v>40940</v>
      </c>
      <c r="B181" s="48">
        <f>IF(VLOOKUP(Table311[[#This Row],[Date]],'DB Details'!$A:$Q,12)=0,"",VLOOKUP(Table311[[#This Row],[Date]],'DB Details'!$A:$Q,12))</f>
        <v>56</v>
      </c>
      <c r="C181" s="59">
        <f>IF(VLOOKUP(Table311[[#This Row],[Date]],'DB Details'!$A:$Q,16)=0,"",VLOOKUP(Table311[[#This Row],[Date]],'DB Details'!$A:$Q,16))</f>
        <v>2.6002492975388428E-2</v>
      </c>
      <c r="D181" s="59">
        <f>IF(VLOOKUP(Table311[[#This Row],[Date]],'DB Details'!$A:$Q,15)=0,"",VLOOKUP(Table311[[#This Row],[Date]],'DB Details'!$A:$Q,15))</f>
        <v>8.1792284509988062E-3</v>
      </c>
      <c r="E181" s="59">
        <f>IF(VLOOKUP(Table311[[#This Row],[Date]],'DB Details'!$A:$Q,17)=0,"",VLOOKUP(Table311[[#This Row],[Date]],'DB Details'!$A:$Q,17))</f>
        <v>3.3120505702169067E-2</v>
      </c>
    </row>
    <row r="182" spans="1:5" x14ac:dyDescent="0.35">
      <c r="A182" s="58">
        <v>40969</v>
      </c>
      <c r="B182" s="48">
        <f>IF(VLOOKUP(Table311[[#This Row],[Date]],'DB Details'!$A:$Q,12)=0,"",VLOOKUP(Table311[[#This Row],[Date]],'DB Details'!$A:$Q,12))</f>
        <v>55.6</v>
      </c>
      <c r="C182" s="59">
        <f>IF(VLOOKUP(Table311[[#This Row],[Date]],'DB Details'!$A:$Q,16)=0,"",VLOOKUP(Table311[[#This Row],[Date]],'DB Details'!$A:$Q,16))</f>
        <v>2.6002492975388428E-2</v>
      </c>
      <c r="D182" s="59">
        <f>IF(VLOOKUP(Table311[[#This Row],[Date]],'DB Details'!$A:$Q,15)=0,"",VLOOKUP(Table311[[#This Row],[Date]],'DB Details'!$A:$Q,15))</f>
        <v>8.1792284509988062E-3</v>
      </c>
      <c r="E182" s="59">
        <f>IF(VLOOKUP(Table311[[#This Row],[Date]],'DB Details'!$A:$Q,17)=0,"",VLOOKUP(Table311[[#This Row],[Date]],'DB Details'!$A:$Q,17))</f>
        <v>3.3120505702169067E-2</v>
      </c>
    </row>
    <row r="183" spans="1:5" x14ac:dyDescent="0.35">
      <c r="A183" s="58">
        <v>41000</v>
      </c>
      <c r="B183" s="48">
        <f>IF(VLOOKUP(Table311[[#This Row],[Date]],'DB Details'!$A:$Q,12)=0,"",VLOOKUP(Table311[[#This Row],[Date]],'DB Details'!$A:$Q,12))</f>
        <v>54.4</v>
      </c>
      <c r="C183" s="59">
        <f>IF(VLOOKUP(Table311[[#This Row],[Date]],'DB Details'!$A:$Q,16)=0,"",VLOOKUP(Table311[[#This Row],[Date]],'DB Details'!$A:$Q,16))</f>
        <v>2.3738163497154609E-2</v>
      </c>
      <c r="D183" s="59">
        <f>IF(VLOOKUP(Table311[[#This Row],[Date]],'DB Details'!$A:$Q,15)=0,"",VLOOKUP(Table311[[#This Row],[Date]],'DB Details'!$A:$Q,15))</f>
        <v>4.5585998686771077E-3</v>
      </c>
      <c r="E183" s="59">
        <f>IF(VLOOKUP(Table311[[#This Row],[Date]],'DB Details'!$A:$Q,17)=0,"",VLOOKUP(Table311[[#This Row],[Date]],'DB Details'!$A:$Q,17))</f>
        <v>1.8359463829133341E-2</v>
      </c>
    </row>
    <row r="184" spans="1:5" x14ac:dyDescent="0.35">
      <c r="A184" s="58">
        <v>41030</v>
      </c>
      <c r="B184" s="48">
        <f>IF(VLOOKUP(Table311[[#This Row],[Date]],'DB Details'!$A:$Q,12)=0,"",VLOOKUP(Table311[[#This Row],[Date]],'DB Details'!$A:$Q,12))</f>
        <v>54.5</v>
      </c>
      <c r="C184" s="59">
        <f>IF(VLOOKUP(Table311[[#This Row],[Date]],'DB Details'!$A:$Q,16)=0,"",VLOOKUP(Table311[[#This Row],[Date]],'DB Details'!$A:$Q,16))</f>
        <v>2.3738163497154609E-2</v>
      </c>
      <c r="D184" s="59">
        <f>IF(VLOOKUP(Table311[[#This Row],[Date]],'DB Details'!$A:$Q,15)=0,"",VLOOKUP(Table311[[#This Row],[Date]],'DB Details'!$A:$Q,15))</f>
        <v>4.5585998686771077E-3</v>
      </c>
      <c r="E184" s="59">
        <f>IF(VLOOKUP(Table311[[#This Row],[Date]],'DB Details'!$A:$Q,17)=0,"",VLOOKUP(Table311[[#This Row],[Date]],'DB Details'!$A:$Q,17))</f>
        <v>1.8359463829133341E-2</v>
      </c>
    </row>
    <row r="185" spans="1:5" x14ac:dyDescent="0.35">
      <c r="A185" s="58">
        <v>41061</v>
      </c>
      <c r="B185" s="48">
        <f>IF(VLOOKUP(Table311[[#This Row],[Date]],'DB Details'!$A:$Q,12)=0,"",VLOOKUP(Table311[[#This Row],[Date]],'DB Details'!$A:$Q,12))</f>
        <v>53.7</v>
      </c>
      <c r="C185" s="59">
        <f>IF(VLOOKUP(Table311[[#This Row],[Date]],'DB Details'!$A:$Q,16)=0,"",VLOOKUP(Table311[[#This Row],[Date]],'DB Details'!$A:$Q,16))</f>
        <v>2.3738163497154609E-2</v>
      </c>
      <c r="D185" s="59">
        <f>IF(VLOOKUP(Table311[[#This Row],[Date]],'DB Details'!$A:$Q,15)=0,"",VLOOKUP(Table311[[#This Row],[Date]],'DB Details'!$A:$Q,15))</f>
        <v>4.5585998686771077E-3</v>
      </c>
      <c r="E185" s="59">
        <f>IF(VLOOKUP(Table311[[#This Row],[Date]],'DB Details'!$A:$Q,17)=0,"",VLOOKUP(Table311[[#This Row],[Date]],'DB Details'!$A:$Q,17))</f>
        <v>1.8359463829133341E-2</v>
      </c>
    </row>
    <row r="186" spans="1:5" x14ac:dyDescent="0.35">
      <c r="A186" s="58">
        <v>41091</v>
      </c>
      <c r="B186" s="48">
        <f>IF(VLOOKUP(Table311[[#This Row],[Date]],'DB Details'!$A:$Q,12)=0,"",VLOOKUP(Table311[[#This Row],[Date]],'DB Details'!$A:$Q,12))</f>
        <v>52.4</v>
      </c>
      <c r="C186" s="59">
        <f>IF(VLOOKUP(Table311[[#This Row],[Date]],'DB Details'!$A:$Q,16)=0,"",VLOOKUP(Table311[[#This Row],[Date]],'DB Details'!$A:$Q,16))</f>
        <v>2.5926229770563171E-2</v>
      </c>
      <c r="D186" s="59">
        <f>IF(VLOOKUP(Table311[[#This Row],[Date]],'DB Details'!$A:$Q,15)=0,"",VLOOKUP(Table311[[#This Row],[Date]],'DB Details'!$A:$Q,15))</f>
        <v>1.748829776015621E-3</v>
      </c>
      <c r="E186" s="59">
        <f>IF(VLOOKUP(Table311[[#This Row],[Date]],'DB Details'!$A:$Q,17)=0,"",VLOOKUP(Table311[[#This Row],[Date]],'DB Details'!$A:$Q,17))</f>
        <v>7.0136909414519888E-3</v>
      </c>
    </row>
    <row r="187" spans="1:5" x14ac:dyDescent="0.35">
      <c r="A187" s="58">
        <v>41122</v>
      </c>
      <c r="B187" s="48">
        <f>IF(VLOOKUP(Table311[[#This Row],[Date]],'DB Details'!$A:$Q,12)=0,"",VLOOKUP(Table311[[#This Row],[Date]],'DB Details'!$A:$Q,12))</f>
        <v>52.9</v>
      </c>
      <c r="C187" s="59">
        <f>IF(VLOOKUP(Table311[[#This Row],[Date]],'DB Details'!$A:$Q,16)=0,"",VLOOKUP(Table311[[#This Row],[Date]],'DB Details'!$A:$Q,16))</f>
        <v>2.5926229770563171E-2</v>
      </c>
      <c r="D187" s="59">
        <f>IF(VLOOKUP(Table311[[#This Row],[Date]],'DB Details'!$A:$Q,15)=0,"",VLOOKUP(Table311[[#This Row],[Date]],'DB Details'!$A:$Q,15))</f>
        <v>1.748829776015621E-3</v>
      </c>
      <c r="E187" s="59">
        <f>IF(VLOOKUP(Table311[[#This Row],[Date]],'DB Details'!$A:$Q,17)=0,"",VLOOKUP(Table311[[#This Row],[Date]],'DB Details'!$A:$Q,17))</f>
        <v>7.0136909414519888E-3</v>
      </c>
    </row>
    <row r="188" spans="1:5" x14ac:dyDescent="0.35">
      <c r="A188" s="58">
        <v>41153</v>
      </c>
      <c r="B188" s="48">
        <f>IF(VLOOKUP(Table311[[#This Row],[Date]],'DB Details'!$A:$Q,12)=0,"",VLOOKUP(Table311[[#This Row],[Date]],'DB Details'!$A:$Q,12))</f>
        <v>54.6</v>
      </c>
      <c r="C188" s="59">
        <f>IF(VLOOKUP(Table311[[#This Row],[Date]],'DB Details'!$A:$Q,16)=0,"",VLOOKUP(Table311[[#This Row],[Date]],'DB Details'!$A:$Q,16))</f>
        <v>2.5926229770563171E-2</v>
      </c>
      <c r="D188" s="59">
        <f>IF(VLOOKUP(Table311[[#This Row],[Date]],'DB Details'!$A:$Q,15)=0,"",VLOOKUP(Table311[[#This Row],[Date]],'DB Details'!$A:$Q,15))</f>
        <v>1.748829776015621E-3</v>
      </c>
      <c r="E188" s="59">
        <f>IF(VLOOKUP(Table311[[#This Row],[Date]],'DB Details'!$A:$Q,17)=0,"",VLOOKUP(Table311[[#This Row],[Date]],'DB Details'!$A:$Q,17))</f>
        <v>7.0136909414519888E-3</v>
      </c>
    </row>
    <row r="189" spans="1:5" x14ac:dyDescent="0.35">
      <c r="A189" s="58">
        <v>41183</v>
      </c>
      <c r="B189" s="48">
        <f>IF(VLOOKUP(Table311[[#This Row],[Date]],'DB Details'!$A:$Q,12)=0,"",VLOOKUP(Table311[[#This Row],[Date]],'DB Details'!$A:$Q,12))</f>
        <v>54.2</v>
      </c>
      <c r="C189" s="59">
        <f>IF(VLOOKUP(Table311[[#This Row],[Date]],'DB Details'!$A:$Q,16)=0,"",VLOOKUP(Table311[[#This Row],[Date]],'DB Details'!$A:$Q,16))</f>
        <v>1.56606434588916E-2</v>
      </c>
      <c r="D189" s="59">
        <f>IF(VLOOKUP(Table311[[#This Row],[Date]],'DB Details'!$A:$Q,15)=0,"",VLOOKUP(Table311[[#This Row],[Date]],'DB Details'!$A:$Q,15))</f>
        <v>1.0983806746418219E-3</v>
      </c>
      <c r="E189" s="59">
        <f>IF(VLOOKUP(Table311[[#This Row],[Date]],'DB Details'!$A:$Q,17)=0,"",VLOOKUP(Table311[[#This Row],[Date]],'DB Details'!$A:$Q,17))</f>
        <v>4.4007666411833854E-3</v>
      </c>
    </row>
    <row r="190" spans="1:5" x14ac:dyDescent="0.35">
      <c r="A190" s="58">
        <v>41214</v>
      </c>
      <c r="B190" s="48">
        <f>IF(VLOOKUP(Table311[[#This Row],[Date]],'DB Details'!$A:$Q,12)=0,"",VLOOKUP(Table311[[#This Row],[Date]],'DB Details'!$A:$Q,12))</f>
        <v>54.8</v>
      </c>
      <c r="C190" s="59">
        <f>IF(VLOOKUP(Table311[[#This Row],[Date]],'DB Details'!$A:$Q,16)=0,"",VLOOKUP(Table311[[#This Row],[Date]],'DB Details'!$A:$Q,16))</f>
        <v>1.56606434588916E-2</v>
      </c>
      <c r="D190" s="59">
        <f>IF(VLOOKUP(Table311[[#This Row],[Date]],'DB Details'!$A:$Q,15)=0,"",VLOOKUP(Table311[[#This Row],[Date]],'DB Details'!$A:$Q,15))</f>
        <v>1.0983806746418219E-3</v>
      </c>
      <c r="E190" s="59">
        <f>IF(VLOOKUP(Table311[[#This Row],[Date]],'DB Details'!$A:$Q,17)=0,"",VLOOKUP(Table311[[#This Row],[Date]],'DB Details'!$A:$Q,17))</f>
        <v>4.4007666411833854E-3</v>
      </c>
    </row>
    <row r="191" spans="1:5" x14ac:dyDescent="0.35">
      <c r="A191" s="58">
        <v>41244</v>
      </c>
      <c r="B191" s="48">
        <f>IF(VLOOKUP(Table311[[#This Row],[Date]],'DB Details'!$A:$Q,12)=0,"",VLOOKUP(Table311[[#This Row],[Date]],'DB Details'!$A:$Q,12))</f>
        <v>55.6</v>
      </c>
      <c r="C191" s="59">
        <f>IF(VLOOKUP(Table311[[#This Row],[Date]],'DB Details'!$A:$Q,16)=0,"",VLOOKUP(Table311[[#This Row],[Date]],'DB Details'!$A:$Q,16))</f>
        <v>1.56606434588916E-2</v>
      </c>
      <c r="D191" s="59">
        <f>IF(VLOOKUP(Table311[[#This Row],[Date]],'DB Details'!$A:$Q,15)=0,"",VLOOKUP(Table311[[#This Row],[Date]],'DB Details'!$A:$Q,15))</f>
        <v>1.0983806746418219E-3</v>
      </c>
      <c r="E191" s="59">
        <f>IF(VLOOKUP(Table311[[#This Row],[Date]],'DB Details'!$A:$Q,17)=0,"",VLOOKUP(Table311[[#This Row],[Date]],'DB Details'!$A:$Q,17))</f>
        <v>4.4007666411833854E-3</v>
      </c>
    </row>
    <row r="192" spans="1:5" x14ac:dyDescent="0.35">
      <c r="A192" s="58">
        <v>41275</v>
      </c>
      <c r="B192" s="48">
        <f>IF(VLOOKUP(Table311[[#This Row],[Date]],'DB Details'!$A:$Q,12)=0,"",VLOOKUP(Table311[[#This Row],[Date]],'DB Details'!$A:$Q,12))</f>
        <v>55.3</v>
      </c>
      <c r="C192" s="59">
        <f>IF(VLOOKUP(Table311[[#This Row],[Date]],'DB Details'!$A:$Q,16)=0,"",VLOOKUP(Table311[[#This Row],[Date]],'DB Details'!$A:$Q,16))</f>
        <v>1.6163010952802859E-2</v>
      </c>
      <c r="D192" s="59">
        <f>IF(VLOOKUP(Table311[[#This Row],[Date]],'DB Details'!$A:$Q,15)=0,"",VLOOKUP(Table311[[#This Row],[Date]],'DB Details'!$A:$Q,15))</f>
        <v>8.6778954769115967E-3</v>
      </c>
      <c r="E192" s="59">
        <f>IF(VLOOKUP(Table311[[#This Row],[Date]],'DB Details'!$A:$Q,17)=0,"",VLOOKUP(Table311[[#This Row],[Date]],'DB Details'!$A:$Q,17))</f>
        <v>3.5166036783941028E-2</v>
      </c>
    </row>
    <row r="193" spans="1:5" x14ac:dyDescent="0.35">
      <c r="A193" s="58">
        <v>41306</v>
      </c>
      <c r="B193" s="48">
        <f>IF(VLOOKUP(Table311[[#This Row],[Date]],'DB Details'!$A:$Q,12)=0,"",VLOOKUP(Table311[[#This Row],[Date]],'DB Details'!$A:$Q,12))</f>
        <v>56.1</v>
      </c>
      <c r="C193" s="59">
        <f>IF(VLOOKUP(Table311[[#This Row],[Date]],'DB Details'!$A:$Q,16)=0,"",VLOOKUP(Table311[[#This Row],[Date]],'DB Details'!$A:$Q,16))</f>
        <v>1.6163010952802859E-2</v>
      </c>
      <c r="D193" s="59">
        <f>IF(VLOOKUP(Table311[[#This Row],[Date]],'DB Details'!$A:$Q,15)=0,"",VLOOKUP(Table311[[#This Row],[Date]],'DB Details'!$A:$Q,15))</f>
        <v>8.6778954769115967E-3</v>
      </c>
      <c r="E193" s="59">
        <f>IF(VLOOKUP(Table311[[#This Row],[Date]],'DB Details'!$A:$Q,17)=0,"",VLOOKUP(Table311[[#This Row],[Date]],'DB Details'!$A:$Q,17))</f>
        <v>3.5166036783941028E-2</v>
      </c>
    </row>
    <row r="194" spans="1:5" x14ac:dyDescent="0.35">
      <c r="A194" s="58">
        <v>41334</v>
      </c>
      <c r="B194" s="48">
        <f>IF(VLOOKUP(Table311[[#This Row],[Date]],'DB Details'!$A:$Q,12)=0,"",VLOOKUP(Table311[[#This Row],[Date]],'DB Details'!$A:$Q,12))</f>
        <v>55.2</v>
      </c>
      <c r="C194" s="59">
        <f>IF(VLOOKUP(Table311[[#This Row],[Date]],'DB Details'!$A:$Q,16)=0,"",VLOOKUP(Table311[[#This Row],[Date]],'DB Details'!$A:$Q,16))</f>
        <v>1.6163010952802859E-2</v>
      </c>
      <c r="D194" s="59">
        <f>IF(VLOOKUP(Table311[[#This Row],[Date]],'DB Details'!$A:$Q,15)=0,"",VLOOKUP(Table311[[#This Row],[Date]],'DB Details'!$A:$Q,15))</f>
        <v>8.6778954769115967E-3</v>
      </c>
      <c r="E194" s="59">
        <f>IF(VLOOKUP(Table311[[#This Row],[Date]],'DB Details'!$A:$Q,17)=0,"",VLOOKUP(Table311[[#This Row],[Date]],'DB Details'!$A:$Q,17))</f>
        <v>3.5166036783941028E-2</v>
      </c>
    </row>
    <row r="195" spans="1:5" x14ac:dyDescent="0.35">
      <c r="A195" s="58">
        <v>41365</v>
      </c>
      <c r="B195" s="48">
        <f>IF(VLOOKUP(Table311[[#This Row],[Date]],'DB Details'!$A:$Q,12)=0,"",VLOOKUP(Table311[[#This Row],[Date]],'DB Details'!$A:$Q,12))</f>
        <v>53.9</v>
      </c>
      <c r="C195" s="59">
        <f>IF(VLOOKUP(Table311[[#This Row],[Date]],'DB Details'!$A:$Q,16)=0,"",VLOOKUP(Table311[[#This Row],[Date]],'DB Details'!$A:$Q,16))</f>
        <v>1.2961704903847749E-2</v>
      </c>
      <c r="D195" s="59">
        <f>IF(VLOOKUP(Table311[[#This Row],[Date]],'DB Details'!$A:$Q,15)=0,"",VLOOKUP(Table311[[#This Row],[Date]],'DB Details'!$A:$Q,15))</f>
        <v>1.393852197657185E-3</v>
      </c>
      <c r="E195" s="59">
        <f>IF(VLOOKUP(Table311[[#This Row],[Date]],'DB Details'!$A:$Q,17)=0,"",VLOOKUP(Table311[[#This Row],[Date]],'DB Details'!$A:$Q,17))</f>
        <v>5.5870765701340197E-3</v>
      </c>
    </row>
    <row r="196" spans="1:5" x14ac:dyDescent="0.35">
      <c r="A196" s="58">
        <v>41395</v>
      </c>
      <c r="B196" s="48">
        <f>IF(VLOOKUP(Table311[[#This Row],[Date]],'DB Details'!$A:$Q,12)=0,"",VLOOKUP(Table311[[#This Row],[Date]],'DB Details'!$A:$Q,12))</f>
        <v>54.4</v>
      </c>
      <c r="C196" s="59">
        <f>IF(VLOOKUP(Table311[[#This Row],[Date]],'DB Details'!$A:$Q,16)=0,"",VLOOKUP(Table311[[#This Row],[Date]],'DB Details'!$A:$Q,16))</f>
        <v>1.2961704903847749E-2</v>
      </c>
      <c r="D196" s="59">
        <f>IF(VLOOKUP(Table311[[#This Row],[Date]],'DB Details'!$A:$Q,15)=0,"",VLOOKUP(Table311[[#This Row],[Date]],'DB Details'!$A:$Q,15))</f>
        <v>1.393852197657185E-3</v>
      </c>
      <c r="E196" s="59">
        <f>IF(VLOOKUP(Table311[[#This Row],[Date]],'DB Details'!$A:$Q,17)=0,"",VLOOKUP(Table311[[#This Row],[Date]],'DB Details'!$A:$Q,17))</f>
        <v>5.5870765701340197E-3</v>
      </c>
    </row>
    <row r="197" spans="1:5" x14ac:dyDescent="0.35">
      <c r="A197" s="58">
        <v>41426</v>
      </c>
      <c r="B197" s="48">
        <f>IF(VLOOKUP(Table311[[#This Row],[Date]],'DB Details'!$A:$Q,12)=0,"",VLOOKUP(Table311[[#This Row],[Date]],'DB Details'!$A:$Q,12))</f>
        <v>54.1</v>
      </c>
      <c r="C197" s="59">
        <f>IF(VLOOKUP(Table311[[#This Row],[Date]],'DB Details'!$A:$Q,16)=0,"",VLOOKUP(Table311[[#This Row],[Date]],'DB Details'!$A:$Q,16))</f>
        <v>1.2961704903847749E-2</v>
      </c>
      <c r="D197" s="59">
        <f>IF(VLOOKUP(Table311[[#This Row],[Date]],'DB Details'!$A:$Q,15)=0,"",VLOOKUP(Table311[[#This Row],[Date]],'DB Details'!$A:$Q,15))</f>
        <v>1.393852197657185E-3</v>
      </c>
      <c r="E197" s="59">
        <f>IF(VLOOKUP(Table311[[#This Row],[Date]],'DB Details'!$A:$Q,17)=0,"",VLOOKUP(Table311[[#This Row],[Date]],'DB Details'!$A:$Q,17))</f>
        <v>5.5870765701340197E-3</v>
      </c>
    </row>
    <row r="198" spans="1:5" x14ac:dyDescent="0.35">
      <c r="A198" s="58">
        <v>41456</v>
      </c>
      <c r="B198" s="48">
        <f>IF(VLOOKUP(Table311[[#This Row],[Date]],'DB Details'!$A:$Q,12)=0,"",VLOOKUP(Table311[[#This Row],[Date]],'DB Details'!$A:$Q,12))</f>
        <v>54.9</v>
      </c>
      <c r="C198" s="59">
        <f>IF(VLOOKUP(Table311[[#This Row],[Date]],'DB Details'!$A:$Q,16)=0,"",VLOOKUP(Table311[[#This Row],[Date]],'DB Details'!$A:$Q,16))</f>
        <v>1.919844620038217E-2</v>
      </c>
      <c r="D198" s="59">
        <f>IF(VLOOKUP(Table311[[#This Row],[Date]],'DB Details'!$A:$Q,15)=0,"",VLOOKUP(Table311[[#This Row],[Date]],'DB Details'!$A:$Q,15))</f>
        <v>7.9165341079500094E-3</v>
      </c>
      <c r="E198" s="59">
        <f>IF(VLOOKUP(Table311[[#This Row],[Date]],'DB Details'!$A:$Q,17)=0,"",VLOOKUP(Table311[[#This Row],[Date]],'DB Details'!$A:$Q,17))</f>
        <v>3.2044153997870417E-2</v>
      </c>
    </row>
    <row r="199" spans="1:5" x14ac:dyDescent="0.35">
      <c r="A199" s="58">
        <v>41487</v>
      </c>
      <c r="B199" s="48">
        <f>IF(VLOOKUP(Table311[[#This Row],[Date]],'DB Details'!$A:$Q,12)=0,"",VLOOKUP(Table311[[#This Row],[Date]],'DB Details'!$A:$Q,12))</f>
        <v>56.6</v>
      </c>
      <c r="C199" s="59">
        <f>IF(VLOOKUP(Table311[[#This Row],[Date]],'DB Details'!$A:$Q,16)=0,"",VLOOKUP(Table311[[#This Row],[Date]],'DB Details'!$A:$Q,16))</f>
        <v>1.919844620038217E-2</v>
      </c>
      <c r="D199" s="59">
        <f>IF(VLOOKUP(Table311[[#This Row],[Date]],'DB Details'!$A:$Q,15)=0,"",VLOOKUP(Table311[[#This Row],[Date]],'DB Details'!$A:$Q,15))</f>
        <v>7.9165341079500094E-3</v>
      </c>
      <c r="E199" s="59">
        <f>IF(VLOOKUP(Table311[[#This Row],[Date]],'DB Details'!$A:$Q,17)=0,"",VLOOKUP(Table311[[#This Row],[Date]],'DB Details'!$A:$Q,17))</f>
        <v>3.2044153997870417E-2</v>
      </c>
    </row>
    <row r="200" spans="1:5" x14ac:dyDescent="0.35">
      <c r="A200" s="58">
        <v>41518</v>
      </c>
      <c r="B200" s="48">
        <f>IF(VLOOKUP(Table311[[#This Row],[Date]],'DB Details'!$A:$Q,12)=0,"",VLOOKUP(Table311[[#This Row],[Date]],'DB Details'!$A:$Q,12))</f>
        <v>53.6</v>
      </c>
      <c r="C200" s="59">
        <f>IF(VLOOKUP(Table311[[#This Row],[Date]],'DB Details'!$A:$Q,16)=0,"",VLOOKUP(Table311[[#This Row],[Date]],'DB Details'!$A:$Q,16))</f>
        <v>1.919844620038217E-2</v>
      </c>
      <c r="D200" s="59">
        <f>IF(VLOOKUP(Table311[[#This Row],[Date]],'DB Details'!$A:$Q,15)=0,"",VLOOKUP(Table311[[#This Row],[Date]],'DB Details'!$A:$Q,15))</f>
        <v>7.9165341079500094E-3</v>
      </c>
      <c r="E200" s="59">
        <f>IF(VLOOKUP(Table311[[#This Row],[Date]],'DB Details'!$A:$Q,17)=0,"",VLOOKUP(Table311[[#This Row],[Date]],'DB Details'!$A:$Q,17))</f>
        <v>3.2044153997870417E-2</v>
      </c>
    </row>
    <row r="201" spans="1:5" x14ac:dyDescent="0.35">
      <c r="A201" s="58">
        <v>41548</v>
      </c>
      <c r="B201" s="48">
        <f>IF(VLOOKUP(Table311[[#This Row],[Date]],'DB Details'!$A:$Q,12)=0,"",VLOOKUP(Table311[[#This Row],[Date]],'DB Details'!$A:$Q,12))</f>
        <v>54.5</v>
      </c>
      <c r="C201" s="59">
        <f>IF(VLOOKUP(Table311[[#This Row],[Date]],'DB Details'!$A:$Q,16)=0,"",VLOOKUP(Table311[[#This Row],[Date]],'DB Details'!$A:$Q,16))</f>
        <v>2.532049777807217E-2</v>
      </c>
      <c r="D201" s="59">
        <f>IF(VLOOKUP(Table311[[#This Row],[Date]],'DB Details'!$A:$Q,15)=0,"",VLOOKUP(Table311[[#This Row],[Date]],'DB Details'!$A:$Q,15))</f>
        <v>7.1117100156356649E-3</v>
      </c>
      <c r="E201" s="59">
        <f>IF(VLOOKUP(Table311[[#This Row],[Date]],'DB Details'!$A:$Q,17)=0,"",VLOOKUP(Table311[[#This Row],[Date]],'DB Details'!$A:$Q,17))</f>
        <v>2.875173987590807E-2</v>
      </c>
    </row>
    <row r="202" spans="1:5" x14ac:dyDescent="0.35">
      <c r="A202" s="58">
        <v>41579</v>
      </c>
      <c r="B202" s="48">
        <f>IF(VLOOKUP(Table311[[#This Row],[Date]],'DB Details'!$A:$Q,12)=0,"",VLOOKUP(Table311[[#This Row],[Date]],'DB Details'!$A:$Q,12))</f>
        <v>53.8</v>
      </c>
      <c r="C202" s="59">
        <f>IF(VLOOKUP(Table311[[#This Row],[Date]],'DB Details'!$A:$Q,16)=0,"",VLOOKUP(Table311[[#This Row],[Date]],'DB Details'!$A:$Q,16))</f>
        <v>2.532049777807217E-2</v>
      </c>
      <c r="D202" s="59">
        <f>IF(VLOOKUP(Table311[[#This Row],[Date]],'DB Details'!$A:$Q,15)=0,"",VLOOKUP(Table311[[#This Row],[Date]],'DB Details'!$A:$Q,15))</f>
        <v>7.1117100156356649E-3</v>
      </c>
      <c r="E202" s="59">
        <f>IF(VLOOKUP(Table311[[#This Row],[Date]],'DB Details'!$A:$Q,17)=0,"",VLOOKUP(Table311[[#This Row],[Date]],'DB Details'!$A:$Q,17))</f>
        <v>2.875173987590807E-2</v>
      </c>
    </row>
    <row r="203" spans="1:5" x14ac:dyDescent="0.35">
      <c r="A203" s="58">
        <v>41609</v>
      </c>
      <c r="B203" s="48">
        <f>IF(VLOOKUP(Table311[[#This Row],[Date]],'DB Details'!$A:$Q,12)=0,"",VLOOKUP(Table311[[#This Row],[Date]],'DB Details'!$A:$Q,12))</f>
        <v>52.9</v>
      </c>
      <c r="C203" s="59">
        <f>IF(VLOOKUP(Table311[[#This Row],[Date]],'DB Details'!$A:$Q,16)=0,"",VLOOKUP(Table311[[#This Row],[Date]],'DB Details'!$A:$Q,16))</f>
        <v>2.532049777807217E-2</v>
      </c>
      <c r="D203" s="59">
        <f>IF(VLOOKUP(Table311[[#This Row],[Date]],'DB Details'!$A:$Q,15)=0,"",VLOOKUP(Table311[[#This Row],[Date]],'DB Details'!$A:$Q,15))</f>
        <v>7.1117100156356649E-3</v>
      </c>
      <c r="E203" s="59">
        <f>IF(VLOOKUP(Table311[[#This Row],[Date]],'DB Details'!$A:$Q,17)=0,"",VLOOKUP(Table311[[#This Row],[Date]],'DB Details'!$A:$Q,17))</f>
        <v>2.875173987590807E-2</v>
      </c>
    </row>
    <row r="204" spans="1:5" x14ac:dyDescent="0.35">
      <c r="A204" s="58">
        <v>41640</v>
      </c>
      <c r="B204" s="48">
        <f>IF(VLOOKUP(Table311[[#This Row],[Date]],'DB Details'!$A:$Q,12)=0,"",VLOOKUP(Table311[[#This Row],[Date]],'DB Details'!$A:$Q,12))</f>
        <v>54.7</v>
      </c>
      <c r="C204" s="59">
        <f>IF(VLOOKUP(Table311[[#This Row],[Date]],'DB Details'!$A:$Q,16)=0,"",VLOOKUP(Table311[[#This Row],[Date]],'DB Details'!$A:$Q,16))</f>
        <v>1.294055859309538E-2</v>
      </c>
      <c r="D204" s="59">
        <f>IF(VLOOKUP(Table311[[#This Row],[Date]],'DB Details'!$A:$Q,15)=0,"",VLOOKUP(Table311[[#This Row],[Date]],'DB Details'!$A:$Q,15))</f>
        <v>-3.5010973651269459E-3</v>
      </c>
      <c r="E204" s="59">
        <f>IF(VLOOKUP(Table311[[#This Row],[Date]],'DB Details'!$A:$Q,17)=0,"",VLOOKUP(Table311[[#This Row],[Date]],'DB Details'!$A:$Q,17))</f>
        <v>-1.393101487505966E-2</v>
      </c>
    </row>
    <row r="205" spans="1:5" x14ac:dyDescent="0.35">
      <c r="A205" s="58">
        <v>41671</v>
      </c>
      <c r="B205" s="48">
        <f>IF(VLOOKUP(Table311[[#This Row],[Date]],'DB Details'!$A:$Q,12)=0,"",VLOOKUP(Table311[[#This Row],[Date]],'DB Details'!$A:$Q,12))</f>
        <v>53</v>
      </c>
      <c r="C205" s="59">
        <f>IF(VLOOKUP(Table311[[#This Row],[Date]],'DB Details'!$A:$Q,16)=0,"",VLOOKUP(Table311[[#This Row],[Date]],'DB Details'!$A:$Q,16))</f>
        <v>1.294055859309538E-2</v>
      </c>
      <c r="D205" s="59">
        <f>IF(VLOOKUP(Table311[[#This Row],[Date]],'DB Details'!$A:$Q,15)=0,"",VLOOKUP(Table311[[#This Row],[Date]],'DB Details'!$A:$Q,15))</f>
        <v>-3.5010973651269459E-3</v>
      </c>
      <c r="E205" s="59">
        <f>IF(VLOOKUP(Table311[[#This Row],[Date]],'DB Details'!$A:$Q,17)=0,"",VLOOKUP(Table311[[#This Row],[Date]],'DB Details'!$A:$Q,17))</f>
        <v>-1.393101487505966E-2</v>
      </c>
    </row>
    <row r="206" spans="1:5" x14ac:dyDescent="0.35">
      <c r="A206" s="58">
        <v>41699</v>
      </c>
      <c r="B206" s="48">
        <f>IF(VLOOKUP(Table311[[#This Row],[Date]],'DB Details'!$A:$Q,12)=0,"",VLOOKUP(Table311[[#This Row],[Date]],'DB Details'!$A:$Q,12))</f>
        <v>54.2</v>
      </c>
      <c r="C206" s="59">
        <f>IF(VLOOKUP(Table311[[#This Row],[Date]],'DB Details'!$A:$Q,16)=0,"",VLOOKUP(Table311[[#This Row],[Date]],'DB Details'!$A:$Q,16))</f>
        <v>1.294055859309538E-2</v>
      </c>
      <c r="D206" s="59">
        <f>IF(VLOOKUP(Table311[[#This Row],[Date]],'DB Details'!$A:$Q,15)=0,"",VLOOKUP(Table311[[#This Row],[Date]],'DB Details'!$A:$Q,15))</f>
        <v>-3.5010973651269459E-3</v>
      </c>
      <c r="E206" s="59">
        <f>IF(VLOOKUP(Table311[[#This Row],[Date]],'DB Details'!$A:$Q,17)=0,"",VLOOKUP(Table311[[#This Row],[Date]],'DB Details'!$A:$Q,17))</f>
        <v>-1.393101487505966E-2</v>
      </c>
    </row>
    <row r="207" spans="1:5" x14ac:dyDescent="0.35">
      <c r="A207" s="58">
        <v>41730</v>
      </c>
      <c r="B207" s="48">
        <f>IF(VLOOKUP(Table311[[#This Row],[Date]],'DB Details'!$A:$Q,12)=0,"",VLOOKUP(Table311[[#This Row],[Date]],'DB Details'!$A:$Q,12))</f>
        <v>55.2</v>
      </c>
      <c r="C207" s="59">
        <f>IF(VLOOKUP(Table311[[#This Row],[Date]],'DB Details'!$A:$Q,16)=0,"",VLOOKUP(Table311[[#This Row],[Date]],'DB Details'!$A:$Q,16))</f>
        <v>2.45199916765882E-2</v>
      </c>
      <c r="D207" s="59">
        <f>IF(VLOOKUP(Table311[[#This Row],[Date]],'DB Details'!$A:$Q,15)=0,"",VLOOKUP(Table311[[#This Row],[Date]],'DB Details'!$A:$Q,15))</f>
        <v>1.2841289071790579E-2</v>
      </c>
      <c r="E207" s="59">
        <f>IF(VLOOKUP(Table311[[#This Row],[Date]],'DB Details'!$A:$Q,17)=0,"",VLOOKUP(Table311[[#This Row],[Date]],'DB Details'!$A:$Q,17))</f>
        <v>5.2363045756652182E-2</v>
      </c>
    </row>
    <row r="208" spans="1:5" x14ac:dyDescent="0.35">
      <c r="A208" s="58">
        <v>41760</v>
      </c>
      <c r="B208" s="48">
        <f>IF(VLOOKUP(Table311[[#This Row],[Date]],'DB Details'!$A:$Q,12)=0,"",VLOOKUP(Table311[[#This Row],[Date]],'DB Details'!$A:$Q,12))</f>
        <v>56.9</v>
      </c>
      <c r="C208" s="59">
        <f>IF(VLOOKUP(Table311[[#This Row],[Date]],'DB Details'!$A:$Q,16)=0,"",VLOOKUP(Table311[[#This Row],[Date]],'DB Details'!$A:$Q,16))</f>
        <v>2.45199916765882E-2</v>
      </c>
      <c r="D208" s="59">
        <f>IF(VLOOKUP(Table311[[#This Row],[Date]],'DB Details'!$A:$Q,15)=0,"",VLOOKUP(Table311[[#This Row],[Date]],'DB Details'!$A:$Q,15))</f>
        <v>1.2841289071790579E-2</v>
      </c>
      <c r="E208" s="59">
        <f>IF(VLOOKUP(Table311[[#This Row],[Date]],'DB Details'!$A:$Q,17)=0,"",VLOOKUP(Table311[[#This Row],[Date]],'DB Details'!$A:$Q,17))</f>
        <v>5.2363045756652182E-2</v>
      </c>
    </row>
    <row r="209" spans="1:5" x14ac:dyDescent="0.35">
      <c r="A209" s="58">
        <v>41791</v>
      </c>
      <c r="B209" s="48">
        <f>IF(VLOOKUP(Table311[[#This Row],[Date]],'DB Details'!$A:$Q,12)=0,"",VLOOKUP(Table311[[#This Row],[Date]],'DB Details'!$A:$Q,12))</f>
        <v>56.6</v>
      </c>
      <c r="C209" s="59">
        <f>IF(VLOOKUP(Table311[[#This Row],[Date]],'DB Details'!$A:$Q,16)=0,"",VLOOKUP(Table311[[#This Row],[Date]],'DB Details'!$A:$Q,16))</f>
        <v>2.45199916765882E-2</v>
      </c>
      <c r="D209" s="59">
        <f>IF(VLOOKUP(Table311[[#This Row],[Date]],'DB Details'!$A:$Q,15)=0,"",VLOOKUP(Table311[[#This Row],[Date]],'DB Details'!$A:$Q,15))</f>
        <v>1.2841289071790579E-2</v>
      </c>
      <c r="E209" s="59">
        <f>IF(VLOOKUP(Table311[[#This Row],[Date]],'DB Details'!$A:$Q,17)=0,"",VLOOKUP(Table311[[#This Row],[Date]],'DB Details'!$A:$Q,17))</f>
        <v>5.2363045756652182E-2</v>
      </c>
    </row>
    <row r="210" spans="1:5" x14ac:dyDescent="0.35">
      <c r="A210" s="58">
        <v>41821</v>
      </c>
      <c r="B210" s="48">
        <f>IF(VLOOKUP(Table311[[#This Row],[Date]],'DB Details'!$A:$Q,12)=0,"",VLOOKUP(Table311[[#This Row],[Date]],'DB Details'!$A:$Q,12))</f>
        <v>57.1</v>
      </c>
      <c r="C210" s="59">
        <f>IF(VLOOKUP(Table311[[#This Row],[Date]],'DB Details'!$A:$Q,16)=0,"",VLOOKUP(Table311[[#This Row],[Date]],'DB Details'!$A:$Q,16))</f>
        <v>2.831456925846958E-2</v>
      </c>
      <c r="D210" s="59">
        <f>IF(VLOOKUP(Table311[[#This Row],[Date]],'DB Details'!$A:$Q,15)=0,"",VLOOKUP(Table311[[#This Row],[Date]],'DB Details'!$A:$Q,15))</f>
        <v>1.1649616444854689E-2</v>
      </c>
      <c r="E210" s="59">
        <f>IF(VLOOKUP(Table311[[#This Row],[Date]],'DB Details'!$A:$Q,17)=0,"",VLOOKUP(Table311[[#This Row],[Date]],'DB Details'!$A:$Q,17))</f>
        <v>4.7419089621299371E-2</v>
      </c>
    </row>
    <row r="211" spans="1:5" x14ac:dyDescent="0.35">
      <c r="A211" s="58">
        <v>41852</v>
      </c>
      <c r="B211" s="48">
        <f>IF(VLOOKUP(Table311[[#This Row],[Date]],'DB Details'!$A:$Q,12)=0,"",VLOOKUP(Table311[[#This Row],[Date]],'DB Details'!$A:$Q,12))</f>
        <v>58</v>
      </c>
      <c r="C211" s="59">
        <f>IF(VLOOKUP(Table311[[#This Row],[Date]],'DB Details'!$A:$Q,16)=0,"",VLOOKUP(Table311[[#This Row],[Date]],'DB Details'!$A:$Q,16))</f>
        <v>2.831456925846958E-2</v>
      </c>
      <c r="D211" s="59">
        <f>IF(VLOOKUP(Table311[[#This Row],[Date]],'DB Details'!$A:$Q,15)=0,"",VLOOKUP(Table311[[#This Row],[Date]],'DB Details'!$A:$Q,15))</f>
        <v>1.1649616444854689E-2</v>
      </c>
      <c r="E211" s="59">
        <f>IF(VLOOKUP(Table311[[#This Row],[Date]],'DB Details'!$A:$Q,17)=0,"",VLOOKUP(Table311[[#This Row],[Date]],'DB Details'!$A:$Q,17))</f>
        <v>4.7419089621299371E-2</v>
      </c>
    </row>
    <row r="212" spans="1:5" x14ac:dyDescent="0.35">
      <c r="A212" s="58">
        <v>41883</v>
      </c>
      <c r="B212" s="48">
        <f>IF(VLOOKUP(Table311[[#This Row],[Date]],'DB Details'!$A:$Q,12)=0,"",VLOOKUP(Table311[[#This Row],[Date]],'DB Details'!$A:$Q,12))</f>
        <v>57.4</v>
      </c>
      <c r="C212" s="59">
        <f>IF(VLOOKUP(Table311[[#This Row],[Date]],'DB Details'!$A:$Q,16)=0,"",VLOOKUP(Table311[[#This Row],[Date]],'DB Details'!$A:$Q,16))</f>
        <v>2.831456925846958E-2</v>
      </c>
      <c r="D212" s="59">
        <f>IF(VLOOKUP(Table311[[#This Row],[Date]],'DB Details'!$A:$Q,15)=0,"",VLOOKUP(Table311[[#This Row],[Date]],'DB Details'!$A:$Q,15))</f>
        <v>1.1649616444854689E-2</v>
      </c>
      <c r="E212" s="59">
        <f>IF(VLOOKUP(Table311[[#This Row],[Date]],'DB Details'!$A:$Q,17)=0,"",VLOOKUP(Table311[[#This Row],[Date]],'DB Details'!$A:$Q,17))</f>
        <v>4.7419089621299371E-2</v>
      </c>
    </row>
    <row r="213" spans="1:5" x14ac:dyDescent="0.35">
      <c r="A213" s="58">
        <v>41913</v>
      </c>
      <c r="B213" s="48">
        <f>IF(VLOOKUP(Table311[[#This Row],[Date]],'DB Details'!$A:$Q,12)=0,"",VLOOKUP(Table311[[#This Row],[Date]],'DB Details'!$A:$Q,12))</f>
        <v>56</v>
      </c>
      <c r="C213" s="59">
        <f>IF(VLOOKUP(Table311[[#This Row],[Date]],'DB Details'!$A:$Q,16)=0,"",VLOOKUP(Table311[[#This Row],[Date]],'DB Details'!$A:$Q,16))</f>
        <v>2.5637596662669859E-2</v>
      </c>
      <c r="D213" s="59">
        <f>IF(VLOOKUP(Table311[[#This Row],[Date]],'DB Details'!$A:$Q,15)=0,"",VLOOKUP(Table311[[#This Row],[Date]],'DB Details'!$A:$Q,15))</f>
        <v>4.4899340248851054E-3</v>
      </c>
      <c r="E213" s="59">
        <f>IF(VLOOKUP(Table311[[#This Row],[Date]],'DB Details'!$A:$Q,17)=0,"",VLOOKUP(Table311[[#This Row],[Date]],'DB Details'!$A:$Q,17))</f>
        <v>1.808105561066875E-2</v>
      </c>
    </row>
    <row r="214" spans="1:5" x14ac:dyDescent="0.35">
      <c r="A214" s="58">
        <v>41944</v>
      </c>
      <c r="B214" s="48">
        <f>IF(VLOOKUP(Table311[[#This Row],[Date]],'DB Details'!$A:$Q,12)=0,"",VLOOKUP(Table311[[#This Row],[Date]],'DB Details'!$A:$Q,12))</f>
        <v>58.7</v>
      </c>
      <c r="C214" s="59">
        <f>IF(VLOOKUP(Table311[[#This Row],[Date]],'DB Details'!$A:$Q,16)=0,"",VLOOKUP(Table311[[#This Row],[Date]],'DB Details'!$A:$Q,16))</f>
        <v>2.5637596662669859E-2</v>
      </c>
      <c r="D214" s="59">
        <f>IF(VLOOKUP(Table311[[#This Row],[Date]],'DB Details'!$A:$Q,15)=0,"",VLOOKUP(Table311[[#This Row],[Date]],'DB Details'!$A:$Q,15))</f>
        <v>4.4899340248851054E-3</v>
      </c>
      <c r="E214" s="59">
        <f>IF(VLOOKUP(Table311[[#This Row],[Date]],'DB Details'!$A:$Q,17)=0,"",VLOOKUP(Table311[[#This Row],[Date]],'DB Details'!$A:$Q,17))</f>
        <v>1.808105561066875E-2</v>
      </c>
    </row>
    <row r="215" spans="1:5" x14ac:dyDescent="0.35">
      <c r="A215" s="58">
        <v>41974</v>
      </c>
      <c r="B215" s="48">
        <f>IF(VLOOKUP(Table311[[#This Row],[Date]],'DB Details'!$A:$Q,12)=0,"",VLOOKUP(Table311[[#This Row],[Date]],'DB Details'!$A:$Q,12))</f>
        <v>56.4</v>
      </c>
      <c r="C215" s="59">
        <f>IF(VLOOKUP(Table311[[#This Row],[Date]],'DB Details'!$A:$Q,16)=0,"",VLOOKUP(Table311[[#This Row],[Date]],'DB Details'!$A:$Q,16))</f>
        <v>2.5637596662669859E-2</v>
      </c>
      <c r="D215" s="59">
        <f>IF(VLOOKUP(Table311[[#This Row],[Date]],'DB Details'!$A:$Q,15)=0,"",VLOOKUP(Table311[[#This Row],[Date]],'DB Details'!$A:$Q,15))</f>
        <v>4.4899340248851054E-3</v>
      </c>
      <c r="E215" s="59">
        <f>IF(VLOOKUP(Table311[[#This Row],[Date]],'DB Details'!$A:$Q,17)=0,"",VLOOKUP(Table311[[#This Row],[Date]],'DB Details'!$A:$Q,17))</f>
        <v>1.808105561066875E-2</v>
      </c>
    </row>
    <row r="216" spans="1:5" x14ac:dyDescent="0.35">
      <c r="A216" s="58">
        <v>42005</v>
      </c>
      <c r="B216" s="48">
        <f>IF(VLOOKUP(Table311[[#This Row],[Date]],'DB Details'!$A:$Q,12)=0,"",VLOOKUP(Table311[[#This Row],[Date]],'DB Details'!$A:$Q,12))</f>
        <v>57.3</v>
      </c>
      <c r="C216" s="59">
        <f>IF(VLOOKUP(Table311[[#This Row],[Date]],'DB Details'!$A:$Q,16)=0,"",VLOOKUP(Table311[[#This Row],[Date]],'DB Details'!$A:$Q,16))</f>
        <v>3.7612027730824553E-2</v>
      </c>
      <c r="D216" s="59">
        <f>IF(VLOOKUP(Table311[[#This Row],[Date]],'DB Details'!$A:$Q,15)=0,"",VLOOKUP(Table311[[#This Row],[Date]],'DB Details'!$A:$Q,15))</f>
        <v>8.1331362646857273E-3</v>
      </c>
      <c r="E216" s="59">
        <f>IF(VLOOKUP(Table311[[#This Row],[Date]],'DB Details'!$A:$Q,17)=0,"",VLOOKUP(Table311[[#This Row],[Date]],'DB Details'!$A:$Q,17))</f>
        <v>3.2931588827004088E-2</v>
      </c>
    </row>
    <row r="217" spans="1:5" x14ac:dyDescent="0.35">
      <c r="A217" s="58">
        <v>42036</v>
      </c>
      <c r="B217" s="48">
        <f>IF(VLOOKUP(Table311[[#This Row],[Date]],'DB Details'!$A:$Q,12)=0,"",VLOOKUP(Table311[[#This Row],[Date]],'DB Details'!$A:$Q,12))</f>
        <v>57.6</v>
      </c>
      <c r="C217" s="59">
        <f>IF(VLOOKUP(Table311[[#This Row],[Date]],'DB Details'!$A:$Q,16)=0,"",VLOOKUP(Table311[[#This Row],[Date]],'DB Details'!$A:$Q,16))</f>
        <v>3.7612027730824553E-2</v>
      </c>
      <c r="D217" s="59">
        <f>IF(VLOOKUP(Table311[[#This Row],[Date]],'DB Details'!$A:$Q,15)=0,"",VLOOKUP(Table311[[#This Row],[Date]],'DB Details'!$A:$Q,15))</f>
        <v>8.1331362646857273E-3</v>
      </c>
      <c r="E217" s="59">
        <f>IF(VLOOKUP(Table311[[#This Row],[Date]],'DB Details'!$A:$Q,17)=0,"",VLOOKUP(Table311[[#This Row],[Date]],'DB Details'!$A:$Q,17))</f>
        <v>3.2931588827004088E-2</v>
      </c>
    </row>
    <row r="218" spans="1:5" x14ac:dyDescent="0.35">
      <c r="A218" s="58">
        <v>42064</v>
      </c>
      <c r="B218" s="48">
        <f>IF(VLOOKUP(Table311[[#This Row],[Date]],'DB Details'!$A:$Q,12)=0,"",VLOOKUP(Table311[[#This Row],[Date]],'DB Details'!$A:$Q,12))</f>
        <v>57.5</v>
      </c>
      <c r="C218" s="59">
        <f>IF(VLOOKUP(Table311[[#This Row],[Date]],'DB Details'!$A:$Q,16)=0,"",VLOOKUP(Table311[[#This Row],[Date]],'DB Details'!$A:$Q,16))</f>
        <v>3.7612027730824553E-2</v>
      </c>
      <c r="D218" s="59">
        <f>IF(VLOOKUP(Table311[[#This Row],[Date]],'DB Details'!$A:$Q,15)=0,"",VLOOKUP(Table311[[#This Row],[Date]],'DB Details'!$A:$Q,15))</f>
        <v>8.1331362646857273E-3</v>
      </c>
      <c r="E218" s="59">
        <f>IF(VLOOKUP(Table311[[#This Row],[Date]],'DB Details'!$A:$Q,17)=0,"",VLOOKUP(Table311[[#This Row],[Date]],'DB Details'!$A:$Q,17))</f>
        <v>3.2931588827004088E-2</v>
      </c>
    </row>
    <row r="219" spans="1:5" x14ac:dyDescent="0.35">
      <c r="A219" s="58">
        <v>42095</v>
      </c>
      <c r="B219" s="48">
        <f>IF(VLOOKUP(Table311[[#This Row],[Date]],'DB Details'!$A:$Q,12)=0,"",VLOOKUP(Table311[[#This Row],[Date]],'DB Details'!$A:$Q,12))</f>
        <v>57.5</v>
      </c>
      <c r="C219" s="59">
        <f>IF(VLOOKUP(Table311[[#This Row],[Date]],'DB Details'!$A:$Q,16)=0,"",VLOOKUP(Table311[[#This Row],[Date]],'DB Details'!$A:$Q,16))</f>
        <v>3.0398546748778989E-2</v>
      </c>
      <c r="D219" s="59">
        <f>IF(VLOOKUP(Table311[[#This Row],[Date]],'DB Details'!$A:$Q,15)=0,"",VLOOKUP(Table311[[#This Row],[Date]],'DB Details'!$A:$Q,15))</f>
        <v>5.800014316593537E-3</v>
      </c>
      <c r="E219" s="59">
        <f>IF(VLOOKUP(Table311[[#This Row],[Date]],'DB Details'!$A:$Q,17)=0,"",VLOOKUP(Table311[[#This Row],[Date]],'DB Details'!$A:$Q,17))</f>
        <v>2.3402679848250289E-2</v>
      </c>
    </row>
    <row r="220" spans="1:5" x14ac:dyDescent="0.35">
      <c r="A220" s="58">
        <v>42125</v>
      </c>
      <c r="B220" s="48">
        <f>IF(VLOOKUP(Table311[[#This Row],[Date]],'DB Details'!$A:$Q,12)=0,"",VLOOKUP(Table311[[#This Row],[Date]],'DB Details'!$A:$Q,12))</f>
        <v>56.8</v>
      </c>
      <c r="C220" s="59">
        <f>IF(VLOOKUP(Table311[[#This Row],[Date]],'DB Details'!$A:$Q,16)=0,"",VLOOKUP(Table311[[#This Row],[Date]],'DB Details'!$A:$Q,16))</f>
        <v>3.0398546748778989E-2</v>
      </c>
      <c r="D220" s="59">
        <f>IF(VLOOKUP(Table311[[#This Row],[Date]],'DB Details'!$A:$Q,15)=0,"",VLOOKUP(Table311[[#This Row],[Date]],'DB Details'!$A:$Q,15))</f>
        <v>5.800014316593537E-3</v>
      </c>
      <c r="E220" s="59">
        <f>IF(VLOOKUP(Table311[[#This Row],[Date]],'DB Details'!$A:$Q,17)=0,"",VLOOKUP(Table311[[#This Row],[Date]],'DB Details'!$A:$Q,17))</f>
        <v>2.3402679848250289E-2</v>
      </c>
    </row>
    <row r="221" spans="1:5" x14ac:dyDescent="0.35">
      <c r="A221" s="58">
        <v>42156</v>
      </c>
      <c r="B221" s="48">
        <f>IF(VLOOKUP(Table311[[#This Row],[Date]],'DB Details'!$A:$Q,12)=0,"",VLOOKUP(Table311[[#This Row],[Date]],'DB Details'!$A:$Q,12))</f>
        <v>56</v>
      </c>
      <c r="C221" s="59">
        <f>IF(VLOOKUP(Table311[[#This Row],[Date]],'DB Details'!$A:$Q,16)=0,"",VLOOKUP(Table311[[#This Row],[Date]],'DB Details'!$A:$Q,16))</f>
        <v>3.0398546748778989E-2</v>
      </c>
      <c r="D221" s="59">
        <f>IF(VLOOKUP(Table311[[#This Row],[Date]],'DB Details'!$A:$Q,15)=0,"",VLOOKUP(Table311[[#This Row],[Date]],'DB Details'!$A:$Q,15))</f>
        <v>5.800014316593537E-3</v>
      </c>
      <c r="E221" s="59">
        <f>IF(VLOOKUP(Table311[[#This Row],[Date]],'DB Details'!$A:$Q,17)=0,"",VLOOKUP(Table311[[#This Row],[Date]],'DB Details'!$A:$Q,17))</f>
        <v>2.3402679848250289E-2</v>
      </c>
    </row>
    <row r="222" spans="1:5" x14ac:dyDescent="0.35">
      <c r="A222" s="58">
        <v>42186</v>
      </c>
      <c r="B222" s="48">
        <f>IF(VLOOKUP(Table311[[#This Row],[Date]],'DB Details'!$A:$Q,12)=0,"",VLOOKUP(Table311[[#This Row],[Date]],'DB Details'!$A:$Q,12))</f>
        <v>59.3</v>
      </c>
      <c r="C222" s="59">
        <f>IF(VLOOKUP(Table311[[#This Row],[Date]],'DB Details'!$A:$Q,16)=0,"",VLOOKUP(Table311[[#This Row],[Date]],'DB Details'!$A:$Q,16))</f>
        <v>2.1826685112633061E-2</v>
      </c>
      <c r="D222" s="59">
        <f>IF(VLOOKUP(Table311[[#This Row],[Date]],'DB Details'!$A:$Q,15)=0,"",VLOOKUP(Table311[[#This Row],[Date]],'DB Details'!$A:$Q,15))</f>
        <v>3.233726725495796E-3</v>
      </c>
      <c r="E222" s="59">
        <f>IF(VLOOKUP(Table311[[#This Row],[Date]],'DB Details'!$A:$Q,17)=0,"",VLOOKUP(Table311[[#This Row],[Date]],'DB Details'!$A:$Q,17))</f>
        <v>1.299778420271624E-2</v>
      </c>
    </row>
    <row r="223" spans="1:5" x14ac:dyDescent="0.35">
      <c r="A223" s="58">
        <v>42217</v>
      </c>
      <c r="B223" s="48">
        <f>IF(VLOOKUP(Table311[[#This Row],[Date]],'DB Details'!$A:$Q,12)=0,"",VLOOKUP(Table311[[#This Row],[Date]],'DB Details'!$A:$Q,12))</f>
        <v>58.4</v>
      </c>
      <c r="C223" s="59">
        <f>IF(VLOOKUP(Table311[[#This Row],[Date]],'DB Details'!$A:$Q,16)=0,"",VLOOKUP(Table311[[#This Row],[Date]],'DB Details'!$A:$Q,16))</f>
        <v>2.1826685112633061E-2</v>
      </c>
      <c r="D223" s="59">
        <f>IF(VLOOKUP(Table311[[#This Row],[Date]],'DB Details'!$A:$Q,15)=0,"",VLOOKUP(Table311[[#This Row],[Date]],'DB Details'!$A:$Q,15))</f>
        <v>3.233726725495796E-3</v>
      </c>
      <c r="E223" s="59">
        <f>IF(VLOOKUP(Table311[[#This Row],[Date]],'DB Details'!$A:$Q,17)=0,"",VLOOKUP(Table311[[#This Row],[Date]],'DB Details'!$A:$Q,17))</f>
        <v>1.299778420271624E-2</v>
      </c>
    </row>
    <row r="224" spans="1:5" x14ac:dyDescent="0.35">
      <c r="A224" s="58">
        <v>42248</v>
      </c>
      <c r="B224" s="48">
        <f>IF(VLOOKUP(Table311[[#This Row],[Date]],'DB Details'!$A:$Q,12)=0,"",VLOOKUP(Table311[[#This Row],[Date]],'DB Details'!$A:$Q,12))</f>
        <v>56.1</v>
      </c>
      <c r="C224" s="59">
        <f>IF(VLOOKUP(Table311[[#This Row],[Date]],'DB Details'!$A:$Q,16)=0,"",VLOOKUP(Table311[[#This Row],[Date]],'DB Details'!$A:$Q,16))</f>
        <v>2.1826685112633061E-2</v>
      </c>
      <c r="D224" s="59">
        <f>IF(VLOOKUP(Table311[[#This Row],[Date]],'DB Details'!$A:$Q,15)=0,"",VLOOKUP(Table311[[#This Row],[Date]],'DB Details'!$A:$Q,15))</f>
        <v>3.233726725495796E-3</v>
      </c>
      <c r="E224" s="59">
        <f>IF(VLOOKUP(Table311[[#This Row],[Date]],'DB Details'!$A:$Q,17)=0,"",VLOOKUP(Table311[[#This Row],[Date]],'DB Details'!$A:$Q,17))</f>
        <v>1.299778420271624E-2</v>
      </c>
    </row>
    <row r="225" spans="1:5" x14ac:dyDescent="0.35">
      <c r="A225" s="58">
        <v>42278</v>
      </c>
      <c r="B225" s="48">
        <f>IF(VLOOKUP(Table311[[#This Row],[Date]],'DB Details'!$A:$Q,12)=0,"",VLOOKUP(Table311[[#This Row],[Date]],'DB Details'!$A:$Q,12))</f>
        <v>57.9</v>
      </c>
      <c r="C225" s="59">
        <f>IF(VLOOKUP(Table311[[#This Row],[Date]],'DB Details'!$A:$Q,16)=0,"",VLOOKUP(Table311[[#This Row],[Date]],'DB Details'!$A:$Q,16))</f>
        <v>1.874684058645722E-2</v>
      </c>
      <c r="D225" s="59">
        <f>IF(VLOOKUP(Table311[[#This Row],[Date]],'DB Details'!$A:$Q,15)=0,"",VLOOKUP(Table311[[#This Row],[Date]],'DB Details'!$A:$Q,15))</f>
        <v>1.462343465763751E-3</v>
      </c>
      <c r="E225" s="59">
        <f>IF(VLOOKUP(Table311[[#This Row],[Date]],'DB Details'!$A:$Q,17)=0,"",VLOOKUP(Table311[[#This Row],[Date]],'DB Details'!$A:$Q,17))</f>
        <v>5.8622170666831064E-3</v>
      </c>
    </row>
    <row r="226" spans="1:5" x14ac:dyDescent="0.35">
      <c r="A226" s="58">
        <v>42309</v>
      </c>
      <c r="B226" s="48">
        <f>IF(VLOOKUP(Table311[[#This Row],[Date]],'DB Details'!$A:$Q,12)=0,"",VLOOKUP(Table311[[#This Row],[Date]],'DB Details'!$A:$Q,12))</f>
        <v>55.8</v>
      </c>
      <c r="C226" s="59">
        <f>IF(VLOOKUP(Table311[[#This Row],[Date]],'DB Details'!$A:$Q,16)=0,"",VLOOKUP(Table311[[#This Row],[Date]],'DB Details'!$A:$Q,16))</f>
        <v>1.874684058645722E-2</v>
      </c>
      <c r="D226" s="59">
        <f>IF(VLOOKUP(Table311[[#This Row],[Date]],'DB Details'!$A:$Q,15)=0,"",VLOOKUP(Table311[[#This Row],[Date]],'DB Details'!$A:$Q,15))</f>
        <v>1.462343465763751E-3</v>
      </c>
      <c r="E226" s="59">
        <f>IF(VLOOKUP(Table311[[#This Row],[Date]],'DB Details'!$A:$Q,17)=0,"",VLOOKUP(Table311[[#This Row],[Date]],'DB Details'!$A:$Q,17))</f>
        <v>5.8622170666831064E-3</v>
      </c>
    </row>
    <row r="227" spans="1:5" x14ac:dyDescent="0.35">
      <c r="A227" s="58">
        <v>42339</v>
      </c>
      <c r="B227" s="48">
        <f>IF(VLOOKUP(Table311[[#This Row],[Date]],'DB Details'!$A:$Q,12)=0,"",VLOOKUP(Table311[[#This Row],[Date]],'DB Details'!$A:$Q,12))</f>
        <v>55.3</v>
      </c>
      <c r="C227" s="59">
        <f>IF(VLOOKUP(Table311[[#This Row],[Date]],'DB Details'!$A:$Q,16)=0,"",VLOOKUP(Table311[[#This Row],[Date]],'DB Details'!$A:$Q,16))</f>
        <v>1.874684058645722E-2</v>
      </c>
      <c r="D227" s="59">
        <f>IF(VLOOKUP(Table311[[#This Row],[Date]],'DB Details'!$A:$Q,15)=0,"",VLOOKUP(Table311[[#This Row],[Date]],'DB Details'!$A:$Q,15))</f>
        <v>1.462343465763751E-3</v>
      </c>
      <c r="E227" s="59">
        <f>IF(VLOOKUP(Table311[[#This Row],[Date]],'DB Details'!$A:$Q,17)=0,"",VLOOKUP(Table311[[#This Row],[Date]],'DB Details'!$A:$Q,17))</f>
        <v>5.8622170666831064E-3</v>
      </c>
    </row>
    <row r="228" spans="1:5" x14ac:dyDescent="0.35">
      <c r="A228" s="58">
        <v>42370</v>
      </c>
      <c r="B228" s="48">
        <f>IF(VLOOKUP(Table311[[#This Row],[Date]],'DB Details'!$A:$Q,12)=0,"",VLOOKUP(Table311[[#This Row],[Date]],'DB Details'!$A:$Q,12))</f>
        <v>54</v>
      </c>
      <c r="C228" s="59">
        <f>IF(VLOOKUP(Table311[[#This Row],[Date]],'DB Details'!$A:$Q,16)=0,"",VLOOKUP(Table311[[#This Row],[Date]],'DB Details'!$A:$Q,16))</f>
        <v>1.6481906030485969E-2</v>
      </c>
      <c r="D228" s="59">
        <f>IF(VLOOKUP(Table311[[#This Row],[Date]],'DB Details'!$A:$Q,15)=0,"",VLOOKUP(Table311[[#This Row],[Date]],'DB Details'!$A:$Q,15))</f>
        <v>5.8917986856350706E-3</v>
      </c>
      <c r="E228" s="59">
        <f>IF(VLOOKUP(Table311[[#This Row],[Date]],'DB Details'!$A:$Q,17)=0,"",VLOOKUP(Table311[[#This Row],[Date]],'DB Details'!$A:$Q,17))</f>
        <v>2.377629379297197E-2</v>
      </c>
    </row>
    <row r="229" spans="1:5" x14ac:dyDescent="0.35">
      <c r="A229" s="58">
        <v>42401</v>
      </c>
      <c r="B229" s="48">
        <f>IF(VLOOKUP(Table311[[#This Row],[Date]],'DB Details'!$A:$Q,12)=0,"",VLOOKUP(Table311[[#This Row],[Date]],'DB Details'!$A:$Q,12))</f>
        <v>54</v>
      </c>
      <c r="C229" s="59">
        <f>IF(VLOOKUP(Table311[[#This Row],[Date]],'DB Details'!$A:$Q,16)=0,"",VLOOKUP(Table311[[#This Row],[Date]],'DB Details'!$A:$Q,16))</f>
        <v>1.6481906030485969E-2</v>
      </c>
      <c r="D229" s="59">
        <f>IF(VLOOKUP(Table311[[#This Row],[Date]],'DB Details'!$A:$Q,15)=0,"",VLOOKUP(Table311[[#This Row],[Date]],'DB Details'!$A:$Q,15))</f>
        <v>5.8917986856350706E-3</v>
      </c>
      <c r="E229" s="59">
        <f>IF(VLOOKUP(Table311[[#This Row],[Date]],'DB Details'!$A:$Q,17)=0,"",VLOOKUP(Table311[[#This Row],[Date]],'DB Details'!$A:$Q,17))</f>
        <v>2.377629379297197E-2</v>
      </c>
    </row>
    <row r="230" spans="1:5" x14ac:dyDescent="0.35">
      <c r="A230" s="58">
        <v>42430</v>
      </c>
      <c r="B230" s="48">
        <f>IF(VLOOKUP(Table311[[#This Row],[Date]],'DB Details'!$A:$Q,12)=0,"",VLOOKUP(Table311[[#This Row],[Date]],'DB Details'!$A:$Q,12))</f>
        <v>55.2</v>
      </c>
      <c r="C230" s="59">
        <f>IF(VLOOKUP(Table311[[#This Row],[Date]],'DB Details'!$A:$Q,16)=0,"",VLOOKUP(Table311[[#This Row],[Date]],'DB Details'!$A:$Q,16))</f>
        <v>1.6481906030485969E-2</v>
      </c>
      <c r="D230" s="59">
        <f>IF(VLOOKUP(Table311[[#This Row],[Date]],'DB Details'!$A:$Q,15)=0,"",VLOOKUP(Table311[[#This Row],[Date]],'DB Details'!$A:$Q,15))</f>
        <v>5.8917986856350706E-3</v>
      </c>
      <c r="E230" s="59">
        <f>IF(VLOOKUP(Table311[[#This Row],[Date]],'DB Details'!$A:$Q,17)=0,"",VLOOKUP(Table311[[#This Row],[Date]],'DB Details'!$A:$Q,17))</f>
        <v>2.377629379297197E-2</v>
      </c>
    </row>
    <row r="231" spans="1:5" x14ac:dyDescent="0.35">
      <c r="A231" s="58">
        <v>42461</v>
      </c>
      <c r="B231" s="48">
        <f>IF(VLOOKUP(Table311[[#This Row],[Date]],'DB Details'!$A:$Q,12)=0,"",VLOOKUP(Table311[[#This Row],[Date]],'DB Details'!$A:$Q,12))</f>
        <v>55.6</v>
      </c>
      <c r="C231" s="59">
        <f>IF(VLOOKUP(Table311[[#This Row],[Date]],'DB Details'!$A:$Q,16)=0,"",VLOOKUP(Table311[[#This Row],[Date]],'DB Details'!$A:$Q,16))</f>
        <v>1.367629650405968E-2</v>
      </c>
      <c r="D231" s="59">
        <f>IF(VLOOKUP(Table311[[#This Row],[Date]],'DB Details'!$A:$Q,15)=0,"",VLOOKUP(Table311[[#This Row],[Date]],'DB Details'!$A:$Q,15))</f>
        <v>3.0238880667262818E-3</v>
      </c>
      <c r="E231" s="59">
        <f>IF(VLOOKUP(Table311[[#This Row],[Date]],'DB Details'!$A:$Q,17)=0,"",VLOOKUP(Table311[[#This Row],[Date]],'DB Details'!$A:$Q,17))</f>
        <v>1.21505263452657E-2</v>
      </c>
    </row>
    <row r="232" spans="1:5" x14ac:dyDescent="0.35">
      <c r="A232" s="58">
        <v>42491</v>
      </c>
      <c r="B232" s="48">
        <f>IF(VLOOKUP(Table311[[#This Row],[Date]],'DB Details'!$A:$Q,12)=0,"",VLOOKUP(Table311[[#This Row],[Date]],'DB Details'!$A:$Q,12))</f>
        <v>53.8</v>
      </c>
      <c r="C232" s="59">
        <f>IF(VLOOKUP(Table311[[#This Row],[Date]],'DB Details'!$A:$Q,16)=0,"",VLOOKUP(Table311[[#This Row],[Date]],'DB Details'!$A:$Q,16))</f>
        <v>1.367629650405968E-2</v>
      </c>
      <c r="D232" s="59">
        <f>IF(VLOOKUP(Table311[[#This Row],[Date]],'DB Details'!$A:$Q,15)=0,"",VLOOKUP(Table311[[#This Row],[Date]],'DB Details'!$A:$Q,15))</f>
        <v>3.0238880667262818E-3</v>
      </c>
      <c r="E232" s="59">
        <f>IF(VLOOKUP(Table311[[#This Row],[Date]],'DB Details'!$A:$Q,17)=0,"",VLOOKUP(Table311[[#This Row],[Date]],'DB Details'!$A:$Q,17))</f>
        <v>1.21505263452657E-2</v>
      </c>
    </row>
    <row r="233" spans="1:5" x14ac:dyDescent="0.35">
      <c r="A233" s="58">
        <v>42522</v>
      </c>
      <c r="B233" s="48">
        <f>IF(VLOOKUP(Table311[[#This Row],[Date]],'DB Details'!$A:$Q,12)=0,"",VLOOKUP(Table311[[#This Row],[Date]],'DB Details'!$A:$Q,12))</f>
        <v>56</v>
      </c>
      <c r="C233" s="59">
        <f>IF(VLOOKUP(Table311[[#This Row],[Date]],'DB Details'!$A:$Q,16)=0,"",VLOOKUP(Table311[[#This Row],[Date]],'DB Details'!$A:$Q,16))</f>
        <v>1.367629650405968E-2</v>
      </c>
      <c r="D233" s="59">
        <f>IF(VLOOKUP(Table311[[#This Row],[Date]],'DB Details'!$A:$Q,15)=0,"",VLOOKUP(Table311[[#This Row],[Date]],'DB Details'!$A:$Q,15))</f>
        <v>3.0238880667262818E-3</v>
      </c>
      <c r="E233" s="59">
        <f>IF(VLOOKUP(Table311[[#This Row],[Date]],'DB Details'!$A:$Q,17)=0,"",VLOOKUP(Table311[[#This Row],[Date]],'DB Details'!$A:$Q,17))</f>
        <v>1.21505263452657E-2</v>
      </c>
    </row>
    <row r="234" spans="1:5" x14ac:dyDescent="0.35">
      <c r="A234" s="58">
        <v>42552</v>
      </c>
      <c r="B234" s="48">
        <f>IF(VLOOKUP(Table311[[#This Row],[Date]],'DB Details'!$A:$Q,12)=0,"",VLOOKUP(Table311[[#This Row],[Date]],'DB Details'!$A:$Q,12))</f>
        <v>55.2</v>
      </c>
      <c r="C234" s="59">
        <f>IF(VLOOKUP(Table311[[#This Row],[Date]],'DB Details'!$A:$Q,16)=0,"",VLOOKUP(Table311[[#This Row],[Date]],'DB Details'!$A:$Q,16))</f>
        <v>1.6482633560206159E-2</v>
      </c>
      <c r="D234" s="59">
        <f>IF(VLOOKUP(Table311[[#This Row],[Date]],'DB Details'!$A:$Q,15)=0,"",VLOOKUP(Table311[[#This Row],[Date]],'DB Details'!$A:$Q,15))</f>
        <v>6.0111537926921072E-3</v>
      </c>
      <c r="E234" s="59">
        <f>IF(VLOOKUP(Table311[[#This Row],[Date]],'DB Details'!$A:$Q,17)=0,"",VLOOKUP(Table311[[#This Row],[Date]],'DB Details'!$A:$Q,17))</f>
        <v>2.426228912334993E-2</v>
      </c>
    </row>
    <row r="235" spans="1:5" x14ac:dyDescent="0.35">
      <c r="A235" s="58">
        <v>42583</v>
      </c>
      <c r="B235" s="48">
        <f>IF(VLOOKUP(Table311[[#This Row],[Date]],'DB Details'!$A:$Q,12)=0,"",VLOOKUP(Table311[[#This Row],[Date]],'DB Details'!$A:$Q,12))</f>
        <v>51.6</v>
      </c>
      <c r="C235" s="59">
        <f>IF(VLOOKUP(Table311[[#This Row],[Date]],'DB Details'!$A:$Q,16)=0,"",VLOOKUP(Table311[[#This Row],[Date]],'DB Details'!$A:$Q,16))</f>
        <v>1.6482633560206159E-2</v>
      </c>
      <c r="D235" s="59">
        <f>IF(VLOOKUP(Table311[[#This Row],[Date]],'DB Details'!$A:$Q,15)=0,"",VLOOKUP(Table311[[#This Row],[Date]],'DB Details'!$A:$Q,15))</f>
        <v>6.0111537926921072E-3</v>
      </c>
      <c r="E235" s="59">
        <f>IF(VLOOKUP(Table311[[#This Row],[Date]],'DB Details'!$A:$Q,17)=0,"",VLOOKUP(Table311[[#This Row],[Date]],'DB Details'!$A:$Q,17))</f>
        <v>2.426228912334993E-2</v>
      </c>
    </row>
    <row r="236" spans="1:5" x14ac:dyDescent="0.35">
      <c r="A236" s="58">
        <v>42614</v>
      </c>
      <c r="B236" s="48">
        <f>IF(VLOOKUP(Table311[[#This Row],[Date]],'DB Details'!$A:$Q,12)=0,"",VLOOKUP(Table311[[#This Row],[Date]],'DB Details'!$A:$Q,12))</f>
        <v>56.3</v>
      </c>
      <c r="C236" s="59">
        <f>IF(VLOOKUP(Table311[[#This Row],[Date]],'DB Details'!$A:$Q,16)=0,"",VLOOKUP(Table311[[#This Row],[Date]],'DB Details'!$A:$Q,16))</f>
        <v>1.6482633560206159E-2</v>
      </c>
      <c r="D236" s="59">
        <f>IF(VLOOKUP(Table311[[#This Row],[Date]],'DB Details'!$A:$Q,15)=0,"",VLOOKUP(Table311[[#This Row],[Date]],'DB Details'!$A:$Q,15))</f>
        <v>6.0111537926921072E-3</v>
      </c>
      <c r="E236" s="59">
        <f>IF(VLOOKUP(Table311[[#This Row],[Date]],'DB Details'!$A:$Q,17)=0,"",VLOOKUP(Table311[[#This Row],[Date]],'DB Details'!$A:$Q,17))</f>
        <v>2.426228912334993E-2</v>
      </c>
    </row>
    <row r="237" spans="1:5" x14ac:dyDescent="0.35">
      <c r="A237" s="58">
        <v>42644</v>
      </c>
      <c r="B237" s="48">
        <f>IF(VLOOKUP(Table311[[#This Row],[Date]],'DB Details'!$A:$Q,12)=0,"",VLOOKUP(Table311[[#This Row],[Date]],'DB Details'!$A:$Q,12))</f>
        <v>54.4</v>
      </c>
      <c r="C237" s="59">
        <f>IF(VLOOKUP(Table311[[#This Row],[Date]],'DB Details'!$A:$Q,16)=0,"",VLOOKUP(Table311[[#This Row],[Date]],'DB Details'!$A:$Q,16))</f>
        <v>2.0041770462427101E-2</v>
      </c>
      <c r="D237" s="59">
        <f>IF(VLOOKUP(Table311[[#This Row],[Date]],'DB Details'!$A:$Q,15)=0,"",VLOOKUP(Table311[[#This Row],[Date]],'DB Details'!$A:$Q,15))</f>
        <v>4.9688879606063626E-3</v>
      </c>
      <c r="E237" s="59">
        <f>IF(VLOOKUP(Table311[[#This Row],[Date]],'DB Details'!$A:$Q,17)=0,"",VLOOKUP(Table311[[#This Row],[Date]],'DB Details'!$A:$Q,17))</f>
        <v>2.002418226174996E-2</v>
      </c>
    </row>
    <row r="238" spans="1:5" x14ac:dyDescent="0.35">
      <c r="A238" s="58">
        <v>42675</v>
      </c>
      <c r="B238" s="48">
        <f>IF(VLOOKUP(Table311[[#This Row],[Date]],'DB Details'!$A:$Q,12)=0,"",VLOOKUP(Table311[[#This Row],[Date]],'DB Details'!$A:$Q,12))</f>
        <v>56.2</v>
      </c>
      <c r="C238" s="59">
        <f>IF(VLOOKUP(Table311[[#This Row],[Date]],'DB Details'!$A:$Q,16)=0,"",VLOOKUP(Table311[[#This Row],[Date]],'DB Details'!$A:$Q,16))</f>
        <v>2.0041770462427101E-2</v>
      </c>
      <c r="D238" s="59">
        <f>IF(VLOOKUP(Table311[[#This Row],[Date]],'DB Details'!$A:$Q,15)=0,"",VLOOKUP(Table311[[#This Row],[Date]],'DB Details'!$A:$Q,15))</f>
        <v>4.9688879606063626E-3</v>
      </c>
      <c r="E238" s="59">
        <f>IF(VLOOKUP(Table311[[#This Row],[Date]],'DB Details'!$A:$Q,17)=0,"",VLOOKUP(Table311[[#This Row],[Date]],'DB Details'!$A:$Q,17))</f>
        <v>2.002418226174996E-2</v>
      </c>
    </row>
    <row r="239" spans="1:5" x14ac:dyDescent="0.35">
      <c r="A239" s="58">
        <v>42705</v>
      </c>
      <c r="B239" s="48">
        <f>IF(VLOOKUP(Table311[[#This Row],[Date]],'DB Details'!$A:$Q,12)=0,"",VLOOKUP(Table311[[#This Row],[Date]],'DB Details'!$A:$Q,12))</f>
        <v>56.7</v>
      </c>
      <c r="C239" s="59">
        <f>IF(VLOOKUP(Table311[[#This Row],[Date]],'DB Details'!$A:$Q,16)=0,"",VLOOKUP(Table311[[#This Row],[Date]],'DB Details'!$A:$Q,16))</f>
        <v>2.0041770462427101E-2</v>
      </c>
      <c r="D239" s="59">
        <f>IF(VLOOKUP(Table311[[#This Row],[Date]],'DB Details'!$A:$Q,15)=0,"",VLOOKUP(Table311[[#This Row],[Date]],'DB Details'!$A:$Q,15))</f>
        <v>4.9688879606063626E-3</v>
      </c>
      <c r="E239" s="59">
        <f>IF(VLOOKUP(Table311[[#This Row],[Date]],'DB Details'!$A:$Q,17)=0,"",VLOOKUP(Table311[[#This Row],[Date]],'DB Details'!$A:$Q,17))</f>
        <v>2.002418226174996E-2</v>
      </c>
    </row>
    <row r="240" spans="1:5" x14ac:dyDescent="0.35">
      <c r="A240" s="58">
        <v>42736</v>
      </c>
      <c r="B240" s="48">
        <f>IF(VLOOKUP(Table311[[#This Row],[Date]],'DB Details'!$A:$Q,12)=0,"",VLOOKUP(Table311[[#This Row],[Date]],'DB Details'!$A:$Q,12))</f>
        <v>56.8</v>
      </c>
      <c r="C240" s="59">
        <f>IF(VLOOKUP(Table311[[#This Row],[Date]],'DB Details'!$A:$Q,16)=0,"",VLOOKUP(Table311[[#This Row],[Date]],'DB Details'!$A:$Q,16))</f>
        <v>1.8852788696456339E-2</v>
      </c>
      <c r="D240" s="59">
        <f>IF(VLOOKUP(Table311[[#This Row],[Date]],'DB Details'!$A:$Q,15)=0,"",VLOOKUP(Table311[[#This Row],[Date]],'DB Details'!$A:$Q,15))</f>
        <v>4.719310419164807E-3</v>
      </c>
      <c r="E240" s="59">
        <f>IF(VLOOKUP(Table311[[#This Row],[Date]],'DB Details'!$A:$Q,17)=0,"",VLOOKUP(Table311[[#This Row],[Date]],'DB Details'!$A:$Q,17))</f>
        <v>1.9011293949556581E-2</v>
      </c>
    </row>
    <row r="241" spans="1:5" x14ac:dyDescent="0.35">
      <c r="A241" s="58">
        <v>42767</v>
      </c>
      <c r="B241" s="48">
        <f>IF(VLOOKUP(Table311[[#This Row],[Date]],'DB Details'!$A:$Q,12)=0,"",VLOOKUP(Table311[[#This Row],[Date]],'DB Details'!$A:$Q,12))</f>
        <v>57.4</v>
      </c>
      <c r="C241" s="59">
        <f>IF(VLOOKUP(Table311[[#This Row],[Date]],'DB Details'!$A:$Q,16)=0,"",VLOOKUP(Table311[[#This Row],[Date]],'DB Details'!$A:$Q,16))</f>
        <v>1.8852788696456339E-2</v>
      </c>
      <c r="D241" s="59">
        <f>IF(VLOOKUP(Table311[[#This Row],[Date]],'DB Details'!$A:$Q,15)=0,"",VLOOKUP(Table311[[#This Row],[Date]],'DB Details'!$A:$Q,15))</f>
        <v>4.719310419164807E-3</v>
      </c>
      <c r="E241" s="59">
        <f>IF(VLOOKUP(Table311[[#This Row],[Date]],'DB Details'!$A:$Q,17)=0,"",VLOOKUP(Table311[[#This Row],[Date]],'DB Details'!$A:$Q,17))</f>
        <v>1.9011293949556581E-2</v>
      </c>
    </row>
    <row r="242" spans="1:5" x14ac:dyDescent="0.35">
      <c r="A242" s="58">
        <v>42795</v>
      </c>
      <c r="B242" s="48">
        <f>IF(VLOOKUP(Table311[[#This Row],[Date]],'DB Details'!$A:$Q,12)=0,"",VLOOKUP(Table311[[#This Row],[Date]],'DB Details'!$A:$Q,12))</f>
        <v>55.6</v>
      </c>
      <c r="C242" s="59">
        <f>IF(VLOOKUP(Table311[[#This Row],[Date]],'DB Details'!$A:$Q,16)=0,"",VLOOKUP(Table311[[#This Row],[Date]],'DB Details'!$A:$Q,16))</f>
        <v>1.8852788696456339E-2</v>
      </c>
      <c r="D242" s="59">
        <f>IF(VLOOKUP(Table311[[#This Row],[Date]],'DB Details'!$A:$Q,15)=0,"",VLOOKUP(Table311[[#This Row],[Date]],'DB Details'!$A:$Q,15))</f>
        <v>4.719310419164807E-3</v>
      </c>
      <c r="E242" s="59">
        <f>IF(VLOOKUP(Table311[[#This Row],[Date]],'DB Details'!$A:$Q,17)=0,"",VLOOKUP(Table311[[#This Row],[Date]],'DB Details'!$A:$Q,17))</f>
        <v>1.9011293949556581E-2</v>
      </c>
    </row>
    <row r="243" spans="1:5" x14ac:dyDescent="0.35">
      <c r="A243" s="58">
        <v>42826</v>
      </c>
      <c r="B243" s="48">
        <f>IF(VLOOKUP(Table311[[#This Row],[Date]],'DB Details'!$A:$Q,12)=0,"",VLOOKUP(Table311[[#This Row],[Date]],'DB Details'!$A:$Q,12))</f>
        <v>57.3</v>
      </c>
      <c r="C243" s="59">
        <f>IF(VLOOKUP(Table311[[#This Row],[Date]],'DB Details'!$A:$Q,16)=0,"",VLOOKUP(Table311[[#This Row],[Date]],'DB Details'!$A:$Q,16))</f>
        <v>2.1467165829075641E-2</v>
      </c>
      <c r="D243" s="59">
        <f>IF(VLOOKUP(Table311[[#This Row],[Date]],'DB Details'!$A:$Q,15)=0,"",VLOOKUP(Table311[[#This Row],[Date]],'DB Details'!$A:$Q,15))</f>
        <v>5.5976482267073562E-3</v>
      </c>
      <c r="E243" s="59">
        <f>IF(VLOOKUP(Table311[[#This Row],[Date]],'DB Details'!$A:$Q,17)=0,"",VLOOKUP(Table311[[#This Row],[Date]],'DB Details'!$A:$Q,17))</f>
        <v>2.2579297461999829E-2</v>
      </c>
    </row>
    <row r="244" spans="1:5" x14ac:dyDescent="0.35">
      <c r="A244" s="58">
        <v>42856</v>
      </c>
      <c r="B244" s="48">
        <f>IF(VLOOKUP(Table311[[#This Row],[Date]],'DB Details'!$A:$Q,12)=0,"",VLOOKUP(Table311[[#This Row],[Date]],'DB Details'!$A:$Q,12))</f>
        <v>57.1</v>
      </c>
      <c r="C244" s="59">
        <f>IF(VLOOKUP(Table311[[#This Row],[Date]],'DB Details'!$A:$Q,16)=0,"",VLOOKUP(Table311[[#This Row],[Date]],'DB Details'!$A:$Q,16))</f>
        <v>2.1467165829075641E-2</v>
      </c>
      <c r="D244" s="59">
        <f>IF(VLOOKUP(Table311[[#This Row],[Date]],'DB Details'!$A:$Q,15)=0,"",VLOOKUP(Table311[[#This Row],[Date]],'DB Details'!$A:$Q,15))</f>
        <v>5.5976482267073562E-3</v>
      </c>
      <c r="E244" s="59">
        <f>IF(VLOOKUP(Table311[[#This Row],[Date]],'DB Details'!$A:$Q,17)=0,"",VLOOKUP(Table311[[#This Row],[Date]],'DB Details'!$A:$Q,17))</f>
        <v>2.2579297461999829E-2</v>
      </c>
    </row>
    <row r="245" spans="1:5" x14ac:dyDescent="0.35">
      <c r="A245" s="58">
        <v>42887</v>
      </c>
      <c r="B245" s="48">
        <f>IF(VLOOKUP(Table311[[#This Row],[Date]],'DB Details'!$A:$Q,12)=0,"",VLOOKUP(Table311[[#This Row],[Date]],'DB Details'!$A:$Q,12))</f>
        <v>57.2</v>
      </c>
      <c r="C245" s="59">
        <f>IF(VLOOKUP(Table311[[#This Row],[Date]],'DB Details'!$A:$Q,16)=0,"",VLOOKUP(Table311[[#This Row],[Date]],'DB Details'!$A:$Q,16))</f>
        <v>2.1467165829075641E-2</v>
      </c>
      <c r="D245" s="59">
        <f>IF(VLOOKUP(Table311[[#This Row],[Date]],'DB Details'!$A:$Q,15)=0,"",VLOOKUP(Table311[[#This Row],[Date]],'DB Details'!$A:$Q,15))</f>
        <v>5.5976482267073562E-3</v>
      </c>
      <c r="E245" s="59">
        <f>IF(VLOOKUP(Table311[[#This Row],[Date]],'DB Details'!$A:$Q,17)=0,"",VLOOKUP(Table311[[#This Row],[Date]],'DB Details'!$A:$Q,17))</f>
        <v>2.2579297461999829E-2</v>
      </c>
    </row>
    <row r="246" spans="1:5" x14ac:dyDescent="0.35">
      <c r="A246" s="58">
        <v>42917</v>
      </c>
      <c r="B246" s="48">
        <f>IF(VLOOKUP(Table311[[#This Row],[Date]],'DB Details'!$A:$Q,12)=0,"",VLOOKUP(Table311[[#This Row],[Date]],'DB Details'!$A:$Q,12))</f>
        <v>54.3</v>
      </c>
      <c r="C246" s="59">
        <f>IF(VLOOKUP(Table311[[#This Row],[Date]],'DB Details'!$A:$Q,16)=0,"",VLOOKUP(Table311[[#This Row],[Date]],'DB Details'!$A:$Q,16))</f>
        <v>2.2665646383373719E-2</v>
      </c>
      <c r="D246" s="59">
        <f>IF(VLOOKUP(Table311[[#This Row],[Date]],'DB Details'!$A:$Q,15)=0,"",VLOOKUP(Table311[[#This Row],[Date]],'DB Details'!$A:$Q,15))</f>
        <v>7.1914999120398764E-3</v>
      </c>
      <c r="E246" s="59">
        <f>IF(VLOOKUP(Table311[[#This Row],[Date]],'DB Details'!$A:$Q,17)=0,"",VLOOKUP(Table311[[#This Row],[Date]],'DB Details'!$A:$Q,17))</f>
        <v>2.9077796059291838E-2</v>
      </c>
    </row>
    <row r="247" spans="1:5" x14ac:dyDescent="0.35">
      <c r="A247" s="58">
        <v>42948</v>
      </c>
      <c r="B247" s="48">
        <f>IF(VLOOKUP(Table311[[#This Row],[Date]],'DB Details'!$A:$Q,12)=0,"",VLOOKUP(Table311[[#This Row],[Date]],'DB Details'!$A:$Q,12))</f>
        <v>55.2</v>
      </c>
      <c r="C247" s="59">
        <f>IF(VLOOKUP(Table311[[#This Row],[Date]],'DB Details'!$A:$Q,16)=0,"",VLOOKUP(Table311[[#This Row],[Date]],'DB Details'!$A:$Q,16))</f>
        <v>2.2665646383373719E-2</v>
      </c>
      <c r="D247" s="59">
        <f>IF(VLOOKUP(Table311[[#This Row],[Date]],'DB Details'!$A:$Q,15)=0,"",VLOOKUP(Table311[[#This Row],[Date]],'DB Details'!$A:$Q,15))</f>
        <v>7.1914999120398764E-3</v>
      </c>
      <c r="E247" s="59">
        <f>IF(VLOOKUP(Table311[[#This Row],[Date]],'DB Details'!$A:$Q,17)=0,"",VLOOKUP(Table311[[#This Row],[Date]],'DB Details'!$A:$Q,17))</f>
        <v>2.9077796059291838E-2</v>
      </c>
    </row>
    <row r="248" spans="1:5" x14ac:dyDescent="0.35">
      <c r="A248" s="58">
        <v>42979</v>
      </c>
      <c r="B248" s="48">
        <f>IF(VLOOKUP(Table311[[#This Row],[Date]],'DB Details'!$A:$Q,12)=0,"",VLOOKUP(Table311[[#This Row],[Date]],'DB Details'!$A:$Q,12))</f>
        <v>59.4</v>
      </c>
      <c r="C248" s="59">
        <f>IF(VLOOKUP(Table311[[#This Row],[Date]],'DB Details'!$A:$Q,16)=0,"",VLOOKUP(Table311[[#This Row],[Date]],'DB Details'!$A:$Q,16))</f>
        <v>2.2665646383373719E-2</v>
      </c>
      <c r="D248" s="59">
        <f>IF(VLOOKUP(Table311[[#This Row],[Date]],'DB Details'!$A:$Q,15)=0,"",VLOOKUP(Table311[[#This Row],[Date]],'DB Details'!$A:$Q,15))</f>
        <v>7.1914999120398764E-3</v>
      </c>
      <c r="E248" s="59">
        <f>IF(VLOOKUP(Table311[[#This Row],[Date]],'DB Details'!$A:$Q,17)=0,"",VLOOKUP(Table311[[#This Row],[Date]],'DB Details'!$A:$Q,17))</f>
        <v>2.9077796059291838E-2</v>
      </c>
    </row>
    <row r="249" spans="1:5" x14ac:dyDescent="0.35">
      <c r="A249" s="58">
        <v>43009</v>
      </c>
      <c r="B249" s="48">
        <f>IF(VLOOKUP(Table311[[#This Row],[Date]],'DB Details'!$A:$Q,12)=0,"",VLOOKUP(Table311[[#This Row],[Date]],'DB Details'!$A:$Q,12))</f>
        <v>59.8</v>
      </c>
      <c r="C249" s="59">
        <f>IF(VLOOKUP(Table311[[#This Row],[Date]],'DB Details'!$A:$Q,16)=0,"",VLOOKUP(Table311[[#This Row],[Date]],'DB Details'!$A:$Q,16))</f>
        <v>2.7178855818590929E-2</v>
      </c>
      <c r="D249" s="59">
        <f>IF(VLOOKUP(Table311[[#This Row],[Date]],'DB Details'!$A:$Q,15)=0,"",VLOOKUP(Table311[[#This Row],[Date]],'DB Details'!$A:$Q,15))</f>
        <v>9.403998383337081E-3</v>
      </c>
      <c r="E249" s="59">
        <f>IF(VLOOKUP(Table311[[#This Row],[Date]],'DB Details'!$A:$Q,17)=0,"",VLOOKUP(Table311[[#This Row],[Date]],'DB Details'!$A:$Q,17))</f>
        <v>3.814993904506303E-2</v>
      </c>
    </row>
    <row r="250" spans="1:5" x14ac:dyDescent="0.35">
      <c r="A250" s="58">
        <v>43040</v>
      </c>
      <c r="B250" s="48">
        <f>IF(VLOOKUP(Table311[[#This Row],[Date]],'DB Details'!$A:$Q,12)=0,"",VLOOKUP(Table311[[#This Row],[Date]],'DB Details'!$A:$Q,12))</f>
        <v>57.3</v>
      </c>
      <c r="C250" s="59">
        <f>IF(VLOOKUP(Table311[[#This Row],[Date]],'DB Details'!$A:$Q,16)=0,"",VLOOKUP(Table311[[#This Row],[Date]],'DB Details'!$A:$Q,16))</f>
        <v>2.7178855818590929E-2</v>
      </c>
      <c r="D250" s="59">
        <f>IF(VLOOKUP(Table311[[#This Row],[Date]],'DB Details'!$A:$Q,15)=0,"",VLOOKUP(Table311[[#This Row],[Date]],'DB Details'!$A:$Q,15))</f>
        <v>9.403998383337081E-3</v>
      </c>
      <c r="E250" s="59">
        <f>IF(VLOOKUP(Table311[[#This Row],[Date]],'DB Details'!$A:$Q,17)=0,"",VLOOKUP(Table311[[#This Row],[Date]],'DB Details'!$A:$Q,17))</f>
        <v>3.814993904506303E-2</v>
      </c>
    </row>
    <row r="251" spans="1:5" x14ac:dyDescent="0.35">
      <c r="A251" s="58">
        <v>43070</v>
      </c>
      <c r="B251" s="48">
        <f>IF(VLOOKUP(Table311[[#This Row],[Date]],'DB Details'!$A:$Q,12)=0,"",VLOOKUP(Table311[[#This Row],[Date]],'DB Details'!$A:$Q,12))</f>
        <v>56</v>
      </c>
      <c r="C251" s="59">
        <f>IF(VLOOKUP(Table311[[#This Row],[Date]],'DB Details'!$A:$Q,16)=0,"",VLOOKUP(Table311[[#This Row],[Date]],'DB Details'!$A:$Q,16))</f>
        <v>2.7178855818590929E-2</v>
      </c>
      <c r="D251" s="59">
        <f>IF(VLOOKUP(Table311[[#This Row],[Date]],'DB Details'!$A:$Q,15)=0,"",VLOOKUP(Table311[[#This Row],[Date]],'DB Details'!$A:$Q,15))</f>
        <v>9.403998383337081E-3</v>
      </c>
      <c r="E251" s="59">
        <f>IF(VLOOKUP(Table311[[#This Row],[Date]],'DB Details'!$A:$Q,17)=0,"",VLOOKUP(Table311[[#This Row],[Date]],'DB Details'!$A:$Q,17))</f>
        <v>3.814993904506303E-2</v>
      </c>
    </row>
    <row r="252" spans="1:5" x14ac:dyDescent="0.35">
      <c r="A252" s="58">
        <v>43101</v>
      </c>
      <c r="B252" s="48">
        <f>IF(VLOOKUP(Table311[[#This Row],[Date]],'DB Details'!$A:$Q,12)=0,"",VLOOKUP(Table311[[#This Row],[Date]],'DB Details'!$A:$Q,12))</f>
        <v>59.9</v>
      </c>
      <c r="C252" s="59">
        <f>IF(VLOOKUP(Table311[[#This Row],[Date]],'DB Details'!$A:$Q,16)=0,"",VLOOKUP(Table311[[#This Row],[Date]],'DB Details'!$A:$Q,16))</f>
        <v>3.0153118831413011E-2</v>
      </c>
      <c r="D252" s="59">
        <f>IF(VLOOKUP(Table311[[#This Row],[Date]],'DB Details'!$A:$Q,15)=0,"",VLOOKUP(Table311[[#This Row],[Date]],'DB Details'!$A:$Q,15))</f>
        <v>7.6285403612729556E-3</v>
      </c>
      <c r="E252" s="59">
        <f>IF(VLOOKUP(Table311[[#This Row],[Date]],'DB Details'!$A:$Q,17)=0,"",VLOOKUP(Table311[[#This Row],[Date]],'DB Details'!$A:$Q,17))</f>
        <v>3.0865108360243591E-2</v>
      </c>
    </row>
    <row r="253" spans="1:5" x14ac:dyDescent="0.35">
      <c r="A253" s="58">
        <v>43132</v>
      </c>
      <c r="B253" s="48">
        <f>IF(VLOOKUP(Table311[[#This Row],[Date]],'DB Details'!$A:$Q,12)=0,"",VLOOKUP(Table311[[#This Row],[Date]],'DB Details'!$A:$Q,12))</f>
        <v>59.5</v>
      </c>
      <c r="C253" s="59">
        <f>IF(VLOOKUP(Table311[[#This Row],[Date]],'DB Details'!$A:$Q,16)=0,"",VLOOKUP(Table311[[#This Row],[Date]],'DB Details'!$A:$Q,16))</f>
        <v>3.0153118831413011E-2</v>
      </c>
      <c r="D253" s="59">
        <f>IF(VLOOKUP(Table311[[#This Row],[Date]],'DB Details'!$A:$Q,15)=0,"",VLOOKUP(Table311[[#This Row],[Date]],'DB Details'!$A:$Q,15))</f>
        <v>7.6285403612729556E-3</v>
      </c>
      <c r="E253" s="59">
        <f>IF(VLOOKUP(Table311[[#This Row],[Date]],'DB Details'!$A:$Q,17)=0,"",VLOOKUP(Table311[[#This Row],[Date]],'DB Details'!$A:$Q,17))</f>
        <v>3.0865108360243591E-2</v>
      </c>
    </row>
    <row r="254" spans="1:5" x14ac:dyDescent="0.35">
      <c r="A254" s="58">
        <v>43160</v>
      </c>
      <c r="B254" s="48">
        <f>IF(VLOOKUP(Table311[[#This Row],[Date]],'DB Details'!$A:$Q,12)=0,"",VLOOKUP(Table311[[#This Row],[Date]],'DB Details'!$A:$Q,12))</f>
        <v>58.8</v>
      </c>
      <c r="C254" s="59">
        <f>IF(VLOOKUP(Table311[[#This Row],[Date]],'DB Details'!$A:$Q,16)=0,"",VLOOKUP(Table311[[#This Row],[Date]],'DB Details'!$A:$Q,16))</f>
        <v>3.0153118831413011E-2</v>
      </c>
      <c r="D254" s="59">
        <f>IF(VLOOKUP(Table311[[#This Row],[Date]],'DB Details'!$A:$Q,15)=0,"",VLOOKUP(Table311[[#This Row],[Date]],'DB Details'!$A:$Q,15))</f>
        <v>7.6285403612729556E-3</v>
      </c>
      <c r="E254" s="59">
        <f>IF(VLOOKUP(Table311[[#This Row],[Date]],'DB Details'!$A:$Q,17)=0,"",VLOOKUP(Table311[[#This Row],[Date]],'DB Details'!$A:$Q,17))</f>
        <v>3.0865108360243591E-2</v>
      </c>
    </row>
    <row r="255" spans="1:5" x14ac:dyDescent="0.35">
      <c r="A255" s="58">
        <v>43191</v>
      </c>
      <c r="B255" s="48">
        <f>IF(VLOOKUP(Table311[[#This Row],[Date]],'DB Details'!$A:$Q,12)=0,"",VLOOKUP(Table311[[#This Row],[Date]],'DB Details'!$A:$Q,12))</f>
        <v>56.8</v>
      </c>
      <c r="C255" s="59">
        <f>IF(VLOOKUP(Table311[[#This Row],[Date]],'DB Details'!$A:$Q,16)=0,"",VLOOKUP(Table311[[#This Row],[Date]],'DB Details'!$A:$Q,16))</f>
        <v>3.296152283055629E-2</v>
      </c>
      <c r="D255" s="59">
        <f>IF(VLOOKUP(Table311[[#This Row],[Date]],'DB Details'!$A:$Q,15)=0,"",VLOOKUP(Table311[[#This Row],[Date]],'DB Details'!$A:$Q,15))</f>
        <v>8.339109088382559E-3</v>
      </c>
      <c r="E255" s="59">
        <f>IF(VLOOKUP(Table311[[#This Row],[Date]],'DB Details'!$A:$Q,17)=0,"",VLOOKUP(Table311[[#This Row],[Date]],'DB Details'!$A:$Q,17))</f>
        <v>3.3776005263053577E-2</v>
      </c>
    </row>
    <row r="256" spans="1:5" x14ac:dyDescent="0.35">
      <c r="A256" s="58">
        <v>43221</v>
      </c>
      <c r="B256" s="48">
        <f>IF(VLOOKUP(Table311[[#This Row],[Date]],'DB Details'!$A:$Q,12)=0,"",VLOOKUP(Table311[[#This Row],[Date]],'DB Details'!$A:$Q,12))</f>
        <v>58.6</v>
      </c>
      <c r="C256" s="59">
        <f>IF(VLOOKUP(Table311[[#This Row],[Date]],'DB Details'!$A:$Q,16)=0,"",VLOOKUP(Table311[[#This Row],[Date]],'DB Details'!$A:$Q,16))</f>
        <v>3.296152283055629E-2</v>
      </c>
      <c r="D256" s="59">
        <f>IF(VLOOKUP(Table311[[#This Row],[Date]],'DB Details'!$A:$Q,15)=0,"",VLOOKUP(Table311[[#This Row],[Date]],'DB Details'!$A:$Q,15))</f>
        <v>8.339109088382559E-3</v>
      </c>
      <c r="E256" s="59">
        <f>IF(VLOOKUP(Table311[[#This Row],[Date]],'DB Details'!$A:$Q,17)=0,"",VLOOKUP(Table311[[#This Row],[Date]],'DB Details'!$A:$Q,17))</f>
        <v>3.3776005263053577E-2</v>
      </c>
    </row>
    <row r="257" spans="1:5" x14ac:dyDescent="0.35">
      <c r="A257" s="58">
        <v>43252</v>
      </c>
      <c r="B257" s="48">
        <f>IF(VLOOKUP(Table311[[#This Row],[Date]],'DB Details'!$A:$Q,12)=0,"",VLOOKUP(Table311[[#This Row],[Date]],'DB Details'!$A:$Q,12))</f>
        <v>59.1</v>
      </c>
      <c r="C257" s="59">
        <f>IF(VLOOKUP(Table311[[#This Row],[Date]],'DB Details'!$A:$Q,16)=0,"",VLOOKUP(Table311[[#This Row],[Date]],'DB Details'!$A:$Q,16))</f>
        <v>3.296152283055629E-2</v>
      </c>
      <c r="D257" s="59">
        <f>IF(VLOOKUP(Table311[[#This Row],[Date]],'DB Details'!$A:$Q,15)=0,"",VLOOKUP(Table311[[#This Row],[Date]],'DB Details'!$A:$Q,15))</f>
        <v>8.339109088382559E-3</v>
      </c>
      <c r="E257" s="59">
        <f>IF(VLOOKUP(Table311[[#This Row],[Date]],'DB Details'!$A:$Q,17)=0,"",VLOOKUP(Table311[[#This Row],[Date]],'DB Details'!$A:$Q,17))</f>
        <v>3.3776005263053577E-2</v>
      </c>
    </row>
    <row r="258" spans="1:5" x14ac:dyDescent="0.35">
      <c r="A258" s="58">
        <v>43282</v>
      </c>
      <c r="B258" s="48">
        <f>IF(VLOOKUP(Table311[[#This Row],[Date]],'DB Details'!$A:$Q,12)=0,"",VLOOKUP(Table311[[#This Row],[Date]],'DB Details'!$A:$Q,12))</f>
        <v>55.7</v>
      </c>
      <c r="C258" s="59">
        <f>IF(VLOOKUP(Table311[[#This Row],[Date]],'DB Details'!$A:$Q,16)=0,"",VLOOKUP(Table311[[#This Row],[Date]],'DB Details'!$A:$Q,16))</f>
        <v>3.0528859123791111E-2</v>
      </c>
      <c r="D258" s="59">
        <f>IF(VLOOKUP(Table311[[#This Row],[Date]],'DB Details'!$A:$Q,15)=0,"",VLOOKUP(Table311[[#This Row],[Date]],'DB Details'!$A:$Q,15))</f>
        <v>4.819525590204151E-3</v>
      </c>
      <c r="E258" s="59">
        <f>IF(VLOOKUP(Table311[[#This Row],[Date]],'DB Details'!$A:$Q,17)=0,"",VLOOKUP(Table311[[#This Row],[Date]],'DB Details'!$A:$Q,17))</f>
        <v>1.9417917650261129E-2</v>
      </c>
    </row>
    <row r="259" spans="1:5" x14ac:dyDescent="0.35">
      <c r="A259" s="58">
        <v>43313</v>
      </c>
      <c r="B259" s="48">
        <f>IF(VLOOKUP(Table311[[#This Row],[Date]],'DB Details'!$A:$Q,12)=0,"",VLOOKUP(Table311[[#This Row],[Date]],'DB Details'!$A:$Q,12))</f>
        <v>58.5</v>
      </c>
      <c r="C259" s="59">
        <f>IF(VLOOKUP(Table311[[#This Row],[Date]],'DB Details'!$A:$Q,16)=0,"",VLOOKUP(Table311[[#This Row],[Date]],'DB Details'!$A:$Q,16))</f>
        <v>3.0528859123791111E-2</v>
      </c>
      <c r="D259" s="59">
        <f>IF(VLOOKUP(Table311[[#This Row],[Date]],'DB Details'!$A:$Q,15)=0,"",VLOOKUP(Table311[[#This Row],[Date]],'DB Details'!$A:$Q,15))</f>
        <v>4.819525590204151E-3</v>
      </c>
      <c r="E259" s="59">
        <f>IF(VLOOKUP(Table311[[#This Row],[Date]],'DB Details'!$A:$Q,17)=0,"",VLOOKUP(Table311[[#This Row],[Date]],'DB Details'!$A:$Q,17))</f>
        <v>1.9417917650261129E-2</v>
      </c>
    </row>
    <row r="260" spans="1:5" x14ac:dyDescent="0.35">
      <c r="A260" s="58">
        <v>43344</v>
      </c>
      <c r="B260" s="48">
        <f>IF(VLOOKUP(Table311[[#This Row],[Date]],'DB Details'!$A:$Q,12)=0,"",VLOOKUP(Table311[[#This Row],[Date]],'DB Details'!$A:$Q,12))</f>
        <v>61.6</v>
      </c>
      <c r="C260" s="59">
        <f>IF(VLOOKUP(Table311[[#This Row],[Date]],'DB Details'!$A:$Q,16)=0,"",VLOOKUP(Table311[[#This Row],[Date]],'DB Details'!$A:$Q,16))</f>
        <v>3.0528859123791111E-2</v>
      </c>
      <c r="D260" s="59">
        <f>IF(VLOOKUP(Table311[[#This Row],[Date]],'DB Details'!$A:$Q,15)=0,"",VLOOKUP(Table311[[#This Row],[Date]],'DB Details'!$A:$Q,15))</f>
        <v>4.819525590204151E-3</v>
      </c>
      <c r="E260" s="59">
        <f>IF(VLOOKUP(Table311[[#This Row],[Date]],'DB Details'!$A:$Q,17)=0,"",VLOOKUP(Table311[[#This Row],[Date]],'DB Details'!$A:$Q,17))</f>
        <v>1.9417917650261129E-2</v>
      </c>
    </row>
    <row r="261" spans="1:5" x14ac:dyDescent="0.35">
      <c r="A261" s="58">
        <v>43374</v>
      </c>
      <c r="B261" s="48">
        <f>IF(VLOOKUP(Table311[[#This Row],[Date]],'DB Details'!$A:$Q,12)=0,"",VLOOKUP(Table311[[#This Row],[Date]],'DB Details'!$A:$Q,12))</f>
        <v>60.3</v>
      </c>
      <c r="C261" s="59">
        <f>IF(VLOOKUP(Table311[[#This Row],[Date]],'DB Details'!$A:$Q,16)=0,"",VLOOKUP(Table311[[#This Row],[Date]],'DB Details'!$A:$Q,16))</f>
        <v>2.3206170953918571E-2</v>
      </c>
      <c r="D261" s="59">
        <f>IF(VLOOKUP(Table311[[#This Row],[Date]],'DB Details'!$A:$Q,15)=0,"",VLOOKUP(Table311[[#This Row],[Date]],'DB Details'!$A:$Q,15))</f>
        <v>2.2314183511113221E-3</v>
      </c>
      <c r="E261" s="59">
        <f>IF(VLOOKUP(Table311[[#This Row],[Date]],'DB Details'!$A:$Q,17)=0,"",VLOOKUP(Table311[[#This Row],[Date]],'DB Details'!$A:$Q,17))</f>
        <v>8.9555932393461379E-3</v>
      </c>
    </row>
    <row r="262" spans="1:5" x14ac:dyDescent="0.35">
      <c r="A262" s="58">
        <v>43405</v>
      </c>
      <c r="B262" s="48">
        <f>IF(VLOOKUP(Table311[[#This Row],[Date]],'DB Details'!$A:$Q,12)=0,"",VLOOKUP(Table311[[#This Row],[Date]],'DB Details'!$A:$Q,12))</f>
        <v>60.7</v>
      </c>
      <c r="C262" s="59">
        <f>IF(VLOOKUP(Table311[[#This Row],[Date]],'DB Details'!$A:$Q,16)=0,"",VLOOKUP(Table311[[#This Row],[Date]],'DB Details'!$A:$Q,16))</f>
        <v>2.3206170953918571E-2</v>
      </c>
      <c r="D262" s="59">
        <f>IF(VLOOKUP(Table311[[#This Row],[Date]],'DB Details'!$A:$Q,15)=0,"",VLOOKUP(Table311[[#This Row],[Date]],'DB Details'!$A:$Q,15))</f>
        <v>2.2314183511113221E-3</v>
      </c>
      <c r="E262" s="59">
        <f>IF(VLOOKUP(Table311[[#This Row],[Date]],'DB Details'!$A:$Q,17)=0,"",VLOOKUP(Table311[[#This Row],[Date]],'DB Details'!$A:$Q,17))</f>
        <v>8.9555932393461379E-3</v>
      </c>
    </row>
    <row r="263" spans="1:5" x14ac:dyDescent="0.35">
      <c r="A263" s="58">
        <v>43435</v>
      </c>
      <c r="B263" s="48">
        <f>IF(VLOOKUP(Table311[[#This Row],[Date]],'DB Details'!$A:$Q,12)=0,"",VLOOKUP(Table311[[#This Row],[Date]],'DB Details'!$A:$Q,12))</f>
        <v>57.6</v>
      </c>
      <c r="C263" s="59">
        <f>IF(VLOOKUP(Table311[[#This Row],[Date]],'DB Details'!$A:$Q,16)=0,"",VLOOKUP(Table311[[#This Row],[Date]],'DB Details'!$A:$Q,16))</f>
        <v>2.3206170953918571E-2</v>
      </c>
      <c r="D263" s="59">
        <f>IF(VLOOKUP(Table311[[#This Row],[Date]],'DB Details'!$A:$Q,15)=0,"",VLOOKUP(Table311[[#This Row],[Date]],'DB Details'!$A:$Q,15))</f>
        <v>2.2314183511113221E-3</v>
      </c>
      <c r="E263" s="59">
        <f>IF(VLOOKUP(Table311[[#This Row],[Date]],'DB Details'!$A:$Q,17)=0,"",VLOOKUP(Table311[[#This Row],[Date]],'DB Details'!$A:$Q,17))</f>
        <v>8.9555932393461379E-3</v>
      </c>
    </row>
    <row r="264" spans="1:5" x14ac:dyDescent="0.35">
      <c r="A264" s="58">
        <v>43466</v>
      </c>
      <c r="B264" s="48">
        <f>IF(VLOOKUP(Table311[[#This Row],[Date]],'DB Details'!$A:$Q,12)=0,"",VLOOKUP(Table311[[#This Row],[Date]],'DB Details'!$A:$Q,12))</f>
        <v>56.7</v>
      </c>
      <c r="C264" s="59">
        <f>IF(VLOOKUP(Table311[[#This Row],[Date]],'DB Details'!$A:$Q,16)=0,"",VLOOKUP(Table311[[#This Row],[Date]],'DB Details'!$A:$Q,16))</f>
        <v>2.1530015140813302E-2</v>
      </c>
      <c r="D264" s="59">
        <f>IF(VLOOKUP(Table311[[#This Row],[Date]],'DB Details'!$A:$Q,15)=0,"",VLOOKUP(Table311[[#This Row],[Date]],'DB Details'!$A:$Q,15))</f>
        <v>5.9779029009820791E-3</v>
      </c>
      <c r="E264" s="59">
        <f>IF(VLOOKUP(Table311[[#This Row],[Date]],'DB Details'!$A:$Q,17)=0,"",VLOOKUP(Table311[[#This Row],[Date]],'DB Details'!$A:$Q,17))</f>
        <v>2.4126879308669521E-2</v>
      </c>
    </row>
    <row r="265" spans="1:5" x14ac:dyDescent="0.35">
      <c r="A265" s="58">
        <v>43497</v>
      </c>
      <c r="B265" s="48">
        <f>IF(VLOOKUP(Table311[[#This Row],[Date]],'DB Details'!$A:$Q,12)=0,"",VLOOKUP(Table311[[#This Row],[Date]],'DB Details'!$A:$Q,12))</f>
        <v>59.7</v>
      </c>
      <c r="C265" s="59">
        <f>IF(VLOOKUP(Table311[[#This Row],[Date]],'DB Details'!$A:$Q,16)=0,"",VLOOKUP(Table311[[#This Row],[Date]],'DB Details'!$A:$Q,16))</f>
        <v>2.1530015140813302E-2</v>
      </c>
      <c r="D265" s="59">
        <f>IF(VLOOKUP(Table311[[#This Row],[Date]],'DB Details'!$A:$Q,15)=0,"",VLOOKUP(Table311[[#This Row],[Date]],'DB Details'!$A:$Q,15))</f>
        <v>5.9779029009820791E-3</v>
      </c>
      <c r="E265" s="59">
        <f>IF(VLOOKUP(Table311[[#This Row],[Date]],'DB Details'!$A:$Q,17)=0,"",VLOOKUP(Table311[[#This Row],[Date]],'DB Details'!$A:$Q,17))</f>
        <v>2.4126879308669521E-2</v>
      </c>
    </row>
    <row r="266" spans="1:5" x14ac:dyDescent="0.35">
      <c r="A266" s="58">
        <v>43525</v>
      </c>
      <c r="B266" s="48">
        <f>IF(VLOOKUP(Table311[[#This Row],[Date]],'DB Details'!$A:$Q,12)=0,"",VLOOKUP(Table311[[#This Row],[Date]],'DB Details'!$A:$Q,12))</f>
        <v>56.1</v>
      </c>
      <c r="C266" s="59">
        <f>IF(VLOOKUP(Table311[[#This Row],[Date]],'DB Details'!$A:$Q,16)=0,"",VLOOKUP(Table311[[#This Row],[Date]],'DB Details'!$A:$Q,16))</f>
        <v>2.1530015140813302E-2</v>
      </c>
      <c r="D266" s="59">
        <f>IF(VLOOKUP(Table311[[#This Row],[Date]],'DB Details'!$A:$Q,15)=0,"",VLOOKUP(Table311[[#This Row],[Date]],'DB Details'!$A:$Q,15))</f>
        <v>5.9779029009820791E-3</v>
      </c>
      <c r="E266" s="59">
        <f>IF(VLOOKUP(Table311[[#This Row],[Date]],'DB Details'!$A:$Q,17)=0,"",VLOOKUP(Table311[[#This Row],[Date]],'DB Details'!$A:$Q,17))</f>
        <v>2.4126879308669521E-2</v>
      </c>
    </row>
    <row r="267" spans="1:5" x14ac:dyDescent="0.35">
      <c r="A267" s="58">
        <v>43556</v>
      </c>
      <c r="B267" s="48">
        <f>IF(VLOOKUP(Table311[[#This Row],[Date]],'DB Details'!$A:$Q,12)=0,"",VLOOKUP(Table311[[#This Row],[Date]],'DB Details'!$A:$Q,12))</f>
        <v>55.5</v>
      </c>
      <c r="C267" s="59">
        <f>IF(VLOOKUP(Table311[[#This Row],[Date]],'DB Details'!$A:$Q,16)=0,"",VLOOKUP(Table311[[#This Row],[Date]],'DB Details'!$A:$Q,16))</f>
        <v>2.111478835615084E-2</v>
      </c>
      <c r="D267" s="59">
        <f>IF(VLOOKUP(Table311[[#This Row],[Date]],'DB Details'!$A:$Q,15)=0,"",VLOOKUP(Table311[[#This Row],[Date]],'DB Details'!$A:$Q,15))</f>
        <v>7.9292440820582337E-3</v>
      </c>
      <c r="E267" s="59">
        <f>IF(VLOOKUP(Table311[[#This Row],[Date]],'DB Details'!$A:$Q,17)=0,"",VLOOKUP(Table311[[#This Row],[Date]],'DB Details'!$A:$Q,17))</f>
        <v>3.2096211890165323E-2</v>
      </c>
    </row>
    <row r="268" spans="1:5" x14ac:dyDescent="0.35">
      <c r="A268" s="58">
        <v>43586</v>
      </c>
      <c r="B268" s="48">
        <f>IF(VLOOKUP(Table311[[#This Row],[Date]],'DB Details'!$A:$Q,12)=0,"",VLOOKUP(Table311[[#This Row],[Date]],'DB Details'!$A:$Q,12))</f>
        <v>56.9</v>
      </c>
      <c r="C268" s="59">
        <f>IF(VLOOKUP(Table311[[#This Row],[Date]],'DB Details'!$A:$Q,16)=0,"",VLOOKUP(Table311[[#This Row],[Date]],'DB Details'!$A:$Q,16))</f>
        <v>2.111478835615084E-2</v>
      </c>
      <c r="D268" s="59">
        <f>IF(VLOOKUP(Table311[[#This Row],[Date]],'DB Details'!$A:$Q,15)=0,"",VLOOKUP(Table311[[#This Row],[Date]],'DB Details'!$A:$Q,15))</f>
        <v>7.9292440820582337E-3</v>
      </c>
      <c r="E268" s="59">
        <f>IF(VLOOKUP(Table311[[#This Row],[Date]],'DB Details'!$A:$Q,17)=0,"",VLOOKUP(Table311[[#This Row],[Date]],'DB Details'!$A:$Q,17))</f>
        <v>3.2096211890165323E-2</v>
      </c>
    </row>
    <row r="269" spans="1:5" x14ac:dyDescent="0.35">
      <c r="A269" s="58">
        <v>43617</v>
      </c>
      <c r="B269" s="48">
        <f>IF(VLOOKUP(Table311[[#This Row],[Date]],'DB Details'!$A:$Q,12)=0,"",VLOOKUP(Table311[[#This Row],[Date]],'DB Details'!$A:$Q,12))</f>
        <v>55.1</v>
      </c>
      <c r="C269" s="59">
        <f>IF(VLOOKUP(Table311[[#This Row],[Date]],'DB Details'!$A:$Q,16)=0,"",VLOOKUP(Table311[[#This Row],[Date]],'DB Details'!$A:$Q,16))</f>
        <v>2.111478835615084E-2</v>
      </c>
      <c r="D269" s="59">
        <f>IF(VLOOKUP(Table311[[#This Row],[Date]],'DB Details'!$A:$Q,15)=0,"",VLOOKUP(Table311[[#This Row],[Date]],'DB Details'!$A:$Q,15))</f>
        <v>7.9292440820582337E-3</v>
      </c>
      <c r="E269" s="59">
        <f>IF(VLOOKUP(Table311[[#This Row],[Date]],'DB Details'!$A:$Q,17)=0,"",VLOOKUP(Table311[[#This Row],[Date]],'DB Details'!$A:$Q,17))</f>
        <v>3.2096211890165323E-2</v>
      </c>
    </row>
    <row r="270" spans="1:5" x14ac:dyDescent="0.35">
      <c r="A270" s="58">
        <v>43647</v>
      </c>
      <c r="B270" s="48">
        <f>IF(VLOOKUP(Table311[[#This Row],[Date]],'DB Details'!$A:$Q,12)=0,"",VLOOKUP(Table311[[#This Row],[Date]],'DB Details'!$A:$Q,12))</f>
        <v>53.7</v>
      </c>
      <c r="C270" s="59">
        <f>IF(VLOOKUP(Table311[[#This Row],[Date]],'DB Details'!$A:$Q,16)=0,"",VLOOKUP(Table311[[#This Row],[Date]],'DB Details'!$A:$Q,16))</f>
        <v>2.3183259983257681E-2</v>
      </c>
      <c r="D270" s="59">
        <f>IF(VLOOKUP(Table311[[#This Row],[Date]],'DB Details'!$A:$Q,15)=0,"",VLOOKUP(Table311[[#This Row],[Date]],'DB Details'!$A:$Q,15))</f>
        <v>6.8549879130956641E-3</v>
      </c>
      <c r="E270" s="59">
        <f>IF(VLOOKUP(Table311[[#This Row],[Date]],'DB Details'!$A:$Q,17)=0,"",VLOOKUP(Table311[[#This Row],[Date]],'DB Details'!$A:$Q,17))</f>
        <v>2.770318750334555E-2</v>
      </c>
    </row>
    <row r="271" spans="1:5" x14ac:dyDescent="0.35">
      <c r="A271" s="58">
        <v>43678</v>
      </c>
      <c r="B271" s="48">
        <f>IF(VLOOKUP(Table311[[#This Row],[Date]],'DB Details'!$A:$Q,12)=0,"",VLOOKUP(Table311[[#This Row],[Date]],'DB Details'!$A:$Q,12))</f>
        <v>56.4</v>
      </c>
      <c r="C271" s="59">
        <f>IF(VLOOKUP(Table311[[#This Row],[Date]],'DB Details'!$A:$Q,16)=0,"",VLOOKUP(Table311[[#This Row],[Date]],'DB Details'!$A:$Q,16))</f>
        <v>2.3183259983257681E-2</v>
      </c>
      <c r="D271" s="59">
        <f>IF(VLOOKUP(Table311[[#This Row],[Date]],'DB Details'!$A:$Q,15)=0,"",VLOOKUP(Table311[[#This Row],[Date]],'DB Details'!$A:$Q,15))</f>
        <v>6.8549879130956641E-3</v>
      </c>
      <c r="E271" s="59">
        <f>IF(VLOOKUP(Table311[[#This Row],[Date]],'DB Details'!$A:$Q,17)=0,"",VLOOKUP(Table311[[#This Row],[Date]],'DB Details'!$A:$Q,17))</f>
        <v>2.770318750334555E-2</v>
      </c>
    </row>
    <row r="272" spans="1:5" x14ac:dyDescent="0.35">
      <c r="A272" s="58">
        <v>43709</v>
      </c>
      <c r="B272" s="48">
        <f>IF(VLOOKUP(Table311[[#This Row],[Date]],'DB Details'!$A:$Q,12)=0,"",VLOOKUP(Table311[[#This Row],[Date]],'DB Details'!$A:$Q,12))</f>
        <v>52.6</v>
      </c>
      <c r="C272" s="59">
        <f>IF(VLOOKUP(Table311[[#This Row],[Date]],'DB Details'!$A:$Q,16)=0,"",VLOOKUP(Table311[[#This Row],[Date]],'DB Details'!$A:$Q,16))</f>
        <v>2.3183259983257681E-2</v>
      </c>
      <c r="D272" s="59">
        <f>IF(VLOOKUP(Table311[[#This Row],[Date]],'DB Details'!$A:$Q,15)=0,"",VLOOKUP(Table311[[#This Row],[Date]],'DB Details'!$A:$Q,15))</f>
        <v>6.8549879130956641E-3</v>
      </c>
      <c r="E272" s="59">
        <f>IF(VLOOKUP(Table311[[#This Row],[Date]],'DB Details'!$A:$Q,17)=0,"",VLOOKUP(Table311[[#This Row],[Date]],'DB Details'!$A:$Q,17))</f>
        <v>2.770318750334555E-2</v>
      </c>
    </row>
    <row r="273" spans="1:5" x14ac:dyDescent="0.35">
      <c r="A273" s="58">
        <v>43739</v>
      </c>
      <c r="B273" s="48">
        <f>IF(VLOOKUP(Table311[[#This Row],[Date]],'DB Details'!$A:$Q,12)=0,"",VLOOKUP(Table311[[#This Row],[Date]],'DB Details'!$A:$Q,12))</f>
        <v>54.7</v>
      </c>
      <c r="C273" s="59">
        <f>IF(VLOOKUP(Table311[[#This Row],[Date]],'DB Details'!$A:$Q,16)=0,"",VLOOKUP(Table311[[#This Row],[Date]],'DB Details'!$A:$Q,16))</f>
        <v>2.5694235346395491E-2</v>
      </c>
      <c r="D273" s="59">
        <f>IF(VLOOKUP(Table311[[#This Row],[Date]],'DB Details'!$A:$Q,15)=0,"",VLOOKUP(Table311[[#This Row],[Date]],'DB Details'!$A:$Q,15))</f>
        <v>4.690976182113644E-3</v>
      </c>
      <c r="E273" s="59">
        <f>IF(VLOOKUP(Table311[[#This Row],[Date]],'DB Details'!$A:$Q,17)=0,"",VLOOKUP(Table311[[#This Row],[Date]],'DB Details'!$A:$Q,17))</f>
        <v>1.8896349662488991E-2</v>
      </c>
    </row>
    <row r="274" spans="1:5" x14ac:dyDescent="0.35">
      <c r="A274" s="58">
        <v>43770</v>
      </c>
      <c r="B274" s="48">
        <f>IF(VLOOKUP(Table311[[#This Row],[Date]],'DB Details'!$A:$Q,12)=0,"",VLOOKUP(Table311[[#This Row],[Date]],'DB Details'!$A:$Q,12))</f>
        <v>53.9</v>
      </c>
      <c r="C274" s="59">
        <f>IF(VLOOKUP(Table311[[#This Row],[Date]],'DB Details'!$A:$Q,16)=0,"",VLOOKUP(Table311[[#This Row],[Date]],'DB Details'!$A:$Q,16))</f>
        <v>2.5694235346395491E-2</v>
      </c>
      <c r="D274" s="59">
        <f>IF(VLOOKUP(Table311[[#This Row],[Date]],'DB Details'!$A:$Q,15)=0,"",VLOOKUP(Table311[[#This Row],[Date]],'DB Details'!$A:$Q,15))</f>
        <v>4.690976182113644E-3</v>
      </c>
      <c r="E274" s="59">
        <f>IF(VLOOKUP(Table311[[#This Row],[Date]],'DB Details'!$A:$Q,17)=0,"",VLOOKUP(Table311[[#This Row],[Date]],'DB Details'!$A:$Q,17))</f>
        <v>1.8896349662488991E-2</v>
      </c>
    </row>
    <row r="275" spans="1:5" x14ac:dyDescent="0.35">
      <c r="A275" s="58">
        <v>43800</v>
      </c>
      <c r="B275" s="48">
        <f>IF(VLOOKUP(Table311[[#This Row],[Date]],'DB Details'!$A:$Q,12)=0,"",VLOOKUP(Table311[[#This Row],[Date]],'DB Details'!$A:$Q,12))</f>
        <v>55</v>
      </c>
      <c r="C275" s="59">
        <f>IF(VLOOKUP(Table311[[#This Row],[Date]],'DB Details'!$A:$Q,16)=0,"",VLOOKUP(Table311[[#This Row],[Date]],'DB Details'!$A:$Q,16))</f>
        <v>2.5694235346395491E-2</v>
      </c>
      <c r="D275" s="59">
        <f>IF(VLOOKUP(Table311[[#This Row],[Date]],'DB Details'!$A:$Q,15)=0,"",VLOOKUP(Table311[[#This Row],[Date]],'DB Details'!$A:$Q,15))</f>
        <v>4.690976182113644E-3</v>
      </c>
      <c r="E275" s="59">
        <f>IF(VLOOKUP(Table311[[#This Row],[Date]],'DB Details'!$A:$Q,17)=0,"",VLOOKUP(Table311[[#This Row],[Date]],'DB Details'!$A:$Q,17))</f>
        <v>1.8896349662488991E-2</v>
      </c>
    </row>
    <row r="276" spans="1:5" x14ac:dyDescent="0.35">
      <c r="A276" s="58">
        <v>43831</v>
      </c>
      <c r="B276" s="48">
        <f>IF(VLOOKUP(Table311[[#This Row],[Date]],'DB Details'!$A:$Q,12)=0,"",VLOOKUP(Table311[[#This Row],[Date]],'DB Details'!$A:$Q,12))</f>
        <v>55.5</v>
      </c>
      <c r="C276" s="59">
        <f>IF(VLOOKUP(Table311[[#This Row],[Date]],'DB Details'!$A:$Q,16)=0,"",VLOOKUP(Table311[[#This Row],[Date]],'DB Details'!$A:$Q,16))</f>
        <v>6.3078516417420767E-3</v>
      </c>
      <c r="D276" s="59">
        <f>IF(VLOOKUP(Table311[[#This Row],[Date]],'DB Details'!$A:$Q,15)=0,"",VLOOKUP(Table311[[#This Row],[Date]],'DB Details'!$A:$Q,15))</f>
        <v>-1.303582746034216E-2</v>
      </c>
      <c r="E276" s="59">
        <f>IF(VLOOKUP(Table311[[#This Row],[Date]],'DB Details'!$A:$Q,17)=0,"",VLOOKUP(Table311[[#This Row],[Date]],'DB Details'!$A:$Q,17))</f>
        <v>-5.1132545037274268E-2</v>
      </c>
    </row>
    <row r="277" spans="1:5" x14ac:dyDescent="0.35">
      <c r="A277" s="58">
        <v>43862</v>
      </c>
      <c r="B277" s="48">
        <f>IF(VLOOKUP(Table311[[#This Row],[Date]],'DB Details'!$A:$Q,12)=0,"",VLOOKUP(Table311[[#This Row],[Date]],'DB Details'!$A:$Q,12))</f>
        <v>57.3</v>
      </c>
      <c r="C277" s="59">
        <f>IF(VLOOKUP(Table311[[#This Row],[Date]],'DB Details'!$A:$Q,16)=0,"",VLOOKUP(Table311[[#This Row],[Date]],'DB Details'!$A:$Q,16))</f>
        <v>6.3078516417420767E-3</v>
      </c>
      <c r="D277" s="59">
        <f>IF(VLOOKUP(Table311[[#This Row],[Date]],'DB Details'!$A:$Q,15)=0,"",VLOOKUP(Table311[[#This Row],[Date]],'DB Details'!$A:$Q,15))</f>
        <v>-1.303582746034216E-2</v>
      </c>
      <c r="E277" s="59">
        <f>IF(VLOOKUP(Table311[[#This Row],[Date]],'DB Details'!$A:$Q,17)=0,"",VLOOKUP(Table311[[#This Row],[Date]],'DB Details'!$A:$Q,17))</f>
        <v>-5.1132545037274268E-2</v>
      </c>
    </row>
    <row r="278" spans="1:5" x14ac:dyDescent="0.35">
      <c r="A278" s="58">
        <v>43891</v>
      </c>
      <c r="B278" s="48">
        <f>IF(VLOOKUP(Table311[[#This Row],[Date]],'DB Details'!$A:$Q,12)=0,"",VLOOKUP(Table311[[#This Row],[Date]],'DB Details'!$A:$Q,12))</f>
        <v>52.5</v>
      </c>
      <c r="C278" s="59">
        <f>IF(VLOOKUP(Table311[[#This Row],[Date]],'DB Details'!$A:$Q,16)=0,"",VLOOKUP(Table311[[#This Row],[Date]],'DB Details'!$A:$Q,16))</f>
        <v>6.3078516417420767E-3</v>
      </c>
      <c r="D278" s="59">
        <f>IF(VLOOKUP(Table311[[#This Row],[Date]],'DB Details'!$A:$Q,15)=0,"",VLOOKUP(Table311[[#This Row],[Date]],'DB Details'!$A:$Q,15))</f>
        <v>-1.303582746034216E-2</v>
      </c>
      <c r="E278" s="59">
        <f>IF(VLOOKUP(Table311[[#This Row],[Date]],'DB Details'!$A:$Q,17)=0,"",VLOOKUP(Table311[[#This Row],[Date]],'DB Details'!$A:$Q,17))</f>
        <v>-5.1132545037274268E-2</v>
      </c>
    </row>
    <row r="279" spans="1:5" x14ac:dyDescent="0.35">
      <c r="A279" s="58">
        <v>43922</v>
      </c>
      <c r="B279" s="48">
        <f>IF(VLOOKUP(Table311[[#This Row],[Date]],'DB Details'!$A:$Q,12)=0,"",VLOOKUP(Table311[[#This Row],[Date]],'DB Details'!$A:$Q,12))</f>
        <v>41.8</v>
      </c>
      <c r="C279" s="59">
        <f>IF(VLOOKUP(Table311[[#This Row],[Date]],'DB Details'!$A:$Q,16)=0,"",VLOOKUP(Table311[[#This Row],[Date]],'DB Details'!$A:$Q,16))</f>
        <v>-9.0837374242250385E-2</v>
      </c>
      <c r="D279" s="59">
        <f>IF(VLOOKUP(Table311[[#This Row],[Date]],'DB Details'!$A:$Q,15)=0,"",VLOOKUP(Table311[[#This Row],[Date]],'DB Details'!$A:$Q,15))</f>
        <v>-8.9372505011610218E-2</v>
      </c>
      <c r="E279" s="59">
        <f>IF(VLOOKUP(Table311[[#This Row],[Date]],'DB Details'!$A:$Q,17)=0,"",VLOOKUP(Table311[[#This Row],[Date]],'DB Details'!$A:$Q,17))</f>
        <v>-0.31235698461085082</v>
      </c>
    </row>
    <row r="280" spans="1:5" x14ac:dyDescent="0.35">
      <c r="A280" s="58">
        <v>43952</v>
      </c>
      <c r="B280" s="48">
        <f>IF(VLOOKUP(Table311[[#This Row],[Date]],'DB Details'!$A:$Q,12)=0,"",VLOOKUP(Table311[[#This Row],[Date]],'DB Details'!$A:$Q,12))</f>
        <v>45.4</v>
      </c>
      <c r="C280" s="59">
        <f>IF(VLOOKUP(Table311[[#This Row],[Date]],'DB Details'!$A:$Q,16)=0,"",VLOOKUP(Table311[[#This Row],[Date]],'DB Details'!$A:$Q,16))</f>
        <v>-9.0837374242250385E-2</v>
      </c>
      <c r="D280" s="59">
        <f>IF(VLOOKUP(Table311[[#This Row],[Date]],'DB Details'!$A:$Q,15)=0,"",VLOOKUP(Table311[[#This Row],[Date]],'DB Details'!$A:$Q,15))</f>
        <v>-8.9372505011610218E-2</v>
      </c>
      <c r="E280" s="59">
        <f>IF(VLOOKUP(Table311[[#This Row],[Date]],'DB Details'!$A:$Q,17)=0,"",VLOOKUP(Table311[[#This Row],[Date]],'DB Details'!$A:$Q,17))</f>
        <v>-0.31235698461085082</v>
      </c>
    </row>
    <row r="281" spans="1:5" x14ac:dyDescent="0.35">
      <c r="A281" s="58">
        <v>43983</v>
      </c>
      <c r="B281" s="48">
        <f>IF(VLOOKUP(Table311[[#This Row],[Date]],'DB Details'!$A:$Q,12)=0,"",VLOOKUP(Table311[[#This Row],[Date]],'DB Details'!$A:$Q,12))</f>
        <v>57.1</v>
      </c>
      <c r="C281" s="59">
        <f>IF(VLOOKUP(Table311[[#This Row],[Date]],'DB Details'!$A:$Q,16)=0,"",VLOOKUP(Table311[[#This Row],[Date]],'DB Details'!$A:$Q,16))</f>
        <v>-9.0837374242250385E-2</v>
      </c>
      <c r="D281" s="59">
        <f>IF(VLOOKUP(Table311[[#This Row],[Date]],'DB Details'!$A:$Q,15)=0,"",VLOOKUP(Table311[[#This Row],[Date]],'DB Details'!$A:$Q,15))</f>
        <v>-8.9372505011610218E-2</v>
      </c>
      <c r="E281" s="59">
        <f>IF(VLOOKUP(Table311[[#This Row],[Date]],'DB Details'!$A:$Q,17)=0,"",VLOOKUP(Table311[[#This Row],[Date]],'DB Details'!$A:$Q,17))</f>
        <v>-0.31235698461085082</v>
      </c>
    </row>
    <row r="282" spans="1:5" x14ac:dyDescent="0.35">
      <c r="A282" s="58">
        <v>44013</v>
      </c>
      <c r="B282" s="48">
        <f>IF(VLOOKUP(Table311[[#This Row],[Date]],'DB Details'!$A:$Q,12)=0,"",VLOOKUP(Table311[[#This Row],[Date]],'DB Details'!$A:$Q,12))</f>
        <v>58.1</v>
      </c>
      <c r="C282" s="59">
        <f>IF(VLOOKUP(Table311[[#This Row],[Date]],'DB Details'!$A:$Q,16)=0,"",VLOOKUP(Table311[[#This Row],[Date]],'DB Details'!$A:$Q,16))</f>
        <v>-2.8875059888336659E-2</v>
      </c>
      <c r="D282" s="59">
        <f>IF(VLOOKUP(Table311[[#This Row],[Date]],'DB Details'!$A:$Q,15)=0,"",VLOOKUP(Table311[[#This Row],[Date]],'DB Details'!$A:$Q,15))</f>
        <v>7.547534636423657E-2</v>
      </c>
      <c r="E282" s="59">
        <f>IF(VLOOKUP(Table311[[#This Row],[Date]],'DB Details'!$A:$Q,17)=0,"",VLOOKUP(Table311[[#This Row],[Date]],'DB Details'!$A:$Q,17))</f>
        <v>0.33783279300793229</v>
      </c>
    </row>
    <row r="283" spans="1:5" x14ac:dyDescent="0.35">
      <c r="A283" s="58">
        <v>44044</v>
      </c>
      <c r="B283" s="48">
        <f>IF(VLOOKUP(Table311[[#This Row],[Date]],'DB Details'!$A:$Q,12)=0,"",VLOOKUP(Table311[[#This Row],[Date]],'DB Details'!$A:$Q,12))</f>
        <v>56.9</v>
      </c>
      <c r="C283" s="59">
        <f>IF(VLOOKUP(Table311[[#This Row],[Date]],'DB Details'!$A:$Q,16)=0,"",VLOOKUP(Table311[[#This Row],[Date]],'DB Details'!$A:$Q,16))</f>
        <v>-2.8875059888336659E-2</v>
      </c>
      <c r="D283" s="59">
        <f>IF(VLOOKUP(Table311[[#This Row],[Date]],'DB Details'!$A:$Q,15)=0,"",VLOOKUP(Table311[[#This Row],[Date]],'DB Details'!$A:$Q,15))</f>
        <v>7.547534636423657E-2</v>
      </c>
      <c r="E283" s="59">
        <f>IF(VLOOKUP(Table311[[#This Row],[Date]],'DB Details'!$A:$Q,17)=0,"",VLOOKUP(Table311[[#This Row],[Date]],'DB Details'!$A:$Q,17))</f>
        <v>0.33783279300793229</v>
      </c>
    </row>
    <row r="284" spans="1:5" x14ac:dyDescent="0.35">
      <c r="A284" s="58">
        <v>44075</v>
      </c>
      <c r="B284" s="48">
        <f>IF(VLOOKUP(Table311[[#This Row],[Date]],'DB Details'!$A:$Q,12)=0,"",VLOOKUP(Table311[[#This Row],[Date]],'DB Details'!$A:$Q,12))</f>
        <v>57.8</v>
      </c>
      <c r="C284" s="59">
        <f>IF(VLOOKUP(Table311[[#This Row],[Date]],'DB Details'!$A:$Q,16)=0,"",VLOOKUP(Table311[[#This Row],[Date]],'DB Details'!$A:$Q,16))</f>
        <v>-2.8875059888336659E-2</v>
      </c>
      <c r="D284" s="59">
        <f>IF(VLOOKUP(Table311[[#This Row],[Date]],'DB Details'!$A:$Q,15)=0,"",VLOOKUP(Table311[[#This Row],[Date]],'DB Details'!$A:$Q,15))</f>
        <v>7.547534636423657E-2</v>
      </c>
      <c r="E284" s="59">
        <f>IF(VLOOKUP(Table311[[#This Row],[Date]],'DB Details'!$A:$Q,17)=0,"",VLOOKUP(Table311[[#This Row],[Date]],'DB Details'!$A:$Q,17))</f>
        <v>0.33783279300793229</v>
      </c>
    </row>
    <row r="285" spans="1:5" x14ac:dyDescent="0.35">
      <c r="A285" s="58">
        <v>44105</v>
      </c>
      <c r="B285" s="48">
        <f>IF(VLOOKUP(Table311[[#This Row],[Date]],'DB Details'!$A:$Q,12)=0,"",VLOOKUP(Table311[[#This Row],[Date]],'DB Details'!$A:$Q,12))</f>
        <v>56.6</v>
      </c>
      <c r="C285" s="59">
        <f>IF(VLOOKUP(Table311[[#This Row],[Date]],'DB Details'!$A:$Q,16)=0,"",VLOOKUP(Table311[[#This Row],[Date]],'DB Details'!$A:$Q,16))</f>
        <v>-2.2629152430098401E-2</v>
      </c>
      <c r="D285" s="59">
        <f>IF(VLOOKUP(Table311[[#This Row],[Date]],'DB Details'!$A:$Q,15)=0,"",VLOOKUP(Table311[[#This Row],[Date]],'DB Details'!$A:$Q,15))</f>
        <v>1.115276765936578E-2</v>
      </c>
      <c r="E285" s="59">
        <f>IF(VLOOKUP(Table311[[#This Row],[Date]],'DB Details'!$A:$Q,17)=0,"",VLOOKUP(Table311[[#This Row],[Date]],'DB Details'!$A:$Q,17))</f>
        <v>4.536294038119415E-2</v>
      </c>
    </row>
    <row r="286" spans="1:5" x14ac:dyDescent="0.35">
      <c r="A286" s="58">
        <v>44136</v>
      </c>
      <c r="B286" s="48">
        <f>IF(VLOOKUP(Table311[[#This Row],[Date]],'DB Details'!$A:$Q,12)=0,"",VLOOKUP(Table311[[#This Row],[Date]],'DB Details'!$A:$Q,12))</f>
        <v>55.9</v>
      </c>
      <c r="C286" s="59">
        <f>IF(VLOOKUP(Table311[[#This Row],[Date]],'DB Details'!$A:$Q,16)=0,"",VLOOKUP(Table311[[#This Row],[Date]],'DB Details'!$A:$Q,16))</f>
        <v>-2.2629152430098401E-2</v>
      </c>
      <c r="D286" s="59">
        <f>IF(VLOOKUP(Table311[[#This Row],[Date]],'DB Details'!$A:$Q,15)=0,"",VLOOKUP(Table311[[#This Row],[Date]],'DB Details'!$A:$Q,15))</f>
        <v>1.115276765936578E-2</v>
      </c>
      <c r="E286" s="59">
        <f>IF(VLOOKUP(Table311[[#This Row],[Date]],'DB Details'!$A:$Q,17)=0,"",VLOOKUP(Table311[[#This Row],[Date]],'DB Details'!$A:$Q,17))</f>
        <v>4.536294038119415E-2</v>
      </c>
    </row>
    <row r="287" spans="1:5" x14ac:dyDescent="0.35">
      <c r="A287" s="58">
        <v>44166</v>
      </c>
      <c r="B287" s="48">
        <f>IF(VLOOKUP(Table311[[#This Row],[Date]],'DB Details'!$A:$Q,12)=0,"",VLOOKUP(Table311[[#This Row],[Date]],'DB Details'!$A:$Q,12))</f>
        <v>57.2</v>
      </c>
      <c r="C287" s="59">
        <f>IF(VLOOKUP(Table311[[#This Row],[Date]],'DB Details'!$A:$Q,16)=0,"",VLOOKUP(Table311[[#This Row],[Date]],'DB Details'!$A:$Q,16))</f>
        <v>-2.2629152430098401E-2</v>
      </c>
      <c r="D287" s="59">
        <f>IF(VLOOKUP(Table311[[#This Row],[Date]],'DB Details'!$A:$Q,15)=0,"",VLOOKUP(Table311[[#This Row],[Date]],'DB Details'!$A:$Q,15))</f>
        <v>1.115276765936578E-2</v>
      </c>
      <c r="E287" s="59">
        <f>IF(VLOOKUP(Table311[[#This Row],[Date]],'DB Details'!$A:$Q,17)=0,"",VLOOKUP(Table311[[#This Row],[Date]],'DB Details'!$A:$Q,17))</f>
        <v>4.536294038119415E-2</v>
      </c>
    </row>
    <row r="288" spans="1:5" x14ac:dyDescent="0.35">
      <c r="A288" s="58">
        <v>44197</v>
      </c>
      <c r="B288" s="48">
        <f>IF(VLOOKUP(Table311[[#This Row],[Date]],'DB Details'!$A:$Q,12)=0,"",VLOOKUP(Table311[[#This Row],[Date]],'DB Details'!$A:$Q,12))</f>
        <v>58.7</v>
      </c>
      <c r="C288" s="59">
        <f>IF(VLOOKUP(Table311[[#This Row],[Date]],'DB Details'!$A:$Q,16)=0,"",VLOOKUP(Table311[[#This Row],[Date]],'DB Details'!$A:$Q,16))</f>
        <v>5.4697680328273934E-3</v>
      </c>
      <c r="D288" s="59">
        <f>IF(VLOOKUP(Table311[[#This Row],[Date]],'DB Details'!$A:$Q,15)=0,"",VLOOKUP(Table311[[#This Row],[Date]],'DB Details'!$A:$Q,15))</f>
        <v>1.533889627211066E-2</v>
      </c>
      <c r="E288" s="59">
        <f>IF(VLOOKUP(Table311[[#This Row],[Date]],'DB Details'!$A:$Q,17)=0,"",VLOOKUP(Table311[[#This Row],[Date]],'DB Details'!$A:$Q,17))</f>
        <v>6.278176672776592E-2</v>
      </c>
    </row>
    <row r="289" spans="1:5" x14ac:dyDescent="0.35">
      <c r="A289" s="58">
        <v>44228</v>
      </c>
      <c r="B289" s="48">
        <f>IF(VLOOKUP(Table311[[#This Row],[Date]],'DB Details'!$A:$Q,12)=0,"",VLOOKUP(Table311[[#This Row],[Date]],'DB Details'!$A:$Q,12))</f>
        <v>55.3</v>
      </c>
      <c r="C289" s="59">
        <f>IF(VLOOKUP(Table311[[#This Row],[Date]],'DB Details'!$A:$Q,16)=0,"",VLOOKUP(Table311[[#This Row],[Date]],'DB Details'!$A:$Q,16))</f>
        <v>5.4697680328273934E-3</v>
      </c>
      <c r="D289" s="59">
        <f>IF(VLOOKUP(Table311[[#This Row],[Date]],'DB Details'!$A:$Q,15)=0,"",VLOOKUP(Table311[[#This Row],[Date]],'DB Details'!$A:$Q,15))</f>
        <v>1.533889627211066E-2</v>
      </c>
      <c r="E289" s="59">
        <f>IF(VLOOKUP(Table311[[#This Row],[Date]],'DB Details'!$A:$Q,17)=0,"",VLOOKUP(Table311[[#This Row],[Date]],'DB Details'!$A:$Q,17))</f>
        <v>6.278176672776592E-2</v>
      </c>
    </row>
    <row r="290" spans="1:5" x14ac:dyDescent="0.35">
      <c r="A290" s="58">
        <v>44256</v>
      </c>
      <c r="B290" s="48">
        <f>IF(VLOOKUP(Table311[[#This Row],[Date]],'DB Details'!$A:$Q,12)=0,"",VLOOKUP(Table311[[#This Row],[Date]],'DB Details'!$A:$Q,12))</f>
        <v>63.7</v>
      </c>
      <c r="C290" s="59">
        <f>IF(VLOOKUP(Table311[[#This Row],[Date]],'DB Details'!$A:$Q,16)=0,"",VLOOKUP(Table311[[#This Row],[Date]],'DB Details'!$A:$Q,16))</f>
        <v>5.4697680328273934E-3</v>
      </c>
      <c r="D290" s="59">
        <f>IF(VLOOKUP(Table311[[#This Row],[Date]],'DB Details'!$A:$Q,15)=0,"",VLOOKUP(Table311[[#This Row],[Date]],'DB Details'!$A:$Q,15))</f>
        <v>1.533889627211066E-2</v>
      </c>
      <c r="E290" s="59">
        <f>IF(VLOOKUP(Table311[[#This Row],[Date]],'DB Details'!$A:$Q,17)=0,"",VLOOKUP(Table311[[#This Row],[Date]],'DB Details'!$A:$Q,17))</f>
        <v>6.278176672776592E-2</v>
      </c>
    </row>
    <row r="291" spans="1:5" x14ac:dyDescent="0.35">
      <c r="A291" s="58">
        <v>44287</v>
      </c>
      <c r="B291" s="48">
        <f>IF(VLOOKUP(Table311[[#This Row],[Date]],'DB Details'!$A:$Q,12)=0,"",VLOOKUP(Table311[[#This Row],[Date]],'DB Details'!$A:$Q,12))</f>
        <v>62.7</v>
      </c>
      <c r="C291" s="59">
        <f>IF(VLOOKUP(Table311[[#This Row],[Date]],'DB Details'!$A:$Q,16)=0,"",VLOOKUP(Table311[[#This Row],[Date]],'DB Details'!$A:$Q,16))</f>
        <v>0.12226677108077</v>
      </c>
      <c r="D291" s="59">
        <f>IF(VLOOKUP(Table311[[#This Row],[Date]],'DB Details'!$A:$Q,15)=0,"",VLOOKUP(Table311[[#This Row],[Date]],'DB Details'!$A:$Q,15))</f>
        <v>1.6407465395443108E-2</v>
      </c>
      <c r="E291" s="59">
        <f>IF(VLOOKUP(Table311[[#This Row],[Date]],'DB Details'!$A:$Q,17)=0,"",VLOOKUP(Table311[[#This Row],[Date]],'DB Details'!$A:$Q,17))</f>
        <v>6.7262831458960726E-2</v>
      </c>
    </row>
    <row r="292" spans="1:5" x14ac:dyDescent="0.35">
      <c r="A292" s="58">
        <v>44317</v>
      </c>
      <c r="B292" s="48">
        <f>IF(VLOOKUP(Table311[[#This Row],[Date]],'DB Details'!$A:$Q,12)=0,"",VLOOKUP(Table311[[#This Row],[Date]],'DB Details'!$A:$Q,12))</f>
        <v>64</v>
      </c>
      <c r="C292" s="59">
        <f>IF(VLOOKUP(Table311[[#This Row],[Date]],'DB Details'!$A:$Q,16)=0,"",VLOOKUP(Table311[[#This Row],[Date]],'DB Details'!$A:$Q,16))</f>
        <v>0.12226677108077</v>
      </c>
      <c r="D292" s="59">
        <f>IF(VLOOKUP(Table311[[#This Row],[Date]],'DB Details'!$A:$Q,15)=0,"",VLOOKUP(Table311[[#This Row],[Date]],'DB Details'!$A:$Q,15))</f>
        <v>1.6407465395443108E-2</v>
      </c>
      <c r="E292" s="59">
        <f>IF(VLOOKUP(Table311[[#This Row],[Date]],'DB Details'!$A:$Q,17)=0,"",VLOOKUP(Table311[[#This Row],[Date]],'DB Details'!$A:$Q,17))</f>
        <v>6.7262831458960726E-2</v>
      </c>
    </row>
    <row r="293" spans="1:5" x14ac:dyDescent="0.35">
      <c r="A293" s="58">
        <v>44348</v>
      </c>
      <c r="B293" s="48">
        <f>IF(VLOOKUP(Table311[[#This Row],[Date]],'DB Details'!$A:$Q,12)=0,"",VLOOKUP(Table311[[#This Row],[Date]],'DB Details'!$A:$Q,12))</f>
        <v>60.1</v>
      </c>
      <c r="C293" s="59">
        <f>IF(VLOOKUP(Table311[[#This Row],[Date]],'DB Details'!$A:$Q,16)=0,"",VLOOKUP(Table311[[#This Row],[Date]],'DB Details'!$A:$Q,16))</f>
        <v>0.12226677108077</v>
      </c>
      <c r="D293" s="59">
        <f>IF(VLOOKUP(Table311[[#This Row],[Date]],'DB Details'!$A:$Q,15)=0,"",VLOOKUP(Table311[[#This Row],[Date]],'DB Details'!$A:$Q,15))</f>
        <v>1.6407465395443108E-2</v>
      </c>
      <c r="E293" s="59">
        <f>IF(VLOOKUP(Table311[[#This Row],[Date]],'DB Details'!$A:$Q,17)=0,"",VLOOKUP(Table311[[#This Row],[Date]],'DB Details'!$A:$Q,17))</f>
        <v>6.7262831458960726E-2</v>
      </c>
    </row>
    <row r="294" spans="1:5" x14ac:dyDescent="0.35">
      <c r="A294" s="58">
        <v>44378</v>
      </c>
      <c r="B294" s="48">
        <f>IF(VLOOKUP(Table311[[#This Row],[Date]],'DB Details'!$A:$Q,12)=0,"",VLOOKUP(Table311[[#This Row],[Date]],'DB Details'!$A:$Q,12))</f>
        <v>64.099999999999994</v>
      </c>
      <c r="C294" s="59">
        <f>IF(VLOOKUP(Table311[[#This Row],[Date]],'DB Details'!$A:$Q,16)=0,"",VLOOKUP(Table311[[#This Row],[Date]],'DB Details'!$A:$Q,16))</f>
        <v>4.9465555692882128E-2</v>
      </c>
      <c r="D294" s="59">
        <f>IF(VLOOKUP(Table311[[#This Row],[Date]],'DB Details'!$A:$Q,15)=0,"",VLOOKUP(Table311[[#This Row],[Date]],'DB Details'!$A:$Q,15))</f>
        <v>5.7094811059921454E-3</v>
      </c>
      <c r="E294" s="59">
        <f>IF(VLOOKUP(Table311[[#This Row],[Date]],'DB Details'!$A:$Q,17)=0,"",VLOOKUP(Table311[[#This Row],[Date]],'DB Details'!$A:$Q,17))</f>
        <v>2.303425900825307E-2</v>
      </c>
    </row>
    <row r="295" spans="1:5" x14ac:dyDescent="0.35">
      <c r="A295" s="58">
        <v>44409</v>
      </c>
      <c r="B295" s="48">
        <f>IF(VLOOKUP(Table311[[#This Row],[Date]],'DB Details'!$A:$Q,12)=0,"",VLOOKUP(Table311[[#This Row],[Date]],'DB Details'!$A:$Q,12))</f>
        <v>61.7</v>
      </c>
      <c r="C295" s="59">
        <f>IF(VLOOKUP(Table311[[#This Row],[Date]],'DB Details'!$A:$Q,16)=0,"",VLOOKUP(Table311[[#This Row],[Date]],'DB Details'!$A:$Q,16))</f>
        <v>4.9465555692882128E-2</v>
      </c>
      <c r="D295" s="59">
        <f>IF(VLOOKUP(Table311[[#This Row],[Date]],'DB Details'!$A:$Q,15)=0,"",VLOOKUP(Table311[[#This Row],[Date]],'DB Details'!$A:$Q,15))</f>
        <v>5.7094811059921454E-3</v>
      </c>
      <c r="E295" s="59">
        <f>IF(VLOOKUP(Table311[[#This Row],[Date]],'DB Details'!$A:$Q,17)=0,"",VLOOKUP(Table311[[#This Row],[Date]],'DB Details'!$A:$Q,17))</f>
        <v>2.303425900825307E-2</v>
      </c>
    </row>
    <row r="296" spans="1:5" x14ac:dyDescent="0.35">
      <c r="A296" s="58">
        <v>44440</v>
      </c>
      <c r="B296" s="48">
        <f>IF(VLOOKUP(Table311[[#This Row],[Date]],'DB Details'!$A:$Q,12)=0,"",VLOOKUP(Table311[[#This Row],[Date]],'DB Details'!$A:$Q,12))</f>
        <v>61.9</v>
      </c>
      <c r="C296" s="59">
        <f>IF(VLOOKUP(Table311[[#This Row],[Date]],'DB Details'!$A:$Q,16)=0,"",VLOOKUP(Table311[[#This Row],[Date]],'DB Details'!$A:$Q,16))</f>
        <v>4.9465555692882128E-2</v>
      </c>
      <c r="D296" s="59">
        <f>IF(VLOOKUP(Table311[[#This Row],[Date]],'DB Details'!$A:$Q,15)=0,"",VLOOKUP(Table311[[#This Row],[Date]],'DB Details'!$A:$Q,15))</f>
        <v>5.7094811059921454E-3</v>
      </c>
      <c r="E296" s="59">
        <f>IF(VLOOKUP(Table311[[#This Row],[Date]],'DB Details'!$A:$Q,17)=0,"",VLOOKUP(Table311[[#This Row],[Date]],'DB Details'!$A:$Q,17))</f>
        <v>2.303425900825307E-2</v>
      </c>
    </row>
    <row r="297" spans="1:5" x14ac:dyDescent="0.35">
      <c r="A297" s="58">
        <v>44470</v>
      </c>
      <c r="B297" s="48">
        <f>IF(VLOOKUP(Table311[[#This Row],[Date]],'DB Details'!$A:$Q,12)=0,"",VLOOKUP(Table311[[#This Row],[Date]],'DB Details'!$A:$Q,12))</f>
        <v>66.7</v>
      </c>
      <c r="C297" s="59">
        <f>IF(VLOOKUP(Table311[[#This Row],[Date]],'DB Details'!$A:$Q,16)=0,"",VLOOKUP(Table311[[#This Row],[Date]],'DB Details'!$A:$Q,16))</f>
        <v>5.5317363621841711E-2</v>
      </c>
      <c r="D297" s="59">
        <f>IF(VLOOKUP(Table311[[#This Row],[Date]],'DB Details'!$A:$Q,15)=0,"",VLOOKUP(Table311[[#This Row],[Date]],'DB Details'!$A:$Q,15))</f>
        <v>1.6790943920683761E-2</v>
      </c>
      <c r="E297" s="59">
        <f>IF(VLOOKUP(Table311[[#This Row],[Date]],'DB Details'!$A:$Q,17)=0,"",VLOOKUP(Table311[[#This Row],[Date]],'DB Details'!$A:$Q,17))</f>
        <v>6.8874405829691066E-2</v>
      </c>
    </row>
    <row r="298" spans="1:5" x14ac:dyDescent="0.35">
      <c r="A298" s="58">
        <v>44501</v>
      </c>
      <c r="B298" s="48">
        <f>IF(VLOOKUP(Table311[[#This Row],[Date]],'DB Details'!$A:$Q,12)=0,"",VLOOKUP(Table311[[#This Row],[Date]],'DB Details'!$A:$Q,12))</f>
        <v>69.099999999999994</v>
      </c>
      <c r="C298" s="59">
        <f>IF(VLOOKUP(Table311[[#This Row],[Date]],'DB Details'!$A:$Q,16)=0,"",VLOOKUP(Table311[[#This Row],[Date]],'DB Details'!$A:$Q,16))</f>
        <v>5.5317363621841711E-2</v>
      </c>
      <c r="D298" s="59">
        <f>IF(VLOOKUP(Table311[[#This Row],[Date]],'DB Details'!$A:$Q,15)=0,"",VLOOKUP(Table311[[#This Row],[Date]],'DB Details'!$A:$Q,15))</f>
        <v>1.6790943920683761E-2</v>
      </c>
      <c r="E298" s="59">
        <f>IF(VLOOKUP(Table311[[#This Row],[Date]],'DB Details'!$A:$Q,17)=0,"",VLOOKUP(Table311[[#This Row],[Date]],'DB Details'!$A:$Q,17))</f>
        <v>6.8874405829691066E-2</v>
      </c>
    </row>
    <row r="299" spans="1:5" x14ac:dyDescent="0.35">
      <c r="A299" s="58">
        <v>44531</v>
      </c>
      <c r="B299" s="48">
        <f>IF(VLOOKUP(Table311[[#This Row],[Date]],'DB Details'!$A:$Q,12)=0,"",VLOOKUP(Table311[[#This Row],[Date]],'DB Details'!$A:$Q,12))</f>
        <v>62</v>
      </c>
      <c r="C299" s="59">
        <f>IF(VLOOKUP(Table311[[#This Row],[Date]],'DB Details'!$A:$Q,16)=0,"",VLOOKUP(Table311[[#This Row],[Date]],'DB Details'!$A:$Q,16))</f>
        <v>5.5317363621841711E-2</v>
      </c>
      <c r="D299" s="59">
        <f>IF(VLOOKUP(Table311[[#This Row],[Date]],'DB Details'!$A:$Q,15)=0,"",VLOOKUP(Table311[[#This Row],[Date]],'DB Details'!$A:$Q,15))</f>
        <v>1.6790943920683761E-2</v>
      </c>
      <c r="E299" s="59">
        <f>IF(VLOOKUP(Table311[[#This Row],[Date]],'DB Details'!$A:$Q,17)=0,"",VLOOKUP(Table311[[#This Row],[Date]],'DB Details'!$A:$Q,17))</f>
        <v>6.8874405829691066E-2</v>
      </c>
    </row>
    <row r="300" spans="1:5" x14ac:dyDescent="0.35">
      <c r="A300" s="58">
        <v>44562</v>
      </c>
      <c r="B300" s="48">
        <f>IF(VLOOKUP(Table311[[#This Row],[Date]],'DB Details'!$A:$Q,12)=0,"",VLOOKUP(Table311[[#This Row],[Date]],'DB Details'!$A:$Q,12))</f>
        <v>59.9</v>
      </c>
      <c r="C300" s="59">
        <f>IF(VLOOKUP(Table311[[#This Row],[Date]],'DB Details'!$A:$Q,16)=0,"",VLOOKUP(Table311[[#This Row],[Date]],'DB Details'!$A:$Q,16))</f>
        <v>5.5317363621841711E-2</v>
      </c>
      <c r="D300" s="59">
        <f>IF(VLOOKUP(Table311[[#This Row],[Date]],'DB Details'!$A:$Q,15)=0,"",VLOOKUP(Table311[[#This Row],[Date]],'DB Details'!$A:$Q,15))</f>
        <v>1.6790943920683761E-2</v>
      </c>
      <c r="E300" s="59">
        <f>IF(VLOOKUP(Table311[[#This Row],[Date]],'DB Details'!$A:$Q,17)=0,"",VLOOKUP(Table311[[#This Row],[Date]],'DB Details'!$A:$Q,17))</f>
        <v>6.8874405829691066E-2</v>
      </c>
    </row>
    <row r="301" spans="1:5" x14ac:dyDescent="0.35">
      <c r="A301" s="58">
        <v>44593</v>
      </c>
      <c r="B301" s="48">
        <f>IF(VLOOKUP(Table311[[#This Row],[Date]],'DB Details'!$A:$Q,12)=0,"",VLOOKUP(Table311[[#This Row],[Date]],'DB Details'!$A:$Q,12))</f>
        <v>56.5</v>
      </c>
      <c r="C301" s="59">
        <f>IF(VLOOKUP(Table311[[#This Row],[Date]],'DB Details'!$A:$Q,16)=0,"",VLOOKUP(Table311[[#This Row],[Date]],'DB Details'!$A:$Q,16))</f>
        <v>5.5317363621841711E-2</v>
      </c>
      <c r="D301" s="59">
        <f>IF(VLOOKUP(Table311[[#This Row],[Date]],'DB Details'!$A:$Q,15)=0,"",VLOOKUP(Table311[[#This Row],[Date]],'DB Details'!$A:$Q,15))</f>
        <v>1.6790943920683761E-2</v>
      </c>
      <c r="E301" s="59">
        <f>IF(VLOOKUP(Table311[[#This Row],[Date]],'DB Details'!$A:$Q,17)=0,"",VLOOKUP(Table311[[#This Row],[Date]],'DB Details'!$A:$Q,17))</f>
        <v>6.8874405829691066E-2</v>
      </c>
    </row>
    <row r="302" spans="1:5" x14ac:dyDescent="0.35">
      <c r="A302" s="58">
        <v>44621</v>
      </c>
      <c r="B302" s="48">
        <f>IF(VLOOKUP(Table311[[#This Row],[Date]],'DB Details'!$A:$Q,12)=0,"",VLOOKUP(Table311[[#This Row],[Date]],'DB Details'!$A:$Q,12))</f>
        <v>58.3</v>
      </c>
      <c r="C302" s="59">
        <f>IF(VLOOKUP(Table311[[#This Row],[Date]],'DB Details'!$A:$Q,16)=0,"",VLOOKUP(Table311[[#This Row],[Date]],'DB Details'!$A:$Q,16))</f>
        <v>5.5317363621841711E-2</v>
      </c>
      <c r="D302" s="59">
        <f>IF(VLOOKUP(Table311[[#This Row],[Date]],'DB Details'!$A:$Q,15)=0,"",VLOOKUP(Table311[[#This Row],[Date]],'DB Details'!$A:$Q,15))</f>
        <v>1.6790943920683761E-2</v>
      </c>
      <c r="E302" s="59">
        <f>IF(VLOOKUP(Table311[[#This Row],[Date]],'DB Details'!$A:$Q,17)=0,"",VLOOKUP(Table311[[#This Row],[Date]],'DB Details'!$A:$Q,17))</f>
        <v>6.8874405829691066E-2</v>
      </c>
    </row>
    <row r="303" spans="1:5" x14ac:dyDescent="0.35">
      <c r="A303" s="58">
        <v>44652</v>
      </c>
      <c r="B303" s="48">
        <f>IF(VLOOKUP(Table311[[#This Row],[Date]],'DB Details'!$A:$Q,12)=0,"",VLOOKUP(Table311[[#This Row],[Date]],'DB Details'!$A:$Q,12))</f>
        <v>57.1</v>
      </c>
      <c r="C303" s="59">
        <f>IF(VLOOKUP(Table311[[#This Row],[Date]],'DB Details'!$A:$Q,16)=0,"",VLOOKUP(Table311[[#This Row],[Date]],'DB Details'!$A:$Q,16))</f>
        <v>5.5317363621841711E-2</v>
      </c>
      <c r="D303" s="59">
        <f>IF(VLOOKUP(Table311[[#This Row],[Date]],'DB Details'!$A:$Q,15)=0,"",VLOOKUP(Table311[[#This Row],[Date]],'DB Details'!$A:$Q,15))</f>
        <v>1.6790943920683761E-2</v>
      </c>
      <c r="E303" s="59">
        <f>IF(VLOOKUP(Table311[[#This Row],[Date]],'DB Details'!$A:$Q,17)=0,"",VLOOKUP(Table311[[#This Row],[Date]],'DB Details'!$A:$Q,17))</f>
        <v>6.8874405829691066E-2</v>
      </c>
    </row>
    <row r="304" spans="1:5" x14ac:dyDescent="0.35">
      <c r="A304" s="58">
        <v>44682</v>
      </c>
      <c r="B304" s="48">
        <f>IF(VLOOKUP(Table311[[#This Row],[Date]],'DB Details'!$A:$Q,12)=0,"",VLOOKUP(Table311[[#This Row],[Date]],'DB Details'!$A:$Q,12))</f>
        <v>55.9</v>
      </c>
      <c r="C304" s="59">
        <f>IF(VLOOKUP(Table311[[#This Row],[Date]],'DB Details'!$A:$Q,16)=0,"",VLOOKUP(Table311[[#This Row],[Date]],'DB Details'!$A:$Q,16))</f>
        <v>5.5317363621841711E-2</v>
      </c>
      <c r="D304" s="59">
        <f>IF(VLOOKUP(Table311[[#This Row],[Date]],'DB Details'!$A:$Q,15)=0,"",VLOOKUP(Table311[[#This Row],[Date]],'DB Details'!$A:$Q,15))</f>
        <v>1.6790943920683761E-2</v>
      </c>
      <c r="E304" s="59">
        <f>IF(VLOOKUP(Table311[[#This Row],[Date]],'DB Details'!$A:$Q,17)=0,"",VLOOKUP(Table311[[#This Row],[Date]],'DB Details'!$A:$Q,17))</f>
        <v>6.8874405829691066E-2</v>
      </c>
    </row>
    <row r="305" spans="1:5" x14ac:dyDescent="0.35">
      <c r="A305" s="58">
        <v>44713</v>
      </c>
      <c r="B305" s="48">
        <f>IF(VLOOKUP(Table311[[#This Row],[Date]],'DB Details'!$A:$Q,12)=0,"",VLOOKUP(Table311[[#This Row],[Date]],'DB Details'!$A:$Q,12))</f>
        <v>55.3</v>
      </c>
      <c r="C305" s="59">
        <f>IF(VLOOKUP(Table311[[#This Row],[Date]],'DB Details'!$A:$Q,16)=0,"",VLOOKUP(Table311[[#This Row],[Date]],'DB Details'!$A:$Q,16))</f>
        <v>5.5317363621841711E-2</v>
      </c>
      <c r="D305" s="59">
        <f>IF(VLOOKUP(Table311[[#This Row],[Date]],'DB Details'!$A:$Q,15)=0,"",VLOOKUP(Table311[[#This Row],[Date]],'DB Details'!$A:$Q,15))</f>
        <v>1.6790943920683761E-2</v>
      </c>
      <c r="E305" s="59">
        <f>IF(VLOOKUP(Table311[[#This Row],[Date]],'DB Details'!$A:$Q,17)=0,"",VLOOKUP(Table311[[#This Row],[Date]],'DB Details'!$A:$Q,17))</f>
        <v>6.8874405829691066E-2</v>
      </c>
    </row>
    <row r="306" spans="1:5" x14ac:dyDescent="0.35">
      <c r="A306" s="58">
        <v>44743</v>
      </c>
      <c r="B306" s="48">
        <f>IF(VLOOKUP(Table311[[#This Row],[Date]],'DB Details'!$A:$Q,12)=0,"",VLOOKUP(Table311[[#This Row],[Date]],'DB Details'!$A:$Q,12))</f>
        <v>56.7</v>
      </c>
      <c r="C306" s="59">
        <f>IF(VLOOKUP(Table311[[#This Row],[Date]],'DB Details'!$A:$Q,16)=0,"",VLOOKUP(Table311[[#This Row],[Date]],'DB Details'!$A:$Q,16))</f>
        <v>5.5317363621841711E-2</v>
      </c>
      <c r="D306" s="59">
        <f>IF(VLOOKUP(Table311[[#This Row],[Date]],'DB Details'!$A:$Q,15)=0,"",VLOOKUP(Table311[[#This Row],[Date]],'DB Details'!$A:$Q,15))</f>
        <v>1.6790943920683761E-2</v>
      </c>
      <c r="E306" s="59">
        <f>IF(VLOOKUP(Table311[[#This Row],[Date]],'DB Details'!$A:$Q,17)=0,"",VLOOKUP(Table311[[#This Row],[Date]],'DB Details'!$A:$Q,17))</f>
        <v>6.8874405829691066E-2</v>
      </c>
    </row>
    <row r="307" spans="1:5" x14ac:dyDescent="0.35">
      <c r="A307" s="58">
        <v>44774</v>
      </c>
      <c r="B307" s="48">
        <f>IF(VLOOKUP(Table311[[#This Row],[Date]],'DB Details'!$A:$Q,12)=0,"",VLOOKUP(Table311[[#This Row],[Date]],'DB Details'!$A:$Q,12))</f>
        <v>56.9</v>
      </c>
      <c r="C307" s="59">
        <f>IF(VLOOKUP(Table311[[#This Row],[Date]],'DB Details'!$A:$Q,16)=0,"",VLOOKUP(Table311[[#This Row],[Date]],'DB Details'!$A:$Q,16))</f>
        <v>5.5317363621841711E-2</v>
      </c>
      <c r="D307" s="59">
        <f>IF(VLOOKUP(Table311[[#This Row],[Date]],'DB Details'!$A:$Q,15)=0,"",VLOOKUP(Table311[[#This Row],[Date]],'DB Details'!$A:$Q,15))</f>
        <v>1.6790943920683761E-2</v>
      </c>
      <c r="E307" s="59">
        <f>IF(VLOOKUP(Table311[[#This Row],[Date]],'DB Details'!$A:$Q,17)=0,"",VLOOKUP(Table311[[#This Row],[Date]],'DB Details'!$A:$Q,17))</f>
        <v>6.8874405829691066E-2</v>
      </c>
    </row>
    <row r="308" spans="1:5" x14ac:dyDescent="0.35">
      <c r="A308" s="58">
        <v>44805</v>
      </c>
      <c r="B308" s="48">
        <f>IF(VLOOKUP(Table311[[#This Row],[Date]],'DB Details'!$A:$Q,12)=0,"",VLOOKUP(Table311[[#This Row],[Date]],'DB Details'!$A:$Q,12))</f>
        <v>56.7</v>
      </c>
      <c r="C308" s="59">
        <f>IF(VLOOKUP(Table311[[#This Row],[Date]],'DB Details'!$A:$Q,16)=0,"",VLOOKUP(Table311[[#This Row],[Date]],'DB Details'!$A:$Q,16))</f>
        <v>5.5317363621841711E-2</v>
      </c>
      <c r="D308" s="59">
        <f>IF(VLOOKUP(Table311[[#This Row],[Date]],'DB Details'!$A:$Q,15)=0,"",VLOOKUP(Table311[[#This Row],[Date]],'DB Details'!$A:$Q,15))</f>
        <v>1.6790943920683761E-2</v>
      </c>
      <c r="E308" s="59">
        <f>IF(VLOOKUP(Table311[[#This Row],[Date]],'DB Details'!$A:$Q,17)=0,"",VLOOKUP(Table311[[#This Row],[Date]],'DB Details'!$A:$Q,17))</f>
        <v>6.8874405829691066E-2</v>
      </c>
    </row>
    <row r="309" spans="1:5" x14ac:dyDescent="0.35">
      <c r="A309" s="58">
        <v>44835</v>
      </c>
      <c r="B309" s="48">
        <f>IF(VLOOKUP(Table311[[#This Row],[Date]],'DB Details'!$A:$Q,12)=0,"",VLOOKUP(Table311[[#This Row],[Date]],'DB Details'!$A:$Q,12))</f>
        <v>54.4</v>
      </c>
      <c r="C309" s="59">
        <f>IF(VLOOKUP(Table311[[#This Row],[Date]],'DB Details'!$A:$Q,16)=0,"",VLOOKUP(Table311[[#This Row],[Date]],'DB Details'!$A:$Q,16))</f>
        <v>5.5317363621841711E-2</v>
      </c>
      <c r="D309" s="59">
        <f>IF(VLOOKUP(Table311[[#This Row],[Date]],'DB Details'!$A:$Q,15)=0,"",VLOOKUP(Table311[[#This Row],[Date]],'DB Details'!$A:$Q,15))</f>
        <v>1.6790943920683761E-2</v>
      </c>
      <c r="E309" s="59">
        <f>IF(VLOOKUP(Table311[[#This Row],[Date]],'DB Details'!$A:$Q,17)=0,"",VLOOKUP(Table311[[#This Row],[Date]],'DB Details'!$A:$Q,17))</f>
        <v>6.8874405829691066E-2</v>
      </c>
    </row>
    <row r="310" spans="1:5" x14ac:dyDescent="0.35">
      <c r="A310" s="58">
        <v>44866</v>
      </c>
      <c r="B310" s="48">
        <f>IF(VLOOKUP(Table311[[#This Row],[Date]],'DB Details'!$A:$Q,12)=0,"",VLOOKUP(Table311[[#This Row],[Date]],'DB Details'!$A:$Q,12))</f>
        <v>56.5</v>
      </c>
      <c r="C310" s="59">
        <f>IF(VLOOKUP(Table311[[#This Row],[Date]],'DB Details'!$A:$Q,16)=0,"",VLOOKUP(Table311[[#This Row],[Date]],'DB Details'!$A:$Q,16))</f>
        <v>5.5317363621841711E-2</v>
      </c>
      <c r="D310" s="59">
        <f>IF(VLOOKUP(Table311[[#This Row],[Date]],'DB Details'!$A:$Q,15)=0,"",VLOOKUP(Table311[[#This Row],[Date]],'DB Details'!$A:$Q,15))</f>
        <v>1.6790943920683761E-2</v>
      </c>
      <c r="E310" s="59">
        <f>IF(VLOOKUP(Table311[[#This Row],[Date]],'DB Details'!$A:$Q,17)=0,"",VLOOKUP(Table311[[#This Row],[Date]],'DB Details'!$A:$Q,17))</f>
        <v>6.8874405829691066E-2</v>
      </c>
    </row>
  </sheetData>
  <conditionalFormatting sqref="B156:B310">
    <cfRule type="colorScale" priority="2">
      <colorScale>
        <cfvo type="min"/>
        <cfvo type="percentile" val="50"/>
        <cfvo type="max"/>
        <color rgb="FFF8696B"/>
        <color rgb="FFFFEB84"/>
        <color rgb="FF63BE7B"/>
      </colorScale>
    </cfRule>
  </conditionalFormatting>
  <conditionalFormatting sqref="E156:E31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10"/>
  <sheetViews>
    <sheetView zoomScale="190" zoomScaleNormal="190" workbookViewId="0">
      <pane ySplit="5" topLeftCell="A277" activePane="bottomLeft" state="frozen"/>
      <selection activeCell="P256" sqref="P256"/>
      <selection pane="bottomLeft" activeCell="K310" sqref="K310"/>
    </sheetView>
  </sheetViews>
  <sheetFormatPr defaultColWidth="9.1796875" defaultRowHeight="14.5" x14ac:dyDescent="0.35"/>
  <cols>
    <col min="1" max="1" width="18.36328125" style="63" customWidth="1"/>
    <col min="2" max="3" width="11" style="63" customWidth="1"/>
    <col min="4" max="6" width="9.1796875" style="63" customWidth="1"/>
    <col min="7" max="7" width="12.81640625" style="63" customWidth="1"/>
    <col min="8" max="8" width="14.453125" style="63" customWidth="1"/>
    <col min="9" max="9" width="9.1796875" style="63" customWidth="1"/>
    <col min="10" max="10" width="14.81640625" style="63" customWidth="1"/>
    <col min="11" max="32" width="9.1796875" style="63" customWidth="1"/>
    <col min="33" max="16384" width="9.1796875" style="63"/>
  </cols>
  <sheetData>
    <row r="1" spans="1:9" x14ac:dyDescent="0.35">
      <c r="A1" s="26" t="s">
        <v>16</v>
      </c>
      <c r="I1" s="43"/>
    </row>
    <row r="2" spans="1:9" x14ac:dyDescent="0.35">
      <c r="B2" s="43"/>
      <c r="C2" s="43"/>
    </row>
    <row r="3" spans="1:9" x14ac:dyDescent="0.35">
      <c r="B3" s="43"/>
      <c r="C3" s="43"/>
    </row>
    <row r="4" spans="1:9" ht="16" customHeight="1" thickBot="1" x14ac:dyDescent="0.4">
      <c r="B4" s="43"/>
      <c r="C4" s="43"/>
    </row>
    <row r="5" spans="1:9" x14ac:dyDescent="0.35">
      <c r="A5" s="60" t="s">
        <v>77</v>
      </c>
      <c r="B5" s="61" t="s">
        <v>16</v>
      </c>
      <c r="C5" s="62" t="s">
        <v>82</v>
      </c>
    </row>
    <row r="6" spans="1:9" x14ac:dyDescent="0.35">
      <c r="A6" s="47">
        <v>35612</v>
      </c>
      <c r="B6" s="52">
        <f>IF(VLOOKUP(Table9[[#This Row],[Date]],'DB Details'!$A:$Q,12)=0,"",VLOOKUP(Table9[[#This Row],[Date]],'DB Details'!$A:$Q,12))</f>
        <v>56.7</v>
      </c>
      <c r="C6" s="52"/>
    </row>
    <row r="7" spans="1:9" x14ac:dyDescent="0.35">
      <c r="A7" s="51">
        <v>35643</v>
      </c>
      <c r="B7" s="52">
        <f>IF(VLOOKUP(Table9[[#This Row],[Date]],'DB Details'!$A:$Q,12)=0,"",VLOOKUP(Table9[[#This Row],[Date]],'DB Details'!$A:$Q,12))</f>
        <v>62</v>
      </c>
      <c r="C7" s="52">
        <f>Table9[[#This Row],[ISM Services]]-B6</f>
        <v>5.2999999999999972</v>
      </c>
    </row>
    <row r="8" spans="1:9" x14ac:dyDescent="0.35">
      <c r="A8" s="47">
        <v>35674</v>
      </c>
      <c r="B8" s="52">
        <f>IF(VLOOKUP(Table9[[#This Row],[Date]],'DB Details'!$A:$Q,12)=0,"",VLOOKUP(Table9[[#This Row],[Date]],'DB Details'!$A:$Q,12))</f>
        <v>56.2</v>
      </c>
      <c r="C8" s="52">
        <f>Table9[[#This Row],[ISM Services]]-B7</f>
        <v>-5.7999999999999972</v>
      </c>
    </row>
    <row r="9" spans="1:9" x14ac:dyDescent="0.35">
      <c r="A9" s="51">
        <v>35704</v>
      </c>
      <c r="B9" s="52">
        <f>IF(VLOOKUP(Table9[[#This Row],[Date]],'DB Details'!$A:$Q,12)=0,"",VLOOKUP(Table9[[#This Row],[Date]],'DB Details'!$A:$Q,12))</f>
        <v>56.6</v>
      </c>
      <c r="C9" s="52">
        <f>Table9[[#This Row],[ISM Services]]-B8</f>
        <v>0.39999999999999858</v>
      </c>
    </row>
    <row r="10" spans="1:9" x14ac:dyDescent="0.35">
      <c r="A10" s="47">
        <v>35735</v>
      </c>
      <c r="B10" s="52">
        <f>IF(VLOOKUP(Table9[[#This Row],[Date]],'DB Details'!$A:$Q,12)=0,"",VLOOKUP(Table9[[#This Row],[Date]],'DB Details'!$A:$Q,12))</f>
        <v>58.5</v>
      </c>
      <c r="C10" s="52">
        <f>Table9[[#This Row],[ISM Services]]-B9</f>
        <v>1.8999999999999986</v>
      </c>
    </row>
    <row r="11" spans="1:9" x14ac:dyDescent="0.35">
      <c r="A11" s="51">
        <v>35765</v>
      </c>
      <c r="B11" s="52">
        <f>IF(VLOOKUP(Table9[[#This Row],[Date]],'DB Details'!$A:$Q,12)=0,"",VLOOKUP(Table9[[#This Row],[Date]],'DB Details'!$A:$Q,12))</f>
        <v>55.5</v>
      </c>
      <c r="C11" s="52">
        <f>Table9[[#This Row],[ISM Services]]-B10</f>
        <v>-3</v>
      </c>
    </row>
    <row r="12" spans="1:9" x14ac:dyDescent="0.35">
      <c r="A12" s="47">
        <v>35796</v>
      </c>
      <c r="B12" s="52">
        <f>IF(VLOOKUP(Table9[[#This Row],[Date]],'DB Details'!$A:$Q,12)=0,"",VLOOKUP(Table9[[#This Row],[Date]],'DB Details'!$A:$Q,12))</f>
        <v>57</v>
      </c>
      <c r="C12" s="52">
        <f>Table9[[#This Row],[ISM Services]]-B11</f>
        <v>1.5</v>
      </c>
    </row>
    <row r="13" spans="1:9" x14ac:dyDescent="0.35">
      <c r="A13" s="51">
        <v>35827</v>
      </c>
      <c r="B13" s="52">
        <f>IF(VLOOKUP(Table9[[#This Row],[Date]],'DB Details'!$A:$Q,12)=0,"",VLOOKUP(Table9[[#This Row],[Date]],'DB Details'!$A:$Q,12))</f>
        <v>56.2</v>
      </c>
      <c r="C13" s="52">
        <f>Table9[[#This Row],[ISM Services]]-B12</f>
        <v>-0.79999999999999716</v>
      </c>
    </row>
    <row r="14" spans="1:9" x14ac:dyDescent="0.35">
      <c r="A14" s="47">
        <v>35855</v>
      </c>
      <c r="B14" s="52">
        <f>IF(VLOOKUP(Table9[[#This Row],[Date]],'DB Details'!$A:$Q,12)=0,"",VLOOKUP(Table9[[#This Row],[Date]],'DB Details'!$A:$Q,12))</f>
        <v>54.7</v>
      </c>
      <c r="C14" s="52">
        <f>Table9[[#This Row],[ISM Services]]-B13</f>
        <v>-1.5</v>
      </c>
    </row>
    <row r="15" spans="1:9" x14ac:dyDescent="0.35">
      <c r="A15" s="51">
        <v>35886</v>
      </c>
      <c r="B15" s="52">
        <f>IF(VLOOKUP(Table9[[#This Row],[Date]],'DB Details'!$A:$Q,12)=0,"",VLOOKUP(Table9[[#This Row],[Date]],'DB Details'!$A:$Q,12))</f>
        <v>54.9</v>
      </c>
      <c r="C15" s="52">
        <f>Table9[[#This Row],[ISM Services]]-B14</f>
        <v>0.19999999999999574</v>
      </c>
    </row>
    <row r="16" spans="1:9" x14ac:dyDescent="0.35">
      <c r="A16" s="51">
        <v>35916</v>
      </c>
      <c r="B16" s="52">
        <f>IF(VLOOKUP(Table9[[#This Row],[Date]],'DB Details'!$A:$Q,12)=0,"",VLOOKUP(Table9[[#This Row],[Date]],'DB Details'!$A:$Q,12))</f>
        <v>56.2</v>
      </c>
      <c r="C16" s="52">
        <f>Table9[[#This Row],[ISM Services]]-B15</f>
        <v>1.3000000000000043</v>
      </c>
    </row>
    <row r="17" spans="1:3" x14ac:dyDescent="0.35">
      <c r="A17" s="51">
        <v>35947</v>
      </c>
      <c r="B17" s="52">
        <f>IF(VLOOKUP(Table9[[#This Row],[Date]],'DB Details'!$A:$Q,12)=0,"",VLOOKUP(Table9[[#This Row],[Date]],'DB Details'!$A:$Q,12))</f>
        <v>55.1</v>
      </c>
      <c r="C17" s="52">
        <f>Table9[[#This Row],[ISM Services]]-B16</f>
        <v>-1.1000000000000014</v>
      </c>
    </row>
    <row r="18" spans="1:3" x14ac:dyDescent="0.35">
      <c r="A18" s="51">
        <v>35977</v>
      </c>
      <c r="B18" s="52">
        <f>IF(VLOOKUP(Table9[[#This Row],[Date]],'DB Details'!$A:$Q,12)=0,"",VLOOKUP(Table9[[#This Row],[Date]],'DB Details'!$A:$Q,12))</f>
        <v>55.8</v>
      </c>
      <c r="C18" s="52">
        <f>Table9[[#This Row],[ISM Services]]-B17</f>
        <v>0.69999999999999574</v>
      </c>
    </row>
    <row r="19" spans="1:3" x14ac:dyDescent="0.35">
      <c r="A19" s="51">
        <v>36008</v>
      </c>
      <c r="B19" s="52">
        <f>IF(VLOOKUP(Table9[[#This Row],[Date]],'DB Details'!$A:$Q,12)=0,"",VLOOKUP(Table9[[#This Row],[Date]],'DB Details'!$A:$Q,12))</f>
        <v>53.5</v>
      </c>
      <c r="C19" s="52">
        <f>Table9[[#This Row],[ISM Services]]-B18</f>
        <v>-2.2999999999999972</v>
      </c>
    </row>
    <row r="20" spans="1:3" x14ac:dyDescent="0.35">
      <c r="A20" s="51">
        <v>36039</v>
      </c>
      <c r="B20" s="52">
        <f>IF(VLOOKUP(Table9[[#This Row],[Date]],'DB Details'!$A:$Q,12)=0,"",VLOOKUP(Table9[[#This Row],[Date]],'DB Details'!$A:$Q,12))</f>
        <v>55</v>
      </c>
      <c r="C20" s="52">
        <f>Table9[[#This Row],[ISM Services]]-B19</f>
        <v>1.5</v>
      </c>
    </row>
    <row r="21" spans="1:3" x14ac:dyDescent="0.35">
      <c r="A21" s="51">
        <v>36069</v>
      </c>
      <c r="B21" s="52">
        <f>IF(VLOOKUP(Table9[[#This Row],[Date]],'DB Details'!$A:$Q,12)=0,"",VLOOKUP(Table9[[#This Row],[Date]],'DB Details'!$A:$Q,12))</f>
        <v>53.8</v>
      </c>
      <c r="C21" s="52">
        <f>Table9[[#This Row],[ISM Services]]-B20</f>
        <v>-1.2000000000000028</v>
      </c>
    </row>
    <row r="22" spans="1:3" x14ac:dyDescent="0.35">
      <c r="A22" s="51">
        <v>36100</v>
      </c>
      <c r="B22" s="52">
        <f>IF(VLOOKUP(Table9[[#This Row],[Date]],'DB Details'!$A:$Q,12)=0,"",VLOOKUP(Table9[[#This Row],[Date]],'DB Details'!$A:$Q,12))</f>
        <v>52.6</v>
      </c>
      <c r="C22" s="52">
        <f>Table9[[#This Row],[ISM Services]]-B21</f>
        <v>-1.1999999999999957</v>
      </c>
    </row>
    <row r="23" spans="1:3" x14ac:dyDescent="0.35">
      <c r="A23" s="51">
        <v>36130</v>
      </c>
      <c r="B23" s="52">
        <f>IF(VLOOKUP(Table9[[#This Row],[Date]],'DB Details'!$A:$Q,12)=0,"",VLOOKUP(Table9[[#This Row],[Date]],'DB Details'!$A:$Q,12))</f>
        <v>52.9</v>
      </c>
      <c r="C23" s="52">
        <f>Table9[[#This Row],[ISM Services]]-B22</f>
        <v>0.29999999999999716</v>
      </c>
    </row>
    <row r="24" spans="1:3" x14ac:dyDescent="0.35">
      <c r="A24" s="51">
        <v>36161</v>
      </c>
      <c r="B24" s="52">
        <f>IF(VLOOKUP(Table9[[#This Row],[Date]],'DB Details'!$A:$Q,12)=0,"",VLOOKUP(Table9[[#This Row],[Date]],'DB Details'!$A:$Q,12))</f>
        <v>55.6</v>
      </c>
      <c r="C24" s="52">
        <f>Table9[[#This Row],[ISM Services]]-B23</f>
        <v>2.7000000000000028</v>
      </c>
    </row>
    <row r="25" spans="1:3" x14ac:dyDescent="0.35">
      <c r="A25" s="51">
        <v>36192</v>
      </c>
      <c r="B25" s="52">
        <f>IF(VLOOKUP(Table9[[#This Row],[Date]],'DB Details'!$A:$Q,12)=0,"",VLOOKUP(Table9[[#This Row],[Date]],'DB Details'!$A:$Q,12))</f>
        <v>54.4</v>
      </c>
      <c r="C25" s="52">
        <f>Table9[[#This Row],[ISM Services]]-B24</f>
        <v>-1.2000000000000028</v>
      </c>
    </row>
    <row r="26" spans="1:3" x14ac:dyDescent="0.35">
      <c r="A26" s="51">
        <v>36220</v>
      </c>
      <c r="B26" s="52">
        <f>IF(VLOOKUP(Table9[[#This Row],[Date]],'DB Details'!$A:$Q,12)=0,"",VLOOKUP(Table9[[#This Row],[Date]],'DB Details'!$A:$Q,12))</f>
        <v>55.3</v>
      </c>
      <c r="C26" s="52">
        <f>Table9[[#This Row],[ISM Services]]-B25</f>
        <v>0.89999999999999858</v>
      </c>
    </row>
    <row r="27" spans="1:3" x14ac:dyDescent="0.35">
      <c r="A27" s="51">
        <v>36251</v>
      </c>
      <c r="B27" s="52">
        <f>IF(VLOOKUP(Table9[[#This Row],[Date]],'DB Details'!$A:$Q,12)=0,"",VLOOKUP(Table9[[#This Row],[Date]],'DB Details'!$A:$Q,12))</f>
        <v>55.5</v>
      </c>
      <c r="C27" s="52">
        <f>Table9[[#This Row],[ISM Services]]-B26</f>
        <v>0.20000000000000284</v>
      </c>
    </row>
    <row r="28" spans="1:3" x14ac:dyDescent="0.35">
      <c r="A28" s="51">
        <v>36281</v>
      </c>
      <c r="B28" s="52">
        <f>IF(VLOOKUP(Table9[[#This Row],[Date]],'DB Details'!$A:$Q,12)=0,"",VLOOKUP(Table9[[#This Row],[Date]],'DB Details'!$A:$Q,12))</f>
        <v>55.3</v>
      </c>
      <c r="C28" s="52">
        <f>Table9[[#This Row],[ISM Services]]-B27</f>
        <v>-0.20000000000000284</v>
      </c>
    </row>
    <row r="29" spans="1:3" x14ac:dyDescent="0.35">
      <c r="A29" s="51">
        <v>36312</v>
      </c>
      <c r="B29" s="52">
        <f>IF(VLOOKUP(Table9[[#This Row],[Date]],'DB Details'!$A:$Q,12)=0,"",VLOOKUP(Table9[[#This Row],[Date]],'DB Details'!$A:$Q,12))</f>
        <v>56.7</v>
      </c>
      <c r="C29" s="52">
        <f>Table9[[#This Row],[ISM Services]]-B28</f>
        <v>1.4000000000000057</v>
      </c>
    </row>
    <row r="30" spans="1:3" x14ac:dyDescent="0.35">
      <c r="A30" s="51">
        <v>36342</v>
      </c>
      <c r="B30" s="52">
        <f>IF(VLOOKUP(Table9[[#This Row],[Date]],'DB Details'!$A:$Q,12)=0,"",VLOOKUP(Table9[[#This Row],[Date]],'DB Details'!$A:$Q,12))</f>
        <v>56.2</v>
      </c>
      <c r="C30" s="52">
        <f>Table9[[#This Row],[ISM Services]]-B29</f>
        <v>-0.5</v>
      </c>
    </row>
    <row r="31" spans="1:3" x14ac:dyDescent="0.35">
      <c r="A31" s="51">
        <v>36373</v>
      </c>
      <c r="B31" s="52">
        <f>IF(VLOOKUP(Table9[[#This Row],[Date]],'DB Details'!$A:$Q,12)=0,"",VLOOKUP(Table9[[#This Row],[Date]],'DB Details'!$A:$Q,12))</f>
        <v>56.4</v>
      </c>
      <c r="C31" s="52">
        <f>Table9[[#This Row],[ISM Services]]-B30</f>
        <v>0.19999999999999574</v>
      </c>
    </row>
    <row r="32" spans="1:3" x14ac:dyDescent="0.35">
      <c r="A32" s="51">
        <v>36404</v>
      </c>
      <c r="B32" s="52">
        <f>IF(VLOOKUP(Table9[[#This Row],[Date]],'DB Details'!$A:$Q,12)=0,"",VLOOKUP(Table9[[#This Row],[Date]],'DB Details'!$A:$Q,12))</f>
        <v>56.2</v>
      </c>
      <c r="C32" s="52">
        <f>Table9[[#This Row],[ISM Services]]-B31</f>
        <v>-0.19999999999999574</v>
      </c>
    </row>
    <row r="33" spans="1:3" x14ac:dyDescent="0.35">
      <c r="A33" s="51">
        <v>36434</v>
      </c>
      <c r="B33" s="52">
        <f>IF(VLOOKUP(Table9[[#This Row],[Date]],'DB Details'!$A:$Q,12)=0,"",VLOOKUP(Table9[[#This Row],[Date]],'DB Details'!$A:$Q,12))</f>
        <v>57.6</v>
      </c>
      <c r="C33" s="52">
        <f>Table9[[#This Row],[ISM Services]]-B32</f>
        <v>1.3999999999999986</v>
      </c>
    </row>
    <row r="34" spans="1:3" x14ac:dyDescent="0.35">
      <c r="A34" s="51">
        <v>36465</v>
      </c>
      <c r="B34" s="52">
        <f>IF(VLOOKUP(Table9[[#This Row],[Date]],'DB Details'!$A:$Q,12)=0,"",VLOOKUP(Table9[[#This Row],[Date]],'DB Details'!$A:$Q,12))</f>
        <v>54.9</v>
      </c>
      <c r="C34" s="52">
        <f>Table9[[#This Row],[ISM Services]]-B33</f>
        <v>-2.7000000000000028</v>
      </c>
    </row>
    <row r="35" spans="1:3" x14ac:dyDescent="0.35">
      <c r="A35" s="51">
        <v>36495</v>
      </c>
      <c r="B35" s="52">
        <f>IF(VLOOKUP(Table9[[#This Row],[Date]],'DB Details'!$A:$Q,12)=0,"",VLOOKUP(Table9[[#This Row],[Date]],'DB Details'!$A:$Q,12))</f>
        <v>56.9</v>
      </c>
      <c r="C35" s="52">
        <f>Table9[[#This Row],[ISM Services]]-B34</f>
        <v>2</v>
      </c>
    </row>
    <row r="36" spans="1:3" x14ac:dyDescent="0.35">
      <c r="A36" s="51">
        <v>36526</v>
      </c>
      <c r="B36" s="52">
        <f>IF(VLOOKUP(Table9[[#This Row],[Date]],'DB Details'!$A:$Q,12)=0,"",VLOOKUP(Table9[[#This Row],[Date]],'DB Details'!$A:$Q,12))</f>
        <v>56.6</v>
      </c>
      <c r="C36" s="52">
        <f>Table9[[#This Row],[ISM Services]]-B35</f>
        <v>-0.29999999999999716</v>
      </c>
    </row>
    <row r="37" spans="1:3" x14ac:dyDescent="0.35">
      <c r="A37" s="51">
        <v>36557</v>
      </c>
      <c r="B37" s="52">
        <f>IF(VLOOKUP(Table9[[#This Row],[Date]],'DB Details'!$A:$Q,12)=0,"",VLOOKUP(Table9[[#This Row],[Date]],'DB Details'!$A:$Q,12))</f>
        <v>56.2</v>
      </c>
      <c r="C37" s="52">
        <f>Table9[[#This Row],[ISM Services]]-B36</f>
        <v>-0.39999999999999858</v>
      </c>
    </row>
    <row r="38" spans="1:3" x14ac:dyDescent="0.35">
      <c r="A38" s="51">
        <v>36586</v>
      </c>
      <c r="B38" s="52">
        <f>IF(VLOOKUP(Table9[[#This Row],[Date]],'DB Details'!$A:$Q,12)=0,"",VLOOKUP(Table9[[#This Row],[Date]],'DB Details'!$A:$Q,12))</f>
        <v>57.4</v>
      </c>
      <c r="C38" s="52">
        <f>Table9[[#This Row],[ISM Services]]-B37</f>
        <v>1.1999999999999957</v>
      </c>
    </row>
    <row r="39" spans="1:3" x14ac:dyDescent="0.35">
      <c r="A39" s="51">
        <v>36617</v>
      </c>
      <c r="B39" s="52">
        <f>IF(VLOOKUP(Table9[[#This Row],[Date]],'DB Details'!$A:$Q,12)=0,"",VLOOKUP(Table9[[#This Row],[Date]],'DB Details'!$A:$Q,12))</f>
        <v>58</v>
      </c>
      <c r="C39" s="52">
        <f>Table9[[#This Row],[ISM Services]]-B38</f>
        <v>0.60000000000000142</v>
      </c>
    </row>
    <row r="40" spans="1:3" x14ac:dyDescent="0.35">
      <c r="A40" s="51">
        <v>36647</v>
      </c>
      <c r="B40" s="52">
        <f>IF(VLOOKUP(Table9[[#This Row],[Date]],'DB Details'!$A:$Q,12)=0,"",VLOOKUP(Table9[[#This Row],[Date]],'DB Details'!$A:$Q,12))</f>
        <v>57.7</v>
      </c>
      <c r="C40" s="52">
        <f>Table9[[#This Row],[ISM Services]]-B39</f>
        <v>-0.29999999999999716</v>
      </c>
    </row>
    <row r="41" spans="1:3" x14ac:dyDescent="0.35">
      <c r="A41" s="51">
        <v>36678</v>
      </c>
      <c r="B41" s="52">
        <f>IF(VLOOKUP(Table9[[#This Row],[Date]],'DB Details'!$A:$Q,12)=0,"",VLOOKUP(Table9[[#This Row],[Date]],'DB Details'!$A:$Q,12))</f>
        <v>56.9</v>
      </c>
      <c r="C41" s="52">
        <f>Table9[[#This Row],[ISM Services]]-B40</f>
        <v>-0.80000000000000426</v>
      </c>
    </row>
    <row r="42" spans="1:3" x14ac:dyDescent="0.35">
      <c r="A42" s="51">
        <v>36708</v>
      </c>
      <c r="B42" s="52">
        <f>IF(VLOOKUP(Table9[[#This Row],[Date]],'DB Details'!$A:$Q,12)=0,"",VLOOKUP(Table9[[#This Row],[Date]],'DB Details'!$A:$Q,12))</f>
        <v>55.3</v>
      </c>
      <c r="C42" s="52">
        <f>Table9[[#This Row],[ISM Services]]-B41</f>
        <v>-1.6000000000000014</v>
      </c>
    </row>
    <row r="43" spans="1:3" x14ac:dyDescent="0.35">
      <c r="A43" s="51">
        <v>36739</v>
      </c>
      <c r="B43" s="52">
        <f>IF(VLOOKUP(Table9[[#This Row],[Date]],'DB Details'!$A:$Q,12)=0,"",VLOOKUP(Table9[[#This Row],[Date]],'DB Details'!$A:$Q,12))</f>
        <v>57.6</v>
      </c>
      <c r="C43" s="52">
        <f>Table9[[#This Row],[ISM Services]]-B42</f>
        <v>2.3000000000000043</v>
      </c>
    </row>
    <row r="44" spans="1:3" x14ac:dyDescent="0.35">
      <c r="A44" s="51">
        <v>36770</v>
      </c>
      <c r="B44" s="52">
        <f>IF(VLOOKUP(Table9[[#This Row],[Date]],'DB Details'!$A:$Q,12)=0,"",VLOOKUP(Table9[[#This Row],[Date]],'DB Details'!$A:$Q,12))</f>
        <v>56.7</v>
      </c>
      <c r="C44" s="52">
        <f>Table9[[#This Row],[ISM Services]]-B43</f>
        <v>-0.89999999999999858</v>
      </c>
    </row>
    <row r="45" spans="1:3" x14ac:dyDescent="0.35">
      <c r="A45" s="51">
        <v>36800</v>
      </c>
      <c r="B45" s="52">
        <f>IF(VLOOKUP(Table9[[#This Row],[Date]],'DB Details'!$A:$Q,12)=0,"",VLOOKUP(Table9[[#This Row],[Date]],'DB Details'!$A:$Q,12))</f>
        <v>56.7</v>
      </c>
      <c r="C45" s="52">
        <f>Table9[[#This Row],[ISM Services]]-B44</f>
        <v>0</v>
      </c>
    </row>
    <row r="46" spans="1:3" x14ac:dyDescent="0.35">
      <c r="A46" s="51">
        <v>36831</v>
      </c>
      <c r="B46" s="52">
        <f>IF(VLOOKUP(Table9[[#This Row],[Date]],'DB Details'!$A:$Q,12)=0,"",VLOOKUP(Table9[[#This Row],[Date]],'DB Details'!$A:$Q,12))</f>
        <v>56.2</v>
      </c>
      <c r="C46" s="52">
        <f>Table9[[#This Row],[ISM Services]]-B45</f>
        <v>-0.5</v>
      </c>
    </row>
    <row r="47" spans="1:3" x14ac:dyDescent="0.35">
      <c r="A47" s="51">
        <v>36861</v>
      </c>
      <c r="B47" s="52">
        <f>IF(VLOOKUP(Table9[[#This Row],[Date]],'DB Details'!$A:$Q,12)=0,"",VLOOKUP(Table9[[#This Row],[Date]],'DB Details'!$A:$Q,12))</f>
        <v>54</v>
      </c>
      <c r="C47" s="52">
        <f>Table9[[#This Row],[ISM Services]]-B46</f>
        <v>-2.2000000000000028</v>
      </c>
    </row>
    <row r="48" spans="1:3" x14ac:dyDescent="0.35">
      <c r="A48" s="51">
        <v>36892</v>
      </c>
      <c r="B48" s="52">
        <f>IF(VLOOKUP(Table9[[#This Row],[Date]],'DB Details'!$A:$Q,12)=0,"",VLOOKUP(Table9[[#This Row],[Date]],'DB Details'!$A:$Q,12))</f>
        <v>51.6</v>
      </c>
      <c r="C48" s="52">
        <f>Table9[[#This Row],[ISM Services]]-B47</f>
        <v>-2.3999999999999986</v>
      </c>
    </row>
    <row r="49" spans="1:3" x14ac:dyDescent="0.35">
      <c r="A49" s="51">
        <v>36923</v>
      </c>
      <c r="B49" s="52">
        <f>IF(VLOOKUP(Table9[[#This Row],[Date]],'DB Details'!$A:$Q,12)=0,"",VLOOKUP(Table9[[#This Row],[Date]],'DB Details'!$A:$Q,12))</f>
        <v>51.3</v>
      </c>
      <c r="C49" s="52">
        <f>Table9[[#This Row],[ISM Services]]-B48</f>
        <v>-0.30000000000000426</v>
      </c>
    </row>
    <row r="50" spans="1:3" x14ac:dyDescent="0.35">
      <c r="A50" s="51">
        <v>36951</v>
      </c>
      <c r="B50" s="52">
        <f>IF(VLOOKUP(Table9[[#This Row],[Date]],'DB Details'!$A:$Q,12)=0,"",VLOOKUP(Table9[[#This Row],[Date]],'DB Details'!$A:$Q,12))</f>
        <v>50.7</v>
      </c>
      <c r="C50" s="52">
        <f>Table9[[#This Row],[ISM Services]]-B49</f>
        <v>-0.59999999999999432</v>
      </c>
    </row>
    <row r="51" spans="1:3" x14ac:dyDescent="0.35">
      <c r="A51" s="51">
        <v>36982</v>
      </c>
      <c r="B51" s="52">
        <f>IF(VLOOKUP(Table9[[#This Row],[Date]],'DB Details'!$A:$Q,12)=0,"",VLOOKUP(Table9[[#This Row],[Date]],'DB Details'!$A:$Q,12))</f>
        <v>48.3</v>
      </c>
      <c r="C51" s="52">
        <f>Table9[[#This Row],[ISM Services]]-B50</f>
        <v>-2.4000000000000057</v>
      </c>
    </row>
    <row r="52" spans="1:3" x14ac:dyDescent="0.35">
      <c r="A52" s="51">
        <v>37012</v>
      </c>
      <c r="B52" s="52">
        <f>IF(VLOOKUP(Table9[[#This Row],[Date]],'DB Details'!$A:$Q,12)=0,"",VLOOKUP(Table9[[#This Row],[Date]],'DB Details'!$A:$Q,12))</f>
        <v>49</v>
      </c>
      <c r="C52" s="52">
        <f>Table9[[#This Row],[ISM Services]]-B51</f>
        <v>0.70000000000000284</v>
      </c>
    </row>
    <row r="53" spans="1:3" x14ac:dyDescent="0.35">
      <c r="A53" s="51">
        <v>37043</v>
      </c>
      <c r="B53" s="52">
        <f>IF(VLOOKUP(Table9[[#This Row],[Date]],'DB Details'!$A:$Q,12)=0,"",VLOOKUP(Table9[[#This Row],[Date]],'DB Details'!$A:$Q,12))</f>
        <v>50.1</v>
      </c>
      <c r="C53" s="52">
        <f>Table9[[#This Row],[ISM Services]]-B52</f>
        <v>1.1000000000000014</v>
      </c>
    </row>
    <row r="54" spans="1:3" x14ac:dyDescent="0.35">
      <c r="A54" s="51">
        <v>37073</v>
      </c>
      <c r="B54" s="52">
        <f>IF(VLOOKUP(Table9[[#This Row],[Date]],'DB Details'!$A:$Q,12)=0,"",VLOOKUP(Table9[[#This Row],[Date]],'DB Details'!$A:$Q,12))</f>
        <v>48.1</v>
      </c>
      <c r="C54" s="52">
        <f>Table9[[#This Row],[ISM Services]]-B53</f>
        <v>-2</v>
      </c>
    </row>
    <row r="55" spans="1:3" x14ac:dyDescent="0.35">
      <c r="A55" s="51">
        <v>37104</v>
      </c>
      <c r="B55" s="52">
        <f>IF(VLOOKUP(Table9[[#This Row],[Date]],'DB Details'!$A:$Q,12)=0,"",VLOOKUP(Table9[[#This Row],[Date]],'DB Details'!$A:$Q,12))</f>
        <v>46.9</v>
      </c>
      <c r="C55" s="52">
        <f>Table9[[#This Row],[ISM Services]]-B54</f>
        <v>-1.2000000000000028</v>
      </c>
    </row>
    <row r="56" spans="1:3" x14ac:dyDescent="0.35">
      <c r="A56" s="51">
        <v>37135</v>
      </c>
      <c r="B56" s="52">
        <f>IF(VLOOKUP(Table9[[#This Row],[Date]],'DB Details'!$A:$Q,12)=0,"",VLOOKUP(Table9[[#This Row],[Date]],'DB Details'!$A:$Q,12))</f>
        <v>49.5</v>
      </c>
      <c r="C56" s="52">
        <f>Table9[[#This Row],[ISM Services]]-B55</f>
        <v>2.6000000000000014</v>
      </c>
    </row>
    <row r="57" spans="1:3" x14ac:dyDescent="0.35">
      <c r="A57" s="51">
        <v>37165</v>
      </c>
      <c r="B57" s="52">
        <f>IF(VLOOKUP(Table9[[#This Row],[Date]],'DB Details'!$A:$Q,12)=0,"",VLOOKUP(Table9[[#This Row],[Date]],'DB Details'!$A:$Q,12))</f>
        <v>44.8</v>
      </c>
      <c r="C57" s="52">
        <f>Table9[[#This Row],[ISM Services]]-B56</f>
        <v>-4.7000000000000028</v>
      </c>
    </row>
    <row r="58" spans="1:3" x14ac:dyDescent="0.35">
      <c r="A58" s="51">
        <v>37196</v>
      </c>
      <c r="B58" s="52">
        <f>IF(VLOOKUP(Table9[[#This Row],[Date]],'DB Details'!$A:$Q,12)=0,"",VLOOKUP(Table9[[#This Row],[Date]],'DB Details'!$A:$Q,12))</f>
        <v>48.2</v>
      </c>
      <c r="C58" s="52">
        <f>Table9[[#This Row],[ISM Services]]-B57</f>
        <v>3.4000000000000057</v>
      </c>
    </row>
    <row r="59" spans="1:3" x14ac:dyDescent="0.35">
      <c r="A59" s="51">
        <v>37226</v>
      </c>
      <c r="B59" s="52">
        <f>IF(VLOOKUP(Table9[[#This Row],[Date]],'DB Details'!$A:$Q,12)=0,"",VLOOKUP(Table9[[#This Row],[Date]],'DB Details'!$A:$Q,12))</f>
        <v>49.7</v>
      </c>
      <c r="C59" s="52">
        <f>Table9[[#This Row],[ISM Services]]-B58</f>
        <v>1.5</v>
      </c>
    </row>
    <row r="60" spans="1:3" x14ac:dyDescent="0.35">
      <c r="A60" s="51">
        <v>37257</v>
      </c>
      <c r="B60" s="52">
        <f>IF(VLOOKUP(Table9[[#This Row],[Date]],'DB Details'!$A:$Q,12)=0,"",VLOOKUP(Table9[[#This Row],[Date]],'DB Details'!$A:$Q,12))</f>
        <v>48.9</v>
      </c>
      <c r="C60" s="52">
        <f>Table9[[#This Row],[ISM Services]]-B59</f>
        <v>-0.80000000000000426</v>
      </c>
    </row>
    <row r="61" spans="1:3" x14ac:dyDescent="0.35">
      <c r="A61" s="51">
        <v>37288</v>
      </c>
      <c r="B61" s="52">
        <f>IF(VLOOKUP(Table9[[#This Row],[Date]],'DB Details'!$A:$Q,12)=0,"",VLOOKUP(Table9[[#This Row],[Date]],'DB Details'!$A:$Q,12))</f>
        <v>52.7</v>
      </c>
      <c r="C61" s="52">
        <f>Table9[[#This Row],[ISM Services]]-B60</f>
        <v>3.8000000000000043</v>
      </c>
    </row>
    <row r="62" spans="1:3" x14ac:dyDescent="0.35">
      <c r="A62" s="51">
        <v>37316</v>
      </c>
      <c r="B62" s="52">
        <f>IF(VLOOKUP(Table9[[#This Row],[Date]],'DB Details'!$A:$Q,12)=0,"",VLOOKUP(Table9[[#This Row],[Date]],'DB Details'!$A:$Q,12))</f>
        <v>52.8</v>
      </c>
      <c r="C62" s="52">
        <f>Table9[[#This Row],[ISM Services]]-B61</f>
        <v>9.9999999999994316E-2</v>
      </c>
    </row>
    <row r="63" spans="1:3" x14ac:dyDescent="0.35">
      <c r="A63" s="51">
        <v>37347</v>
      </c>
      <c r="B63" s="52">
        <f>IF(VLOOKUP(Table9[[#This Row],[Date]],'DB Details'!$A:$Q,12)=0,"",VLOOKUP(Table9[[#This Row],[Date]],'DB Details'!$A:$Q,12))</f>
        <v>53.5</v>
      </c>
      <c r="C63" s="52">
        <f>Table9[[#This Row],[ISM Services]]-B62</f>
        <v>0.70000000000000284</v>
      </c>
    </row>
    <row r="64" spans="1:3" x14ac:dyDescent="0.35">
      <c r="A64" s="51">
        <v>37377</v>
      </c>
      <c r="B64" s="52">
        <f>IF(VLOOKUP(Table9[[#This Row],[Date]],'DB Details'!$A:$Q,12)=0,"",VLOOKUP(Table9[[#This Row],[Date]],'DB Details'!$A:$Q,12))</f>
        <v>54.8</v>
      </c>
      <c r="C64" s="52">
        <f>Table9[[#This Row],[ISM Services]]-B63</f>
        <v>1.2999999999999972</v>
      </c>
    </row>
    <row r="65" spans="1:3" x14ac:dyDescent="0.35">
      <c r="A65" s="51">
        <v>37408</v>
      </c>
      <c r="B65" s="52">
        <f>IF(VLOOKUP(Table9[[#This Row],[Date]],'DB Details'!$A:$Q,12)=0,"",VLOOKUP(Table9[[#This Row],[Date]],'DB Details'!$A:$Q,12))</f>
        <v>52.5</v>
      </c>
      <c r="C65" s="52">
        <f>Table9[[#This Row],[ISM Services]]-B64</f>
        <v>-2.2999999999999972</v>
      </c>
    </row>
    <row r="66" spans="1:3" x14ac:dyDescent="0.35">
      <c r="A66" s="51">
        <v>37438</v>
      </c>
      <c r="B66" s="52">
        <f>IF(VLOOKUP(Table9[[#This Row],[Date]],'DB Details'!$A:$Q,12)=0,"",VLOOKUP(Table9[[#This Row],[Date]],'DB Details'!$A:$Q,12))</f>
        <v>50.4</v>
      </c>
      <c r="C66" s="52">
        <f>Table9[[#This Row],[ISM Services]]-B65</f>
        <v>-2.1000000000000014</v>
      </c>
    </row>
    <row r="67" spans="1:3" x14ac:dyDescent="0.35">
      <c r="A67" s="51">
        <v>37469</v>
      </c>
      <c r="B67" s="52">
        <f>IF(VLOOKUP(Table9[[#This Row],[Date]],'DB Details'!$A:$Q,12)=0,"",VLOOKUP(Table9[[#This Row],[Date]],'DB Details'!$A:$Q,12))</f>
        <v>50.9</v>
      </c>
      <c r="C67" s="52">
        <f>Table9[[#This Row],[ISM Services]]-B66</f>
        <v>0.5</v>
      </c>
    </row>
    <row r="68" spans="1:3" x14ac:dyDescent="0.35">
      <c r="A68" s="51">
        <v>37500</v>
      </c>
      <c r="B68" s="52">
        <f>IF(VLOOKUP(Table9[[#This Row],[Date]],'DB Details'!$A:$Q,12)=0,"",VLOOKUP(Table9[[#This Row],[Date]],'DB Details'!$A:$Q,12))</f>
        <v>52.3</v>
      </c>
      <c r="C68" s="52">
        <f>Table9[[#This Row],[ISM Services]]-B67</f>
        <v>1.3999999999999986</v>
      </c>
    </row>
    <row r="69" spans="1:3" x14ac:dyDescent="0.35">
      <c r="A69" s="51">
        <v>37530</v>
      </c>
      <c r="B69" s="52">
        <f>IF(VLOOKUP(Table9[[#This Row],[Date]],'DB Details'!$A:$Q,12)=0,"",VLOOKUP(Table9[[#This Row],[Date]],'DB Details'!$A:$Q,12))</f>
        <v>51.4</v>
      </c>
      <c r="C69" s="52">
        <f>Table9[[#This Row],[ISM Services]]-B68</f>
        <v>-0.89999999999999858</v>
      </c>
    </row>
    <row r="70" spans="1:3" x14ac:dyDescent="0.35">
      <c r="A70" s="51">
        <v>37561</v>
      </c>
      <c r="B70" s="52">
        <f>IF(VLOOKUP(Table9[[#This Row],[Date]],'DB Details'!$A:$Q,12)=0,"",VLOOKUP(Table9[[#This Row],[Date]],'DB Details'!$A:$Q,12))</f>
        <v>52.9</v>
      </c>
      <c r="C70" s="52">
        <f>Table9[[#This Row],[ISM Services]]-B69</f>
        <v>1.5</v>
      </c>
    </row>
    <row r="71" spans="1:3" x14ac:dyDescent="0.35">
      <c r="A71" s="51">
        <v>37591</v>
      </c>
      <c r="B71" s="52">
        <f>IF(VLOOKUP(Table9[[#This Row],[Date]],'DB Details'!$A:$Q,12)=0,"",VLOOKUP(Table9[[#This Row],[Date]],'DB Details'!$A:$Q,12))</f>
        <v>52.3</v>
      </c>
      <c r="C71" s="52">
        <f>Table9[[#This Row],[ISM Services]]-B70</f>
        <v>-0.60000000000000142</v>
      </c>
    </row>
    <row r="72" spans="1:3" x14ac:dyDescent="0.35">
      <c r="A72" s="51">
        <v>37622</v>
      </c>
      <c r="B72" s="52">
        <f>IF(VLOOKUP(Table9[[#This Row],[Date]],'DB Details'!$A:$Q,12)=0,"",VLOOKUP(Table9[[#This Row],[Date]],'DB Details'!$A:$Q,12))</f>
        <v>53.3</v>
      </c>
      <c r="C72" s="52">
        <f>Table9[[#This Row],[ISM Services]]-B71</f>
        <v>1</v>
      </c>
    </row>
    <row r="73" spans="1:3" x14ac:dyDescent="0.35">
      <c r="A73" s="51">
        <v>37653</v>
      </c>
      <c r="B73" s="52">
        <f>IF(VLOOKUP(Table9[[#This Row],[Date]],'DB Details'!$A:$Q,12)=0,"",VLOOKUP(Table9[[#This Row],[Date]],'DB Details'!$A:$Q,12))</f>
        <v>52.6</v>
      </c>
      <c r="C73" s="52">
        <f>Table9[[#This Row],[ISM Services]]-B72</f>
        <v>-0.69999999999999574</v>
      </c>
    </row>
    <row r="74" spans="1:3" x14ac:dyDescent="0.35">
      <c r="A74" s="51">
        <v>37681</v>
      </c>
      <c r="B74" s="52">
        <f>IF(VLOOKUP(Table9[[#This Row],[Date]],'DB Details'!$A:$Q,12)=0,"",VLOOKUP(Table9[[#This Row],[Date]],'DB Details'!$A:$Q,12))</f>
        <v>49.1</v>
      </c>
      <c r="C74" s="52">
        <f>Table9[[#This Row],[ISM Services]]-B73</f>
        <v>-3.5</v>
      </c>
    </row>
    <row r="75" spans="1:3" x14ac:dyDescent="0.35">
      <c r="A75" s="51">
        <v>37712</v>
      </c>
      <c r="B75" s="52">
        <f>IF(VLOOKUP(Table9[[#This Row],[Date]],'DB Details'!$A:$Q,12)=0,"",VLOOKUP(Table9[[#This Row],[Date]],'DB Details'!$A:$Q,12))</f>
        <v>50.1</v>
      </c>
      <c r="C75" s="52">
        <f>Table9[[#This Row],[ISM Services]]-B74</f>
        <v>1</v>
      </c>
    </row>
    <row r="76" spans="1:3" x14ac:dyDescent="0.35">
      <c r="A76" s="51">
        <v>37742</v>
      </c>
      <c r="B76" s="52">
        <f>IF(VLOOKUP(Table9[[#This Row],[Date]],'DB Details'!$A:$Q,12)=0,"",VLOOKUP(Table9[[#This Row],[Date]],'DB Details'!$A:$Q,12))</f>
        <v>52.8</v>
      </c>
      <c r="C76" s="52">
        <f>Table9[[#This Row],[ISM Services]]-B75</f>
        <v>2.6999999999999957</v>
      </c>
    </row>
    <row r="77" spans="1:3" x14ac:dyDescent="0.35">
      <c r="A77" s="51">
        <v>37773</v>
      </c>
      <c r="B77" s="52">
        <f>IF(VLOOKUP(Table9[[#This Row],[Date]],'DB Details'!$A:$Q,12)=0,"",VLOOKUP(Table9[[#This Row],[Date]],'DB Details'!$A:$Q,12))</f>
        <v>54.3</v>
      </c>
      <c r="C77" s="52">
        <f>Table9[[#This Row],[ISM Services]]-B76</f>
        <v>1.5</v>
      </c>
    </row>
    <row r="78" spans="1:3" x14ac:dyDescent="0.35">
      <c r="A78" s="51">
        <v>37803</v>
      </c>
      <c r="B78" s="52">
        <f>IF(VLOOKUP(Table9[[#This Row],[Date]],'DB Details'!$A:$Q,12)=0,"",VLOOKUP(Table9[[#This Row],[Date]],'DB Details'!$A:$Q,12))</f>
        <v>57.3</v>
      </c>
      <c r="C78" s="52">
        <f>Table9[[#This Row],[ISM Services]]-B77</f>
        <v>3</v>
      </c>
    </row>
    <row r="79" spans="1:3" x14ac:dyDescent="0.35">
      <c r="A79" s="51">
        <v>37834</v>
      </c>
      <c r="B79" s="52">
        <f>IF(VLOOKUP(Table9[[#This Row],[Date]],'DB Details'!$A:$Q,12)=0,"",VLOOKUP(Table9[[#This Row],[Date]],'DB Details'!$A:$Q,12))</f>
        <v>59.1</v>
      </c>
      <c r="C79" s="52">
        <f>Table9[[#This Row],[ISM Services]]-B78</f>
        <v>1.8000000000000043</v>
      </c>
    </row>
    <row r="80" spans="1:3" x14ac:dyDescent="0.35">
      <c r="A80" s="51">
        <v>37865</v>
      </c>
      <c r="B80" s="52">
        <f>IF(VLOOKUP(Table9[[#This Row],[Date]],'DB Details'!$A:$Q,12)=0,"",VLOOKUP(Table9[[#This Row],[Date]],'DB Details'!$A:$Q,12))</f>
        <v>57.6</v>
      </c>
      <c r="C80" s="52">
        <f>Table9[[#This Row],[ISM Services]]-B79</f>
        <v>-1.5</v>
      </c>
    </row>
    <row r="81" spans="1:3" x14ac:dyDescent="0.35">
      <c r="A81" s="51">
        <v>37895</v>
      </c>
      <c r="B81" s="52">
        <f>IF(VLOOKUP(Table9[[#This Row],[Date]],'DB Details'!$A:$Q,12)=0,"",VLOOKUP(Table9[[#This Row],[Date]],'DB Details'!$A:$Q,12))</f>
        <v>58.7</v>
      </c>
      <c r="C81" s="52">
        <f>Table9[[#This Row],[ISM Services]]-B80</f>
        <v>1.1000000000000014</v>
      </c>
    </row>
    <row r="82" spans="1:3" x14ac:dyDescent="0.35">
      <c r="A82" s="51">
        <v>37926</v>
      </c>
      <c r="B82" s="52">
        <f>IF(VLOOKUP(Table9[[#This Row],[Date]],'DB Details'!$A:$Q,12)=0,"",VLOOKUP(Table9[[#This Row],[Date]],'DB Details'!$A:$Q,12))</f>
        <v>57.5</v>
      </c>
      <c r="C82" s="52">
        <f>Table9[[#This Row],[ISM Services]]-B81</f>
        <v>-1.2000000000000028</v>
      </c>
    </row>
    <row r="83" spans="1:3" x14ac:dyDescent="0.35">
      <c r="A83" s="51">
        <v>37956</v>
      </c>
      <c r="B83" s="52">
        <f>IF(VLOOKUP(Table9[[#This Row],[Date]],'DB Details'!$A:$Q,12)=0,"",VLOOKUP(Table9[[#This Row],[Date]],'DB Details'!$A:$Q,12))</f>
        <v>56.8</v>
      </c>
      <c r="C83" s="52">
        <f>Table9[[#This Row],[ISM Services]]-B82</f>
        <v>-0.70000000000000284</v>
      </c>
    </row>
    <row r="84" spans="1:3" x14ac:dyDescent="0.35">
      <c r="A84" s="51">
        <v>37987</v>
      </c>
      <c r="B84" s="52">
        <f>IF(VLOOKUP(Table9[[#This Row],[Date]],'DB Details'!$A:$Q,12)=0,"",VLOOKUP(Table9[[#This Row],[Date]],'DB Details'!$A:$Q,12))</f>
        <v>61.2</v>
      </c>
      <c r="C84" s="52">
        <f>Table9[[#This Row],[ISM Services]]-B83</f>
        <v>4.4000000000000057</v>
      </c>
    </row>
    <row r="85" spans="1:3" x14ac:dyDescent="0.35">
      <c r="A85" s="51">
        <v>38018</v>
      </c>
      <c r="B85" s="52">
        <f>IF(VLOOKUP(Table9[[#This Row],[Date]],'DB Details'!$A:$Q,12)=0,"",VLOOKUP(Table9[[#This Row],[Date]],'DB Details'!$A:$Q,12))</f>
        <v>58</v>
      </c>
      <c r="C85" s="52">
        <f>Table9[[#This Row],[ISM Services]]-B84</f>
        <v>-3.2000000000000028</v>
      </c>
    </row>
    <row r="86" spans="1:3" x14ac:dyDescent="0.35">
      <c r="A86" s="51">
        <v>38047</v>
      </c>
      <c r="B86" s="52">
        <f>IF(VLOOKUP(Table9[[#This Row],[Date]],'DB Details'!$A:$Q,12)=0,"",VLOOKUP(Table9[[#This Row],[Date]],'DB Details'!$A:$Q,12))</f>
        <v>58.3</v>
      </c>
      <c r="C86" s="52">
        <f>Table9[[#This Row],[ISM Services]]-B85</f>
        <v>0.29999999999999716</v>
      </c>
    </row>
    <row r="87" spans="1:3" x14ac:dyDescent="0.35">
      <c r="A87" s="51">
        <v>38078</v>
      </c>
      <c r="B87" s="52">
        <f>IF(VLOOKUP(Table9[[#This Row],[Date]],'DB Details'!$A:$Q,12)=0,"",VLOOKUP(Table9[[#This Row],[Date]],'DB Details'!$A:$Q,12))</f>
        <v>59.6</v>
      </c>
      <c r="C87" s="52">
        <f>Table9[[#This Row],[ISM Services]]-B86</f>
        <v>1.3000000000000043</v>
      </c>
    </row>
    <row r="88" spans="1:3" x14ac:dyDescent="0.35">
      <c r="A88" s="51">
        <v>38108</v>
      </c>
      <c r="B88" s="52">
        <f>IF(VLOOKUP(Table9[[#This Row],[Date]],'DB Details'!$A:$Q,12)=0,"",VLOOKUP(Table9[[#This Row],[Date]],'DB Details'!$A:$Q,12))</f>
        <v>58.5</v>
      </c>
      <c r="C88" s="52">
        <f>Table9[[#This Row],[ISM Services]]-B87</f>
        <v>-1.1000000000000014</v>
      </c>
    </row>
    <row r="89" spans="1:3" x14ac:dyDescent="0.35">
      <c r="A89" s="51">
        <v>38139</v>
      </c>
      <c r="B89" s="52">
        <f>IF(VLOOKUP(Table9[[#This Row],[Date]],'DB Details'!$A:$Q,12)=0,"",VLOOKUP(Table9[[#This Row],[Date]],'DB Details'!$A:$Q,12))</f>
        <v>58.6</v>
      </c>
      <c r="C89" s="52">
        <f>Table9[[#This Row],[ISM Services]]-B88</f>
        <v>0.10000000000000142</v>
      </c>
    </row>
    <row r="90" spans="1:3" x14ac:dyDescent="0.35">
      <c r="A90" s="51">
        <v>38169</v>
      </c>
      <c r="B90" s="52">
        <f>IF(VLOOKUP(Table9[[#This Row],[Date]],'DB Details'!$A:$Q,12)=0,"",VLOOKUP(Table9[[#This Row],[Date]],'DB Details'!$A:$Q,12))</f>
        <v>58.5</v>
      </c>
      <c r="C90" s="52">
        <f>Table9[[#This Row],[ISM Services]]-B89</f>
        <v>-0.10000000000000142</v>
      </c>
    </row>
    <row r="91" spans="1:3" x14ac:dyDescent="0.35">
      <c r="A91" s="51">
        <v>38200</v>
      </c>
      <c r="B91" s="52">
        <f>IF(VLOOKUP(Table9[[#This Row],[Date]],'DB Details'!$A:$Q,12)=0,"",VLOOKUP(Table9[[#This Row],[Date]],'DB Details'!$A:$Q,12))</f>
        <v>57.3</v>
      </c>
      <c r="C91" s="52">
        <f>Table9[[#This Row],[ISM Services]]-B90</f>
        <v>-1.2000000000000028</v>
      </c>
    </row>
    <row r="92" spans="1:3" x14ac:dyDescent="0.35">
      <c r="A92" s="51">
        <v>38231</v>
      </c>
      <c r="B92" s="52">
        <f>IF(VLOOKUP(Table9[[#This Row],[Date]],'DB Details'!$A:$Q,12)=0,"",VLOOKUP(Table9[[#This Row],[Date]],'DB Details'!$A:$Q,12))</f>
        <v>57.9</v>
      </c>
      <c r="C92" s="52">
        <f>Table9[[#This Row],[ISM Services]]-B91</f>
        <v>0.60000000000000142</v>
      </c>
    </row>
    <row r="93" spans="1:3" x14ac:dyDescent="0.35">
      <c r="A93" s="51">
        <v>38261</v>
      </c>
      <c r="B93" s="52">
        <f>IF(VLOOKUP(Table9[[#This Row],[Date]],'DB Details'!$A:$Q,12)=0,"",VLOOKUP(Table9[[#This Row],[Date]],'DB Details'!$A:$Q,12))</f>
        <v>58.8</v>
      </c>
      <c r="C93" s="52">
        <f>Table9[[#This Row],[ISM Services]]-B92</f>
        <v>0.89999999999999858</v>
      </c>
    </row>
    <row r="94" spans="1:3" x14ac:dyDescent="0.35">
      <c r="A94" s="51">
        <v>38292</v>
      </c>
      <c r="B94" s="52">
        <f>IF(VLOOKUP(Table9[[#This Row],[Date]],'DB Details'!$A:$Q,12)=0,"",VLOOKUP(Table9[[#This Row],[Date]],'DB Details'!$A:$Q,12))</f>
        <v>58.4</v>
      </c>
      <c r="C94" s="52">
        <f>Table9[[#This Row],[ISM Services]]-B93</f>
        <v>-0.39999999999999858</v>
      </c>
    </row>
    <row r="95" spans="1:3" x14ac:dyDescent="0.35">
      <c r="A95" s="51">
        <v>38322</v>
      </c>
      <c r="B95" s="52">
        <f>IF(VLOOKUP(Table9[[#This Row],[Date]],'DB Details'!$A:$Q,12)=0,"",VLOOKUP(Table9[[#This Row],[Date]],'DB Details'!$A:$Q,12))</f>
        <v>59.6</v>
      </c>
      <c r="C95" s="52">
        <f>Table9[[#This Row],[ISM Services]]-B94</f>
        <v>1.2000000000000028</v>
      </c>
    </row>
    <row r="96" spans="1:3" x14ac:dyDescent="0.35">
      <c r="A96" s="51">
        <v>38353</v>
      </c>
      <c r="B96" s="52">
        <f>IF(VLOOKUP(Table9[[#This Row],[Date]],'DB Details'!$A:$Q,12)=0,"",VLOOKUP(Table9[[#This Row],[Date]],'DB Details'!$A:$Q,12))</f>
        <v>58</v>
      </c>
      <c r="C96" s="52">
        <f>Table9[[#This Row],[ISM Services]]-B95</f>
        <v>-1.6000000000000014</v>
      </c>
    </row>
    <row r="97" spans="1:3" x14ac:dyDescent="0.35">
      <c r="A97" s="51">
        <v>38384</v>
      </c>
      <c r="B97" s="52">
        <f>IF(VLOOKUP(Table9[[#This Row],[Date]],'DB Details'!$A:$Q,12)=0,"",VLOOKUP(Table9[[#This Row],[Date]],'DB Details'!$A:$Q,12))</f>
        <v>59.4</v>
      </c>
      <c r="C97" s="52">
        <f>Table9[[#This Row],[ISM Services]]-B96</f>
        <v>1.3999999999999986</v>
      </c>
    </row>
    <row r="98" spans="1:3" x14ac:dyDescent="0.35">
      <c r="A98" s="51">
        <v>38412</v>
      </c>
      <c r="B98" s="52">
        <f>IF(VLOOKUP(Table9[[#This Row],[Date]],'DB Details'!$A:$Q,12)=0,"",VLOOKUP(Table9[[#This Row],[Date]],'DB Details'!$A:$Q,12))</f>
        <v>58</v>
      </c>
      <c r="C98" s="52">
        <f>Table9[[#This Row],[ISM Services]]-B97</f>
        <v>-1.3999999999999986</v>
      </c>
    </row>
    <row r="99" spans="1:3" x14ac:dyDescent="0.35">
      <c r="A99" s="51">
        <v>38443</v>
      </c>
      <c r="B99" s="52">
        <f>IF(VLOOKUP(Table9[[#This Row],[Date]],'DB Details'!$A:$Q,12)=0,"",VLOOKUP(Table9[[#This Row],[Date]],'DB Details'!$A:$Q,12))</f>
        <v>55.6</v>
      </c>
      <c r="C99" s="52">
        <f>Table9[[#This Row],[ISM Services]]-B98</f>
        <v>-2.3999999999999986</v>
      </c>
    </row>
    <row r="100" spans="1:3" x14ac:dyDescent="0.35">
      <c r="A100" s="51">
        <v>38473</v>
      </c>
      <c r="B100" s="52">
        <f>IF(VLOOKUP(Table9[[#This Row],[Date]],'DB Details'!$A:$Q,12)=0,"",VLOOKUP(Table9[[#This Row],[Date]],'DB Details'!$A:$Q,12))</f>
        <v>55.3</v>
      </c>
      <c r="C100" s="52">
        <f>Table9[[#This Row],[ISM Services]]-B99</f>
        <v>-0.30000000000000426</v>
      </c>
    </row>
    <row r="101" spans="1:3" x14ac:dyDescent="0.35">
      <c r="A101" s="51">
        <v>38504</v>
      </c>
      <c r="B101" s="52">
        <f>IF(VLOOKUP(Table9[[#This Row],[Date]],'DB Details'!$A:$Q,12)=0,"",VLOOKUP(Table9[[#This Row],[Date]],'DB Details'!$A:$Q,12))</f>
        <v>58.1</v>
      </c>
      <c r="C101" s="52">
        <f>Table9[[#This Row],[ISM Services]]-B100</f>
        <v>2.8000000000000043</v>
      </c>
    </row>
    <row r="102" spans="1:3" x14ac:dyDescent="0.35">
      <c r="A102" s="51">
        <v>38534</v>
      </c>
      <c r="B102" s="52">
        <f>IF(VLOOKUP(Table9[[#This Row],[Date]],'DB Details'!$A:$Q,12)=0,"",VLOOKUP(Table9[[#This Row],[Date]],'DB Details'!$A:$Q,12))</f>
        <v>59.5</v>
      </c>
      <c r="C102" s="52">
        <f>Table9[[#This Row],[ISM Services]]-B101</f>
        <v>1.3999999999999986</v>
      </c>
    </row>
    <row r="103" spans="1:3" x14ac:dyDescent="0.35">
      <c r="A103" s="51">
        <v>38565</v>
      </c>
      <c r="B103" s="52">
        <f>IF(VLOOKUP(Table9[[#This Row],[Date]],'DB Details'!$A:$Q,12)=0,"",VLOOKUP(Table9[[#This Row],[Date]],'DB Details'!$A:$Q,12))</f>
        <v>61.3</v>
      </c>
      <c r="C103" s="52">
        <f>Table9[[#This Row],[ISM Services]]-B102</f>
        <v>1.7999999999999972</v>
      </c>
    </row>
    <row r="104" spans="1:3" x14ac:dyDescent="0.35">
      <c r="A104" s="51">
        <v>38596</v>
      </c>
      <c r="B104" s="52">
        <f>IF(VLOOKUP(Table9[[#This Row],[Date]],'DB Details'!$A:$Q,12)=0,"",VLOOKUP(Table9[[#This Row],[Date]],'DB Details'!$A:$Q,12))</f>
        <v>55.7</v>
      </c>
      <c r="C104" s="52">
        <f>Table9[[#This Row],[ISM Services]]-B103</f>
        <v>-5.5999999999999943</v>
      </c>
    </row>
    <row r="105" spans="1:3" x14ac:dyDescent="0.35">
      <c r="A105" s="51">
        <v>38626</v>
      </c>
      <c r="B105" s="52">
        <f>IF(VLOOKUP(Table9[[#This Row],[Date]],'DB Details'!$A:$Q,12)=0,"",VLOOKUP(Table9[[#This Row],[Date]],'DB Details'!$A:$Q,12))</f>
        <v>57.4</v>
      </c>
      <c r="C105" s="52">
        <f>Table9[[#This Row],[ISM Services]]-B104</f>
        <v>1.6999999999999957</v>
      </c>
    </row>
    <row r="106" spans="1:3" x14ac:dyDescent="0.35">
      <c r="A106" s="51">
        <v>38657</v>
      </c>
      <c r="B106" s="52">
        <f>IF(VLOOKUP(Table9[[#This Row],[Date]],'DB Details'!$A:$Q,12)=0,"",VLOOKUP(Table9[[#This Row],[Date]],'DB Details'!$A:$Q,12))</f>
        <v>59.1</v>
      </c>
      <c r="C106" s="52">
        <f>Table9[[#This Row],[ISM Services]]-B105</f>
        <v>1.7000000000000028</v>
      </c>
    </row>
    <row r="107" spans="1:3" x14ac:dyDescent="0.35">
      <c r="A107" s="51">
        <v>38687</v>
      </c>
      <c r="B107" s="52">
        <f>IF(VLOOKUP(Table9[[#This Row],[Date]],'DB Details'!$A:$Q,12)=0,"",VLOOKUP(Table9[[#This Row],[Date]],'DB Details'!$A:$Q,12))</f>
        <v>59</v>
      </c>
      <c r="C107" s="52">
        <f>Table9[[#This Row],[ISM Services]]-B106</f>
        <v>-0.10000000000000142</v>
      </c>
    </row>
    <row r="108" spans="1:3" x14ac:dyDescent="0.35">
      <c r="A108" s="51">
        <v>38718</v>
      </c>
      <c r="B108" s="52">
        <f>IF(VLOOKUP(Table9[[#This Row],[Date]],'DB Details'!$A:$Q,12)=0,"",VLOOKUP(Table9[[#This Row],[Date]],'DB Details'!$A:$Q,12))</f>
        <v>56.3</v>
      </c>
      <c r="C108" s="52">
        <f>Table9[[#This Row],[ISM Services]]-B107</f>
        <v>-2.7000000000000028</v>
      </c>
    </row>
    <row r="109" spans="1:3" x14ac:dyDescent="0.35">
      <c r="A109" s="51">
        <v>38749</v>
      </c>
      <c r="B109" s="52">
        <f>IF(VLOOKUP(Table9[[#This Row],[Date]],'DB Details'!$A:$Q,12)=0,"",VLOOKUP(Table9[[#This Row],[Date]],'DB Details'!$A:$Q,12))</f>
        <v>57.6</v>
      </c>
      <c r="C109" s="52">
        <f>Table9[[#This Row],[ISM Services]]-B108</f>
        <v>1.3000000000000043</v>
      </c>
    </row>
    <row r="110" spans="1:3" x14ac:dyDescent="0.35">
      <c r="A110" s="51">
        <v>38777</v>
      </c>
      <c r="B110" s="52">
        <f>IF(VLOOKUP(Table9[[#This Row],[Date]],'DB Details'!$A:$Q,12)=0,"",VLOOKUP(Table9[[#This Row],[Date]],'DB Details'!$A:$Q,12))</f>
        <v>56.9</v>
      </c>
      <c r="C110" s="52">
        <f>Table9[[#This Row],[ISM Services]]-B109</f>
        <v>-0.70000000000000284</v>
      </c>
    </row>
    <row r="111" spans="1:3" x14ac:dyDescent="0.35">
      <c r="A111" s="51">
        <v>38808</v>
      </c>
      <c r="B111" s="52">
        <f>IF(VLOOKUP(Table9[[#This Row],[Date]],'DB Details'!$A:$Q,12)=0,"",VLOOKUP(Table9[[#This Row],[Date]],'DB Details'!$A:$Q,12))</f>
        <v>58.4</v>
      </c>
      <c r="C111" s="52">
        <f>Table9[[#This Row],[ISM Services]]-B110</f>
        <v>1.5</v>
      </c>
    </row>
    <row r="112" spans="1:3" x14ac:dyDescent="0.35">
      <c r="A112" s="51">
        <v>38838</v>
      </c>
      <c r="B112" s="52">
        <f>IF(VLOOKUP(Table9[[#This Row],[Date]],'DB Details'!$A:$Q,12)=0,"",VLOOKUP(Table9[[#This Row],[Date]],'DB Details'!$A:$Q,12))</f>
        <v>57</v>
      </c>
      <c r="C112" s="52">
        <f>Table9[[#This Row],[ISM Services]]-B111</f>
        <v>-1.3999999999999986</v>
      </c>
    </row>
    <row r="113" spans="1:3" x14ac:dyDescent="0.35">
      <c r="A113" s="51">
        <v>38869</v>
      </c>
      <c r="B113" s="52">
        <f>IF(VLOOKUP(Table9[[#This Row],[Date]],'DB Details'!$A:$Q,12)=0,"",VLOOKUP(Table9[[#This Row],[Date]],'DB Details'!$A:$Q,12))</f>
        <v>55.2</v>
      </c>
      <c r="C113" s="52">
        <f>Table9[[#This Row],[ISM Services]]-B112</f>
        <v>-1.7999999999999972</v>
      </c>
    </row>
    <row r="114" spans="1:3" x14ac:dyDescent="0.35">
      <c r="A114" s="51">
        <v>38899</v>
      </c>
      <c r="B114" s="52">
        <f>IF(VLOOKUP(Table9[[#This Row],[Date]],'DB Details'!$A:$Q,12)=0,"",VLOOKUP(Table9[[#This Row],[Date]],'DB Details'!$A:$Q,12))</f>
        <v>55.6</v>
      </c>
      <c r="C114" s="52">
        <f>Table9[[#This Row],[ISM Services]]-B113</f>
        <v>0.39999999999999858</v>
      </c>
    </row>
    <row r="115" spans="1:3" x14ac:dyDescent="0.35">
      <c r="A115" s="51">
        <v>38930</v>
      </c>
      <c r="B115" s="52">
        <f>IF(VLOOKUP(Table9[[#This Row],[Date]],'DB Details'!$A:$Q,12)=0,"",VLOOKUP(Table9[[#This Row],[Date]],'DB Details'!$A:$Q,12))</f>
        <v>53.9</v>
      </c>
      <c r="C115" s="52">
        <f>Table9[[#This Row],[ISM Services]]-B114</f>
        <v>-1.7000000000000028</v>
      </c>
    </row>
    <row r="116" spans="1:3" x14ac:dyDescent="0.35">
      <c r="A116" s="51">
        <v>38961</v>
      </c>
      <c r="B116" s="52">
        <f>IF(VLOOKUP(Table9[[#This Row],[Date]],'DB Details'!$A:$Q,12)=0,"",VLOOKUP(Table9[[#This Row],[Date]],'DB Details'!$A:$Q,12))</f>
        <v>54.5</v>
      </c>
      <c r="C116" s="52">
        <f>Table9[[#This Row],[ISM Services]]-B115</f>
        <v>0.60000000000000142</v>
      </c>
    </row>
    <row r="117" spans="1:3" x14ac:dyDescent="0.35">
      <c r="A117" s="51">
        <v>38991</v>
      </c>
      <c r="B117" s="52">
        <f>IF(VLOOKUP(Table9[[#This Row],[Date]],'DB Details'!$A:$Q,12)=0,"",VLOOKUP(Table9[[#This Row],[Date]],'DB Details'!$A:$Q,12))</f>
        <v>54.9</v>
      </c>
      <c r="C117" s="52">
        <f>Table9[[#This Row],[ISM Services]]-B116</f>
        <v>0.39999999999999858</v>
      </c>
    </row>
    <row r="118" spans="1:3" x14ac:dyDescent="0.35">
      <c r="A118" s="51">
        <v>39022</v>
      </c>
      <c r="B118" s="52">
        <f>IF(VLOOKUP(Table9[[#This Row],[Date]],'DB Details'!$A:$Q,12)=0,"",VLOOKUP(Table9[[#This Row],[Date]],'DB Details'!$A:$Q,12))</f>
        <v>54.5</v>
      </c>
      <c r="C118" s="52">
        <f>Table9[[#This Row],[ISM Services]]-B117</f>
        <v>-0.39999999999999858</v>
      </c>
    </row>
    <row r="119" spans="1:3" x14ac:dyDescent="0.35">
      <c r="A119" s="51">
        <v>39052</v>
      </c>
      <c r="B119" s="52">
        <f>IF(VLOOKUP(Table9[[#This Row],[Date]],'DB Details'!$A:$Q,12)=0,"",VLOOKUP(Table9[[#This Row],[Date]],'DB Details'!$A:$Q,12))</f>
        <v>53.7</v>
      </c>
      <c r="C119" s="52">
        <f>Table9[[#This Row],[ISM Services]]-B118</f>
        <v>-0.79999999999999716</v>
      </c>
    </row>
    <row r="120" spans="1:3" x14ac:dyDescent="0.35">
      <c r="A120" s="51">
        <v>39083</v>
      </c>
      <c r="B120" s="52">
        <f>IF(VLOOKUP(Table9[[#This Row],[Date]],'DB Details'!$A:$Q,12)=0,"",VLOOKUP(Table9[[#This Row],[Date]],'DB Details'!$A:$Q,12))</f>
        <v>55.4</v>
      </c>
      <c r="C120" s="52">
        <f>Table9[[#This Row],[ISM Services]]-B119</f>
        <v>1.6999999999999957</v>
      </c>
    </row>
    <row r="121" spans="1:3" x14ac:dyDescent="0.35">
      <c r="A121" s="51">
        <v>39114</v>
      </c>
      <c r="B121" s="52">
        <f>IF(VLOOKUP(Table9[[#This Row],[Date]],'DB Details'!$A:$Q,12)=0,"",VLOOKUP(Table9[[#This Row],[Date]],'DB Details'!$A:$Q,12))</f>
        <v>54.2</v>
      </c>
      <c r="C121" s="52">
        <f>Table9[[#This Row],[ISM Services]]-B120</f>
        <v>-1.1999999999999957</v>
      </c>
    </row>
    <row r="122" spans="1:3" x14ac:dyDescent="0.35">
      <c r="A122" s="51">
        <v>39142</v>
      </c>
      <c r="B122" s="52">
        <f>IF(VLOOKUP(Table9[[#This Row],[Date]],'DB Details'!$A:$Q,12)=0,"",VLOOKUP(Table9[[#This Row],[Date]],'DB Details'!$A:$Q,12))</f>
        <v>52.1</v>
      </c>
      <c r="C122" s="52">
        <f>Table9[[#This Row],[ISM Services]]-B121</f>
        <v>-2.1000000000000014</v>
      </c>
    </row>
    <row r="123" spans="1:3" x14ac:dyDescent="0.35">
      <c r="A123" s="51">
        <v>39173</v>
      </c>
      <c r="B123" s="52">
        <f>IF(VLOOKUP(Table9[[#This Row],[Date]],'DB Details'!$A:$Q,12)=0,"",VLOOKUP(Table9[[#This Row],[Date]],'DB Details'!$A:$Q,12))</f>
        <v>53.4</v>
      </c>
      <c r="C123" s="52">
        <f>Table9[[#This Row],[ISM Services]]-B122</f>
        <v>1.2999999999999972</v>
      </c>
    </row>
    <row r="124" spans="1:3" x14ac:dyDescent="0.35">
      <c r="A124" s="51">
        <v>39203</v>
      </c>
      <c r="B124" s="52">
        <f>IF(VLOOKUP(Table9[[#This Row],[Date]],'DB Details'!$A:$Q,12)=0,"",VLOOKUP(Table9[[#This Row],[Date]],'DB Details'!$A:$Q,12))</f>
        <v>54.3</v>
      </c>
      <c r="C124" s="52">
        <f>Table9[[#This Row],[ISM Services]]-B123</f>
        <v>0.89999999999999858</v>
      </c>
    </row>
    <row r="125" spans="1:3" x14ac:dyDescent="0.35">
      <c r="A125" s="51">
        <v>39234</v>
      </c>
      <c r="B125" s="52">
        <f>IF(VLOOKUP(Table9[[#This Row],[Date]],'DB Details'!$A:$Q,12)=0,"",VLOOKUP(Table9[[#This Row],[Date]],'DB Details'!$A:$Q,12))</f>
        <v>54.9</v>
      </c>
      <c r="C125" s="52">
        <f>Table9[[#This Row],[ISM Services]]-B124</f>
        <v>0.60000000000000142</v>
      </c>
    </row>
    <row r="126" spans="1:3" x14ac:dyDescent="0.35">
      <c r="A126" s="51">
        <v>39264</v>
      </c>
      <c r="B126" s="52">
        <f>IF(VLOOKUP(Table9[[#This Row],[Date]],'DB Details'!$A:$Q,12)=0,"",VLOOKUP(Table9[[#This Row],[Date]],'DB Details'!$A:$Q,12))</f>
        <v>53.6</v>
      </c>
      <c r="C126" s="52">
        <f>Table9[[#This Row],[ISM Services]]-B125</f>
        <v>-1.2999999999999972</v>
      </c>
    </row>
    <row r="127" spans="1:3" x14ac:dyDescent="0.35">
      <c r="A127" s="51">
        <v>39295</v>
      </c>
      <c r="B127" s="52">
        <f>IF(VLOOKUP(Table9[[#This Row],[Date]],'DB Details'!$A:$Q,12)=0,"",VLOOKUP(Table9[[#This Row],[Date]],'DB Details'!$A:$Q,12))</f>
        <v>52.7</v>
      </c>
      <c r="C127" s="52">
        <f>Table9[[#This Row],[ISM Services]]-B126</f>
        <v>-0.89999999999999858</v>
      </c>
    </row>
    <row r="128" spans="1:3" x14ac:dyDescent="0.35">
      <c r="A128" s="51">
        <v>39326</v>
      </c>
      <c r="B128" s="52">
        <f>IF(VLOOKUP(Table9[[#This Row],[Date]],'DB Details'!$A:$Q,12)=0,"",VLOOKUP(Table9[[#This Row],[Date]],'DB Details'!$A:$Q,12))</f>
        <v>52.6</v>
      </c>
      <c r="C128" s="52">
        <f>Table9[[#This Row],[ISM Services]]-B127</f>
        <v>-0.10000000000000142</v>
      </c>
    </row>
    <row r="129" spans="1:3" x14ac:dyDescent="0.35">
      <c r="A129" s="51">
        <v>39356</v>
      </c>
      <c r="B129" s="52">
        <f>IF(VLOOKUP(Table9[[#This Row],[Date]],'DB Details'!$A:$Q,12)=0,"",VLOOKUP(Table9[[#This Row],[Date]],'DB Details'!$A:$Q,12))</f>
        <v>53.6</v>
      </c>
      <c r="C129" s="52">
        <f>Table9[[#This Row],[ISM Services]]-B128</f>
        <v>1</v>
      </c>
    </row>
    <row r="130" spans="1:3" x14ac:dyDescent="0.35">
      <c r="A130" s="51">
        <v>39387</v>
      </c>
      <c r="B130" s="52">
        <f>IF(VLOOKUP(Table9[[#This Row],[Date]],'DB Details'!$A:$Q,12)=0,"",VLOOKUP(Table9[[#This Row],[Date]],'DB Details'!$A:$Q,12))</f>
        <v>52.8</v>
      </c>
      <c r="C130" s="52">
        <f>Table9[[#This Row],[ISM Services]]-B129</f>
        <v>-0.80000000000000426</v>
      </c>
    </row>
    <row r="131" spans="1:3" x14ac:dyDescent="0.35">
      <c r="A131" s="51">
        <v>39417</v>
      </c>
      <c r="B131" s="52">
        <f>IF(VLOOKUP(Table9[[#This Row],[Date]],'DB Details'!$A:$Q,12)=0,"",VLOOKUP(Table9[[#This Row],[Date]],'DB Details'!$A:$Q,12))</f>
        <v>52.5</v>
      </c>
      <c r="C131" s="52">
        <f>Table9[[#This Row],[ISM Services]]-B130</f>
        <v>-0.29999999999999716</v>
      </c>
    </row>
    <row r="132" spans="1:3" x14ac:dyDescent="0.35">
      <c r="A132" s="51">
        <v>39448</v>
      </c>
      <c r="B132" s="52">
        <f>IF(VLOOKUP(Table9[[#This Row],[Date]],'DB Details'!$A:$Q,12)=0,"",VLOOKUP(Table9[[#This Row],[Date]],'DB Details'!$A:$Q,12))</f>
        <v>44.8</v>
      </c>
      <c r="C132" s="52">
        <f>Table9[[#This Row],[ISM Services]]-B131</f>
        <v>-7.7000000000000028</v>
      </c>
    </row>
    <row r="133" spans="1:3" x14ac:dyDescent="0.35">
      <c r="A133" s="51">
        <v>39479</v>
      </c>
      <c r="B133" s="52">
        <f>IF(VLOOKUP(Table9[[#This Row],[Date]],'DB Details'!$A:$Q,12)=0,"",VLOOKUP(Table9[[#This Row],[Date]],'DB Details'!$A:$Q,12))</f>
        <v>49.9</v>
      </c>
      <c r="C133" s="52">
        <f>Table9[[#This Row],[ISM Services]]-B132</f>
        <v>5.1000000000000014</v>
      </c>
    </row>
    <row r="134" spans="1:3" x14ac:dyDescent="0.35">
      <c r="A134" s="51">
        <v>39508</v>
      </c>
      <c r="B134" s="52">
        <f>IF(VLOOKUP(Table9[[#This Row],[Date]],'DB Details'!$A:$Q,12)=0,"",VLOOKUP(Table9[[#This Row],[Date]],'DB Details'!$A:$Q,12))</f>
        <v>49.4</v>
      </c>
      <c r="C134" s="52">
        <f>Table9[[#This Row],[ISM Services]]-B133</f>
        <v>-0.5</v>
      </c>
    </row>
    <row r="135" spans="1:3" x14ac:dyDescent="0.35">
      <c r="A135" s="51">
        <v>39539</v>
      </c>
      <c r="B135" s="52">
        <f>IF(VLOOKUP(Table9[[#This Row],[Date]],'DB Details'!$A:$Q,12)=0,"",VLOOKUP(Table9[[#This Row],[Date]],'DB Details'!$A:$Q,12))</f>
        <v>51.9</v>
      </c>
      <c r="C135" s="52">
        <f>Table9[[#This Row],[ISM Services]]-B134</f>
        <v>2.5</v>
      </c>
    </row>
    <row r="136" spans="1:3" x14ac:dyDescent="0.35">
      <c r="A136" s="51">
        <v>39569</v>
      </c>
      <c r="B136" s="52">
        <f>IF(VLOOKUP(Table9[[#This Row],[Date]],'DB Details'!$A:$Q,12)=0,"",VLOOKUP(Table9[[#This Row],[Date]],'DB Details'!$A:$Q,12))</f>
        <v>51.5</v>
      </c>
      <c r="C136" s="52">
        <f>Table9[[#This Row],[ISM Services]]-B135</f>
        <v>-0.39999999999999858</v>
      </c>
    </row>
    <row r="137" spans="1:3" x14ac:dyDescent="0.35">
      <c r="A137" s="51">
        <v>39600</v>
      </c>
      <c r="B137" s="52">
        <f>IF(VLOOKUP(Table9[[#This Row],[Date]],'DB Details'!$A:$Q,12)=0,"",VLOOKUP(Table9[[#This Row],[Date]],'DB Details'!$A:$Q,12))</f>
        <v>48.1</v>
      </c>
      <c r="C137" s="52">
        <f>Table9[[#This Row],[ISM Services]]-B136</f>
        <v>-3.3999999999999986</v>
      </c>
    </row>
    <row r="138" spans="1:3" x14ac:dyDescent="0.35">
      <c r="A138" s="51">
        <v>39630</v>
      </c>
      <c r="B138" s="52">
        <f>IF(VLOOKUP(Table9[[#This Row],[Date]],'DB Details'!$A:$Q,12)=0,"",VLOOKUP(Table9[[#This Row],[Date]],'DB Details'!$A:$Q,12))</f>
        <v>50.1</v>
      </c>
      <c r="C138" s="52">
        <f>Table9[[#This Row],[ISM Services]]-B137</f>
        <v>2</v>
      </c>
    </row>
    <row r="139" spans="1:3" x14ac:dyDescent="0.35">
      <c r="A139" s="51">
        <v>39661</v>
      </c>
      <c r="B139" s="52">
        <f>IF(VLOOKUP(Table9[[#This Row],[Date]],'DB Details'!$A:$Q,12)=0,"",VLOOKUP(Table9[[#This Row],[Date]],'DB Details'!$A:$Q,12))</f>
        <v>50.6</v>
      </c>
      <c r="C139" s="52">
        <f>Table9[[#This Row],[ISM Services]]-B138</f>
        <v>0.5</v>
      </c>
    </row>
    <row r="140" spans="1:3" x14ac:dyDescent="0.35">
      <c r="A140" s="51">
        <v>39692</v>
      </c>
      <c r="B140" s="52">
        <f>IF(VLOOKUP(Table9[[#This Row],[Date]],'DB Details'!$A:$Q,12)=0,"",VLOOKUP(Table9[[#This Row],[Date]],'DB Details'!$A:$Q,12))</f>
        <v>49.4</v>
      </c>
      <c r="C140" s="52">
        <f>Table9[[#This Row],[ISM Services]]-B139</f>
        <v>-1.2000000000000028</v>
      </c>
    </row>
    <row r="141" spans="1:3" x14ac:dyDescent="0.35">
      <c r="A141" s="51">
        <v>39722</v>
      </c>
      <c r="B141" s="52">
        <f>IF(VLOOKUP(Table9[[#This Row],[Date]],'DB Details'!$A:$Q,12)=0,"",VLOOKUP(Table9[[#This Row],[Date]],'DB Details'!$A:$Q,12))</f>
        <v>44.7</v>
      </c>
      <c r="C141" s="52">
        <f>Table9[[#This Row],[ISM Services]]-B140</f>
        <v>-4.6999999999999957</v>
      </c>
    </row>
    <row r="142" spans="1:3" x14ac:dyDescent="0.35">
      <c r="A142" s="51">
        <v>39753</v>
      </c>
      <c r="B142" s="52">
        <f>IF(VLOOKUP(Table9[[#This Row],[Date]],'DB Details'!$A:$Q,12)=0,"",VLOOKUP(Table9[[#This Row],[Date]],'DB Details'!$A:$Q,12))</f>
        <v>37.799999999999997</v>
      </c>
      <c r="C142" s="52">
        <f>Table9[[#This Row],[ISM Services]]-B141</f>
        <v>-6.9000000000000057</v>
      </c>
    </row>
    <row r="143" spans="1:3" x14ac:dyDescent="0.35">
      <c r="A143" s="51">
        <v>39783</v>
      </c>
      <c r="B143" s="52">
        <f>IF(VLOOKUP(Table9[[#This Row],[Date]],'DB Details'!$A:$Q,12)=0,"",VLOOKUP(Table9[[#This Row],[Date]],'DB Details'!$A:$Q,12))</f>
        <v>40</v>
      </c>
      <c r="C143" s="52">
        <f>Table9[[#This Row],[ISM Services]]-B142</f>
        <v>2.2000000000000028</v>
      </c>
    </row>
    <row r="144" spans="1:3" x14ac:dyDescent="0.35">
      <c r="A144" s="51">
        <v>39814</v>
      </c>
      <c r="B144" s="52">
        <f>IF(VLOOKUP(Table9[[#This Row],[Date]],'DB Details'!$A:$Q,12)=0,"",VLOOKUP(Table9[[#This Row],[Date]],'DB Details'!$A:$Q,12))</f>
        <v>43</v>
      </c>
      <c r="C144" s="52">
        <f>Table9[[#This Row],[ISM Services]]-B143</f>
        <v>3</v>
      </c>
    </row>
    <row r="145" spans="1:3" x14ac:dyDescent="0.35">
      <c r="A145" s="51">
        <v>39845</v>
      </c>
      <c r="B145" s="52">
        <f>IF(VLOOKUP(Table9[[#This Row],[Date]],'DB Details'!$A:$Q,12)=0,"",VLOOKUP(Table9[[#This Row],[Date]],'DB Details'!$A:$Q,12))</f>
        <v>41.6</v>
      </c>
      <c r="C145" s="52">
        <f>Table9[[#This Row],[ISM Services]]-B144</f>
        <v>-1.3999999999999986</v>
      </c>
    </row>
    <row r="146" spans="1:3" x14ac:dyDescent="0.35">
      <c r="A146" s="51">
        <v>39873</v>
      </c>
      <c r="B146" s="52">
        <f>IF(VLOOKUP(Table9[[#This Row],[Date]],'DB Details'!$A:$Q,12)=0,"",VLOOKUP(Table9[[#This Row],[Date]],'DB Details'!$A:$Q,12))</f>
        <v>40.1</v>
      </c>
      <c r="C146" s="52">
        <f>Table9[[#This Row],[ISM Services]]-B145</f>
        <v>-1.5</v>
      </c>
    </row>
    <row r="147" spans="1:3" x14ac:dyDescent="0.35">
      <c r="A147" s="51">
        <v>39904</v>
      </c>
      <c r="B147" s="52">
        <f>IF(VLOOKUP(Table9[[#This Row],[Date]],'DB Details'!$A:$Q,12)=0,"",VLOOKUP(Table9[[#This Row],[Date]],'DB Details'!$A:$Q,12))</f>
        <v>43.7</v>
      </c>
      <c r="C147" s="52">
        <f>Table9[[#This Row],[ISM Services]]-B146</f>
        <v>3.6000000000000014</v>
      </c>
    </row>
    <row r="148" spans="1:3" x14ac:dyDescent="0.35">
      <c r="A148" s="51">
        <v>39934</v>
      </c>
      <c r="B148" s="52">
        <f>IF(VLOOKUP(Table9[[#This Row],[Date]],'DB Details'!$A:$Q,12)=0,"",VLOOKUP(Table9[[#This Row],[Date]],'DB Details'!$A:$Q,12))</f>
        <v>44.4</v>
      </c>
      <c r="C148" s="52">
        <f>Table9[[#This Row],[ISM Services]]-B147</f>
        <v>0.69999999999999574</v>
      </c>
    </row>
    <row r="149" spans="1:3" x14ac:dyDescent="0.35">
      <c r="A149" s="51">
        <v>39965</v>
      </c>
      <c r="B149" s="52">
        <f>IF(VLOOKUP(Table9[[#This Row],[Date]],'DB Details'!$A:$Q,12)=0,"",VLOOKUP(Table9[[#This Row],[Date]],'DB Details'!$A:$Q,12))</f>
        <v>46.4</v>
      </c>
      <c r="C149" s="52">
        <f>Table9[[#This Row],[ISM Services]]-B148</f>
        <v>2</v>
      </c>
    </row>
    <row r="150" spans="1:3" x14ac:dyDescent="0.35">
      <c r="A150" s="51">
        <v>39995</v>
      </c>
      <c r="B150" s="52">
        <f>IF(VLOOKUP(Table9[[#This Row],[Date]],'DB Details'!$A:$Q,12)=0,"",VLOOKUP(Table9[[#This Row],[Date]],'DB Details'!$A:$Q,12))</f>
        <v>47.1</v>
      </c>
      <c r="C150" s="52">
        <f>Table9[[#This Row],[ISM Services]]-B149</f>
        <v>0.70000000000000284</v>
      </c>
    </row>
    <row r="151" spans="1:3" x14ac:dyDescent="0.35">
      <c r="A151" s="51">
        <v>40026</v>
      </c>
      <c r="B151" s="52">
        <f>IF(VLOOKUP(Table9[[#This Row],[Date]],'DB Details'!$A:$Q,12)=0,"",VLOOKUP(Table9[[#This Row],[Date]],'DB Details'!$A:$Q,12))</f>
        <v>48.9</v>
      </c>
      <c r="C151" s="52">
        <f>Table9[[#This Row],[ISM Services]]-B150</f>
        <v>1.7999999999999972</v>
      </c>
    </row>
    <row r="152" spans="1:3" x14ac:dyDescent="0.35">
      <c r="A152" s="51">
        <v>40057</v>
      </c>
      <c r="B152" s="52">
        <f>IF(VLOOKUP(Table9[[#This Row],[Date]],'DB Details'!$A:$Q,12)=0,"",VLOOKUP(Table9[[#This Row],[Date]],'DB Details'!$A:$Q,12))</f>
        <v>50.1</v>
      </c>
      <c r="C152" s="52">
        <f>Table9[[#This Row],[ISM Services]]-B151</f>
        <v>1.2000000000000028</v>
      </c>
    </row>
    <row r="153" spans="1:3" x14ac:dyDescent="0.35">
      <c r="A153" s="51">
        <v>40087</v>
      </c>
      <c r="B153" s="52">
        <f>IF(VLOOKUP(Table9[[#This Row],[Date]],'DB Details'!$A:$Q,12)=0,"",VLOOKUP(Table9[[#This Row],[Date]],'DB Details'!$A:$Q,12))</f>
        <v>51</v>
      </c>
      <c r="C153" s="52">
        <f>Table9[[#This Row],[ISM Services]]-B152</f>
        <v>0.89999999999999858</v>
      </c>
    </row>
    <row r="154" spans="1:3" x14ac:dyDescent="0.35">
      <c r="A154" s="51">
        <v>40118</v>
      </c>
      <c r="B154" s="52">
        <f>IF(VLOOKUP(Table9[[#This Row],[Date]],'DB Details'!$A:$Q,12)=0,"",VLOOKUP(Table9[[#This Row],[Date]],'DB Details'!$A:$Q,12))</f>
        <v>49.5</v>
      </c>
      <c r="C154" s="52">
        <f>Table9[[#This Row],[ISM Services]]-B153</f>
        <v>-1.5</v>
      </c>
    </row>
    <row r="155" spans="1:3" x14ac:dyDescent="0.35">
      <c r="A155" s="51">
        <v>40148</v>
      </c>
      <c r="B155" s="52">
        <f>IF(VLOOKUP(Table9[[#This Row],[Date]],'DB Details'!$A:$Q,12)=0,"",VLOOKUP(Table9[[#This Row],[Date]],'DB Details'!$A:$Q,12))</f>
        <v>49.7</v>
      </c>
      <c r="C155" s="52">
        <f>Table9[[#This Row],[ISM Services]]-B154</f>
        <v>0.20000000000000284</v>
      </c>
    </row>
    <row r="156" spans="1:3" x14ac:dyDescent="0.35">
      <c r="A156" s="51">
        <v>40179</v>
      </c>
      <c r="B156" s="52">
        <f>IF(VLOOKUP(Table9[[#This Row],[Date]],'DB Details'!$A:$Q,12)=0,"",VLOOKUP(Table9[[#This Row],[Date]],'DB Details'!$A:$Q,12))</f>
        <v>50</v>
      </c>
      <c r="C156" s="52">
        <f>Table9[[#This Row],[ISM Services]]-B155</f>
        <v>0.29999999999999716</v>
      </c>
    </row>
    <row r="157" spans="1:3" x14ac:dyDescent="0.35">
      <c r="A157" s="51">
        <v>40210</v>
      </c>
      <c r="B157" s="52">
        <f>IF(VLOOKUP(Table9[[#This Row],[Date]],'DB Details'!$A:$Q,12)=0,"",VLOOKUP(Table9[[#This Row],[Date]],'DB Details'!$A:$Q,12))</f>
        <v>51.7</v>
      </c>
      <c r="C157" s="52">
        <f>Table9[[#This Row],[ISM Services]]-B156</f>
        <v>1.7000000000000028</v>
      </c>
    </row>
    <row r="158" spans="1:3" x14ac:dyDescent="0.35">
      <c r="A158" s="51">
        <v>40238</v>
      </c>
      <c r="B158" s="52">
        <f>IF(VLOOKUP(Table9[[#This Row],[Date]],'DB Details'!$A:$Q,12)=0,"",VLOOKUP(Table9[[#This Row],[Date]],'DB Details'!$A:$Q,12))</f>
        <v>53.3</v>
      </c>
      <c r="C158" s="52">
        <f>Table9[[#This Row],[ISM Services]]-B157</f>
        <v>1.5999999999999943</v>
      </c>
    </row>
    <row r="159" spans="1:3" x14ac:dyDescent="0.35">
      <c r="A159" s="51">
        <v>40269</v>
      </c>
      <c r="B159" s="52">
        <f>IF(VLOOKUP(Table9[[#This Row],[Date]],'DB Details'!$A:$Q,12)=0,"",VLOOKUP(Table9[[#This Row],[Date]],'DB Details'!$A:$Q,12))</f>
        <v>55.3</v>
      </c>
      <c r="C159" s="52">
        <f>Table9[[#This Row],[ISM Services]]-B158</f>
        <v>2</v>
      </c>
    </row>
    <row r="160" spans="1:3" x14ac:dyDescent="0.35">
      <c r="A160" s="51">
        <v>40299</v>
      </c>
      <c r="B160" s="52">
        <f>IF(VLOOKUP(Table9[[#This Row],[Date]],'DB Details'!$A:$Q,12)=0,"",VLOOKUP(Table9[[#This Row],[Date]],'DB Details'!$A:$Q,12))</f>
        <v>55.5</v>
      </c>
      <c r="C160" s="52">
        <f>Table9[[#This Row],[ISM Services]]-B159</f>
        <v>0.20000000000000284</v>
      </c>
    </row>
    <row r="161" spans="1:3" x14ac:dyDescent="0.35">
      <c r="A161" s="51">
        <v>40330</v>
      </c>
      <c r="B161" s="52">
        <f>IF(VLOOKUP(Table9[[#This Row],[Date]],'DB Details'!$A:$Q,12)=0,"",VLOOKUP(Table9[[#This Row],[Date]],'DB Details'!$A:$Q,12))</f>
        <v>54.4</v>
      </c>
      <c r="C161" s="52">
        <f>Table9[[#This Row],[ISM Services]]-B160</f>
        <v>-1.1000000000000014</v>
      </c>
    </row>
    <row r="162" spans="1:3" x14ac:dyDescent="0.35">
      <c r="A162" s="51">
        <v>40360</v>
      </c>
      <c r="B162" s="52">
        <f>IF(VLOOKUP(Table9[[#This Row],[Date]],'DB Details'!$A:$Q,12)=0,"",VLOOKUP(Table9[[#This Row],[Date]],'DB Details'!$A:$Q,12))</f>
        <v>54.6</v>
      </c>
      <c r="C162" s="52">
        <f>Table9[[#This Row],[ISM Services]]-B161</f>
        <v>0.20000000000000284</v>
      </c>
    </row>
    <row r="163" spans="1:3" x14ac:dyDescent="0.35">
      <c r="A163" s="51">
        <v>40391</v>
      </c>
      <c r="B163" s="52">
        <f>IF(VLOOKUP(Table9[[#This Row],[Date]],'DB Details'!$A:$Q,12)=0,"",VLOOKUP(Table9[[#This Row],[Date]],'DB Details'!$A:$Q,12))</f>
        <v>52.4</v>
      </c>
      <c r="C163" s="52">
        <f>Table9[[#This Row],[ISM Services]]-B162</f>
        <v>-2.2000000000000028</v>
      </c>
    </row>
    <row r="164" spans="1:3" x14ac:dyDescent="0.35">
      <c r="A164" s="51">
        <v>40422</v>
      </c>
      <c r="B164" s="52">
        <f>IF(VLOOKUP(Table9[[#This Row],[Date]],'DB Details'!$A:$Q,12)=0,"",VLOOKUP(Table9[[#This Row],[Date]],'DB Details'!$A:$Q,12))</f>
        <v>53.3</v>
      </c>
      <c r="C164" s="52">
        <f>Table9[[#This Row],[ISM Services]]-B163</f>
        <v>0.89999999999999858</v>
      </c>
    </row>
    <row r="165" spans="1:3" x14ac:dyDescent="0.35">
      <c r="A165" s="51">
        <v>40452</v>
      </c>
      <c r="B165" s="52">
        <f>IF(VLOOKUP(Table9[[#This Row],[Date]],'DB Details'!$A:$Q,12)=0,"",VLOOKUP(Table9[[#This Row],[Date]],'DB Details'!$A:$Q,12))</f>
        <v>55.3</v>
      </c>
      <c r="C165" s="52">
        <f>Table9[[#This Row],[ISM Services]]-B164</f>
        <v>2</v>
      </c>
    </row>
    <row r="166" spans="1:3" x14ac:dyDescent="0.35">
      <c r="A166" s="51">
        <v>40483</v>
      </c>
      <c r="B166" s="52">
        <f>IF(VLOOKUP(Table9[[#This Row],[Date]],'DB Details'!$A:$Q,12)=0,"",VLOOKUP(Table9[[#This Row],[Date]],'DB Details'!$A:$Q,12))</f>
        <v>56.4</v>
      </c>
      <c r="C166" s="52">
        <f>Table9[[#This Row],[ISM Services]]-B165</f>
        <v>1.1000000000000014</v>
      </c>
    </row>
    <row r="167" spans="1:3" x14ac:dyDescent="0.35">
      <c r="A167" s="51">
        <v>40513</v>
      </c>
      <c r="B167" s="52">
        <f>IF(VLOOKUP(Table9[[#This Row],[Date]],'DB Details'!$A:$Q,12)=0,"",VLOOKUP(Table9[[#This Row],[Date]],'DB Details'!$A:$Q,12))</f>
        <v>56.9</v>
      </c>
      <c r="C167" s="52">
        <f>Table9[[#This Row],[ISM Services]]-B166</f>
        <v>0.5</v>
      </c>
    </row>
    <row r="168" spans="1:3" x14ac:dyDescent="0.35">
      <c r="A168" s="51">
        <v>40544</v>
      </c>
      <c r="B168" s="52">
        <f>IF(VLOOKUP(Table9[[#This Row],[Date]],'DB Details'!$A:$Q,12)=0,"",VLOOKUP(Table9[[#This Row],[Date]],'DB Details'!$A:$Q,12))</f>
        <v>57.6</v>
      </c>
      <c r="C168" s="52">
        <f>Table9[[#This Row],[ISM Services]]-B167</f>
        <v>0.70000000000000284</v>
      </c>
    </row>
    <row r="169" spans="1:3" x14ac:dyDescent="0.35">
      <c r="A169" s="51">
        <v>40575</v>
      </c>
      <c r="B169" s="52">
        <f>IF(VLOOKUP(Table9[[#This Row],[Date]],'DB Details'!$A:$Q,12)=0,"",VLOOKUP(Table9[[#This Row],[Date]],'DB Details'!$A:$Q,12))</f>
        <v>58</v>
      </c>
      <c r="C169" s="52">
        <f>Table9[[#This Row],[ISM Services]]-B168</f>
        <v>0.39999999999999858</v>
      </c>
    </row>
    <row r="170" spans="1:3" x14ac:dyDescent="0.35">
      <c r="A170" s="51">
        <v>40603</v>
      </c>
      <c r="B170" s="52">
        <f>IF(VLOOKUP(Table9[[#This Row],[Date]],'DB Details'!$A:$Q,12)=0,"",VLOOKUP(Table9[[#This Row],[Date]],'DB Details'!$A:$Q,12))</f>
        <v>55.8</v>
      </c>
      <c r="C170" s="52">
        <f>Table9[[#This Row],[ISM Services]]-B169</f>
        <v>-2.2000000000000028</v>
      </c>
    </row>
    <row r="171" spans="1:3" x14ac:dyDescent="0.35">
      <c r="A171" s="51">
        <v>40634</v>
      </c>
      <c r="B171" s="52">
        <f>IF(VLOOKUP(Table9[[#This Row],[Date]],'DB Details'!$A:$Q,12)=0,"",VLOOKUP(Table9[[#This Row],[Date]],'DB Details'!$A:$Q,12))</f>
        <v>55.2</v>
      </c>
      <c r="C171" s="52">
        <f>Table9[[#This Row],[ISM Services]]-B170</f>
        <v>-0.59999999999999432</v>
      </c>
    </row>
    <row r="172" spans="1:3" x14ac:dyDescent="0.35">
      <c r="A172" s="51">
        <v>40664</v>
      </c>
      <c r="B172" s="52">
        <f>IF(VLOOKUP(Table9[[#This Row],[Date]],'DB Details'!$A:$Q,12)=0,"",VLOOKUP(Table9[[#This Row],[Date]],'DB Details'!$A:$Q,12))</f>
        <v>55</v>
      </c>
      <c r="C172" s="52">
        <f>Table9[[#This Row],[ISM Services]]-B171</f>
        <v>-0.20000000000000284</v>
      </c>
    </row>
    <row r="173" spans="1:3" x14ac:dyDescent="0.35">
      <c r="A173" s="51">
        <v>40695</v>
      </c>
      <c r="B173" s="52">
        <f>IF(VLOOKUP(Table9[[#This Row],[Date]],'DB Details'!$A:$Q,12)=0,"",VLOOKUP(Table9[[#This Row],[Date]],'DB Details'!$A:$Q,12))</f>
        <v>54.2</v>
      </c>
      <c r="C173" s="52">
        <f>Table9[[#This Row],[ISM Services]]-B172</f>
        <v>-0.79999999999999716</v>
      </c>
    </row>
    <row r="174" spans="1:3" x14ac:dyDescent="0.35">
      <c r="A174" s="51">
        <v>40725</v>
      </c>
      <c r="B174" s="52">
        <f>IF(VLOOKUP(Table9[[#This Row],[Date]],'DB Details'!$A:$Q,12)=0,"",VLOOKUP(Table9[[#This Row],[Date]],'DB Details'!$A:$Q,12))</f>
        <v>53.5</v>
      </c>
      <c r="C174" s="52">
        <f>Table9[[#This Row],[ISM Services]]-B173</f>
        <v>-0.70000000000000284</v>
      </c>
    </row>
    <row r="175" spans="1:3" x14ac:dyDescent="0.35">
      <c r="A175" s="51">
        <v>40756</v>
      </c>
      <c r="B175" s="52">
        <f>IF(VLOOKUP(Table9[[#This Row],[Date]],'DB Details'!$A:$Q,12)=0,"",VLOOKUP(Table9[[#This Row],[Date]],'DB Details'!$A:$Q,12))</f>
        <v>53.5</v>
      </c>
      <c r="C175" s="52">
        <f>Table9[[#This Row],[ISM Services]]-B174</f>
        <v>0</v>
      </c>
    </row>
    <row r="176" spans="1:3" x14ac:dyDescent="0.35">
      <c r="A176" s="51">
        <v>40787</v>
      </c>
      <c r="B176" s="52">
        <f>IF(VLOOKUP(Table9[[#This Row],[Date]],'DB Details'!$A:$Q,12)=0,"",VLOOKUP(Table9[[#This Row],[Date]],'DB Details'!$A:$Q,12))</f>
        <v>52.3</v>
      </c>
      <c r="C176" s="52">
        <f>Table9[[#This Row],[ISM Services]]-B175</f>
        <v>-1.2000000000000028</v>
      </c>
    </row>
    <row r="177" spans="1:3" x14ac:dyDescent="0.35">
      <c r="A177" s="51">
        <v>40817</v>
      </c>
      <c r="B177" s="52">
        <f>IF(VLOOKUP(Table9[[#This Row],[Date]],'DB Details'!$A:$Q,12)=0,"",VLOOKUP(Table9[[#This Row],[Date]],'DB Details'!$A:$Q,12))</f>
        <v>52.8</v>
      </c>
      <c r="C177" s="52">
        <f>Table9[[#This Row],[ISM Services]]-B176</f>
        <v>0.5</v>
      </c>
    </row>
    <row r="178" spans="1:3" x14ac:dyDescent="0.35">
      <c r="A178" s="51">
        <v>40848</v>
      </c>
      <c r="B178" s="52">
        <f>IF(VLOOKUP(Table9[[#This Row],[Date]],'DB Details'!$A:$Q,12)=0,"",VLOOKUP(Table9[[#This Row],[Date]],'DB Details'!$A:$Q,12))</f>
        <v>52.9</v>
      </c>
      <c r="C178" s="52">
        <f>Table9[[#This Row],[ISM Services]]-B177</f>
        <v>0.10000000000000142</v>
      </c>
    </row>
    <row r="179" spans="1:3" x14ac:dyDescent="0.35">
      <c r="A179" s="51">
        <v>40878</v>
      </c>
      <c r="B179" s="52">
        <f>IF(VLOOKUP(Table9[[#This Row],[Date]],'DB Details'!$A:$Q,12)=0,"",VLOOKUP(Table9[[#This Row],[Date]],'DB Details'!$A:$Q,12))</f>
        <v>52.6</v>
      </c>
      <c r="C179" s="52">
        <f>Table9[[#This Row],[ISM Services]]-B178</f>
        <v>-0.29999999999999716</v>
      </c>
    </row>
    <row r="180" spans="1:3" x14ac:dyDescent="0.35">
      <c r="A180" s="51">
        <v>40909</v>
      </c>
      <c r="B180" s="52">
        <f>IF(VLOOKUP(Table9[[#This Row],[Date]],'DB Details'!$A:$Q,12)=0,"",VLOOKUP(Table9[[#This Row],[Date]],'DB Details'!$A:$Q,12))</f>
        <v>56</v>
      </c>
      <c r="C180" s="52">
        <f>Table9[[#This Row],[ISM Services]]-B179</f>
        <v>3.3999999999999986</v>
      </c>
    </row>
    <row r="181" spans="1:3" x14ac:dyDescent="0.35">
      <c r="A181" s="51">
        <v>40940</v>
      </c>
      <c r="B181" s="52">
        <f>IF(VLOOKUP(Table9[[#This Row],[Date]],'DB Details'!$A:$Q,12)=0,"",VLOOKUP(Table9[[#This Row],[Date]],'DB Details'!$A:$Q,12))</f>
        <v>56</v>
      </c>
      <c r="C181" s="52">
        <f>Table9[[#This Row],[ISM Services]]-B180</f>
        <v>0</v>
      </c>
    </row>
    <row r="182" spans="1:3" x14ac:dyDescent="0.35">
      <c r="A182" s="51">
        <v>40969</v>
      </c>
      <c r="B182" s="52">
        <f>IF(VLOOKUP(Table9[[#This Row],[Date]],'DB Details'!$A:$Q,12)=0,"",VLOOKUP(Table9[[#This Row],[Date]],'DB Details'!$A:$Q,12))</f>
        <v>55.6</v>
      </c>
      <c r="C182" s="52">
        <f>Table9[[#This Row],[ISM Services]]-B181</f>
        <v>-0.39999999999999858</v>
      </c>
    </row>
    <row r="183" spans="1:3" x14ac:dyDescent="0.35">
      <c r="A183" s="51">
        <v>41000</v>
      </c>
      <c r="B183" s="52">
        <f>IF(VLOOKUP(Table9[[#This Row],[Date]],'DB Details'!$A:$Q,12)=0,"",VLOOKUP(Table9[[#This Row],[Date]],'DB Details'!$A:$Q,12))</f>
        <v>54.4</v>
      </c>
      <c r="C183" s="52">
        <f>Table9[[#This Row],[ISM Services]]-B182</f>
        <v>-1.2000000000000028</v>
      </c>
    </row>
    <row r="184" spans="1:3" x14ac:dyDescent="0.35">
      <c r="A184" s="51">
        <v>41030</v>
      </c>
      <c r="B184" s="52">
        <f>IF(VLOOKUP(Table9[[#This Row],[Date]],'DB Details'!$A:$Q,12)=0,"",VLOOKUP(Table9[[#This Row],[Date]],'DB Details'!$A:$Q,12))</f>
        <v>54.5</v>
      </c>
      <c r="C184" s="52">
        <f>Table9[[#This Row],[ISM Services]]-B183</f>
        <v>0.10000000000000142</v>
      </c>
    </row>
    <row r="185" spans="1:3" x14ac:dyDescent="0.35">
      <c r="A185" s="51">
        <v>41061</v>
      </c>
      <c r="B185" s="52">
        <f>IF(VLOOKUP(Table9[[#This Row],[Date]],'DB Details'!$A:$Q,12)=0,"",VLOOKUP(Table9[[#This Row],[Date]],'DB Details'!$A:$Q,12))</f>
        <v>53.7</v>
      </c>
      <c r="C185" s="52">
        <f>Table9[[#This Row],[ISM Services]]-B184</f>
        <v>-0.79999999999999716</v>
      </c>
    </row>
    <row r="186" spans="1:3" x14ac:dyDescent="0.35">
      <c r="A186" s="51">
        <v>41091</v>
      </c>
      <c r="B186" s="52">
        <f>IF(VLOOKUP(Table9[[#This Row],[Date]],'DB Details'!$A:$Q,12)=0,"",VLOOKUP(Table9[[#This Row],[Date]],'DB Details'!$A:$Q,12))</f>
        <v>52.4</v>
      </c>
      <c r="C186" s="52">
        <f>Table9[[#This Row],[ISM Services]]-B185</f>
        <v>-1.3000000000000043</v>
      </c>
    </row>
    <row r="187" spans="1:3" x14ac:dyDescent="0.35">
      <c r="A187" s="51">
        <v>41122</v>
      </c>
      <c r="B187" s="52">
        <f>IF(VLOOKUP(Table9[[#This Row],[Date]],'DB Details'!$A:$Q,12)=0,"",VLOOKUP(Table9[[#This Row],[Date]],'DB Details'!$A:$Q,12))</f>
        <v>52.9</v>
      </c>
      <c r="C187" s="52">
        <f>Table9[[#This Row],[ISM Services]]-B186</f>
        <v>0.5</v>
      </c>
    </row>
    <row r="188" spans="1:3" x14ac:dyDescent="0.35">
      <c r="A188" s="51">
        <v>41153</v>
      </c>
      <c r="B188" s="52">
        <f>IF(VLOOKUP(Table9[[#This Row],[Date]],'DB Details'!$A:$Q,12)=0,"",VLOOKUP(Table9[[#This Row],[Date]],'DB Details'!$A:$Q,12))</f>
        <v>54.6</v>
      </c>
      <c r="C188" s="52">
        <f>Table9[[#This Row],[ISM Services]]-B187</f>
        <v>1.7000000000000028</v>
      </c>
    </row>
    <row r="189" spans="1:3" x14ac:dyDescent="0.35">
      <c r="A189" s="51">
        <v>41183</v>
      </c>
      <c r="B189" s="52">
        <f>IF(VLOOKUP(Table9[[#This Row],[Date]],'DB Details'!$A:$Q,12)=0,"",VLOOKUP(Table9[[#This Row],[Date]],'DB Details'!$A:$Q,12))</f>
        <v>54.2</v>
      </c>
      <c r="C189" s="52">
        <f>Table9[[#This Row],[ISM Services]]-B188</f>
        <v>-0.39999999999999858</v>
      </c>
    </row>
    <row r="190" spans="1:3" x14ac:dyDescent="0.35">
      <c r="A190" s="51">
        <v>41214</v>
      </c>
      <c r="B190" s="52">
        <f>IF(VLOOKUP(Table9[[#This Row],[Date]],'DB Details'!$A:$Q,12)=0,"",VLOOKUP(Table9[[#This Row],[Date]],'DB Details'!$A:$Q,12))</f>
        <v>54.8</v>
      </c>
      <c r="C190" s="52">
        <f>Table9[[#This Row],[ISM Services]]-B189</f>
        <v>0.59999999999999432</v>
      </c>
    </row>
    <row r="191" spans="1:3" x14ac:dyDescent="0.35">
      <c r="A191" s="51">
        <v>41244</v>
      </c>
      <c r="B191" s="52">
        <f>IF(VLOOKUP(Table9[[#This Row],[Date]],'DB Details'!$A:$Q,12)=0,"",VLOOKUP(Table9[[#This Row],[Date]],'DB Details'!$A:$Q,12))</f>
        <v>55.6</v>
      </c>
      <c r="C191" s="52">
        <f>Table9[[#This Row],[ISM Services]]-B190</f>
        <v>0.80000000000000426</v>
      </c>
    </row>
    <row r="192" spans="1:3" x14ac:dyDescent="0.35">
      <c r="A192" s="51">
        <v>41275</v>
      </c>
      <c r="B192" s="52">
        <f>IF(VLOOKUP(Table9[[#This Row],[Date]],'DB Details'!$A:$Q,12)=0,"",VLOOKUP(Table9[[#This Row],[Date]],'DB Details'!$A:$Q,12))</f>
        <v>55.3</v>
      </c>
      <c r="C192" s="52">
        <f>Table9[[#This Row],[ISM Services]]-B191</f>
        <v>-0.30000000000000426</v>
      </c>
    </row>
    <row r="193" spans="1:3" x14ac:dyDescent="0.35">
      <c r="A193" s="51">
        <v>41306</v>
      </c>
      <c r="B193" s="52">
        <f>IF(VLOOKUP(Table9[[#This Row],[Date]],'DB Details'!$A:$Q,12)=0,"",VLOOKUP(Table9[[#This Row],[Date]],'DB Details'!$A:$Q,12))</f>
        <v>56.1</v>
      </c>
      <c r="C193" s="52">
        <f>Table9[[#This Row],[ISM Services]]-B192</f>
        <v>0.80000000000000426</v>
      </c>
    </row>
    <row r="194" spans="1:3" x14ac:dyDescent="0.35">
      <c r="A194" s="51">
        <v>41334</v>
      </c>
      <c r="B194" s="52">
        <f>IF(VLOOKUP(Table9[[#This Row],[Date]],'DB Details'!$A:$Q,12)=0,"",VLOOKUP(Table9[[#This Row],[Date]],'DB Details'!$A:$Q,12))</f>
        <v>55.2</v>
      </c>
      <c r="C194" s="52">
        <f>Table9[[#This Row],[ISM Services]]-B193</f>
        <v>-0.89999999999999858</v>
      </c>
    </row>
    <row r="195" spans="1:3" x14ac:dyDescent="0.35">
      <c r="A195" s="51">
        <v>41365</v>
      </c>
      <c r="B195" s="52">
        <f>IF(VLOOKUP(Table9[[#This Row],[Date]],'DB Details'!$A:$Q,12)=0,"",VLOOKUP(Table9[[#This Row],[Date]],'DB Details'!$A:$Q,12))</f>
        <v>53.9</v>
      </c>
      <c r="C195" s="52">
        <f>Table9[[#This Row],[ISM Services]]-B194</f>
        <v>-1.3000000000000043</v>
      </c>
    </row>
    <row r="196" spans="1:3" x14ac:dyDescent="0.35">
      <c r="A196" s="51">
        <v>41395</v>
      </c>
      <c r="B196" s="52">
        <f>IF(VLOOKUP(Table9[[#This Row],[Date]],'DB Details'!$A:$Q,12)=0,"",VLOOKUP(Table9[[#This Row],[Date]],'DB Details'!$A:$Q,12))</f>
        <v>54.4</v>
      </c>
      <c r="C196" s="52">
        <f>Table9[[#This Row],[ISM Services]]-B195</f>
        <v>0.5</v>
      </c>
    </row>
    <row r="197" spans="1:3" x14ac:dyDescent="0.35">
      <c r="A197" s="51">
        <v>41426</v>
      </c>
      <c r="B197" s="52">
        <f>IF(VLOOKUP(Table9[[#This Row],[Date]],'DB Details'!$A:$Q,12)=0,"",VLOOKUP(Table9[[#This Row],[Date]],'DB Details'!$A:$Q,12))</f>
        <v>54.1</v>
      </c>
      <c r="C197" s="52">
        <f>Table9[[#This Row],[ISM Services]]-B196</f>
        <v>-0.29999999999999716</v>
      </c>
    </row>
    <row r="198" spans="1:3" x14ac:dyDescent="0.35">
      <c r="A198" s="51">
        <v>41456</v>
      </c>
      <c r="B198" s="52">
        <f>IF(VLOOKUP(Table9[[#This Row],[Date]],'DB Details'!$A:$Q,12)=0,"",VLOOKUP(Table9[[#This Row],[Date]],'DB Details'!$A:$Q,12))</f>
        <v>54.9</v>
      </c>
      <c r="C198" s="52">
        <f>Table9[[#This Row],[ISM Services]]-B197</f>
        <v>0.79999999999999716</v>
      </c>
    </row>
    <row r="199" spans="1:3" x14ac:dyDescent="0.35">
      <c r="A199" s="51">
        <v>41487</v>
      </c>
      <c r="B199" s="52">
        <f>IF(VLOOKUP(Table9[[#This Row],[Date]],'DB Details'!$A:$Q,12)=0,"",VLOOKUP(Table9[[#This Row],[Date]],'DB Details'!$A:$Q,12))</f>
        <v>56.6</v>
      </c>
      <c r="C199" s="52">
        <f>Table9[[#This Row],[ISM Services]]-B198</f>
        <v>1.7000000000000028</v>
      </c>
    </row>
    <row r="200" spans="1:3" x14ac:dyDescent="0.35">
      <c r="A200" s="51">
        <v>41518</v>
      </c>
      <c r="B200" s="52">
        <f>IF(VLOOKUP(Table9[[#This Row],[Date]],'DB Details'!$A:$Q,12)=0,"",VLOOKUP(Table9[[#This Row],[Date]],'DB Details'!$A:$Q,12))</f>
        <v>53.6</v>
      </c>
      <c r="C200" s="52">
        <f>Table9[[#This Row],[ISM Services]]-B199</f>
        <v>-3</v>
      </c>
    </row>
    <row r="201" spans="1:3" x14ac:dyDescent="0.35">
      <c r="A201" s="51">
        <v>41548</v>
      </c>
      <c r="B201" s="52">
        <f>IF(VLOOKUP(Table9[[#This Row],[Date]],'DB Details'!$A:$Q,12)=0,"",VLOOKUP(Table9[[#This Row],[Date]],'DB Details'!$A:$Q,12))</f>
        <v>54.5</v>
      </c>
      <c r="C201" s="52">
        <f>Table9[[#This Row],[ISM Services]]-B200</f>
        <v>0.89999999999999858</v>
      </c>
    </row>
    <row r="202" spans="1:3" x14ac:dyDescent="0.35">
      <c r="A202" s="51">
        <v>41579</v>
      </c>
      <c r="B202" s="52">
        <f>IF(VLOOKUP(Table9[[#This Row],[Date]],'DB Details'!$A:$Q,12)=0,"",VLOOKUP(Table9[[#This Row],[Date]],'DB Details'!$A:$Q,12))</f>
        <v>53.8</v>
      </c>
      <c r="C202" s="52">
        <f>Table9[[#This Row],[ISM Services]]-B201</f>
        <v>-0.70000000000000284</v>
      </c>
    </row>
    <row r="203" spans="1:3" x14ac:dyDescent="0.35">
      <c r="A203" s="51">
        <v>41609</v>
      </c>
      <c r="B203" s="52">
        <f>IF(VLOOKUP(Table9[[#This Row],[Date]],'DB Details'!$A:$Q,12)=0,"",VLOOKUP(Table9[[#This Row],[Date]],'DB Details'!$A:$Q,12))</f>
        <v>52.9</v>
      </c>
      <c r="C203" s="52">
        <f>Table9[[#This Row],[ISM Services]]-B202</f>
        <v>-0.89999999999999858</v>
      </c>
    </row>
    <row r="204" spans="1:3" x14ac:dyDescent="0.35">
      <c r="A204" s="51">
        <v>41640</v>
      </c>
      <c r="B204" s="52">
        <f>IF(VLOOKUP(Table9[[#This Row],[Date]],'DB Details'!$A:$Q,12)=0,"",VLOOKUP(Table9[[#This Row],[Date]],'DB Details'!$A:$Q,12))</f>
        <v>54.7</v>
      </c>
      <c r="C204" s="52">
        <f>Table9[[#This Row],[ISM Services]]-B203</f>
        <v>1.8000000000000043</v>
      </c>
    </row>
    <row r="205" spans="1:3" x14ac:dyDescent="0.35">
      <c r="A205" s="51">
        <v>41671</v>
      </c>
      <c r="B205" s="52">
        <f>IF(VLOOKUP(Table9[[#This Row],[Date]],'DB Details'!$A:$Q,12)=0,"",VLOOKUP(Table9[[#This Row],[Date]],'DB Details'!$A:$Q,12))</f>
        <v>53</v>
      </c>
      <c r="C205" s="52">
        <f>Table9[[#This Row],[ISM Services]]-B204</f>
        <v>-1.7000000000000028</v>
      </c>
    </row>
    <row r="206" spans="1:3" x14ac:dyDescent="0.35">
      <c r="A206" s="51">
        <v>41699</v>
      </c>
      <c r="B206" s="52">
        <f>IF(VLOOKUP(Table9[[#This Row],[Date]],'DB Details'!$A:$Q,12)=0,"",VLOOKUP(Table9[[#This Row],[Date]],'DB Details'!$A:$Q,12))</f>
        <v>54.2</v>
      </c>
      <c r="C206" s="52">
        <f>Table9[[#This Row],[ISM Services]]-B205</f>
        <v>1.2000000000000028</v>
      </c>
    </row>
    <row r="207" spans="1:3" x14ac:dyDescent="0.35">
      <c r="A207" s="51">
        <v>41730</v>
      </c>
      <c r="B207" s="52">
        <f>IF(VLOOKUP(Table9[[#This Row],[Date]],'DB Details'!$A:$Q,12)=0,"",VLOOKUP(Table9[[#This Row],[Date]],'DB Details'!$A:$Q,12))</f>
        <v>55.2</v>
      </c>
      <c r="C207" s="52">
        <f>Table9[[#This Row],[ISM Services]]-B206</f>
        <v>1</v>
      </c>
    </row>
    <row r="208" spans="1:3" x14ac:dyDescent="0.35">
      <c r="A208" s="51">
        <v>41760</v>
      </c>
      <c r="B208" s="52">
        <f>IF(VLOOKUP(Table9[[#This Row],[Date]],'DB Details'!$A:$Q,12)=0,"",VLOOKUP(Table9[[#This Row],[Date]],'DB Details'!$A:$Q,12))</f>
        <v>56.9</v>
      </c>
      <c r="C208" s="52">
        <f>Table9[[#This Row],[ISM Services]]-B207</f>
        <v>1.6999999999999957</v>
      </c>
    </row>
    <row r="209" spans="1:3" x14ac:dyDescent="0.35">
      <c r="A209" s="51">
        <v>41791</v>
      </c>
      <c r="B209" s="52">
        <f>IF(VLOOKUP(Table9[[#This Row],[Date]],'DB Details'!$A:$Q,12)=0,"",VLOOKUP(Table9[[#This Row],[Date]],'DB Details'!$A:$Q,12))</f>
        <v>56.6</v>
      </c>
      <c r="C209" s="52">
        <f>Table9[[#This Row],[ISM Services]]-B208</f>
        <v>-0.29999999999999716</v>
      </c>
    </row>
    <row r="210" spans="1:3" x14ac:dyDescent="0.35">
      <c r="A210" s="51">
        <v>41821</v>
      </c>
      <c r="B210" s="52">
        <f>IF(VLOOKUP(Table9[[#This Row],[Date]],'DB Details'!$A:$Q,12)=0,"",VLOOKUP(Table9[[#This Row],[Date]],'DB Details'!$A:$Q,12))</f>
        <v>57.1</v>
      </c>
      <c r="C210" s="52">
        <f>Table9[[#This Row],[ISM Services]]-B209</f>
        <v>0.5</v>
      </c>
    </row>
    <row r="211" spans="1:3" x14ac:dyDescent="0.35">
      <c r="A211" s="51">
        <v>41852</v>
      </c>
      <c r="B211" s="52">
        <f>IF(VLOOKUP(Table9[[#This Row],[Date]],'DB Details'!$A:$Q,12)=0,"",VLOOKUP(Table9[[#This Row],[Date]],'DB Details'!$A:$Q,12))</f>
        <v>58</v>
      </c>
      <c r="C211" s="52">
        <f>Table9[[#This Row],[ISM Services]]-B210</f>
        <v>0.89999999999999858</v>
      </c>
    </row>
    <row r="212" spans="1:3" x14ac:dyDescent="0.35">
      <c r="A212" s="51">
        <v>41883</v>
      </c>
      <c r="B212" s="52">
        <f>IF(VLOOKUP(Table9[[#This Row],[Date]],'DB Details'!$A:$Q,12)=0,"",VLOOKUP(Table9[[#This Row],[Date]],'DB Details'!$A:$Q,12))</f>
        <v>57.4</v>
      </c>
      <c r="C212" s="52">
        <f>Table9[[#This Row],[ISM Services]]-B211</f>
        <v>-0.60000000000000142</v>
      </c>
    </row>
    <row r="213" spans="1:3" x14ac:dyDescent="0.35">
      <c r="A213" s="51">
        <v>41913</v>
      </c>
      <c r="B213" s="52">
        <f>IF(VLOOKUP(Table9[[#This Row],[Date]],'DB Details'!$A:$Q,12)=0,"",VLOOKUP(Table9[[#This Row],[Date]],'DB Details'!$A:$Q,12))</f>
        <v>56</v>
      </c>
      <c r="C213" s="52">
        <f>Table9[[#This Row],[ISM Services]]-B212</f>
        <v>-1.3999999999999986</v>
      </c>
    </row>
    <row r="214" spans="1:3" x14ac:dyDescent="0.35">
      <c r="A214" s="51">
        <v>41944</v>
      </c>
      <c r="B214" s="52">
        <f>IF(VLOOKUP(Table9[[#This Row],[Date]],'DB Details'!$A:$Q,12)=0,"",VLOOKUP(Table9[[#This Row],[Date]],'DB Details'!$A:$Q,12))</f>
        <v>58.7</v>
      </c>
      <c r="C214" s="52">
        <f>Table9[[#This Row],[ISM Services]]-B213</f>
        <v>2.7000000000000028</v>
      </c>
    </row>
    <row r="215" spans="1:3" x14ac:dyDescent="0.35">
      <c r="A215" s="51">
        <v>41974</v>
      </c>
      <c r="B215" s="52">
        <f>IF(VLOOKUP(Table9[[#This Row],[Date]],'DB Details'!$A:$Q,12)=0,"",VLOOKUP(Table9[[#This Row],[Date]],'DB Details'!$A:$Q,12))</f>
        <v>56.4</v>
      </c>
      <c r="C215" s="52">
        <f>Table9[[#This Row],[ISM Services]]-B214</f>
        <v>-2.3000000000000043</v>
      </c>
    </row>
    <row r="216" spans="1:3" x14ac:dyDescent="0.35">
      <c r="A216" s="51">
        <v>42005</v>
      </c>
      <c r="B216" s="52">
        <f>IF(VLOOKUP(Table9[[#This Row],[Date]],'DB Details'!$A:$Q,12)=0,"",VLOOKUP(Table9[[#This Row],[Date]],'DB Details'!$A:$Q,12))</f>
        <v>57.3</v>
      </c>
      <c r="C216" s="52">
        <f>Table9[[#This Row],[ISM Services]]-B215</f>
        <v>0.89999999999999858</v>
      </c>
    </row>
    <row r="217" spans="1:3" x14ac:dyDescent="0.35">
      <c r="A217" s="51">
        <v>42036</v>
      </c>
      <c r="B217" s="52">
        <f>IF(VLOOKUP(Table9[[#This Row],[Date]],'DB Details'!$A:$Q,12)=0,"",VLOOKUP(Table9[[#This Row],[Date]],'DB Details'!$A:$Q,12))</f>
        <v>57.6</v>
      </c>
      <c r="C217" s="52">
        <f>Table9[[#This Row],[ISM Services]]-B216</f>
        <v>0.30000000000000426</v>
      </c>
    </row>
    <row r="218" spans="1:3" x14ac:dyDescent="0.35">
      <c r="A218" s="51">
        <v>42064</v>
      </c>
      <c r="B218" s="52">
        <f>IF(VLOOKUP(Table9[[#This Row],[Date]],'DB Details'!$A:$Q,12)=0,"",VLOOKUP(Table9[[#This Row],[Date]],'DB Details'!$A:$Q,12))</f>
        <v>57.5</v>
      </c>
      <c r="C218" s="52">
        <f>Table9[[#This Row],[ISM Services]]-B217</f>
        <v>-0.10000000000000142</v>
      </c>
    </row>
    <row r="219" spans="1:3" x14ac:dyDescent="0.35">
      <c r="A219" s="51">
        <v>42095</v>
      </c>
      <c r="B219" s="52">
        <f>IF(VLOOKUP(Table9[[#This Row],[Date]],'DB Details'!$A:$Q,12)=0,"",VLOOKUP(Table9[[#This Row],[Date]],'DB Details'!$A:$Q,12))</f>
        <v>57.5</v>
      </c>
      <c r="C219" s="52">
        <f>Table9[[#This Row],[ISM Services]]-B218</f>
        <v>0</v>
      </c>
    </row>
    <row r="220" spans="1:3" x14ac:dyDescent="0.35">
      <c r="A220" s="51">
        <v>42125</v>
      </c>
      <c r="B220" s="52">
        <f>IF(VLOOKUP(Table9[[#This Row],[Date]],'DB Details'!$A:$Q,12)=0,"",VLOOKUP(Table9[[#This Row],[Date]],'DB Details'!$A:$Q,12))</f>
        <v>56.8</v>
      </c>
      <c r="C220" s="52">
        <f>Table9[[#This Row],[ISM Services]]-B219</f>
        <v>-0.70000000000000284</v>
      </c>
    </row>
    <row r="221" spans="1:3" x14ac:dyDescent="0.35">
      <c r="A221" s="51">
        <v>42156</v>
      </c>
      <c r="B221" s="52">
        <f>IF(VLOOKUP(Table9[[#This Row],[Date]],'DB Details'!$A:$Q,12)=0,"",VLOOKUP(Table9[[#This Row],[Date]],'DB Details'!$A:$Q,12))</f>
        <v>56</v>
      </c>
      <c r="C221" s="52">
        <f>Table9[[#This Row],[ISM Services]]-B220</f>
        <v>-0.79999999999999716</v>
      </c>
    </row>
    <row r="222" spans="1:3" x14ac:dyDescent="0.35">
      <c r="A222" s="51">
        <v>42186</v>
      </c>
      <c r="B222" s="52">
        <f>IF(VLOOKUP(Table9[[#This Row],[Date]],'DB Details'!$A:$Q,12)=0,"",VLOOKUP(Table9[[#This Row],[Date]],'DB Details'!$A:$Q,12))</f>
        <v>59.3</v>
      </c>
      <c r="C222" s="52">
        <f>Table9[[#This Row],[ISM Services]]-B221</f>
        <v>3.2999999999999972</v>
      </c>
    </row>
    <row r="223" spans="1:3" x14ac:dyDescent="0.35">
      <c r="A223" s="51">
        <v>42217</v>
      </c>
      <c r="B223" s="52">
        <f>IF(VLOOKUP(Table9[[#This Row],[Date]],'DB Details'!$A:$Q,12)=0,"",VLOOKUP(Table9[[#This Row],[Date]],'DB Details'!$A:$Q,12))</f>
        <v>58.4</v>
      </c>
      <c r="C223" s="52">
        <f>Table9[[#This Row],[ISM Services]]-B222</f>
        <v>-0.89999999999999858</v>
      </c>
    </row>
    <row r="224" spans="1:3" x14ac:dyDescent="0.35">
      <c r="A224" s="51">
        <v>42248</v>
      </c>
      <c r="B224" s="52">
        <f>IF(VLOOKUP(Table9[[#This Row],[Date]],'DB Details'!$A:$Q,12)=0,"",VLOOKUP(Table9[[#This Row],[Date]],'DB Details'!$A:$Q,12))</f>
        <v>56.1</v>
      </c>
      <c r="C224" s="52">
        <f>Table9[[#This Row],[ISM Services]]-B223</f>
        <v>-2.2999999999999972</v>
      </c>
    </row>
    <row r="225" spans="1:3" x14ac:dyDescent="0.35">
      <c r="A225" s="51">
        <v>42278</v>
      </c>
      <c r="B225" s="52">
        <f>IF(VLOOKUP(Table9[[#This Row],[Date]],'DB Details'!$A:$Q,12)=0,"",VLOOKUP(Table9[[#This Row],[Date]],'DB Details'!$A:$Q,12))</f>
        <v>57.9</v>
      </c>
      <c r="C225" s="52">
        <f>Table9[[#This Row],[ISM Services]]-B224</f>
        <v>1.7999999999999972</v>
      </c>
    </row>
    <row r="226" spans="1:3" x14ac:dyDescent="0.35">
      <c r="A226" s="51">
        <v>42309</v>
      </c>
      <c r="B226" s="52">
        <f>IF(VLOOKUP(Table9[[#This Row],[Date]],'DB Details'!$A:$Q,12)=0,"",VLOOKUP(Table9[[#This Row],[Date]],'DB Details'!$A:$Q,12))</f>
        <v>55.8</v>
      </c>
      <c r="C226" s="52">
        <f>Table9[[#This Row],[ISM Services]]-B225</f>
        <v>-2.1000000000000014</v>
      </c>
    </row>
    <row r="227" spans="1:3" x14ac:dyDescent="0.35">
      <c r="A227" s="51">
        <v>42339</v>
      </c>
      <c r="B227" s="52">
        <f>IF(VLOOKUP(Table9[[#This Row],[Date]],'DB Details'!$A:$Q,12)=0,"",VLOOKUP(Table9[[#This Row],[Date]],'DB Details'!$A:$Q,12))</f>
        <v>55.3</v>
      </c>
      <c r="C227" s="52">
        <f>Table9[[#This Row],[ISM Services]]-B226</f>
        <v>-0.5</v>
      </c>
    </row>
    <row r="228" spans="1:3" x14ac:dyDescent="0.35">
      <c r="A228" s="51">
        <v>42370</v>
      </c>
      <c r="B228" s="52">
        <f>IF(VLOOKUP(Table9[[#This Row],[Date]],'DB Details'!$A:$Q,12)=0,"",VLOOKUP(Table9[[#This Row],[Date]],'DB Details'!$A:$Q,12))</f>
        <v>54</v>
      </c>
      <c r="C228" s="52">
        <f>Table9[[#This Row],[ISM Services]]-B227</f>
        <v>-1.2999999999999972</v>
      </c>
    </row>
    <row r="229" spans="1:3" x14ac:dyDescent="0.35">
      <c r="A229" s="51">
        <v>42401</v>
      </c>
      <c r="B229" s="52">
        <f>IF(VLOOKUP(Table9[[#This Row],[Date]],'DB Details'!$A:$Q,12)=0,"",VLOOKUP(Table9[[#This Row],[Date]],'DB Details'!$A:$Q,12))</f>
        <v>54</v>
      </c>
      <c r="C229" s="52">
        <f>Table9[[#This Row],[ISM Services]]-B228</f>
        <v>0</v>
      </c>
    </row>
    <row r="230" spans="1:3" x14ac:dyDescent="0.35">
      <c r="A230" s="51">
        <v>42430</v>
      </c>
      <c r="B230" s="52">
        <f>IF(VLOOKUP(Table9[[#This Row],[Date]],'DB Details'!$A:$Q,12)=0,"",VLOOKUP(Table9[[#This Row],[Date]],'DB Details'!$A:$Q,12))</f>
        <v>55.2</v>
      </c>
      <c r="C230" s="52">
        <f>Table9[[#This Row],[ISM Services]]-B229</f>
        <v>1.2000000000000028</v>
      </c>
    </row>
    <row r="231" spans="1:3" x14ac:dyDescent="0.35">
      <c r="A231" s="51">
        <v>42461</v>
      </c>
      <c r="B231" s="52">
        <f>IF(VLOOKUP(Table9[[#This Row],[Date]],'DB Details'!$A:$Q,12)=0,"",VLOOKUP(Table9[[#This Row],[Date]],'DB Details'!$A:$Q,12))</f>
        <v>55.6</v>
      </c>
      <c r="C231" s="52">
        <f>Table9[[#This Row],[ISM Services]]-B230</f>
        <v>0.39999999999999858</v>
      </c>
    </row>
    <row r="232" spans="1:3" x14ac:dyDescent="0.35">
      <c r="A232" s="51">
        <v>42491</v>
      </c>
      <c r="B232" s="52">
        <f>IF(VLOOKUP(Table9[[#This Row],[Date]],'DB Details'!$A:$Q,12)=0,"",VLOOKUP(Table9[[#This Row],[Date]],'DB Details'!$A:$Q,12))</f>
        <v>53.8</v>
      </c>
      <c r="C232" s="52">
        <f>Table9[[#This Row],[ISM Services]]-B231</f>
        <v>-1.8000000000000043</v>
      </c>
    </row>
    <row r="233" spans="1:3" x14ac:dyDescent="0.35">
      <c r="A233" s="51">
        <v>42522</v>
      </c>
      <c r="B233" s="52">
        <f>IF(VLOOKUP(Table9[[#This Row],[Date]],'DB Details'!$A:$Q,12)=0,"",VLOOKUP(Table9[[#This Row],[Date]],'DB Details'!$A:$Q,12))</f>
        <v>56</v>
      </c>
      <c r="C233" s="52">
        <f>Table9[[#This Row],[ISM Services]]-B232</f>
        <v>2.2000000000000028</v>
      </c>
    </row>
    <row r="234" spans="1:3" x14ac:dyDescent="0.35">
      <c r="A234" s="51">
        <v>42552</v>
      </c>
      <c r="B234" s="52">
        <f>IF(VLOOKUP(Table9[[#This Row],[Date]],'DB Details'!$A:$Q,12)=0,"",VLOOKUP(Table9[[#This Row],[Date]],'DB Details'!$A:$Q,12))</f>
        <v>55.2</v>
      </c>
      <c r="C234" s="52">
        <f>Table9[[#This Row],[ISM Services]]-B233</f>
        <v>-0.79999999999999716</v>
      </c>
    </row>
    <row r="235" spans="1:3" x14ac:dyDescent="0.35">
      <c r="A235" s="51">
        <v>42583</v>
      </c>
      <c r="B235" s="52">
        <f>IF(VLOOKUP(Table9[[#This Row],[Date]],'DB Details'!$A:$Q,12)=0,"",VLOOKUP(Table9[[#This Row],[Date]],'DB Details'!$A:$Q,12))</f>
        <v>51.6</v>
      </c>
      <c r="C235" s="52">
        <f>Table9[[#This Row],[ISM Services]]-B234</f>
        <v>-3.6000000000000014</v>
      </c>
    </row>
    <row r="236" spans="1:3" x14ac:dyDescent="0.35">
      <c r="A236" s="51">
        <v>42614</v>
      </c>
      <c r="B236" s="52">
        <f>IF(VLOOKUP(Table9[[#This Row],[Date]],'DB Details'!$A:$Q,12)=0,"",VLOOKUP(Table9[[#This Row],[Date]],'DB Details'!$A:$Q,12))</f>
        <v>56.3</v>
      </c>
      <c r="C236" s="52">
        <f>Table9[[#This Row],[ISM Services]]-B235</f>
        <v>4.6999999999999957</v>
      </c>
    </row>
    <row r="237" spans="1:3" x14ac:dyDescent="0.35">
      <c r="A237" s="51">
        <v>42644</v>
      </c>
      <c r="B237" s="52">
        <f>IF(VLOOKUP(Table9[[#This Row],[Date]],'DB Details'!$A:$Q,12)=0,"",VLOOKUP(Table9[[#This Row],[Date]],'DB Details'!$A:$Q,12))</f>
        <v>54.4</v>
      </c>
      <c r="C237" s="52">
        <f>Table9[[#This Row],[ISM Services]]-B236</f>
        <v>-1.8999999999999986</v>
      </c>
    </row>
    <row r="238" spans="1:3" x14ac:dyDescent="0.35">
      <c r="A238" s="51">
        <v>42675</v>
      </c>
      <c r="B238" s="52">
        <f>IF(VLOOKUP(Table9[[#This Row],[Date]],'DB Details'!$A:$Q,12)=0,"",VLOOKUP(Table9[[#This Row],[Date]],'DB Details'!$A:$Q,12))</f>
        <v>56.2</v>
      </c>
      <c r="C238" s="52">
        <f>Table9[[#This Row],[ISM Services]]-B237</f>
        <v>1.8000000000000043</v>
      </c>
    </row>
    <row r="239" spans="1:3" x14ac:dyDescent="0.35">
      <c r="A239" s="51">
        <v>42705</v>
      </c>
      <c r="B239" s="52">
        <f>IF(VLOOKUP(Table9[[#This Row],[Date]],'DB Details'!$A:$Q,12)=0,"",VLOOKUP(Table9[[#This Row],[Date]],'DB Details'!$A:$Q,12))</f>
        <v>56.7</v>
      </c>
      <c r="C239" s="52">
        <f>Table9[[#This Row],[ISM Services]]-B238</f>
        <v>0.5</v>
      </c>
    </row>
    <row r="240" spans="1:3" x14ac:dyDescent="0.35">
      <c r="A240" s="51">
        <v>42736</v>
      </c>
      <c r="B240" s="52">
        <f>IF(VLOOKUP(Table9[[#This Row],[Date]],'DB Details'!$A:$Q,12)=0,"",VLOOKUP(Table9[[#This Row],[Date]],'DB Details'!$A:$Q,12))</f>
        <v>56.8</v>
      </c>
      <c r="C240" s="52">
        <f>Table9[[#This Row],[ISM Services]]-B239</f>
        <v>9.9999999999994316E-2</v>
      </c>
    </row>
    <row r="241" spans="1:10" x14ac:dyDescent="0.35">
      <c r="A241" s="51">
        <v>42767</v>
      </c>
      <c r="B241" s="52">
        <f>IF(VLOOKUP(Table9[[#This Row],[Date]],'DB Details'!$A:$Q,12)=0,"",VLOOKUP(Table9[[#This Row],[Date]],'DB Details'!$A:$Q,12))</f>
        <v>57.4</v>
      </c>
      <c r="C241" s="52">
        <f>Table9[[#This Row],[ISM Services]]-B240</f>
        <v>0.60000000000000142</v>
      </c>
    </row>
    <row r="242" spans="1:10" x14ac:dyDescent="0.35">
      <c r="A242" s="51">
        <v>42795</v>
      </c>
      <c r="B242" s="52">
        <f>IF(VLOOKUP(Table9[[#This Row],[Date]],'DB Details'!$A:$Q,12)=0,"",VLOOKUP(Table9[[#This Row],[Date]],'DB Details'!$A:$Q,12))</f>
        <v>55.6</v>
      </c>
      <c r="C242" s="52">
        <f>Table9[[#This Row],[ISM Services]]-B241</f>
        <v>-1.7999999999999972</v>
      </c>
    </row>
    <row r="243" spans="1:10" x14ac:dyDescent="0.35">
      <c r="A243" s="51">
        <v>42826</v>
      </c>
      <c r="B243" s="52">
        <f>IF(VLOOKUP(Table9[[#This Row],[Date]],'DB Details'!$A:$Q,12)=0,"",VLOOKUP(Table9[[#This Row],[Date]],'DB Details'!$A:$Q,12))</f>
        <v>57.3</v>
      </c>
      <c r="C243" s="52">
        <f>Table9[[#This Row],[ISM Services]]-B242</f>
        <v>1.6999999999999957</v>
      </c>
    </row>
    <row r="244" spans="1:10" x14ac:dyDescent="0.35">
      <c r="A244" s="51">
        <v>42856</v>
      </c>
      <c r="B244" s="52">
        <f>IF(VLOOKUP(Table9[[#This Row],[Date]],'DB Details'!$A:$Q,12)=0,"",VLOOKUP(Table9[[#This Row],[Date]],'DB Details'!$A:$Q,12))</f>
        <v>57.1</v>
      </c>
      <c r="C244" s="52">
        <f>Table9[[#This Row],[ISM Services]]-B243</f>
        <v>-0.19999999999999574</v>
      </c>
    </row>
    <row r="245" spans="1:10" x14ac:dyDescent="0.35">
      <c r="A245" s="51">
        <v>42887</v>
      </c>
      <c r="B245" s="52">
        <f>IF(VLOOKUP(Table9[[#This Row],[Date]],'DB Details'!$A:$Q,12)=0,"",VLOOKUP(Table9[[#This Row],[Date]],'DB Details'!$A:$Q,12))</f>
        <v>57.2</v>
      </c>
      <c r="C245" s="52">
        <f>Table9[[#This Row],[ISM Services]]-B244</f>
        <v>0.10000000000000142</v>
      </c>
    </row>
    <row r="246" spans="1:10" x14ac:dyDescent="0.35">
      <c r="A246" s="51">
        <v>42917</v>
      </c>
      <c r="B246" s="52">
        <f>IF(VLOOKUP(Table9[[#This Row],[Date]],'DB Details'!$A:$Q,12)=0,"",VLOOKUP(Table9[[#This Row],[Date]],'DB Details'!$A:$Q,12))</f>
        <v>54.3</v>
      </c>
      <c r="C246" s="52">
        <f>Table9[[#This Row],[ISM Services]]-B245</f>
        <v>-2.9000000000000057</v>
      </c>
      <c r="J246" s="33"/>
    </row>
    <row r="247" spans="1:10" x14ac:dyDescent="0.35">
      <c r="A247" s="51">
        <v>42948</v>
      </c>
      <c r="B247" s="52">
        <f>IF(VLOOKUP(Table9[[#This Row],[Date]],'DB Details'!$A:$Q,12)=0,"",VLOOKUP(Table9[[#This Row],[Date]],'DB Details'!$A:$Q,12))</f>
        <v>55.2</v>
      </c>
      <c r="C247" s="52">
        <f>Table9[[#This Row],[ISM Services]]-B246</f>
        <v>0.90000000000000568</v>
      </c>
      <c r="J247" s="33"/>
    </row>
    <row r="248" spans="1:10" x14ac:dyDescent="0.35">
      <c r="A248" s="51">
        <v>42979</v>
      </c>
      <c r="B248" s="52">
        <f>IF(VLOOKUP(Table9[[#This Row],[Date]],'DB Details'!$A:$Q,12)=0,"",VLOOKUP(Table9[[#This Row],[Date]],'DB Details'!$A:$Q,12))</f>
        <v>59.4</v>
      </c>
      <c r="C248" s="52">
        <f>Table9[[#This Row],[ISM Services]]-B247</f>
        <v>4.1999999999999957</v>
      </c>
      <c r="J248" s="33"/>
    </row>
    <row r="249" spans="1:10" x14ac:dyDescent="0.35">
      <c r="A249" s="51">
        <v>43009</v>
      </c>
      <c r="B249" s="52">
        <f>IF(VLOOKUP(Table9[[#This Row],[Date]],'DB Details'!$A:$Q,12)=0,"",VLOOKUP(Table9[[#This Row],[Date]],'DB Details'!$A:$Q,12))</f>
        <v>59.8</v>
      </c>
      <c r="C249" s="52">
        <f>Table9[[#This Row],[ISM Services]]-B248</f>
        <v>0.39999999999999858</v>
      </c>
      <c r="J249" s="33"/>
    </row>
    <row r="250" spans="1:10" x14ac:dyDescent="0.35">
      <c r="A250" s="51">
        <v>43040</v>
      </c>
      <c r="B250" s="52">
        <f>IF(VLOOKUP(Table9[[#This Row],[Date]],'DB Details'!$A:$Q,12)=0,"",VLOOKUP(Table9[[#This Row],[Date]],'DB Details'!$A:$Q,12))</f>
        <v>57.3</v>
      </c>
      <c r="C250" s="52">
        <f>Table9[[#This Row],[ISM Services]]-B249</f>
        <v>-2.5</v>
      </c>
      <c r="J250" s="33"/>
    </row>
    <row r="251" spans="1:10" x14ac:dyDescent="0.35">
      <c r="A251" s="51">
        <v>43070</v>
      </c>
      <c r="B251" s="52">
        <f>IF(VLOOKUP(Table9[[#This Row],[Date]],'DB Details'!$A:$Q,12)=0,"",VLOOKUP(Table9[[#This Row],[Date]],'DB Details'!$A:$Q,12))</f>
        <v>56</v>
      </c>
      <c r="C251" s="52">
        <f>Table9[[#This Row],[ISM Services]]-B250</f>
        <v>-1.2999999999999972</v>
      </c>
      <c r="J251" s="33"/>
    </row>
    <row r="252" spans="1:10" x14ac:dyDescent="0.35">
      <c r="A252" s="51">
        <v>43101</v>
      </c>
      <c r="B252" s="52">
        <f>IF(VLOOKUP(Table9[[#This Row],[Date]],'DB Details'!$A:$Q,12)=0,"",VLOOKUP(Table9[[#This Row],[Date]],'DB Details'!$A:$Q,12))</f>
        <v>59.9</v>
      </c>
      <c r="C252" s="52">
        <f>Table9[[#This Row],[ISM Services]]-B251</f>
        <v>3.8999999999999986</v>
      </c>
      <c r="J252" s="33"/>
    </row>
    <row r="253" spans="1:10" x14ac:dyDescent="0.35">
      <c r="A253" s="51">
        <v>43132</v>
      </c>
      <c r="B253" s="52">
        <f>IF(VLOOKUP(Table9[[#This Row],[Date]],'DB Details'!$A:$Q,12)=0,"",VLOOKUP(Table9[[#This Row],[Date]],'DB Details'!$A:$Q,12))</f>
        <v>59.5</v>
      </c>
      <c r="C253" s="52">
        <f>Table9[[#This Row],[ISM Services]]-B252</f>
        <v>-0.39999999999999858</v>
      </c>
      <c r="J253" s="33"/>
    </row>
    <row r="254" spans="1:10" x14ac:dyDescent="0.35">
      <c r="A254" s="51">
        <v>43160</v>
      </c>
      <c r="B254" s="52">
        <f>IF(VLOOKUP(Table9[[#This Row],[Date]],'DB Details'!$A:$Q,12)=0,"",VLOOKUP(Table9[[#This Row],[Date]],'DB Details'!$A:$Q,12))</f>
        <v>58.8</v>
      </c>
      <c r="C254" s="52">
        <f>Table9[[#This Row],[ISM Services]]-B253</f>
        <v>-0.70000000000000284</v>
      </c>
      <c r="J254" s="33"/>
    </row>
    <row r="255" spans="1:10" x14ac:dyDescent="0.35">
      <c r="A255" s="51">
        <v>43191</v>
      </c>
      <c r="B255" s="52">
        <f>IF(VLOOKUP(Table9[[#This Row],[Date]],'DB Details'!$A:$Q,12)=0,"",VLOOKUP(Table9[[#This Row],[Date]],'DB Details'!$A:$Q,12))</f>
        <v>56.8</v>
      </c>
      <c r="C255" s="52">
        <f>Table9[[#This Row],[ISM Services]]-B254</f>
        <v>-2</v>
      </c>
      <c r="J255" s="33"/>
    </row>
    <row r="256" spans="1:10" x14ac:dyDescent="0.35">
      <c r="A256" s="51">
        <v>43221</v>
      </c>
      <c r="B256" s="52">
        <f>IF(VLOOKUP(Table9[[#This Row],[Date]],'DB Details'!$A:$Q,12)=0,"",VLOOKUP(Table9[[#This Row],[Date]],'DB Details'!$A:$Q,12))</f>
        <v>58.6</v>
      </c>
      <c r="C256" s="52">
        <f>Table9[[#This Row],[ISM Services]]-B255</f>
        <v>1.8000000000000043</v>
      </c>
      <c r="J256" s="33"/>
    </row>
    <row r="257" spans="1:10" x14ac:dyDescent="0.35">
      <c r="A257" s="51">
        <v>43252</v>
      </c>
      <c r="B257" s="52">
        <f>IF(VLOOKUP(Table9[[#This Row],[Date]],'DB Details'!$A:$Q,12)=0,"",VLOOKUP(Table9[[#This Row],[Date]],'DB Details'!$A:$Q,12))</f>
        <v>59.1</v>
      </c>
      <c r="C257" s="52">
        <f>Table9[[#This Row],[ISM Services]]-B256</f>
        <v>0.5</v>
      </c>
      <c r="J257" s="33"/>
    </row>
    <row r="258" spans="1:10" x14ac:dyDescent="0.35">
      <c r="A258" s="51">
        <v>43282</v>
      </c>
      <c r="B258" s="52">
        <f>IF(VLOOKUP(Table9[[#This Row],[Date]],'DB Details'!$A:$Q,12)=0,"",VLOOKUP(Table9[[#This Row],[Date]],'DB Details'!$A:$Q,12))</f>
        <v>55.7</v>
      </c>
      <c r="C258" s="52">
        <f>Table9[[#This Row],[ISM Services]]-B257</f>
        <v>-3.3999999999999986</v>
      </c>
      <c r="J258" s="33"/>
    </row>
    <row r="259" spans="1:10" x14ac:dyDescent="0.35">
      <c r="A259" s="51">
        <v>43313</v>
      </c>
      <c r="B259" s="52">
        <f>IF(VLOOKUP(Table9[[#This Row],[Date]],'DB Details'!$A:$Q,12)=0,"",VLOOKUP(Table9[[#This Row],[Date]],'DB Details'!$A:$Q,12))</f>
        <v>58.5</v>
      </c>
      <c r="C259" s="52">
        <f>Table9[[#This Row],[ISM Services]]-B258</f>
        <v>2.7999999999999972</v>
      </c>
      <c r="J259" s="33"/>
    </row>
    <row r="260" spans="1:10" x14ac:dyDescent="0.35">
      <c r="A260" s="51">
        <v>43344</v>
      </c>
      <c r="B260" s="52">
        <f>IF(VLOOKUP(Table9[[#This Row],[Date]],'DB Details'!$A:$Q,12)=0,"",VLOOKUP(Table9[[#This Row],[Date]],'DB Details'!$A:$Q,12))</f>
        <v>61.6</v>
      </c>
      <c r="C260" s="52">
        <f>Table9[[#This Row],[ISM Services]]-B259</f>
        <v>3.1000000000000014</v>
      </c>
      <c r="J260" s="33"/>
    </row>
    <row r="261" spans="1:10" x14ac:dyDescent="0.35">
      <c r="A261" s="51">
        <v>43374</v>
      </c>
      <c r="B261" s="52">
        <f>IF(VLOOKUP(Table9[[#This Row],[Date]],'DB Details'!$A:$Q,12)=0,"",VLOOKUP(Table9[[#This Row],[Date]],'DB Details'!$A:$Q,12))</f>
        <v>60.3</v>
      </c>
      <c r="C261" s="52">
        <f>Table9[[#This Row],[ISM Services]]-B260</f>
        <v>-1.3000000000000043</v>
      </c>
      <c r="J261" s="33"/>
    </row>
    <row r="262" spans="1:10" x14ac:dyDescent="0.35">
      <c r="A262" s="51">
        <v>43405</v>
      </c>
      <c r="B262" s="52">
        <f>IF(VLOOKUP(Table9[[#This Row],[Date]],'DB Details'!$A:$Q,12)=0,"",VLOOKUP(Table9[[#This Row],[Date]],'DB Details'!$A:$Q,12))</f>
        <v>60.7</v>
      </c>
      <c r="C262" s="52">
        <f>Table9[[#This Row],[ISM Services]]-B261</f>
        <v>0.40000000000000568</v>
      </c>
      <c r="J262" s="33"/>
    </row>
    <row r="263" spans="1:10" x14ac:dyDescent="0.35">
      <c r="A263" s="51">
        <v>43435</v>
      </c>
      <c r="B263" s="52">
        <f>IF(VLOOKUP(Table9[[#This Row],[Date]],'DB Details'!$A:$Q,12)=0,"",VLOOKUP(Table9[[#This Row],[Date]],'DB Details'!$A:$Q,12))</f>
        <v>57.6</v>
      </c>
      <c r="C263" s="52">
        <f>Table9[[#This Row],[ISM Services]]-B262</f>
        <v>-3.1000000000000014</v>
      </c>
      <c r="J263" s="33"/>
    </row>
    <row r="264" spans="1:10" x14ac:dyDescent="0.35">
      <c r="A264" s="51">
        <v>43466</v>
      </c>
      <c r="B264" s="52">
        <f>IF(VLOOKUP(Table9[[#This Row],[Date]],'DB Details'!$A:$Q,12)=0,"",VLOOKUP(Table9[[#This Row],[Date]],'DB Details'!$A:$Q,12))</f>
        <v>56.7</v>
      </c>
      <c r="C264" s="52">
        <f>Table9[[#This Row],[ISM Services]]-B263</f>
        <v>-0.89999999999999858</v>
      </c>
      <c r="J264" s="33"/>
    </row>
    <row r="265" spans="1:10" x14ac:dyDescent="0.35">
      <c r="A265" s="51">
        <v>43497</v>
      </c>
      <c r="B265" s="52">
        <f>IF(VLOOKUP(Table9[[#This Row],[Date]],'DB Details'!$A:$Q,12)=0,"",VLOOKUP(Table9[[#This Row],[Date]],'DB Details'!$A:$Q,12))</f>
        <v>59.7</v>
      </c>
      <c r="C265" s="52">
        <f>Table9[[#This Row],[ISM Services]]-B264</f>
        <v>3</v>
      </c>
      <c r="J265" s="33"/>
    </row>
    <row r="266" spans="1:10" x14ac:dyDescent="0.35">
      <c r="A266" s="51">
        <v>43525</v>
      </c>
      <c r="B266" s="52">
        <f>IF(VLOOKUP(Table9[[#This Row],[Date]],'DB Details'!$A:$Q,12)=0,"",VLOOKUP(Table9[[#This Row],[Date]],'DB Details'!$A:$Q,12))</f>
        <v>56.1</v>
      </c>
      <c r="C266" s="52">
        <f>Table9[[#This Row],[ISM Services]]-B265</f>
        <v>-3.6000000000000014</v>
      </c>
      <c r="J266" s="33"/>
    </row>
    <row r="267" spans="1:10" x14ac:dyDescent="0.35">
      <c r="A267" s="51">
        <v>43556</v>
      </c>
      <c r="B267" s="52">
        <f>IF(VLOOKUP(Table9[[#This Row],[Date]],'DB Details'!$A:$Q,12)=0,"",VLOOKUP(Table9[[#This Row],[Date]],'DB Details'!$A:$Q,12))</f>
        <v>55.5</v>
      </c>
      <c r="C267" s="52">
        <f>Table9[[#This Row],[ISM Services]]-B266</f>
        <v>-0.60000000000000142</v>
      </c>
      <c r="J267" s="33"/>
    </row>
    <row r="268" spans="1:10" x14ac:dyDescent="0.35">
      <c r="A268" s="51">
        <v>43586</v>
      </c>
      <c r="B268" s="52">
        <f>IF(VLOOKUP(Table9[[#This Row],[Date]],'DB Details'!$A:$Q,12)=0,"",VLOOKUP(Table9[[#This Row],[Date]],'DB Details'!$A:$Q,12))</f>
        <v>56.9</v>
      </c>
      <c r="C268" s="52">
        <f>Table9[[#This Row],[ISM Services]]-B267</f>
        <v>1.3999999999999986</v>
      </c>
      <c r="J268" s="33"/>
    </row>
    <row r="269" spans="1:10" x14ac:dyDescent="0.35">
      <c r="A269" s="51">
        <v>43617</v>
      </c>
      <c r="B269" s="52">
        <f>IF(VLOOKUP(Table9[[#This Row],[Date]],'DB Details'!$A:$Q,12)=0,"",VLOOKUP(Table9[[#This Row],[Date]],'DB Details'!$A:$Q,12))</f>
        <v>55.1</v>
      </c>
      <c r="C269" s="52">
        <f>Table9[[#This Row],[ISM Services]]-B268</f>
        <v>-1.7999999999999972</v>
      </c>
      <c r="J269" s="33"/>
    </row>
    <row r="270" spans="1:10" x14ac:dyDescent="0.35">
      <c r="A270" s="51">
        <v>43647</v>
      </c>
      <c r="B270" s="52">
        <f>IF(VLOOKUP(Table9[[#This Row],[Date]],'DB Details'!$A:$Q,12)=0,"",VLOOKUP(Table9[[#This Row],[Date]],'DB Details'!$A:$Q,12))</f>
        <v>53.7</v>
      </c>
      <c r="C270" s="52">
        <f>Table9[[#This Row],[ISM Services]]-B269</f>
        <v>-1.3999999999999986</v>
      </c>
      <c r="J270" s="33"/>
    </row>
    <row r="271" spans="1:10" x14ac:dyDescent="0.35">
      <c r="A271" s="51">
        <v>43678</v>
      </c>
      <c r="B271" s="52">
        <f>IF(VLOOKUP(Table9[[#This Row],[Date]],'DB Details'!$A:$Q,12)=0,"",VLOOKUP(Table9[[#This Row],[Date]],'DB Details'!$A:$Q,12))</f>
        <v>56.4</v>
      </c>
      <c r="C271" s="52">
        <f>Table9[[#This Row],[ISM Services]]-B270</f>
        <v>2.6999999999999957</v>
      </c>
      <c r="J271" s="33"/>
    </row>
    <row r="272" spans="1:10" x14ac:dyDescent="0.35">
      <c r="A272" s="51">
        <v>43709</v>
      </c>
      <c r="B272" s="52">
        <f>IF(VLOOKUP(Table9[[#This Row],[Date]],'DB Details'!$A:$Q,12)=0,"",VLOOKUP(Table9[[#This Row],[Date]],'DB Details'!$A:$Q,12))</f>
        <v>52.6</v>
      </c>
      <c r="C272" s="52">
        <f>Table9[[#This Row],[ISM Services]]-B271</f>
        <v>-3.7999999999999972</v>
      </c>
    </row>
    <row r="273" spans="1:3" x14ac:dyDescent="0.35">
      <c r="A273" s="51">
        <v>43739</v>
      </c>
      <c r="B273" s="52">
        <f>IF(VLOOKUP(Table9[[#This Row],[Date]],'DB Details'!$A:$Q,12)=0,"",VLOOKUP(Table9[[#This Row],[Date]],'DB Details'!$A:$Q,12))</f>
        <v>54.7</v>
      </c>
      <c r="C273" s="52">
        <f>Table9[[#This Row],[ISM Services]]-B272</f>
        <v>2.1000000000000014</v>
      </c>
    </row>
    <row r="274" spans="1:3" x14ac:dyDescent="0.35">
      <c r="A274" s="51">
        <v>43770</v>
      </c>
      <c r="B274" s="52">
        <f>IF(VLOOKUP(Table9[[#This Row],[Date]],'DB Details'!$A:$Q,12)=0,"",VLOOKUP(Table9[[#This Row],[Date]],'DB Details'!$A:$Q,12))</f>
        <v>53.9</v>
      </c>
      <c r="C274" s="52">
        <f>Table9[[#This Row],[ISM Services]]-B273</f>
        <v>-0.80000000000000426</v>
      </c>
    </row>
    <row r="275" spans="1:3" x14ac:dyDescent="0.35">
      <c r="A275" s="51">
        <v>43800</v>
      </c>
      <c r="B275" s="52">
        <f>IF(VLOOKUP(Table9[[#This Row],[Date]],'DB Details'!$A:$Q,12)=0,"",VLOOKUP(Table9[[#This Row],[Date]],'DB Details'!$A:$Q,12))</f>
        <v>55</v>
      </c>
      <c r="C275" s="52">
        <f>Table9[[#This Row],[ISM Services]]-B274</f>
        <v>1.1000000000000014</v>
      </c>
    </row>
    <row r="276" spans="1:3" x14ac:dyDescent="0.35">
      <c r="A276" s="51">
        <v>43831</v>
      </c>
      <c r="B276" s="52">
        <f>IF(VLOOKUP(Table9[[#This Row],[Date]],'DB Details'!$A:$Q,12)=0,"",VLOOKUP(Table9[[#This Row],[Date]],'DB Details'!$A:$Q,12))</f>
        <v>55.5</v>
      </c>
      <c r="C276" s="52">
        <f>Table9[[#This Row],[ISM Services]]-B275</f>
        <v>0.5</v>
      </c>
    </row>
    <row r="277" spans="1:3" x14ac:dyDescent="0.35">
      <c r="A277" s="51">
        <v>43862</v>
      </c>
      <c r="B277" s="52">
        <f>IF(VLOOKUP(Table9[[#This Row],[Date]],'DB Details'!$A:$Q,12)=0,"",VLOOKUP(Table9[[#This Row],[Date]],'DB Details'!$A:$Q,12))</f>
        <v>57.3</v>
      </c>
      <c r="C277" s="52">
        <f>Table9[[#This Row],[ISM Services]]-B276</f>
        <v>1.7999999999999972</v>
      </c>
    </row>
    <row r="278" spans="1:3" x14ac:dyDescent="0.35">
      <c r="A278" s="51">
        <v>43891</v>
      </c>
      <c r="B278" s="52">
        <f>IF(VLOOKUP(Table9[[#This Row],[Date]],'DB Details'!$A:$Q,12)=0,"",VLOOKUP(Table9[[#This Row],[Date]],'DB Details'!$A:$Q,12))</f>
        <v>52.5</v>
      </c>
      <c r="C278" s="52">
        <f>Table9[[#This Row],[ISM Services]]-B277</f>
        <v>-4.7999999999999972</v>
      </c>
    </row>
    <row r="279" spans="1:3" x14ac:dyDescent="0.35">
      <c r="A279" s="51">
        <v>43922</v>
      </c>
      <c r="B279" s="52">
        <f>IF(VLOOKUP(Table9[[#This Row],[Date]],'DB Details'!$A:$Q,12)=0,"",VLOOKUP(Table9[[#This Row],[Date]],'DB Details'!$A:$Q,12))</f>
        <v>41.8</v>
      </c>
      <c r="C279" s="52">
        <f>Table9[[#This Row],[ISM Services]]-B278</f>
        <v>-10.700000000000003</v>
      </c>
    </row>
    <row r="280" spans="1:3" x14ac:dyDescent="0.35">
      <c r="A280" s="51">
        <v>43952</v>
      </c>
      <c r="B280" s="52">
        <f>IF(VLOOKUP(Table9[[#This Row],[Date]],'DB Details'!$A:$Q,12)=0,"",VLOOKUP(Table9[[#This Row],[Date]],'DB Details'!$A:$Q,12))</f>
        <v>45.4</v>
      </c>
      <c r="C280" s="52">
        <f>Table9[[#This Row],[ISM Services]]-B279</f>
        <v>3.6000000000000014</v>
      </c>
    </row>
    <row r="281" spans="1:3" x14ac:dyDescent="0.35">
      <c r="A281" s="51">
        <v>43983</v>
      </c>
      <c r="B281" s="52">
        <f>IF(VLOOKUP(Table9[[#This Row],[Date]],'DB Details'!$A:$Q,12)=0,"",VLOOKUP(Table9[[#This Row],[Date]],'DB Details'!$A:$Q,12))</f>
        <v>57.1</v>
      </c>
      <c r="C281" s="52">
        <f>Table9[[#This Row],[ISM Services]]-B280</f>
        <v>11.700000000000003</v>
      </c>
    </row>
    <row r="282" spans="1:3" x14ac:dyDescent="0.35">
      <c r="A282" s="51">
        <v>44013</v>
      </c>
      <c r="B282" s="52">
        <f>IF(VLOOKUP(Table9[[#This Row],[Date]],'DB Details'!$A:$Q,12)=0,"",VLOOKUP(Table9[[#This Row],[Date]],'DB Details'!$A:$Q,12))</f>
        <v>58.1</v>
      </c>
      <c r="C282" s="52">
        <f>Table9[[#This Row],[ISM Services]]-B281</f>
        <v>1</v>
      </c>
    </row>
    <row r="283" spans="1:3" x14ac:dyDescent="0.35">
      <c r="A283" s="51">
        <v>44044</v>
      </c>
      <c r="B283" s="52">
        <f>IF(VLOOKUP(Table9[[#This Row],[Date]],'DB Details'!$A:$Q,12)=0,"",VLOOKUP(Table9[[#This Row],[Date]],'DB Details'!$A:$Q,12))</f>
        <v>56.9</v>
      </c>
      <c r="C283" s="52">
        <f>Table9[[#This Row],[ISM Services]]-B282</f>
        <v>-1.2000000000000028</v>
      </c>
    </row>
    <row r="284" spans="1:3" x14ac:dyDescent="0.35">
      <c r="A284" s="51">
        <v>44075</v>
      </c>
      <c r="B284" s="52">
        <f>IF(VLOOKUP(Table9[[#This Row],[Date]],'DB Details'!$A:$Q,12)=0,"",VLOOKUP(Table9[[#This Row],[Date]],'DB Details'!$A:$Q,12))</f>
        <v>57.8</v>
      </c>
      <c r="C284" s="52">
        <f>Table9[[#This Row],[ISM Services]]-B283</f>
        <v>0.89999999999999858</v>
      </c>
    </row>
    <row r="285" spans="1:3" x14ac:dyDescent="0.35">
      <c r="A285" s="51">
        <v>44105</v>
      </c>
      <c r="B285" s="52">
        <f>IF(VLOOKUP(Table9[[#This Row],[Date]],'DB Details'!$A:$Q,12)=0,"",VLOOKUP(Table9[[#This Row],[Date]],'DB Details'!$A:$Q,12))</f>
        <v>56.6</v>
      </c>
      <c r="C285" s="52">
        <f>Table9[[#This Row],[ISM Services]]-B284</f>
        <v>-1.1999999999999957</v>
      </c>
    </row>
    <row r="286" spans="1:3" x14ac:dyDescent="0.35">
      <c r="A286" s="51">
        <v>44136</v>
      </c>
      <c r="B286" s="52">
        <f>IF(VLOOKUP(Table9[[#This Row],[Date]],'DB Details'!$A:$Q,12)=0,"",VLOOKUP(Table9[[#This Row],[Date]],'DB Details'!$A:$Q,12))</f>
        <v>55.9</v>
      </c>
      <c r="C286" s="52">
        <f>Table9[[#This Row],[ISM Services]]-B285</f>
        <v>-0.70000000000000284</v>
      </c>
    </row>
    <row r="287" spans="1:3" x14ac:dyDescent="0.35">
      <c r="A287" s="51">
        <v>44166</v>
      </c>
      <c r="B287" s="52">
        <f>IF(VLOOKUP(Table9[[#This Row],[Date]],'DB Details'!$A:$Q,12)=0,"",VLOOKUP(Table9[[#This Row],[Date]],'DB Details'!$A:$Q,12))</f>
        <v>57.2</v>
      </c>
      <c r="C287" s="52">
        <f>Table9[[#This Row],[ISM Services]]-B286</f>
        <v>1.3000000000000043</v>
      </c>
    </row>
    <row r="288" spans="1:3" x14ac:dyDescent="0.35">
      <c r="A288" s="51">
        <v>44197</v>
      </c>
      <c r="B288" s="52">
        <f>IF(VLOOKUP(Table9[[#This Row],[Date]],'DB Details'!$A:$Q,12)=0,"",VLOOKUP(Table9[[#This Row],[Date]],'DB Details'!$A:$Q,12))</f>
        <v>58.7</v>
      </c>
      <c r="C288" s="52">
        <f>Table9[[#This Row],[ISM Services]]-B287</f>
        <v>1.5</v>
      </c>
    </row>
    <row r="289" spans="1:3" x14ac:dyDescent="0.35">
      <c r="A289" s="51">
        <v>44228</v>
      </c>
      <c r="B289" s="52">
        <f>IF(VLOOKUP(Table9[[#This Row],[Date]],'DB Details'!$A:$Q,12)=0,"",VLOOKUP(Table9[[#This Row],[Date]],'DB Details'!$A:$Q,12))</f>
        <v>55.3</v>
      </c>
      <c r="C289" s="52">
        <f>Table9[[#This Row],[ISM Services]]-B288</f>
        <v>-3.4000000000000057</v>
      </c>
    </row>
    <row r="290" spans="1:3" x14ac:dyDescent="0.35">
      <c r="A290" s="51">
        <v>44256</v>
      </c>
      <c r="B290" s="52">
        <f>IF(VLOOKUP(Table9[[#This Row],[Date]],'DB Details'!$A:$Q,12)=0,"",VLOOKUP(Table9[[#This Row],[Date]],'DB Details'!$A:$Q,12))</f>
        <v>63.7</v>
      </c>
      <c r="C290" s="52">
        <f>Table9[[#This Row],[ISM Services]]-B289</f>
        <v>8.4000000000000057</v>
      </c>
    </row>
    <row r="291" spans="1:3" x14ac:dyDescent="0.35">
      <c r="A291" s="51">
        <v>44287</v>
      </c>
      <c r="B291" s="52">
        <f>IF(VLOOKUP(Table9[[#This Row],[Date]],'DB Details'!$A:$Q,12)=0,"",VLOOKUP(Table9[[#This Row],[Date]],'DB Details'!$A:$Q,12))</f>
        <v>62.7</v>
      </c>
      <c r="C291" s="52">
        <f>Table9[[#This Row],[ISM Services]]-B290</f>
        <v>-1</v>
      </c>
    </row>
    <row r="292" spans="1:3" x14ac:dyDescent="0.35">
      <c r="A292" s="51">
        <v>44317</v>
      </c>
      <c r="B292" s="52">
        <f>IF(VLOOKUP(Table9[[#This Row],[Date]],'DB Details'!$A:$Q,12)=0,"",VLOOKUP(Table9[[#This Row],[Date]],'DB Details'!$A:$Q,12))</f>
        <v>64</v>
      </c>
      <c r="C292" s="52">
        <f>Table9[[#This Row],[ISM Services]]-B291</f>
        <v>1.2999999999999972</v>
      </c>
    </row>
    <row r="293" spans="1:3" x14ac:dyDescent="0.35">
      <c r="A293" s="51">
        <v>44348</v>
      </c>
      <c r="B293" s="52">
        <f>IF(VLOOKUP(Table9[[#This Row],[Date]],'DB Details'!$A:$Q,12)=0,"",VLOOKUP(Table9[[#This Row],[Date]],'DB Details'!$A:$Q,12))</f>
        <v>60.1</v>
      </c>
      <c r="C293" s="52">
        <f>Table9[[#This Row],[ISM Services]]-B292</f>
        <v>-3.8999999999999986</v>
      </c>
    </row>
    <row r="294" spans="1:3" x14ac:dyDescent="0.35">
      <c r="A294" s="51">
        <v>44378</v>
      </c>
      <c r="B294" s="52">
        <f>IF(VLOOKUP(Table9[[#This Row],[Date]],'DB Details'!$A:$Q,12)=0,"",VLOOKUP(Table9[[#This Row],[Date]],'DB Details'!$A:$Q,12))</f>
        <v>64.099999999999994</v>
      </c>
      <c r="C294" s="52">
        <f>Table9[[#This Row],[ISM Services]]-B293</f>
        <v>3.9999999999999929</v>
      </c>
    </row>
    <row r="295" spans="1:3" x14ac:dyDescent="0.35">
      <c r="A295" s="51">
        <v>44409</v>
      </c>
      <c r="B295" s="52">
        <f>IF(VLOOKUP(Table9[[#This Row],[Date]],'DB Details'!$A:$Q,12)=0,"",VLOOKUP(Table9[[#This Row],[Date]],'DB Details'!$A:$Q,12))</f>
        <v>61.7</v>
      </c>
      <c r="C295" s="52">
        <f>Table9[[#This Row],[ISM Services]]-B294</f>
        <v>-2.3999999999999915</v>
      </c>
    </row>
    <row r="296" spans="1:3" x14ac:dyDescent="0.35">
      <c r="A296" s="51">
        <v>44440</v>
      </c>
      <c r="B296" s="52">
        <f>IF(VLOOKUP(Table9[[#This Row],[Date]],'DB Details'!$A:$Q,12)=0,"",VLOOKUP(Table9[[#This Row],[Date]],'DB Details'!$A:$Q,12))</f>
        <v>61.9</v>
      </c>
      <c r="C296" s="52">
        <f>Table9[[#This Row],[ISM Services]]-B295</f>
        <v>0.19999999999999574</v>
      </c>
    </row>
    <row r="297" spans="1:3" x14ac:dyDescent="0.35">
      <c r="A297" s="51">
        <v>44470</v>
      </c>
      <c r="B297" s="52">
        <f>IF(VLOOKUP(Table9[[#This Row],[Date]],'DB Details'!$A:$Q,12)=0,"",VLOOKUP(Table9[[#This Row],[Date]],'DB Details'!$A:$Q,12))</f>
        <v>66.7</v>
      </c>
      <c r="C297" s="52">
        <f>Table9[[#This Row],[ISM Services]]-B296</f>
        <v>4.8000000000000043</v>
      </c>
    </row>
    <row r="298" spans="1:3" x14ac:dyDescent="0.35">
      <c r="A298" s="51">
        <v>44501</v>
      </c>
      <c r="B298" s="52">
        <f>IF(VLOOKUP(Table9[[#This Row],[Date]],'DB Details'!$A:$Q,12)=0,"",VLOOKUP(Table9[[#This Row],[Date]],'DB Details'!$A:$Q,12))</f>
        <v>69.099999999999994</v>
      </c>
      <c r="C298" s="52">
        <f>Table9[[#This Row],[ISM Services]]-B297</f>
        <v>2.3999999999999915</v>
      </c>
    </row>
    <row r="299" spans="1:3" x14ac:dyDescent="0.35">
      <c r="A299" s="51">
        <v>44531</v>
      </c>
      <c r="B299" s="52">
        <f>IF(VLOOKUP(Table9[[#This Row],[Date]],'DB Details'!$A:$Q,12)=0,"",VLOOKUP(Table9[[#This Row],[Date]],'DB Details'!$A:$Q,12))</f>
        <v>62</v>
      </c>
      <c r="C299" s="52">
        <f>Table9[[#This Row],[ISM Services]]-B298</f>
        <v>-7.0999999999999943</v>
      </c>
    </row>
    <row r="300" spans="1:3" x14ac:dyDescent="0.35">
      <c r="A300" s="51">
        <v>44562</v>
      </c>
      <c r="B300" s="52">
        <f>IF(VLOOKUP(Table9[[#This Row],[Date]],'DB Details'!$A:$Q,12)=0,"",VLOOKUP(Table9[[#This Row],[Date]],'DB Details'!$A:$Q,12))</f>
        <v>59.9</v>
      </c>
      <c r="C300" s="52">
        <f>Table9[[#This Row],[ISM Services]]-B299</f>
        <v>-2.1000000000000014</v>
      </c>
    </row>
    <row r="301" spans="1:3" x14ac:dyDescent="0.35">
      <c r="A301" s="51">
        <v>44593</v>
      </c>
      <c r="B301" s="52">
        <f>IF(VLOOKUP(Table9[[#This Row],[Date]],'DB Details'!$A:$Q,12)=0,"",VLOOKUP(Table9[[#This Row],[Date]],'DB Details'!$A:$Q,12))</f>
        <v>56.5</v>
      </c>
      <c r="C301" s="52">
        <f>Table9[[#This Row],[ISM Services]]-B300</f>
        <v>-3.3999999999999986</v>
      </c>
    </row>
    <row r="302" spans="1:3" x14ac:dyDescent="0.35">
      <c r="A302" s="51">
        <v>44621</v>
      </c>
      <c r="B302" s="52">
        <f>IF(VLOOKUP(Table9[[#This Row],[Date]],'DB Details'!$A:$Q,12)=0,"",VLOOKUP(Table9[[#This Row],[Date]],'DB Details'!$A:$Q,12))</f>
        <v>58.3</v>
      </c>
      <c r="C302" s="52">
        <f>Table9[[#This Row],[ISM Services]]-B301</f>
        <v>1.7999999999999972</v>
      </c>
    </row>
    <row r="303" spans="1:3" x14ac:dyDescent="0.35">
      <c r="A303" s="51">
        <v>44652</v>
      </c>
      <c r="B303" s="52">
        <f>IF(VLOOKUP(Table9[[#This Row],[Date]],'DB Details'!$A:$Q,12)=0,"",VLOOKUP(Table9[[#This Row],[Date]],'DB Details'!$A:$Q,12))</f>
        <v>57.1</v>
      </c>
      <c r="C303" s="52">
        <f>Table9[[#This Row],[ISM Services]]-B302</f>
        <v>-1.1999999999999957</v>
      </c>
    </row>
    <row r="304" spans="1:3" x14ac:dyDescent="0.35">
      <c r="A304" s="51">
        <v>44682</v>
      </c>
      <c r="B304" s="52">
        <f>IF(VLOOKUP(Table9[[#This Row],[Date]],'DB Details'!$A:$Q,12)=0,"",VLOOKUP(Table9[[#This Row],[Date]],'DB Details'!$A:$Q,12))</f>
        <v>55.9</v>
      </c>
      <c r="C304" s="52">
        <f>Table9[[#This Row],[ISM Services]]-B303</f>
        <v>-1.2000000000000028</v>
      </c>
    </row>
    <row r="305" spans="1:3" x14ac:dyDescent="0.35">
      <c r="A305" s="51">
        <v>44713</v>
      </c>
      <c r="B305" s="52">
        <f>IF(VLOOKUP(Table9[[#This Row],[Date]],'DB Details'!$A:$Q,12)=0,"",VLOOKUP(Table9[[#This Row],[Date]],'DB Details'!$A:$Q,12))</f>
        <v>55.3</v>
      </c>
      <c r="C305" s="52">
        <f>Table9[[#This Row],[ISM Services]]-B304</f>
        <v>-0.60000000000000142</v>
      </c>
    </row>
    <row r="306" spans="1:3" x14ac:dyDescent="0.35">
      <c r="A306" s="51">
        <v>44743</v>
      </c>
      <c r="B306" s="52">
        <f>IF(VLOOKUP(Table9[[#This Row],[Date]],'DB Details'!$A:$Q,12)=0,"",VLOOKUP(Table9[[#This Row],[Date]],'DB Details'!$A:$Q,12))</f>
        <v>56.7</v>
      </c>
      <c r="C306" s="52">
        <f>Table9[[#This Row],[ISM Services]]-B305</f>
        <v>1.4000000000000057</v>
      </c>
    </row>
    <row r="307" spans="1:3" x14ac:dyDescent="0.35">
      <c r="A307" s="51">
        <v>44774</v>
      </c>
      <c r="B307" s="52">
        <f>IF(VLOOKUP(Table9[[#This Row],[Date]],'DB Details'!$A:$Q,12)=0,"",VLOOKUP(Table9[[#This Row],[Date]],'DB Details'!$A:$Q,12))</f>
        <v>56.9</v>
      </c>
      <c r="C307" s="52">
        <f>Table9[[#This Row],[ISM Services]]-B306</f>
        <v>0.19999999999999574</v>
      </c>
    </row>
    <row r="308" spans="1:3" x14ac:dyDescent="0.35">
      <c r="A308" s="51">
        <v>44805</v>
      </c>
      <c r="B308" s="52">
        <f>IF(VLOOKUP(Table9[[#This Row],[Date]],'DB Details'!$A:$Q,12)=0,"",VLOOKUP(Table9[[#This Row],[Date]],'DB Details'!$A:$Q,12))</f>
        <v>56.7</v>
      </c>
      <c r="C308" s="52">
        <f>Table9[[#This Row],[ISM Services]]-B307</f>
        <v>-0.19999999999999574</v>
      </c>
    </row>
    <row r="309" spans="1:3" x14ac:dyDescent="0.35">
      <c r="A309" s="51">
        <v>44835</v>
      </c>
      <c r="B309" s="52">
        <f>IF(VLOOKUP(Table9[[#This Row],[Date]],'DB Details'!$A:$Q,12)=0,"",VLOOKUP(Table9[[#This Row],[Date]],'DB Details'!$A:$Q,12))</f>
        <v>54.4</v>
      </c>
      <c r="C309" s="52">
        <f>Table9[[#This Row],[ISM Services]]-B308</f>
        <v>-2.3000000000000043</v>
      </c>
    </row>
    <row r="310" spans="1:3" x14ac:dyDescent="0.35">
      <c r="A310" s="51">
        <v>44866</v>
      </c>
      <c r="B310" s="52">
        <f>IF(VLOOKUP(Table9[[#This Row],[Date]],'DB Details'!$A:$Q,12)=0,"",VLOOKUP(Table9[[#This Row],[Date]],'DB Details'!$A:$Q,12))</f>
        <v>56.5</v>
      </c>
      <c r="C310" s="52">
        <f>Table9[[#This Row],[ISM Services]]-B309</f>
        <v>2.1000000000000014</v>
      </c>
    </row>
  </sheetData>
  <conditionalFormatting sqref="B156:B31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56"/>
  <sheetViews>
    <sheetView topLeftCell="C1" zoomScaleNormal="100" workbookViewId="0">
      <pane ySplit="1" topLeftCell="A372" activePane="bottomLeft" state="frozen"/>
      <selection activeCell="C362" sqref="C362"/>
      <selection pane="bottomLeft" activeCell="C382" sqref="C382"/>
    </sheetView>
  </sheetViews>
  <sheetFormatPr defaultColWidth="10.90625" defaultRowHeight="14.5" x14ac:dyDescent="0.35"/>
  <cols>
    <col min="1" max="1" width="32.36328125" customWidth="1"/>
    <col min="3" max="3" width="149.453125" customWidth="1"/>
  </cols>
  <sheetData>
    <row r="1" spans="1:3" x14ac:dyDescent="0.35">
      <c r="A1" t="s">
        <v>9</v>
      </c>
      <c r="B1" t="s">
        <v>77</v>
      </c>
      <c r="C1" t="s">
        <v>8</v>
      </c>
    </row>
    <row r="2" spans="1:3" x14ac:dyDescent="0.35">
      <c r="A2" t="s">
        <v>14</v>
      </c>
      <c r="B2" s="66">
        <v>44835</v>
      </c>
      <c r="C2" t="s">
        <v>83</v>
      </c>
    </row>
    <row r="3" spans="1:3" x14ac:dyDescent="0.35">
      <c r="A3" t="s">
        <v>14</v>
      </c>
      <c r="B3" s="66">
        <v>44805</v>
      </c>
      <c r="C3" t="s">
        <v>84</v>
      </c>
    </row>
    <row r="4" spans="1:3" x14ac:dyDescent="0.35">
      <c r="A4" t="s">
        <v>14</v>
      </c>
      <c r="B4" s="66">
        <v>44774</v>
      </c>
      <c r="C4" t="s">
        <v>85</v>
      </c>
    </row>
    <row r="5" spans="1:3" x14ac:dyDescent="0.35">
      <c r="A5" t="s">
        <v>14</v>
      </c>
      <c r="B5" s="66">
        <v>44743</v>
      </c>
      <c r="C5" t="s">
        <v>86</v>
      </c>
    </row>
    <row r="6" spans="1:3" x14ac:dyDescent="0.35">
      <c r="A6" t="s">
        <v>14</v>
      </c>
      <c r="B6" s="66">
        <v>44713</v>
      </c>
      <c r="C6" t="s">
        <v>87</v>
      </c>
    </row>
    <row r="7" spans="1:3" x14ac:dyDescent="0.35">
      <c r="A7" t="s">
        <v>14</v>
      </c>
      <c r="B7" s="66">
        <v>44682</v>
      </c>
      <c r="C7" t="s">
        <v>88</v>
      </c>
    </row>
    <row r="8" spans="1:3" x14ac:dyDescent="0.35">
      <c r="A8" t="s">
        <v>14</v>
      </c>
      <c r="B8" s="66">
        <v>44652</v>
      </c>
      <c r="C8" t="s">
        <v>89</v>
      </c>
    </row>
    <row r="9" spans="1:3" x14ac:dyDescent="0.35">
      <c r="A9" t="s">
        <v>14</v>
      </c>
      <c r="B9" s="66">
        <v>44621</v>
      </c>
      <c r="C9" t="s">
        <v>90</v>
      </c>
    </row>
    <row r="10" spans="1:3" x14ac:dyDescent="0.35">
      <c r="A10" t="s">
        <v>14</v>
      </c>
      <c r="B10" s="66">
        <v>44593</v>
      </c>
      <c r="C10" t="s">
        <v>91</v>
      </c>
    </row>
    <row r="11" spans="1:3" x14ac:dyDescent="0.35">
      <c r="A11" t="s">
        <v>14</v>
      </c>
      <c r="B11" s="66">
        <v>44562</v>
      </c>
      <c r="C11" t="s">
        <v>92</v>
      </c>
    </row>
    <row r="12" spans="1:3" x14ac:dyDescent="0.35">
      <c r="A12" t="s">
        <v>14</v>
      </c>
      <c r="B12" s="66">
        <v>44531</v>
      </c>
      <c r="C12" t="s">
        <v>93</v>
      </c>
    </row>
    <row r="13" spans="1:3" x14ac:dyDescent="0.35">
      <c r="A13" t="s">
        <v>14</v>
      </c>
      <c r="B13" s="66">
        <v>44501</v>
      </c>
      <c r="C13" t="s">
        <v>94</v>
      </c>
    </row>
    <row r="14" spans="1:3" x14ac:dyDescent="0.35">
      <c r="A14" t="s">
        <v>14</v>
      </c>
      <c r="B14" s="66">
        <v>44470</v>
      </c>
      <c r="C14" t="s">
        <v>95</v>
      </c>
    </row>
    <row r="15" spans="1:3" x14ac:dyDescent="0.35">
      <c r="A15" t="s">
        <v>14</v>
      </c>
      <c r="B15" s="66">
        <v>44440</v>
      </c>
      <c r="C15" t="s">
        <v>96</v>
      </c>
    </row>
    <row r="16" spans="1:3" x14ac:dyDescent="0.35">
      <c r="A16" t="s">
        <v>14</v>
      </c>
      <c r="B16" s="66">
        <v>44409</v>
      </c>
      <c r="C16" t="s">
        <v>97</v>
      </c>
    </row>
    <row r="17" spans="1:3" x14ac:dyDescent="0.35">
      <c r="A17" t="s">
        <v>14</v>
      </c>
      <c r="B17" s="66">
        <v>44378</v>
      </c>
      <c r="C17" t="s">
        <v>98</v>
      </c>
    </row>
    <row r="18" spans="1:3" x14ac:dyDescent="0.35">
      <c r="A18" t="s">
        <v>14</v>
      </c>
      <c r="B18" s="66">
        <v>44348</v>
      </c>
      <c r="C18" t="s">
        <v>99</v>
      </c>
    </row>
    <row r="19" spans="1:3" x14ac:dyDescent="0.35">
      <c r="A19" t="s">
        <v>14</v>
      </c>
      <c r="B19" s="66">
        <v>44317</v>
      </c>
      <c r="C19" t="s">
        <v>100</v>
      </c>
    </row>
    <row r="20" spans="1:3" x14ac:dyDescent="0.35">
      <c r="A20" t="s">
        <v>14</v>
      </c>
      <c r="B20" s="66">
        <v>44287</v>
      </c>
      <c r="C20" t="s">
        <v>101</v>
      </c>
    </row>
    <row r="21" spans="1:3" x14ac:dyDescent="0.35">
      <c r="A21" t="s">
        <v>14</v>
      </c>
      <c r="B21" s="66">
        <v>44228</v>
      </c>
      <c r="C21" t="s">
        <v>102</v>
      </c>
    </row>
    <row r="22" spans="1:3" x14ac:dyDescent="0.35">
      <c r="A22" t="s">
        <v>14</v>
      </c>
      <c r="B22" s="66">
        <v>44197</v>
      </c>
      <c r="C22" t="s">
        <v>103</v>
      </c>
    </row>
    <row r="23" spans="1:3" x14ac:dyDescent="0.35">
      <c r="A23" t="s">
        <v>14</v>
      </c>
      <c r="B23" s="66">
        <v>44166</v>
      </c>
      <c r="C23" t="s">
        <v>104</v>
      </c>
    </row>
    <row r="24" spans="1:3" x14ac:dyDescent="0.35">
      <c r="A24" t="s">
        <v>14</v>
      </c>
      <c r="B24" s="66">
        <v>44136</v>
      </c>
      <c r="C24" t="s">
        <v>105</v>
      </c>
    </row>
    <row r="25" spans="1:3" x14ac:dyDescent="0.35">
      <c r="A25" t="s">
        <v>14</v>
      </c>
      <c r="B25" s="66">
        <v>44105</v>
      </c>
      <c r="C25" t="s">
        <v>106</v>
      </c>
    </row>
    <row r="26" spans="1:3" x14ac:dyDescent="0.35">
      <c r="A26" t="s">
        <v>14</v>
      </c>
      <c r="B26" s="66">
        <v>44044</v>
      </c>
      <c r="C26" t="s">
        <v>107</v>
      </c>
    </row>
    <row r="27" spans="1:3" x14ac:dyDescent="0.35">
      <c r="A27" t="s">
        <v>14</v>
      </c>
      <c r="B27" s="66">
        <v>43983</v>
      </c>
      <c r="C27" t="s">
        <v>108</v>
      </c>
    </row>
    <row r="28" spans="1:3" x14ac:dyDescent="0.35">
      <c r="A28" t="s">
        <v>14</v>
      </c>
      <c r="B28" s="66">
        <v>43952</v>
      </c>
      <c r="C28" t="s">
        <v>109</v>
      </c>
    </row>
    <row r="29" spans="1:3" x14ac:dyDescent="0.35">
      <c r="A29" t="s">
        <v>14</v>
      </c>
      <c r="B29" s="66">
        <v>43922</v>
      </c>
      <c r="C29" t="s">
        <v>110</v>
      </c>
    </row>
    <row r="30" spans="1:3" x14ac:dyDescent="0.35">
      <c r="A30" t="s">
        <v>14</v>
      </c>
      <c r="B30" s="66">
        <v>43891</v>
      </c>
      <c r="C30" t="s">
        <v>111</v>
      </c>
    </row>
    <row r="31" spans="1:3" x14ac:dyDescent="0.35">
      <c r="A31" t="s">
        <v>14</v>
      </c>
      <c r="B31" s="66">
        <v>43831</v>
      </c>
      <c r="C31" t="s">
        <v>112</v>
      </c>
    </row>
    <row r="32" spans="1:3" x14ac:dyDescent="0.35">
      <c r="A32" t="s">
        <v>14</v>
      </c>
      <c r="B32" s="66">
        <v>43800</v>
      </c>
      <c r="C32" t="s">
        <v>113</v>
      </c>
    </row>
    <row r="33" spans="1:3" x14ac:dyDescent="0.35">
      <c r="A33" t="s">
        <v>14</v>
      </c>
      <c r="B33" s="66">
        <v>43739</v>
      </c>
      <c r="C33" t="s">
        <v>114</v>
      </c>
    </row>
    <row r="34" spans="1:3" x14ac:dyDescent="0.35">
      <c r="A34" t="s">
        <v>14</v>
      </c>
      <c r="B34" s="66">
        <v>43709</v>
      </c>
      <c r="C34" t="s">
        <v>115</v>
      </c>
    </row>
    <row r="35" spans="1:3" x14ac:dyDescent="0.35">
      <c r="A35" t="s">
        <v>14</v>
      </c>
      <c r="B35" s="66">
        <v>43678</v>
      </c>
      <c r="C35" t="s">
        <v>116</v>
      </c>
    </row>
    <row r="36" spans="1:3" x14ac:dyDescent="0.35">
      <c r="A36" t="s">
        <v>14</v>
      </c>
      <c r="B36" s="66">
        <v>43647</v>
      </c>
      <c r="C36" t="s">
        <v>117</v>
      </c>
    </row>
    <row r="37" spans="1:3" x14ac:dyDescent="0.35">
      <c r="A37" t="s">
        <v>14</v>
      </c>
      <c r="B37" s="66">
        <v>43586</v>
      </c>
      <c r="C37" t="s">
        <v>118</v>
      </c>
    </row>
    <row r="38" spans="1:3" x14ac:dyDescent="0.35">
      <c r="A38" t="s">
        <v>14</v>
      </c>
      <c r="B38" s="66">
        <v>43556</v>
      </c>
      <c r="C38" t="s">
        <v>119</v>
      </c>
    </row>
    <row r="39" spans="1:3" x14ac:dyDescent="0.35">
      <c r="A39" t="s">
        <v>14</v>
      </c>
      <c r="B39" s="66">
        <v>43525</v>
      </c>
      <c r="C39" t="s">
        <v>120</v>
      </c>
    </row>
    <row r="40" spans="1:3" x14ac:dyDescent="0.35">
      <c r="A40" t="s">
        <v>14</v>
      </c>
      <c r="B40" s="66">
        <v>43497</v>
      </c>
      <c r="C40" t="s">
        <v>121</v>
      </c>
    </row>
    <row r="41" spans="1:3" x14ac:dyDescent="0.35">
      <c r="A41" t="s">
        <v>45</v>
      </c>
      <c r="B41" s="66">
        <v>44866</v>
      </c>
      <c r="C41" t="s">
        <v>122</v>
      </c>
    </row>
    <row r="42" spans="1:3" x14ac:dyDescent="0.35">
      <c r="A42" t="s">
        <v>45</v>
      </c>
      <c r="B42" s="66">
        <v>44835</v>
      </c>
      <c r="C42" t="s">
        <v>123</v>
      </c>
    </row>
    <row r="43" spans="1:3" x14ac:dyDescent="0.35">
      <c r="A43" t="s">
        <v>45</v>
      </c>
      <c r="B43" s="66">
        <v>44805</v>
      </c>
      <c r="C43" t="s">
        <v>124</v>
      </c>
    </row>
    <row r="44" spans="1:3" x14ac:dyDescent="0.35">
      <c r="A44" t="s">
        <v>45</v>
      </c>
      <c r="B44" s="66">
        <v>44621</v>
      </c>
      <c r="C44" t="s">
        <v>125</v>
      </c>
    </row>
    <row r="45" spans="1:3" x14ac:dyDescent="0.35">
      <c r="A45" t="s">
        <v>45</v>
      </c>
      <c r="B45" s="66">
        <v>44593</v>
      </c>
      <c r="C45" t="s">
        <v>126</v>
      </c>
    </row>
    <row r="46" spans="1:3" x14ac:dyDescent="0.35">
      <c r="A46" t="s">
        <v>45</v>
      </c>
      <c r="B46" s="66">
        <v>44562</v>
      </c>
      <c r="C46" t="s">
        <v>127</v>
      </c>
    </row>
    <row r="47" spans="1:3" x14ac:dyDescent="0.35">
      <c r="A47" t="s">
        <v>45</v>
      </c>
      <c r="B47" s="66">
        <v>44531</v>
      </c>
      <c r="C47" t="s">
        <v>128</v>
      </c>
    </row>
    <row r="48" spans="1:3" x14ac:dyDescent="0.35">
      <c r="A48" t="s">
        <v>45</v>
      </c>
      <c r="B48" s="66">
        <v>44501</v>
      </c>
      <c r="C48" t="s">
        <v>129</v>
      </c>
    </row>
    <row r="49" spans="1:3" x14ac:dyDescent="0.35">
      <c r="A49" t="s">
        <v>45</v>
      </c>
      <c r="B49" s="66">
        <v>44470</v>
      </c>
      <c r="C49" t="s">
        <v>130</v>
      </c>
    </row>
    <row r="50" spans="1:3" x14ac:dyDescent="0.35">
      <c r="A50" t="s">
        <v>45</v>
      </c>
      <c r="B50" s="66">
        <v>44409</v>
      </c>
      <c r="C50" t="s">
        <v>131</v>
      </c>
    </row>
    <row r="51" spans="1:3" x14ac:dyDescent="0.35">
      <c r="A51" t="s">
        <v>45</v>
      </c>
      <c r="B51" s="66">
        <v>44378</v>
      </c>
      <c r="C51" t="s">
        <v>132</v>
      </c>
    </row>
    <row r="52" spans="1:3" x14ac:dyDescent="0.35">
      <c r="A52" t="s">
        <v>45</v>
      </c>
      <c r="B52" s="66">
        <v>44317</v>
      </c>
      <c r="C52" t="s">
        <v>133</v>
      </c>
    </row>
    <row r="53" spans="1:3" x14ac:dyDescent="0.35">
      <c r="A53" t="s">
        <v>45</v>
      </c>
      <c r="B53" s="66">
        <v>44287</v>
      </c>
      <c r="C53" t="s">
        <v>134</v>
      </c>
    </row>
    <row r="54" spans="1:3" x14ac:dyDescent="0.35">
      <c r="A54" t="s">
        <v>45</v>
      </c>
      <c r="B54" s="66">
        <v>44075</v>
      </c>
      <c r="C54" t="s">
        <v>135</v>
      </c>
    </row>
    <row r="55" spans="1:3" x14ac:dyDescent="0.35">
      <c r="A55" t="s">
        <v>45</v>
      </c>
      <c r="B55" s="66">
        <v>43983</v>
      </c>
      <c r="C55" t="s">
        <v>136</v>
      </c>
    </row>
    <row r="56" spans="1:3" x14ac:dyDescent="0.35">
      <c r="A56" t="s">
        <v>45</v>
      </c>
      <c r="B56" s="66">
        <v>43952</v>
      </c>
      <c r="C56" t="s">
        <v>137</v>
      </c>
    </row>
    <row r="57" spans="1:3" x14ac:dyDescent="0.35">
      <c r="A57" t="s">
        <v>45</v>
      </c>
      <c r="B57" s="66">
        <v>43922</v>
      </c>
      <c r="C57" t="s">
        <v>138</v>
      </c>
    </row>
    <row r="58" spans="1:3" x14ac:dyDescent="0.35">
      <c r="A58" t="s">
        <v>45</v>
      </c>
      <c r="B58" s="66">
        <v>43770</v>
      </c>
      <c r="C58" t="s">
        <v>139</v>
      </c>
    </row>
    <row r="59" spans="1:3" x14ac:dyDescent="0.35">
      <c r="A59" t="s">
        <v>45</v>
      </c>
      <c r="B59" s="66">
        <v>43709</v>
      </c>
      <c r="C59" t="s">
        <v>140</v>
      </c>
    </row>
    <row r="60" spans="1:3" x14ac:dyDescent="0.35">
      <c r="A60" t="s">
        <v>45</v>
      </c>
      <c r="B60" s="66">
        <v>43678</v>
      </c>
      <c r="C60" t="s">
        <v>141</v>
      </c>
    </row>
    <row r="61" spans="1:3" x14ac:dyDescent="0.35">
      <c r="A61" t="s">
        <v>45</v>
      </c>
      <c r="B61" s="66">
        <v>43617</v>
      </c>
      <c r="C61" t="s">
        <v>142</v>
      </c>
    </row>
    <row r="62" spans="1:3" x14ac:dyDescent="0.35">
      <c r="A62" t="s">
        <v>45</v>
      </c>
      <c r="B62" s="66">
        <v>43556</v>
      </c>
      <c r="C62" t="s">
        <v>143</v>
      </c>
    </row>
    <row r="63" spans="1:3" x14ac:dyDescent="0.35">
      <c r="A63" t="s">
        <v>47</v>
      </c>
      <c r="B63" s="66">
        <v>44805</v>
      </c>
      <c r="C63" t="s">
        <v>144</v>
      </c>
    </row>
    <row r="64" spans="1:3" x14ac:dyDescent="0.35">
      <c r="A64" t="s">
        <v>47</v>
      </c>
      <c r="B64" s="66">
        <v>44593</v>
      </c>
      <c r="C64" t="s">
        <v>145</v>
      </c>
    </row>
    <row r="65" spans="1:3" x14ac:dyDescent="0.35">
      <c r="A65" t="s">
        <v>47</v>
      </c>
      <c r="B65" s="66">
        <v>44501</v>
      </c>
      <c r="C65" t="s">
        <v>146</v>
      </c>
    </row>
    <row r="66" spans="1:3" x14ac:dyDescent="0.35">
      <c r="A66" t="s">
        <v>47</v>
      </c>
      <c r="B66" s="66">
        <v>44348</v>
      </c>
      <c r="C66" t="s">
        <v>147</v>
      </c>
    </row>
    <row r="67" spans="1:3" x14ac:dyDescent="0.35">
      <c r="A67" t="s">
        <v>47</v>
      </c>
      <c r="B67" s="66">
        <v>44317</v>
      </c>
      <c r="C67" t="s">
        <v>148</v>
      </c>
    </row>
    <row r="68" spans="1:3" x14ac:dyDescent="0.35">
      <c r="A68" t="s">
        <v>47</v>
      </c>
      <c r="B68" s="66">
        <v>44256</v>
      </c>
      <c r="C68" t="s">
        <v>149</v>
      </c>
    </row>
    <row r="69" spans="1:3" x14ac:dyDescent="0.35">
      <c r="A69" t="s">
        <v>47</v>
      </c>
      <c r="B69" s="66">
        <v>44228</v>
      </c>
      <c r="C69" t="s">
        <v>150</v>
      </c>
    </row>
    <row r="70" spans="1:3" x14ac:dyDescent="0.35">
      <c r="A70" t="s">
        <v>47</v>
      </c>
      <c r="B70" s="66">
        <v>43709</v>
      </c>
      <c r="C70" t="s">
        <v>151</v>
      </c>
    </row>
    <row r="71" spans="1:3" x14ac:dyDescent="0.35">
      <c r="A71" t="s">
        <v>47</v>
      </c>
      <c r="B71" s="66">
        <v>43586</v>
      </c>
      <c r="C71" t="s">
        <v>152</v>
      </c>
    </row>
    <row r="72" spans="1:3" x14ac:dyDescent="0.35">
      <c r="A72" t="s">
        <v>31</v>
      </c>
      <c r="B72" s="66">
        <v>44866</v>
      </c>
      <c r="C72" t="s">
        <v>153</v>
      </c>
    </row>
    <row r="73" spans="1:3" x14ac:dyDescent="0.35">
      <c r="A73" t="s">
        <v>31</v>
      </c>
      <c r="B73" s="66">
        <v>44805</v>
      </c>
      <c r="C73" t="s">
        <v>154</v>
      </c>
    </row>
    <row r="74" spans="1:3" x14ac:dyDescent="0.35">
      <c r="A74" t="s">
        <v>31</v>
      </c>
      <c r="B74" s="66">
        <v>44774</v>
      </c>
      <c r="C74" t="s">
        <v>155</v>
      </c>
    </row>
    <row r="75" spans="1:3" x14ac:dyDescent="0.35">
      <c r="A75" t="s">
        <v>31</v>
      </c>
      <c r="B75" s="66">
        <v>44743</v>
      </c>
      <c r="C75" t="s">
        <v>156</v>
      </c>
    </row>
    <row r="76" spans="1:3" x14ac:dyDescent="0.35">
      <c r="A76" t="s">
        <v>31</v>
      </c>
      <c r="B76" s="66">
        <v>44713</v>
      </c>
      <c r="C76" t="s">
        <v>157</v>
      </c>
    </row>
    <row r="77" spans="1:3" x14ac:dyDescent="0.35">
      <c r="A77" t="s">
        <v>31</v>
      </c>
      <c r="B77" s="66">
        <v>44682</v>
      </c>
      <c r="C77" t="s">
        <v>158</v>
      </c>
    </row>
    <row r="78" spans="1:3" x14ac:dyDescent="0.35">
      <c r="A78" t="s">
        <v>31</v>
      </c>
      <c r="B78" s="66">
        <v>44593</v>
      </c>
      <c r="C78" t="s">
        <v>159</v>
      </c>
    </row>
    <row r="79" spans="1:3" x14ac:dyDescent="0.35">
      <c r="A79" t="s">
        <v>31</v>
      </c>
      <c r="B79" s="66">
        <v>44562</v>
      </c>
      <c r="C79" t="s">
        <v>160</v>
      </c>
    </row>
    <row r="80" spans="1:3" x14ac:dyDescent="0.35">
      <c r="A80" t="s">
        <v>31</v>
      </c>
      <c r="B80" s="66">
        <v>44531</v>
      </c>
      <c r="C80" t="s">
        <v>161</v>
      </c>
    </row>
    <row r="81" spans="1:3" x14ac:dyDescent="0.35">
      <c r="A81" t="s">
        <v>31</v>
      </c>
      <c r="B81" s="66">
        <v>44501</v>
      </c>
      <c r="C81" t="s">
        <v>162</v>
      </c>
    </row>
    <row r="82" spans="1:3" x14ac:dyDescent="0.35">
      <c r="A82" t="s">
        <v>31</v>
      </c>
      <c r="B82" s="66">
        <v>44470</v>
      </c>
      <c r="C82" t="s">
        <v>163</v>
      </c>
    </row>
    <row r="83" spans="1:3" x14ac:dyDescent="0.35">
      <c r="A83" t="s">
        <v>31</v>
      </c>
      <c r="B83" s="66">
        <v>44440</v>
      </c>
      <c r="C83" t="s">
        <v>164</v>
      </c>
    </row>
    <row r="84" spans="1:3" x14ac:dyDescent="0.35">
      <c r="A84" t="s">
        <v>31</v>
      </c>
      <c r="B84" s="66">
        <v>44409</v>
      </c>
      <c r="C84" t="s">
        <v>165</v>
      </c>
    </row>
    <row r="85" spans="1:3" x14ac:dyDescent="0.35">
      <c r="A85" t="s">
        <v>31</v>
      </c>
      <c r="B85" s="66">
        <v>44378</v>
      </c>
      <c r="C85" t="s">
        <v>166</v>
      </c>
    </row>
    <row r="86" spans="1:3" x14ac:dyDescent="0.35">
      <c r="A86" t="s">
        <v>31</v>
      </c>
      <c r="B86" s="66">
        <v>44348</v>
      </c>
      <c r="C86" t="s">
        <v>167</v>
      </c>
    </row>
    <row r="87" spans="1:3" x14ac:dyDescent="0.35">
      <c r="A87" t="s">
        <v>31</v>
      </c>
      <c r="B87" s="66">
        <v>44317</v>
      </c>
      <c r="C87" t="s">
        <v>168</v>
      </c>
    </row>
    <row r="88" spans="1:3" x14ac:dyDescent="0.35">
      <c r="A88" t="s">
        <v>31</v>
      </c>
      <c r="B88" s="66">
        <v>44287</v>
      </c>
      <c r="C88" t="s">
        <v>169</v>
      </c>
    </row>
    <row r="89" spans="1:3" x14ac:dyDescent="0.35">
      <c r="A89" t="s">
        <v>31</v>
      </c>
      <c r="B89" s="66">
        <v>44256</v>
      </c>
      <c r="C89" t="s">
        <v>170</v>
      </c>
    </row>
    <row r="90" spans="1:3" x14ac:dyDescent="0.35">
      <c r="A90" t="s">
        <v>31</v>
      </c>
      <c r="B90" s="66">
        <v>44228</v>
      </c>
      <c r="C90" t="s">
        <v>171</v>
      </c>
    </row>
    <row r="91" spans="1:3" x14ac:dyDescent="0.35">
      <c r="A91" t="s">
        <v>31</v>
      </c>
      <c r="B91" s="66">
        <v>44197</v>
      </c>
      <c r="C91" t="s">
        <v>172</v>
      </c>
    </row>
    <row r="92" spans="1:3" x14ac:dyDescent="0.35">
      <c r="A92" t="s">
        <v>31</v>
      </c>
      <c r="B92" s="66">
        <v>44166</v>
      </c>
      <c r="C92" t="s">
        <v>173</v>
      </c>
    </row>
    <row r="93" spans="1:3" x14ac:dyDescent="0.35">
      <c r="A93" t="s">
        <v>31</v>
      </c>
      <c r="B93" s="66">
        <v>44136</v>
      </c>
      <c r="C93" t="s">
        <v>174</v>
      </c>
    </row>
    <row r="94" spans="1:3" x14ac:dyDescent="0.35">
      <c r="A94" t="s">
        <v>31</v>
      </c>
      <c r="B94" s="66">
        <v>44105</v>
      </c>
      <c r="C94" t="s">
        <v>175</v>
      </c>
    </row>
    <row r="95" spans="1:3" x14ac:dyDescent="0.35">
      <c r="A95" t="s">
        <v>31</v>
      </c>
      <c r="B95" s="66">
        <v>44075</v>
      </c>
      <c r="C95" t="s">
        <v>176</v>
      </c>
    </row>
    <row r="96" spans="1:3" x14ac:dyDescent="0.35">
      <c r="A96" t="s">
        <v>31</v>
      </c>
      <c r="B96" s="66">
        <v>44044</v>
      </c>
      <c r="C96" t="s">
        <v>177</v>
      </c>
    </row>
    <row r="97" spans="1:3" x14ac:dyDescent="0.35">
      <c r="A97" t="s">
        <v>31</v>
      </c>
      <c r="B97" s="66">
        <v>43983</v>
      </c>
      <c r="C97" t="s">
        <v>178</v>
      </c>
    </row>
    <row r="98" spans="1:3" x14ac:dyDescent="0.35">
      <c r="A98" t="s">
        <v>31</v>
      </c>
      <c r="B98" s="66">
        <v>43952</v>
      </c>
      <c r="C98" t="s">
        <v>179</v>
      </c>
    </row>
    <row r="99" spans="1:3" x14ac:dyDescent="0.35">
      <c r="A99" t="s">
        <v>31</v>
      </c>
      <c r="B99" s="66">
        <v>43922</v>
      </c>
      <c r="C99" t="s">
        <v>180</v>
      </c>
    </row>
    <row r="100" spans="1:3" x14ac:dyDescent="0.35">
      <c r="A100" t="s">
        <v>31</v>
      </c>
      <c r="B100" s="66">
        <v>43891</v>
      </c>
      <c r="C100" t="s">
        <v>181</v>
      </c>
    </row>
    <row r="101" spans="1:3" x14ac:dyDescent="0.35">
      <c r="A101" t="s">
        <v>31</v>
      </c>
      <c r="B101" s="66">
        <v>43862</v>
      </c>
      <c r="C101" t="s">
        <v>182</v>
      </c>
    </row>
    <row r="102" spans="1:3" x14ac:dyDescent="0.35">
      <c r="A102" t="s">
        <v>31</v>
      </c>
      <c r="B102" s="66">
        <v>43831</v>
      </c>
      <c r="C102" t="s">
        <v>183</v>
      </c>
    </row>
    <row r="103" spans="1:3" x14ac:dyDescent="0.35">
      <c r="A103" t="s">
        <v>31</v>
      </c>
      <c r="B103" s="66">
        <v>43800</v>
      </c>
      <c r="C103" t="s">
        <v>184</v>
      </c>
    </row>
    <row r="104" spans="1:3" x14ac:dyDescent="0.35">
      <c r="A104" t="s">
        <v>31</v>
      </c>
      <c r="B104" s="66">
        <v>43770</v>
      </c>
      <c r="C104" t="s">
        <v>185</v>
      </c>
    </row>
    <row r="105" spans="1:3" x14ac:dyDescent="0.35">
      <c r="A105" t="s">
        <v>31</v>
      </c>
      <c r="B105" s="66">
        <v>43739</v>
      </c>
      <c r="C105" t="s">
        <v>186</v>
      </c>
    </row>
    <row r="106" spans="1:3" x14ac:dyDescent="0.35">
      <c r="A106" t="s">
        <v>31</v>
      </c>
      <c r="B106" s="66">
        <v>43709</v>
      </c>
      <c r="C106" t="s">
        <v>187</v>
      </c>
    </row>
    <row r="107" spans="1:3" x14ac:dyDescent="0.35">
      <c r="A107" t="s">
        <v>31</v>
      </c>
      <c r="B107" s="66">
        <v>43678</v>
      </c>
      <c r="C107" t="s">
        <v>188</v>
      </c>
    </row>
    <row r="108" spans="1:3" x14ac:dyDescent="0.35">
      <c r="A108" t="s">
        <v>31</v>
      </c>
      <c r="B108" s="66">
        <v>43647</v>
      </c>
      <c r="C108" t="s">
        <v>189</v>
      </c>
    </row>
    <row r="109" spans="1:3" x14ac:dyDescent="0.35">
      <c r="A109" t="s">
        <v>31</v>
      </c>
      <c r="B109" s="66">
        <v>43617</v>
      </c>
      <c r="C109" t="s">
        <v>190</v>
      </c>
    </row>
    <row r="110" spans="1:3" x14ac:dyDescent="0.35">
      <c r="A110" t="s">
        <v>31</v>
      </c>
      <c r="B110" s="66">
        <v>43586</v>
      </c>
      <c r="C110" t="s">
        <v>191</v>
      </c>
    </row>
    <row r="111" spans="1:3" x14ac:dyDescent="0.35">
      <c r="A111" t="s">
        <v>31</v>
      </c>
      <c r="B111" s="66">
        <v>43556</v>
      </c>
      <c r="C111" t="s">
        <v>192</v>
      </c>
    </row>
    <row r="112" spans="1:3" x14ac:dyDescent="0.35">
      <c r="A112" t="s">
        <v>31</v>
      </c>
      <c r="B112" s="66">
        <v>43525</v>
      </c>
      <c r="C112" t="s">
        <v>193</v>
      </c>
    </row>
    <row r="113" spans="1:3" x14ac:dyDescent="0.35">
      <c r="A113" t="s">
        <v>31</v>
      </c>
      <c r="B113" s="66">
        <v>43497</v>
      </c>
      <c r="C113" t="s">
        <v>194</v>
      </c>
    </row>
    <row r="114" spans="1:3" x14ac:dyDescent="0.35">
      <c r="A114" t="s">
        <v>31</v>
      </c>
      <c r="B114" s="66">
        <v>43466</v>
      </c>
      <c r="C114" t="s">
        <v>195</v>
      </c>
    </row>
    <row r="115" spans="1:3" x14ac:dyDescent="0.35">
      <c r="A115" t="s">
        <v>33</v>
      </c>
      <c r="B115" s="66">
        <v>44866</v>
      </c>
      <c r="C115" t="s">
        <v>196</v>
      </c>
    </row>
    <row r="116" spans="1:3" x14ac:dyDescent="0.35">
      <c r="A116" t="s">
        <v>33</v>
      </c>
      <c r="B116" s="66">
        <v>44835</v>
      </c>
      <c r="C116" t="s">
        <v>197</v>
      </c>
    </row>
    <row r="117" spans="1:3" x14ac:dyDescent="0.35">
      <c r="A117" t="s">
        <v>33</v>
      </c>
      <c r="B117" s="66">
        <v>44774</v>
      </c>
      <c r="C117" t="s">
        <v>198</v>
      </c>
    </row>
    <row r="118" spans="1:3" x14ac:dyDescent="0.35">
      <c r="A118" t="s">
        <v>33</v>
      </c>
      <c r="B118" s="66">
        <v>44743</v>
      </c>
      <c r="C118" t="s">
        <v>199</v>
      </c>
    </row>
    <row r="119" spans="1:3" x14ac:dyDescent="0.35">
      <c r="A119" t="s">
        <v>33</v>
      </c>
      <c r="B119" s="66">
        <v>44713</v>
      </c>
      <c r="C119" t="s">
        <v>200</v>
      </c>
    </row>
    <row r="120" spans="1:3" x14ac:dyDescent="0.35">
      <c r="A120" t="s">
        <v>33</v>
      </c>
      <c r="B120" s="66">
        <v>44682</v>
      </c>
      <c r="C120" t="s">
        <v>201</v>
      </c>
    </row>
    <row r="121" spans="1:3" x14ac:dyDescent="0.35">
      <c r="A121" t="s">
        <v>33</v>
      </c>
      <c r="B121" s="66">
        <v>44652</v>
      </c>
      <c r="C121" t="s">
        <v>202</v>
      </c>
    </row>
    <row r="122" spans="1:3" x14ac:dyDescent="0.35">
      <c r="A122" t="s">
        <v>33</v>
      </c>
      <c r="B122" s="66">
        <v>44621</v>
      </c>
      <c r="C122" t="s">
        <v>203</v>
      </c>
    </row>
    <row r="123" spans="1:3" x14ac:dyDescent="0.35">
      <c r="A123" t="s">
        <v>33</v>
      </c>
      <c r="B123" s="66">
        <v>44593</v>
      </c>
      <c r="C123" t="s">
        <v>204</v>
      </c>
    </row>
    <row r="124" spans="1:3" x14ac:dyDescent="0.35">
      <c r="A124" t="s">
        <v>33</v>
      </c>
      <c r="B124" s="66">
        <v>44501</v>
      </c>
      <c r="C124" t="s">
        <v>205</v>
      </c>
    </row>
    <row r="125" spans="1:3" x14ac:dyDescent="0.35">
      <c r="A125" t="s">
        <v>33</v>
      </c>
      <c r="B125" s="66">
        <v>44470</v>
      </c>
      <c r="C125" t="s">
        <v>206</v>
      </c>
    </row>
    <row r="126" spans="1:3" x14ac:dyDescent="0.35">
      <c r="A126" t="s">
        <v>33</v>
      </c>
      <c r="B126" s="66">
        <v>44440</v>
      </c>
      <c r="C126" t="s">
        <v>207</v>
      </c>
    </row>
    <row r="127" spans="1:3" x14ac:dyDescent="0.35">
      <c r="A127" t="s">
        <v>33</v>
      </c>
      <c r="B127" s="66">
        <v>44409</v>
      </c>
      <c r="C127" t="s">
        <v>208</v>
      </c>
    </row>
    <row r="128" spans="1:3" x14ac:dyDescent="0.35">
      <c r="A128" t="s">
        <v>33</v>
      </c>
      <c r="B128" s="66">
        <v>44348</v>
      </c>
      <c r="C128" t="s">
        <v>209</v>
      </c>
    </row>
    <row r="129" spans="1:3" x14ac:dyDescent="0.35">
      <c r="A129" t="s">
        <v>33</v>
      </c>
      <c r="B129" s="66">
        <v>44287</v>
      </c>
      <c r="C129" t="s">
        <v>210</v>
      </c>
    </row>
    <row r="130" spans="1:3" x14ac:dyDescent="0.35">
      <c r="A130" t="s">
        <v>33</v>
      </c>
      <c r="B130" s="66">
        <v>44256</v>
      </c>
      <c r="C130" t="s">
        <v>211</v>
      </c>
    </row>
    <row r="131" spans="1:3" x14ac:dyDescent="0.35">
      <c r="A131" t="s">
        <v>33</v>
      </c>
      <c r="B131" s="66">
        <v>44228</v>
      </c>
      <c r="C131" t="s">
        <v>212</v>
      </c>
    </row>
    <row r="132" spans="1:3" x14ac:dyDescent="0.35">
      <c r="A132" t="s">
        <v>33</v>
      </c>
      <c r="B132" s="66">
        <v>44197</v>
      </c>
      <c r="C132" t="s">
        <v>213</v>
      </c>
    </row>
    <row r="133" spans="1:3" x14ac:dyDescent="0.35">
      <c r="A133" t="s">
        <v>33</v>
      </c>
      <c r="B133" s="66">
        <v>44166</v>
      </c>
      <c r="C133" t="s">
        <v>214</v>
      </c>
    </row>
    <row r="134" spans="1:3" x14ac:dyDescent="0.35">
      <c r="A134" t="s">
        <v>33</v>
      </c>
      <c r="B134" s="66">
        <v>44136</v>
      </c>
      <c r="C134" t="s">
        <v>215</v>
      </c>
    </row>
    <row r="135" spans="1:3" x14ac:dyDescent="0.35">
      <c r="A135" t="s">
        <v>33</v>
      </c>
      <c r="B135" s="66">
        <v>44105</v>
      </c>
      <c r="C135" t="s">
        <v>216</v>
      </c>
    </row>
    <row r="136" spans="1:3" x14ac:dyDescent="0.35">
      <c r="A136" t="s">
        <v>33</v>
      </c>
      <c r="B136" s="66">
        <v>44075</v>
      </c>
      <c r="C136" t="s">
        <v>217</v>
      </c>
    </row>
    <row r="137" spans="1:3" x14ac:dyDescent="0.35">
      <c r="A137" t="s">
        <v>33</v>
      </c>
      <c r="B137" s="66">
        <v>44044</v>
      </c>
      <c r="C137" t="s">
        <v>218</v>
      </c>
    </row>
    <row r="138" spans="1:3" x14ac:dyDescent="0.35">
      <c r="A138" t="s">
        <v>33</v>
      </c>
      <c r="B138" s="66">
        <v>44013</v>
      </c>
      <c r="C138" t="s">
        <v>219</v>
      </c>
    </row>
    <row r="139" spans="1:3" x14ac:dyDescent="0.35">
      <c r="A139" t="s">
        <v>33</v>
      </c>
      <c r="B139" s="66">
        <v>43983</v>
      </c>
      <c r="C139" t="s">
        <v>220</v>
      </c>
    </row>
    <row r="140" spans="1:3" x14ac:dyDescent="0.35">
      <c r="A140" t="s">
        <v>33</v>
      </c>
      <c r="B140" s="66">
        <v>43952</v>
      </c>
      <c r="C140" t="s">
        <v>221</v>
      </c>
    </row>
    <row r="141" spans="1:3" x14ac:dyDescent="0.35">
      <c r="A141" t="s">
        <v>33</v>
      </c>
      <c r="B141" s="66">
        <v>43922</v>
      </c>
      <c r="C141" t="s">
        <v>222</v>
      </c>
    </row>
    <row r="142" spans="1:3" x14ac:dyDescent="0.35">
      <c r="A142" t="s">
        <v>33</v>
      </c>
      <c r="B142" s="66">
        <v>43891</v>
      </c>
      <c r="C142" t="s">
        <v>223</v>
      </c>
    </row>
    <row r="143" spans="1:3" x14ac:dyDescent="0.35">
      <c r="A143" t="s">
        <v>42</v>
      </c>
      <c r="B143" s="66">
        <v>44593</v>
      </c>
      <c r="C143" t="s">
        <v>224</v>
      </c>
    </row>
    <row r="144" spans="1:3" x14ac:dyDescent="0.35">
      <c r="A144" t="s">
        <v>42</v>
      </c>
      <c r="B144" s="66">
        <v>44562</v>
      </c>
      <c r="C144" t="s">
        <v>225</v>
      </c>
    </row>
    <row r="145" spans="1:3" x14ac:dyDescent="0.35">
      <c r="A145" t="s">
        <v>42</v>
      </c>
      <c r="B145" s="66">
        <v>44531</v>
      </c>
      <c r="C145" t="s">
        <v>226</v>
      </c>
    </row>
    <row r="146" spans="1:3" x14ac:dyDescent="0.35">
      <c r="A146" t="s">
        <v>42</v>
      </c>
      <c r="B146" s="66">
        <v>44501</v>
      </c>
      <c r="C146" t="s">
        <v>227</v>
      </c>
    </row>
    <row r="147" spans="1:3" x14ac:dyDescent="0.35">
      <c r="A147" t="s">
        <v>42</v>
      </c>
      <c r="B147" s="66">
        <v>44440</v>
      </c>
      <c r="C147" t="s">
        <v>228</v>
      </c>
    </row>
    <row r="148" spans="1:3" x14ac:dyDescent="0.35">
      <c r="A148" t="s">
        <v>42</v>
      </c>
      <c r="B148" s="66">
        <v>44348</v>
      </c>
      <c r="C148" t="s">
        <v>229</v>
      </c>
    </row>
    <row r="149" spans="1:3" x14ac:dyDescent="0.35">
      <c r="A149" t="s">
        <v>42</v>
      </c>
      <c r="B149" s="66">
        <v>44317</v>
      </c>
      <c r="C149" t="s">
        <v>230</v>
      </c>
    </row>
    <row r="150" spans="1:3" x14ac:dyDescent="0.35">
      <c r="A150" t="s">
        <v>42</v>
      </c>
      <c r="B150" s="66">
        <v>44287</v>
      </c>
      <c r="C150" t="s">
        <v>231</v>
      </c>
    </row>
    <row r="151" spans="1:3" x14ac:dyDescent="0.35">
      <c r="A151" t="s">
        <v>42</v>
      </c>
      <c r="B151" s="66">
        <v>44256</v>
      </c>
      <c r="C151" t="s">
        <v>232</v>
      </c>
    </row>
    <row r="152" spans="1:3" x14ac:dyDescent="0.35">
      <c r="A152" t="s">
        <v>42</v>
      </c>
      <c r="B152" s="66">
        <v>44228</v>
      </c>
      <c r="C152" t="s">
        <v>233</v>
      </c>
    </row>
    <row r="153" spans="1:3" x14ac:dyDescent="0.35">
      <c r="A153" t="s">
        <v>42</v>
      </c>
      <c r="B153" s="66">
        <v>44197</v>
      </c>
      <c r="C153" t="s">
        <v>234</v>
      </c>
    </row>
    <row r="154" spans="1:3" x14ac:dyDescent="0.35">
      <c r="A154" t="s">
        <v>42</v>
      </c>
      <c r="B154" s="66">
        <v>44136</v>
      </c>
      <c r="C154" t="s">
        <v>235</v>
      </c>
    </row>
    <row r="155" spans="1:3" x14ac:dyDescent="0.35">
      <c r="A155" t="s">
        <v>42</v>
      </c>
      <c r="B155" s="66">
        <v>44105</v>
      </c>
      <c r="C155" t="s">
        <v>236</v>
      </c>
    </row>
    <row r="156" spans="1:3" x14ac:dyDescent="0.35">
      <c r="A156" t="s">
        <v>42</v>
      </c>
      <c r="B156" s="66">
        <v>44075</v>
      </c>
      <c r="C156" t="s">
        <v>237</v>
      </c>
    </row>
    <row r="157" spans="1:3" x14ac:dyDescent="0.35">
      <c r="A157" t="s">
        <v>42</v>
      </c>
      <c r="B157" s="66">
        <v>44044</v>
      </c>
      <c r="C157" t="s">
        <v>238</v>
      </c>
    </row>
    <row r="158" spans="1:3" x14ac:dyDescent="0.35">
      <c r="A158" t="s">
        <v>42</v>
      </c>
      <c r="B158" s="66">
        <v>44013</v>
      </c>
      <c r="C158" t="s">
        <v>239</v>
      </c>
    </row>
    <row r="159" spans="1:3" x14ac:dyDescent="0.35">
      <c r="A159" t="s">
        <v>42</v>
      </c>
      <c r="B159" s="66">
        <v>43983</v>
      </c>
      <c r="C159" t="s">
        <v>240</v>
      </c>
    </row>
    <row r="160" spans="1:3" x14ac:dyDescent="0.35">
      <c r="A160" t="s">
        <v>42</v>
      </c>
      <c r="B160" s="66">
        <v>43952</v>
      </c>
      <c r="C160" t="s">
        <v>241</v>
      </c>
    </row>
    <row r="161" spans="1:3" x14ac:dyDescent="0.35">
      <c r="A161" t="s">
        <v>42</v>
      </c>
      <c r="B161" s="66">
        <v>43922</v>
      </c>
      <c r="C161" t="s">
        <v>242</v>
      </c>
    </row>
    <row r="162" spans="1:3" x14ac:dyDescent="0.35">
      <c r="A162" t="s">
        <v>42</v>
      </c>
      <c r="B162" s="66">
        <v>43862</v>
      </c>
      <c r="C162" t="s">
        <v>243</v>
      </c>
    </row>
    <row r="163" spans="1:3" x14ac:dyDescent="0.35">
      <c r="A163" t="s">
        <v>42</v>
      </c>
      <c r="B163" s="66">
        <v>43831</v>
      </c>
      <c r="C163" t="s">
        <v>244</v>
      </c>
    </row>
    <row r="164" spans="1:3" x14ac:dyDescent="0.35">
      <c r="A164" t="s">
        <v>42</v>
      </c>
      <c r="B164" s="66">
        <v>43770</v>
      </c>
      <c r="C164" t="s">
        <v>245</v>
      </c>
    </row>
    <row r="165" spans="1:3" x14ac:dyDescent="0.35">
      <c r="A165" t="s">
        <v>42</v>
      </c>
      <c r="B165" s="66">
        <v>43739</v>
      </c>
      <c r="C165" t="s">
        <v>246</v>
      </c>
    </row>
    <row r="166" spans="1:3" x14ac:dyDescent="0.35">
      <c r="A166" t="s">
        <v>42</v>
      </c>
      <c r="B166" s="66">
        <v>43709</v>
      </c>
      <c r="C166" t="s">
        <v>247</v>
      </c>
    </row>
    <row r="167" spans="1:3" x14ac:dyDescent="0.35">
      <c r="A167" t="s">
        <v>42</v>
      </c>
      <c r="B167" s="66">
        <v>43678</v>
      </c>
      <c r="C167" t="s">
        <v>248</v>
      </c>
    </row>
    <row r="168" spans="1:3" x14ac:dyDescent="0.35">
      <c r="A168" t="s">
        <v>42</v>
      </c>
      <c r="B168" s="66">
        <v>43586</v>
      </c>
      <c r="C168" t="s">
        <v>249</v>
      </c>
    </row>
    <row r="169" spans="1:3" x14ac:dyDescent="0.35">
      <c r="A169" t="s">
        <v>42</v>
      </c>
      <c r="B169" s="66">
        <v>43497</v>
      </c>
      <c r="C169" t="s">
        <v>250</v>
      </c>
    </row>
    <row r="170" spans="1:3" x14ac:dyDescent="0.35">
      <c r="A170" t="s">
        <v>43</v>
      </c>
      <c r="B170" s="66">
        <v>44835</v>
      </c>
      <c r="C170" t="s">
        <v>251</v>
      </c>
    </row>
    <row r="171" spans="1:3" x14ac:dyDescent="0.35">
      <c r="A171" t="s">
        <v>43</v>
      </c>
      <c r="B171" s="66">
        <v>44743</v>
      </c>
      <c r="C171" t="s">
        <v>252</v>
      </c>
    </row>
    <row r="172" spans="1:3" x14ac:dyDescent="0.35">
      <c r="A172" t="s">
        <v>43</v>
      </c>
      <c r="B172" s="66">
        <v>44713</v>
      </c>
      <c r="C172" t="s">
        <v>253</v>
      </c>
    </row>
    <row r="173" spans="1:3" x14ac:dyDescent="0.35">
      <c r="A173" t="s">
        <v>43</v>
      </c>
      <c r="B173" s="66">
        <v>44652</v>
      </c>
      <c r="C173" t="s">
        <v>254</v>
      </c>
    </row>
    <row r="174" spans="1:3" x14ac:dyDescent="0.35">
      <c r="A174" t="s">
        <v>43</v>
      </c>
      <c r="B174" s="66">
        <v>44621</v>
      </c>
      <c r="C174" t="s">
        <v>255</v>
      </c>
    </row>
    <row r="175" spans="1:3" x14ac:dyDescent="0.35">
      <c r="A175" t="s">
        <v>43</v>
      </c>
      <c r="B175" s="66">
        <v>44593</v>
      </c>
      <c r="C175" t="s">
        <v>256</v>
      </c>
    </row>
    <row r="176" spans="1:3" x14ac:dyDescent="0.35">
      <c r="A176" t="s">
        <v>43</v>
      </c>
      <c r="B176" s="66">
        <v>44531</v>
      </c>
      <c r="C176" t="s">
        <v>257</v>
      </c>
    </row>
    <row r="177" spans="1:3" x14ac:dyDescent="0.35">
      <c r="A177" t="s">
        <v>43</v>
      </c>
      <c r="B177" s="66">
        <v>44501</v>
      </c>
      <c r="C177" t="s">
        <v>258</v>
      </c>
    </row>
    <row r="178" spans="1:3" x14ac:dyDescent="0.35">
      <c r="A178" t="s">
        <v>43</v>
      </c>
      <c r="B178" s="66">
        <v>44470</v>
      </c>
      <c r="C178" t="s">
        <v>259</v>
      </c>
    </row>
    <row r="179" spans="1:3" x14ac:dyDescent="0.35">
      <c r="A179" t="s">
        <v>43</v>
      </c>
      <c r="B179" s="66">
        <v>44440</v>
      </c>
      <c r="C179" t="s">
        <v>260</v>
      </c>
    </row>
    <row r="180" spans="1:3" x14ac:dyDescent="0.35">
      <c r="A180" t="s">
        <v>43</v>
      </c>
      <c r="B180" s="66">
        <v>44409</v>
      </c>
      <c r="C180" t="s">
        <v>261</v>
      </c>
    </row>
    <row r="181" spans="1:3" x14ac:dyDescent="0.35">
      <c r="A181" t="s">
        <v>43</v>
      </c>
      <c r="B181" s="66">
        <v>44378</v>
      </c>
      <c r="C181" t="s">
        <v>262</v>
      </c>
    </row>
    <row r="182" spans="1:3" x14ac:dyDescent="0.35">
      <c r="A182" t="s">
        <v>43</v>
      </c>
      <c r="B182" s="66">
        <v>44348</v>
      </c>
      <c r="C182" t="s">
        <v>263</v>
      </c>
    </row>
    <row r="183" spans="1:3" x14ac:dyDescent="0.35">
      <c r="A183" t="s">
        <v>43</v>
      </c>
      <c r="B183" s="66">
        <v>44317</v>
      </c>
      <c r="C183" t="s">
        <v>264</v>
      </c>
    </row>
    <row r="184" spans="1:3" x14ac:dyDescent="0.35">
      <c r="A184" t="s">
        <v>43</v>
      </c>
      <c r="B184" s="66">
        <v>44287</v>
      </c>
      <c r="C184" t="s">
        <v>265</v>
      </c>
    </row>
    <row r="185" spans="1:3" x14ac:dyDescent="0.35">
      <c r="A185" t="s">
        <v>43</v>
      </c>
      <c r="B185" s="66">
        <v>44256</v>
      </c>
      <c r="C185" t="s">
        <v>266</v>
      </c>
    </row>
    <row r="186" spans="1:3" x14ac:dyDescent="0.35">
      <c r="A186" t="s">
        <v>43</v>
      </c>
      <c r="B186" s="66">
        <v>44228</v>
      </c>
      <c r="C186" t="s">
        <v>267</v>
      </c>
    </row>
    <row r="187" spans="1:3" x14ac:dyDescent="0.35">
      <c r="A187" t="s">
        <v>43</v>
      </c>
      <c r="B187" s="66">
        <v>44197</v>
      </c>
      <c r="C187" t="s">
        <v>268</v>
      </c>
    </row>
    <row r="188" spans="1:3" x14ac:dyDescent="0.35">
      <c r="A188" t="s">
        <v>43</v>
      </c>
      <c r="B188" s="66">
        <v>44166</v>
      </c>
      <c r="C188" t="s">
        <v>269</v>
      </c>
    </row>
    <row r="189" spans="1:3" x14ac:dyDescent="0.35">
      <c r="A189" t="s">
        <v>43</v>
      </c>
      <c r="B189" s="66">
        <v>44105</v>
      </c>
      <c r="C189" t="s">
        <v>270</v>
      </c>
    </row>
    <row r="190" spans="1:3" x14ac:dyDescent="0.35">
      <c r="A190" t="s">
        <v>43</v>
      </c>
      <c r="B190" s="66">
        <v>44075</v>
      </c>
      <c r="C190" t="s">
        <v>271</v>
      </c>
    </row>
    <row r="191" spans="1:3" x14ac:dyDescent="0.35">
      <c r="A191" t="s">
        <v>43</v>
      </c>
      <c r="B191" s="66">
        <v>44044</v>
      </c>
      <c r="C191" t="s">
        <v>272</v>
      </c>
    </row>
    <row r="192" spans="1:3" x14ac:dyDescent="0.35">
      <c r="A192" t="s">
        <v>43</v>
      </c>
      <c r="B192" s="66">
        <v>44013</v>
      </c>
      <c r="C192" t="s">
        <v>273</v>
      </c>
    </row>
    <row r="193" spans="1:3" x14ac:dyDescent="0.35">
      <c r="A193" t="s">
        <v>43</v>
      </c>
      <c r="B193" s="66">
        <v>43983</v>
      </c>
      <c r="C193" t="s">
        <v>274</v>
      </c>
    </row>
    <row r="194" spans="1:3" x14ac:dyDescent="0.35">
      <c r="A194" t="s">
        <v>43</v>
      </c>
      <c r="B194" s="66">
        <v>43952</v>
      </c>
      <c r="C194" t="s">
        <v>275</v>
      </c>
    </row>
    <row r="195" spans="1:3" x14ac:dyDescent="0.35">
      <c r="A195" t="s">
        <v>43</v>
      </c>
      <c r="B195" s="66">
        <v>43922</v>
      </c>
      <c r="C195" t="s">
        <v>276</v>
      </c>
    </row>
    <row r="196" spans="1:3" x14ac:dyDescent="0.35">
      <c r="A196" t="s">
        <v>43</v>
      </c>
      <c r="B196" s="66">
        <v>43891</v>
      </c>
      <c r="C196" t="s">
        <v>277</v>
      </c>
    </row>
    <row r="197" spans="1:3" x14ac:dyDescent="0.35">
      <c r="A197" t="s">
        <v>43</v>
      </c>
      <c r="B197" s="66">
        <v>43862</v>
      </c>
      <c r="C197" t="s">
        <v>278</v>
      </c>
    </row>
    <row r="198" spans="1:3" x14ac:dyDescent="0.35">
      <c r="A198" t="s">
        <v>43</v>
      </c>
      <c r="B198" s="66">
        <v>43831</v>
      </c>
      <c r="C198" t="s">
        <v>279</v>
      </c>
    </row>
    <row r="199" spans="1:3" x14ac:dyDescent="0.35">
      <c r="A199" t="s">
        <v>43</v>
      </c>
      <c r="B199" s="66">
        <v>43770</v>
      </c>
      <c r="C199" t="s">
        <v>280</v>
      </c>
    </row>
    <row r="200" spans="1:3" x14ac:dyDescent="0.35">
      <c r="A200" t="s">
        <v>43</v>
      </c>
      <c r="B200" s="66">
        <v>43709</v>
      </c>
      <c r="C200" t="s">
        <v>281</v>
      </c>
    </row>
    <row r="201" spans="1:3" x14ac:dyDescent="0.35">
      <c r="A201" t="s">
        <v>43</v>
      </c>
      <c r="B201" s="66">
        <v>43647</v>
      </c>
      <c r="C201" t="s">
        <v>282</v>
      </c>
    </row>
    <row r="202" spans="1:3" x14ac:dyDescent="0.35">
      <c r="A202" t="s">
        <v>43</v>
      </c>
      <c r="B202" s="66">
        <v>43617</v>
      </c>
      <c r="C202" t="s">
        <v>283</v>
      </c>
    </row>
    <row r="203" spans="1:3" x14ac:dyDescent="0.35">
      <c r="A203" t="s">
        <v>43</v>
      </c>
      <c r="B203" s="66">
        <v>43586</v>
      </c>
      <c r="C203" t="s">
        <v>284</v>
      </c>
    </row>
    <row r="204" spans="1:3" x14ac:dyDescent="0.35">
      <c r="A204" t="s">
        <v>43</v>
      </c>
      <c r="B204" s="66">
        <v>43556</v>
      </c>
      <c r="C204" t="s">
        <v>285</v>
      </c>
    </row>
    <row r="205" spans="1:3" x14ac:dyDescent="0.35">
      <c r="A205" t="s">
        <v>43</v>
      </c>
      <c r="B205" s="66">
        <v>43525</v>
      </c>
      <c r="C205" t="s">
        <v>286</v>
      </c>
    </row>
    <row r="206" spans="1:3" x14ac:dyDescent="0.35">
      <c r="A206" t="s">
        <v>43</v>
      </c>
      <c r="B206" s="66">
        <v>43497</v>
      </c>
      <c r="C206" t="s">
        <v>287</v>
      </c>
    </row>
    <row r="207" spans="1:3" x14ac:dyDescent="0.35">
      <c r="A207" t="s">
        <v>35</v>
      </c>
      <c r="B207" s="66">
        <v>44713</v>
      </c>
      <c r="C207" t="s">
        <v>288</v>
      </c>
    </row>
    <row r="208" spans="1:3" x14ac:dyDescent="0.35">
      <c r="A208" t="s">
        <v>35</v>
      </c>
      <c r="B208" s="66">
        <v>44682</v>
      </c>
      <c r="C208" t="s">
        <v>289</v>
      </c>
    </row>
    <row r="209" spans="1:3" x14ac:dyDescent="0.35">
      <c r="A209" t="s">
        <v>35</v>
      </c>
      <c r="B209" s="66">
        <v>44652</v>
      </c>
      <c r="C209" t="s">
        <v>290</v>
      </c>
    </row>
    <row r="210" spans="1:3" x14ac:dyDescent="0.35">
      <c r="A210" t="s">
        <v>35</v>
      </c>
      <c r="B210" s="66">
        <v>44621</v>
      </c>
      <c r="C210" t="s">
        <v>291</v>
      </c>
    </row>
    <row r="211" spans="1:3" x14ac:dyDescent="0.35">
      <c r="A211" t="s">
        <v>35</v>
      </c>
      <c r="B211" s="66">
        <v>44593</v>
      </c>
      <c r="C211" t="s">
        <v>292</v>
      </c>
    </row>
    <row r="212" spans="1:3" x14ac:dyDescent="0.35">
      <c r="A212" t="s">
        <v>35</v>
      </c>
      <c r="B212" s="66">
        <v>44562</v>
      </c>
      <c r="C212" t="s">
        <v>293</v>
      </c>
    </row>
    <row r="213" spans="1:3" x14ac:dyDescent="0.35">
      <c r="A213" t="s">
        <v>35</v>
      </c>
      <c r="B213" s="66">
        <v>44531</v>
      </c>
      <c r="C213" t="s">
        <v>294</v>
      </c>
    </row>
    <row r="214" spans="1:3" x14ac:dyDescent="0.35">
      <c r="A214" t="s">
        <v>35</v>
      </c>
      <c r="B214" s="66">
        <v>44470</v>
      </c>
      <c r="C214" t="s">
        <v>295</v>
      </c>
    </row>
    <row r="215" spans="1:3" x14ac:dyDescent="0.35">
      <c r="A215" t="s">
        <v>35</v>
      </c>
      <c r="B215" s="66">
        <v>44440</v>
      </c>
      <c r="C215" t="s">
        <v>296</v>
      </c>
    </row>
    <row r="216" spans="1:3" x14ac:dyDescent="0.35">
      <c r="A216" t="s">
        <v>35</v>
      </c>
      <c r="B216" s="66">
        <v>44409</v>
      </c>
      <c r="C216" t="s">
        <v>297</v>
      </c>
    </row>
    <row r="217" spans="1:3" x14ac:dyDescent="0.35">
      <c r="A217" t="s">
        <v>35</v>
      </c>
      <c r="B217" s="66">
        <v>44348</v>
      </c>
      <c r="C217" t="s">
        <v>298</v>
      </c>
    </row>
    <row r="218" spans="1:3" x14ac:dyDescent="0.35">
      <c r="A218" t="s">
        <v>35</v>
      </c>
      <c r="B218" s="66">
        <v>44287</v>
      </c>
      <c r="C218" t="s">
        <v>299</v>
      </c>
    </row>
    <row r="219" spans="1:3" x14ac:dyDescent="0.35">
      <c r="A219" t="s">
        <v>35</v>
      </c>
      <c r="B219" s="66">
        <v>44256</v>
      </c>
      <c r="C219" t="s">
        <v>300</v>
      </c>
    </row>
    <row r="220" spans="1:3" x14ac:dyDescent="0.35">
      <c r="A220" t="s">
        <v>35</v>
      </c>
      <c r="B220" s="66">
        <v>44228</v>
      </c>
      <c r="C220" t="s">
        <v>301</v>
      </c>
    </row>
    <row r="221" spans="1:3" x14ac:dyDescent="0.35">
      <c r="A221" t="s">
        <v>35</v>
      </c>
      <c r="B221" s="66">
        <v>44197</v>
      </c>
      <c r="C221" t="s">
        <v>302</v>
      </c>
    </row>
    <row r="222" spans="1:3" x14ac:dyDescent="0.35">
      <c r="A222" t="s">
        <v>35</v>
      </c>
      <c r="B222" s="66">
        <v>44136</v>
      </c>
      <c r="C222" t="s">
        <v>303</v>
      </c>
    </row>
    <row r="223" spans="1:3" x14ac:dyDescent="0.35">
      <c r="A223" t="s">
        <v>35</v>
      </c>
      <c r="B223" s="66">
        <v>44105</v>
      </c>
      <c r="C223" t="s">
        <v>304</v>
      </c>
    </row>
    <row r="224" spans="1:3" x14ac:dyDescent="0.35">
      <c r="A224" t="s">
        <v>35</v>
      </c>
      <c r="B224" s="66">
        <v>44044</v>
      </c>
      <c r="C224" t="s">
        <v>305</v>
      </c>
    </row>
    <row r="225" spans="1:3" x14ac:dyDescent="0.35">
      <c r="A225" t="s">
        <v>35</v>
      </c>
      <c r="B225" s="66">
        <v>43983</v>
      </c>
      <c r="C225" t="s">
        <v>306</v>
      </c>
    </row>
    <row r="226" spans="1:3" x14ac:dyDescent="0.35">
      <c r="A226" t="s">
        <v>35</v>
      </c>
      <c r="B226" s="66">
        <v>43952</v>
      </c>
      <c r="C226" t="s">
        <v>307</v>
      </c>
    </row>
    <row r="227" spans="1:3" x14ac:dyDescent="0.35">
      <c r="A227" t="s">
        <v>35</v>
      </c>
      <c r="B227" s="66">
        <v>43891</v>
      </c>
      <c r="C227" t="s">
        <v>308</v>
      </c>
    </row>
    <row r="228" spans="1:3" x14ac:dyDescent="0.35">
      <c r="A228" t="s">
        <v>35</v>
      </c>
      <c r="B228" s="66">
        <v>43800</v>
      </c>
      <c r="C228" t="s">
        <v>309</v>
      </c>
    </row>
    <row r="229" spans="1:3" x14ac:dyDescent="0.35">
      <c r="A229" t="s">
        <v>35</v>
      </c>
      <c r="B229" s="66">
        <v>43709</v>
      </c>
      <c r="C229" t="s">
        <v>310</v>
      </c>
    </row>
    <row r="230" spans="1:3" x14ac:dyDescent="0.35">
      <c r="A230" t="s">
        <v>35</v>
      </c>
      <c r="B230" s="66">
        <v>43647</v>
      </c>
      <c r="C230" t="s">
        <v>311</v>
      </c>
    </row>
    <row r="231" spans="1:3" x14ac:dyDescent="0.35">
      <c r="A231" t="s">
        <v>35</v>
      </c>
      <c r="B231" s="66">
        <v>43586</v>
      </c>
      <c r="C231" t="s">
        <v>312</v>
      </c>
    </row>
    <row r="232" spans="1:3" x14ac:dyDescent="0.35">
      <c r="A232" t="s">
        <v>20</v>
      </c>
      <c r="B232" s="66">
        <v>44774</v>
      </c>
      <c r="C232" t="s">
        <v>313</v>
      </c>
    </row>
    <row r="233" spans="1:3" x14ac:dyDescent="0.35">
      <c r="A233" t="s">
        <v>20</v>
      </c>
      <c r="B233" s="66">
        <v>44743</v>
      </c>
      <c r="C233" t="s">
        <v>314</v>
      </c>
    </row>
    <row r="234" spans="1:3" x14ac:dyDescent="0.35">
      <c r="A234" t="s">
        <v>20</v>
      </c>
      <c r="B234" s="66">
        <v>44682</v>
      </c>
      <c r="C234" t="s">
        <v>315</v>
      </c>
    </row>
    <row r="235" spans="1:3" x14ac:dyDescent="0.35">
      <c r="A235" t="s">
        <v>20</v>
      </c>
      <c r="B235" s="66">
        <v>44652</v>
      </c>
      <c r="C235" t="s">
        <v>316</v>
      </c>
    </row>
    <row r="236" spans="1:3" x14ac:dyDescent="0.35">
      <c r="A236" t="s">
        <v>20</v>
      </c>
      <c r="B236" s="66">
        <v>44621</v>
      </c>
      <c r="C236" t="s">
        <v>317</v>
      </c>
    </row>
    <row r="237" spans="1:3" x14ac:dyDescent="0.35">
      <c r="A237" t="s">
        <v>20</v>
      </c>
      <c r="B237" s="66">
        <v>44501</v>
      </c>
      <c r="C237" t="s">
        <v>318</v>
      </c>
    </row>
    <row r="238" spans="1:3" x14ac:dyDescent="0.35">
      <c r="A238" t="s">
        <v>20</v>
      </c>
      <c r="B238" s="66">
        <v>44470</v>
      </c>
      <c r="C238" t="s">
        <v>319</v>
      </c>
    </row>
    <row r="239" spans="1:3" x14ac:dyDescent="0.35">
      <c r="A239" t="s">
        <v>20</v>
      </c>
      <c r="B239" s="66">
        <v>44440</v>
      </c>
      <c r="C239" t="s">
        <v>320</v>
      </c>
    </row>
    <row r="240" spans="1:3" x14ac:dyDescent="0.35">
      <c r="A240" t="s">
        <v>20</v>
      </c>
      <c r="B240" s="66">
        <v>44409</v>
      </c>
      <c r="C240" t="s">
        <v>321</v>
      </c>
    </row>
    <row r="241" spans="1:3" x14ac:dyDescent="0.35">
      <c r="A241" t="s">
        <v>20</v>
      </c>
      <c r="B241" s="66">
        <v>44378</v>
      </c>
      <c r="C241" t="s">
        <v>322</v>
      </c>
    </row>
    <row r="242" spans="1:3" x14ac:dyDescent="0.35">
      <c r="A242" t="s">
        <v>20</v>
      </c>
      <c r="B242" s="66">
        <v>44317</v>
      </c>
      <c r="C242" t="s">
        <v>323</v>
      </c>
    </row>
    <row r="243" spans="1:3" x14ac:dyDescent="0.35">
      <c r="A243" t="s">
        <v>20</v>
      </c>
      <c r="B243" s="66">
        <v>44136</v>
      </c>
      <c r="C243" t="s">
        <v>324</v>
      </c>
    </row>
    <row r="244" spans="1:3" x14ac:dyDescent="0.35">
      <c r="A244" t="s">
        <v>20</v>
      </c>
      <c r="B244" s="66">
        <v>44013</v>
      </c>
      <c r="C244" t="s">
        <v>325</v>
      </c>
    </row>
    <row r="245" spans="1:3" x14ac:dyDescent="0.35">
      <c r="A245" t="s">
        <v>20</v>
      </c>
      <c r="B245" s="66">
        <v>43922</v>
      </c>
      <c r="C245" t="s">
        <v>326</v>
      </c>
    </row>
    <row r="246" spans="1:3" x14ac:dyDescent="0.35">
      <c r="A246" t="s">
        <v>20</v>
      </c>
      <c r="B246" s="66">
        <v>43891</v>
      </c>
      <c r="C246" t="s">
        <v>327</v>
      </c>
    </row>
    <row r="247" spans="1:3" x14ac:dyDescent="0.35">
      <c r="A247" t="s">
        <v>20</v>
      </c>
      <c r="B247" s="66">
        <v>43862</v>
      </c>
      <c r="C247" t="s">
        <v>328</v>
      </c>
    </row>
    <row r="248" spans="1:3" x14ac:dyDescent="0.35">
      <c r="A248" t="s">
        <v>20</v>
      </c>
      <c r="B248" s="66">
        <v>43831</v>
      </c>
      <c r="C248" t="s">
        <v>329</v>
      </c>
    </row>
    <row r="249" spans="1:3" x14ac:dyDescent="0.35">
      <c r="A249" t="s">
        <v>20</v>
      </c>
      <c r="B249" s="66">
        <v>43800</v>
      </c>
      <c r="C249" t="s">
        <v>330</v>
      </c>
    </row>
    <row r="250" spans="1:3" x14ac:dyDescent="0.35">
      <c r="A250" t="s">
        <v>20</v>
      </c>
      <c r="B250" s="66">
        <v>43770</v>
      </c>
      <c r="C250" t="s">
        <v>331</v>
      </c>
    </row>
    <row r="251" spans="1:3" x14ac:dyDescent="0.35">
      <c r="A251" t="s">
        <v>20</v>
      </c>
      <c r="B251" s="66">
        <v>43709</v>
      </c>
      <c r="C251" t="s">
        <v>332</v>
      </c>
    </row>
    <row r="252" spans="1:3" x14ac:dyDescent="0.35">
      <c r="A252" t="s">
        <v>20</v>
      </c>
      <c r="B252" s="66">
        <v>43678</v>
      </c>
      <c r="C252" t="s">
        <v>333</v>
      </c>
    </row>
    <row r="253" spans="1:3" x14ac:dyDescent="0.35">
      <c r="A253" t="s">
        <v>20</v>
      </c>
      <c r="B253" s="66">
        <v>43647</v>
      </c>
      <c r="C253" t="s">
        <v>334</v>
      </c>
    </row>
    <row r="254" spans="1:3" x14ac:dyDescent="0.35">
      <c r="A254" t="s">
        <v>20</v>
      </c>
      <c r="B254" s="66">
        <v>43617</v>
      </c>
      <c r="C254" t="s">
        <v>335</v>
      </c>
    </row>
    <row r="255" spans="1:3" x14ac:dyDescent="0.35">
      <c r="A255" t="s">
        <v>20</v>
      </c>
      <c r="B255" s="66">
        <v>43556</v>
      </c>
      <c r="C255" t="s">
        <v>336</v>
      </c>
    </row>
    <row r="256" spans="1:3" x14ac:dyDescent="0.35">
      <c r="A256" t="s">
        <v>20</v>
      </c>
      <c r="B256" s="66">
        <v>43525</v>
      </c>
      <c r="C256" t="s">
        <v>337</v>
      </c>
    </row>
    <row r="257" spans="1:3" x14ac:dyDescent="0.35">
      <c r="A257" t="s">
        <v>20</v>
      </c>
      <c r="B257" s="66">
        <v>43497</v>
      </c>
      <c r="C257" t="s">
        <v>338</v>
      </c>
    </row>
    <row r="258" spans="1:3" x14ac:dyDescent="0.35">
      <c r="A258" t="s">
        <v>20</v>
      </c>
      <c r="B258" s="66">
        <v>43466</v>
      </c>
      <c r="C258" t="s">
        <v>339</v>
      </c>
    </row>
    <row r="259" spans="1:3" x14ac:dyDescent="0.35">
      <c r="A259" t="s">
        <v>17</v>
      </c>
      <c r="B259" s="66">
        <v>44866</v>
      </c>
      <c r="C259" t="s">
        <v>340</v>
      </c>
    </row>
    <row r="260" spans="1:3" x14ac:dyDescent="0.35">
      <c r="A260" t="s">
        <v>17</v>
      </c>
      <c r="B260" s="66">
        <v>44713</v>
      </c>
      <c r="C260" t="s">
        <v>341</v>
      </c>
    </row>
    <row r="261" spans="1:3" x14ac:dyDescent="0.35">
      <c r="A261" t="s">
        <v>17</v>
      </c>
      <c r="B261" s="66">
        <v>44409</v>
      </c>
      <c r="C261" t="s">
        <v>342</v>
      </c>
    </row>
    <row r="262" spans="1:3" x14ac:dyDescent="0.35">
      <c r="A262" t="s">
        <v>17</v>
      </c>
      <c r="B262" s="66">
        <v>44348</v>
      </c>
      <c r="C262" t="s">
        <v>343</v>
      </c>
    </row>
    <row r="263" spans="1:3" x14ac:dyDescent="0.35">
      <c r="A263" t="s">
        <v>17</v>
      </c>
      <c r="B263" s="66">
        <v>44317</v>
      </c>
      <c r="C263" t="s">
        <v>344</v>
      </c>
    </row>
    <row r="264" spans="1:3" x14ac:dyDescent="0.35">
      <c r="A264" t="s">
        <v>17</v>
      </c>
      <c r="B264" s="66">
        <v>44256</v>
      </c>
      <c r="C264" t="s">
        <v>345</v>
      </c>
    </row>
    <row r="265" spans="1:3" x14ac:dyDescent="0.35">
      <c r="A265" t="s">
        <v>17</v>
      </c>
      <c r="B265" s="66">
        <v>44197</v>
      </c>
      <c r="C265" t="s">
        <v>346</v>
      </c>
    </row>
    <row r="266" spans="1:3" x14ac:dyDescent="0.35">
      <c r="A266" t="s">
        <v>17</v>
      </c>
      <c r="B266" s="66">
        <v>44136</v>
      </c>
      <c r="C266" t="s">
        <v>347</v>
      </c>
    </row>
    <row r="267" spans="1:3" x14ac:dyDescent="0.35">
      <c r="A267" t="s">
        <v>17</v>
      </c>
      <c r="B267" s="66">
        <v>44075</v>
      </c>
      <c r="C267" t="s">
        <v>348</v>
      </c>
    </row>
    <row r="268" spans="1:3" x14ac:dyDescent="0.35">
      <c r="A268" t="s">
        <v>17</v>
      </c>
      <c r="B268" s="66">
        <v>43983</v>
      </c>
      <c r="C268" t="s">
        <v>349</v>
      </c>
    </row>
    <row r="269" spans="1:3" x14ac:dyDescent="0.35">
      <c r="A269" t="s">
        <v>17</v>
      </c>
      <c r="B269" s="66">
        <v>43891</v>
      </c>
      <c r="C269" t="s">
        <v>350</v>
      </c>
    </row>
    <row r="270" spans="1:3" x14ac:dyDescent="0.35">
      <c r="A270" t="s">
        <v>17</v>
      </c>
      <c r="B270" s="66">
        <v>43862</v>
      </c>
      <c r="C270" t="s">
        <v>351</v>
      </c>
    </row>
    <row r="271" spans="1:3" x14ac:dyDescent="0.35">
      <c r="A271" t="s">
        <v>17</v>
      </c>
      <c r="B271" s="66">
        <v>43800</v>
      </c>
      <c r="C271" t="s">
        <v>352</v>
      </c>
    </row>
    <row r="272" spans="1:3" x14ac:dyDescent="0.35">
      <c r="A272" t="s">
        <v>17</v>
      </c>
      <c r="B272" s="66">
        <v>43739</v>
      </c>
      <c r="C272" t="s">
        <v>353</v>
      </c>
    </row>
    <row r="273" spans="1:3" x14ac:dyDescent="0.35">
      <c r="A273" t="s">
        <v>17</v>
      </c>
      <c r="B273" s="66">
        <v>43647</v>
      </c>
      <c r="C273" t="s">
        <v>354</v>
      </c>
    </row>
    <row r="274" spans="1:3" x14ac:dyDescent="0.35">
      <c r="A274" t="s">
        <v>17</v>
      </c>
      <c r="B274" s="66">
        <v>43586</v>
      </c>
      <c r="C274" t="s">
        <v>355</v>
      </c>
    </row>
    <row r="275" spans="1:3" x14ac:dyDescent="0.35">
      <c r="A275" t="s">
        <v>17</v>
      </c>
      <c r="B275" s="66">
        <v>43556</v>
      </c>
      <c r="C275" t="s">
        <v>356</v>
      </c>
    </row>
    <row r="276" spans="1:3" x14ac:dyDescent="0.35">
      <c r="A276" t="s">
        <v>17</v>
      </c>
      <c r="B276" s="66">
        <v>43525</v>
      </c>
      <c r="C276" t="s">
        <v>357</v>
      </c>
    </row>
    <row r="277" spans="1:3" x14ac:dyDescent="0.35">
      <c r="A277" t="s">
        <v>17</v>
      </c>
      <c r="B277" s="66">
        <v>43497</v>
      </c>
      <c r="C277" t="s">
        <v>358</v>
      </c>
    </row>
    <row r="278" spans="1:3" x14ac:dyDescent="0.35">
      <c r="A278" t="s">
        <v>23</v>
      </c>
      <c r="B278" s="66">
        <v>44835</v>
      </c>
      <c r="C278" t="s">
        <v>359</v>
      </c>
    </row>
    <row r="279" spans="1:3" x14ac:dyDescent="0.35">
      <c r="A279" t="s">
        <v>23</v>
      </c>
      <c r="B279" s="66">
        <v>44562</v>
      </c>
      <c r="C279" t="s">
        <v>360</v>
      </c>
    </row>
    <row r="280" spans="1:3" x14ac:dyDescent="0.35">
      <c r="A280" t="s">
        <v>23</v>
      </c>
      <c r="B280" s="66">
        <v>44531</v>
      </c>
      <c r="C280" t="s">
        <v>361</v>
      </c>
    </row>
    <row r="281" spans="1:3" x14ac:dyDescent="0.35">
      <c r="A281" t="s">
        <v>23</v>
      </c>
      <c r="B281" s="66">
        <v>44197</v>
      </c>
      <c r="C281" t="s">
        <v>362</v>
      </c>
    </row>
    <row r="282" spans="1:3" x14ac:dyDescent="0.35">
      <c r="A282" t="s">
        <v>23</v>
      </c>
      <c r="B282" s="66">
        <v>43983</v>
      </c>
      <c r="C282" t="s">
        <v>363</v>
      </c>
    </row>
    <row r="283" spans="1:3" x14ac:dyDescent="0.35">
      <c r="A283" t="s">
        <v>23</v>
      </c>
      <c r="B283" s="66">
        <v>43770</v>
      </c>
      <c r="C283" t="s">
        <v>364</v>
      </c>
    </row>
    <row r="284" spans="1:3" x14ac:dyDescent="0.35">
      <c r="A284" t="s">
        <v>44</v>
      </c>
      <c r="B284" s="66">
        <v>44866</v>
      </c>
      <c r="C284" t="s">
        <v>365</v>
      </c>
    </row>
    <row r="285" spans="1:3" x14ac:dyDescent="0.35">
      <c r="A285" t="s">
        <v>44</v>
      </c>
      <c r="B285" s="66">
        <v>44835</v>
      </c>
      <c r="C285" t="s">
        <v>366</v>
      </c>
    </row>
    <row r="286" spans="1:3" x14ac:dyDescent="0.35">
      <c r="A286" t="s">
        <v>44</v>
      </c>
      <c r="B286" s="66">
        <v>44805</v>
      </c>
      <c r="C286" t="s">
        <v>367</v>
      </c>
    </row>
    <row r="287" spans="1:3" x14ac:dyDescent="0.35">
      <c r="A287" t="s">
        <v>44</v>
      </c>
      <c r="B287" s="66">
        <v>44774</v>
      </c>
      <c r="C287" t="s">
        <v>368</v>
      </c>
    </row>
    <row r="288" spans="1:3" x14ac:dyDescent="0.35">
      <c r="A288" t="s">
        <v>44</v>
      </c>
      <c r="B288" s="66">
        <v>44743</v>
      </c>
      <c r="C288" t="s">
        <v>369</v>
      </c>
    </row>
    <row r="289" spans="1:3" x14ac:dyDescent="0.35">
      <c r="A289" t="s">
        <v>44</v>
      </c>
      <c r="B289" s="66">
        <v>44682</v>
      </c>
      <c r="C289" t="s">
        <v>370</v>
      </c>
    </row>
    <row r="290" spans="1:3" x14ac:dyDescent="0.35">
      <c r="A290" t="s">
        <v>44</v>
      </c>
      <c r="B290" s="66">
        <v>44652</v>
      </c>
      <c r="C290" t="s">
        <v>371</v>
      </c>
    </row>
    <row r="291" spans="1:3" x14ac:dyDescent="0.35">
      <c r="A291" t="s">
        <v>44</v>
      </c>
      <c r="B291" s="66">
        <v>44562</v>
      </c>
      <c r="C291" t="s">
        <v>372</v>
      </c>
    </row>
    <row r="292" spans="1:3" x14ac:dyDescent="0.35">
      <c r="A292" t="s">
        <v>44</v>
      </c>
      <c r="B292" s="66">
        <v>44531</v>
      </c>
      <c r="C292" t="s">
        <v>373</v>
      </c>
    </row>
    <row r="293" spans="1:3" x14ac:dyDescent="0.35">
      <c r="A293" t="s">
        <v>44</v>
      </c>
      <c r="B293" s="66">
        <v>44470</v>
      </c>
      <c r="C293" t="s">
        <v>374</v>
      </c>
    </row>
    <row r="294" spans="1:3" x14ac:dyDescent="0.35">
      <c r="A294" t="s">
        <v>44</v>
      </c>
      <c r="B294" s="66">
        <v>44440</v>
      </c>
      <c r="C294" t="s">
        <v>375</v>
      </c>
    </row>
    <row r="295" spans="1:3" x14ac:dyDescent="0.35">
      <c r="A295" t="s">
        <v>44</v>
      </c>
      <c r="B295" s="66">
        <v>44409</v>
      </c>
      <c r="C295" t="s">
        <v>376</v>
      </c>
    </row>
    <row r="296" spans="1:3" x14ac:dyDescent="0.35">
      <c r="A296" t="s">
        <v>44</v>
      </c>
      <c r="B296" s="66">
        <v>44378</v>
      </c>
      <c r="C296" t="s">
        <v>377</v>
      </c>
    </row>
    <row r="297" spans="1:3" x14ac:dyDescent="0.35">
      <c r="A297" t="s">
        <v>44</v>
      </c>
      <c r="B297" s="66">
        <v>44317</v>
      </c>
      <c r="C297" t="s">
        <v>378</v>
      </c>
    </row>
    <row r="298" spans="1:3" x14ac:dyDescent="0.35">
      <c r="A298" t="s">
        <v>44</v>
      </c>
      <c r="B298" s="66">
        <v>44287</v>
      </c>
      <c r="C298" t="s">
        <v>379</v>
      </c>
    </row>
    <row r="299" spans="1:3" x14ac:dyDescent="0.35">
      <c r="A299" t="s">
        <v>44</v>
      </c>
      <c r="B299" s="66">
        <v>44256</v>
      </c>
      <c r="C299" t="s">
        <v>380</v>
      </c>
    </row>
    <row r="300" spans="1:3" x14ac:dyDescent="0.35">
      <c r="A300" t="s">
        <v>44</v>
      </c>
      <c r="B300" s="66">
        <v>44228</v>
      </c>
      <c r="C300" t="s">
        <v>381</v>
      </c>
    </row>
    <row r="301" spans="1:3" x14ac:dyDescent="0.35">
      <c r="A301" t="s">
        <v>44</v>
      </c>
      <c r="B301" s="66">
        <v>44166</v>
      </c>
      <c r="C301" t="s">
        <v>382</v>
      </c>
    </row>
    <row r="302" spans="1:3" x14ac:dyDescent="0.35">
      <c r="A302" t="s">
        <v>44</v>
      </c>
      <c r="B302" s="66">
        <v>44136</v>
      </c>
      <c r="C302" t="s">
        <v>383</v>
      </c>
    </row>
    <row r="303" spans="1:3" x14ac:dyDescent="0.35">
      <c r="A303" t="s">
        <v>44</v>
      </c>
      <c r="B303" s="66">
        <v>44105</v>
      </c>
      <c r="C303" t="s">
        <v>384</v>
      </c>
    </row>
    <row r="304" spans="1:3" x14ac:dyDescent="0.35">
      <c r="A304" t="s">
        <v>44</v>
      </c>
      <c r="B304" s="66">
        <v>44075</v>
      </c>
      <c r="C304" t="s">
        <v>385</v>
      </c>
    </row>
    <row r="305" spans="1:3" x14ac:dyDescent="0.35">
      <c r="A305" t="s">
        <v>44</v>
      </c>
      <c r="B305" s="66">
        <v>44044</v>
      </c>
      <c r="C305" t="s">
        <v>386</v>
      </c>
    </row>
    <row r="306" spans="1:3" x14ac:dyDescent="0.35">
      <c r="A306" t="s">
        <v>44</v>
      </c>
      <c r="B306" s="66">
        <v>44013</v>
      </c>
      <c r="C306" t="s">
        <v>387</v>
      </c>
    </row>
    <row r="307" spans="1:3" x14ac:dyDescent="0.35">
      <c r="A307" t="s">
        <v>44</v>
      </c>
      <c r="B307" s="66">
        <v>43862</v>
      </c>
      <c r="C307" t="s">
        <v>388</v>
      </c>
    </row>
    <row r="308" spans="1:3" x14ac:dyDescent="0.35">
      <c r="A308" t="s">
        <v>44</v>
      </c>
      <c r="B308" s="66">
        <v>43800</v>
      </c>
      <c r="C308" t="s">
        <v>389</v>
      </c>
    </row>
    <row r="309" spans="1:3" x14ac:dyDescent="0.35">
      <c r="A309" t="s">
        <v>44</v>
      </c>
      <c r="B309" s="66">
        <v>43770</v>
      </c>
      <c r="C309" t="s">
        <v>390</v>
      </c>
    </row>
    <row r="310" spans="1:3" x14ac:dyDescent="0.35">
      <c r="A310" t="s">
        <v>44</v>
      </c>
      <c r="B310" s="66">
        <v>43739</v>
      </c>
      <c r="C310" t="s">
        <v>391</v>
      </c>
    </row>
    <row r="311" spans="1:3" x14ac:dyDescent="0.35">
      <c r="A311" t="s">
        <v>44</v>
      </c>
      <c r="B311" s="66">
        <v>43678</v>
      </c>
      <c r="C311" t="s">
        <v>392</v>
      </c>
    </row>
    <row r="312" spans="1:3" x14ac:dyDescent="0.35">
      <c r="A312" t="s">
        <v>44</v>
      </c>
      <c r="B312" s="66">
        <v>43647</v>
      </c>
      <c r="C312" t="s">
        <v>393</v>
      </c>
    </row>
    <row r="313" spans="1:3" x14ac:dyDescent="0.35">
      <c r="A313" t="s">
        <v>44</v>
      </c>
      <c r="B313" s="66">
        <v>43617</v>
      </c>
      <c r="C313" t="s">
        <v>394</v>
      </c>
    </row>
    <row r="314" spans="1:3" x14ac:dyDescent="0.35">
      <c r="A314" t="s">
        <v>44</v>
      </c>
      <c r="B314" s="66">
        <v>43556</v>
      </c>
      <c r="C314" t="s">
        <v>395</v>
      </c>
    </row>
    <row r="315" spans="1:3" x14ac:dyDescent="0.35">
      <c r="A315" t="s">
        <v>44</v>
      </c>
      <c r="B315" s="66">
        <v>43525</v>
      </c>
      <c r="C315" t="s">
        <v>396</v>
      </c>
    </row>
    <row r="316" spans="1:3" x14ac:dyDescent="0.35">
      <c r="A316" t="s">
        <v>44</v>
      </c>
      <c r="B316" s="66">
        <v>43466</v>
      </c>
      <c r="C316" t="s">
        <v>397</v>
      </c>
    </row>
    <row r="317" spans="1:3" x14ac:dyDescent="0.35">
      <c r="A317" t="s">
        <v>39</v>
      </c>
      <c r="B317" s="66">
        <v>44774</v>
      </c>
      <c r="C317" t="s">
        <v>398</v>
      </c>
    </row>
    <row r="318" spans="1:3" x14ac:dyDescent="0.35">
      <c r="A318" t="s">
        <v>39</v>
      </c>
      <c r="B318" s="66">
        <v>44743</v>
      </c>
      <c r="C318" t="s">
        <v>399</v>
      </c>
    </row>
    <row r="319" spans="1:3" x14ac:dyDescent="0.35">
      <c r="A319" t="s">
        <v>39</v>
      </c>
      <c r="B319" s="66">
        <v>44713</v>
      </c>
      <c r="C319" t="s">
        <v>400</v>
      </c>
    </row>
    <row r="320" spans="1:3" x14ac:dyDescent="0.35">
      <c r="A320" t="s">
        <v>39</v>
      </c>
      <c r="B320" s="66">
        <v>44682</v>
      </c>
      <c r="C320" t="s">
        <v>401</v>
      </c>
    </row>
    <row r="321" spans="1:3" x14ac:dyDescent="0.35">
      <c r="A321" t="s">
        <v>39</v>
      </c>
      <c r="B321" s="66">
        <v>44652</v>
      </c>
      <c r="C321" t="s">
        <v>402</v>
      </c>
    </row>
    <row r="322" spans="1:3" x14ac:dyDescent="0.35">
      <c r="A322" t="s">
        <v>39</v>
      </c>
      <c r="B322" s="66">
        <v>44621</v>
      </c>
      <c r="C322" t="s">
        <v>403</v>
      </c>
    </row>
    <row r="323" spans="1:3" x14ac:dyDescent="0.35">
      <c r="A323" t="s">
        <v>39</v>
      </c>
      <c r="B323" s="66">
        <v>44501</v>
      </c>
      <c r="C323" t="s">
        <v>404</v>
      </c>
    </row>
    <row r="324" spans="1:3" x14ac:dyDescent="0.35">
      <c r="A324" t="s">
        <v>39</v>
      </c>
      <c r="B324" s="66">
        <v>44470</v>
      </c>
      <c r="C324" t="s">
        <v>405</v>
      </c>
    </row>
    <row r="325" spans="1:3" x14ac:dyDescent="0.35">
      <c r="A325" t="s">
        <v>39</v>
      </c>
      <c r="B325" s="66">
        <v>44440</v>
      </c>
      <c r="C325" t="s">
        <v>406</v>
      </c>
    </row>
    <row r="326" spans="1:3" x14ac:dyDescent="0.35">
      <c r="A326" t="s">
        <v>39</v>
      </c>
      <c r="B326" s="66">
        <v>44409</v>
      </c>
      <c r="C326" t="s">
        <v>407</v>
      </c>
    </row>
    <row r="327" spans="1:3" x14ac:dyDescent="0.35">
      <c r="A327" t="s">
        <v>39</v>
      </c>
      <c r="B327" s="66">
        <v>44378</v>
      </c>
      <c r="C327" t="s">
        <v>408</v>
      </c>
    </row>
    <row r="328" spans="1:3" x14ac:dyDescent="0.35">
      <c r="A328" t="s">
        <v>39</v>
      </c>
      <c r="B328" s="66">
        <v>44287</v>
      </c>
      <c r="C328" t="s">
        <v>409</v>
      </c>
    </row>
    <row r="329" spans="1:3" x14ac:dyDescent="0.35">
      <c r="A329" t="s">
        <v>39</v>
      </c>
      <c r="B329" s="66">
        <v>44197</v>
      </c>
      <c r="C329" t="s">
        <v>410</v>
      </c>
    </row>
    <row r="330" spans="1:3" x14ac:dyDescent="0.35">
      <c r="A330" t="s">
        <v>39</v>
      </c>
      <c r="B330" s="66">
        <v>44013</v>
      </c>
      <c r="C330" t="s">
        <v>411</v>
      </c>
    </row>
    <row r="331" spans="1:3" x14ac:dyDescent="0.35">
      <c r="A331" t="s">
        <v>39</v>
      </c>
      <c r="B331" s="66">
        <v>43952</v>
      </c>
      <c r="C331" t="s">
        <v>412</v>
      </c>
    </row>
    <row r="332" spans="1:3" x14ac:dyDescent="0.35">
      <c r="A332" t="s">
        <v>39</v>
      </c>
      <c r="B332" s="66">
        <v>43891</v>
      </c>
      <c r="C332" t="s">
        <v>413</v>
      </c>
    </row>
    <row r="333" spans="1:3" x14ac:dyDescent="0.35">
      <c r="A333" t="s">
        <v>39</v>
      </c>
      <c r="B333" s="66">
        <v>43800</v>
      </c>
      <c r="C333" t="s">
        <v>414</v>
      </c>
    </row>
    <row r="334" spans="1:3" x14ac:dyDescent="0.35">
      <c r="A334" t="s">
        <v>39</v>
      </c>
      <c r="B334" s="66">
        <v>43739</v>
      </c>
      <c r="C334" t="s">
        <v>415</v>
      </c>
    </row>
    <row r="335" spans="1:3" x14ac:dyDescent="0.35">
      <c r="A335" t="s">
        <v>39</v>
      </c>
      <c r="B335" s="66">
        <v>43617</v>
      </c>
      <c r="C335" t="s">
        <v>416</v>
      </c>
    </row>
    <row r="336" spans="1:3" x14ac:dyDescent="0.35">
      <c r="A336" t="s">
        <v>39</v>
      </c>
      <c r="B336" s="66">
        <v>43586</v>
      </c>
      <c r="C336" t="s">
        <v>417</v>
      </c>
    </row>
    <row r="337" spans="1:3" x14ac:dyDescent="0.35">
      <c r="A337" t="s">
        <v>39</v>
      </c>
      <c r="B337" s="66">
        <v>43556</v>
      </c>
      <c r="C337" t="s">
        <v>418</v>
      </c>
    </row>
    <row r="338" spans="1:3" x14ac:dyDescent="0.35">
      <c r="A338" t="s">
        <v>39</v>
      </c>
      <c r="B338" s="66">
        <v>43525</v>
      </c>
      <c r="C338" t="s">
        <v>419</v>
      </c>
    </row>
    <row r="339" spans="1:3" x14ac:dyDescent="0.35">
      <c r="A339" t="s">
        <v>39</v>
      </c>
      <c r="B339" s="66">
        <v>43466</v>
      </c>
      <c r="C339" t="s">
        <v>420</v>
      </c>
    </row>
    <row r="340" spans="1:3" x14ac:dyDescent="0.35">
      <c r="A340" t="s">
        <v>40</v>
      </c>
      <c r="B340" s="66">
        <v>44835</v>
      </c>
      <c r="C340" t="s">
        <v>421</v>
      </c>
    </row>
    <row r="341" spans="1:3" x14ac:dyDescent="0.35">
      <c r="A341" t="s">
        <v>40</v>
      </c>
      <c r="B341" s="66">
        <v>44470</v>
      </c>
      <c r="C341" t="s">
        <v>422</v>
      </c>
    </row>
    <row r="342" spans="1:3" x14ac:dyDescent="0.35">
      <c r="A342" t="s">
        <v>40</v>
      </c>
      <c r="B342" s="66">
        <v>44440</v>
      </c>
      <c r="C342" t="s">
        <v>423</v>
      </c>
    </row>
    <row r="343" spans="1:3" x14ac:dyDescent="0.35">
      <c r="A343" t="s">
        <v>40</v>
      </c>
      <c r="B343" s="66">
        <v>44409</v>
      </c>
      <c r="C343" t="s">
        <v>424</v>
      </c>
    </row>
    <row r="344" spans="1:3" x14ac:dyDescent="0.35">
      <c r="A344" t="s">
        <v>40</v>
      </c>
      <c r="B344" s="66">
        <v>44378</v>
      </c>
      <c r="C344" t="s">
        <v>425</v>
      </c>
    </row>
    <row r="345" spans="1:3" x14ac:dyDescent="0.35">
      <c r="A345" t="s">
        <v>40</v>
      </c>
      <c r="B345" s="66">
        <v>44317</v>
      </c>
      <c r="C345" t="s">
        <v>426</v>
      </c>
    </row>
    <row r="346" spans="1:3" x14ac:dyDescent="0.35">
      <c r="A346" t="s">
        <v>40</v>
      </c>
      <c r="B346" s="66">
        <v>44287</v>
      </c>
      <c r="C346" t="s">
        <v>427</v>
      </c>
    </row>
    <row r="347" spans="1:3" x14ac:dyDescent="0.35">
      <c r="A347" t="s">
        <v>40</v>
      </c>
      <c r="B347" s="66">
        <v>44256</v>
      </c>
      <c r="C347" t="s">
        <v>428</v>
      </c>
    </row>
    <row r="348" spans="1:3" x14ac:dyDescent="0.35">
      <c r="A348" t="s">
        <v>40</v>
      </c>
      <c r="B348" s="66">
        <v>44166</v>
      </c>
      <c r="C348" t="s">
        <v>429</v>
      </c>
    </row>
    <row r="349" spans="1:3" x14ac:dyDescent="0.35">
      <c r="A349" t="s">
        <v>40</v>
      </c>
      <c r="B349" s="66">
        <v>44013</v>
      </c>
      <c r="C349" t="s">
        <v>430</v>
      </c>
    </row>
    <row r="350" spans="1:3" x14ac:dyDescent="0.35">
      <c r="A350" t="s">
        <v>40</v>
      </c>
      <c r="B350" s="66">
        <v>43983</v>
      </c>
      <c r="C350" t="s">
        <v>431</v>
      </c>
    </row>
    <row r="351" spans="1:3" x14ac:dyDescent="0.35">
      <c r="A351" t="s">
        <v>40</v>
      </c>
      <c r="B351" s="66">
        <v>43862</v>
      </c>
      <c r="C351" t="s">
        <v>432</v>
      </c>
    </row>
    <row r="352" spans="1:3" x14ac:dyDescent="0.35">
      <c r="A352" t="s">
        <v>40</v>
      </c>
      <c r="B352" s="66">
        <v>43831</v>
      </c>
      <c r="C352" t="s">
        <v>433</v>
      </c>
    </row>
    <row r="353" spans="1:3" x14ac:dyDescent="0.35">
      <c r="A353" t="s">
        <v>40</v>
      </c>
      <c r="B353" s="66">
        <v>43739</v>
      </c>
      <c r="C353" t="s">
        <v>434</v>
      </c>
    </row>
    <row r="354" spans="1:3" x14ac:dyDescent="0.35">
      <c r="A354" t="s">
        <v>40</v>
      </c>
      <c r="B354" s="66">
        <v>43678</v>
      </c>
      <c r="C354" t="s">
        <v>435</v>
      </c>
    </row>
    <row r="355" spans="1:3" x14ac:dyDescent="0.35">
      <c r="A355" t="s">
        <v>40</v>
      </c>
      <c r="B355" s="66">
        <v>43525</v>
      </c>
      <c r="C355" t="s">
        <v>436</v>
      </c>
    </row>
    <row r="356" spans="1:3" x14ac:dyDescent="0.35">
      <c r="A356" t="s">
        <v>40</v>
      </c>
      <c r="B356" s="66">
        <v>43466</v>
      </c>
      <c r="C356" t="s">
        <v>437</v>
      </c>
    </row>
    <row r="357" spans="1:3" x14ac:dyDescent="0.35">
      <c r="A357" t="s">
        <v>41</v>
      </c>
      <c r="B357" s="66">
        <v>44866</v>
      </c>
      <c r="C357" t="s">
        <v>438</v>
      </c>
    </row>
    <row r="358" spans="1:3" x14ac:dyDescent="0.35">
      <c r="A358" t="s">
        <v>41</v>
      </c>
      <c r="B358" s="66">
        <v>44835</v>
      </c>
      <c r="C358" t="s">
        <v>439</v>
      </c>
    </row>
    <row r="359" spans="1:3" x14ac:dyDescent="0.35">
      <c r="A359" t="s">
        <v>41</v>
      </c>
      <c r="B359" s="66">
        <v>44805</v>
      </c>
      <c r="C359" t="s">
        <v>440</v>
      </c>
    </row>
    <row r="360" spans="1:3" x14ac:dyDescent="0.35">
      <c r="A360" t="s">
        <v>41</v>
      </c>
      <c r="B360" s="66">
        <v>44774</v>
      </c>
      <c r="C360" t="s">
        <v>441</v>
      </c>
    </row>
    <row r="361" spans="1:3" x14ac:dyDescent="0.35">
      <c r="A361" t="s">
        <v>41</v>
      </c>
      <c r="B361" s="66">
        <v>44743</v>
      </c>
      <c r="C361" t="s">
        <v>442</v>
      </c>
    </row>
    <row r="362" spans="1:3" x14ac:dyDescent="0.35">
      <c r="A362" t="s">
        <v>41</v>
      </c>
      <c r="B362" s="66">
        <v>44713</v>
      </c>
      <c r="C362" t="s">
        <v>443</v>
      </c>
    </row>
    <row r="363" spans="1:3" x14ac:dyDescent="0.35">
      <c r="A363" t="s">
        <v>41</v>
      </c>
      <c r="B363" s="66">
        <v>44682</v>
      </c>
      <c r="C363" t="s">
        <v>444</v>
      </c>
    </row>
    <row r="364" spans="1:3" x14ac:dyDescent="0.35">
      <c r="A364" t="s">
        <v>41</v>
      </c>
      <c r="B364" s="66">
        <v>44652</v>
      </c>
      <c r="C364" t="s">
        <v>445</v>
      </c>
    </row>
    <row r="365" spans="1:3" x14ac:dyDescent="0.35">
      <c r="A365" t="s">
        <v>41</v>
      </c>
      <c r="B365" s="66">
        <v>44621</v>
      </c>
      <c r="C365" t="s">
        <v>446</v>
      </c>
    </row>
    <row r="366" spans="1:3" x14ac:dyDescent="0.35">
      <c r="A366" t="s">
        <v>41</v>
      </c>
      <c r="B366" s="66">
        <v>44562</v>
      </c>
      <c r="C366" t="s">
        <v>447</v>
      </c>
    </row>
    <row r="367" spans="1:3" x14ac:dyDescent="0.35">
      <c r="A367" t="s">
        <v>41</v>
      </c>
      <c r="B367" s="66">
        <v>44531</v>
      </c>
      <c r="C367" t="s">
        <v>448</v>
      </c>
    </row>
    <row r="368" spans="1:3" x14ac:dyDescent="0.35">
      <c r="A368" t="s">
        <v>41</v>
      </c>
      <c r="B368" s="66">
        <v>44501</v>
      </c>
      <c r="C368" t="s">
        <v>449</v>
      </c>
    </row>
    <row r="369" spans="1:3" x14ac:dyDescent="0.35">
      <c r="A369" t="s">
        <v>41</v>
      </c>
      <c r="B369" s="66">
        <v>44440</v>
      </c>
      <c r="C369" t="s">
        <v>450</v>
      </c>
    </row>
    <row r="370" spans="1:3" x14ac:dyDescent="0.35">
      <c r="A370" t="s">
        <v>41</v>
      </c>
      <c r="B370" s="66">
        <v>44409</v>
      </c>
      <c r="C370" t="s">
        <v>451</v>
      </c>
    </row>
    <row r="371" spans="1:3" x14ac:dyDescent="0.35">
      <c r="A371" t="s">
        <v>41</v>
      </c>
      <c r="B371" s="66">
        <v>44378</v>
      </c>
      <c r="C371" t="s">
        <v>452</v>
      </c>
    </row>
    <row r="372" spans="1:3" x14ac:dyDescent="0.35">
      <c r="A372" t="s">
        <v>41</v>
      </c>
      <c r="B372" s="66">
        <v>44348</v>
      </c>
      <c r="C372" t="s">
        <v>453</v>
      </c>
    </row>
    <row r="373" spans="1:3" x14ac:dyDescent="0.35">
      <c r="A373" t="s">
        <v>41</v>
      </c>
      <c r="B373" s="66">
        <v>44317</v>
      </c>
      <c r="C373" t="s">
        <v>454</v>
      </c>
    </row>
    <row r="374" spans="1:3" x14ac:dyDescent="0.35">
      <c r="A374" t="s">
        <v>41</v>
      </c>
      <c r="B374" s="66">
        <v>44256</v>
      </c>
      <c r="C374" t="s">
        <v>455</v>
      </c>
    </row>
    <row r="375" spans="1:3" x14ac:dyDescent="0.35">
      <c r="A375" t="s">
        <v>41</v>
      </c>
      <c r="B375" s="66">
        <v>44228</v>
      </c>
      <c r="C375" t="s">
        <v>456</v>
      </c>
    </row>
    <row r="376" spans="1:3" x14ac:dyDescent="0.35">
      <c r="A376" t="s">
        <v>41</v>
      </c>
      <c r="B376" s="66">
        <v>44197</v>
      </c>
      <c r="C376" t="s">
        <v>457</v>
      </c>
    </row>
    <row r="377" spans="1:3" x14ac:dyDescent="0.35">
      <c r="A377" t="s">
        <v>41</v>
      </c>
      <c r="B377" s="66">
        <v>44136</v>
      </c>
      <c r="C377" t="s">
        <v>458</v>
      </c>
    </row>
    <row r="378" spans="1:3" x14ac:dyDescent="0.35">
      <c r="A378" t="s">
        <v>41</v>
      </c>
      <c r="B378" s="66">
        <v>44105</v>
      </c>
      <c r="C378" t="s">
        <v>459</v>
      </c>
    </row>
    <row r="379" spans="1:3" x14ac:dyDescent="0.35">
      <c r="A379" t="s">
        <v>41</v>
      </c>
      <c r="B379" s="66">
        <v>44075</v>
      </c>
      <c r="C379" t="s">
        <v>460</v>
      </c>
    </row>
    <row r="380" spans="1:3" x14ac:dyDescent="0.35">
      <c r="A380" t="s">
        <v>41</v>
      </c>
      <c r="B380" s="66">
        <v>44044</v>
      </c>
      <c r="C380" t="s">
        <v>461</v>
      </c>
    </row>
    <row r="381" spans="1:3" x14ac:dyDescent="0.35">
      <c r="A381" t="s">
        <v>41</v>
      </c>
      <c r="B381" s="66">
        <v>44013</v>
      </c>
      <c r="C381" t="s">
        <v>462</v>
      </c>
    </row>
    <row r="382" spans="1:3" x14ac:dyDescent="0.35">
      <c r="A382" t="s">
        <v>41</v>
      </c>
      <c r="B382" s="66">
        <v>43952</v>
      </c>
      <c r="C382" t="s">
        <v>463</v>
      </c>
    </row>
    <row r="383" spans="1:3" x14ac:dyDescent="0.35">
      <c r="A383" t="s">
        <v>41</v>
      </c>
      <c r="B383" s="66">
        <v>43922</v>
      </c>
      <c r="C383" t="s">
        <v>464</v>
      </c>
    </row>
    <row r="384" spans="1:3" x14ac:dyDescent="0.35">
      <c r="A384" t="s">
        <v>41</v>
      </c>
      <c r="B384" s="66">
        <v>43891</v>
      </c>
      <c r="C384" t="s">
        <v>465</v>
      </c>
    </row>
    <row r="385" spans="1:3" x14ac:dyDescent="0.35">
      <c r="A385" t="s">
        <v>41</v>
      </c>
      <c r="B385" s="66">
        <v>43862</v>
      </c>
      <c r="C385" t="s">
        <v>466</v>
      </c>
    </row>
    <row r="386" spans="1:3" x14ac:dyDescent="0.35">
      <c r="A386" t="s">
        <v>41</v>
      </c>
      <c r="B386" s="66">
        <v>43800</v>
      </c>
      <c r="C386" t="s">
        <v>467</v>
      </c>
    </row>
    <row r="387" spans="1:3" x14ac:dyDescent="0.35">
      <c r="A387" t="s">
        <v>41</v>
      </c>
      <c r="B387" s="66">
        <v>43709</v>
      </c>
      <c r="C387" t="s">
        <v>468</v>
      </c>
    </row>
    <row r="388" spans="1:3" x14ac:dyDescent="0.35">
      <c r="A388" t="s">
        <v>41</v>
      </c>
      <c r="B388" s="66">
        <v>43678</v>
      </c>
      <c r="C388" t="s">
        <v>469</v>
      </c>
    </row>
    <row r="389" spans="1:3" x14ac:dyDescent="0.35">
      <c r="A389" t="s">
        <v>41</v>
      </c>
      <c r="B389" s="66">
        <v>43647</v>
      </c>
      <c r="C389" t="s">
        <v>470</v>
      </c>
    </row>
    <row r="390" spans="1:3" x14ac:dyDescent="0.35">
      <c r="A390" t="s">
        <v>41</v>
      </c>
      <c r="B390" s="66">
        <v>43617</v>
      </c>
      <c r="C390" t="s">
        <v>471</v>
      </c>
    </row>
    <row r="391" spans="1:3" x14ac:dyDescent="0.35">
      <c r="A391" t="s">
        <v>41</v>
      </c>
      <c r="B391" s="66">
        <v>43586</v>
      </c>
      <c r="C391" t="s">
        <v>472</v>
      </c>
    </row>
    <row r="392" spans="1:3" x14ac:dyDescent="0.35">
      <c r="A392" t="s">
        <v>41</v>
      </c>
      <c r="B392" s="66">
        <v>43556</v>
      </c>
      <c r="C392" t="s">
        <v>473</v>
      </c>
    </row>
    <row r="393" spans="1:3" x14ac:dyDescent="0.35">
      <c r="A393" t="s">
        <v>41</v>
      </c>
      <c r="B393" s="66">
        <v>43497</v>
      </c>
      <c r="C393" t="s">
        <v>474</v>
      </c>
    </row>
    <row r="394" spans="1:3" x14ac:dyDescent="0.35">
      <c r="A394" t="s">
        <v>41</v>
      </c>
      <c r="B394" s="66">
        <v>43466</v>
      </c>
      <c r="C394" t="s">
        <v>475</v>
      </c>
    </row>
    <row r="395" spans="1:3" x14ac:dyDescent="0.35">
      <c r="A395" t="s">
        <v>37</v>
      </c>
      <c r="B395" s="66">
        <v>44866</v>
      </c>
      <c r="C395" t="s">
        <v>476</v>
      </c>
    </row>
    <row r="396" spans="1:3" x14ac:dyDescent="0.35">
      <c r="A396" t="s">
        <v>37</v>
      </c>
      <c r="B396" s="66">
        <v>44835</v>
      </c>
      <c r="C396" t="s">
        <v>477</v>
      </c>
    </row>
    <row r="397" spans="1:3" x14ac:dyDescent="0.35">
      <c r="A397" t="s">
        <v>37</v>
      </c>
      <c r="B397" s="66">
        <v>44501</v>
      </c>
      <c r="C397" t="s">
        <v>478</v>
      </c>
    </row>
    <row r="398" spans="1:3" x14ac:dyDescent="0.35">
      <c r="A398" t="s">
        <v>37</v>
      </c>
      <c r="B398" s="66">
        <v>44348</v>
      </c>
      <c r="C398" t="s">
        <v>479</v>
      </c>
    </row>
    <row r="399" spans="1:3" x14ac:dyDescent="0.35">
      <c r="A399" t="s">
        <v>37</v>
      </c>
      <c r="B399" s="66">
        <v>44166</v>
      </c>
      <c r="C399" t="s">
        <v>480</v>
      </c>
    </row>
    <row r="400" spans="1:3" x14ac:dyDescent="0.35">
      <c r="A400" t="s">
        <v>37</v>
      </c>
      <c r="B400" s="66">
        <v>43862</v>
      </c>
      <c r="C400" t="s">
        <v>481</v>
      </c>
    </row>
    <row r="401" spans="1:3" x14ac:dyDescent="0.35">
      <c r="A401" t="s">
        <v>37</v>
      </c>
      <c r="B401" s="66">
        <v>43770</v>
      </c>
      <c r="C401" t="s">
        <v>482</v>
      </c>
    </row>
    <row r="402" spans="1:3" x14ac:dyDescent="0.35">
      <c r="A402" t="s">
        <v>37</v>
      </c>
      <c r="B402" s="66">
        <v>43739</v>
      </c>
      <c r="C402" t="s">
        <v>483</v>
      </c>
    </row>
    <row r="403" spans="1:3" x14ac:dyDescent="0.35">
      <c r="A403" t="s">
        <v>37</v>
      </c>
      <c r="B403" s="66">
        <v>43678</v>
      </c>
      <c r="C403" t="s">
        <v>484</v>
      </c>
    </row>
    <row r="404" spans="1:3" x14ac:dyDescent="0.35">
      <c r="A404" t="s">
        <v>37</v>
      </c>
      <c r="B404" s="66">
        <v>43617</v>
      </c>
      <c r="C404" t="s">
        <v>485</v>
      </c>
    </row>
    <row r="405" spans="1:3" x14ac:dyDescent="0.35">
      <c r="A405" t="s">
        <v>37</v>
      </c>
      <c r="B405" s="66">
        <v>43525</v>
      </c>
      <c r="C405" t="s">
        <v>486</v>
      </c>
    </row>
    <row r="406" spans="1:3" x14ac:dyDescent="0.35">
      <c r="A406" t="s">
        <v>37</v>
      </c>
      <c r="B406" s="66">
        <v>43466</v>
      </c>
      <c r="C406" t="s">
        <v>487</v>
      </c>
    </row>
    <row r="407" spans="1:3" x14ac:dyDescent="0.35">
      <c r="A407" t="s">
        <v>28</v>
      </c>
      <c r="B407" s="66">
        <v>44866</v>
      </c>
      <c r="C407" t="s">
        <v>488</v>
      </c>
    </row>
    <row r="408" spans="1:3" x14ac:dyDescent="0.35">
      <c r="A408" t="s">
        <v>28</v>
      </c>
      <c r="B408" s="66">
        <v>44743</v>
      </c>
      <c r="C408" t="s">
        <v>489</v>
      </c>
    </row>
    <row r="409" spans="1:3" x14ac:dyDescent="0.35">
      <c r="A409" t="s">
        <v>28</v>
      </c>
      <c r="B409" s="66">
        <v>44713</v>
      </c>
      <c r="C409" t="s">
        <v>490</v>
      </c>
    </row>
    <row r="410" spans="1:3" x14ac:dyDescent="0.35">
      <c r="A410" t="s">
        <v>28</v>
      </c>
      <c r="B410" s="66">
        <v>44682</v>
      </c>
      <c r="C410" t="s">
        <v>491</v>
      </c>
    </row>
    <row r="411" spans="1:3" x14ac:dyDescent="0.35">
      <c r="A411" t="s">
        <v>28</v>
      </c>
      <c r="B411" s="66">
        <v>44652</v>
      </c>
      <c r="C411" t="s">
        <v>492</v>
      </c>
    </row>
    <row r="412" spans="1:3" x14ac:dyDescent="0.35">
      <c r="A412" t="s">
        <v>28</v>
      </c>
      <c r="B412" s="66">
        <v>44621</v>
      </c>
      <c r="C412" t="s">
        <v>493</v>
      </c>
    </row>
    <row r="413" spans="1:3" x14ac:dyDescent="0.35">
      <c r="A413" t="s">
        <v>28</v>
      </c>
      <c r="B413" s="66">
        <v>44593</v>
      </c>
      <c r="C413" t="s">
        <v>494</v>
      </c>
    </row>
    <row r="414" spans="1:3" x14ac:dyDescent="0.35">
      <c r="A414" t="s">
        <v>28</v>
      </c>
      <c r="B414" s="66">
        <v>44562</v>
      </c>
      <c r="C414" t="s">
        <v>495</v>
      </c>
    </row>
    <row r="415" spans="1:3" x14ac:dyDescent="0.35">
      <c r="A415" t="s">
        <v>28</v>
      </c>
      <c r="B415" s="66">
        <v>44531</v>
      </c>
      <c r="C415" t="s">
        <v>496</v>
      </c>
    </row>
    <row r="416" spans="1:3" x14ac:dyDescent="0.35">
      <c r="A416" t="s">
        <v>28</v>
      </c>
      <c r="B416" s="66">
        <v>44287</v>
      </c>
      <c r="C416" t="s">
        <v>497</v>
      </c>
    </row>
    <row r="417" spans="1:3" x14ac:dyDescent="0.35">
      <c r="A417" t="s">
        <v>28</v>
      </c>
      <c r="B417" s="66">
        <v>44228</v>
      </c>
      <c r="C417" t="s">
        <v>498</v>
      </c>
    </row>
    <row r="418" spans="1:3" x14ac:dyDescent="0.35">
      <c r="A418" t="s">
        <v>28</v>
      </c>
      <c r="B418" s="66">
        <v>44197</v>
      </c>
      <c r="C418" t="s">
        <v>499</v>
      </c>
    </row>
    <row r="419" spans="1:3" x14ac:dyDescent="0.35">
      <c r="A419" t="s">
        <v>28</v>
      </c>
      <c r="B419" s="66">
        <v>44166</v>
      </c>
      <c r="C419" t="s">
        <v>500</v>
      </c>
    </row>
    <row r="420" spans="1:3" x14ac:dyDescent="0.35">
      <c r="A420" t="s">
        <v>28</v>
      </c>
      <c r="B420" s="66">
        <v>44013</v>
      </c>
      <c r="C420" t="s">
        <v>501</v>
      </c>
    </row>
    <row r="421" spans="1:3" x14ac:dyDescent="0.35">
      <c r="A421" t="s">
        <v>28</v>
      </c>
      <c r="B421" s="66">
        <v>43800</v>
      </c>
      <c r="C421" t="s">
        <v>502</v>
      </c>
    </row>
    <row r="422" spans="1:3" x14ac:dyDescent="0.35">
      <c r="A422" t="s">
        <v>28</v>
      </c>
      <c r="B422" s="66">
        <v>43586</v>
      </c>
      <c r="C422" t="s">
        <v>503</v>
      </c>
    </row>
    <row r="423" spans="1:3" x14ac:dyDescent="0.35">
      <c r="A423" t="s">
        <v>28</v>
      </c>
      <c r="B423" s="66">
        <v>43497</v>
      </c>
      <c r="C423" t="s">
        <v>504</v>
      </c>
    </row>
    <row r="424" spans="1:3" x14ac:dyDescent="0.35">
      <c r="A424" t="s">
        <v>26</v>
      </c>
      <c r="B424" s="66">
        <v>44866</v>
      </c>
      <c r="C424" t="s">
        <v>505</v>
      </c>
    </row>
    <row r="425" spans="1:3" x14ac:dyDescent="0.35">
      <c r="A425" t="s">
        <v>26</v>
      </c>
      <c r="B425" s="66">
        <v>44805</v>
      </c>
      <c r="C425" t="s">
        <v>506</v>
      </c>
    </row>
    <row r="426" spans="1:3" x14ac:dyDescent="0.35">
      <c r="A426" t="s">
        <v>26</v>
      </c>
      <c r="B426" s="66">
        <v>44774</v>
      </c>
      <c r="C426" t="s">
        <v>507</v>
      </c>
    </row>
    <row r="427" spans="1:3" x14ac:dyDescent="0.35">
      <c r="A427" t="s">
        <v>26</v>
      </c>
      <c r="B427" s="66">
        <v>44743</v>
      </c>
      <c r="C427" t="s">
        <v>508</v>
      </c>
    </row>
    <row r="428" spans="1:3" x14ac:dyDescent="0.35">
      <c r="A428" t="s">
        <v>26</v>
      </c>
      <c r="B428" s="66">
        <v>44682</v>
      </c>
      <c r="C428" t="s">
        <v>509</v>
      </c>
    </row>
    <row r="429" spans="1:3" x14ac:dyDescent="0.35">
      <c r="A429" t="s">
        <v>26</v>
      </c>
      <c r="B429" s="66">
        <v>44652</v>
      </c>
      <c r="C429" t="s">
        <v>510</v>
      </c>
    </row>
    <row r="430" spans="1:3" x14ac:dyDescent="0.35">
      <c r="A430" t="s">
        <v>26</v>
      </c>
      <c r="B430" s="66">
        <v>44621</v>
      </c>
      <c r="C430" t="s">
        <v>511</v>
      </c>
    </row>
    <row r="431" spans="1:3" x14ac:dyDescent="0.35">
      <c r="A431" t="s">
        <v>26</v>
      </c>
      <c r="B431" s="66">
        <v>44562</v>
      </c>
      <c r="C431" t="s">
        <v>512</v>
      </c>
    </row>
    <row r="432" spans="1:3" x14ac:dyDescent="0.35">
      <c r="A432" t="s">
        <v>26</v>
      </c>
      <c r="B432" s="66">
        <v>44531</v>
      </c>
      <c r="C432" t="s">
        <v>513</v>
      </c>
    </row>
    <row r="433" spans="1:3" x14ac:dyDescent="0.35">
      <c r="A433" t="s">
        <v>26</v>
      </c>
      <c r="B433" s="66">
        <v>44501</v>
      </c>
      <c r="C433" t="s">
        <v>514</v>
      </c>
    </row>
    <row r="434" spans="1:3" x14ac:dyDescent="0.35">
      <c r="A434" t="s">
        <v>26</v>
      </c>
      <c r="B434" s="66">
        <v>44470</v>
      </c>
      <c r="C434" t="s">
        <v>515</v>
      </c>
    </row>
    <row r="435" spans="1:3" x14ac:dyDescent="0.35">
      <c r="A435" t="s">
        <v>26</v>
      </c>
      <c r="B435" s="66">
        <v>44440</v>
      </c>
      <c r="C435" t="s">
        <v>516</v>
      </c>
    </row>
    <row r="436" spans="1:3" x14ac:dyDescent="0.35">
      <c r="A436" t="s">
        <v>26</v>
      </c>
      <c r="B436" s="66">
        <v>44409</v>
      </c>
      <c r="C436" t="s">
        <v>517</v>
      </c>
    </row>
    <row r="437" spans="1:3" x14ac:dyDescent="0.35">
      <c r="A437" t="s">
        <v>26</v>
      </c>
      <c r="B437" s="66">
        <v>44378</v>
      </c>
      <c r="C437" t="s">
        <v>518</v>
      </c>
    </row>
    <row r="438" spans="1:3" x14ac:dyDescent="0.35">
      <c r="A438" t="s">
        <v>26</v>
      </c>
      <c r="B438" s="66">
        <v>44348</v>
      </c>
      <c r="C438" t="s">
        <v>519</v>
      </c>
    </row>
    <row r="439" spans="1:3" x14ac:dyDescent="0.35">
      <c r="A439" t="s">
        <v>26</v>
      </c>
      <c r="B439" s="66">
        <v>44317</v>
      </c>
      <c r="C439" t="s">
        <v>520</v>
      </c>
    </row>
    <row r="440" spans="1:3" x14ac:dyDescent="0.35">
      <c r="A440" t="s">
        <v>26</v>
      </c>
      <c r="B440" s="66">
        <v>44287</v>
      </c>
      <c r="C440" t="s">
        <v>521</v>
      </c>
    </row>
    <row r="441" spans="1:3" x14ac:dyDescent="0.35">
      <c r="A441" t="s">
        <v>26</v>
      </c>
      <c r="B441" s="66">
        <v>44256</v>
      </c>
      <c r="C441" t="s">
        <v>522</v>
      </c>
    </row>
    <row r="442" spans="1:3" x14ac:dyDescent="0.35">
      <c r="A442" t="s">
        <v>26</v>
      </c>
      <c r="B442" s="66">
        <v>44228</v>
      </c>
      <c r="C442" t="s">
        <v>523</v>
      </c>
    </row>
    <row r="443" spans="1:3" x14ac:dyDescent="0.35">
      <c r="A443" t="s">
        <v>26</v>
      </c>
      <c r="B443" s="66">
        <v>44197</v>
      </c>
      <c r="C443" t="s">
        <v>524</v>
      </c>
    </row>
    <row r="444" spans="1:3" x14ac:dyDescent="0.35">
      <c r="A444" t="s">
        <v>26</v>
      </c>
      <c r="B444" s="66">
        <v>44166</v>
      </c>
      <c r="C444" t="s">
        <v>525</v>
      </c>
    </row>
    <row r="445" spans="1:3" x14ac:dyDescent="0.35">
      <c r="A445" t="s">
        <v>26</v>
      </c>
      <c r="B445" s="66">
        <v>44105</v>
      </c>
      <c r="C445" t="s">
        <v>526</v>
      </c>
    </row>
    <row r="446" spans="1:3" x14ac:dyDescent="0.35">
      <c r="A446" t="s">
        <v>26</v>
      </c>
      <c r="B446" s="66">
        <v>44044</v>
      </c>
      <c r="C446" t="s">
        <v>527</v>
      </c>
    </row>
    <row r="447" spans="1:3" x14ac:dyDescent="0.35">
      <c r="A447" t="s">
        <v>26</v>
      </c>
      <c r="B447" s="66">
        <v>43952</v>
      </c>
      <c r="C447" t="s">
        <v>528</v>
      </c>
    </row>
    <row r="448" spans="1:3" x14ac:dyDescent="0.35">
      <c r="A448" t="s">
        <v>26</v>
      </c>
      <c r="B448" s="66">
        <v>43922</v>
      </c>
      <c r="C448" t="s">
        <v>529</v>
      </c>
    </row>
    <row r="449" spans="1:3" x14ac:dyDescent="0.35">
      <c r="A449" t="s">
        <v>26</v>
      </c>
      <c r="B449" s="66">
        <v>43831</v>
      </c>
      <c r="C449" t="s">
        <v>530</v>
      </c>
    </row>
    <row r="450" spans="1:3" x14ac:dyDescent="0.35">
      <c r="A450" t="s">
        <v>26</v>
      </c>
      <c r="B450" s="66">
        <v>43800</v>
      </c>
      <c r="C450" t="s">
        <v>531</v>
      </c>
    </row>
    <row r="451" spans="1:3" x14ac:dyDescent="0.35">
      <c r="A451" t="s">
        <v>26</v>
      </c>
      <c r="B451" s="66">
        <v>43739</v>
      </c>
      <c r="C451" t="s">
        <v>532</v>
      </c>
    </row>
    <row r="452" spans="1:3" x14ac:dyDescent="0.35">
      <c r="A452" t="s">
        <v>26</v>
      </c>
      <c r="B452" s="66">
        <v>43647</v>
      </c>
      <c r="C452" t="s">
        <v>533</v>
      </c>
    </row>
    <row r="453" spans="1:3" x14ac:dyDescent="0.35">
      <c r="A453" t="s">
        <v>26</v>
      </c>
      <c r="B453" s="66">
        <v>43617</v>
      </c>
      <c r="C453" t="s">
        <v>534</v>
      </c>
    </row>
    <row r="454" spans="1:3" x14ac:dyDescent="0.35">
      <c r="A454" t="s">
        <v>26</v>
      </c>
      <c r="B454" s="66">
        <v>43556</v>
      </c>
      <c r="C454" t="s">
        <v>535</v>
      </c>
    </row>
    <row r="455" spans="1:3" x14ac:dyDescent="0.35">
      <c r="A455" t="s">
        <v>26</v>
      </c>
      <c r="B455" s="66">
        <v>43497</v>
      </c>
      <c r="C455" t="s">
        <v>536</v>
      </c>
    </row>
    <row r="456" spans="1:3" x14ac:dyDescent="0.35">
      <c r="A456" t="s">
        <v>26</v>
      </c>
      <c r="B456" s="66">
        <v>43466</v>
      </c>
      <c r="C456" t="s">
        <v>537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2022-12-10T03:32:16Z</dcterms:modified>
</cp:coreProperties>
</file>