
<file path=[Content_Types].xml><?xml version="1.0" encoding="utf-8"?>
<Types xmlns="http://schemas.openxmlformats.org/package/2006/content-types">
  <Default Extension="rels" ContentType="application/vnd.openxmlformats-package.relationships+xml"/>
  <Default Extension="xml" ContentType="application/xml"/>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drawings/drawing1.xml" ContentType="application/vnd.openxmlformats-officedocument.drawing+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drawings/drawing2.xml" ContentType="application/vnd.openxmlformats-officedocument.drawing+xml"/>
  <Override PartName="/xl/worksheets/sheet7.xml" ContentType="application/vnd.openxmlformats-officedocument.spreadsheetml.worksheet+xml"/>
  <Override PartName="/xl/drawings/drawing3.xml" ContentType="application/vnd.openxmlformats-officedocument.drawing+xml"/>
  <Override PartName="/xl/worksheets/sheet8.xml" ContentType="application/vnd.openxmlformats-officedocument.spreadsheetml.worksheet+xml"/>
  <Override PartName="/xl/drawings/drawing4.xml" ContentType="application/vnd.openxmlformats-officedocument.drawing+xml"/>
  <Override PartName="/xl/worksheets/sheet9.xml" ContentType="application/vnd.openxmlformats-officedocument.spreadsheetml.worksheet+xml"/>
  <Override PartName="/xl/worksheets/sheet10.xml" ContentType="application/vnd.openxmlformats-officedocument.spreadsheetml.worksheet+xml"/>
  <Override PartName="/xl/tables/table1.xml" ContentType="application/vnd.openxmlformats-officedocument.spreadsheetml.table+xml"/>
  <Override PartName="/xl/worksheets/sheet11.xml" ContentType="application/vnd.openxmlformats-officedocument.spreadsheetml.worksheet+xml"/>
  <Override PartName="/xl/drawings/drawing5.xml" ContentType="application/vnd.openxmlformats-officedocument.drawing+xml"/>
  <Override PartName="/xl/worksheets/sheet12.xml" ContentType="application/vnd.openxmlformats-officedocument.spreadsheetml.worksheet+xml"/>
  <Override PartName="/xl/drawings/drawing6.xml" ContentType="application/vnd.openxmlformats-officedocument.drawing+xml"/>
  <Override PartName="/xl/tables/table2.xml" ContentType="application/vnd.openxmlformats-officedocument.spreadsheetml.table+xml"/>
  <Override PartName="/xl/worksheets/sheet13.xml" ContentType="application/vnd.openxmlformats-officedocument.spreadsheetml.worksheet+xml"/>
  <Override PartName="/xl/drawings/drawing7.xml" ContentType="application/vnd.openxmlformats-officedocument.drawing+xml"/>
  <Override PartName="/xl/tables/table3.xml" ContentType="application/vnd.openxmlformats-officedocument.spreadsheetml.table+xml"/>
  <Override PartName="/xl/worksheets/sheet14.xml" ContentType="application/vnd.openxmlformats-officedocument.spreadsheetml.worksheet+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charts/chart19.xml" ContentType="application/vnd.openxmlformats-officedocument.drawingml.chart+xml"/>
  <Override PartName="/xl/charts/chart20.xml" ContentType="application/vnd.openxmlformats-officedocument.drawingml.chart+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charts/chart24.xml" ContentType="application/vnd.openxmlformats-officedocument.drawingml.chart+xml"/>
  <Override PartName="/xl/charts/chart25.xml" ContentType="application/vnd.openxmlformats-officedocument.drawingml.chart+xml"/>
  <Override PartName="/xl/charts/chart26.xml" ContentType="application/vnd.openxmlformats-officedocument.drawingml.chart+xml"/>
  <Override PartName="/xl/charts/chart27.xml" ContentType="application/vnd.openxmlformats-officedocument.drawingml.chart+xml"/>
  <Override PartName="/xl/charts/chart28.xml" ContentType="application/vnd.openxmlformats-officedocument.drawingml.chart+xml"/>
  <Override PartName="/xl/charts/chart29.xml" ContentType="application/vnd.openxmlformats-officedocument.drawingml.chart+xml"/>
  <Override PartName="/xl/charts/chart30.xml" ContentType="application/vnd.openxmlformats-officedocument.drawingml.chart+xml"/>
  <Override PartName="/xl/charts/chart31.xml" ContentType="application/vnd.openxmlformats-officedocument.drawingml.chart+xml"/>
  <Override PartName="/xl/charts/chart32.xml" ContentType="application/vnd.openxmlformats-officedocument.drawingml.chart+xml"/>
  <Override PartName="/xl/charts/chart33.xml" ContentType="application/vnd.openxmlformats-officedocument.drawingml.chart+xml"/>
  <Override PartName="/xl/charts/chart34.xml" ContentType="application/vnd.openxmlformats-officedocument.drawingml.chart+xml"/>
  <Override PartName="/xl/charts/chart35.xml" ContentType="application/vnd.openxmlformats-officedocument.drawingml.chart+xml"/>
  <Override PartName="/xl/charts/chart36.xml" ContentType="application/vnd.openxmlformats-officedocument.drawingml.chart+xml"/>
  <Override PartName="/xl/charts/chart37.xml" ContentType="application/vnd.openxmlformats-officedocument.drawingml.chart+xml"/>
  <Override PartName="/xl/charts/chart38.xml" ContentType="application/vnd.openxmlformats-officedocument.drawingml.chart+xml"/>
  <Override PartName="/xl/charts/chart39.xml" ContentType="application/vnd.openxmlformats-officedocument.drawingml.chart+xml"/>
  <Override PartName="/xl/charts/chart40.xml" ContentType="application/vnd.openxmlformats-officedocument.drawingml.chart+xml"/>
  <Override PartName="/xl/charts/chart41.xml" ContentType="application/vnd.openxmlformats-officedocument.drawingml.chart+xml"/>
  <Override PartName="/xl/charts/chart42.xml" ContentType="application/vnd.openxmlformats-officedocument.drawingml.chart+xml"/>
  <Override PartName="/xl/charts/chart43.xml" ContentType="application/vnd.openxmlformats-officedocument.drawingml.chart+xml"/>
  <Override PartName="/xl/charts/chart44.xml" ContentType="application/vnd.openxmlformats-officedocument.drawingml.chart+xml"/>
  <Override PartName="/xl/charts/chart45.xml" ContentType="application/vnd.openxmlformats-officedocument.drawingml.chart+xml"/>
  <Override PartName="/xl/charts/chart46.xml" ContentType="application/vnd.openxmlformats-officedocument.drawingml.chart+xml"/>
  <Override PartName="/xl/charts/chart47.xml" ContentType="application/vnd.openxmlformats-officedocument.drawingml.chart+xml"/>
  <Override PartName="/xl/charts/chart48.xml" ContentType="application/vnd.openxmlformats-officedocument.drawingml.chart+xml"/>
  <Override PartName="/xl/charts/chart49.xml" ContentType="application/vnd.openxmlformats-officedocument.drawingml.chart+xml"/>
  <Override PartName="/xl/charts/chart50.xml" ContentType="application/vnd.openxmlformats-officedocument.drawingml.chart+xml"/>
  <Override PartName="/xl/charts/chart51.xml" ContentType="application/vnd.openxmlformats-officedocument.drawingml.chart+xml"/>
  <Override PartName="/xl/charts/chart52.xml" ContentType="application/vnd.openxmlformats-officedocument.drawingml.chart+xml"/>
  <Override PartName="/xl/charts/chart53.xml" ContentType="application/vnd.openxmlformats-officedocument.drawingml.chart+xml"/>
  <Override PartName="/xl/charts/chart54.xml" ContentType="application/vnd.openxmlformats-officedocument.drawingml.chart+xml"/>
  <Override PartName="/xl/charts/chart55.xml" ContentType="application/vnd.openxmlformats-officedocument.drawingml.chart+xml"/>
  <Override PartName="/xl/charts/chart56.xml" ContentType="application/vnd.openxmlformats-officedocument.drawingml.chart+xml"/>
  <Override PartName="/xl/charts/chart57.xml" ContentType="application/vnd.openxmlformats-officedocument.drawingml.chart+xml"/>
  <Override PartName="/xl/charts/chart58.xml" ContentType="application/vnd.openxmlformats-officedocument.drawingml.chart+xml"/>
  <Override PartName="/xl/charts/chart59.xml" ContentType="application/vnd.openxmlformats-officedocument.drawingml.chart+xml"/>
  <Override PartName="/xl/charts/chart60.xml" ContentType="application/vnd.openxmlformats-officedocument.drawingml.chart+xml"/>
  <Override PartName="/xl/charts/chart61.xml" ContentType="application/vnd.openxmlformats-officedocument.drawingml.chart+xml"/>
  <Override PartName="/xl/charts/chart62.xml" ContentType="application/vnd.openxmlformats-officedocument.drawingml.chart+xml"/>
  <Override PartName="/xl/charts/chart63.xml" ContentType="application/vnd.openxmlformats-officedocument.drawingml.chart+xml"/>
  <Override PartName="/xl/charts/chart64.xml" ContentType="application/vnd.openxmlformats-officedocument.drawingml.chart+xml"/>
  <Override PartName="/xl/charts/chart65.xml" ContentType="application/vnd.openxmlformats-officedocument.drawingml.chart+xml"/>
  <Override PartName="/xl/charts/chart66.xml" ContentType="application/vnd.openxmlformats-officedocument.drawingml.chart+xml"/>
  <Override PartName="/xl/charts/chart67.xml" ContentType="application/vnd.openxmlformats-officedocument.drawingml.chart+xml"/>
  <Override PartName="/xl/charts/chart68.xml" ContentType="application/vnd.openxmlformats-officedocument.drawingml.chart+xml"/>
  <Override PartName="/xl/charts/chart69.xml" ContentType="application/vnd.openxmlformats-officedocument.drawingml.chart+xml"/>
  <Override PartName="/xl/charts/chart70.xml" ContentType="application/vnd.openxmlformats-officedocument.drawingml.chart+xml"/>
  <Override PartName="/xl/charts/chart71.xml" ContentType="application/vnd.openxmlformats-officedocument.drawingml.chart+xml"/>
  <Override PartName="/xl/charts/chart72.xml" ContentType="application/vnd.openxmlformats-officedocument.drawingml.chart+xml"/>
  <Override PartName="/xl/charts/chart73.xml" ContentType="application/vnd.openxmlformats-officedocument.drawingml.chart+xml"/>
  <Override PartName="/xl/charts/chart74.xml" ContentType="application/vnd.openxmlformats-officedocument.drawingml.chart+xml"/>
  <Override PartName="/xl/charts/chart75.xml" ContentType="application/vnd.openxmlformats-officedocument.drawingml.chart+xml"/>
  <Override PartName="/xl/charts/chart76.xml" ContentType="application/vnd.openxmlformats-officedocument.drawingml.chart+xml"/>
  <Override PartName="/xl/charts/chart77.xml" ContentType="application/vnd.openxmlformats-officedocument.drawingml.chart+xml"/>
  <Override PartName="/xl/charts/chart78.xml" ContentType="application/vnd.openxmlformats-officedocument.drawingml.chart+xml"/>
  <Override PartName="/xl/charts/chart79.xml" ContentType="application/vnd.openxmlformats-officedocument.drawingml.char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codeName="ThisWorkbook"/>
  <bookViews>
    <workbookView visibility="visible" minimized="0" showHorizontalScroll="1" showVerticalScroll="1" showSheetTabs="1" xWindow="-68120" yWindow="500" windowWidth="63140" windowHeight="28300" tabRatio="600" firstSheet="0" activeTab="13" autoFilterDateGrouping="1"/>
  </bookViews>
  <sheets>
    <sheet xmlns:r="http://schemas.openxmlformats.org/officeDocument/2006/relationships" name="Note" sheetId="1" state="visible" r:id="rId1"/>
    <sheet xmlns:r="http://schemas.openxmlformats.org/officeDocument/2006/relationships" name="DB Services ISM" sheetId="2" state="visible" r:id="rId2"/>
    <sheet xmlns:r="http://schemas.openxmlformats.org/officeDocument/2006/relationships" name="DB Business" sheetId="3" state="visible" r:id="rId3"/>
    <sheet xmlns:r="http://schemas.openxmlformats.org/officeDocument/2006/relationships" name="DB New Orders" sheetId="4" state="visible" r:id="rId4"/>
    <sheet xmlns:r="http://schemas.openxmlformats.org/officeDocument/2006/relationships" name="DB Details" sheetId="5" state="visible" r:id="rId5"/>
    <sheet xmlns:r="http://schemas.openxmlformats.org/officeDocument/2006/relationships" name="Sectors" sheetId="6" state="visible" r:id="rId6"/>
    <sheet xmlns:r="http://schemas.openxmlformats.org/officeDocument/2006/relationships" name="SectorsBusinessActivity" sheetId="7" state="visible" r:id="rId7"/>
    <sheet xmlns:r="http://schemas.openxmlformats.org/officeDocument/2006/relationships" name="SectorsNewOrders" sheetId="8" state="visible" r:id="rId8"/>
    <sheet xmlns:r="http://schemas.openxmlformats.org/officeDocument/2006/relationships" name="Sectors Trend" sheetId="9" state="visible" r:id="rId9"/>
    <sheet xmlns:r="http://schemas.openxmlformats.org/officeDocument/2006/relationships" name="Details" sheetId="10" state="visible" r:id="rId10"/>
    <sheet xmlns:r="http://schemas.openxmlformats.org/officeDocument/2006/relationships" name="Graphs" sheetId="11" state="visible" r:id="rId11"/>
    <sheet xmlns:r="http://schemas.openxmlformats.org/officeDocument/2006/relationships" name="ISM Services vs GDP" sheetId="12" state="visible" r:id="rId12"/>
    <sheet xmlns:r="http://schemas.openxmlformats.org/officeDocument/2006/relationships" name="ISM Services" sheetId="13" state="visible" r:id="rId13"/>
    <sheet xmlns:r="http://schemas.openxmlformats.org/officeDocument/2006/relationships" name="Industry Comments" sheetId="14" state="visible" r:id="rId14"/>
  </sheets>
  <definedNames/>
  <calcPr calcId="191029" fullCalcOnLoad="1"/>
</workbook>
</file>

<file path=xl/styles.xml><?xml version="1.0" encoding="utf-8"?>
<styleSheet xmlns="http://schemas.openxmlformats.org/spreadsheetml/2006/main">
  <numFmts count="4">
    <numFmt numFmtId="164" formatCode="0.0"/>
    <numFmt numFmtId="165" formatCode="dd\-mm\-yyyy"/>
    <numFmt numFmtId="166" formatCode="dd-mm-YYYY"/>
    <numFmt numFmtId="167" formatCode="yyyy-mm-dd h:mm:ss"/>
  </numFmts>
  <fonts count="21">
    <font>
      <name val="Calibri"/>
      <family val="2"/>
      <color theme="1"/>
      <sz val="11"/>
      <scheme val="minor"/>
    </font>
    <font>
      <name val="Calibri"/>
      <family val="2"/>
      <color theme="1"/>
      <sz val="11"/>
    </font>
    <font>
      <name val="Calibri"/>
      <family val="2"/>
      <b val="1"/>
      <color theme="1"/>
      <sz val="8"/>
      <scheme val="minor"/>
    </font>
    <font>
      <name val="Calibri"/>
      <family val="2"/>
      <sz val="8"/>
      <scheme val="minor"/>
    </font>
    <font>
      <name val="Arial"/>
      <family val="2"/>
      <b val="1"/>
      <sz val="10"/>
    </font>
    <font>
      <name val="Calibri"/>
      <family val="2"/>
      <color theme="1"/>
      <sz val="10"/>
      <scheme val="minor"/>
    </font>
    <font>
      <name val="Calibri"/>
      <family val="2"/>
      <sz val="10"/>
      <scheme val="minor"/>
    </font>
    <font>
      <name val="Arial"/>
      <family val="2"/>
      <sz val="10"/>
    </font>
    <font>
      <name val="Arial"/>
      <family val="2"/>
      <sz val="8"/>
    </font>
    <font>
      <name val="Calibri"/>
      <family val="2"/>
      <color theme="10"/>
      <sz val="11"/>
      <u val="single"/>
      <scheme val="minor"/>
    </font>
    <font>
      <name val="Calibri"/>
      <family val="2"/>
      <color theme="1"/>
      <sz val="11"/>
      <scheme val="minor"/>
    </font>
    <font>
      <name val="Calibri"/>
      <family val="2"/>
      <b val="1"/>
      <color theme="1"/>
      <sz val="11"/>
      <scheme val="minor"/>
    </font>
    <font>
      <name val="Calibri"/>
      <family val="2"/>
      <b val="1"/>
      <color rgb="FF494444"/>
      <sz val="11"/>
      <scheme val="minor"/>
    </font>
    <font>
      <name val="Arial"/>
      <family val="2"/>
      <color rgb="FF494444"/>
      <sz val="11"/>
    </font>
    <font>
      <name val="Calibri"/>
      <family val="2"/>
      <color rgb="FF00B0F0"/>
      <sz val="11"/>
      <scheme val="minor"/>
    </font>
    <font>
      <name val="Calibri"/>
      <family val="2"/>
      <b val="1"/>
      <color rgb="FF00B0F0"/>
      <sz val="11"/>
      <scheme val="minor"/>
    </font>
    <font>
      <name val="Calibri"/>
      <family val="2"/>
      <b val="1"/>
      <color theme="0"/>
      <sz val="10"/>
      <scheme val="minor"/>
    </font>
    <font>
      <name val="Calibri"/>
      <family val="2"/>
      <b val="1"/>
      <color theme="1"/>
      <sz val="10"/>
      <scheme val="minor"/>
    </font>
    <font>
      <name val="Calibri"/>
      <family val="2"/>
      <color theme="0"/>
      <sz val="8"/>
      <scheme val="minor"/>
    </font>
    <font>
      <name val="Calibri"/>
      <family val="2"/>
      <b val="1"/>
      <color theme="0" tint="-0.0499893185216834"/>
      <sz val="11"/>
      <scheme val="minor"/>
    </font>
    <font>
      <name val="Calibri"/>
      <family val="2"/>
      <b val="1"/>
      <color theme="0"/>
      <sz val="8"/>
      <scheme val="minor"/>
    </font>
  </fonts>
  <fills count="7">
    <fill>
      <patternFill/>
    </fill>
    <fill>
      <patternFill patternType="gray125"/>
    </fill>
    <fill>
      <patternFill patternType="solid">
        <fgColor theme="0"/>
        <bgColor indexed="64"/>
      </patternFill>
    </fill>
    <fill>
      <patternFill patternType="solid">
        <fgColor theme="0" tint="-0.0499893185216834"/>
        <bgColor indexed="64"/>
      </patternFill>
    </fill>
    <fill>
      <patternFill patternType="solid">
        <fgColor rgb="FFFF0000"/>
        <bgColor indexed="64"/>
      </patternFill>
    </fill>
    <fill>
      <patternFill patternType="solid">
        <fgColor theme="4" tint="0.7999816888943144"/>
        <bgColor indexed="64"/>
      </patternFill>
    </fill>
    <fill>
      <patternFill patternType="solid">
        <fgColor rgb="FF00B050"/>
        <bgColor indexed="64"/>
      </patternFill>
    </fill>
  </fills>
  <borders count="39">
    <border>
      <left/>
      <right/>
      <top/>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style="medium">
        <color indexed="64"/>
      </left>
      <right style="medium">
        <color indexed="64"/>
      </right>
      <top/>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right style="thin">
        <color indexed="64"/>
      </right>
      <top/>
      <bottom/>
      <diagonal/>
    </border>
    <border>
      <left style="thin">
        <color indexed="64"/>
      </left>
      <right style="thin">
        <color indexed="64"/>
      </right>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right style="medium">
        <color indexed="64"/>
      </right>
      <top/>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right style="thin">
        <color indexed="64"/>
      </right>
      <top style="medium">
        <color indexed="64"/>
      </top>
      <bottom style="thin">
        <color indexed="64"/>
      </bottom>
      <diagonal/>
    </border>
    <border>
      <left/>
      <right style="thin">
        <color indexed="64"/>
      </right>
      <top style="thin">
        <color indexed="64"/>
      </top>
      <bottom style="medium">
        <color indexed="64"/>
      </bottom>
      <diagonal/>
    </border>
    <border>
      <left/>
      <right/>
      <top style="thin">
        <color indexed="64"/>
      </top>
      <bottom/>
      <diagonal/>
    </border>
    <border>
      <left/>
      <right style="thin">
        <color indexed="64"/>
      </right>
      <top style="thin">
        <color indexed="64"/>
      </top>
      <bottom/>
      <diagonal/>
    </border>
    <border>
      <left/>
      <right style="thin">
        <color indexed="64"/>
      </right>
      <top style="medium">
        <color indexed="64"/>
      </top>
      <bottom/>
      <diagonal/>
    </border>
    <border>
      <left style="medium">
        <color indexed="64"/>
      </left>
      <right/>
      <top/>
      <bottom/>
      <diagonal/>
    </border>
    <border>
      <left style="thin">
        <color indexed="64"/>
      </left>
      <right/>
      <top/>
      <bottom/>
      <diagonal/>
    </border>
  </borders>
  <cellStyleXfs count="4">
    <xf numFmtId="0" fontId="10" fillId="0" borderId="0"/>
    <xf numFmtId="0" fontId="7" fillId="0" borderId="0"/>
    <xf numFmtId="0" fontId="9" fillId="0" borderId="0"/>
    <xf numFmtId="9" fontId="10" fillId="0" borderId="0"/>
  </cellStyleXfs>
  <cellXfs count="94">
    <xf numFmtId="0" fontId="0" fillId="0" borderId="0" pivotButton="0" quotePrefix="0" xfId="0"/>
    <xf numFmtId="0" fontId="6" fillId="0" borderId="0" pivotButton="0" quotePrefix="0" xfId="1"/>
    <xf numFmtId="0" fontId="3" fillId="4" borderId="1" pivotButton="0" quotePrefix="0" xfId="1"/>
    <xf numFmtId="0" fontId="3" fillId="3" borderId="5" pivotButton="0" quotePrefix="0" xfId="0"/>
    <xf numFmtId="0" fontId="3" fillId="3" borderId="7" pivotButton="0" quotePrefix="0" xfId="0"/>
    <xf numFmtId="0" fontId="0" fillId="2" borderId="1" pivotButton="0" quotePrefix="0" xfId="0"/>
    <xf numFmtId="0" fontId="0" fillId="2" borderId="0" pivotButton="0" quotePrefix="1" xfId="0"/>
    <xf numFmtId="17" fontId="0" fillId="2" borderId="0" pivotButton="0" quotePrefix="0" xfId="0"/>
    <xf numFmtId="17" fontId="0" fillId="2" borderId="1" pivotButton="0" quotePrefix="0" xfId="0"/>
    <xf numFmtId="0" fontId="9" fillId="0" borderId="0" pivotButton="0" quotePrefix="0" xfId="2"/>
    <xf numFmtId="0" fontId="5" fillId="2" borderId="0" pivotButton="0" quotePrefix="0" xfId="0"/>
    <xf numFmtId="0" fontId="0" fillId="2" borderId="0" applyAlignment="1" pivotButton="0" quotePrefix="0" xfId="0">
      <alignment horizontal="center"/>
    </xf>
    <xf numFmtId="0" fontId="13" fillId="0" borderId="0" pivotButton="0" quotePrefix="0" xfId="0"/>
    <xf numFmtId="0" fontId="0" fillId="2" borderId="0" applyAlignment="1" pivotButton="0" quotePrefix="0" xfId="0">
      <alignment vertical="center"/>
    </xf>
    <xf numFmtId="0" fontId="14" fillId="2" borderId="0" pivotButton="0" quotePrefix="0" xfId="0"/>
    <xf numFmtId="14" fontId="15" fillId="2" borderId="17" applyAlignment="1" pivotButton="0" quotePrefix="0" xfId="0">
      <alignment horizontal="center"/>
    </xf>
    <xf numFmtId="14" fontId="11" fillId="2" borderId="17" applyAlignment="1" pivotButton="0" quotePrefix="0" xfId="0">
      <alignment horizontal="center"/>
    </xf>
    <xf numFmtId="0" fontId="11" fillId="2" borderId="13" applyAlignment="1" pivotButton="0" quotePrefix="0" xfId="0">
      <alignment horizontal="center"/>
    </xf>
    <xf numFmtId="0" fontId="11" fillId="5" borderId="1" pivotButton="0" quotePrefix="0" xfId="0"/>
    <xf numFmtId="0" fontId="11" fillId="2" borderId="3" applyAlignment="1" pivotButton="0" quotePrefix="0" xfId="0">
      <alignment horizontal="center"/>
    </xf>
    <xf numFmtId="0" fontId="11" fillId="2" borderId="14" applyAlignment="1" pivotButton="0" quotePrefix="0" xfId="0">
      <alignment horizontal="center"/>
    </xf>
    <xf numFmtId="0" fontId="2" fillId="5" borderId="1" pivotButton="0" quotePrefix="0" xfId="0"/>
    <xf numFmtId="0" fontId="3" fillId="2" borderId="1" applyAlignment="1" pivotButton="0" quotePrefix="0" xfId="1">
      <alignment horizontal="center"/>
    </xf>
    <xf numFmtId="0" fontId="0" fillId="2" borderId="19" applyAlignment="1" pivotButton="0" quotePrefix="0" xfId="0">
      <alignment horizontal="center"/>
    </xf>
    <xf numFmtId="164" fontId="0" fillId="2" borderId="20" applyAlignment="1" pivotButton="0" quotePrefix="0" xfId="3">
      <alignment horizontal="center"/>
    </xf>
    <xf numFmtId="164" fontId="0" fillId="2" borderId="22" applyAlignment="1" pivotButton="0" quotePrefix="0" xfId="3">
      <alignment horizontal="center"/>
    </xf>
    <xf numFmtId="0" fontId="0" fillId="2" borderId="24" applyAlignment="1" pivotButton="0" quotePrefix="0" xfId="0">
      <alignment horizontal="center"/>
    </xf>
    <xf numFmtId="164" fontId="0" fillId="2" borderId="25" applyAlignment="1" pivotButton="0" quotePrefix="0" xfId="3">
      <alignment horizontal="center"/>
    </xf>
    <xf numFmtId="0" fontId="11" fillId="2" borderId="0" pivotButton="0" quotePrefix="0" xfId="0"/>
    <xf numFmtId="0" fontId="3" fillId="2" borderId="0" applyAlignment="1" pivotButton="0" quotePrefix="0" xfId="0">
      <alignment horizontal="center"/>
    </xf>
    <xf numFmtId="0" fontId="4" fillId="2" borderId="0" pivotButton="0" quotePrefix="0" xfId="0"/>
    <xf numFmtId="17" fontId="17" fillId="2" borderId="4" applyAlignment="1" pivotButton="0" quotePrefix="0" xfId="0">
      <alignment horizontal="center" vertical="center"/>
    </xf>
    <xf numFmtId="17" fontId="17" fillId="2" borderId="6" applyAlignment="1" pivotButton="0" quotePrefix="0" xfId="0">
      <alignment horizontal="center" vertical="center"/>
    </xf>
    <xf numFmtId="0" fontId="6" fillId="2" borderId="0" pivotButton="0" quotePrefix="0" xfId="1"/>
    <xf numFmtId="164" fontId="3" fillId="2" borderId="1" applyAlignment="1" pivotButton="0" quotePrefix="0" xfId="1">
      <alignment horizontal="center"/>
    </xf>
    <xf numFmtId="14" fontId="0" fillId="2" borderId="0" pivotButton="0" quotePrefix="0" xfId="0"/>
    <xf numFmtId="0" fontId="6" fillId="2" borderId="0" applyAlignment="1" pivotButton="0" quotePrefix="0" xfId="1">
      <alignment horizontal="center"/>
    </xf>
    <xf numFmtId="0" fontId="8" fillId="2" borderId="0" applyAlignment="1" pivotButton="0" quotePrefix="0" xfId="0">
      <alignment horizontal="center"/>
    </xf>
    <xf numFmtId="0" fontId="0" fillId="2" borderId="19" pivotButton="0" quotePrefix="0" xfId="0"/>
    <xf numFmtId="0" fontId="0" fillId="2" borderId="20" pivotButton="0" quotePrefix="0" xfId="0"/>
    <xf numFmtId="0" fontId="0" fillId="2" borderId="22" pivotButton="0" quotePrefix="0" xfId="0"/>
    <xf numFmtId="0" fontId="0" fillId="2" borderId="24" pivotButton="0" quotePrefix="0" xfId="0"/>
    <xf numFmtId="0" fontId="0" fillId="2" borderId="25" pivotButton="0" quotePrefix="0" xfId="0"/>
    <xf numFmtId="17" fontId="14" fillId="2" borderId="0" pivotButton="0" quotePrefix="0" xfId="0"/>
    <xf numFmtId="0" fontId="19" fillId="6" borderId="1" applyAlignment="1" pivotButton="0" quotePrefix="0" xfId="0">
      <alignment wrapText="1"/>
    </xf>
    <xf numFmtId="0" fontId="9" fillId="2" borderId="0" pivotButton="0" quotePrefix="0" xfId="2"/>
    <xf numFmtId="0" fontId="11" fillId="6" borderId="2" applyAlignment="1" pivotButton="0" quotePrefix="0" xfId="0">
      <alignment horizontal="center" wrapText="1"/>
    </xf>
    <xf numFmtId="0" fontId="11" fillId="6" borderId="15" applyAlignment="1" pivotButton="0" quotePrefix="0" xfId="0">
      <alignment horizontal="center" wrapText="1"/>
    </xf>
    <xf numFmtId="0" fontId="11" fillId="6" borderId="16" applyAlignment="1" pivotButton="0" quotePrefix="0" xfId="0">
      <alignment horizontal="center" wrapText="1"/>
    </xf>
    <xf numFmtId="14" fontId="1" fillId="2" borderId="7" applyAlignment="1" pivotButton="0" quotePrefix="0" xfId="0">
      <alignment horizontal="center"/>
    </xf>
    <xf numFmtId="2" fontId="1" fillId="2" borderId="7" applyAlignment="1" pivotButton="0" quotePrefix="0" xfId="0">
      <alignment horizontal="center"/>
    </xf>
    <xf numFmtId="0" fontId="1" fillId="2" borderId="7" applyAlignment="1" pivotButton="0" quotePrefix="0" xfId="0">
      <alignment horizontal="center"/>
    </xf>
    <xf numFmtId="0" fontId="0" fillId="2" borderId="7" applyAlignment="1" pivotButton="0" quotePrefix="0" xfId="0">
      <alignment horizontal="center"/>
    </xf>
    <xf numFmtId="14" fontId="1" fillId="2" borderId="1" applyAlignment="1" pivotButton="0" quotePrefix="0" xfId="0">
      <alignment horizontal="center"/>
    </xf>
    <xf numFmtId="0" fontId="1" fillId="2" borderId="1" applyAlignment="1" pivotButton="0" quotePrefix="0" xfId="0">
      <alignment horizontal="center"/>
    </xf>
    <xf numFmtId="0" fontId="18" fillId="6" borderId="27" applyAlignment="1" pivotButton="0" quotePrefix="0" xfId="0">
      <alignment horizontal="center" vertical="center"/>
    </xf>
    <xf numFmtId="164" fontId="20" fillId="6" borderId="28" applyAlignment="1" pivotButton="0" quotePrefix="0" xfId="0">
      <alignment horizontal="center" vertical="center" wrapText="1"/>
    </xf>
    <xf numFmtId="10" fontId="20" fillId="6" borderId="29" applyAlignment="1" pivotButton="0" quotePrefix="0" xfId="0">
      <alignment horizontal="center" vertical="center" wrapText="1"/>
    </xf>
    <xf numFmtId="164" fontId="20" fillId="6" borderId="29" applyAlignment="1" pivotButton="0" quotePrefix="0" xfId="0">
      <alignment horizontal="center" vertical="center" wrapText="1"/>
    </xf>
    <xf numFmtId="2" fontId="20" fillId="6" borderId="30" applyAlignment="1" pivotButton="0" quotePrefix="0" xfId="0">
      <alignment horizontal="center" vertical="center" wrapText="1"/>
    </xf>
    <xf numFmtId="14" fontId="1" fillId="2" borderId="1" pivotButton="0" quotePrefix="0" xfId="0"/>
    <xf numFmtId="10" fontId="0" fillId="2" borderId="1" applyAlignment="1" pivotButton="0" quotePrefix="0" xfId="0">
      <alignment horizontal="center"/>
    </xf>
    <xf numFmtId="0" fontId="11" fillId="6" borderId="11" applyAlignment="1" pivotButton="0" quotePrefix="0" xfId="0">
      <alignment horizontal="center"/>
    </xf>
    <xf numFmtId="0" fontId="11" fillId="6" borderId="12" applyAlignment="1" pivotButton="0" quotePrefix="0" xfId="0">
      <alignment horizontal="center"/>
    </xf>
    <xf numFmtId="0" fontId="11" fillId="6" borderId="13" applyAlignment="1" pivotButton="0" quotePrefix="0" xfId="0">
      <alignment horizontal="center"/>
    </xf>
    <xf numFmtId="0" fontId="0" fillId="0" borderId="0" pivotButton="0" quotePrefix="0" xfId="0"/>
    <xf numFmtId="0" fontId="0" fillId="2" borderId="0" pivotButton="0" quotePrefix="0" xfId="0"/>
    <xf numFmtId="0" fontId="0" fillId="2" borderId="0" applyAlignment="1" pivotButton="0" quotePrefix="0" xfId="0">
      <alignment wrapText="1"/>
    </xf>
    <xf numFmtId="0" fontId="0" fillId="2" borderId="1" applyAlignment="1" pivotButton="0" quotePrefix="0" xfId="0">
      <alignment horizontal="center"/>
    </xf>
    <xf numFmtId="165" fontId="0" fillId="0" borderId="0" pivotButton="0" quotePrefix="0" xfId="0"/>
    <xf numFmtId="0" fontId="0" fillId="2" borderId="0" pivotButton="0" quotePrefix="0" xfId="0"/>
    <xf numFmtId="0" fontId="11" fillId="5" borderId="21" applyAlignment="1" pivotButton="0" quotePrefix="0" xfId="0">
      <alignment horizontal="center" wrapText="1"/>
    </xf>
    <xf numFmtId="0" fontId="0" fillId="0" borderId="9" pivotButton="0" quotePrefix="0" xfId="0"/>
    <xf numFmtId="0" fontId="11" fillId="5" borderId="23" applyAlignment="1" pivotButton="0" quotePrefix="0" xfId="0">
      <alignment horizontal="center" wrapText="1"/>
    </xf>
    <xf numFmtId="0" fontId="0" fillId="0" borderId="33" pivotButton="0" quotePrefix="0" xfId="0"/>
    <xf numFmtId="0" fontId="11" fillId="5" borderId="31" applyAlignment="1" pivotButton="0" quotePrefix="0" xfId="0">
      <alignment horizontal="center"/>
    </xf>
    <xf numFmtId="0" fontId="0" fillId="0" borderId="15" pivotButton="0" quotePrefix="0" xfId="0"/>
    <xf numFmtId="0" fontId="0" fillId="0" borderId="16" pivotButton="0" quotePrefix="0" xfId="0"/>
    <xf numFmtId="0" fontId="11" fillId="2" borderId="10" applyAlignment="1" pivotButton="0" quotePrefix="0" xfId="0">
      <alignment horizontal="center" vertical="center"/>
    </xf>
    <xf numFmtId="0" fontId="0" fillId="0" borderId="10" pivotButton="0" quotePrefix="0" xfId="0"/>
    <xf numFmtId="0" fontId="12" fillId="2" borderId="0" applyAlignment="1" pivotButton="0" quotePrefix="0" xfId="0">
      <alignment wrapText="1"/>
    </xf>
    <xf numFmtId="0" fontId="11" fillId="5" borderId="1" applyAlignment="1" pivotButton="0" quotePrefix="0" xfId="0">
      <alignment horizontal="center"/>
    </xf>
    <xf numFmtId="0" fontId="0" fillId="0" borderId="8" pivotButton="0" quotePrefix="0" xfId="0"/>
    <xf numFmtId="0" fontId="0" fillId="2" borderId="0" applyAlignment="1" pivotButton="0" quotePrefix="0" xfId="0">
      <alignment wrapText="1"/>
    </xf>
    <xf numFmtId="0" fontId="11" fillId="5" borderId="18" applyAlignment="1" pivotButton="0" quotePrefix="0" xfId="0">
      <alignment horizontal="center" wrapText="1"/>
    </xf>
    <xf numFmtId="0" fontId="0" fillId="0" borderId="32" pivotButton="0" quotePrefix="0" xfId="0"/>
    <xf numFmtId="0" fontId="16" fillId="6" borderId="31" applyAlignment="1" pivotButton="0" quotePrefix="0" xfId="0">
      <alignment horizontal="center" vertical="center"/>
    </xf>
    <xf numFmtId="0" fontId="0" fillId="0" borderId="26" pivotButton="0" quotePrefix="0" xfId="0"/>
    <xf numFmtId="0" fontId="17" fillId="2" borderId="4" applyAlignment="1" pivotButton="0" quotePrefix="0" xfId="0">
      <alignment horizontal="center" vertical="center"/>
    </xf>
    <xf numFmtId="0" fontId="0" fillId="0" borderId="5" pivotButton="0" quotePrefix="0" xfId="0"/>
    <xf numFmtId="0" fontId="14" fillId="2" borderId="0" applyAlignment="1" pivotButton="0" quotePrefix="0" xfId="0">
      <alignment horizontal="center"/>
    </xf>
    <xf numFmtId="0" fontId="0" fillId="2" borderId="1" applyAlignment="1" pivotButton="0" quotePrefix="0" xfId="0">
      <alignment horizontal="center"/>
    </xf>
    <xf numFmtId="166" fontId="0" fillId="0" borderId="0" pivotButton="0" quotePrefix="0" xfId="0"/>
    <xf numFmtId="166" fontId="0" fillId="0" borderId="0" pivotButton="0" quotePrefix="0" xfId="0"/>
  </cellXfs>
  <cellStyles count="4">
    <cellStyle name="Normal" xfId="0" builtinId="0"/>
    <cellStyle name="Normal 3" xfId="1"/>
    <cellStyle name="Hyperlink" xfId="2" builtinId="8"/>
    <cellStyle name="Per cent" xfId="3" builtinId="5"/>
  </cellStyles>
  <dxfs count="135">
    <dxf>
      <font>
        <name val="Calibri"/>
        <strike val="0"/>
        <outline val="0"/>
        <shadow val="0"/>
        <condense val="0"/>
        <color theme="1"/>
        <extend val="0"/>
        <sz val="11"/>
        <vertAlign val="baseline"/>
      </font>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strike val="0"/>
        <outline val="0"/>
        <shadow val="0"/>
        <condense val="0"/>
        <color theme="1"/>
        <extend val="0"/>
        <sz val="11"/>
        <vertAlign val="baseline"/>
      </font>
      <numFmt numFmtId="167" formatCode="dd/mm/yyyy"/>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strike val="0"/>
        <outline val="0"/>
        <shadow val="0"/>
        <condense val="0"/>
        <color theme="1"/>
        <extend val="0"/>
        <sz val="11"/>
        <vertAlign val="baseline"/>
      </font>
      <numFmt numFmtId="167" formatCode="dd/mm/yyyy"/>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border>
        <bottom style="medium">
          <color indexed="64"/>
        </bottom>
      </border>
    </dxf>
    <dxf>
      <fill>
        <patternFill>
          <fgColor indexed="64"/>
          <bgColor theme="0"/>
        </patternFill>
      </fill>
      <alignment horizontal="center" vertical="bottom"/>
    </dxf>
    <dxf>
      <font>
        <b val="1"/>
      </font>
      <fill>
        <patternFill patternType="solid">
          <fgColor indexed="64"/>
          <bgColor rgb="FF00B050"/>
        </patternFill>
      </fill>
      <alignment horizontal="center" vertical="bottom"/>
      <border>
        <left/>
        <right/>
        <top/>
        <bottom/>
        <vertical/>
        <horizontal/>
      </border>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rgb="FF00B050"/>
      </font>
      <fill>
        <patternFill>
          <bgColor theme="0"/>
        </patternFill>
      </fill>
    </dxf>
    <dxf>
      <font>
        <color rgb="FFFF0000"/>
      </font>
    </dxf>
    <dxf>
      <font>
        <name val="Calibri"/>
        <strike val="0"/>
        <outline val="0"/>
        <shadow val="0"/>
        <condense val="0"/>
        <color auto="1"/>
        <extend val="0"/>
        <sz val="8"/>
        <vertAlign val="baseline"/>
        <scheme val="minor"/>
      </font>
      <numFmt numFmtId="2" formatCode="0.00"/>
      <fill>
        <patternFill patternType="solid">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strike val="0"/>
        <outline val="0"/>
        <shadow val="0"/>
        <condense val="0"/>
        <color auto="1"/>
        <extend val="0"/>
        <sz val="8"/>
        <vertAlign val="baseline"/>
        <scheme val="minor"/>
      </font>
      <numFmt numFmtId="14" formatCode="0.00%"/>
      <fill>
        <patternFill patternType="solid">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strike val="0"/>
        <outline val="0"/>
        <shadow val="0"/>
        <condense val="0"/>
        <color auto="1"/>
        <extend val="0"/>
        <sz val="8"/>
        <vertAlign val="baseline"/>
        <scheme val="minor"/>
      </font>
      <numFmt numFmtId="14" formatCode="0.00%"/>
      <fill>
        <patternFill patternType="solid">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strike val="0"/>
        <outline val="0"/>
        <shadow val="0"/>
        <condense val="0"/>
        <color auto="1"/>
        <extend val="0"/>
        <sz val="8"/>
        <vertAlign val="baseline"/>
        <scheme val="minor"/>
      </font>
      <numFmt numFmtId="164" formatCode="0.0"/>
      <fill>
        <patternFill patternType="solid">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strike val="0"/>
        <outline val="0"/>
        <shadow val="0"/>
        <condense val="0"/>
        <color auto="1"/>
        <extend val="0"/>
        <sz val="8"/>
        <vertAlign val="baseline"/>
        <scheme val="minor"/>
      </font>
      <numFmt numFmtId="22" formatCode="mmm\-yy"/>
      <fill>
        <patternFill patternType="solid">
          <fgColor indexed="64"/>
          <bgColor theme="0"/>
        </patternFill>
      </fill>
      <alignment horizontal="left" vertical="center" wrapText="1"/>
      <border>
        <left style="thin">
          <color indexed="64"/>
        </left>
        <right style="thin">
          <color indexed="64"/>
        </right>
        <top style="thin">
          <color indexed="64"/>
        </top>
        <bottom style="thin">
          <color indexed="64"/>
        </bottom>
        <vertical style="thin">
          <color indexed="64"/>
        </vertical>
        <horizontal style="thin">
          <color indexed="64"/>
        </horizontal>
      </border>
    </dxf>
    <dxf>
      <border outline="0">
        <top style="thin">
          <color indexed="64"/>
        </top>
      </border>
    </dxf>
    <dxf>
      <border outline="0">
        <left style="thin">
          <color indexed="64"/>
        </left>
        <right style="thin">
          <color indexed="64"/>
        </right>
        <top style="thin">
          <color indexed="64"/>
        </top>
        <bottom style="thin">
          <color indexed="64"/>
        </bottom>
      </border>
    </dxf>
    <dxf>
      <fill>
        <patternFill patternType="solid">
          <fgColor indexed="64"/>
          <bgColor theme="0"/>
        </patternFill>
      </fill>
    </dxf>
    <dxf>
      <border>
        <bottom style="medium">
          <color indexed="64"/>
        </bottom>
      </border>
    </dxf>
    <dxf>
      <font>
        <name val="Calibri"/>
        <family val="2"/>
        <strike val="0"/>
        <outline val="0"/>
        <shadow val="0"/>
        <color theme="0"/>
        <sz val="8"/>
        <vertAlign val="baseline"/>
        <scheme val="minor"/>
      </font>
      <fill>
        <patternFill patternType="solid">
          <fgColor indexed="64"/>
          <bgColor rgb="FF00B050"/>
        </patternFill>
      </fill>
      <alignment horizontal="center" vertical="center"/>
    </dxf>
    <dxf>
      <numFmt numFmtId="2" formatCode="0.0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horizontal/>
      </border>
    </dxf>
    <dxf>
      <numFmt numFmtId="0" formatCode="General"/>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horizontal/>
      </border>
    </dxf>
    <dxf>
      <numFmt numFmtId="0" formatCode="General"/>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strike val="0"/>
        <outline val="0"/>
        <shadow val="0"/>
        <condense val="0"/>
        <color theme="1"/>
        <extend val="0"/>
        <sz val="11"/>
        <vertAlign val="baseline"/>
      </font>
      <numFmt numFmtId="0" formatCode="General"/>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strike val="0"/>
        <outline val="0"/>
        <shadow val="0"/>
        <condense val="0"/>
        <color theme="1"/>
        <extend val="0"/>
        <sz val="11"/>
        <vertAlign val="baseline"/>
      </font>
      <numFmt numFmtId="0" formatCode="General"/>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family val="2"/>
        <strike val="0"/>
        <outline val="0"/>
        <shadow val="0"/>
        <condense val="0"/>
        <color theme="1"/>
        <extend val="0"/>
        <sz val="11"/>
        <vertAlign val="baseline"/>
      </font>
      <numFmt numFmtId="167" formatCode="dd/mm/yyyy"/>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strike val="0"/>
        <outline val="0"/>
        <shadow val="0"/>
        <condense val="0"/>
        <color theme="1"/>
        <extend val="0"/>
        <sz val="11"/>
        <vertAlign val="baseline"/>
      </font>
      <numFmt numFmtId="167" formatCode="dd/mm/yyyy"/>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fgColor indexed="64"/>
          <bgColor theme="0"/>
        </patternFill>
      </fill>
      <alignment horizontal="center" vertical="bottom"/>
    </dxf>
    <dxf>
      <border>
        <bottom style="medium">
          <color indexed="64"/>
        </bottom>
      </border>
    </dxf>
    <dxf>
      <font>
        <b val="1"/>
      </font>
      <fill>
        <patternFill patternType="solid">
          <fgColor indexed="64"/>
          <bgColor rgb="FF00B050"/>
        </patternFill>
      </fill>
      <alignment horizontal="center" vertical="bottom" wrapText="1"/>
      <border>
        <left/>
        <right/>
        <top/>
        <bottom/>
        <vertical/>
        <horizontal/>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worksheet" Target="/xl/worksheets/sheet9.xml" Id="rId9"/><Relationship Type="http://schemas.openxmlformats.org/officeDocument/2006/relationships/worksheet" Target="/xl/worksheets/sheet10.xml" Id="rId10"/><Relationship Type="http://schemas.openxmlformats.org/officeDocument/2006/relationships/worksheet" Target="/xl/worksheets/sheet11.xml" Id="rId11"/><Relationship Type="http://schemas.openxmlformats.org/officeDocument/2006/relationships/worksheet" Target="/xl/worksheets/sheet12.xml" Id="rId12"/><Relationship Type="http://schemas.openxmlformats.org/officeDocument/2006/relationships/worksheet" Target="/xl/worksheets/sheet13.xml" Id="rId13"/><Relationship Type="http://schemas.openxmlformats.org/officeDocument/2006/relationships/worksheet" Target="/xl/worksheets/sheet14.xml" Id="rId14"/><Relationship Type="http://schemas.openxmlformats.org/officeDocument/2006/relationships/styles" Target="styles.xml" Id="rId15"/><Relationship Type="http://schemas.openxmlformats.org/officeDocument/2006/relationships/theme" Target="theme/theme1.xml" Id="rId16"/><Relationship Type="http://schemas.microsoft.com/office/2006/relationships/vbaProject" Target="vbaProject.bin" Id="rId17"/></Relationships>
</file>

<file path=xl/charts/chart1.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ISM Services</a:t>
            </a:r>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'ISM Services'!$B$5</f>
              <strCache>
                <ptCount val="1"/>
                <pt idx="0">
                  <v>ISM Services</v>
                </pt>
              </strCache>
            </strRef>
          </tx>
          <spPr>
            <a:ln xmlns:a="http://schemas.openxmlformats.org/drawingml/2006/main" w="28575" cap="rnd">
              <a:solidFill>
                <a:sysClr val="windowText" lastClr="000000"/>
              </a:solidFill>
              <a:prstDash val="solid"/>
              <a:round/>
            </a:ln>
          </spPr>
          <marker>
            <symbol val="none"/>
            <spPr>
              <a:ln xmlns:a="http://schemas.openxmlformats.org/drawingml/2006/main">
                <a:prstDash val="solid"/>
              </a:ln>
            </spPr>
          </marker>
          <cat>
            <numRef>
              <f>'ISM Services'!$A$6:$A$305</f>
              <numCache>
                <formatCode>m/d/yy</formatCode>
                <ptCount val="300"/>
                <pt idx="0">
                  <v>35612</v>
                </pt>
                <pt idx="1">
                  <v>35643</v>
                </pt>
                <pt idx="2">
                  <v>35674</v>
                </pt>
                <pt idx="3">
                  <v>35704</v>
                </pt>
                <pt idx="4">
                  <v>35735</v>
                </pt>
                <pt idx="5">
                  <v>35765</v>
                </pt>
                <pt idx="6">
                  <v>35796</v>
                </pt>
                <pt idx="7">
                  <v>35827</v>
                </pt>
                <pt idx="8">
                  <v>35855</v>
                </pt>
                <pt idx="9">
                  <v>35886</v>
                </pt>
                <pt idx="10">
                  <v>35916</v>
                </pt>
                <pt idx="11">
                  <v>35947</v>
                </pt>
                <pt idx="12">
                  <v>35977</v>
                </pt>
                <pt idx="13">
                  <v>36008</v>
                </pt>
                <pt idx="14">
                  <v>36039</v>
                </pt>
                <pt idx="15">
                  <v>36069</v>
                </pt>
                <pt idx="16">
                  <v>36100</v>
                </pt>
                <pt idx="17">
                  <v>36130</v>
                </pt>
                <pt idx="18">
                  <v>36161</v>
                </pt>
                <pt idx="19">
                  <v>36192</v>
                </pt>
                <pt idx="20">
                  <v>36220</v>
                </pt>
                <pt idx="21">
                  <v>36251</v>
                </pt>
                <pt idx="22">
                  <v>36281</v>
                </pt>
                <pt idx="23">
                  <v>36312</v>
                </pt>
                <pt idx="24">
                  <v>36342</v>
                </pt>
                <pt idx="25">
                  <v>36373</v>
                </pt>
                <pt idx="26">
                  <v>36404</v>
                </pt>
                <pt idx="27">
                  <v>36434</v>
                </pt>
                <pt idx="28">
                  <v>36465</v>
                </pt>
                <pt idx="29">
                  <v>36495</v>
                </pt>
                <pt idx="30">
                  <v>36526</v>
                </pt>
                <pt idx="31">
                  <v>36557</v>
                </pt>
                <pt idx="32">
                  <v>36586</v>
                </pt>
                <pt idx="33">
                  <v>36617</v>
                </pt>
                <pt idx="34">
                  <v>36647</v>
                </pt>
                <pt idx="35">
                  <v>36678</v>
                </pt>
                <pt idx="36">
                  <v>36708</v>
                </pt>
                <pt idx="37">
                  <v>36739</v>
                </pt>
                <pt idx="38">
                  <v>36770</v>
                </pt>
                <pt idx="39">
                  <v>36800</v>
                </pt>
                <pt idx="40">
                  <v>36831</v>
                </pt>
                <pt idx="41">
                  <v>36861</v>
                </pt>
                <pt idx="42">
                  <v>36892</v>
                </pt>
                <pt idx="43">
                  <v>36923</v>
                </pt>
                <pt idx="44">
                  <v>36951</v>
                </pt>
                <pt idx="45">
                  <v>36982</v>
                </pt>
                <pt idx="46">
                  <v>37012</v>
                </pt>
                <pt idx="47">
                  <v>37043</v>
                </pt>
                <pt idx="48">
                  <v>37073</v>
                </pt>
                <pt idx="49">
                  <v>37104</v>
                </pt>
                <pt idx="50">
                  <v>37135</v>
                </pt>
                <pt idx="51">
                  <v>37165</v>
                </pt>
                <pt idx="52">
                  <v>37196</v>
                </pt>
                <pt idx="53">
                  <v>37226</v>
                </pt>
                <pt idx="54">
                  <v>37257</v>
                </pt>
                <pt idx="55">
                  <v>37288</v>
                </pt>
                <pt idx="56">
                  <v>37316</v>
                </pt>
                <pt idx="57">
                  <v>37347</v>
                </pt>
                <pt idx="58">
                  <v>37377</v>
                </pt>
                <pt idx="59">
                  <v>37408</v>
                </pt>
                <pt idx="60">
                  <v>37438</v>
                </pt>
                <pt idx="61">
                  <v>37469</v>
                </pt>
                <pt idx="62">
                  <v>37500</v>
                </pt>
                <pt idx="63">
                  <v>37530</v>
                </pt>
                <pt idx="64">
                  <v>37561</v>
                </pt>
                <pt idx="65">
                  <v>37591</v>
                </pt>
                <pt idx="66">
                  <v>37622</v>
                </pt>
                <pt idx="67">
                  <v>37653</v>
                </pt>
                <pt idx="68">
                  <v>37681</v>
                </pt>
                <pt idx="69">
                  <v>37712</v>
                </pt>
                <pt idx="70">
                  <v>37742</v>
                </pt>
                <pt idx="71">
                  <v>37773</v>
                </pt>
                <pt idx="72">
                  <v>37803</v>
                </pt>
                <pt idx="73">
                  <v>37834</v>
                </pt>
                <pt idx="74">
                  <v>37865</v>
                </pt>
                <pt idx="75">
                  <v>37895</v>
                </pt>
                <pt idx="76">
                  <v>37926</v>
                </pt>
                <pt idx="77">
                  <v>37956</v>
                </pt>
                <pt idx="78">
                  <v>37987</v>
                </pt>
                <pt idx="79">
                  <v>38018</v>
                </pt>
                <pt idx="80">
                  <v>38047</v>
                </pt>
                <pt idx="81">
                  <v>38078</v>
                </pt>
                <pt idx="82">
                  <v>38108</v>
                </pt>
                <pt idx="83">
                  <v>38139</v>
                </pt>
                <pt idx="84">
                  <v>38169</v>
                </pt>
                <pt idx="85">
                  <v>38200</v>
                </pt>
                <pt idx="86">
                  <v>38231</v>
                </pt>
                <pt idx="87">
                  <v>38261</v>
                </pt>
                <pt idx="88">
                  <v>38292</v>
                </pt>
                <pt idx="89">
                  <v>38322</v>
                </pt>
                <pt idx="90">
                  <v>38353</v>
                </pt>
                <pt idx="91">
                  <v>38384</v>
                </pt>
                <pt idx="92">
                  <v>38412</v>
                </pt>
                <pt idx="93">
                  <v>38443</v>
                </pt>
                <pt idx="94">
                  <v>38473</v>
                </pt>
                <pt idx="95">
                  <v>38504</v>
                </pt>
                <pt idx="96">
                  <v>38534</v>
                </pt>
                <pt idx="97">
                  <v>38565</v>
                </pt>
                <pt idx="98">
                  <v>38596</v>
                </pt>
                <pt idx="99">
                  <v>38626</v>
                </pt>
                <pt idx="100">
                  <v>38657</v>
                </pt>
                <pt idx="101">
                  <v>38687</v>
                </pt>
                <pt idx="102">
                  <v>38718</v>
                </pt>
                <pt idx="103">
                  <v>38749</v>
                </pt>
                <pt idx="104">
                  <v>38777</v>
                </pt>
                <pt idx="105">
                  <v>38808</v>
                </pt>
                <pt idx="106">
                  <v>38838</v>
                </pt>
                <pt idx="107">
                  <v>38869</v>
                </pt>
                <pt idx="108">
                  <v>38899</v>
                </pt>
                <pt idx="109">
                  <v>38930</v>
                </pt>
                <pt idx="110">
                  <v>38961</v>
                </pt>
                <pt idx="111">
                  <v>38991</v>
                </pt>
                <pt idx="112">
                  <v>39022</v>
                </pt>
                <pt idx="113">
                  <v>39052</v>
                </pt>
                <pt idx="114">
                  <v>39083</v>
                </pt>
                <pt idx="115">
                  <v>39114</v>
                </pt>
                <pt idx="116">
                  <v>39142</v>
                </pt>
                <pt idx="117">
                  <v>39173</v>
                </pt>
                <pt idx="118">
                  <v>39203</v>
                </pt>
                <pt idx="119">
                  <v>39234</v>
                </pt>
                <pt idx="120">
                  <v>39264</v>
                </pt>
                <pt idx="121">
                  <v>39295</v>
                </pt>
                <pt idx="122">
                  <v>39326</v>
                </pt>
                <pt idx="123">
                  <v>39356</v>
                </pt>
                <pt idx="124">
                  <v>39387</v>
                </pt>
                <pt idx="125">
                  <v>39417</v>
                </pt>
                <pt idx="126">
                  <v>39448</v>
                </pt>
                <pt idx="127">
                  <v>39479</v>
                </pt>
                <pt idx="128">
                  <v>39508</v>
                </pt>
                <pt idx="129">
                  <v>39539</v>
                </pt>
                <pt idx="130">
                  <v>39569</v>
                </pt>
                <pt idx="131">
                  <v>39600</v>
                </pt>
                <pt idx="132">
                  <v>39630</v>
                </pt>
                <pt idx="133">
                  <v>39661</v>
                </pt>
                <pt idx="134">
                  <v>39692</v>
                </pt>
                <pt idx="135">
                  <v>39722</v>
                </pt>
                <pt idx="136">
                  <v>39753</v>
                </pt>
                <pt idx="137">
                  <v>39783</v>
                </pt>
                <pt idx="138">
                  <v>39814</v>
                </pt>
                <pt idx="139">
                  <v>39845</v>
                </pt>
                <pt idx="140">
                  <v>39873</v>
                </pt>
                <pt idx="141">
                  <v>39904</v>
                </pt>
                <pt idx="142">
                  <v>39934</v>
                </pt>
                <pt idx="143">
                  <v>39965</v>
                </pt>
                <pt idx="144">
                  <v>39995</v>
                </pt>
                <pt idx="145">
                  <v>40026</v>
                </pt>
                <pt idx="146">
                  <v>40057</v>
                </pt>
                <pt idx="147">
                  <v>40087</v>
                </pt>
                <pt idx="148">
                  <v>40118</v>
                </pt>
                <pt idx="149">
                  <v>40148</v>
                </pt>
                <pt idx="150">
                  <v>40179</v>
                </pt>
                <pt idx="151">
                  <v>40210</v>
                </pt>
                <pt idx="152">
                  <v>40238</v>
                </pt>
                <pt idx="153">
                  <v>40269</v>
                </pt>
                <pt idx="154">
                  <v>40299</v>
                </pt>
                <pt idx="155">
                  <v>40330</v>
                </pt>
                <pt idx="156">
                  <v>40360</v>
                </pt>
                <pt idx="157">
                  <v>40391</v>
                </pt>
                <pt idx="158">
                  <v>40422</v>
                </pt>
                <pt idx="159">
                  <v>40452</v>
                </pt>
                <pt idx="160">
                  <v>40483</v>
                </pt>
                <pt idx="161">
                  <v>40513</v>
                </pt>
                <pt idx="162">
                  <v>40544</v>
                </pt>
                <pt idx="163">
                  <v>40575</v>
                </pt>
                <pt idx="164">
                  <v>40603</v>
                </pt>
                <pt idx="165">
                  <v>40634</v>
                </pt>
                <pt idx="166">
                  <v>40664</v>
                </pt>
                <pt idx="167">
                  <v>40695</v>
                </pt>
                <pt idx="168">
                  <v>40725</v>
                </pt>
                <pt idx="169">
                  <v>40756</v>
                </pt>
                <pt idx="170">
                  <v>40787</v>
                </pt>
                <pt idx="171">
                  <v>40817</v>
                </pt>
                <pt idx="172">
                  <v>40848</v>
                </pt>
                <pt idx="173">
                  <v>40878</v>
                </pt>
                <pt idx="174">
                  <v>40909</v>
                </pt>
                <pt idx="175">
                  <v>40940</v>
                </pt>
                <pt idx="176">
                  <v>40969</v>
                </pt>
                <pt idx="177">
                  <v>41000</v>
                </pt>
                <pt idx="178">
                  <v>41030</v>
                </pt>
                <pt idx="179">
                  <v>41061</v>
                </pt>
                <pt idx="180">
                  <v>41091</v>
                </pt>
                <pt idx="181">
                  <v>41122</v>
                </pt>
                <pt idx="182">
                  <v>41153</v>
                </pt>
                <pt idx="183">
                  <v>41183</v>
                </pt>
                <pt idx="184">
                  <v>41214</v>
                </pt>
                <pt idx="185">
                  <v>41244</v>
                </pt>
                <pt idx="186">
                  <v>41275</v>
                </pt>
                <pt idx="187">
                  <v>41306</v>
                </pt>
                <pt idx="188">
                  <v>41334</v>
                </pt>
                <pt idx="189">
                  <v>41365</v>
                </pt>
                <pt idx="190">
                  <v>41395</v>
                </pt>
                <pt idx="191">
                  <v>41426</v>
                </pt>
                <pt idx="192">
                  <v>41456</v>
                </pt>
                <pt idx="193">
                  <v>41487</v>
                </pt>
                <pt idx="194">
                  <v>41518</v>
                </pt>
                <pt idx="195">
                  <v>41548</v>
                </pt>
                <pt idx="196">
                  <v>41579</v>
                </pt>
                <pt idx="197">
                  <v>41609</v>
                </pt>
                <pt idx="198">
                  <v>41640</v>
                </pt>
                <pt idx="199">
                  <v>41671</v>
                </pt>
                <pt idx="200">
                  <v>41699</v>
                </pt>
                <pt idx="201">
                  <v>41730</v>
                </pt>
                <pt idx="202">
                  <v>41760</v>
                </pt>
                <pt idx="203">
                  <v>41791</v>
                </pt>
                <pt idx="204">
                  <v>41821</v>
                </pt>
                <pt idx="205">
                  <v>41852</v>
                </pt>
                <pt idx="206">
                  <v>41883</v>
                </pt>
                <pt idx="207">
                  <v>41913</v>
                </pt>
                <pt idx="208">
                  <v>41944</v>
                </pt>
                <pt idx="209">
                  <v>41974</v>
                </pt>
                <pt idx="210">
                  <v>42005</v>
                </pt>
                <pt idx="211">
                  <v>42036</v>
                </pt>
                <pt idx="212">
                  <v>42064</v>
                </pt>
                <pt idx="213">
                  <v>42095</v>
                </pt>
                <pt idx="214">
                  <v>42125</v>
                </pt>
                <pt idx="215">
                  <v>42156</v>
                </pt>
                <pt idx="216">
                  <v>42186</v>
                </pt>
                <pt idx="217">
                  <v>42217</v>
                </pt>
                <pt idx="218">
                  <v>42248</v>
                </pt>
                <pt idx="219">
                  <v>42278</v>
                </pt>
                <pt idx="220">
                  <v>42309</v>
                </pt>
                <pt idx="221">
                  <v>42339</v>
                </pt>
                <pt idx="222">
                  <v>42370</v>
                </pt>
                <pt idx="223">
                  <v>42401</v>
                </pt>
                <pt idx="224">
                  <v>42430</v>
                </pt>
                <pt idx="225">
                  <v>42461</v>
                </pt>
                <pt idx="226">
                  <v>42491</v>
                </pt>
                <pt idx="227">
                  <v>42522</v>
                </pt>
                <pt idx="228">
                  <v>42552</v>
                </pt>
                <pt idx="229">
                  <v>42583</v>
                </pt>
                <pt idx="230">
                  <v>42614</v>
                </pt>
                <pt idx="231">
                  <v>42644</v>
                </pt>
                <pt idx="232">
                  <v>42675</v>
                </pt>
                <pt idx="233">
                  <v>42705</v>
                </pt>
                <pt idx="234">
                  <v>42736</v>
                </pt>
                <pt idx="235">
                  <v>42767</v>
                </pt>
                <pt idx="236">
                  <v>42795</v>
                </pt>
                <pt idx="237">
                  <v>42826</v>
                </pt>
                <pt idx="238">
                  <v>42856</v>
                </pt>
                <pt idx="239">
                  <v>42887</v>
                </pt>
                <pt idx="240">
                  <v>42917</v>
                </pt>
                <pt idx="241">
                  <v>42948</v>
                </pt>
                <pt idx="242">
                  <v>42979</v>
                </pt>
                <pt idx="243">
                  <v>43009</v>
                </pt>
                <pt idx="244">
                  <v>43040</v>
                </pt>
                <pt idx="245">
                  <v>43070</v>
                </pt>
                <pt idx="246">
                  <v>43101</v>
                </pt>
                <pt idx="247">
                  <v>43132</v>
                </pt>
                <pt idx="248">
                  <v>43160</v>
                </pt>
                <pt idx="249">
                  <v>43191</v>
                </pt>
                <pt idx="250">
                  <v>43221</v>
                </pt>
                <pt idx="251">
                  <v>43252</v>
                </pt>
                <pt idx="252">
                  <v>43282</v>
                </pt>
                <pt idx="253">
                  <v>43313</v>
                </pt>
                <pt idx="254">
                  <v>43344</v>
                </pt>
                <pt idx="255">
                  <v>43374</v>
                </pt>
                <pt idx="256">
                  <v>43405</v>
                </pt>
                <pt idx="257">
                  <v>43435</v>
                </pt>
                <pt idx="258">
                  <v>43466</v>
                </pt>
                <pt idx="259">
                  <v>43497</v>
                </pt>
                <pt idx="260">
                  <v>43525</v>
                </pt>
                <pt idx="261">
                  <v>43556</v>
                </pt>
                <pt idx="262">
                  <v>43586</v>
                </pt>
                <pt idx="263">
                  <v>43617</v>
                </pt>
                <pt idx="264">
                  <v>43647</v>
                </pt>
                <pt idx="265">
                  <v>43678</v>
                </pt>
                <pt idx="266">
                  <v>43709</v>
                </pt>
                <pt idx="267">
                  <v>43739</v>
                </pt>
                <pt idx="268">
                  <v>43770</v>
                </pt>
                <pt idx="269">
                  <v>43800</v>
                </pt>
                <pt idx="270">
                  <v>43831</v>
                </pt>
                <pt idx="271">
                  <v>43862</v>
                </pt>
                <pt idx="272">
                  <v>43891</v>
                </pt>
                <pt idx="273">
                  <v>43922</v>
                </pt>
                <pt idx="274">
                  <v>43952</v>
                </pt>
                <pt idx="275">
                  <v>43983</v>
                </pt>
                <pt idx="276">
                  <v>44013</v>
                </pt>
                <pt idx="277">
                  <v>44044</v>
                </pt>
                <pt idx="278">
                  <v>44075</v>
                </pt>
                <pt idx="279">
                  <v>44105</v>
                </pt>
                <pt idx="280">
                  <v>44136</v>
                </pt>
                <pt idx="281">
                  <v>44166</v>
                </pt>
                <pt idx="282">
                  <v>44197</v>
                </pt>
                <pt idx="283">
                  <v>44228</v>
                </pt>
                <pt idx="284">
                  <v>44256</v>
                </pt>
                <pt idx="285">
                  <v>44287</v>
                </pt>
                <pt idx="286">
                  <v>44317</v>
                </pt>
                <pt idx="287">
                  <v>44348</v>
                </pt>
                <pt idx="288">
                  <v>44378</v>
                </pt>
                <pt idx="289">
                  <v>44409</v>
                </pt>
                <pt idx="290">
                  <v>44440</v>
                </pt>
                <pt idx="291">
                  <v>44470</v>
                </pt>
                <pt idx="292">
                  <v>44501</v>
                </pt>
                <pt idx="293">
                  <v>44531</v>
                </pt>
                <pt idx="294">
                  <v>44562</v>
                </pt>
                <pt idx="295">
                  <v>44593</v>
                </pt>
                <pt idx="296">
                  <v>44621</v>
                </pt>
                <pt idx="297">
                  <v>44652</v>
                </pt>
                <pt idx="298">
                  <v>44682</v>
                </pt>
                <pt idx="299">
                  <v>44713</v>
                </pt>
              </numCache>
            </numRef>
          </cat>
          <val>
            <numRef>
              <f>'ISM Services'!$B$6:$B$305</f>
              <numCache>
                <formatCode>General</formatCode>
                <ptCount val="300"/>
                <pt idx="0">
                  <v>56.7</v>
                </pt>
                <pt idx="1">
                  <v>62</v>
                </pt>
                <pt idx="2">
                  <v>56.2</v>
                </pt>
                <pt idx="3">
                  <v>56.6</v>
                </pt>
                <pt idx="4">
                  <v>58.5</v>
                </pt>
                <pt idx="5">
                  <v>55.5</v>
                </pt>
                <pt idx="6">
                  <v>57</v>
                </pt>
                <pt idx="7">
                  <v>56.2</v>
                </pt>
                <pt idx="8">
                  <v>54.7</v>
                </pt>
                <pt idx="9">
                  <v>54.9</v>
                </pt>
                <pt idx="10">
                  <v>56.2</v>
                </pt>
                <pt idx="11">
                  <v>55.1</v>
                </pt>
                <pt idx="12">
                  <v>55.8</v>
                </pt>
                <pt idx="13">
                  <v>53.5</v>
                </pt>
                <pt idx="14">
                  <v>55</v>
                </pt>
                <pt idx="15">
                  <v>53.8</v>
                </pt>
                <pt idx="16">
                  <v>52.6</v>
                </pt>
                <pt idx="17">
                  <v>52.9</v>
                </pt>
                <pt idx="18">
                  <v>55.6</v>
                </pt>
                <pt idx="19">
                  <v>54.4</v>
                </pt>
                <pt idx="20">
                  <v>55.3</v>
                </pt>
                <pt idx="21">
                  <v>55.5</v>
                </pt>
                <pt idx="22">
                  <v>55.3</v>
                </pt>
                <pt idx="23">
                  <v>56.7</v>
                </pt>
                <pt idx="24">
                  <v>56.2</v>
                </pt>
                <pt idx="25">
                  <v>56.4</v>
                </pt>
                <pt idx="26">
                  <v>56.2</v>
                </pt>
                <pt idx="27">
                  <v>57.6</v>
                </pt>
                <pt idx="28">
                  <v>54.9</v>
                </pt>
                <pt idx="29">
                  <v>56.9</v>
                </pt>
                <pt idx="30">
                  <v>56.6</v>
                </pt>
                <pt idx="31">
                  <v>56.2</v>
                </pt>
                <pt idx="32">
                  <v>57.4</v>
                </pt>
                <pt idx="33">
                  <v>58</v>
                </pt>
                <pt idx="34">
                  <v>57.7</v>
                </pt>
                <pt idx="35">
                  <v>56.9</v>
                </pt>
                <pt idx="36">
                  <v>55.3</v>
                </pt>
                <pt idx="37">
                  <v>57.6</v>
                </pt>
                <pt idx="38">
                  <v>56.7</v>
                </pt>
                <pt idx="39">
                  <v>56.7</v>
                </pt>
                <pt idx="40">
                  <v>56.2</v>
                </pt>
                <pt idx="41">
                  <v>54</v>
                </pt>
                <pt idx="42">
                  <v>51.6</v>
                </pt>
                <pt idx="43">
                  <v>51.3</v>
                </pt>
                <pt idx="44">
                  <v>50.7</v>
                </pt>
                <pt idx="45">
                  <v>48.3</v>
                </pt>
                <pt idx="46">
                  <v>49</v>
                </pt>
                <pt idx="47">
                  <v>50.1</v>
                </pt>
                <pt idx="48">
                  <v>48.1</v>
                </pt>
                <pt idx="49">
                  <v>46.9</v>
                </pt>
                <pt idx="50">
                  <v>49.5</v>
                </pt>
                <pt idx="51">
                  <v>44.8</v>
                </pt>
                <pt idx="52">
                  <v>48.2</v>
                </pt>
                <pt idx="53">
                  <v>49.7</v>
                </pt>
                <pt idx="54">
                  <v>48.9</v>
                </pt>
                <pt idx="55">
                  <v>52.7</v>
                </pt>
                <pt idx="56">
                  <v>52.8</v>
                </pt>
                <pt idx="57">
                  <v>53.5</v>
                </pt>
                <pt idx="58">
                  <v>54.8</v>
                </pt>
                <pt idx="59">
                  <v>52.5</v>
                </pt>
                <pt idx="60">
                  <v>50.4</v>
                </pt>
                <pt idx="61">
                  <v>50.9</v>
                </pt>
                <pt idx="62">
                  <v>52.3</v>
                </pt>
                <pt idx="63">
                  <v>51.4</v>
                </pt>
                <pt idx="64">
                  <v>52.9</v>
                </pt>
                <pt idx="65">
                  <v>52.3</v>
                </pt>
                <pt idx="66">
                  <v>53.3</v>
                </pt>
                <pt idx="67">
                  <v>52.6</v>
                </pt>
                <pt idx="68">
                  <v>49.1</v>
                </pt>
                <pt idx="69">
                  <v>50.1</v>
                </pt>
                <pt idx="70">
                  <v>52.8</v>
                </pt>
                <pt idx="71">
                  <v>54.3</v>
                </pt>
                <pt idx="72">
                  <v>57.3</v>
                </pt>
                <pt idx="73">
                  <v>59.1</v>
                </pt>
                <pt idx="74">
                  <v>57.6</v>
                </pt>
                <pt idx="75">
                  <v>58.7</v>
                </pt>
                <pt idx="76">
                  <v>57.5</v>
                </pt>
                <pt idx="77">
                  <v>56.8</v>
                </pt>
                <pt idx="78">
                  <v>61.2</v>
                </pt>
                <pt idx="79">
                  <v>58</v>
                </pt>
                <pt idx="80">
                  <v>58.3</v>
                </pt>
                <pt idx="81">
                  <v>59.6</v>
                </pt>
                <pt idx="82">
                  <v>58.5</v>
                </pt>
                <pt idx="83">
                  <v>58.6</v>
                </pt>
                <pt idx="84">
                  <v>58.5</v>
                </pt>
                <pt idx="85">
                  <v>57.3</v>
                </pt>
                <pt idx="86">
                  <v>57.9</v>
                </pt>
                <pt idx="87">
                  <v>58.8</v>
                </pt>
                <pt idx="88">
                  <v>58.4</v>
                </pt>
                <pt idx="89">
                  <v>59.6</v>
                </pt>
                <pt idx="90">
                  <v>58</v>
                </pt>
                <pt idx="91">
                  <v>59.4</v>
                </pt>
                <pt idx="92">
                  <v>58</v>
                </pt>
                <pt idx="93">
                  <v>55.6</v>
                </pt>
                <pt idx="94">
                  <v>55.3</v>
                </pt>
                <pt idx="95">
                  <v>58.1</v>
                </pt>
                <pt idx="96">
                  <v>59.5</v>
                </pt>
                <pt idx="97">
                  <v>61.3</v>
                </pt>
                <pt idx="98">
                  <v>55.7</v>
                </pt>
                <pt idx="99">
                  <v>57.4</v>
                </pt>
                <pt idx="100">
                  <v>59.1</v>
                </pt>
                <pt idx="101">
                  <v>59</v>
                </pt>
                <pt idx="102">
                  <v>56.3</v>
                </pt>
                <pt idx="103">
                  <v>57.6</v>
                </pt>
                <pt idx="104">
                  <v>56.9</v>
                </pt>
                <pt idx="105">
                  <v>58.4</v>
                </pt>
                <pt idx="106">
                  <v>57</v>
                </pt>
                <pt idx="107">
                  <v>55.2</v>
                </pt>
                <pt idx="108">
                  <v>55.6</v>
                </pt>
                <pt idx="109">
                  <v>53.9</v>
                </pt>
                <pt idx="110">
                  <v>54.5</v>
                </pt>
                <pt idx="111">
                  <v>54.9</v>
                </pt>
                <pt idx="112">
                  <v>54.5</v>
                </pt>
                <pt idx="113">
                  <v>53.7</v>
                </pt>
                <pt idx="114">
                  <v>55.4</v>
                </pt>
                <pt idx="115">
                  <v>54.2</v>
                </pt>
                <pt idx="116">
                  <v>52.1</v>
                </pt>
                <pt idx="117">
                  <v>53.4</v>
                </pt>
                <pt idx="118">
                  <v>54.3</v>
                </pt>
                <pt idx="119">
                  <v>54.9</v>
                </pt>
                <pt idx="120">
                  <v>53.6</v>
                </pt>
                <pt idx="121">
                  <v>52.7</v>
                </pt>
                <pt idx="122">
                  <v>52.6</v>
                </pt>
                <pt idx="123">
                  <v>53.6</v>
                </pt>
                <pt idx="124">
                  <v>52.8</v>
                </pt>
                <pt idx="125">
                  <v>52.5</v>
                </pt>
                <pt idx="126">
                  <v>44.8</v>
                </pt>
                <pt idx="127">
                  <v>49.9</v>
                </pt>
                <pt idx="128">
                  <v>49.4</v>
                </pt>
                <pt idx="129">
                  <v>51.9</v>
                </pt>
                <pt idx="130">
                  <v>51.5</v>
                </pt>
                <pt idx="131">
                  <v>48.1</v>
                </pt>
                <pt idx="132">
                  <v>50.1</v>
                </pt>
                <pt idx="133">
                  <v>50.6</v>
                </pt>
                <pt idx="134">
                  <v>49.4</v>
                </pt>
                <pt idx="135">
                  <v>44.7</v>
                </pt>
                <pt idx="136">
                  <v>37.8</v>
                </pt>
                <pt idx="137">
                  <v>40</v>
                </pt>
                <pt idx="138">
                  <v>43</v>
                </pt>
                <pt idx="139">
                  <v>41.6</v>
                </pt>
                <pt idx="140">
                  <v>40.1</v>
                </pt>
                <pt idx="141">
                  <v>43.7</v>
                </pt>
                <pt idx="142">
                  <v>44.4</v>
                </pt>
                <pt idx="143">
                  <v>46.4</v>
                </pt>
                <pt idx="144">
                  <v>47.1</v>
                </pt>
                <pt idx="145">
                  <v>48.9</v>
                </pt>
                <pt idx="146">
                  <v>50.1</v>
                </pt>
                <pt idx="147">
                  <v>51</v>
                </pt>
                <pt idx="148">
                  <v>49.5</v>
                </pt>
                <pt idx="149">
                  <v>49.7</v>
                </pt>
                <pt idx="150">
                  <v>50</v>
                </pt>
                <pt idx="151">
                  <v>51.7</v>
                </pt>
                <pt idx="152">
                  <v>53.3</v>
                </pt>
                <pt idx="153">
                  <v>55.3</v>
                </pt>
                <pt idx="154">
                  <v>55.5</v>
                </pt>
                <pt idx="155">
                  <v>54.4</v>
                </pt>
                <pt idx="156">
                  <v>54.6</v>
                </pt>
                <pt idx="157">
                  <v>52.4</v>
                </pt>
                <pt idx="158">
                  <v>53.3</v>
                </pt>
                <pt idx="159">
                  <v>55.3</v>
                </pt>
                <pt idx="160">
                  <v>56.4</v>
                </pt>
                <pt idx="161">
                  <v>56.9</v>
                </pt>
                <pt idx="162">
                  <v>57.6</v>
                </pt>
                <pt idx="163">
                  <v>58</v>
                </pt>
                <pt idx="164">
                  <v>55.8</v>
                </pt>
                <pt idx="165">
                  <v>55.2</v>
                </pt>
                <pt idx="166">
                  <v>55</v>
                </pt>
                <pt idx="167">
                  <v>54.2</v>
                </pt>
                <pt idx="168">
                  <v>53.5</v>
                </pt>
                <pt idx="169">
                  <v>53.5</v>
                </pt>
                <pt idx="170">
                  <v>52.3</v>
                </pt>
                <pt idx="171">
                  <v>52.8</v>
                </pt>
                <pt idx="172">
                  <v>52.9</v>
                </pt>
                <pt idx="173">
                  <v>52.6</v>
                </pt>
                <pt idx="174">
                  <v>56</v>
                </pt>
                <pt idx="175">
                  <v>56</v>
                </pt>
                <pt idx="176">
                  <v>55.6</v>
                </pt>
                <pt idx="177">
                  <v>54.4</v>
                </pt>
                <pt idx="178">
                  <v>54.5</v>
                </pt>
                <pt idx="179">
                  <v>53.7</v>
                </pt>
                <pt idx="180">
                  <v>52.4</v>
                </pt>
                <pt idx="181">
                  <v>52.9</v>
                </pt>
                <pt idx="182">
                  <v>54.6</v>
                </pt>
                <pt idx="183">
                  <v>54.2</v>
                </pt>
                <pt idx="184">
                  <v>54.8</v>
                </pt>
                <pt idx="185">
                  <v>55.6</v>
                </pt>
                <pt idx="186">
                  <v>55.3</v>
                </pt>
                <pt idx="187">
                  <v>56.1</v>
                </pt>
                <pt idx="188">
                  <v>55.2</v>
                </pt>
                <pt idx="189">
                  <v>53.9</v>
                </pt>
                <pt idx="190">
                  <v>54.4</v>
                </pt>
                <pt idx="191">
                  <v>54.1</v>
                </pt>
                <pt idx="192">
                  <v>54.9</v>
                </pt>
                <pt idx="193">
                  <v>56.6</v>
                </pt>
                <pt idx="194">
                  <v>53.6</v>
                </pt>
                <pt idx="195">
                  <v>54.5</v>
                </pt>
                <pt idx="196">
                  <v>53.8</v>
                </pt>
                <pt idx="197">
                  <v>52.9</v>
                </pt>
                <pt idx="198">
                  <v>54.7</v>
                </pt>
                <pt idx="199">
                  <v>53</v>
                </pt>
                <pt idx="200">
                  <v>54.2</v>
                </pt>
                <pt idx="201">
                  <v>55.2</v>
                </pt>
                <pt idx="202">
                  <v>56.9</v>
                </pt>
                <pt idx="203">
                  <v>56.6</v>
                </pt>
                <pt idx="204">
                  <v>57.1</v>
                </pt>
                <pt idx="205">
                  <v>58</v>
                </pt>
                <pt idx="206">
                  <v>57.4</v>
                </pt>
                <pt idx="207">
                  <v>56</v>
                </pt>
                <pt idx="208">
                  <v>58.7</v>
                </pt>
                <pt idx="209">
                  <v>56.4</v>
                </pt>
                <pt idx="210">
                  <v>57.3</v>
                </pt>
                <pt idx="211">
                  <v>57.6</v>
                </pt>
                <pt idx="212">
                  <v>57.5</v>
                </pt>
                <pt idx="213">
                  <v>57.5</v>
                </pt>
                <pt idx="214">
                  <v>56.8</v>
                </pt>
                <pt idx="215">
                  <v>56</v>
                </pt>
                <pt idx="216">
                  <v>59.3</v>
                </pt>
                <pt idx="217">
                  <v>58.4</v>
                </pt>
                <pt idx="218">
                  <v>56.1</v>
                </pt>
                <pt idx="219">
                  <v>57.9</v>
                </pt>
                <pt idx="220">
                  <v>55.8</v>
                </pt>
                <pt idx="221">
                  <v>55.3</v>
                </pt>
                <pt idx="222">
                  <v>54</v>
                </pt>
                <pt idx="223">
                  <v>54</v>
                </pt>
                <pt idx="224">
                  <v>55.2</v>
                </pt>
                <pt idx="225">
                  <v>55.6</v>
                </pt>
                <pt idx="226">
                  <v>53.8</v>
                </pt>
                <pt idx="227">
                  <v>56</v>
                </pt>
                <pt idx="228">
                  <v>55.2</v>
                </pt>
                <pt idx="229">
                  <v>51.6</v>
                </pt>
                <pt idx="230">
                  <v>56.3</v>
                </pt>
                <pt idx="231">
                  <v>54.4</v>
                </pt>
                <pt idx="232">
                  <v>56.2</v>
                </pt>
                <pt idx="233">
                  <v>56.7</v>
                </pt>
                <pt idx="234">
                  <v>56.8</v>
                </pt>
                <pt idx="235">
                  <v>57.4</v>
                </pt>
                <pt idx="236">
                  <v>55.6</v>
                </pt>
                <pt idx="237">
                  <v>57.3</v>
                </pt>
                <pt idx="238">
                  <v>57.1</v>
                </pt>
                <pt idx="239">
                  <v>57.2</v>
                </pt>
                <pt idx="240">
                  <v>54.3</v>
                </pt>
                <pt idx="241">
                  <v>55.2</v>
                </pt>
                <pt idx="242">
                  <v>59.4</v>
                </pt>
                <pt idx="243">
                  <v>59.8</v>
                </pt>
                <pt idx="244">
                  <v>57.3</v>
                </pt>
                <pt idx="245">
                  <v>56</v>
                </pt>
                <pt idx="246">
                  <v>59.9</v>
                </pt>
                <pt idx="247">
                  <v>59.5</v>
                </pt>
                <pt idx="248">
                  <v>58.8</v>
                </pt>
                <pt idx="249">
                  <v>56.8</v>
                </pt>
                <pt idx="250">
                  <v>58.6</v>
                </pt>
                <pt idx="251">
                  <v>59.1</v>
                </pt>
                <pt idx="252">
                  <v>55.7</v>
                </pt>
                <pt idx="253">
                  <v>58.5</v>
                </pt>
                <pt idx="254">
                  <v>61.6</v>
                </pt>
                <pt idx="255">
                  <v>60.3</v>
                </pt>
                <pt idx="256">
                  <v>60.7</v>
                </pt>
                <pt idx="257">
                  <v>57.6</v>
                </pt>
                <pt idx="258">
                  <v>56.7</v>
                </pt>
                <pt idx="259">
                  <v>59.7</v>
                </pt>
                <pt idx="260">
                  <v>56.1</v>
                </pt>
                <pt idx="261">
                  <v>55.5</v>
                </pt>
                <pt idx="262">
                  <v>56.9</v>
                </pt>
                <pt idx="263">
                  <v>55.1</v>
                </pt>
                <pt idx="264">
                  <v>53.7</v>
                </pt>
                <pt idx="265">
                  <v>56.4</v>
                </pt>
                <pt idx="266">
                  <v>52.6</v>
                </pt>
                <pt idx="267">
                  <v>54.7</v>
                </pt>
                <pt idx="268">
                  <v>53.9</v>
                </pt>
                <pt idx="269">
                  <v>55</v>
                </pt>
                <pt idx="270">
                  <v>55.5</v>
                </pt>
                <pt idx="271">
                  <v>57.3</v>
                </pt>
                <pt idx="272">
                  <v>52.5</v>
                </pt>
                <pt idx="273">
                  <v>41.8</v>
                </pt>
                <pt idx="274">
                  <v>45.4</v>
                </pt>
                <pt idx="275">
                  <v>57.1</v>
                </pt>
                <pt idx="276">
                  <v>58.1</v>
                </pt>
                <pt idx="277">
                  <v>56.9</v>
                </pt>
                <pt idx="278">
                  <v>57.8</v>
                </pt>
                <pt idx="279">
                  <v>56.6</v>
                </pt>
                <pt idx="280">
                  <v>55.9</v>
                </pt>
                <pt idx="281">
                  <v>57.2</v>
                </pt>
                <pt idx="282">
                  <v>58.7</v>
                </pt>
                <pt idx="283">
                  <v>55.3</v>
                </pt>
                <pt idx="284">
                  <v>63.7</v>
                </pt>
                <pt idx="285">
                  <v>62.7</v>
                </pt>
                <pt idx="286">
                  <v>64</v>
                </pt>
                <pt idx="287">
                  <v>60.1</v>
                </pt>
                <pt idx="288">
                  <v>64.09999999999999</v>
                </pt>
                <pt idx="289">
                  <v>61.7</v>
                </pt>
                <pt idx="290">
                  <v>61.9</v>
                </pt>
                <pt idx="291">
                  <v>66.7</v>
                </pt>
                <pt idx="292">
                  <v>69.09999999999999</v>
                </pt>
                <pt idx="293">
                  <v>62</v>
                </pt>
                <pt idx="294">
                  <v>59.9</v>
                </pt>
                <pt idx="295">
                  <v>56.5</v>
                </pt>
                <pt idx="296">
                  <v>58.3</v>
                </pt>
                <pt idx="297">
                  <v>57.1</v>
                </pt>
                <pt idx="298">
                  <v>55.9</v>
                </pt>
                <pt idx="299">
                  <v>55.3</v>
                </pt>
              </numCache>
            </numRef>
          </val>
          <smooth val="0"/>
        </ser>
        <dLbls>
          <showLegendKey val="0"/>
          <showVal val="0"/>
          <showCatName val="0"/>
          <showSerName val="0"/>
          <showPercent val="0"/>
          <showBubbleSize val="0"/>
        </dLbls>
        <smooth val="0"/>
        <axId val="1016688440"/>
        <axId val="1016689424"/>
      </lineChart>
      <dateAx>
        <axId val="1016688440"/>
        <scaling>
          <orientation val="minMax"/>
          <min val="42005"/>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16689424"/>
        <crosses val="autoZero"/>
        <lblOffset val="100"/>
        <baseTimeUnit val="months"/>
      </dateAx>
      <valAx>
        <axId val="1016689424"/>
        <scaling>
          <orientation val="minMax"/>
          <max val="70"/>
          <min val="4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16688440"/>
        <crosses val="autoZero"/>
        <crossBetween val="between"/>
      </valAx>
    </plotArea>
    <plotVisOnly val="1"/>
    <dispBlanksAs val="gap"/>
  </chart>
</chartSpace>
</file>

<file path=xl/charts/chart2.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New Orders</a:t>
            </a:r>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Details!$B$5</f>
              <strCache>
                <ptCount val="1"/>
                <pt idx="0">
                  <v>New Orders</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Details!$A$6:$A$307</f>
              <numCache>
                <formatCode>m/d/yy</formatCode>
                <ptCount val="302"/>
                <pt idx="0">
                  <v>35612</v>
                </pt>
                <pt idx="1">
                  <v>35643</v>
                </pt>
                <pt idx="2">
                  <v>35674</v>
                </pt>
                <pt idx="3">
                  <v>35704</v>
                </pt>
                <pt idx="4">
                  <v>35735</v>
                </pt>
                <pt idx="5">
                  <v>35765</v>
                </pt>
                <pt idx="6">
                  <v>35796</v>
                </pt>
                <pt idx="7">
                  <v>35827</v>
                </pt>
                <pt idx="8">
                  <v>35855</v>
                </pt>
                <pt idx="9">
                  <v>35886</v>
                </pt>
                <pt idx="10">
                  <v>35916</v>
                </pt>
                <pt idx="11">
                  <v>35947</v>
                </pt>
                <pt idx="12">
                  <v>35977</v>
                </pt>
                <pt idx="13">
                  <v>36008</v>
                </pt>
                <pt idx="14">
                  <v>36039</v>
                </pt>
                <pt idx="15">
                  <v>36069</v>
                </pt>
                <pt idx="16">
                  <v>36100</v>
                </pt>
                <pt idx="17">
                  <v>36130</v>
                </pt>
                <pt idx="18">
                  <v>36161</v>
                </pt>
                <pt idx="19">
                  <v>36192</v>
                </pt>
                <pt idx="20">
                  <v>36220</v>
                </pt>
                <pt idx="21">
                  <v>36251</v>
                </pt>
                <pt idx="22">
                  <v>36281</v>
                </pt>
                <pt idx="23">
                  <v>36312</v>
                </pt>
                <pt idx="24">
                  <v>36342</v>
                </pt>
                <pt idx="25">
                  <v>36373</v>
                </pt>
                <pt idx="26">
                  <v>36404</v>
                </pt>
                <pt idx="27">
                  <v>36434</v>
                </pt>
                <pt idx="28">
                  <v>36465</v>
                </pt>
                <pt idx="29">
                  <v>36495</v>
                </pt>
                <pt idx="30">
                  <v>36526</v>
                </pt>
                <pt idx="31">
                  <v>36557</v>
                </pt>
                <pt idx="32">
                  <v>36586</v>
                </pt>
                <pt idx="33">
                  <v>36617</v>
                </pt>
                <pt idx="34">
                  <v>36647</v>
                </pt>
                <pt idx="35">
                  <v>36678</v>
                </pt>
                <pt idx="36">
                  <v>36708</v>
                </pt>
                <pt idx="37">
                  <v>36739</v>
                </pt>
                <pt idx="38">
                  <v>36770</v>
                </pt>
                <pt idx="39">
                  <v>36800</v>
                </pt>
                <pt idx="40">
                  <v>36831</v>
                </pt>
                <pt idx="41">
                  <v>36861</v>
                </pt>
                <pt idx="42">
                  <v>36892</v>
                </pt>
                <pt idx="43">
                  <v>36923</v>
                </pt>
                <pt idx="44">
                  <v>36951</v>
                </pt>
                <pt idx="45">
                  <v>36982</v>
                </pt>
                <pt idx="46">
                  <v>37012</v>
                </pt>
                <pt idx="47">
                  <v>37043</v>
                </pt>
                <pt idx="48">
                  <v>37073</v>
                </pt>
                <pt idx="49">
                  <v>37104</v>
                </pt>
                <pt idx="50">
                  <v>37135</v>
                </pt>
                <pt idx="51">
                  <v>37165</v>
                </pt>
                <pt idx="52">
                  <v>37196</v>
                </pt>
                <pt idx="53">
                  <v>37226</v>
                </pt>
                <pt idx="54">
                  <v>37257</v>
                </pt>
                <pt idx="55">
                  <v>37288</v>
                </pt>
                <pt idx="56">
                  <v>37316</v>
                </pt>
                <pt idx="57">
                  <v>37347</v>
                </pt>
                <pt idx="58">
                  <v>37377</v>
                </pt>
                <pt idx="59">
                  <v>37408</v>
                </pt>
                <pt idx="60">
                  <v>37438</v>
                </pt>
                <pt idx="61">
                  <v>37469</v>
                </pt>
                <pt idx="62">
                  <v>37500</v>
                </pt>
                <pt idx="63">
                  <v>37530</v>
                </pt>
                <pt idx="64">
                  <v>37561</v>
                </pt>
                <pt idx="65">
                  <v>37591</v>
                </pt>
                <pt idx="66">
                  <v>37622</v>
                </pt>
                <pt idx="67">
                  <v>37653</v>
                </pt>
                <pt idx="68">
                  <v>37681</v>
                </pt>
                <pt idx="69">
                  <v>37712</v>
                </pt>
                <pt idx="70">
                  <v>37742</v>
                </pt>
                <pt idx="71">
                  <v>37773</v>
                </pt>
                <pt idx="72">
                  <v>37803</v>
                </pt>
                <pt idx="73">
                  <v>37834</v>
                </pt>
                <pt idx="74">
                  <v>37865</v>
                </pt>
                <pt idx="75">
                  <v>37895</v>
                </pt>
                <pt idx="76">
                  <v>37926</v>
                </pt>
                <pt idx="77">
                  <v>37956</v>
                </pt>
                <pt idx="78">
                  <v>37987</v>
                </pt>
                <pt idx="79">
                  <v>38018</v>
                </pt>
                <pt idx="80">
                  <v>38047</v>
                </pt>
                <pt idx="81">
                  <v>38078</v>
                </pt>
                <pt idx="82">
                  <v>38108</v>
                </pt>
                <pt idx="83">
                  <v>38139</v>
                </pt>
                <pt idx="84">
                  <v>38169</v>
                </pt>
                <pt idx="85">
                  <v>38200</v>
                </pt>
                <pt idx="86">
                  <v>38231</v>
                </pt>
                <pt idx="87">
                  <v>38261</v>
                </pt>
                <pt idx="88">
                  <v>38292</v>
                </pt>
                <pt idx="89">
                  <v>38322</v>
                </pt>
                <pt idx="90">
                  <v>38353</v>
                </pt>
                <pt idx="91">
                  <v>38384</v>
                </pt>
                <pt idx="92">
                  <v>38412</v>
                </pt>
                <pt idx="93">
                  <v>38443</v>
                </pt>
                <pt idx="94">
                  <v>38473</v>
                </pt>
                <pt idx="95">
                  <v>38504</v>
                </pt>
                <pt idx="96">
                  <v>38534</v>
                </pt>
                <pt idx="97">
                  <v>38565</v>
                </pt>
                <pt idx="98">
                  <v>38596</v>
                </pt>
                <pt idx="99">
                  <v>38626</v>
                </pt>
                <pt idx="100">
                  <v>38657</v>
                </pt>
                <pt idx="101">
                  <v>38687</v>
                </pt>
                <pt idx="102">
                  <v>38718</v>
                </pt>
                <pt idx="103">
                  <v>38749</v>
                </pt>
                <pt idx="104">
                  <v>38777</v>
                </pt>
                <pt idx="105">
                  <v>38808</v>
                </pt>
                <pt idx="106">
                  <v>38838</v>
                </pt>
                <pt idx="107">
                  <v>38869</v>
                </pt>
                <pt idx="108">
                  <v>38899</v>
                </pt>
                <pt idx="109">
                  <v>38930</v>
                </pt>
                <pt idx="110">
                  <v>38961</v>
                </pt>
                <pt idx="111">
                  <v>38991</v>
                </pt>
                <pt idx="112">
                  <v>39022</v>
                </pt>
                <pt idx="113">
                  <v>39052</v>
                </pt>
                <pt idx="114">
                  <v>39083</v>
                </pt>
                <pt idx="115">
                  <v>39114</v>
                </pt>
                <pt idx="116">
                  <v>39142</v>
                </pt>
                <pt idx="117">
                  <v>39173</v>
                </pt>
                <pt idx="118">
                  <v>39203</v>
                </pt>
                <pt idx="119">
                  <v>39234</v>
                </pt>
                <pt idx="120">
                  <v>39264</v>
                </pt>
                <pt idx="121">
                  <v>39295</v>
                </pt>
                <pt idx="122">
                  <v>39326</v>
                </pt>
                <pt idx="123">
                  <v>39356</v>
                </pt>
                <pt idx="124">
                  <v>39387</v>
                </pt>
                <pt idx="125">
                  <v>39417</v>
                </pt>
                <pt idx="126">
                  <v>39448</v>
                </pt>
                <pt idx="127">
                  <v>39479</v>
                </pt>
                <pt idx="128">
                  <v>39508</v>
                </pt>
                <pt idx="129">
                  <v>39539</v>
                </pt>
                <pt idx="130">
                  <v>39569</v>
                </pt>
                <pt idx="131">
                  <v>39600</v>
                </pt>
                <pt idx="132">
                  <v>39630</v>
                </pt>
                <pt idx="133">
                  <v>39661</v>
                </pt>
                <pt idx="134">
                  <v>39692</v>
                </pt>
                <pt idx="135">
                  <v>39722</v>
                </pt>
                <pt idx="136">
                  <v>39753</v>
                </pt>
                <pt idx="137">
                  <v>39783</v>
                </pt>
                <pt idx="138">
                  <v>39814</v>
                </pt>
                <pt idx="139">
                  <v>39845</v>
                </pt>
                <pt idx="140">
                  <v>39873</v>
                </pt>
                <pt idx="141">
                  <v>39904</v>
                </pt>
                <pt idx="142">
                  <v>39934</v>
                </pt>
                <pt idx="143">
                  <v>39965</v>
                </pt>
                <pt idx="144">
                  <v>39995</v>
                </pt>
                <pt idx="145">
                  <v>40026</v>
                </pt>
                <pt idx="146">
                  <v>40057</v>
                </pt>
                <pt idx="147">
                  <v>40087</v>
                </pt>
                <pt idx="148">
                  <v>40118</v>
                </pt>
                <pt idx="149">
                  <v>40148</v>
                </pt>
                <pt idx="150">
                  <v>40179</v>
                </pt>
                <pt idx="151">
                  <v>40210</v>
                </pt>
                <pt idx="152">
                  <v>40238</v>
                </pt>
                <pt idx="153">
                  <v>40269</v>
                </pt>
                <pt idx="154">
                  <v>40299</v>
                </pt>
                <pt idx="155">
                  <v>40330</v>
                </pt>
                <pt idx="156">
                  <v>40360</v>
                </pt>
                <pt idx="157">
                  <v>40391</v>
                </pt>
                <pt idx="158">
                  <v>40422</v>
                </pt>
                <pt idx="159">
                  <v>40452</v>
                </pt>
                <pt idx="160">
                  <v>40483</v>
                </pt>
                <pt idx="161">
                  <v>40513</v>
                </pt>
                <pt idx="162">
                  <v>40544</v>
                </pt>
                <pt idx="163">
                  <v>40575</v>
                </pt>
                <pt idx="164">
                  <v>40603</v>
                </pt>
                <pt idx="165">
                  <v>40634</v>
                </pt>
                <pt idx="166">
                  <v>40664</v>
                </pt>
                <pt idx="167">
                  <v>40695</v>
                </pt>
                <pt idx="168">
                  <v>40725</v>
                </pt>
                <pt idx="169">
                  <v>40756</v>
                </pt>
                <pt idx="170">
                  <v>40787</v>
                </pt>
                <pt idx="171">
                  <v>40817</v>
                </pt>
                <pt idx="172">
                  <v>40848</v>
                </pt>
                <pt idx="173">
                  <v>40878</v>
                </pt>
                <pt idx="174">
                  <v>40909</v>
                </pt>
                <pt idx="175">
                  <v>40940</v>
                </pt>
                <pt idx="176">
                  <v>40969</v>
                </pt>
                <pt idx="177">
                  <v>41000</v>
                </pt>
                <pt idx="178">
                  <v>41030</v>
                </pt>
                <pt idx="179">
                  <v>41061</v>
                </pt>
                <pt idx="180">
                  <v>41091</v>
                </pt>
                <pt idx="181">
                  <v>41122</v>
                </pt>
                <pt idx="182">
                  <v>41153</v>
                </pt>
                <pt idx="183">
                  <v>41183</v>
                </pt>
                <pt idx="184">
                  <v>41214</v>
                </pt>
                <pt idx="185">
                  <v>41244</v>
                </pt>
                <pt idx="186">
                  <v>41275</v>
                </pt>
                <pt idx="187">
                  <v>41306</v>
                </pt>
                <pt idx="188">
                  <v>41334</v>
                </pt>
                <pt idx="189">
                  <v>41365</v>
                </pt>
                <pt idx="190">
                  <v>41395</v>
                </pt>
                <pt idx="191">
                  <v>41426</v>
                </pt>
                <pt idx="192">
                  <v>41456</v>
                </pt>
                <pt idx="193">
                  <v>41487</v>
                </pt>
                <pt idx="194">
                  <v>41518</v>
                </pt>
                <pt idx="195">
                  <v>41548</v>
                </pt>
                <pt idx="196">
                  <v>41579</v>
                </pt>
                <pt idx="197">
                  <v>41609</v>
                </pt>
                <pt idx="198">
                  <v>41640</v>
                </pt>
                <pt idx="199">
                  <v>41671</v>
                </pt>
                <pt idx="200">
                  <v>41699</v>
                </pt>
                <pt idx="201">
                  <v>41730</v>
                </pt>
                <pt idx="202">
                  <v>41760</v>
                </pt>
                <pt idx="203">
                  <v>41791</v>
                </pt>
                <pt idx="204">
                  <v>41821</v>
                </pt>
                <pt idx="205">
                  <v>41852</v>
                </pt>
                <pt idx="206">
                  <v>41883</v>
                </pt>
                <pt idx="207">
                  <v>41913</v>
                </pt>
                <pt idx="208">
                  <v>41944</v>
                </pt>
                <pt idx="209">
                  <v>41974</v>
                </pt>
                <pt idx="210">
                  <v>42005</v>
                </pt>
                <pt idx="211">
                  <v>42036</v>
                </pt>
                <pt idx="212">
                  <v>42064</v>
                </pt>
                <pt idx="213">
                  <v>42095</v>
                </pt>
                <pt idx="214">
                  <v>42125</v>
                </pt>
                <pt idx="215">
                  <v>42156</v>
                </pt>
                <pt idx="216">
                  <v>42186</v>
                </pt>
                <pt idx="217">
                  <v>42217</v>
                </pt>
                <pt idx="218">
                  <v>42248</v>
                </pt>
                <pt idx="219">
                  <v>42278</v>
                </pt>
                <pt idx="220">
                  <v>42309</v>
                </pt>
                <pt idx="221">
                  <v>42339</v>
                </pt>
                <pt idx="222">
                  <v>42370</v>
                </pt>
                <pt idx="223">
                  <v>42401</v>
                </pt>
                <pt idx="224">
                  <v>42430</v>
                </pt>
                <pt idx="225">
                  <v>42461</v>
                </pt>
                <pt idx="226">
                  <v>42491</v>
                </pt>
                <pt idx="227">
                  <v>42522</v>
                </pt>
                <pt idx="228">
                  <v>42552</v>
                </pt>
                <pt idx="229">
                  <v>42583</v>
                </pt>
                <pt idx="230">
                  <v>42614</v>
                </pt>
                <pt idx="231">
                  <v>42644</v>
                </pt>
                <pt idx="232">
                  <v>42675</v>
                </pt>
                <pt idx="233">
                  <v>42705</v>
                </pt>
                <pt idx="234">
                  <v>42736</v>
                </pt>
                <pt idx="235">
                  <v>42767</v>
                </pt>
                <pt idx="236">
                  <v>42795</v>
                </pt>
                <pt idx="237">
                  <v>42826</v>
                </pt>
                <pt idx="238">
                  <v>42856</v>
                </pt>
                <pt idx="239">
                  <v>42887</v>
                </pt>
                <pt idx="240">
                  <v>42917</v>
                </pt>
                <pt idx="241">
                  <v>42948</v>
                </pt>
                <pt idx="242">
                  <v>42979</v>
                </pt>
                <pt idx="243">
                  <v>43009</v>
                </pt>
                <pt idx="244">
                  <v>43040</v>
                </pt>
                <pt idx="245">
                  <v>43070</v>
                </pt>
                <pt idx="246">
                  <v>43101</v>
                </pt>
                <pt idx="247">
                  <v>43132</v>
                </pt>
                <pt idx="248">
                  <v>43160</v>
                </pt>
                <pt idx="249">
                  <v>43191</v>
                </pt>
                <pt idx="250">
                  <v>43221</v>
                </pt>
                <pt idx="251">
                  <v>43252</v>
                </pt>
                <pt idx="252">
                  <v>43282</v>
                </pt>
                <pt idx="253">
                  <v>43313</v>
                </pt>
                <pt idx="254">
                  <v>43344</v>
                </pt>
                <pt idx="255">
                  <v>43374</v>
                </pt>
                <pt idx="256">
                  <v>43405</v>
                </pt>
                <pt idx="257">
                  <v>43435</v>
                </pt>
                <pt idx="258">
                  <v>43466</v>
                </pt>
                <pt idx="259">
                  <v>43497</v>
                </pt>
                <pt idx="260">
                  <v>43525</v>
                </pt>
                <pt idx="261">
                  <v>43556</v>
                </pt>
                <pt idx="262">
                  <v>43586</v>
                </pt>
                <pt idx="263">
                  <v>43617</v>
                </pt>
                <pt idx="264">
                  <v>43647</v>
                </pt>
                <pt idx="265">
                  <v>43678</v>
                </pt>
                <pt idx="266">
                  <v>43709</v>
                </pt>
                <pt idx="267">
                  <v>43739</v>
                </pt>
                <pt idx="268">
                  <v>43770</v>
                </pt>
                <pt idx="269">
                  <v>43800</v>
                </pt>
                <pt idx="270">
                  <v>43831</v>
                </pt>
                <pt idx="271">
                  <v>43862</v>
                </pt>
                <pt idx="272">
                  <v>43891</v>
                </pt>
                <pt idx="273">
                  <v>43922</v>
                </pt>
                <pt idx="274">
                  <v>43952</v>
                </pt>
                <pt idx="275">
                  <v>43983</v>
                </pt>
                <pt idx="276">
                  <v>44013</v>
                </pt>
                <pt idx="277">
                  <v>44044</v>
                </pt>
                <pt idx="278">
                  <v>44075</v>
                </pt>
                <pt idx="279">
                  <v>44105</v>
                </pt>
                <pt idx="280">
                  <v>44136</v>
                </pt>
                <pt idx="281">
                  <v>44166</v>
                </pt>
                <pt idx="282">
                  <v>44197</v>
                </pt>
                <pt idx="283">
                  <v>44228</v>
                </pt>
                <pt idx="284">
                  <v>44256</v>
                </pt>
                <pt idx="285">
                  <v>44287</v>
                </pt>
                <pt idx="286">
                  <v>44317</v>
                </pt>
                <pt idx="287">
                  <v>44348</v>
                </pt>
                <pt idx="288">
                  <v>44378</v>
                </pt>
                <pt idx="289">
                  <v>44409</v>
                </pt>
                <pt idx="290">
                  <v>44440</v>
                </pt>
                <pt idx="291">
                  <v>44470</v>
                </pt>
                <pt idx="292">
                  <v>44501</v>
                </pt>
                <pt idx="293">
                  <v>44531</v>
                </pt>
                <pt idx="294">
                  <v>44562</v>
                </pt>
                <pt idx="295">
                  <v>44593</v>
                </pt>
                <pt idx="296">
                  <v>44621</v>
                </pt>
                <pt idx="297">
                  <v>44652</v>
                </pt>
                <pt idx="298">
                  <v>44682</v>
                </pt>
                <pt idx="299">
                  <v>44713</v>
                </pt>
              </numCache>
            </numRef>
          </cat>
          <val>
            <numRef>
              <f>Details!$B$6:$B$307</f>
              <numCache>
                <formatCode>0.00</formatCode>
                <ptCount val="302"/>
                <pt idx="0">
                  <v>0</v>
                </pt>
                <pt idx="1">
                  <v>0</v>
                </pt>
                <pt idx="2">
                  <v>0</v>
                </pt>
                <pt idx="3">
                  <v>0</v>
                </pt>
                <pt idx="4">
                  <v>0</v>
                </pt>
                <pt idx="5">
                  <v>0</v>
                </pt>
                <pt idx="6">
                  <v>57.4</v>
                </pt>
                <pt idx="7">
                  <v>59.1</v>
                </pt>
                <pt idx="8">
                  <v>55.1</v>
                </pt>
                <pt idx="9">
                  <v>57.5</v>
                </pt>
                <pt idx="10">
                  <v>60.2</v>
                </pt>
                <pt idx="11">
                  <v>55.8</v>
                </pt>
                <pt idx="12">
                  <v>58.2</v>
                </pt>
                <pt idx="13">
                  <v>55.3</v>
                </pt>
                <pt idx="14">
                  <v>55.9</v>
                </pt>
                <pt idx="15">
                  <v>54.7</v>
                </pt>
                <pt idx="16">
                  <v>52.7</v>
                </pt>
                <pt idx="17">
                  <v>53.5</v>
                </pt>
                <pt idx="18">
                  <v>57.5</v>
                </pt>
                <pt idx="19">
                  <v>56.6</v>
                </pt>
                <pt idx="20">
                  <v>58.1</v>
                </pt>
                <pt idx="21">
                  <v>58.6</v>
                </pt>
                <pt idx="22">
                  <v>56.4</v>
                </pt>
                <pt idx="23">
                  <v>59.7</v>
                </pt>
                <pt idx="24">
                  <v>58.1</v>
                </pt>
                <pt idx="25">
                  <v>59.6</v>
                </pt>
                <pt idx="26">
                  <v>60.1</v>
                </pt>
                <pt idx="27">
                  <v>62</v>
                </pt>
                <pt idx="28">
                  <v>55.5</v>
                </pt>
                <pt idx="29">
                  <v>61.1</v>
                </pt>
                <pt idx="30">
                  <v>60.8</v>
                </pt>
                <pt idx="31">
                  <v>58.9</v>
                </pt>
                <pt idx="32">
                  <v>61.7</v>
                </pt>
                <pt idx="33">
                  <v>61.5</v>
                </pt>
                <pt idx="34">
                  <v>60.5</v>
                </pt>
                <pt idx="35">
                  <v>59.4</v>
                </pt>
                <pt idx="36">
                  <v>59.7</v>
                </pt>
                <pt idx="37">
                  <v>59.8</v>
                </pt>
                <pt idx="38">
                  <v>60.4</v>
                </pt>
                <pt idx="39">
                  <v>59.2</v>
                </pt>
                <pt idx="40">
                  <v>56.4</v>
                </pt>
                <pt idx="41">
                  <v>54.9</v>
                </pt>
                <pt idx="42">
                  <v>50.8</v>
                </pt>
                <pt idx="43">
                  <v>51.4</v>
                </pt>
                <pt idx="44">
                  <v>52.6</v>
                </pt>
                <pt idx="45">
                  <v>47.2</v>
                </pt>
                <pt idx="46">
                  <v>49.3</v>
                </pt>
                <pt idx="47">
                  <v>52.2</v>
                </pt>
                <pt idx="48">
                  <v>47.5</v>
                </pt>
                <pt idx="49">
                  <v>46.5</v>
                </pt>
                <pt idx="50">
                  <v>50.8</v>
                </pt>
                <pt idx="51">
                  <v>41.3</v>
                </pt>
                <pt idx="52">
                  <v>46.4</v>
                </pt>
                <pt idx="53">
                  <v>49.9</v>
                </pt>
                <pt idx="54">
                  <v>48.3</v>
                </pt>
                <pt idx="55">
                  <v>56.3</v>
                </pt>
                <pt idx="56">
                  <v>56.4</v>
                </pt>
                <pt idx="57">
                  <v>58.4</v>
                </pt>
                <pt idx="58">
                  <v>57.3</v>
                </pt>
                <pt idx="59">
                  <v>56.4</v>
                </pt>
                <pt idx="60">
                  <v>50.7</v>
                </pt>
                <pt idx="61">
                  <v>51.6</v>
                </pt>
                <pt idx="62">
                  <v>54.8</v>
                </pt>
                <pt idx="63">
                  <v>52.3</v>
                </pt>
                <pt idx="64">
                  <v>56.4</v>
                </pt>
                <pt idx="65">
                  <v>54.2</v>
                </pt>
                <pt idx="66">
                  <v>54.4</v>
                </pt>
                <pt idx="67">
                  <v>53.9</v>
                </pt>
                <pt idx="68">
                  <v>49.9</v>
                </pt>
                <pt idx="69">
                  <v>50.4</v>
                </pt>
                <pt idx="70">
                  <v>55.9</v>
                </pt>
                <pt idx="71">
                  <v>57.1</v>
                </pt>
                <pt idx="72">
                  <v>62.3</v>
                </pt>
                <pt idx="73">
                  <v>66.90000000000001</v>
                </pt>
                <pt idx="74">
                  <v>61.4</v>
                </pt>
                <pt idx="75">
                  <v>64.2</v>
                </pt>
                <pt idx="76">
                  <v>61.3</v>
                </pt>
                <pt idx="77">
                  <v>61.2</v>
                </pt>
                <pt idx="78">
                  <v>65.40000000000001</v>
                </pt>
                <pt idx="79">
                  <v>61.2</v>
                </pt>
                <pt idx="80">
                  <v>62.1</v>
                </pt>
                <pt idx="81">
                  <v>61.6</v>
                </pt>
                <pt idx="82">
                  <v>60.7</v>
                </pt>
                <pt idx="83">
                  <v>62.1</v>
                </pt>
                <pt idx="84">
                  <v>63.2</v>
                </pt>
                <pt idx="85">
                  <v>59</v>
                </pt>
                <pt idx="86">
                  <v>60.6</v>
                </pt>
                <pt idx="87">
                  <v>61.7</v>
                </pt>
                <pt idx="88">
                  <v>61.1</v>
                </pt>
                <pt idx="89">
                  <v>63.2</v>
                </pt>
                <pt idx="90">
                  <v>62.4</v>
                </pt>
                <pt idx="91">
                  <v>63.3</v>
                </pt>
                <pt idx="92">
                  <v>60.5</v>
                </pt>
                <pt idx="93">
                  <v>57.5</v>
                </pt>
                <pt idx="94">
                  <v>58.2</v>
                </pt>
                <pt idx="95">
                  <v>59.2</v>
                </pt>
                <pt idx="96">
                  <v>64.40000000000001</v>
                </pt>
                <pt idx="97">
                  <v>65.3</v>
                </pt>
                <pt idx="98">
                  <v>56.2</v>
                </pt>
                <pt idx="99">
                  <v>57.5</v>
                </pt>
                <pt idx="100">
                  <v>59.6</v>
                </pt>
                <pt idx="101">
                  <v>62.8</v>
                </pt>
                <pt idx="102">
                  <v>57.4</v>
                </pt>
                <pt idx="103">
                  <v>57.8</v>
                </pt>
                <pt idx="104">
                  <v>58.6</v>
                </pt>
                <pt idx="105">
                  <v>61.1</v>
                </pt>
                <pt idx="106">
                  <v>58.6</v>
                </pt>
                <pt idx="107">
                  <v>57</v>
                </pt>
                <pt idx="108">
                  <v>58.1</v>
                </pt>
                <pt idx="109">
                  <v>53.1</v>
                </pt>
                <pt idx="110">
                  <v>56.5</v>
                </pt>
                <pt idx="111">
                  <v>55.3</v>
                </pt>
                <pt idx="112">
                  <v>56.7</v>
                </pt>
                <pt idx="113">
                  <v>54.8</v>
                </pt>
                <pt idx="114">
                  <v>55.6</v>
                </pt>
                <pt idx="115">
                  <v>55.7</v>
                </pt>
                <pt idx="116">
                  <v>53.2</v>
                </pt>
                <pt idx="117">
                  <v>54.9</v>
                </pt>
                <pt idx="118">
                  <v>57.1</v>
                </pt>
                <pt idx="119">
                  <v>57.2</v>
                </pt>
                <pt idx="120">
                  <v>54.5</v>
                </pt>
                <pt idx="121">
                  <v>56.7</v>
                </pt>
                <pt idx="122">
                  <v>52.6</v>
                </pt>
                <pt idx="123">
                  <v>55.3</v>
                </pt>
                <pt idx="124">
                  <v>51.9</v>
                </pt>
                <pt idx="125">
                  <v>52.5</v>
                </pt>
                <pt idx="126">
                  <v>43.3</v>
                </pt>
                <pt idx="127">
                  <v>50.1</v>
                </pt>
                <pt idx="128">
                  <v>49.3</v>
                </pt>
                <pt idx="129">
                  <v>50.3</v>
                </pt>
                <pt idx="130">
                  <v>54.2</v>
                </pt>
                <pt idx="131">
                  <v>49.2</v>
                </pt>
                <pt idx="132">
                  <v>49</v>
                </pt>
                <pt idx="133">
                  <v>50.7</v>
                </pt>
                <pt idx="134">
                  <v>49.5</v>
                </pt>
                <pt idx="135">
                  <v>44.1</v>
                </pt>
                <pt idx="136">
                  <v>35.3</v>
                </pt>
                <pt idx="137">
                  <v>38.7</v>
                </pt>
                <pt idx="138">
                  <v>40.7</v>
                </pt>
                <pt idx="139">
                  <v>40.4</v>
                </pt>
                <pt idx="140">
                  <v>37.2</v>
                </pt>
                <pt idx="141">
                  <v>46.8</v>
                </pt>
                <pt idx="142">
                  <v>45.9</v>
                </pt>
                <pt idx="143">
                  <v>49.6</v>
                </pt>
                <pt idx="144">
                  <v>49.7</v>
                </pt>
                <pt idx="145">
                  <v>51.7</v>
                </pt>
                <pt idx="146">
                  <v>53.3</v>
                </pt>
                <pt idx="147">
                  <v>55.4</v>
                </pt>
                <pt idx="148">
                  <v>54.9</v>
                </pt>
                <pt idx="149">
                  <v>51.6</v>
                </pt>
                <pt idx="150">
                  <v>52.9</v>
                </pt>
                <pt idx="151">
                  <v>53.4</v>
                </pt>
                <pt idx="152">
                  <v>58.1</v>
                </pt>
                <pt idx="153">
                  <v>58.1</v>
                </pt>
                <pt idx="154">
                  <v>57.9</v>
                </pt>
                <pt idx="155">
                  <v>56.6</v>
                </pt>
                <pt idx="156">
                  <v>58.2</v>
                </pt>
                <pt idx="157">
                  <v>54.4</v>
                </pt>
                <pt idx="158">
                  <v>54.3</v>
                </pt>
                <pt idx="159">
                  <v>58.3</v>
                </pt>
                <pt idx="160">
                  <v>58.4</v>
                </pt>
                <pt idx="161">
                  <v>62.1</v>
                </pt>
                <pt idx="162">
                  <v>63</v>
                </pt>
                <pt idx="163">
                  <v>61.9</v>
                </pt>
                <pt idx="164">
                  <v>59.5</v>
                </pt>
                <pt idx="165">
                  <v>56.3</v>
                </pt>
                <pt idx="166">
                  <v>56</v>
                </pt>
                <pt idx="167">
                  <v>55.4</v>
                </pt>
                <pt idx="168">
                  <v>53.7</v>
                </pt>
                <pt idx="169">
                  <v>53.9</v>
                </pt>
                <pt idx="170">
                  <v>54.6</v>
                </pt>
                <pt idx="171">
                  <v>53.4</v>
                </pt>
                <pt idx="172">
                  <v>53.4</v>
                </pt>
                <pt idx="173">
                  <v>54.1</v>
                </pt>
                <pt idx="174">
                  <v>59.5</v>
                </pt>
                <pt idx="175">
                  <v>59.9</v>
                </pt>
                <pt idx="176">
                  <v>57.9</v>
                </pt>
                <pt idx="177">
                  <v>55.1</v>
                </pt>
                <pt idx="178">
                  <v>55.6</v>
                </pt>
                <pt idx="179">
                  <v>55.7</v>
                </pt>
                <pt idx="180">
                  <v>54.3</v>
                </pt>
                <pt idx="181">
                  <v>53.6</v>
                </pt>
                <pt idx="182">
                  <v>55.6</v>
                </pt>
                <pt idx="183">
                  <v>55.5</v>
                </pt>
                <pt idx="184">
                  <v>57.1</v>
                </pt>
                <pt idx="185">
                  <v>58.8</v>
                </pt>
                <pt idx="186">
                  <v>56.7</v>
                </pt>
                <pt idx="187">
                  <v>58.9</v>
                </pt>
                <pt idx="188">
                  <v>56.5</v>
                </pt>
                <pt idx="189">
                  <v>55.4</v>
                </pt>
                <pt idx="190">
                  <v>56.1</v>
                </pt>
                <pt idx="191">
                  <v>54.1</v>
                </pt>
                <pt idx="192">
                  <v>55.3</v>
                </pt>
                <pt idx="193">
                  <v>57.8</v>
                </pt>
                <pt idx="194">
                  <v>57.1</v>
                </pt>
                <pt idx="195">
                  <v>56</v>
                </pt>
                <pt idx="196">
                  <v>55.4</v>
                </pt>
                <pt idx="197">
                  <v>50.2</v>
                </pt>
                <pt idx="198">
                  <v>52.9</v>
                </pt>
                <pt idx="199">
                  <v>54.4</v>
                </pt>
                <pt idx="200">
                  <v>55.3</v>
                </pt>
                <pt idx="201">
                  <v>58</v>
                </pt>
                <pt idx="202">
                  <v>60.2</v>
                </pt>
                <pt idx="203">
                  <v>60.9</v>
                </pt>
                <pt idx="204">
                  <v>60.7</v>
                </pt>
                <pt idx="205">
                  <v>61.4</v>
                </pt>
                <pt idx="206">
                  <v>59.9</v>
                </pt>
                <pt idx="207">
                  <v>58.5</v>
                </pt>
                <pt idx="208">
                  <v>61.4</v>
                </pt>
                <pt idx="209">
                  <v>58.7</v>
                </pt>
                <pt idx="210">
                  <v>60.5</v>
                </pt>
                <pt idx="211">
                  <v>58.8</v>
                </pt>
                <pt idx="212">
                  <v>58.9</v>
                </pt>
                <pt idx="213">
                  <v>58.7</v>
                </pt>
                <pt idx="214">
                  <v>58.4</v>
                </pt>
                <pt idx="215">
                  <v>58.3</v>
                </pt>
                <pt idx="216">
                  <v>60.9</v>
                </pt>
                <pt idx="217">
                  <v>62.7</v>
                </pt>
                <pt idx="218">
                  <v>56</v>
                </pt>
                <pt idx="219">
                  <v>61</v>
                </pt>
                <pt idx="220">
                  <v>58.2</v>
                </pt>
                <pt idx="221">
                  <v>57.9</v>
                </pt>
                <pt idx="222">
                  <v>57</v>
                </pt>
                <pt idx="223">
                  <v>56.8</v>
                </pt>
                <pt idx="224">
                  <v>57.4</v>
                </pt>
                <pt idx="225">
                  <v>59.5</v>
                </pt>
                <pt idx="226">
                  <v>54.8</v>
                </pt>
                <pt idx="227">
                  <v>58.9</v>
                </pt>
                <pt idx="228">
                  <v>58.5</v>
                </pt>
                <pt idx="229">
                  <v>52</v>
                </pt>
                <pt idx="230">
                  <v>59.6</v>
                </pt>
                <pt idx="231">
                  <v>57.7</v>
                </pt>
                <pt idx="232">
                  <v>57.4</v>
                </pt>
                <pt idx="233">
                  <v>60.7</v>
                </pt>
                <pt idx="234">
                  <v>58.6</v>
                </pt>
                <pt idx="235">
                  <v>61.2</v>
                </pt>
                <pt idx="236">
                  <v>58.9</v>
                </pt>
                <pt idx="237">
                  <v>63.2</v>
                </pt>
                <pt idx="238">
                  <v>57.7</v>
                </pt>
                <pt idx="239">
                  <v>60.5</v>
                </pt>
                <pt idx="240">
                  <v>55.1</v>
                </pt>
                <pt idx="241">
                  <v>57.1</v>
                </pt>
                <pt idx="242">
                  <v>63</v>
                </pt>
                <pt idx="243">
                  <v>62.8</v>
                </pt>
                <pt idx="244">
                  <v>58.7</v>
                </pt>
                <pt idx="245">
                  <v>54.3</v>
                </pt>
                <pt idx="246">
                  <v>62.7</v>
                </pt>
                <pt idx="247">
                  <v>64.8</v>
                </pt>
                <pt idx="248">
                  <v>59.5</v>
                </pt>
                <pt idx="249">
                  <v>60</v>
                </pt>
                <pt idx="250">
                  <v>60.5</v>
                </pt>
                <pt idx="251">
                  <v>63.2</v>
                </pt>
                <pt idx="252">
                  <v>57</v>
                </pt>
                <pt idx="253">
                  <v>60.4</v>
                </pt>
                <pt idx="254">
                  <v>61.6</v>
                </pt>
                <pt idx="255">
                  <v>61.5</v>
                </pt>
                <pt idx="256">
                  <v>62.5</v>
                </pt>
                <pt idx="257">
                  <v>62.7</v>
                </pt>
                <pt idx="258">
                  <v>57.7</v>
                </pt>
                <pt idx="259">
                  <v>65.2</v>
                </pt>
                <pt idx="260">
                  <v>59</v>
                </pt>
                <pt idx="261">
                  <v>58.1</v>
                </pt>
                <pt idx="262">
                  <v>58.6</v>
                </pt>
                <pt idx="263">
                  <v>55.8</v>
                </pt>
                <pt idx="264">
                  <v>54.1</v>
                </pt>
                <pt idx="265">
                  <v>60.3</v>
                </pt>
                <pt idx="266">
                  <v>53.7</v>
                </pt>
                <pt idx="267">
                  <v>55.6</v>
                </pt>
                <pt idx="268">
                  <v>57.1</v>
                </pt>
                <pt idx="269">
                  <v>54.9</v>
                </pt>
                <pt idx="270">
                  <v>56.2</v>
                </pt>
                <pt idx="271">
                  <v>63.1</v>
                </pt>
                <pt idx="272">
                  <v>52.9</v>
                </pt>
                <pt idx="273">
                  <v>32.9</v>
                </pt>
                <pt idx="274">
                  <v>41.9</v>
                </pt>
                <pt idx="275">
                  <v>61.6</v>
                </pt>
                <pt idx="276">
                  <v>67.7</v>
                </pt>
                <pt idx="277">
                  <v>56.8</v>
                </pt>
                <pt idx="278">
                  <v>61.5</v>
                </pt>
                <pt idx="279">
                  <v>58.8</v>
                </pt>
                <pt idx="280">
                  <v>57.2</v>
                </pt>
                <pt idx="281">
                  <v>58.5</v>
                </pt>
                <pt idx="282">
                  <v>61.8</v>
                </pt>
                <pt idx="283">
                  <v>51.9</v>
                </pt>
                <pt idx="284">
                  <v>67.2</v>
                </pt>
                <pt idx="285">
                  <v>63.2</v>
                </pt>
                <pt idx="286">
                  <v>63.9</v>
                </pt>
                <pt idx="287">
                  <v>62.1</v>
                </pt>
                <pt idx="288">
                  <v>63.7</v>
                </pt>
                <pt idx="289">
                  <v>63.2</v>
                </pt>
                <pt idx="290">
                  <v>63.5</v>
                </pt>
                <pt idx="291">
                  <v>69.7</v>
                </pt>
                <pt idx="292">
                  <v>69.7</v>
                </pt>
                <pt idx="293">
                  <v>61.5</v>
                </pt>
                <pt idx="294">
                  <v>61.7</v>
                </pt>
                <pt idx="295">
                  <v>56.1</v>
                </pt>
                <pt idx="296">
                  <v>60.1</v>
                </pt>
                <pt idx="297">
                  <v>54.6</v>
                </pt>
                <pt idx="298">
                  <v>57.6</v>
                </pt>
                <pt idx="299">
                  <v>55.6</v>
                </pt>
              </numCache>
            </numRef>
          </val>
          <smooth val="0"/>
        </ser>
        <dLbls>
          <showLegendKey val="0"/>
          <showVal val="0"/>
          <showCatName val="0"/>
          <showSerName val="0"/>
          <showPercent val="0"/>
          <showBubbleSize val="0"/>
        </dLbls>
        <smooth val="0"/>
        <axId val="946929536"/>
        <axId val="946929864"/>
      </lineChart>
      <dateAx>
        <axId val="946929536"/>
        <scaling>
          <orientation val="minMax"/>
          <min val="42005"/>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864"/>
        <crosses val="autoZero"/>
        <lblOffset val="100"/>
        <baseTimeUnit val="months"/>
      </dateAx>
      <valAx>
        <axId val="946929864"/>
        <scaling>
          <orientation val="minMax"/>
          <min val="3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536"/>
        <crosses val="autoZero"/>
        <crossBetween val="between"/>
      </valAx>
    </plotArea>
    <plotVisOnly val="1"/>
    <dispBlanksAs val="gap"/>
  </chart>
</chartSpace>
</file>

<file path=xl/charts/chart3.xml><?xml version="1.0" encoding="utf-8"?>
<chartSpace xmlns="http://schemas.openxmlformats.org/drawingml/2006/chart">
  <chart>
    <title>
      <tx>
        <strRef>
          <f>Sectors!$B$5</f>
          <strCache>
            <ptCount val="1"/>
            <pt idx="0">
              <v>Retail Trade</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0"/>
          <order val="0"/>
          <tx>
            <strRef>
              <f>Sectors!$B$5</f>
              <strCache>
                <ptCount val="1"/>
                <pt idx="0">
                  <v>Retail Trade</v>
                </pt>
              </strCache>
            </strRef>
          </tx>
          <spPr>
            <a:solidFill xmlns:a="http://schemas.openxmlformats.org/drawingml/2006/main">
              <a:schemeClr val="accent1"/>
            </a:solidFill>
            <a:ln xmlns:a="http://schemas.openxmlformats.org/drawingml/2006/main">
              <a:noFill/>
              <a:prstDash val="solid"/>
            </a:ln>
          </spPr>
          <invertIfNegative val="0"/>
          <cat>
            <numRef>
              <f>Sectors!$A$6:$A$11</f>
              <numCache>
                <formatCode>mmm\-yy</formatCode>
                <ptCount val="6"/>
                <pt idx="0">
                  <v>44562</v>
                </pt>
                <pt idx="1">
                  <v>44593</v>
                </pt>
                <pt idx="2">
                  <v>44621</v>
                </pt>
                <pt idx="3">
                  <v>44652</v>
                </pt>
                <pt idx="4">
                  <v>44682</v>
                </pt>
                <pt idx="5">
                  <v>44713</v>
                </pt>
              </numCache>
            </numRef>
          </cat>
          <val>
            <numRef>
              <f>Sectors!$B$6:$B$11</f>
              <numCache>
                <formatCode>General</formatCode>
                <ptCount val="6"/>
                <pt idx="0">
                  <v>13</v>
                </pt>
                <pt idx="1">
                  <v>1</v>
                </pt>
                <pt idx="2">
                  <v>5</v>
                </pt>
                <pt idx="3">
                  <v>3</v>
                </pt>
                <pt idx="4">
                  <v>6</v>
                </pt>
                <pt idx="5">
                  <v>14</v>
                </pt>
              </numCache>
            </numRef>
          </val>
        </ser>
        <dLbls>
          <showLegendKey val="0"/>
          <showVal val="0"/>
          <showCatName val="0"/>
          <showSerName val="0"/>
          <showPercent val="0"/>
          <showBubbleSize val="0"/>
        </dLbls>
        <gapWidth val="219"/>
        <overlap val="-27"/>
        <axId val="451913784"/>
        <axId val="451914176"/>
      </barChart>
      <dateAx>
        <axId val="451913784"/>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1914176"/>
        <crosses val="autoZero"/>
        <lblOffset val="100"/>
        <baseTimeUnit val="months"/>
      </dateAx>
      <valAx>
        <axId val="45191417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1913784"/>
        <crosses val="autoZero"/>
        <crossBetween val="between"/>
      </valAx>
    </plotArea>
    <plotVisOnly val="1"/>
    <dispBlanksAs val="gap"/>
  </chart>
</chartSpace>
</file>

<file path=xl/charts/chart4.xml><?xml version="1.0" encoding="utf-8"?>
<chartSpace xmlns="http://schemas.openxmlformats.org/drawingml/2006/chart">
  <chart>
    <title>
      <tx>
        <strRef>
          <f>Sectors!$C$5</f>
          <strCache>
            <ptCount val="1"/>
            <pt idx="0">
              <v>Utilities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
          <order val="0"/>
          <tx>
            <strRef>
              <f>Sectors!$C$5</f>
              <strCache>
                <ptCount val="1"/>
                <pt idx="0">
                  <v>Utilities</v>
                </pt>
              </strCache>
            </strRef>
          </tx>
          <spPr>
            <a:solidFill xmlns:a="http://schemas.openxmlformats.org/drawingml/2006/main">
              <a:schemeClr val="accent2"/>
            </a:solidFill>
            <a:ln xmlns:a="http://schemas.openxmlformats.org/drawingml/2006/main">
              <a:noFill/>
              <a:prstDash val="solid"/>
            </a:ln>
          </spPr>
          <invertIfNegative val="0"/>
          <cat>
            <numRef>
              <f>Sectors!$A$6:$A$11</f>
              <numCache>
                <formatCode>mmm\-yy</formatCode>
                <ptCount val="6"/>
                <pt idx="0">
                  <v>44562</v>
                </pt>
                <pt idx="1">
                  <v>44593</v>
                </pt>
                <pt idx="2">
                  <v>44621</v>
                </pt>
                <pt idx="3">
                  <v>44652</v>
                </pt>
                <pt idx="4">
                  <v>44682</v>
                </pt>
                <pt idx="5">
                  <v>44713</v>
                </pt>
              </numCache>
            </numRef>
          </cat>
          <val>
            <numRef>
              <f>Sectors!$C$6:$C$11</f>
              <numCache>
                <formatCode>General</formatCode>
                <ptCount val="6"/>
                <pt idx="0">
                  <v>10</v>
                </pt>
                <pt idx="1">
                  <v>14</v>
                </pt>
                <pt idx="2">
                  <v>14</v>
                </pt>
                <pt idx="3">
                  <v>8</v>
                </pt>
                <pt idx="4">
                  <v>2</v>
                </pt>
                <pt idx="5">
                  <v>5</v>
                </pt>
              </numCache>
            </numRef>
          </val>
        </ser>
        <dLbls>
          <showLegendKey val="0"/>
          <showVal val="0"/>
          <showCatName val="0"/>
          <showSerName val="0"/>
          <showPercent val="0"/>
          <showBubbleSize val="0"/>
        </dLbls>
        <gapWidth val="219"/>
        <overlap val="-27"/>
        <axId val="451917312"/>
        <axId val="451913392"/>
      </barChart>
      <dateAx>
        <axId val="451917312"/>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1913392"/>
        <crosses val="autoZero"/>
        <lblOffset val="100"/>
        <baseTimeUnit val="months"/>
      </dateAx>
      <valAx>
        <axId val="45191339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1917312"/>
        <crosses val="autoZero"/>
        <crossBetween val="between"/>
      </valAx>
    </plotArea>
    <plotVisOnly val="1"/>
    <dispBlanksAs val="gap"/>
  </chart>
</chartSpace>
</file>

<file path=xl/charts/chart5.xml><?xml version="1.0" encoding="utf-8"?>
<chartSpace xmlns="http://schemas.openxmlformats.org/drawingml/2006/chart">
  <chart>
    <title>
      <tx>
        <strRef>
          <f>Sectors!$D$5</f>
          <strCache>
            <ptCount val="1"/>
            <pt idx="0">
              <v>Arts, Entertainment &amp; Recreation</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2"/>
          <order val="0"/>
          <tx>
            <strRef>
              <f>Sectors!$D$5</f>
              <strCache>
                <ptCount val="1"/>
                <pt idx="0">
                  <v>Arts, Entertainment &amp; Recreation</v>
                </pt>
              </strCache>
            </strRef>
          </tx>
          <spPr>
            <a:solidFill xmlns:a="http://schemas.openxmlformats.org/drawingml/2006/main">
              <a:schemeClr val="accent3"/>
            </a:solidFill>
            <a:ln xmlns:a="http://schemas.openxmlformats.org/drawingml/2006/main">
              <a:noFill/>
              <a:prstDash val="solid"/>
            </a:ln>
          </spPr>
          <invertIfNegative val="0"/>
          <cat>
            <numRef>
              <f>Sectors!$A$6:$A$11</f>
              <numCache>
                <formatCode>mmm\-yy</formatCode>
                <ptCount val="6"/>
                <pt idx="0">
                  <v>44562</v>
                </pt>
                <pt idx="1">
                  <v>44593</v>
                </pt>
                <pt idx="2">
                  <v>44621</v>
                </pt>
                <pt idx="3">
                  <v>44652</v>
                </pt>
                <pt idx="4">
                  <v>44682</v>
                </pt>
                <pt idx="5">
                  <v>44713</v>
                </pt>
              </numCache>
            </numRef>
          </cat>
          <val>
            <numRef>
              <f>Sectors!$D$6:$D$11</f>
              <numCache>
                <formatCode>General</formatCode>
                <ptCount val="6"/>
                <pt idx="0">
                  <v>17</v>
                </pt>
                <pt idx="1">
                  <v>11</v>
                </pt>
                <pt idx="2">
                  <v>9</v>
                </pt>
                <pt idx="3">
                  <v>18</v>
                </pt>
                <pt idx="4">
                  <v>18</v>
                </pt>
                <pt idx="5">
                  <v>18</v>
                </pt>
              </numCache>
            </numRef>
          </val>
        </ser>
        <dLbls>
          <showLegendKey val="0"/>
          <showVal val="0"/>
          <showCatName val="0"/>
          <showSerName val="0"/>
          <showPercent val="0"/>
          <showBubbleSize val="0"/>
        </dLbls>
        <gapWidth val="219"/>
        <overlap val="-27"/>
        <axId val="451916136"/>
        <axId val="451913000"/>
      </barChart>
      <dateAx>
        <axId val="451916136"/>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1913000"/>
        <crosses val="autoZero"/>
        <lblOffset val="100"/>
        <baseTimeUnit val="months"/>
      </dateAx>
      <valAx>
        <axId val="45191300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1916136"/>
        <crosses val="autoZero"/>
        <crossBetween val="between"/>
      </valAx>
    </plotArea>
    <plotVisOnly val="1"/>
    <dispBlanksAs val="gap"/>
  </chart>
</chartSpace>
</file>

<file path=xl/charts/chart6.xml><?xml version="1.0" encoding="utf-8"?>
<chartSpace xmlns="http://schemas.openxmlformats.org/drawingml/2006/chart">
  <chart>
    <title>
      <tx>
        <strRef>
          <f>Sectors!$E$5</f>
          <strCache>
            <ptCount val="1"/>
            <pt idx="0">
              <v>Other Services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3"/>
          <order val="0"/>
          <tx>
            <strRef>
              <f>Sectors!$E$5</f>
              <strCache>
                <ptCount val="1"/>
                <pt idx="0">
                  <v>Other Services</v>
                </pt>
              </strCache>
            </strRef>
          </tx>
          <spPr>
            <a:solidFill xmlns:a="http://schemas.openxmlformats.org/drawingml/2006/main">
              <a:schemeClr val="accent4"/>
            </a:solidFill>
            <a:ln xmlns:a="http://schemas.openxmlformats.org/drawingml/2006/main">
              <a:noFill/>
              <a:prstDash val="solid"/>
            </a:ln>
          </spPr>
          <invertIfNegative val="0"/>
          <cat>
            <numRef>
              <f>Sectors!$A$6:$A$11</f>
              <numCache>
                <formatCode>mmm\-yy</formatCode>
                <ptCount val="6"/>
                <pt idx="0">
                  <v>44562</v>
                </pt>
                <pt idx="1">
                  <v>44593</v>
                </pt>
                <pt idx="2">
                  <v>44621</v>
                </pt>
                <pt idx="3">
                  <v>44652</v>
                </pt>
                <pt idx="4">
                  <v>44682</v>
                </pt>
                <pt idx="5">
                  <v>44713</v>
                </pt>
              </numCache>
            </numRef>
          </cat>
          <val>
            <numRef>
              <f>Sectors!$E$6:$E$11</f>
              <numCache>
                <formatCode>General</formatCode>
                <ptCount val="6"/>
                <pt idx="0">
                  <v>1</v>
                </pt>
                <pt idx="1">
                  <v>5</v>
                </pt>
                <pt idx="2">
                  <v>6</v>
                </pt>
                <pt idx="3">
                  <v>2</v>
                </pt>
                <pt idx="4">
                  <v>10</v>
                </pt>
                <pt idx="5">
                  <v>2</v>
                </pt>
              </numCache>
            </numRef>
          </val>
        </ser>
        <dLbls>
          <showLegendKey val="0"/>
          <showVal val="0"/>
          <showCatName val="0"/>
          <showSerName val="0"/>
          <showPercent val="0"/>
          <showBubbleSize val="0"/>
        </dLbls>
        <gapWidth val="219"/>
        <overlap val="-27"/>
        <axId val="451915744"/>
        <axId val="451916528"/>
      </barChart>
      <dateAx>
        <axId val="451915744"/>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1916528"/>
        <crosses val="autoZero"/>
        <lblOffset val="100"/>
        <baseTimeUnit val="months"/>
      </dateAx>
      <valAx>
        <axId val="451916528"/>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1915744"/>
        <crosses val="autoZero"/>
        <crossBetween val="between"/>
      </valAx>
    </plotArea>
    <plotVisOnly val="1"/>
    <dispBlanksAs val="gap"/>
  </chart>
</chartSpace>
</file>

<file path=xl/charts/chart7.xml><?xml version="1.0" encoding="utf-8"?>
<chartSpace xmlns="http://schemas.openxmlformats.org/drawingml/2006/chart">
  <chart>
    <title>
      <tx>
        <strRef>
          <f>Sectors!$F$5</f>
          <strCache>
            <ptCount val="1"/>
            <pt idx="0">
              <v>Health Care &amp; Social Assistance</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4"/>
          <order val="0"/>
          <tx>
            <strRef>
              <f>Sectors!$F$5</f>
              <strCache>
                <ptCount val="1"/>
                <pt idx="0">
                  <v>Health Care &amp; Social Assistance</v>
                </pt>
              </strCache>
            </strRef>
          </tx>
          <spPr>
            <a:solidFill xmlns:a="http://schemas.openxmlformats.org/drawingml/2006/main">
              <a:schemeClr val="accent5"/>
            </a:solidFill>
            <a:ln xmlns:a="http://schemas.openxmlformats.org/drawingml/2006/main">
              <a:noFill/>
              <a:prstDash val="solid"/>
            </a:ln>
          </spPr>
          <invertIfNegative val="0"/>
          <cat>
            <numRef>
              <f>Sectors!$A$6:$A$11</f>
              <numCache>
                <formatCode>mmm\-yy</formatCode>
                <ptCount val="6"/>
                <pt idx="0">
                  <v>44562</v>
                </pt>
                <pt idx="1">
                  <v>44593</v>
                </pt>
                <pt idx="2">
                  <v>44621</v>
                </pt>
                <pt idx="3">
                  <v>44652</v>
                </pt>
                <pt idx="4">
                  <v>44682</v>
                </pt>
                <pt idx="5">
                  <v>44713</v>
                </pt>
              </numCache>
            </numRef>
          </cat>
          <val>
            <numRef>
              <f>Sectors!$F$6:$F$11</f>
              <numCache>
                <formatCode>General</formatCode>
                <ptCount val="6"/>
                <pt idx="0">
                  <v>5</v>
                </pt>
                <pt idx="1">
                  <v>3</v>
                </pt>
                <pt idx="2">
                  <v>2</v>
                </pt>
                <pt idx="3">
                  <v>4</v>
                </pt>
                <pt idx="4">
                  <v>3</v>
                </pt>
                <pt idx="5">
                  <v>4</v>
                </pt>
              </numCache>
            </numRef>
          </val>
        </ser>
        <dLbls>
          <showLegendKey val="0"/>
          <showVal val="0"/>
          <showCatName val="0"/>
          <showSerName val="0"/>
          <showPercent val="0"/>
          <showBubbleSize val="0"/>
        </dLbls>
        <gapWidth val="219"/>
        <overlap val="-27"/>
        <axId val="451917704"/>
        <axId val="451918096"/>
      </barChart>
      <dateAx>
        <axId val="451917704"/>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1918096"/>
        <crosses val="autoZero"/>
        <lblOffset val="100"/>
        <baseTimeUnit val="months"/>
      </dateAx>
      <valAx>
        <axId val="45191809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1917704"/>
        <crosses val="autoZero"/>
        <crossBetween val="between"/>
      </valAx>
    </plotArea>
    <plotVisOnly val="1"/>
    <dispBlanksAs val="gap"/>
  </chart>
</chartSpace>
</file>

<file path=xl/charts/chart8.xml><?xml version="1.0" encoding="utf-8"?>
<chartSpace xmlns="http://schemas.openxmlformats.org/drawingml/2006/chart">
  <chart>
    <title>
      <tx>
        <strRef>
          <f>Sectors!$G$5</f>
          <strCache>
            <ptCount val="1"/>
            <pt idx="0">
              <v>Accommodation &amp; Food Services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5"/>
          <order val="0"/>
          <tx>
            <strRef>
              <f>Sectors!$G$5</f>
              <strCache>
                <ptCount val="1"/>
                <pt idx="0">
                  <v>Accommodation &amp; Food Services</v>
                </pt>
              </strCache>
            </strRef>
          </tx>
          <spPr>
            <a:solidFill xmlns:a="http://schemas.openxmlformats.org/drawingml/2006/main">
              <a:schemeClr val="accent6"/>
            </a:solidFill>
            <a:ln xmlns:a="http://schemas.openxmlformats.org/drawingml/2006/main">
              <a:noFill/>
              <a:prstDash val="solid"/>
            </a:ln>
          </spPr>
          <invertIfNegative val="0"/>
          <cat>
            <numRef>
              <f>Sectors!$A$6:$A$11</f>
              <numCache>
                <formatCode>mmm\-yy</formatCode>
                <ptCount val="6"/>
                <pt idx="0">
                  <v>44562</v>
                </pt>
                <pt idx="1">
                  <v>44593</v>
                </pt>
                <pt idx="2">
                  <v>44621</v>
                </pt>
                <pt idx="3">
                  <v>44652</v>
                </pt>
                <pt idx="4">
                  <v>44682</v>
                </pt>
                <pt idx="5">
                  <v>44713</v>
                </pt>
              </numCache>
            </numRef>
          </cat>
          <val>
            <numRef>
              <f>Sectors!$G$6:$G$11</f>
              <numCache>
                <formatCode>General</formatCode>
                <ptCount val="6"/>
                <pt idx="0">
                  <v>14</v>
                </pt>
                <pt idx="1">
                  <v>2</v>
                </pt>
                <pt idx="2">
                  <v>3</v>
                </pt>
                <pt idx="3">
                  <v>13</v>
                </pt>
                <pt idx="4">
                  <v>14</v>
                </pt>
                <pt idx="5">
                  <v>13</v>
                </pt>
              </numCache>
            </numRef>
          </val>
        </ser>
        <dLbls>
          <showLegendKey val="0"/>
          <showVal val="0"/>
          <showCatName val="0"/>
          <showSerName val="0"/>
          <showPercent val="0"/>
          <showBubbleSize val="0"/>
        </dLbls>
        <gapWidth val="219"/>
        <overlap val="-27"/>
        <axId val="451918880"/>
        <axId val="451919272"/>
      </barChart>
      <dateAx>
        <axId val="451918880"/>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1919272"/>
        <crosses val="autoZero"/>
        <lblOffset val="100"/>
        <baseTimeUnit val="months"/>
      </dateAx>
      <valAx>
        <axId val="45191927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1918880"/>
        <crosses val="autoZero"/>
        <crossBetween val="between"/>
      </valAx>
    </plotArea>
    <plotVisOnly val="1"/>
    <dispBlanksAs val="gap"/>
  </chart>
</chartSpace>
</file>

<file path=xl/charts/chart9.xml><?xml version="1.0" encoding="utf-8"?>
<chartSpace xmlns="http://schemas.openxmlformats.org/drawingml/2006/chart">
  <chart>
    <title>
      <tx>
        <strRef>
          <f>Sectors!$H$5</f>
          <strCache>
            <ptCount val="1"/>
            <pt idx="0">
              <v>Finance &amp; Insurance</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6"/>
          <order val="0"/>
          <tx>
            <strRef>
              <f>Sectors!$H$5</f>
              <strCache>
                <ptCount val="1"/>
                <pt idx="0">
                  <v>Finance &amp; Insurance</v>
                </pt>
              </strCache>
            </strRef>
          </tx>
          <spPr>
            <a:solidFill xmlns:a="http://schemas.openxmlformats.org/drawingml/2006/main">
              <a:schemeClr val="accent1">
                <a:lumMod val="60000"/>
              </a:schemeClr>
            </a:solidFill>
            <a:ln xmlns:a="http://schemas.openxmlformats.org/drawingml/2006/main">
              <a:noFill/>
              <a:prstDash val="solid"/>
            </a:ln>
          </spPr>
          <invertIfNegative val="0"/>
          <cat>
            <numRef>
              <f>Sectors!$A$6:$A$11</f>
              <numCache>
                <formatCode>mmm\-yy</formatCode>
                <ptCount val="6"/>
                <pt idx="0">
                  <v>44562</v>
                </pt>
                <pt idx="1">
                  <v>44593</v>
                </pt>
                <pt idx="2">
                  <v>44621</v>
                </pt>
                <pt idx="3">
                  <v>44652</v>
                </pt>
                <pt idx="4">
                  <v>44682</v>
                </pt>
                <pt idx="5">
                  <v>44713</v>
                </pt>
              </numCache>
            </numRef>
          </cat>
          <val>
            <numRef>
              <f>Sectors!$H$6:$H$11</f>
              <numCache>
                <formatCode>General</formatCode>
                <ptCount val="6"/>
                <pt idx="0">
                  <v>6</v>
                </pt>
                <pt idx="1">
                  <v>7</v>
                </pt>
                <pt idx="2">
                  <v>1</v>
                </pt>
                <pt idx="3">
                  <v>10</v>
                </pt>
                <pt idx="4">
                  <v>7</v>
                </pt>
                <pt idx="5">
                  <v>7</v>
                </pt>
              </numCache>
            </numRef>
          </val>
        </ser>
        <dLbls>
          <showLegendKey val="0"/>
          <showVal val="0"/>
          <showCatName val="0"/>
          <showSerName val="0"/>
          <showPercent val="0"/>
          <showBubbleSize val="0"/>
        </dLbls>
        <gapWidth val="219"/>
        <overlap val="-27"/>
        <axId val="451912608"/>
        <axId val="454383024"/>
      </barChart>
      <dateAx>
        <axId val="451912608"/>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4383024"/>
        <crosses val="autoZero"/>
        <lblOffset val="100"/>
        <baseTimeUnit val="months"/>
      </dateAx>
      <valAx>
        <axId val="454383024"/>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1912608"/>
        <crosses val="autoZero"/>
        <crossBetween val="between"/>
      </valAx>
    </plotArea>
    <plotVisOnly val="1"/>
    <dispBlanksAs val="gap"/>
  </chart>
</chartSpace>
</file>

<file path=xl/charts/chart10.xml><?xml version="1.0" encoding="utf-8"?>
<chartSpace xmlns="http://schemas.openxmlformats.org/drawingml/2006/chart">
  <chart>
    <title>
      <tx>
        <strRef>
          <f>Sectors!$I$5</f>
          <strCache>
            <ptCount val="1"/>
            <pt idx="0">
              <v>Real Estate, Rental &amp; Leasing</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7"/>
          <order val="0"/>
          <tx>
            <strRef>
              <f>Sectors!$I$5</f>
              <strCache>
                <ptCount val="1"/>
                <pt idx="0">
                  <v>Real Estate, Rental &amp; Leasing</v>
                </pt>
              </strCache>
            </strRef>
          </tx>
          <spPr>
            <a:solidFill xmlns:a="http://schemas.openxmlformats.org/drawingml/2006/main">
              <a:schemeClr val="accent2">
                <a:lumMod val="60000"/>
              </a:schemeClr>
            </a:solidFill>
            <a:ln xmlns:a="http://schemas.openxmlformats.org/drawingml/2006/main">
              <a:noFill/>
              <a:prstDash val="solid"/>
            </a:ln>
          </spPr>
          <invertIfNegative val="0"/>
          <cat>
            <numRef>
              <f>Sectors!$A$6:$A$11</f>
              <numCache>
                <formatCode>mmm\-yy</formatCode>
                <ptCount val="6"/>
                <pt idx="0">
                  <v>44562</v>
                </pt>
                <pt idx="1">
                  <v>44593</v>
                </pt>
                <pt idx="2">
                  <v>44621</v>
                </pt>
                <pt idx="3">
                  <v>44652</v>
                </pt>
                <pt idx="4">
                  <v>44682</v>
                </pt>
                <pt idx="5">
                  <v>44713</v>
                </pt>
              </numCache>
            </numRef>
          </cat>
          <val>
            <numRef>
              <f>Sectors!$I$6:$I$11</f>
              <numCache>
                <formatCode>General</formatCode>
                <ptCount val="6"/>
                <pt idx="0">
                  <v>3</v>
                </pt>
                <pt idx="1">
                  <v>6</v>
                </pt>
                <pt idx="2">
                  <v>12</v>
                </pt>
                <pt idx="3">
                  <v>16</v>
                </pt>
                <pt idx="4">
                  <v>12</v>
                </pt>
                <pt idx="5">
                  <v>8</v>
                </pt>
              </numCache>
            </numRef>
          </val>
        </ser>
        <dLbls>
          <showLegendKey val="0"/>
          <showVal val="0"/>
          <showCatName val="0"/>
          <showSerName val="0"/>
          <showPercent val="0"/>
          <showBubbleSize val="0"/>
        </dLbls>
        <gapWidth val="219"/>
        <overlap val="-27"/>
        <axId val="454381848"/>
        <axId val="454377928"/>
      </barChart>
      <dateAx>
        <axId val="454381848"/>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4377928"/>
        <crosses val="autoZero"/>
        <lblOffset val="100"/>
        <baseTimeUnit val="months"/>
      </dateAx>
      <valAx>
        <axId val="454377928"/>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4381848"/>
        <crosses val="autoZero"/>
        <crossBetween val="between"/>
      </valAx>
    </plotArea>
    <plotVisOnly val="1"/>
    <dispBlanksAs val="gap"/>
  </chart>
</chartSpace>
</file>

<file path=xl/charts/chart11.xml><?xml version="1.0" encoding="utf-8"?>
<chartSpace xmlns="http://schemas.openxmlformats.org/drawingml/2006/chart">
  <chart>
    <title>
      <tx>
        <strRef>
          <f>Sectors!$J$5</f>
          <strCache>
            <ptCount val="1"/>
            <pt idx="0">
              <v>Transportation &amp; Warehousing</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8"/>
          <order val="0"/>
          <tx>
            <strRef>
              <f>Sectors!$J$5</f>
              <strCache>
                <ptCount val="1"/>
                <pt idx="0">
                  <v>Transportation &amp; Warehousing</v>
                </pt>
              </strCache>
            </strRef>
          </tx>
          <spPr>
            <a:solidFill xmlns:a="http://schemas.openxmlformats.org/drawingml/2006/main">
              <a:schemeClr val="accent3">
                <a:lumMod val="60000"/>
              </a:schemeClr>
            </a:solidFill>
            <a:ln xmlns:a="http://schemas.openxmlformats.org/drawingml/2006/main">
              <a:noFill/>
              <a:prstDash val="solid"/>
            </a:ln>
          </spPr>
          <invertIfNegative val="0"/>
          <cat>
            <numRef>
              <f>Sectors!$A$6:$A$11</f>
              <numCache>
                <formatCode>mmm\-yy</formatCode>
                <ptCount val="6"/>
                <pt idx="0">
                  <v>44562</v>
                </pt>
                <pt idx="1">
                  <v>44593</v>
                </pt>
                <pt idx="2">
                  <v>44621</v>
                </pt>
                <pt idx="3">
                  <v>44652</v>
                </pt>
                <pt idx="4">
                  <v>44682</v>
                </pt>
                <pt idx="5">
                  <v>44713</v>
                </pt>
              </numCache>
            </numRef>
          </cat>
          <val>
            <numRef>
              <f>Sectors!$J$6:$J$11</f>
              <numCache>
                <formatCode>General</formatCode>
                <ptCount val="6"/>
                <pt idx="0">
                  <v>12</v>
                </pt>
                <pt idx="1">
                  <v>9</v>
                </pt>
                <pt idx="2">
                  <v>15</v>
                </pt>
                <pt idx="3">
                  <v>6</v>
                </pt>
                <pt idx="4">
                  <v>13</v>
                </pt>
                <pt idx="5">
                  <v>16</v>
                </pt>
              </numCache>
            </numRef>
          </val>
        </ser>
        <dLbls>
          <showLegendKey val="0"/>
          <showVal val="0"/>
          <showCatName val="0"/>
          <showSerName val="0"/>
          <showPercent val="0"/>
          <showBubbleSize val="0"/>
        </dLbls>
        <gapWidth val="219"/>
        <overlap val="-27"/>
        <axId val="454382240"/>
        <axId val="454378320"/>
      </barChart>
      <dateAx>
        <axId val="454382240"/>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4378320"/>
        <crosses val="autoZero"/>
        <lblOffset val="100"/>
        <baseTimeUnit val="months"/>
      </dateAx>
      <valAx>
        <axId val="45437832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4382240"/>
        <crosses val="autoZero"/>
        <crossBetween val="between"/>
      </valAx>
    </plotArea>
    <plotVisOnly val="1"/>
    <dispBlanksAs val="gap"/>
  </chart>
</chartSpace>
</file>

<file path=xl/charts/chart12.xml><?xml version="1.0" encoding="utf-8"?>
<chartSpace xmlns="http://schemas.openxmlformats.org/drawingml/2006/chart">
  <chart>
    <title>
      <tx>
        <strRef>
          <f>Sectors!$K$5</f>
          <strCache>
            <ptCount val="1"/>
            <pt idx="0">
              <v>Mining</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9"/>
          <order val="0"/>
          <tx>
            <strRef>
              <f>Sectors!$K$5</f>
              <strCache>
                <ptCount val="1"/>
                <pt idx="0">
                  <v>Mining</v>
                </pt>
              </strCache>
            </strRef>
          </tx>
          <spPr>
            <a:solidFill xmlns:a="http://schemas.openxmlformats.org/drawingml/2006/main">
              <a:schemeClr val="accent4">
                <a:lumMod val="60000"/>
              </a:schemeClr>
            </a:solidFill>
            <a:ln xmlns:a="http://schemas.openxmlformats.org/drawingml/2006/main">
              <a:noFill/>
              <a:prstDash val="solid"/>
            </a:ln>
          </spPr>
          <invertIfNegative val="0"/>
          <cat>
            <numRef>
              <f>Sectors!$A$6:$A$11</f>
              <numCache>
                <formatCode>mmm\-yy</formatCode>
                <ptCount val="6"/>
                <pt idx="0">
                  <v>44562</v>
                </pt>
                <pt idx="1">
                  <v>44593</v>
                </pt>
                <pt idx="2">
                  <v>44621</v>
                </pt>
                <pt idx="3">
                  <v>44652</v>
                </pt>
                <pt idx="4">
                  <v>44682</v>
                </pt>
                <pt idx="5">
                  <v>44713</v>
                </pt>
              </numCache>
            </numRef>
          </cat>
          <val>
            <numRef>
              <f>Sectors!$K$6:$K$11</f>
              <numCache>
                <formatCode>General</formatCode>
                <ptCount val="6"/>
                <pt idx="0">
                  <v>9</v>
                </pt>
                <pt idx="1">
                  <v>10</v>
                </pt>
                <pt idx="2">
                  <v>16</v>
                </pt>
                <pt idx="3">
                  <v>17</v>
                </pt>
                <pt idx="4">
                  <v>17</v>
                </pt>
                <pt idx="5">
                  <v>17</v>
                </pt>
              </numCache>
            </numRef>
          </val>
        </ser>
        <dLbls>
          <showLegendKey val="0"/>
          <showVal val="0"/>
          <showCatName val="0"/>
          <showSerName val="0"/>
          <showPercent val="0"/>
          <showBubbleSize val="0"/>
        </dLbls>
        <gapWidth val="219"/>
        <overlap val="-27"/>
        <axId val="454383808"/>
        <axId val="454382632"/>
      </barChart>
      <dateAx>
        <axId val="454383808"/>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4382632"/>
        <crosses val="autoZero"/>
        <lblOffset val="100"/>
        <baseTimeUnit val="months"/>
      </dateAx>
      <valAx>
        <axId val="45438263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4383808"/>
        <crosses val="autoZero"/>
        <crossBetween val="between"/>
      </valAx>
    </plotArea>
    <plotVisOnly val="1"/>
    <dispBlanksAs val="gap"/>
  </chart>
</chartSpace>
</file>

<file path=xl/charts/chart13.xml><?xml version="1.0" encoding="utf-8"?>
<chartSpace xmlns="http://schemas.openxmlformats.org/drawingml/2006/chart">
  <chart>
    <title>
      <tx>
        <strRef>
          <f>Sectors!$L$5</f>
          <strCache>
            <ptCount val="1"/>
            <pt idx="0">
              <v>Construction</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0"/>
          <order val="0"/>
          <tx>
            <strRef>
              <f>Sectors!$L$5</f>
              <strCache>
                <ptCount val="1"/>
                <pt idx="0">
                  <v>Construction</v>
                </pt>
              </strCache>
            </strRef>
          </tx>
          <spPr>
            <a:solidFill xmlns:a="http://schemas.openxmlformats.org/drawingml/2006/main">
              <a:schemeClr val="accent5">
                <a:lumMod val="60000"/>
              </a:schemeClr>
            </a:solidFill>
            <a:ln xmlns:a="http://schemas.openxmlformats.org/drawingml/2006/main">
              <a:noFill/>
              <a:prstDash val="solid"/>
            </a:ln>
          </spPr>
          <invertIfNegative val="0"/>
          <cat>
            <numRef>
              <f>Sectors!$A$6:$A$11</f>
              <numCache>
                <formatCode>mmm\-yy</formatCode>
                <ptCount val="6"/>
                <pt idx="0">
                  <v>44562</v>
                </pt>
                <pt idx="1">
                  <v>44593</v>
                </pt>
                <pt idx="2">
                  <v>44621</v>
                </pt>
                <pt idx="3">
                  <v>44652</v>
                </pt>
                <pt idx="4">
                  <v>44682</v>
                </pt>
                <pt idx="5">
                  <v>44713</v>
                </pt>
              </numCache>
            </numRef>
          </cat>
          <val>
            <numRef>
              <f>Sectors!$L$6:$L$11</f>
              <numCache>
                <formatCode>General</formatCode>
                <ptCount val="6"/>
                <pt idx="0">
                  <v>16</v>
                </pt>
                <pt idx="1">
                  <v>18</v>
                </pt>
                <pt idx="2">
                  <v>18</v>
                </pt>
                <pt idx="3">
                  <v>14</v>
                </pt>
                <pt idx="4">
                  <v>16</v>
                </pt>
                <pt idx="5">
                  <v>6</v>
                </pt>
              </numCache>
            </numRef>
          </val>
        </ser>
        <dLbls>
          <showLegendKey val="0"/>
          <showVal val="0"/>
          <showCatName val="0"/>
          <showSerName val="0"/>
          <showPercent val="0"/>
          <showBubbleSize val="0"/>
        </dLbls>
        <gapWidth val="219"/>
        <overlap val="-27"/>
        <axId val="454379888"/>
        <axId val="454384200"/>
      </barChart>
      <dateAx>
        <axId val="454379888"/>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4384200"/>
        <crosses val="autoZero"/>
        <lblOffset val="100"/>
        <baseTimeUnit val="months"/>
      </dateAx>
      <valAx>
        <axId val="45438420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4379888"/>
        <crosses val="autoZero"/>
        <crossBetween val="between"/>
      </valAx>
    </plotArea>
    <plotVisOnly val="1"/>
    <dispBlanksAs val="gap"/>
  </chart>
</chartSpace>
</file>

<file path=xl/charts/chart14.xml><?xml version="1.0" encoding="utf-8"?>
<chartSpace xmlns="http://schemas.openxmlformats.org/drawingml/2006/chart">
  <chart>
    <title>
      <tx>
        <strRef>
          <f>Sectors!$M$5</f>
          <strCache>
            <ptCount val="1"/>
            <pt idx="0">
              <v>Wholesale Trade</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1"/>
          <order val="0"/>
          <tx>
            <strRef>
              <f>Sectors!$M$5</f>
              <strCache>
                <ptCount val="1"/>
                <pt idx="0">
                  <v>Wholesale Trade</v>
                </pt>
              </strCache>
            </strRef>
          </tx>
          <spPr>
            <a:solidFill xmlns:a="http://schemas.openxmlformats.org/drawingml/2006/main">
              <a:schemeClr val="accent6">
                <a:lumMod val="60000"/>
              </a:schemeClr>
            </a:solidFill>
            <a:ln xmlns:a="http://schemas.openxmlformats.org/drawingml/2006/main">
              <a:noFill/>
              <a:prstDash val="solid"/>
            </a:ln>
          </spPr>
          <invertIfNegative val="0"/>
          <cat>
            <numRef>
              <f>Sectors!$A$6:$A$11</f>
              <numCache>
                <formatCode>mmm\-yy</formatCode>
                <ptCount val="6"/>
                <pt idx="0">
                  <v>44562</v>
                </pt>
                <pt idx="1">
                  <v>44593</v>
                </pt>
                <pt idx="2">
                  <v>44621</v>
                </pt>
                <pt idx="3">
                  <v>44652</v>
                </pt>
                <pt idx="4">
                  <v>44682</v>
                </pt>
                <pt idx="5">
                  <v>44713</v>
                </pt>
              </numCache>
            </numRef>
          </cat>
          <val>
            <numRef>
              <f>Sectors!$M$6:$M$11</f>
              <numCache>
                <formatCode>General</formatCode>
                <ptCount val="6"/>
                <pt idx="0">
                  <v>11</v>
                </pt>
                <pt idx="1">
                  <v>17</v>
                </pt>
                <pt idx="2">
                  <v>10</v>
                </pt>
                <pt idx="3">
                  <v>15</v>
                </pt>
                <pt idx="4">
                  <v>11</v>
                </pt>
                <pt idx="5">
                  <v>11</v>
                </pt>
              </numCache>
            </numRef>
          </val>
        </ser>
        <dLbls>
          <showLegendKey val="0"/>
          <showVal val="0"/>
          <showCatName val="0"/>
          <showSerName val="0"/>
          <showPercent val="0"/>
          <showBubbleSize val="0"/>
        </dLbls>
        <gapWidth val="219"/>
        <overlap val="-27"/>
        <axId val="454379104"/>
        <axId val="454380280"/>
      </barChart>
      <dateAx>
        <axId val="454379104"/>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4380280"/>
        <crosses val="autoZero"/>
        <lblOffset val="100"/>
        <baseTimeUnit val="months"/>
      </dateAx>
      <valAx>
        <axId val="45438028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4379104"/>
        <crosses val="autoZero"/>
        <crossBetween val="between"/>
      </valAx>
    </plotArea>
    <plotVisOnly val="1"/>
    <dispBlanksAs val="gap"/>
  </chart>
</chartSpace>
</file>

<file path=xl/charts/chart15.xml><?xml version="1.0" encoding="utf-8"?>
<chartSpace xmlns="http://schemas.openxmlformats.org/drawingml/2006/chart">
  <chart>
    <title>
      <tx>
        <strRef>
          <f>Sectors!$N$5</f>
          <strCache>
            <ptCount val="1"/>
            <pt idx="0">
              <v>Public Administration</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2"/>
          <order val="0"/>
          <tx>
            <strRef>
              <f>Sectors!$N$5</f>
              <strCache>
                <ptCount val="1"/>
                <pt idx="0">
                  <v>Public Administration</v>
                </pt>
              </strCache>
            </strRef>
          </tx>
          <spPr>
            <a:solidFill xmlns:a="http://schemas.openxmlformats.org/drawingml/2006/main">
              <a:schemeClr val="accent1">
                <a:lumMod val="80000"/>
                <a:lumOff val="20000"/>
              </a:schemeClr>
            </a:solidFill>
            <a:ln xmlns:a="http://schemas.openxmlformats.org/drawingml/2006/main">
              <a:noFill/>
              <a:prstDash val="solid"/>
            </a:ln>
          </spPr>
          <invertIfNegative val="0"/>
          <cat>
            <numRef>
              <f>Sectors!$A$6:$A$11</f>
              <numCache>
                <formatCode>mmm\-yy</formatCode>
                <ptCount val="6"/>
                <pt idx="0">
                  <v>44562</v>
                </pt>
                <pt idx="1">
                  <v>44593</v>
                </pt>
                <pt idx="2">
                  <v>44621</v>
                </pt>
                <pt idx="3">
                  <v>44652</v>
                </pt>
                <pt idx="4">
                  <v>44682</v>
                </pt>
                <pt idx="5">
                  <v>44713</v>
                </pt>
              </numCache>
            </numRef>
          </cat>
          <val>
            <numRef>
              <f>Sectors!$N$6:$N$11</f>
              <numCache>
                <formatCode>General</formatCode>
                <ptCount val="6"/>
                <pt idx="0">
                  <v>7</v>
                </pt>
                <pt idx="1">
                  <v>13</v>
                </pt>
                <pt idx="2">
                  <v>7</v>
                </pt>
                <pt idx="3">
                  <v>9</v>
                </pt>
                <pt idx="4">
                  <v>9</v>
                </pt>
                <pt idx="5">
                  <v>15</v>
                </pt>
              </numCache>
            </numRef>
          </val>
        </ser>
        <dLbls>
          <showLegendKey val="0"/>
          <showVal val="0"/>
          <showCatName val="0"/>
          <showSerName val="0"/>
          <showPercent val="0"/>
          <showBubbleSize val="0"/>
        </dLbls>
        <gapWidth val="219"/>
        <overlap val="-27"/>
        <axId val="454377536"/>
        <axId val="454379496"/>
      </barChart>
      <dateAx>
        <axId val="454377536"/>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4379496"/>
        <crosses val="autoZero"/>
        <lblOffset val="100"/>
        <baseTimeUnit val="months"/>
      </dateAx>
      <valAx>
        <axId val="45437949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4377536"/>
        <crosses val="autoZero"/>
        <crossBetween val="between"/>
      </valAx>
    </plotArea>
    <plotVisOnly val="1"/>
    <dispBlanksAs val="gap"/>
  </chart>
</chartSpace>
</file>

<file path=xl/charts/chart16.xml><?xml version="1.0" encoding="utf-8"?>
<chartSpace xmlns="http://schemas.openxmlformats.org/drawingml/2006/chart">
  <chart>
    <title>
      <tx>
        <strRef>
          <f>Sectors!$O$5</f>
          <strCache>
            <ptCount val="1"/>
            <pt idx="0">
              <v>Professional, Scientific &amp; Technical Services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3"/>
          <order val="0"/>
          <tx>
            <strRef>
              <f>Sectors!$O$5</f>
              <strCache>
                <ptCount val="1"/>
                <pt idx="0">
                  <v>Professional, Scientific &amp; Technical Services</v>
                </pt>
              </strCache>
            </strRef>
          </tx>
          <spPr>
            <a:solidFill xmlns:a="http://schemas.openxmlformats.org/drawingml/2006/main">
              <a:schemeClr val="accent2">
                <a:lumMod val="80000"/>
                <a:lumOff val="20000"/>
              </a:schemeClr>
            </a:solidFill>
            <a:ln xmlns:a="http://schemas.openxmlformats.org/drawingml/2006/main">
              <a:noFill/>
              <a:prstDash val="solid"/>
            </a:ln>
          </spPr>
          <invertIfNegative val="0"/>
          <cat>
            <numRef>
              <f>Sectors!$A$6:$A$11</f>
              <numCache>
                <formatCode>mmm\-yy</formatCode>
                <ptCount val="6"/>
                <pt idx="0">
                  <v>44562</v>
                </pt>
                <pt idx="1">
                  <v>44593</v>
                </pt>
                <pt idx="2">
                  <v>44621</v>
                </pt>
                <pt idx="3">
                  <v>44652</v>
                </pt>
                <pt idx="4">
                  <v>44682</v>
                </pt>
                <pt idx="5">
                  <v>44713</v>
                </pt>
              </numCache>
            </numRef>
          </cat>
          <val>
            <numRef>
              <f>Sectors!$O$6:$O$11</f>
              <numCache>
                <formatCode>General</formatCode>
                <ptCount val="6"/>
                <pt idx="0">
                  <v>8</v>
                </pt>
                <pt idx="1">
                  <v>4</v>
                </pt>
                <pt idx="2">
                  <v>4</v>
                </pt>
                <pt idx="3">
                  <v>5</v>
                </pt>
                <pt idx="4">
                  <v>4</v>
                </pt>
                <pt idx="5">
                  <v>9</v>
                </pt>
              </numCache>
            </numRef>
          </val>
        </ser>
        <dLbls>
          <showLegendKey val="0"/>
          <showVal val="0"/>
          <showCatName val="0"/>
          <showSerName val="0"/>
          <showPercent val="0"/>
          <showBubbleSize val="0"/>
        </dLbls>
        <gapWidth val="219"/>
        <overlap val="-27"/>
        <axId val="454946392"/>
        <axId val="454946000"/>
      </barChart>
      <dateAx>
        <axId val="454946392"/>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4946000"/>
        <crosses val="autoZero"/>
        <lblOffset val="100"/>
        <baseTimeUnit val="months"/>
      </dateAx>
      <valAx>
        <axId val="45494600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4946392"/>
        <crosses val="autoZero"/>
        <crossBetween val="between"/>
      </valAx>
    </plotArea>
    <plotVisOnly val="1"/>
    <dispBlanksAs val="gap"/>
  </chart>
</chartSpace>
</file>

<file path=xl/charts/chart17.xml><?xml version="1.0" encoding="utf-8"?>
<chartSpace xmlns="http://schemas.openxmlformats.org/drawingml/2006/chart">
  <chart>
    <title>
      <tx>
        <strRef>
          <f>Sectors!$P$5</f>
          <strCache>
            <ptCount val="1"/>
            <pt idx="0">
              <v>Agriculture, Forestry, Fishing &amp; Hunting</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4"/>
          <order val="0"/>
          <tx>
            <strRef>
              <f>Sectors!$P$5</f>
              <strCache>
                <ptCount val="1"/>
                <pt idx="0">
                  <v>Agriculture, Forestry, Fishing &amp; Hunting</v>
                </pt>
              </strCache>
            </strRef>
          </tx>
          <spPr>
            <a:solidFill xmlns:a="http://schemas.openxmlformats.org/drawingml/2006/main">
              <a:schemeClr val="accent3">
                <a:lumMod val="80000"/>
                <a:lumOff val="20000"/>
              </a:schemeClr>
            </a:solidFill>
            <a:ln xmlns:a="http://schemas.openxmlformats.org/drawingml/2006/main">
              <a:noFill/>
              <a:prstDash val="solid"/>
            </a:ln>
          </spPr>
          <invertIfNegative val="0"/>
          <cat>
            <numRef>
              <f>Sectors!$A$6:$A$11</f>
              <numCache>
                <formatCode>mmm\-yy</formatCode>
                <ptCount val="6"/>
                <pt idx="0">
                  <v>44562</v>
                </pt>
                <pt idx="1">
                  <v>44593</v>
                </pt>
                <pt idx="2">
                  <v>44621</v>
                </pt>
                <pt idx="3">
                  <v>44652</v>
                </pt>
                <pt idx="4">
                  <v>44682</v>
                </pt>
                <pt idx="5">
                  <v>44713</v>
                </pt>
              </numCache>
            </numRef>
          </cat>
          <val>
            <numRef>
              <f>Sectors!$P$6:$P$11</f>
              <numCache>
                <formatCode>General</formatCode>
                <ptCount val="6"/>
                <pt idx="0">
                  <v>18</v>
                </pt>
                <pt idx="1">
                  <v>12</v>
                </pt>
                <pt idx="2">
                  <v>13</v>
                </pt>
                <pt idx="3">
                  <v>1</v>
                </pt>
                <pt idx="4">
                  <v>1</v>
                </pt>
                <pt idx="5">
                  <v>1</v>
                </pt>
              </numCache>
            </numRef>
          </val>
        </ser>
        <dLbls>
          <showLegendKey val="0"/>
          <showVal val="0"/>
          <showCatName val="0"/>
          <showSerName val="0"/>
          <showPercent val="0"/>
          <showBubbleSize val="0"/>
        </dLbls>
        <gapWidth val="219"/>
        <overlap val="-27"/>
        <axId val="454947960"/>
        <axId val="454942864"/>
      </barChart>
      <dateAx>
        <axId val="454947960"/>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4942864"/>
        <crosses val="autoZero"/>
        <lblOffset val="100"/>
        <baseTimeUnit val="months"/>
      </dateAx>
      <valAx>
        <axId val="454942864"/>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4947960"/>
        <crosses val="autoZero"/>
        <crossBetween val="between"/>
      </valAx>
    </plotArea>
    <plotVisOnly val="1"/>
    <dispBlanksAs val="gap"/>
  </chart>
</chartSpace>
</file>

<file path=xl/charts/chart18.xml><?xml version="1.0" encoding="utf-8"?>
<chartSpace xmlns="http://schemas.openxmlformats.org/drawingml/2006/chart">
  <chart>
    <title>
      <tx>
        <strRef>
          <f>Sectors!$Q$5</f>
          <strCache>
            <ptCount val="1"/>
            <pt idx="0">
              <v>Information</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5"/>
          <order val="0"/>
          <tx>
            <strRef>
              <f>Sectors!$Q$5</f>
              <strCache>
                <ptCount val="1"/>
                <pt idx="0">
                  <v>Information</v>
                </pt>
              </strCache>
            </strRef>
          </tx>
          <spPr>
            <a:solidFill xmlns:a="http://schemas.openxmlformats.org/drawingml/2006/main">
              <a:schemeClr val="accent4">
                <a:lumMod val="80000"/>
                <a:lumOff val="20000"/>
              </a:schemeClr>
            </a:solidFill>
            <a:ln xmlns:a="http://schemas.openxmlformats.org/drawingml/2006/main">
              <a:noFill/>
              <a:prstDash val="solid"/>
            </a:ln>
          </spPr>
          <invertIfNegative val="0"/>
          <cat>
            <numRef>
              <f>Sectors!$A$6:$A$11</f>
              <numCache>
                <formatCode>mmm\-yy</formatCode>
                <ptCount val="6"/>
                <pt idx="0">
                  <v>44562</v>
                </pt>
                <pt idx="1">
                  <v>44593</v>
                </pt>
                <pt idx="2">
                  <v>44621</v>
                </pt>
                <pt idx="3">
                  <v>44652</v>
                </pt>
                <pt idx="4">
                  <v>44682</v>
                </pt>
                <pt idx="5">
                  <v>44713</v>
                </pt>
              </numCache>
            </numRef>
          </cat>
          <val>
            <numRef>
              <f>Sectors!$Q$6:$Q$11</f>
              <numCache>
                <formatCode>General</formatCode>
                <ptCount val="6"/>
                <pt idx="0">
                  <v>4</v>
                </pt>
                <pt idx="1">
                  <v>8</v>
                </pt>
                <pt idx="2">
                  <v>11</v>
                </pt>
                <pt idx="3">
                  <v>7</v>
                </pt>
                <pt idx="4">
                  <v>5</v>
                </pt>
                <pt idx="5">
                  <v>10</v>
                </pt>
              </numCache>
            </numRef>
          </val>
        </ser>
        <dLbls>
          <showLegendKey val="0"/>
          <showVal val="0"/>
          <showCatName val="0"/>
          <showSerName val="0"/>
          <showPercent val="0"/>
          <showBubbleSize val="0"/>
        </dLbls>
        <gapWidth val="219"/>
        <overlap val="-27"/>
        <axId val="454948744"/>
        <axId val="454949136"/>
      </barChart>
      <dateAx>
        <axId val="454948744"/>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4949136"/>
        <crosses val="autoZero"/>
        <lblOffset val="100"/>
        <baseTimeUnit val="months"/>
      </dateAx>
      <valAx>
        <axId val="45494913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4948744"/>
        <crosses val="autoZero"/>
        <crossBetween val="between"/>
      </valAx>
    </plotArea>
    <plotVisOnly val="1"/>
    <dispBlanksAs val="gap"/>
  </chart>
</chartSpace>
</file>

<file path=xl/charts/chart19.xml><?xml version="1.0" encoding="utf-8"?>
<chartSpace xmlns="http://schemas.openxmlformats.org/drawingml/2006/chart">
  <chart>
    <title>
      <tx>
        <strRef>
          <f>Sectors!$R$5</f>
          <strCache>
            <ptCount val="1"/>
            <pt idx="0">
              <v>Educational Services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6"/>
          <order val="0"/>
          <tx>
            <strRef>
              <f>Sectors!$R$5</f>
              <strCache>
                <ptCount val="1"/>
                <pt idx="0">
                  <v>Educational Services</v>
                </pt>
              </strCache>
            </strRef>
          </tx>
          <spPr>
            <a:solidFill xmlns:a="http://schemas.openxmlformats.org/drawingml/2006/main">
              <a:schemeClr val="accent5">
                <a:lumMod val="80000"/>
                <a:lumOff val="20000"/>
              </a:schemeClr>
            </a:solidFill>
            <a:ln xmlns:a="http://schemas.openxmlformats.org/drawingml/2006/main">
              <a:noFill/>
              <a:prstDash val="solid"/>
            </a:ln>
          </spPr>
          <invertIfNegative val="0"/>
          <cat>
            <numRef>
              <f>Sectors!$A$6:$A$11</f>
              <numCache>
                <formatCode>mmm\-yy</formatCode>
                <ptCount val="6"/>
                <pt idx="0">
                  <v>44562</v>
                </pt>
                <pt idx="1">
                  <v>44593</v>
                </pt>
                <pt idx="2">
                  <v>44621</v>
                </pt>
                <pt idx="3">
                  <v>44652</v>
                </pt>
                <pt idx="4">
                  <v>44682</v>
                </pt>
                <pt idx="5">
                  <v>44713</v>
                </pt>
              </numCache>
            </numRef>
          </cat>
          <val>
            <numRef>
              <f>Sectors!$R$6:$R$11</f>
              <numCache>
                <formatCode>General</formatCode>
                <ptCount val="6"/>
                <pt idx="0">
                  <v>2</v>
                </pt>
                <pt idx="1">
                  <v>15</v>
                </pt>
                <pt idx="2">
                  <v>8</v>
                </pt>
                <pt idx="3">
                  <v>11</v>
                </pt>
                <pt idx="4">
                  <v>8</v>
                </pt>
                <pt idx="5">
                  <v>12</v>
                </pt>
              </numCache>
            </numRef>
          </val>
        </ser>
        <dLbls>
          <showLegendKey val="0"/>
          <showVal val="0"/>
          <showCatName val="0"/>
          <showSerName val="0"/>
          <showPercent val="0"/>
          <showBubbleSize val="0"/>
        </dLbls>
        <gapWidth val="219"/>
        <overlap val="-27"/>
        <axId val="454947176"/>
        <axId val="454947568"/>
      </barChart>
      <dateAx>
        <axId val="454947176"/>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4947568"/>
        <crosses val="autoZero"/>
        <lblOffset val="100"/>
        <baseTimeUnit val="months"/>
      </dateAx>
      <valAx>
        <axId val="454947568"/>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4947176"/>
        <crosses val="autoZero"/>
        <crossBetween val="between"/>
      </valAx>
    </plotArea>
    <plotVisOnly val="1"/>
    <dispBlanksAs val="gap"/>
  </chart>
</chartSpace>
</file>

<file path=xl/charts/chart20.xml><?xml version="1.0" encoding="utf-8"?>
<chartSpace xmlns="http://schemas.openxmlformats.org/drawingml/2006/chart">
  <chart>
    <title>
      <tx>
        <strRef>
          <f>Sectors!$S$5</f>
          <strCache>
            <ptCount val="1"/>
            <pt idx="0">
              <v>Management of Companies &amp; Support Services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7"/>
          <order val="0"/>
          <tx>
            <strRef>
              <f>Sectors!$S$5</f>
              <strCache>
                <ptCount val="1"/>
                <pt idx="0">
                  <v>Management of Companies &amp; Support Services</v>
                </pt>
              </strCache>
            </strRef>
          </tx>
          <spPr>
            <a:solidFill xmlns:a="http://schemas.openxmlformats.org/drawingml/2006/main">
              <a:schemeClr val="accent6">
                <a:lumMod val="80000"/>
                <a:lumOff val="20000"/>
              </a:schemeClr>
            </a:solidFill>
            <a:ln xmlns:a="http://schemas.openxmlformats.org/drawingml/2006/main">
              <a:noFill/>
              <a:prstDash val="solid"/>
            </a:ln>
          </spPr>
          <invertIfNegative val="0"/>
          <cat>
            <numRef>
              <f>Sectors!$A$6:$A$11</f>
              <numCache>
                <formatCode>mmm\-yy</formatCode>
                <ptCount val="6"/>
                <pt idx="0">
                  <v>44562</v>
                </pt>
                <pt idx="1">
                  <v>44593</v>
                </pt>
                <pt idx="2">
                  <v>44621</v>
                </pt>
                <pt idx="3">
                  <v>44652</v>
                </pt>
                <pt idx="4">
                  <v>44682</v>
                </pt>
                <pt idx="5">
                  <v>44713</v>
                </pt>
              </numCache>
            </numRef>
          </cat>
          <val>
            <numRef>
              <f>Sectors!$S$6:$S$11</f>
              <numCache>
                <formatCode>General</formatCode>
                <ptCount val="6"/>
                <pt idx="0">
                  <v>15</v>
                </pt>
                <pt idx="1">
                  <v>16</v>
                </pt>
                <pt idx="2">
                  <v>17</v>
                </pt>
                <pt idx="3">
                  <v>12</v>
                </pt>
                <pt idx="4">
                  <v>15</v>
                </pt>
                <pt idx="5">
                  <v>3</v>
                </pt>
              </numCache>
            </numRef>
          </val>
        </ser>
        <dLbls>
          <showLegendKey val="0"/>
          <showVal val="0"/>
          <showCatName val="0"/>
          <showSerName val="0"/>
          <showPercent val="0"/>
          <showBubbleSize val="0"/>
        </dLbls>
        <gapWidth val="219"/>
        <overlap val="-27"/>
        <axId val="454946784"/>
        <axId val="454944824"/>
      </barChart>
      <dateAx>
        <axId val="454946784"/>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4944824"/>
        <crosses val="autoZero"/>
        <lblOffset val="100"/>
        <baseTimeUnit val="months"/>
      </dateAx>
      <valAx>
        <axId val="454944824"/>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4946784"/>
        <crosses val="autoZero"/>
        <crossBetween val="between"/>
      </valAx>
    </plotArea>
    <plotVisOnly val="1"/>
    <dispBlanksAs val="gap"/>
  </chart>
</chartSpace>
</file>

<file path=xl/charts/chart21.xml><?xml version="1.0" encoding="utf-8"?>
<chartSpace xmlns="http://schemas.openxmlformats.org/drawingml/2006/chart">
  <chart>
    <title>
      <tx>
        <strRef>
          <f>SectorsBusinessActivity!$B$5</f>
          <strCache>
            <ptCount val="1"/>
            <pt idx="0">
              <v>Retail Trade</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0"/>
          <order val="0"/>
          <tx>
            <strRef>
              <f>SectorsBusinessActivity!$B$5</f>
              <strCache>
                <ptCount val="1"/>
                <pt idx="0">
                  <v>Retail Trade</v>
                </pt>
              </strCache>
            </strRef>
          </tx>
          <spPr>
            <a:solidFill xmlns:a="http://schemas.openxmlformats.org/drawingml/2006/main">
              <a:schemeClr val="accent1"/>
            </a:solidFill>
            <a:ln xmlns:a="http://schemas.openxmlformats.org/drawingml/2006/main">
              <a:noFill/>
              <a:prstDash val="solid"/>
            </a:ln>
          </spPr>
          <invertIfNegative val="0"/>
          <cat>
            <numRef>
              <f>SectorsBusinessActivity!$A$6:$A$11</f>
              <numCache>
                <formatCode>mmm\-yy</formatCode>
                <ptCount val="6"/>
                <pt idx="0">
                  <v>44562</v>
                </pt>
                <pt idx="1">
                  <v>44593</v>
                </pt>
                <pt idx="2">
                  <v>44621</v>
                </pt>
                <pt idx="3">
                  <v>44652</v>
                </pt>
                <pt idx="4">
                  <v>44682</v>
                </pt>
                <pt idx="5">
                  <v>44713</v>
                </pt>
              </numCache>
            </numRef>
          </cat>
          <val>
            <numRef>
              <f>SectorsBusinessActivity!$B$6:$B$11</f>
              <numCache>
                <formatCode>General</formatCode>
                <ptCount val="6"/>
                <pt idx="0">
                  <v>8</v>
                </pt>
                <pt idx="1">
                  <v>2</v>
                </pt>
                <pt idx="2">
                  <v>0</v>
                </pt>
                <pt idx="3">
                  <v>0</v>
                </pt>
                <pt idx="4">
                  <v>-2</v>
                </pt>
                <pt idx="5">
                  <v>0</v>
                </pt>
              </numCache>
            </numRef>
          </val>
        </ser>
        <dLbls>
          <showLegendKey val="0"/>
          <showVal val="0"/>
          <showCatName val="0"/>
          <showSerName val="0"/>
          <showPercent val="0"/>
          <showBubbleSize val="0"/>
        </dLbls>
        <gapWidth val="219"/>
        <overlap val="-27"/>
        <axId val="406063888"/>
        <axId val="406064672"/>
      </barChart>
      <dateAx>
        <axId val="406063888"/>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06064672"/>
        <crosses val="autoZero"/>
        <lblOffset val="100"/>
        <baseTimeUnit val="months"/>
      </dateAx>
      <valAx>
        <axId val="40606467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06063888"/>
        <crosses val="autoZero"/>
        <crossBetween val="between"/>
      </valAx>
    </plotArea>
    <plotVisOnly val="1"/>
    <dispBlanksAs val="gap"/>
  </chart>
</chartSpace>
</file>

<file path=xl/charts/chart22.xml><?xml version="1.0" encoding="utf-8"?>
<chartSpace xmlns="http://schemas.openxmlformats.org/drawingml/2006/chart">
  <chart>
    <title>
      <tx>
        <strRef>
          <f>SectorsBusinessActivity!$C$5</f>
          <strCache>
            <ptCount val="1"/>
            <pt idx="0">
              <v>Utilities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
          <order val="0"/>
          <tx>
            <strRef>
              <f>SectorsBusinessActivity!$C$5</f>
              <strCache>
                <ptCount val="1"/>
                <pt idx="0">
                  <v>Utilities</v>
                </pt>
              </strCache>
            </strRef>
          </tx>
          <spPr>
            <a:solidFill xmlns:a="http://schemas.openxmlformats.org/drawingml/2006/main">
              <a:schemeClr val="accent2"/>
            </a:solidFill>
            <a:ln xmlns:a="http://schemas.openxmlformats.org/drawingml/2006/main">
              <a:noFill/>
              <a:prstDash val="solid"/>
            </a:ln>
          </spPr>
          <invertIfNegative val="0"/>
          <cat>
            <numRef>
              <f>SectorsBusinessActivity!$A$6:$A$11</f>
              <numCache>
                <formatCode>mmm\-yy</formatCode>
                <ptCount val="6"/>
                <pt idx="0">
                  <v>44562</v>
                </pt>
                <pt idx="1">
                  <v>44593</v>
                </pt>
                <pt idx="2">
                  <v>44621</v>
                </pt>
                <pt idx="3">
                  <v>44652</v>
                </pt>
                <pt idx="4">
                  <v>44682</v>
                </pt>
                <pt idx="5">
                  <v>44713</v>
                </pt>
              </numCache>
            </numRef>
          </cat>
          <val>
            <numRef>
              <f>SectorsBusinessActivity!$C$6:$C$11</f>
              <numCache>
                <formatCode>General</formatCode>
                <ptCount val="6"/>
                <pt idx="0">
                  <v>4</v>
                </pt>
                <pt idx="1">
                  <v>5</v>
                </pt>
                <pt idx="2">
                  <v>9</v>
                </pt>
                <pt idx="3">
                  <v>9</v>
                </pt>
                <pt idx="4">
                  <v>7</v>
                </pt>
                <pt idx="5">
                  <v>8</v>
                </pt>
              </numCache>
            </numRef>
          </val>
        </ser>
        <dLbls>
          <showLegendKey val="0"/>
          <showVal val="0"/>
          <showCatName val="0"/>
          <showSerName val="0"/>
          <showPercent val="0"/>
          <showBubbleSize val="0"/>
        </dLbls>
        <gapWidth val="219"/>
        <overlap val="-27"/>
        <axId val="406065848"/>
        <axId val="406064280"/>
      </barChart>
      <dateAx>
        <axId val="406065848"/>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06064280"/>
        <crosses val="autoZero"/>
        <lblOffset val="100"/>
        <baseTimeUnit val="months"/>
      </dateAx>
      <valAx>
        <axId val="40606428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06065848"/>
        <crosses val="autoZero"/>
        <crossBetween val="between"/>
      </valAx>
    </plotArea>
    <plotVisOnly val="1"/>
    <dispBlanksAs val="gap"/>
  </chart>
</chartSpace>
</file>

<file path=xl/charts/chart23.xml><?xml version="1.0" encoding="utf-8"?>
<chartSpace xmlns="http://schemas.openxmlformats.org/drawingml/2006/chart">
  <chart>
    <title>
      <tx>
        <strRef>
          <f>SectorsBusinessActivity!$D$5</f>
          <strCache>
            <ptCount val="1"/>
            <pt idx="0">
              <v>Arts, Entertainment &amp; Recreation</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2"/>
          <order val="0"/>
          <tx>
            <strRef>
              <f>SectorsBusinessActivity!$D$5</f>
              <strCache>
                <ptCount val="1"/>
                <pt idx="0">
                  <v>Arts, Entertainment &amp; Recreation</v>
                </pt>
              </strCache>
            </strRef>
          </tx>
          <spPr>
            <a:solidFill xmlns:a="http://schemas.openxmlformats.org/drawingml/2006/main">
              <a:schemeClr val="accent3"/>
            </a:solidFill>
            <a:ln xmlns:a="http://schemas.openxmlformats.org/drawingml/2006/main">
              <a:noFill/>
              <a:prstDash val="solid"/>
            </a:ln>
          </spPr>
          <invertIfNegative val="0"/>
          <cat>
            <numRef>
              <f>SectorsBusinessActivity!$A$6:$A$11</f>
              <numCache>
                <formatCode>mmm\-yy</formatCode>
                <ptCount val="6"/>
                <pt idx="0">
                  <v>44562</v>
                </pt>
                <pt idx="1">
                  <v>44593</v>
                </pt>
                <pt idx="2">
                  <v>44621</v>
                </pt>
                <pt idx="3">
                  <v>44652</v>
                </pt>
                <pt idx="4">
                  <v>44682</v>
                </pt>
                <pt idx="5">
                  <v>44713</v>
                </pt>
              </numCache>
            </numRef>
          </cat>
          <val>
            <numRef>
              <f>SectorsBusinessActivity!$D$6:$D$11</f>
              <numCache>
                <formatCode>General</formatCode>
                <ptCount val="6"/>
                <pt idx="0">
                  <v>-7</v>
                </pt>
                <pt idx="1">
                  <v>-3</v>
                </pt>
                <pt idx="2">
                  <v>13</v>
                </pt>
                <pt idx="3">
                  <v>0</v>
                </pt>
                <pt idx="4">
                  <v>10</v>
                </pt>
                <pt idx="5">
                  <v>11</v>
                </pt>
              </numCache>
            </numRef>
          </val>
        </ser>
        <dLbls>
          <showLegendKey val="0"/>
          <showVal val="0"/>
          <showCatName val="0"/>
          <showSerName val="0"/>
          <showPercent val="0"/>
          <showBubbleSize val="0"/>
        </dLbls>
        <gapWidth val="219"/>
        <overlap val="-27"/>
        <axId val="406066240"/>
        <axId val="444923320"/>
      </barChart>
      <dateAx>
        <axId val="406066240"/>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4923320"/>
        <crosses val="autoZero"/>
        <lblOffset val="100"/>
        <baseTimeUnit val="months"/>
      </dateAx>
      <valAx>
        <axId val="44492332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06066240"/>
        <crosses val="autoZero"/>
        <crossBetween val="between"/>
      </valAx>
    </plotArea>
    <plotVisOnly val="1"/>
    <dispBlanksAs val="gap"/>
  </chart>
</chartSpace>
</file>

<file path=xl/charts/chart24.xml><?xml version="1.0" encoding="utf-8"?>
<chartSpace xmlns="http://schemas.openxmlformats.org/drawingml/2006/chart">
  <chart>
    <title>
      <tx>
        <strRef>
          <f>SectorsBusinessActivity!$E$5</f>
          <strCache>
            <ptCount val="1"/>
            <pt idx="0">
              <v>Other Services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3"/>
          <order val="0"/>
          <tx>
            <strRef>
              <f>SectorsBusinessActivity!$E$5</f>
              <strCache>
                <ptCount val="1"/>
                <pt idx="0">
                  <v>Other Services</v>
                </pt>
              </strCache>
            </strRef>
          </tx>
          <spPr>
            <a:solidFill xmlns:a="http://schemas.openxmlformats.org/drawingml/2006/main">
              <a:schemeClr val="accent4"/>
            </a:solidFill>
            <a:ln xmlns:a="http://schemas.openxmlformats.org/drawingml/2006/main">
              <a:noFill/>
              <a:prstDash val="solid"/>
            </a:ln>
          </spPr>
          <invertIfNegative val="0"/>
          <cat>
            <numRef>
              <f>SectorsBusinessActivity!$A$6:$A$11</f>
              <numCache>
                <formatCode>mmm\-yy</formatCode>
                <ptCount val="6"/>
                <pt idx="0">
                  <v>44562</v>
                </pt>
                <pt idx="1">
                  <v>44593</v>
                </pt>
                <pt idx="2">
                  <v>44621</v>
                </pt>
                <pt idx="3">
                  <v>44652</v>
                </pt>
                <pt idx="4">
                  <v>44682</v>
                </pt>
                <pt idx="5">
                  <v>44713</v>
                </pt>
              </numCache>
            </numRef>
          </cat>
          <val>
            <numRef>
              <f>SectorsBusinessActivity!$E$6:$E$11</f>
              <numCache>
                <formatCode>General</formatCode>
                <ptCount val="6"/>
                <pt idx="0">
                  <v>0</v>
                </pt>
                <pt idx="1">
                  <v>3</v>
                </pt>
                <pt idx="2">
                  <v>10</v>
                </pt>
                <pt idx="3">
                  <v>2</v>
                </pt>
                <pt idx="4">
                  <v>0</v>
                </pt>
                <pt idx="5">
                  <v>13</v>
                </pt>
              </numCache>
            </numRef>
          </val>
        </ser>
        <dLbls>
          <showLegendKey val="0"/>
          <showVal val="0"/>
          <showCatName val="0"/>
          <showSerName val="0"/>
          <showPercent val="0"/>
          <showBubbleSize val="0"/>
        </dLbls>
        <gapWidth val="219"/>
        <overlap val="-27"/>
        <axId val="444921752"/>
        <axId val="444922144"/>
      </barChart>
      <dateAx>
        <axId val="444921752"/>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4922144"/>
        <crosses val="autoZero"/>
        <lblOffset val="100"/>
        <baseTimeUnit val="months"/>
      </dateAx>
      <valAx>
        <axId val="444922144"/>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4921752"/>
        <crosses val="autoZero"/>
        <crossBetween val="between"/>
      </valAx>
    </plotArea>
    <plotVisOnly val="1"/>
    <dispBlanksAs val="gap"/>
  </chart>
</chartSpace>
</file>

<file path=xl/charts/chart25.xml><?xml version="1.0" encoding="utf-8"?>
<chartSpace xmlns="http://schemas.openxmlformats.org/drawingml/2006/chart">
  <chart>
    <title>
      <tx>
        <strRef>
          <f>SectorsBusinessActivity!$F$5</f>
          <strCache>
            <ptCount val="1"/>
            <pt idx="0">
              <v>Health Care &amp; Social Assistance</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4"/>
          <order val="0"/>
          <tx>
            <strRef>
              <f>SectorsBusinessActivity!$F$5</f>
              <strCache>
                <ptCount val="1"/>
                <pt idx="0">
                  <v>Health Care &amp; Social Assistance</v>
                </pt>
              </strCache>
            </strRef>
          </tx>
          <spPr>
            <a:solidFill xmlns:a="http://schemas.openxmlformats.org/drawingml/2006/main">
              <a:schemeClr val="accent5"/>
            </a:solidFill>
            <a:ln xmlns:a="http://schemas.openxmlformats.org/drawingml/2006/main">
              <a:noFill/>
              <a:prstDash val="solid"/>
            </a:ln>
          </spPr>
          <invertIfNegative val="0"/>
          <cat>
            <numRef>
              <f>SectorsBusinessActivity!$A$6:$A$11</f>
              <numCache>
                <formatCode>mmm\-yy</formatCode>
                <ptCount val="6"/>
                <pt idx="0">
                  <v>44562</v>
                </pt>
                <pt idx="1">
                  <v>44593</v>
                </pt>
                <pt idx="2">
                  <v>44621</v>
                </pt>
                <pt idx="3">
                  <v>44652</v>
                </pt>
                <pt idx="4">
                  <v>44682</v>
                </pt>
                <pt idx="5">
                  <v>44713</v>
                </pt>
              </numCache>
            </numRef>
          </cat>
          <val>
            <numRef>
              <f>SectorsBusinessActivity!$F$6:$F$11</f>
              <numCache>
                <formatCode>General</formatCode>
                <ptCount val="6"/>
                <pt idx="0">
                  <v>7</v>
                </pt>
                <pt idx="1">
                  <v>1</v>
                </pt>
                <pt idx="2">
                  <v>-1</v>
                </pt>
                <pt idx="3">
                  <v>4</v>
                </pt>
                <pt idx="4">
                  <v>1</v>
                </pt>
                <pt idx="5">
                  <v>4</v>
                </pt>
              </numCache>
            </numRef>
          </val>
        </ser>
        <dLbls>
          <showLegendKey val="0"/>
          <showVal val="0"/>
          <showCatName val="0"/>
          <showSerName val="0"/>
          <showPercent val="0"/>
          <showBubbleSize val="0"/>
        </dLbls>
        <gapWidth val="219"/>
        <overlap val="-27"/>
        <axId val="444922536"/>
        <axId val="444922928"/>
      </barChart>
      <dateAx>
        <axId val="444922536"/>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4922928"/>
        <crosses val="autoZero"/>
        <lblOffset val="100"/>
        <baseTimeUnit val="months"/>
      </dateAx>
      <valAx>
        <axId val="444922928"/>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4922536"/>
        <crosses val="autoZero"/>
        <crossBetween val="between"/>
      </valAx>
    </plotArea>
    <plotVisOnly val="1"/>
    <dispBlanksAs val="gap"/>
  </chart>
</chartSpace>
</file>

<file path=xl/charts/chart26.xml><?xml version="1.0" encoding="utf-8"?>
<chartSpace xmlns="http://schemas.openxmlformats.org/drawingml/2006/chart">
  <chart>
    <title>
      <tx>
        <strRef>
          <f>SectorsBusinessActivity!$G$5</f>
          <strCache>
            <ptCount val="1"/>
            <pt idx="0">
              <v>Accommodation &amp; Food Services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5"/>
          <order val="0"/>
          <tx>
            <strRef>
              <f>SectorsBusinessActivity!$G$5</f>
              <strCache>
                <ptCount val="1"/>
                <pt idx="0">
                  <v>Accommodation &amp; Food Services</v>
                </pt>
              </strCache>
            </strRef>
          </tx>
          <spPr>
            <a:solidFill xmlns:a="http://schemas.openxmlformats.org/drawingml/2006/main">
              <a:schemeClr val="accent6"/>
            </a:solidFill>
            <a:ln xmlns:a="http://schemas.openxmlformats.org/drawingml/2006/main">
              <a:noFill/>
              <a:prstDash val="solid"/>
            </a:ln>
          </spPr>
          <invertIfNegative val="0"/>
          <cat>
            <numRef>
              <f>SectorsBusinessActivity!$A$6:$A$11</f>
              <numCache>
                <formatCode>mmm\-yy</formatCode>
                <ptCount val="6"/>
                <pt idx="0">
                  <v>44562</v>
                </pt>
                <pt idx="1">
                  <v>44593</v>
                </pt>
                <pt idx="2">
                  <v>44621</v>
                </pt>
                <pt idx="3">
                  <v>44652</v>
                </pt>
                <pt idx="4">
                  <v>44682</v>
                </pt>
                <pt idx="5">
                  <v>44713</v>
                </pt>
              </numCache>
            </numRef>
          </cat>
          <val>
            <numRef>
              <f>SectorsBusinessActivity!$G$6:$G$11</f>
              <numCache>
                <formatCode>General</formatCode>
                <ptCount val="6"/>
                <pt idx="0">
                  <v>-4</v>
                </pt>
                <pt idx="1">
                  <v>-1</v>
                </pt>
                <pt idx="2">
                  <v>8</v>
                </pt>
                <pt idx="3">
                  <v>13</v>
                </pt>
                <pt idx="4">
                  <v>5</v>
                </pt>
                <pt idx="5">
                  <v>12</v>
                </pt>
              </numCache>
            </numRef>
          </val>
        </ser>
        <dLbls>
          <showLegendKey val="0"/>
          <showVal val="0"/>
          <showCatName val="0"/>
          <showSerName val="0"/>
          <showPercent val="0"/>
          <showBubbleSize val="0"/>
        </dLbls>
        <gapWidth val="219"/>
        <overlap val="-27"/>
        <axId val="444916264"/>
        <axId val="444920184"/>
      </barChart>
      <dateAx>
        <axId val="444916264"/>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4920184"/>
        <crosses val="autoZero"/>
        <lblOffset val="100"/>
        <baseTimeUnit val="months"/>
      </dateAx>
      <valAx>
        <axId val="444920184"/>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4916264"/>
        <crosses val="autoZero"/>
        <crossBetween val="between"/>
      </valAx>
    </plotArea>
    <plotVisOnly val="1"/>
    <dispBlanksAs val="gap"/>
  </chart>
</chartSpace>
</file>

<file path=xl/charts/chart27.xml><?xml version="1.0" encoding="utf-8"?>
<chartSpace xmlns="http://schemas.openxmlformats.org/drawingml/2006/chart">
  <chart>
    <title>
      <tx>
        <strRef>
          <f>SectorsBusinessActivity!$H$5</f>
          <strCache>
            <ptCount val="1"/>
            <pt idx="0">
              <v>Finance &amp; Insurance</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6"/>
          <order val="0"/>
          <tx>
            <strRef>
              <f>SectorsBusinessActivity!$H$5</f>
              <strCache>
                <ptCount val="1"/>
                <pt idx="0">
                  <v>Finance &amp; Insurance</v>
                </pt>
              </strCache>
            </strRef>
          </tx>
          <spPr>
            <a:solidFill xmlns:a="http://schemas.openxmlformats.org/drawingml/2006/main">
              <a:schemeClr val="accent1">
                <a:lumMod val="60000"/>
              </a:schemeClr>
            </a:solidFill>
            <a:ln xmlns:a="http://schemas.openxmlformats.org/drawingml/2006/main">
              <a:noFill/>
              <a:prstDash val="solid"/>
            </a:ln>
          </spPr>
          <invertIfNegative val="0"/>
          <cat>
            <numRef>
              <f>SectorsBusinessActivity!$A$6:$A$11</f>
              <numCache>
                <formatCode>mmm\-yy</formatCode>
                <ptCount val="6"/>
                <pt idx="0">
                  <v>44562</v>
                </pt>
                <pt idx="1">
                  <v>44593</v>
                </pt>
                <pt idx="2">
                  <v>44621</v>
                </pt>
                <pt idx="3">
                  <v>44652</v>
                </pt>
                <pt idx="4">
                  <v>44682</v>
                </pt>
                <pt idx="5">
                  <v>44713</v>
                </pt>
              </numCache>
            </numRef>
          </cat>
          <val>
            <numRef>
              <f>SectorsBusinessActivity!$H$6:$H$11</f>
              <numCache>
                <formatCode>General</formatCode>
                <ptCount val="6"/>
                <pt idx="0">
                  <v>2</v>
                </pt>
                <pt idx="1">
                  <v>8</v>
                </pt>
                <pt idx="2">
                  <v>3</v>
                </pt>
                <pt idx="3">
                  <v>1</v>
                </pt>
                <pt idx="4">
                  <v>0</v>
                </pt>
                <pt idx="5">
                  <v>7</v>
                </pt>
              </numCache>
            </numRef>
          </val>
        </ser>
        <dLbls>
          <showLegendKey val="0"/>
          <showVal val="0"/>
          <showCatName val="0"/>
          <showSerName val="0"/>
          <showPercent val="0"/>
          <showBubbleSize val="0"/>
        </dLbls>
        <gapWidth val="219"/>
        <overlap val="-27"/>
        <axId val="444917440"/>
        <axId val="444917832"/>
      </barChart>
      <dateAx>
        <axId val="444917440"/>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4917832"/>
        <crosses val="autoZero"/>
        <lblOffset val="100"/>
        <baseTimeUnit val="months"/>
      </dateAx>
      <valAx>
        <axId val="44491783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4917440"/>
        <crosses val="autoZero"/>
        <crossBetween val="between"/>
      </valAx>
    </plotArea>
    <plotVisOnly val="1"/>
    <dispBlanksAs val="gap"/>
  </chart>
</chartSpace>
</file>

<file path=xl/charts/chart28.xml><?xml version="1.0" encoding="utf-8"?>
<chartSpace xmlns="http://schemas.openxmlformats.org/drawingml/2006/chart">
  <chart>
    <title>
      <tx>
        <strRef>
          <f>SectorsBusinessActivity!$I$5</f>
          <strCache>
            <ptCount val="1"/>
            <pt idx="0">
              <v>Real Estate, Rental &amp; Leasing</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7"/>
          <order val="0"/>
          <tx>
            <strRef>
              <f>SectorsBusinessActivity!$I$5</f>
              <strCache>
                <ptCount val="1"/>
                <pt idx="0">
                  <v>Real Estate, Rental &amp; Leasing</v>
                </pt>
              </strCache>
            </strRef>
          </tx>
          <spPr>
            <a:solidFill xmlns:a="http://schemas.openxmlformats.org/drawingml/2006/main">
              <a:schemeClr val="accent2">
                <a:lumMod val="60000"/>
              </a:schemeClr>
            </a:solidFill>
            <a:ln xmlns:a="http://schemas.openxmlformats.org/drawingml/2006/main">
              <a:noFill/>
              <a:prstDash val="solid"/>
            </a:ln>
          </spPr>
          <invertIfNegative val="0"/>
          <cat>
            <numRef>
              <f>SectorsBusinessActivity!$A$6:$A$11</f>
              <numCache>
                <formatCode>mmm\-yy</formatCode>
                <ptCount val="6"/>
                <pt idx="0">
                  <v>44562</v>
                </pt>
                <pt idx="1">
                  <v>44593</v>
                </pt>
                <pt idx="2">
                  <v>44621</v>
                </pt>
                <pt idx="3">
                  <v>44652</v>
                </pt>
                <pt idx="4">
                  <v>44682</v>
                </pt>
                <pt idx="5">
                  <v>44713</v>
                </pt>
              </numCache>
            </numRef>
          </cat>
          <val>
            <numRef>
              <f>SectorsBusinessActivity!$I$6:$I$11</f>
              <numCache>
                <formatCode>General</formatCode>
                <ptCount val="6"/>
                <pt idx="0">
                  <v>-2</v>
                </pt>
                <pt idx="1">
                  <v>-4</v>
                </pt>
                <pt idx="2">
                  <v>0</v>
                </pt>
                <pt idx="3">
                  <v>14</v>
                </pt>
                <pt idx="4">
                  <v>8</v>
                </pt>
                <pt idx="5">
                  <v>0</v>
                </pt>
              </numCache>
            </numRef>
          </val>
        </ser>
        <dLbls>
          <showLegendKey val="0"/>
          <showVal val="0"/>
          <showCatName val="0"/>
          <showSerName val="0"/>
          <showPercent val="0"/>
          <showBubbleSize val="0"/>
        </dLbls>
        <gapWidth val="219"/>
        <overlap val="-27"/>
        <axId val="444919792"/>
        <axId val="444920576"/>
      </barChart>
      <dateAx>
        <axId val="444919792"/>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4920576"/>
        <crosses val="autoZero"/>
        <lblOffset val="100"/>
        <baseTimeUnit val="months"/>
      </dateAx>
      <valAx>
        <axId val="44492057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4919792"/>
        <crosses val="autoZero"/>
        <crossBetween val="between"/>
      </valAx>
    </plotArea>
    <plotVisOnly val="1"/>
    <dispBlanksAs val="gap"/>
  </chart>
</chartSpace>
</file>

<file path=xl/charts/chart29.xml><?xml version="1.0" encoding="utf-8"?>
<chartSpace xmlns="http://schemas.openxmlformats.org/drawingml/2006/chart">
  <chart>
    <title>
      <tx>
        <strRef>
          <f>SectorsBusinessActivity!$J$5</f>
          <strCache>
            <ptCount val="1"/>
            <pt idx="0">
              <v>Transportation &amp; Warehousing</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8"/>
          <order val="0"/>
          <tx>
            <strRef>
              <f>SectorsBusinessActivity!$J$5</f>
              <strCache>
                <ptCount val="1"/>
                <pt idx="0">
                  <v>Transportation &amp; Warehousing</v>
                </pt>
              </strCache>
            </strRef>
          </tx>
          <spPr>
            <a:solidFill xmlns:a="http://schemas.openxmlformats.org/drawingml/2006/main">
              <a:schemeClr val="accent3">
                <a:lumMod val="60000"/>
              </a:schemeClr>
            </a:solidFill>
            <a:ln xmlns:a="http://schemas.openxmlformats.org/drawingml/2006/main">
              <a:noFill/>
              <a:prstDash val="solid"/>
            </a:ln>
          </spPr>
          <invertIfNegative val="0"/>
          <cat>
            <numRef>
              <f>SectorsBusinessActivity!$A$6:$A$11</f>
              <numCache>
                <formatCode>mmm\-yy</formatCode>
                <ptCount val="6"/>
                <pt idx="0">
                  <v>44562</v>
                </pt>
                <pt idx="1">
                  <v>44593</v>
                </pt>
                <pt idx="2">
                  <v>44621</v>
                </pt>
                <pt idx="3">
                  <v>44652</v>
                </pt>
                <pt idx="4">
                  <v>44682</v>
                </pt>
                <pt idx="5">
                  <v>44713</v>
                </pt>
              </numCache>
            </numRef>
          </cat>
          <val>
            <numRef>
              <f>SectorsBusinessActivity!$J$6:$J$11</f>
              <numCache>
                <formatCode>General</formatCode>
                <ptCount val="6"/>
                <pt idx="0">
                  <v>-3</v>
                </pt>
                <pt idx="1">
                  <v>11</v>
                </pt>
                <pt idx="2">
                  <v>4</v>
                </pt>
                <pt idx="3">
                  <v>8</v>
                </pt>
                <pt idx="4">
                  <v>2</v>
                </pt>
                <pt idx="5">
                  <v>2</v>
                </pt>
              </numCache>
            </numRef>
          </val>
        </ser>
        <dLbls>
          <showLegendKey val="0"/>
          <showVal val="0"/>
          <showCatName val="0"/>
          <showSerName val="0"/>
          <showPercent val="0"/>
          <showBubbleSize val="0"/>
        </dLbls>
        <gapWidth val="219"/>
        <overlap val="-27"/>
        <axId val="444919400"/>
        <axId val="444920968"/>
      </barChart>
      <dateAx>
        <axId val="444919400"/>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4920968"/>
        <crosses val="autoZero"/>
        <lblOffset val="100"/>
        <baseTimeUnit val="months"/>
      </dateAx>
      <valAx>
        <axId val="444920968"/>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4919400"/>
        <crosses val="autoZero"/>
        <crossBetween val="between"/>
      </valAx>
    </plotArea>
    <plotVisOnly val="1"/>
    <dispBlanksAs val="gap"/>
  </chart>
</chartSpace>
</file>

<file path=xl/charts/chart30.xml><?xml version="1.0" encoding="utf-8"?>
<chartSpace xmlns="http://schemas.openxmlformats.org/drawingml/2006/chart">
  <chart>
    <title>
      <tx>
        <strRef>
          <f>SectorsBusinessActivity!$K$5</f>
          <strCache>
            <ptCount val="1"/>
            <pt idx="0">
              <v>Mining</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9"/>
          <order val="0"/>
          <tx>
            <strRef>
              <f>SectorsBusinessActivity!$K$5</f>
              <strCache>
                <ptCount val="1"/>
                <pt idx="0">
                  <v>Mining</v>
                </pt>
              </strCache>
            </strRef>
          </tx>
          <spPr>
            <a:solidFill xmlns:a="http://schemas.openxmlformats.org/drawingml/2006/main">
              <a:schemeClr val="accent4">
                <a:lumMod val="60000"/>
              </a:schemeClr>
            </a:solidFill>
            <a:ln xmlns:a="http://schemas.openxmlformats.org/drawingml/2006/main">
              <a:noFill/>
              <a:prstDash val="solid"/>
            </a:ln>
          </spPr>
          <invertIfNegative val="0"/>
          <cat>
            <numRef>
              <f>SectorsBusinessActivity!$A$6:$A$11</f>
              <numCache>
                <formatCode>mmm\-yy</formatCode>
                <ptCount val="6"/>
                <pt idx="0">
                  <v>44562</v>
                </pt>
                <pt idx="1">
                  <v>44593</v>
                </pt>
                <pt idx="2">
                  <v>44621</v>
                </pt>
                <pt idx="3">
                  <v>44652</v>
                </pt>
                <pt idx="4">
                  <v>44682</v>
                </pt>
                <pt idx="5">
                  <v>44713</v>
                </pt>
              </numCache>
            </numRef>
          </cat>
          <val>
            <numRef>
              <f>SectorsBusinessActivity!$K$6:$K$11</f>
              <numCache>
                <formatCode>General</formatCode>
                <ptCount val="6"/>
                <pt idx="0">
                  <v>0</v>
                </pt>
                <pt idx="1">
                  <v>10</v>
                </pt>
                <pt idx="2">
                  <v>0</v>
                </pt>
                <pt idx="3">
                  <v>11</v>
                </pt>
                <pt idx="4">
                  <v>13</v>
                </pt>
                <pt idx="5">
                  <v>10</v>
                </pt>
              </numCache>
            </numRef>
          </val>
        </ser>
        <dLbls>
          <showLegendKey val="0"/>
          <showVal val="0"/>
          <showCatName val="0"/>
          <showSerName val="0"/>
          <showPercent val="0"/>
          <showBubbleSize val="0"/>
        </dLbls>
        <gapWidth val="219"/>
        <overlap val="-27"/>
        <axId val="446551648"/>
        <axId val="446554000"/>
      </barChart>
      <dateAx>
        <axId val="446551648"/>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6554000"/>
        <crosses val="autoZero"/>
        <lblOffset val="100"/>
        <baseTimeUnit val="months"/>
      </dateAx>
      <valAx>
        <axId val="44655400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6551648"/>
        <crosses val="autoZero"/>
        <crossBetween val="between"/>
      </valAx>
    </plotArea>
    <plotVisOnly val="1"/>
    <dispBlanksAs val="gap"/>
  </chart>
</chartSpace>
</file>

<file path=xl/charts/chart31.xml><?xml version="1.0" encoding="utf-8"?>
<chartSpace xmlns="http://schemas.openxmlformats.org/drawingml/2006/chart">
  <chart>
    <title>
      <tx>
        <strRef>
          <f>SectorsBusinessActivity!$L$5</f>
          <strCache>
            <ptCount val="1"/>
            <pt idx="0">
              <v>Construction</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0"/>
          <order val="0"/>
          <tx>
            <strRef>
              <f>SectorsBusinessActivity!$L$5</f>
              <strCache>
                <ptCount val="1"/>
                <pt idx="0">
                  <v>Construction</v>
                </pt>
              </strCache>
            </strRef>
          </tx>
          <spPr>
            <a:solidFill xmlns:a="http://schemas.openxmlformats.org/drawingml/2006/main">
              <a:schemeClr val="accent5">
                <a:lumMod val="60000"/>
              </a:schemeClr>
            </a:solidFill>
            <a:ln xmlns:a="http://schemas.openxmlformats.org/drawingml/2006/main">
              <a:noFill/>
              <a:prstDash val="solid"/>
            </a:ln>
          </spPr>
          <invertIfNegative val="0"/>
          <cat>
            <numRef>
              <f>SectorsBusinessActivity!$A$6:$A$11</f>
              <numCache>
                <formatCode>mmm\-yy</formatCode>
                <ptCount val="6"/>
                <pt idx="0">
                  <v>44562</v>
                </pt>
                <pt idx="1">
                  <v>44593</v>
                </pt>
                <pt idx="2">
                  <v>44621</v>
                </pt>
                <pt idx="3">
                  <v>44652</v>
                </pt>
                <pt idx="4">
                  <v>44682</v>
                </pt>
                <pt idx="5">
                  <v>44713</v>
                </pt>
              </numCache>
            </numRef>
          </cat>
          <val>
            <numRef>
              <f>SectorsBusinessActivity!$L$6:$L$11</f>
              <numCache>
                <formatCode>General</formatCode>
                <ptCount val="6"/>
                <pt idx="0">
                  <v>6</v>
                </pt>
                <pt idx="1">
                  <v>7</v>
                </pt>
                <pt idx="2">
                  <v>6</v>
                </pt>
                <pt idx="3">
                  <v>6</v>
                </pt>
                <pt idx="4">
                  <v>12</v>
                </pt>
                <pt idx="5">
                  <v>14</v>
                </pt>
              </numCache>
            </numRef>
          </val>
        </ser>
        <dLbls>
          <showLegendKey val="0"/>
          <showVal val="0"/>
          <showCatName val="0"/>
          <showSerName val="0"/>
          <showPercent val="0"/>
          <showBubbleSize val="0"/>
        </dLbls>
        <gapWidth val="219"/>
        <overlap val="-27"/>
        <axId val="446551256"/>
        <axId val="446550864"/>
      </barChart>
      <dateAx>
        <axId val="446551256"/>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6550864"/>
        <crosses val="autoZero"/>
        <lblOffset val="100"/>
        <baseTimeUnit val="months"/>
      </dateAx>
      <valAx>
        <axId val="446550864"/>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6551256"/>
        <crosses val="autoZero"/>
        <crossBetween val="between"/>
      </valAx>
    </plotArea>
    <plotVisOnly val="1"/>
    <dispBlanksAs val="gap"/>
  </chart>
</chartSpace>
</file>

<file path=xl/charts/chart32.xml><?xml version="1.0" encoding="utf-8"?>
<chartSpace xmlns="http://schemas.openxmlformats.org/drawingml/2006/chart">
  <chart>
    <title>
      <tx>
        <strRef>
          <f>SectorsBusinessActivity!$M$5</f>
          <strCache>
            <ptCount val="1"/>
            <pt idx="0">
              <v>Wholesale Trade</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1"/>
          <order val="0"/>
          <tx>
            <strRef>
              <f>SectorsBusinessActivity!$M$5</f>
              <strCache>
                <ptCount val="1"/>
                <pt idx="0">
                  <v>Wholesale Trade</v>
                </pt>
              </strCache>
            </strRef>
          </tx>
          <spPr>
            <a:solidFill xmlns:a="http://schemas.openxmlformats.org/drawingml/2006/main">
              <a:schemeClr val="accent6">
                <a:lumMod val="60000"/>
              </a:schemeClr>
            </a:solidFill>
            <a:ln xmlns:a="http://schemas.openxmlformats.org/drawingml/2006/main">
              <a:noFill/>
              <a:prstDash val="solid"/>
            </a:ln>
          </spPr>
          <invertIfNegative val="0"/>
          <cat>
            <numRef>
              <f>SectorsBusinessActivity!$A$6:$A$11</f>
              <numCache>
                <formatCode>mmm\-yy</formatCode>
                <ptCount val="6"/>
                <pt idx="0">
                  <v>44562</v>
                </pt>
                <pt idx="1">
                  <v>44593</v>
                </pt>
                <pt idx="2">
                  <v>44621</v>
                </pt>
                <pt idx="3">
                  <v>44652</v>
                </pt>
                <pt idx="4">
                  <v>44682</v>
                </pt>
                <pt idx="5">
                  <v>44713</v>
                </pt>
              </numCache>
            </numRef>
          </cat>
          <val>
            <numRef>
              <f>SectorsBusinessActivity!$M$6:$M$11</f>
              <numCache>
                <formatCode>General</formatCode>
                <ptCount val="6"/>
                <pt idx="0">
                  <v>0</v>
                </pt>
                <pt idx="1">
                  <v>9</v>
                </pt>
                <pt idx="2">
                  <v>11</v>
                </pt>
                <pt idx="3">
                  <v>3</v>
                </pt>
                <pt idx="4">
                  <v>4</v>
                </pt>
                <pt idx="5">
                  <v>6</v>
                </pt>
              </numCache>
            </numRef>
          </val>
        </ser>
        <dLbls>
          <showLegendKey val="0"/>
          <showVal val="0"/>
          <showCatName val="0"/>
          <showSerName val="0"/>
          <showPercent val="0"/>
          <showBubbleSize val="0"/>
        </dLbls>
        <gapWidth val="219"/>
        <overlap val="-27"/>
        <axId val="446556352"/>
        <axId val="446549688"/>
      </barChart>
      <dateAx>
        <axId val="446556352"/>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6549688"/>
        <crosses val="autoZero"/>
        <lblOffset val="100"/>
        <baseTimeUnit val="months"/>
      </dateAx>
      <valAx>
        <axId val="446549688"/>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6556352"/>
        <crosses val="autoZero"/>
        <crossBetween val="between"/>
      </valAx>
    </plotArea>
    <plotVisOnly val="1"/>
    <dispBlanksAs val="gap"/>
  </chart>
</chartSpace>
</file>

<file path=xl/charts/chart33.xml><?xml version="1.0" encoding="utf-8"?>
<chartSpace xmlns="http://schemas.openxmlformats.org/drawingml/2006/chart">
  <chart>
    <title>
      <tx>
        <strRef>
          <f>SectorsBusinessActivity!$N$5</f>
          <strCache>
            <ptCount val="1"/>
            <pt idx="0">
              <v>Public Administration</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2"/>
          <order val="0"/>
          <tx>
            <strRef>
              <f>SectorsBusinessActivity!$N$5</f>
              <strCache>
                <ptCount val="1"/>
                <pt idx="0">
                  <v>Public Administration</v>
                </pt>
              </strCache>
            </strRef>
          </tx>
          <spPr>
            <a:solidFill xmlns:a="http://schemas.openxmlformats.org/drawingml/2006/main">
              <a:schemeClr val="accent1">
                <a:lumMod val="80000"/>
                <a:lumOff val="20000"/>
              </a:schemeClr>
            </a:solidFill>
            <a:ln xmlns:a="http://schemas.openxmlformats.org/drawingml/2006/main">
              <a:noFill/>
              <a:prstDash val="solid"/>
            </a:ln>
          </spPr>
          <invertIfNegative val="0"/>
          <cat>
            <numRef>
              <f>SectorsBusinessActivity!$A$6:$A$11</f>
              <numCache>
                <formatCode>mmm\-yy</formatCode>
                <ptCount val="6"/>
                <pt idx="0">
                  <v>44562</v>
                </pt>
                <pt idx="1">
                  <v>44593</v>
                </pt>
                <pt idx="2">
                  <v>44621</v>
                </pt>
                <pt idx="3">
                  <v>44652</v>
                </pt>
                <pt idx="4">
                  <v>44682</v>
                </pt>
                <pt idx="5">
                  <v>44713</v>
                </pt>
              </numCache>
            </numRef>
          </cat>
          <val>
            <numRef>
              <f>SectorsBusinessActivity!$N$6:$N$11</f>
              <numCache>
                <formatCode>General</formatCode>
                <ptCount val="6"/>
                <pt idx="0">
                  <v>5</v>
                </pt>
                <pt idx="1">
                  <v>6</v>
                </pt>
                <pt idx="2">
                  <v>5</v>
                </pt>
                <pt idx="3">
                  <v>10</v>
                </pt>
                <pt idx="4">
                  <v>3</v>
                </pt>
                <pt idx="5">
                  <v>1</v>
                </pt>
              </numCache>
            </numRef>
          </val>
        </ser>
        <dLbls>
          <showLegendKey val="0"/>
          <showVal val="0"/>
          <showCatName val="0"/>
          <showSerName val="0"/>
          <showPercent val="0"/>
          <showBubbleSize val="0"/>
        </dLbls>
        <gapWidth val="219"/>
        <overlap val="-27"/>
        <axId val="446556744"/>
        <axId val="446553608"/>
      </barChart>
      <dateAx>
        <axId val="446556744"/>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6553608"/>
        <crosses val="autoZero"/>
        <lblOffset val="100"/>
        <baseTimeUnit val="months"/>
      </dateAx>
      <valAx>
        <axId val="446553608"/>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6556744"/>
        <crosses val="autoZero"/>
        <crossBetween val="between"/>
      </valAx>
    </plotArea>
    <plotVisOnly val="1"/>
    <dispBlanksAs val="gap"/>
  </chart>
</chartSpace>
</file>

<file path=xl/charts/chart34.xml><?xml version="1.0" encoding="utf-8"?>
<chartSpace xmlns="http://schemas.openxmlformats.org/drawingml/2006/chart">
  <chart>
    <title>
      <tx>
        <strRef>
          <f>SectorsBusinessActivity!$O$5</f>
          <strCache>
            <ptCount val="1"/>
            <pt idx="0">
              <v>Professional, Scientific &amp; Technical Services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3"/>
          <order val="0"/>
          <tx>
            <strRef>
              <f>SectorsBusinessActivity!$O$5</f>
              <strCache>
                <ptCount val="1"/>
                <pt idx="0">
                  <v>Professional, Scientific &amp; Technical Services</v>
                </pt>
              </strCache>
            </strRef>
          </tx>
          <spPr>
            <a:solidFill xmlns:a="http://schemas.openxmlformats.org/drawingml/2006/main">
              <a:schemeClr val="accent2">
                <a:lumMod val="80000"/>
                <a:lumOff val="20000"/>
              </a:schemeClr>
            </a:solidFill>
            <a:ln xmlns:a="http://schemas.openxmlformats.org/drawingml/2006/main">
              <a:noFill/>
              <a:prstDash val="solid"/>
            </a:ln>
          </spPr>
          <invertIfNegative val="0"/>
          <cat>
            <numRef>
              <f>SectorsBusinessActivity!$A$6:$A$11</f>
              <numCache>
                <formatCode>mmm\-yy</formatCode>
                <ptCount val="6"/>
                <pt idx="0">
                  <v>44562</v>
                </pt>
                <pt idx="1">
                  <v>44593</v>
                </pt>
                <pt idx="2">
                  <v>44621</v>
                </pt>
                <pt idx="3">
                  <v>44652</v>
                </pt>
                <pt idx="4">
                  <v>44682</v>
                </pt>
                <pt idx="5">
                  <v>44713</v>
                </pt>
              </numCache>
            </numRef>
          </cat>
          <val>
            <numRef>
              <f>SectorsBusinessActivity!$O$6:$O$11</f>
              <numCache>
                <formatCode>General</formatCode>
                <ptCount val="6"/>
                <pt idx="0">
                  <v>3</v>
                </pt>
                <pt idx="1">
                  <v>4</v>
                </pt>
                <pt idx="2">
                  <v>1</v>
                </pt>
                <pt idx="3">
                  <v>7</v>
                </pt>
                <pt idx="4">
                  <v>6</v>
                </pt>
                <pt idx="5">
                  <v>9</v>
                </pt>
              </numCache>
            </numRef>
          </val>
        </ser>
        <dLbls>
          <showLegendKey val="0"/>
          <showVal val="0"/>
          <showCatName val="0"/>
          <showSerName val="0"/>
          <showPercent val="0"/>
          <showBubbleSize val="0"/>
        </dLbls>
        <gapWidth val="219"/>
        <overlap val="-27"/>
        <axId val="446555176"/>
        <axId val="446550080"/>
      </barChart>
      <dateAx>
        <axId val="446555176"/>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6550080"/>
        <crosses val="autoZero"/>
        <lblOffset val="100"/>
        <baseTimeUnit val="months"/>
      </dateAx>
      <valAx>
        <axId val="44655008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6555176"/>
        <crosses val="autoZero"/>
        <crossBetween val="between"/>
      </valAx>
    </plotArea>
    <plotVisOnly val="1"/>
    <dispBlanksAs val="gap"/>
  </chart>
</chartSpace>
</file>

<file path=xl/charts/chart35.xml><?xml version="1.0" encoding="utf-8"?>
<chartSpace xmlns="http://schemas.openxmlformats.org/drawingml/2006/chart">
  <chart>
    <title>
      <tx>
        <strRef>
          <f>SectorsBusinessActivity!$P$5</f>
          <strCache>
            <ptCount val="1"/>
            <pt idx="0">
              <v>Agriculture, Forestry, Fishing &amp; Hunting</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4"/>
          <order val="0"/>
          <tx>
            <strRef>
              <f>SectorsBusinessActivity!$P$5</f>
              <strCache>
                <ptCount val="1"/>
                <pt idx="0">
                  <v>Agriculture, Forestry, Fishing &amp; Hunting</v>
                </pt>
              </strCache>
            </strRef>
          </tx>
          <spPr>
            <a:solidFill xmlns:a="http://schemas.openxmlformats.org/drawingml/2006/main">
              <a:schemeClr val="accent3">
                <a:lumMod val="80000"/>
                <a:lumOff val="20000"/>
              </a:schemeClr>
            </a:solidFill>
            <a:ln xmlns:a="http://schemas.openxmlformats.org/drawingml/2006/main">
              <a:noFill/>
              <a:prstDash val="solid"/>
            </a:ln>
          </spPr>
          <invertIfNegative val="0"/>
          <cat>
            <numRef>
              <f>SectorsBusinessActivity!$A$6:$A$11</f>
              <numCache>
                <formatCode>mmm\-yy</formatCode>
                <ptCount val="6"/>
                <pt idx="0">
                  <v>44562</v>
                </pt>
                <pt idx="1">
                  <v>44593</v>
                </pt>
                <pt idx="2">
                  <v>44621</v>
                </pt>
                <pt idx="3">
                  <v>44652</v>
                </pt>
                <pt idx="4">
                  <v>44682</v>
                </pt>
                <pt idx="5">
                  <v>44713</v>
                </pt>
              </numCache>
            </numRef>
          </cat>
          <val>
            <numRef>
              <f>SectorsBusinessActivity!$P$6:$P$11</f>
              <numCache>
                <formatCode>General</formatCode>
                <ptCount val="6"/>
                <pt idx="0">
                  <v>-6</v>
                </pt>
                <pt idx="1">
                  <v>-2</v>
                </pt>
                <pt idx="2">
                  <v>-2</v>
                </pt>
                <pt idx="3">
                  <v>0</v>
                </pt>
                <pt idx="4">
                  <v>-3</v>
                </pt>
                <pt idx="5">
                  <v>0</v>
                </pt>
              </numCache>
            </numRef>
          </val>
        </ser>
        <dLbls>
          <showLegendKey val="0"/>
          <showVal val="0"/>
          <showCatName val="0"/>
          <showSerName val="0"/>
          <showPercent val="0"/>
          <showBubbleSize val="0"/>
        </dLbls>
        <gapWidth val="219"/>
        <overlap val="-27"/>
        <axId val="446555960"/>
        <axId val="446550472"/>
      </barChart>
      <dateAx>
        <axId val="446555960"/>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6550472"/>
        <crosses val="autoZero"/>
        <lblOffset val="100"/>
        <baseTimeUnit val="months"/>
      </dateAx>
      <valAx>
        <axId val="44655047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6555960"/>
        <crosses val="autoZero"/>
        <crossBetween val="between"/>
      </valAx>
    </plotArea>
    <plotVisOnly val="1"/>
    <dispBlanksAs val="gap"/>
  </chart>
</chartSpace>
</file>

<file path=xl/charts/chart36.xml><?xml version="1.0" encoding="utf-8"?>
<chartSpace xmlns="http://schemas.openxmlformats.org/drawingml/2006/chart">
  <chart>
    <title>
      <tx>
        <strRef>
          <f>SectorsBusinessActivity!$Q$5</f>
          <strCache>
            <ptCount val="1"/>
            <pt idx="0">
              <v>Information</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5"/>
          <order val="0"/>
          <tx>
            <strRef>
              <f>SectorsBusinessActivity!$Q$5</f>
              <strCache>
                <ptCount val="1"/>
                <pt idx="0">
                  <v>Information</v>
                </pt>
              </strCache>
            </strRef>
          </tx>
          <spPr>
            <a:solidFill xmlns:a="http://schemas.openxmlformats.org/drawingml/2006/main">
              <a:schemeClr val="accent4">
                <a:lumMod val="80000"/>
                <a:lumOff val="20000"/>
              </a:schemeClr>
            </a:solidFill>
            <a:ln xmlns:a="http://schemas.openxmlformats.org/drawingml/2006/main">
              <a:noFill/>
              <a:prstDash val="solid"/>
            </a:ln>
          </spPr>
          <invertIfNegative val="0"/>
          <cat>
            <numRef>
              <f>SectorsBusinessActivity!$A$6:$A$11</f>
              <numCache>
                <formatCode>mmm\-yy</formatCode>
                <ptCount val="6"/>
                <pt idx="0">
                  <v>44562</v>
                </pt>
                <pt idx="1">
                  <v>44593</v>
                </pt>
                <pt idx="2">
                  <v>44621</v>
                </pt>
                <pt idx="3">
                  <v>44652</v>
                </pt>
                <pt idx="4">
                  <v>44682</v>
                </pt>
                <pt idx="5">
                  <v>44713</v>
                </pt>
              </numCache>
            </numRef>
          </cat>
          <val>
            <numRef>
              <f>SectorsBusinessActivity!$Q$6:$Q$11</f>
              <numCache>
                <formatCode>General</formatCode>
                <ptCount val="6"/>
                <pt idx="0">
                  <v>-5</v>
                </pt>
                <pt idx="1">
                  <v>0</v>
                </pt>
                <pt idx="2">
                  <v>7</v>
                </pt>
                <pt idx="3">
                  <v>0</v>
                </pt>
                <pt idx="4">
                  <v>-1</v>
                </pt>
                <pt idx="5">
                  <v>3</v>
                </pt>
              </numCache>
            </numRef>
          </val>
        </ser>
        <dLbls>
          <showLegendKey val="0"/>
          <showVal val="0"/>
          <showCatName val="0"/>
          <showSerName val="0"/>
          <showPercent val="0"/>
          <showBubbleSize val="0"/>
        </dLbls>
        <gapWidth val="219"/>
        <overlap val="-27"/>
        <axId val="446552432"/>
        <axId val="446553216"/>
      </barChart>
      <dateAx>
        <axId val="446552432"/>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6553216"/>
        <crosses val="autoZero"/>
        <lblOffset val="100"/>
        <baseTimeUnit val="months"/>
      </dateAx>
      <valAx>
        <axId val="44655321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6552432"/>
        <crosses val="autoZero"/>
        <crossBetween val="between"/>
      </valAx>
    </plotArea>
    <plotVisOnly val="1"/>
    <dispBlanksAs val="gap"/>
  </chart>
</chartSpace>
</file>

<file path=xl/charts/chart37.xml><?xml version="1.0" encoding="utf-8"?>
<chartSpace xmlns="http://schemas.openxmlformats.org/drawingml/2006/chart">
  <chart>
    <title>
      <tx>
        <strRef>
          <f>SectorsBusinessActivity!$R$5</f>
          <strCache>
            <ptCount val="1"/>
            <pt idx="0">
              <v>Educational Services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6"/>
          <order val="0"/>
          <tx>
            <strRef>
              <f>SectorsBusinessActivity!$R$5</f>
              <strCache>
                <ptCount val="1"/>
                <pt idx="0">
                  <v>Educational Services</v>
                </pt>
              </strCache>
            </strRef>
          </tx>
          <spPr>
            <a:solidFill xmlns:a="http://schemas.openxmlformats.org/drawingml/2006/main">
              <a:schemeClr val="accent5">
                <a:lumMod val="80000"/>
                <a:lumOff val="20000"/>
              </a:schemeClr>
            </a:solidFill>
            <a:ln xmlns:a="http://schemas.openxmlformats.org/drawingml/2006/main">
              <a:noFill/>
              <a:prstDash val="solid"/>
            </a:ln>
          </spPr>
          <invertIfNegative val="0"/>
          <cat>
            <numRef>
              <f>SectorsBusinessActivity!$A$6:$A$11</f>
              <numCache>
                <formatCode>mmm\-yy</formatCode>
                <ptCount val="6"/>
                <pt idx="0">
                  <v>44562</v>
                </pt>
                <pt idx="1">
                  <v>44593</v>
                </pt>
                <pt idx="2">
                  <v>44621</v>
                </pt>
                <pt idx="3">
                  <v>44652</v>
                </pt>
                <pt idx="4">
                  <v>44682</v>
                </pt>
                <pt idx="5">
                  <v>44713</v>
                </pt>
              </numCache>
            </numRef>
          </cat>
          <val>
            <numRef>
              <f>SectorsBusinessActivity!$R$6:$R$11</f>
              <numCache>
                <formatCode>General</formatCode>
                <ptCount val="6"/>
                <pt idx="0">
                  <v>-1</v>
                </pt>
                <pt idx="1">
                  <v>12</v>
                </pt>
                <pt idx="2">
                  <v>12</v>
                </pt>
                <pt idx="3">
                  <v>12</v>
                </pt>
                <pt idx="4">
                  <v>11</v>
                </pt>
                <pt idx="5">
                  <v>5</v>
                </pt>
              </numCache>
            </numRef>
          </val>
        </ser>
        <dLbls>
          <showLegendKey val="0"/>
          <showVal val="0"/>
          <showCatName val="0"/>
          <showSerName val="0"/>
          <showPercent val="0"/>
          <showBubbleSize val="0"/>
        </dLbls>
        <gapWidth val="219"/>
        <overlap val="-27"/>
        <axId val="447341504"/>
        <axId val="447341896"/>
      </barChart>
      <dateAx>
        <axId val="447341504"/>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7341896"/>
        <crosses val="autoZero"/>
        <lblOffset val="100"/>
        <baseTimeUnit val="months"/>
      </dateAx>
      <valAx>
        <axId val="44734189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7341504"/>
        <crosses val="autoZero"/>
        <crossBetween val="between"/>
      </valAx>
    </plotArea>
    <plotVisOnly val="1"/>
    <dispBlanksAs val="gap"/>
  </chart>
</chartSpace>
</file>

<file path=xl/charts/chart38.xml><?xml version="1.0" encoding="utf-8"?>
<chartSpace xmlns="http://schemas.openxmlformats.org/drawingml/2006/chart">
  <chart>
    <title>
      <tx>
        <strRef>
          <f>SectorsBusinessActivity!$S$5</f>
          <strCache>
            <ptCount val="1"/>
            <pt idx="0">
              <v>Management of Companies &amp; Support Services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7"/>
          <order val="0"/>
          <tx>
            <strRef>
              <f>SectorsBusinessActivity!$S$5</f>
              <strCache>
                <ptCount val="1"/>
                <pt idx="0">
                  <v>Management of Companies &amp; Support Services</v>
                </pt>
              </strCache>
            </strRef>
          </tx>
          <spPr>
            <a:solidFill xmlns:a="http://schemas.openxmlformats.org/drawingml/2006/main">
              <a:schemeClr val="accent6">
                <a:lumMod val="80000"/>
                <a:lumOff val="20000"/>
              </a:schemeClr>
            </a:solidFill>
            <a:ln xmlns:a="http://schemas.openxmlformats.org/drawingml/2006/main">
              <a:noFill/>
              <a:prstDash val="solid"/>
            </a:ln>
          </spPr>
          <invertIfNegative val="0"/>
          <cat>
            <numRef>
              <f>SectorsBusinessActivity!$A$6:$A$11</f>
              <numCache>
                <formatCode>mmm\-yy</formatCode>
                <ptCount val="6"/>
                <pt idx="0">
                  <v>44562</v>
                </pt>
                <pt idx="1">
                  <v>44593</v>
                </pt>
                <pt idx="2">
                  <v>44621</v>
                </pt>
                <pt idx="3">
                  <v>44652</v>
                </pt>
                <pt idx="4">
                  <v>44682</v>
                </pt>
                <pt idx="5">
                  <v>44713</v>
                </pt>
              </numCache>
            </numRef>
          </cat>
          <val>
            <numRef>
              <f>SectorsBusinessActivity!$S$6:$S$11</f>
              <numCache>
                <formatCode>General</formatCode>
                <ptCount val="6"/>
                <pt idx="0">
                  <v>1</v>
                </pt>
                <pt idx="1">
                  <v>13</v>
                </pt>
                <pt idx="2">
                  <v>2</v>
                </pt>
                <pt idx="3">
                  <v>5</v>
                </pt>
                <pt idx="4">
                  <v>9</v>
                </pt>
                <pt idx="5">
                  <v>15</v>
                </pt>
              </numCache>
            </numRef>
          </val>
        </ser>
        <dLbls>
          <showLegendKey val="0"/>
          <showVal val="0"/>
          <showCatName val="0"/>
          <showSerName val="0"/>
          <showPercent val="0"/>
          <showBubbleSize val="0"/>
        </dLbls>
        <gapWidth val="219"/>
        <overlap val="-27"/>
        <axId val="447337584"/>
        <axId val="447336408"/>
      </barChart>
      <dateAx>
        <axId val="447337584"/>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7336408"/>
        <crosses val="autoZero"/>
        <lblOffset val="100"/>
        <baseTimeUnit val="months"/>
      </dateAx>
      <valAx>
        <axId val="447336408"/>
        <scaling>
          <orientation val="minMax"/>
          <max val="2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7337584"/>
        <crosses val="autoZero"/>
        <crossBetween val="between"/>
        <majorUnit val="10"/>
        <minorUnit val="2"/>
      </valAx>
    </plotArea>
    <plotVisOnly val="1"/>
    <dispBlanksAs val="gap"/>
  </chart>
</chartSpace>
</file>

<file path=xl/charts/chart39.xml><?xml version="1.0" encoding="utf-8"?>
<chartSpace xmlns="http://schemas.openxmlformats.org/drawingml/2006/chart">
  <chart>
    <title>
      <tx>
        <strRef>
          <f>SectorsNewOrders!$B$5</f>
          <strCache>
            <ptCount val="1"/>
            <pt idx="0">
              <v>Retail Trade</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0"/>
          <order val="0"/>
          <tx>
            <strRef>
              <f>SectorsNewOrders!$B$5</f>
              <strCache>
                <ptCount val="1"/>
                <pt idx="0">
                  <v>Retail Trade</v>
                </pt>
              </strCache>
            </strRef>
          </tx>
          <spPr>
            <a:solidFill xmlns:a="http://schemas.openxmlformats.org/drawingml/2006/main">
              <a:schemeClr val="accent1"/>
            </a:solidFill>
            <a:ln xmlns:a="http://schemas.openxmlformats.org/drawingml/2006/main">
              <a:noFill/>
              <a:prstDash val="solid"/>
            </a:ln>
          </spPr>
          <invertIfNegative val="0"/>
          <cat>
            <numRef>
              <f>SectorsNewOrders!$A$6:$A$11</f>
              <numCache>
                <formatCode>mmm\-yy</formatCode>
                <ptCount val="6"/>
                <pt idx="0">
                  <v>44562</v>
                </pt>
                <pt idx="1">
                  <v>44593</v>
                </pt>
                <pt idx="2">
                  <v>44621</v>
                </pt>
                <pt idx="3">
                  <v>44652</v>
                </pt>
                <pt idx="4">
                  <v>44682</v>
                </pt>
                <pt idx="5">
                  <v>44713</v>
                </pt>
              </numCache>
            </numRef>
          </cat>
          <val>
            <numRef>
              <f>SectorsNewOrders!$B$6:$B$11</f>
              <numCache>
                <formatCode>General</formatCode>
                <ptCount val="6"/>
                <pt idx="0">
                  <v>10</v>
                </pt>
                <pt idx="1">
                  <v>1</v>
                </pt>
                <pt idx="2">
                  <v>0</v>
                </pt>
                <pt idx="3">
                  <v>0</v>
                </pt>
                <pt idx="4">
                  <v>0</v>
                </pt>
                <pt idx="5">
                  <v>0</v>
                </pt>
              </numCache>
            </numRef>
          </val>
        </ser>
        <dLbls>
          <showLegendKey val="0"/>
          <showVal val="0"/>
          <showCatName val="0"/>
          <showSerName val="0"/>
          <showPercent val="0"/>
          <showBubbleSize val="0"/>
        </dLbls>
        <gapWidth val="219"/>
        <overlap val="-27"/>
        <axId val="447339152"/>
        <axId val="447339544"/>
      </barChart>
      <dateAx>
        <axId val="447339152"/>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7339544"/>
        <crosses val="autoZero"/>
        <lblOffset val="100"/>
        <baseTimeUnit val="months"/>
      </dateAx>
      <valAx>
        <axId val="447339544"/>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7339152"/>
        <crosses val="autoZero"/>
        <crossBetween val="between"/>
      </valAx>
    </plotArea>
    <plotVisOnly val="1"/>
    <dispBlanksAs val="gap"/>
  </chart>
</chartSpace>
</file>

<file path=xl/charts/chart40.xml><?xml version="1.0" encoding="utf-8"?>
<chartSpace xmlns="http://schemas.openxmlformats.org/drawingml/2006/chart">
  <chart>
    <title>
      <tx>
        <strRef>
          <f>SectorsNewOrders!$C$5</f>
          <strCache>
            <ptCount val="1"/>
            <pt idx="0">
              <v>Utilities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
          <order val="0"/>
          <tx>
            <strRef>
              <f>SectorsNewOrders!$C$5</f>
              <strCache>
                <ptCount val="1"/>
                <pt idx="0">
                  <v>Utilities</v>
                </pt>
              </strCache>
            </strRef>
          </tx>
          <spPr>
            <a:solidFill xmlns:a="http://schemas.openxmlformats.org/drawingml/2006/main">
              <a:schemeClr val="accent2"/>
            </a:solidFill>
            <a:ln xmlns:a="http://schemas.openxmlformats.org/drawingml/2006/main">
              <a:noFill/>
              <a:prstDash val="solid"/>
            </a:ln>
          </spPr>
          <invertIfNegative val="0"/>
          <cat>
            <numRef>
              <f>SectorsNewOrders!$A$6:$A$11</f>
              <numCache>
                <formatCode>mmm\-yy</formatCode>
                <ptCount val="6"/>
                <pt idx="0">
                  <v>44562</v>
                </pt>
                <pt idx="1">
                  <v>44593</v>
                </pt>
                <pt idx="2">
                  <v>44621</v>
                </pt>
                <pt idx="3">
                  <v>44652</v>
                </pt>
                <pt idx="4">
                  <v>44682</v>
                </pt>
                <pt idx="5">
                  <v>44713</v>
                </pt>
              </numCache>
            </numRef>
          </cat>
          <val>
            <numRef>
              <f>SectorsNewOrders!$C$6:$C$11</f>
              <numCache>
                <formatCode>General</formatCode>
                <ptCount val="6"/>
                <pt idx="0">
                  <v>5</v>
                </pt>
                <pt idx="1">
                  <v>8</v>
                </pt>
                <pt idx="2">
                  <v>10</v>
                </pt>
                <pt idx="3">
                  <v>13</v>
                </pt>
                <pt idx="4">
                  <v>9</v>
                </pt>
                <pt idx="5">
                  <v>6</v>
                </pt>
              </numCache>
            </numRef>
          </val>
        </ser>
        <dLbls>
          <showLegendKey val="0"/>
          <showVal val="0"/>
          <showCatName val="0"/>
          <showSerName val="0"/>
          <showPercent val="0"/>
          <showBubbleSize val="0"/>
        </dLbls>
        <gapWidth val="219"/>
        <overlap val="-27"/>
        <axId val="447339936"/>
        <axId val="447342288"/>
      </barChart>
      <dateAx>
        <axId val="447339936"/>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7342288"/>
        <crosses val="autoZero"/>
        <lblOffset val="100"/>
        <baseTimeUnit val="months"/>
      </dateAx>
      <valAx>
        <axId val="447342288"/>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7339936"/>
        <crosses val="autoZero"/>
        <crossBetween val="between"/>
      </valAx>
    </plotArea>
    <plotVisOnly val="1"/>
    <dispBlanksAs val="gap"/>
  </chart>
</chartSpace>
</file>

<file path=xl/charts/chart41.xml><?xml version="1.0" encoding="utf-8"?>
<chartSpace xmlns="http://schemas.openxmlformats.org/drawingml/2006/chart">
  <chart>
    <title>
      <tx>
        <strRef>
          <f>SectorsNewOrders!$D$5</f>
          <strCache>
            <ptCount val="1"/>
            <pt idx="0">
              <v>Arts, Entertainment &amp; Recreation</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2"/>
          <order val="0"/>
          <tx>
            <strRef>
              <f>SectorsNewOrders!$D$5</f>
              <strCache>
                <ptCount val="1"/>
                <pt idx="0">
                  <v>Arts, Entertainment &amp; Recreation</v>
                </pt>
              </strCache>
            </strRef>
          </tx>
          <spPr>
            <a:solidFill xmlns:a="http://schemas.openxmlformats.org/drawingml/2006/main">
              <a:schemeClr val="accent3"/>
            </a:solidFill>
            <a:ln xmlns:a="http://schemas.openxmlformats.org/drawingml/2006/main">
              <a:noFill/>
              <a:prstDash val="solid"/>
            </a:ln>
          </spPr>
          <invertIfNegative val="0"/>
          <cat>
            <numRef>
              <f>SectorsNewOrders!$A$6:$A$11</f>
              <numCache>
                <formatCode>mmm\-yy</formatCode>
                <ptCount val="6"/>
                <pt idx="0">
                  <v>44562</v>
                </pt>
                <pt idx="1">
                  <v>44593</v>
                </pt>
                <pt idx="2">
                  <v>44621</v>
                </pt>
                <pt idx="3">
                  <v>44652</v>
                </pt>
                <pt idx="4">
                  <v>44682</v>
                </pt>
                <pt idx="5">
                  <v>44713</v>
                </pt>
              </numCache>
            </numRef>
          </cat>
          <val>
            <numRef>
              <f>SectorsNewOrders!$D$6:$D$11</f>
              <numCache>
                <formatCode>General</formatCode>
                <ptCount val="6"/>
                <pt idx="0">
                  <v>-4</v>
                </pt>
                <pt idx="1">
                  <v>-2</v>
                </pt>
                <pt idx="2">
                  <v>15</v>
                </pt>
                <pt idx="3">
                  <v>0</v>
                </pt>
                <pt idx="4">
                  <v>14</v>
                </pt>
                <pt idx="5">
                  <v>9</v>
                </pt>
              </numCache>
            </numRef>
          </val>
        </ser>
        <dLbls>
          <showLegendKey val="0"/>
          <showVal val="0"/>
          <showCatName val="0"/>
          <showSerName val="0"/>
          <showPercent val="0"/>
          <showBubbleSize val="0"/>
        </dLbls>
        <gapWidth val="219"/>
        <overlap val="-27"/>
        <axId val="447340720"/>
        <axId val="447338760"/>
      </barChart>
      <dateAx>
        <axId val="447340720"/>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7338760"/>
        <crosses val="autoZero"/>
        <lblOffset val="100"/>
        <baseTimeUnit val="months"/>
      </dateAx>
      <valAx>
        <axId val="44733876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7340720"/>
        <crosses val="autoZero"/>
        <crossBetween val="between"/>
      </valAx>
    </plotArea>
    <plotVisOnly val="1"/>
    <dispBlanksAs val="gap"/>
  </chart>
</chartSpace>
</file>

<file path=xl/charts/chart42.xml><?xml version="1.0" encoding="utf-8"?>
<chartSpace xmlns="http://schemas.openxmlformats.org/drawingml/2006/chart">
  <chart>
    <title>
      <tx>
        <strRef>
          <f>SectorsNewOrders!$E$5</f>
          <strCache>
            <ptCount val="1"/>
            <pt idx="0">
              <v>Other Services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3"/>
          <order val="0"/>
          <tx>
            <strRef>
              <f>SectorsNewOrders!$E$5</f>
              <strCache>
                <ptCount val="1"/>
                <pt idx="0">
                  <v>Other Services</v>
                </pt>
              </strCache>
            </strRef>
          </tx>
          <spPr>
            <a:solidFill xmlns:a="http://schemas.openxmlformats.org/drawingml/2006/main">
              <a:schemeClr val="accent4"/>
            </a:solidFill>
            <a:ln xmlns:a="http://schemas.openxmlformats.org/drawingml/2006/main">
              <a:noFill/>
              <a:prstDash val="solid"/>
            </a:ln>
          </spPr>
          <invertIfNegative val="0"/>
          <cat>
            <numRef>
              <f>SectorsNewOrders!$A$6:$A$11</f>
              <numCache>
                <formatCode>mmm\-yy</formatCode>
                <ptCount val="6"/>
                <pt idx="0">
                  <v>44562</v>
                </pt>
                <pt idx="1">
                  <v>44593</v>
                </pt>
                <pt idx="2">
                  <v>44621</v>
                </pt>
                <pt idx="3">
                  <v>44652</v>
                </pt>
                <pt idx="4">
                  <v>44682</v>
                </pt>
                <pt idx="5">
                  <v>44713</v>
                </pt>
              </numCache>
            </numRef>
          </cat>
          <val>
            <numRef>
              <f>SectorsNewOrders!$E$6:$E$11</f>
              <numCache>
                <formatCode>General</formatCode>
                <ptCount val="6"/>
                <pt idx="0">
                  <v>0</v>
                </pt>
                <pt idx="1">
                  <v>0</v>
                </pt>
                <pt idx="2">
                  <v>8</v>
                </pt>
                <pt idx="3">
                  <v>2</v>
                </pt>
                <pt idx="4">
                  <v>3</v>
                </pt>
                <pt idx="5">
                  <v>10</v>
                </pt>
              </numCache>
            </numRef>
          </val>
        </ser>
        <dLbls>
          <showLegendKey val="0"/>
          <showVal val="0"/>
          <showCatName val="0"/>
          <showSerName val="0"/>
          <showPercent val="0"/>
          <showBubbleSize val="0"/>
        </dLbls>
        <gapWidth val="219"/>
        <overlap val="-27"/>
        <axId val="447336800"/>
        <axId val="447341112"/>
      </barChart>
      <dateAx>
        <axId val="447336800"/>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7341112"/>
        <crosses val="autoZero"/>
        <lblOffset val="100"/>
        <baseTimeUnit val="months"/>
      </dateAx>
      <valAx>
        <axId val="44734111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7336800"/>
        <crosses val="autoZero"/>
        <crossBetween val="between"/>
      </valAx>
    </plotArea>
    <plotVisOnly val="1"/>
    <dispBlanksAs val="gap"/>
  </chart>
</chartSpace>
</file>

<file path=xl/charts/chart43.xml><?xml version="1.0" encoding="utf-8"?>
<chartSpace xmlns="http://schemas.openxmlformats.org/drawingml/2006/chart">
  <chart>
    <title>
      <tx>
        <strRef>
          <f>SectorsNewOrders!$F$5</f>
          <strCache>
            <ptCount val="1"/>
            <pt idx="0">
              <v>Health Care &amp; Social Assistance</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4"/>
          <order val="0"/>
          <tx>
            <strRef>
              <f>SectorsNewOrders!$F$5</f>
              <strCache>
                <ptCount val="1"/>
                <pt idx="0">
                  <v>Health Care &amp; Social Assistance</v>
                </pt>
              </strCache>
            </strRef>
          </tx>
          <spPr>
            <a:solidFill xmlns:a="http://schemas.openxmlformats.org/drawingml/2006/main">
              <a:schemeClr val="accent5"/>
            </a:solidFill>
            <a:ln xmlns:a="http://schemas.openxmlformats.org/drawingml/2006/main">
              <a:noFill/>
              <a:prstDash val="solid"/>
            </a:ln>
          </spPr>
          <invertIfNegative val="0"/>
          <cat>
            <numRef>
              <f>SectorsNewOrders!$A$6:$A$11</f>
              <numCache>
                <formatCode>mmm\-yy</formatCode>
                <ptCount val="6"/>
                <pt idx="0">
                  <v>44562</v>
                </pt>
                <pt idx="1">
                  <v>44593</v>
                </pt>
                <pt idx="2">
                  <v>44621</v>
                </pt>
                <pt idx="3">
                  <v>44652</v>
                </pt>
                <pt idx="4">
                  <v>44682</v>
                </pt>
                <pt idx="5">
                  <v>44713</v>
                </pt>
              </numCache>
            </numRef>
          </cat>
          <val>
            <numRef>
              <f>SectorsNewOrders!$F$6:$F$11</f>
              <numCache>
                <formatCode>General</formatCode>
                <ptCount val="6"/>
                <pt idx="0">
                  <v>7</v>
                </pt>
                <pt idx="1">
                  <v>0</v>
                </pt>
                <pt idx="2">
                  <v>-1</v>
                </pt>
                <pt idx="3">
                  <v>3</v>
                </pt>
                <pt idx="4">
                  <v>2</v>
                </pt>
                <pt idx="5">
                  <v>5</v>
                </pt>
              </numCache>
            </numRef>
          </val>
        </ser>
        <dLbls>
          <showLegendKey val="0"/>
          <showVal val="0"/>
          <showCatName val="0"/>
          <showSerName val="0"/>
          <showPercent val="0"/>
          <showBubbleSize val="0"/>
        </dLbls>
        <gapWidth val="219"/>
        <overlap val="-27"/>
        <axId val="447343464"/>
        <axId val="449217600"/>
      </barChart>
      <dateAx>
        <axId val="447343464"/>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9217600"/>
        <crosses val="autoZero"/>
        <lblOffset val="100"/>
        <baseTimeUnit val="months"/>
      </dateAx>
      <valAx>
        <axId val="44921760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7343464"/>
        <crosses val="autoZero"/>
        <crossBetween val="between"/>
      </valAx>
    </plotArea>
    <plotVisOnly val="1"/>
    <dispBlanksAs val="gap"/>
  </chart>
</chartSpace>
</file>

<file path=xl/charts/chart44.xml><?xml version="1.0" encoding="utf-8"?>
<chartSpace xmlns="http://schemas.openxmlformats.org/drawingml/2006/chart">
  <chart>
    <title>
      <tx>
        <strRef>
          <f>SectorsNewOrders!$G$5</f>
          <strCache>
            <ptCount val="1"/>
            <pt idx="0">
              <v>Accommodation &amp; Food Services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5"/>
          <order val="0"/>
          <tx>
            <strRef>
              <f>SectorsNewOrders!$G$5</f>
              <strCache>
                <ptCount val="1"/>
                <pt idx="0">
                  <v>Accommodation &amp; Food Services</v>
                </pt>
              </strCache>
            </strRef>
          </tx>
          <spPr>
            <a:solidFill xmlns:a="http://schemas.openxmlformats.org/drawingml/2006/main">
              <a:schemeClr val="accent6"/>
            </a:solidFill>
            <a:ln xmlns:a="http://schemas.openxmlformats.org/drawingml/2006/main">
              <a:noFill/>
              <a:prstDash val="solid"/>
            </a:ln>
          </spPr>
          <invertIfNegative val="0"/>
          <cat>
            <numRef>
              <f>SectorsNewOrders!$A$6:$A$11</f>
              <numCache>
                <formatCode>mmm\-yy</formatCode>
                <ptCount val="6"/>
                <pt idx="0">
                  <v>44562</v>
                </pt>
                <pt idx="1">
                  <v>44593</v>
                </pt>
                <pt idx="2">
                  <v>44621</v>
                </pt>
                <pt idx="3">
                  <v>44652</v>
                </pt>
                <pt idx="4">
                  <v>44682</v>
                </pt>
                <pt idx="5">
                  <v>44713</v>
                </pt>
              </numCache>
            </numRef>
          </cat>
          <val>
            <numRef>
              <f>SectorsNewOrders!$G$6:$G$11</f>
              <numCache>
                <formatCode>General</formatCode>
                <ptCount val="6"/>
                <pt idx="0">
                  <v>-3</v>
                </pt>
                <pt idx="1">
                  <v>-3</v>
                </pt>
                <pt idx="2">
                  <v>5</v>
                </pt>
                <pt idx="3">
                  <v>10</v>
                </pt>
                <pt idx="4">
                  <v>5</v>
                </pt>
                <pt idx="5">
                  <v>13</v>
                </pt>
              </numCache>
            </numRef>
          </val>
        </ser>
        <dLbls>
          <showLegendKey val="0"/>
          <showVal val="0"/>
          <showCatName val="0"/>
          <showSerName val="0"/>
          <showPercent val="0"/>
          <showBubbleSize val="0"/>
        </dLbls>
        <gapWidth val="219"/>
        <overlap val="-27"/>
        <axId val="449214464"/>
        <axId val="449212112"/>
      </barChart>
      <dateAx>
        <axId val="449214464"/>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9212112"/>
        <crosses val="autoZero"/>
        <lblOffset val="100"/>
        <baseTimeUnit val="months"/>
      </dateAx>
      <valAx>
        <axId val="44921211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9214464"/>
        <crosses val="autoZero"/>
        <crossBetween val="between"/>
      </valAx>
    </plotArea>
    <plotVisOnly val="1"/>
    <dispBlanksAs val="gap"/>
  </chart>
</chartSpace>
</file>

<file path=xl/charts/chart45.xml><?xml version="1.0" encoding="utf-8"?>
<chartSpace xmlns="http://schemas.openxmlformats.org/drawingml/2006/chart">
  <chart>
    <title>
      <tx>
        <strRef>
          <f>SectorsNewOrders!$H$5</f>
          <strCache>
            <ptCount val="1"/>
            <pt idx="0">
              <v>Finance &amp; Insurance</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6"/>
          <order val="0"/>
          <tx>
            <strRef>
              <f>SectorsNewOrders!$H$5</f>
              <strCache>
                <ptCount val="1"/>
                <pt idx="0">
                  <v>Finance &amp; Insurance</v>
                </pt>
              </strCache>
            </strRef>
          </tx>
          <spPr>
            <a:solidFill xmlns:a="http://schemas.openxmlformats.org/drawingml/2006/main">
              <a:schemeClr val="accent1">
                <a:lumMod val="60000"/>
              </a:schemeClr>
            </a:solidFill>
            <a:ln xmlns:a="http://schemas.openxmlformats.org/drawingml/2006/main">
              <a:noFill/>
              <a:prstDash val="solid"/>
            </a:ln>
          </spPr>
          <invertIfNegative val="0"/>
          <cat>
            <numRef>
              <f>SectorsNewOrders!$A$6:$A$11</f>
              <numCache>
                <formatCode>mmm\-yy</formatCode>
                <ptCount val="6"/>
                <pt idx="0">
                  <v>44562</v>
                </pt>
                <pt idx="1">
                  <v>44593</v>
                </pt>
                <pt idx="2">
                  <v>44621</v>
                </pt>
                <pt idx="3">
                  <v>44652</v>
                </pt>
                <pt idx="4">
                  <v>44682</v>
                </pt>
                <pt idx="5">
                  <v>44713</v>
                </pt>
              </numCache>
            </numRef>
          </cat>
          <val>
            <numRef>
              <f>SectorsNewOrders!$H$6:$H$11</f>
              <numCache>
                <formatCode>General</formatCode>
                <ptCount val="6"/>
                <pt idx="0">
                  <v>3</v>
                </pt>
                <pt idx="1">
                  <v>5</v>
                </pt>
                <pt idx="2">
                  <v>3</v>
                </pt>
                <pt idx="3">
                  <v>1</v>
                </pt>
                <pt idx="4">
                  <v>4</v>
                </pt>
                <pt idx="5">
                  <v>3</v>
                </pt>
              </numCache>
            </numRef>
          </val>
        </ser>
        <dLbls>
          <showLegendKey val="0"/>
          <showVal val="0"/>
          <showCatName val="0"/>
          <showSerName val="0"/>
          <showPercent val="0"/>
          <showBubbleSize val="0"/>
        </dLbls>
        <gapWidth val="219"/>
        <overlap val="-27"/>
        <axId val="449212504"/>
        <axId val="449214856"/>
      </barChart>
      <dateAx>
        <axId val="449212504"/>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9214856"/>
        <crosses val="autoZero"/>
        <lblOffset val="100"/>
        <baseTimeUnit val="months"/>
      </dateAx>
      <valAx>
        <axId val="44921485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9212504"/>
        <crosses val="autoZero"/>
        <crossBetween val="between"/>
      </valAx>
    </plotArea>
    <plotVisOnly val="1"/>
    <dispBlanksAs val="gap"/>
  </chart>
</chartSpace>
</file>

<file path=xl/charts/chart46.xml><?xml version="1.0" encoding="utf-8"?>
<chartSpace xmlns="http://schemas.openxmlformats.org/drawingml/2006/chart">
  <chart>
    <title>
      <tx>
        <strRef>
          <f>SectorsNewOrders!$I$5</f>
          <strCache>
            <ptCount val="1"/>
            <pt idx="0">
              <v>Real Estate, Rental &amp; Leasing</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7"/>
          <order val="0"/>
          <tx>
            <strRef>
              <f>SectorsNewOrders!$I$5</f>
              <strCache>
                <ptCount val="1"/>
                <pt idx="0">
                  <v>Real Estate, Rental &amp; Leasing</v>
                </pt>
              </strCache>
            </strRef>
          </tx>
          <spPr>
            <a:solidFill xmlns:a="http://schemas.openxmlformats.org/drawingml/2006/main">
              <a:schemeClr val="accent2">
                <a:lumMod val="60000"/>
              </a:schemeClr>
            </a:solidFill>
            <a:ln xmlns:a="http://schemas.openxmlformats.org/drawingml/2006/main">
              <a:noFill/>
              <a:prstDash val="solid"/>
            </a:ln>
          </spPr>
          <invertIfNegative val="0"/>
          <cat>
            <numRef>
              <f>SectorsNewOrders!$A$6:$A$11</f>
              <numCache>
                <formatCode>mmm\-yy</formatCode>
                <ptCount val="6"/>
                <pt idx="0">
                  <v>44562</v>
                </pt>
                <pt idx="1">
                  <v>44593</v>
                </pt>
                <pt idx="2">
                  <v>44621</v>
                </pt>
                <pt idx="3">
                  <v>44652</v>
                </pt>
                <pt idx="4">
                  <v>44682</v>
                </pt>
                <pt idx="5">
                  <v>44713</v>
                </pt>
              </numCache>
            </numRef>
          </cat>
          <val>
            <numRef>
              <f>SectorsNewOrders!$I$6:$I$11</f>
              <numCache>
                <formatCode>General</formatCode>
                <ptCount val="6"/>
                <pt idx="0">
                  <v>0</v>
                </pt>
                <pt idx="1">
                  <v>0</v>
                </pt>
                <pt idx="2">
                  <v>11</v>
                </pt>
                <pt idx="3">
                  <v>11</v>
                </pt>
                <pt idx="4">
                  <v>10</v>
                </pt>
                <pt idx="5">
                  <v>7</v>
                </pt>
              </numCache>
            </numRef>
          </val>
        </ser>
        <dLbls>
          <showLegendKey val="0"/>
          <showVal val="0"/>
          <showCatName val="0"/>
          <showSerName val="0"/>
          <showPercent val="0"/>
          <showBubbleSize val="0"/>
        </dLbls>
        <gapWidth val="219"/>
        <overlap val="-27"/>
        <axId val="449213288"/>
        <axId val="449217992"/>
      </barChart>
      <dateAx>
        <axId val="449213288"/>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9217992"/>
        <crosses val="autoZero"/>
        <lblOffset val="100"/>
        <baseTimeUnit val="months"/>
      </dateAx>
      <valAx>
        <axId val="44921799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9213288"/>
        <crosses val="autoZero"/>
        <crossBetween val="between"/>
      </valAx>
    </plotArea>
    <plotVisOnly val="1"/>
    <dispBlanksAs val="gap"/>
  </chart>
</chartSpace>
</file>

<file path=xl/charts/chart47.xml><?xml version="1.0" encoding="utf-8"?>
<chartSpace xmlns="http://schemas.openxmlformats.org/drawingml/2006/chart">
  <chart>
    <title>
      <tx>
        <strRef>
          <f>SectorsNewOrders!$J$5</f>
          <strCache>
            <ptCount val="1"/>
            <pt idx="0">
              <v>Transportation &amp; Warehousing</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8"/>
          <order val="0"/>
          <tx>
            <strRef>
              <f>SectorsNewOrders!$J$5</f>
              <strCache>
                <ptCount val="1"/>
                <pt idx="0">
                  <v>Transportation &amp; Warehousing</v>
                </pt>
              </strCache>
            </strRef>
          </tx>
          <spPr>
            <a:solidFill xmlns:a="http://schemas.openxmlformats.org/drawingml/2006/main">
              <a:schemeClr val="accent3">
                <a:lumMod val="60000"/>
              </a:schemeClr>
            </a:solidFill>
            <a:ln xmlns:a="http://schemas.openxmlformats.org/drawingml/2006/main">
              <a:noFill/>
              <a:prstDash val="solid"/>
            </a:ln>
          </spPr>
          <invertIfNegative val="0"/>
          <cat>
            <numRef>
              <f>SectorsNewOrders!$A$6:$A$11</f>
              <numCache>
                <formatCode>mmm\-yy</formatCode>
                <ptCount val="6"/>
                <pt idx="0">
                  <v>44562</v>
                </pt>
                <pt idx="1">
                  <v>44593</v>
                </pt>
                <pt idx="2">
                  <v>44621</v>
                </pt>
                <pt idx="3">
                  <v>44652</v>
                </pt>
                <pt idx="4">
                  <v>44682</v>
                </pt>
                <pt idx="5">
                  <v>44713</v>
                </pt>
              </numCache>
            </numRef>
          </cat>
          <val>
            <numRef>
              <f>SectorsNewOrders!$J$6:$J$11</f>
              <numCache>
                <formatCode>General</formatCode>
                <ptCount val="6"/>
                <pt idx="0">
                  <v>2</v>
                </pt>
                <pt idx="1">
                  <v>6</v>
                </pt>
                <pt idx="2">
                  <v>1</v>
                </pt>
                <pt idx="3">
                  <v>8</v>
                </pt>
                <pt idx="4">
                  <v>6</v>
                </pt>
                <pt idx="5">
                  <v>8</v>
                </pt>
              </numCache>
            </numRef>
          </val>
        </ser>
        <dLbls>
          <showLegendKey val="0"/>
          <showVal val="0"/>
          <showCatName val="0"/>
          <showSerName val="0"/>
          <showPercent val="0"/>
          <showBubbleSize val="0"/>
        </dLbls>
        <gapWidth val="219"/>
        <overlap val="-27"/>
        <axId val="449214072"/>
        <axId val="449215640"/>
      </barChart>
      <dateAx>
        <axId val="449214072"/>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9215640"/>
        <crosses val="autoZero"/>
        <lblOffset val="100"/>
        <baseTimeUnit val="months"/>
      </dateAx>
      <valAx>
        <axId val="44921564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9214072"/>
        <crosses val="autoZero"/>
        <crossBetween val="between"/>
      </valAx>
    </plotArea>
    <plotVisOnly val="1"/>
    <dispBlanksAs val="gap"/>
  </chart>
</chartSpace>
</file>

<file path=xl/charts/chart48.xml><?xml version="1.0" encoding="utf-8"?>
<chartSpace xmlns="http://schemas.openxmlformats.org/drawingml/2006/chart">
  <chart>
    <title>
      <tx>
        <strRef>
          <f>SectorsNewOrders!$K$5</f>
          <strCache>
            <ptCount val="1"/>
            <pt idx="0">
              <v>Mining</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9"/>
          <order val="0"/>
          <tx>
            <strRef>
              <f>SectorsNewOrders!$K$5</f>
              <strCache>
                <ptCount val="1"/>
                <pt idx="0">
                  <v>Mining</v>
                </pt>
              </strCache>
            </strRef>
          </tx>
          <spPr>
            <a:solidFill xmlns:a="http://schemas.openxmlformats.org/drawingml/2006/main">
              <a:schemeClr val="accent4">
                <a:lumMod val="60000"/>
              </a:schemeClr>
            </a:solidFill>
            <a:ln xmlns:a="http://schemas.openxmlformats.org/drawingml/2006/main">
              <a:noFill/>
              <a:prstDash val="solid"/>
            </a:ln>
          </spPr>
          <invertIfNegative val="0"/>
          <cat>
            <numRef>
              <f>SectorsNewOrders!$A$6:$A$11</f>
              <numCache>
                <formatCode>mmm\-yy</formatCode>
                <ptCount val="6"/>
                <pt idx="0">
                  <v>44562</v>
                </pt>
                <pt idx="1">
                  <v>44593</v>
                </pt>
                <pt idx="2">
                  <v>44621</v>
                </pt>
                <pt idx="3">
                  <v>44652</v>
                </pt>
                <pt idx="4">
                  <v>44682</v>
                </pt>
                <pt idx="5">
                  <v>44713</v>
                </pt>
              </numCache>
            </numRef>
          </cat>
          <val>
            <numRef>
              <f>SectorsNewOrders!$K$6:$K$11</f>
              <numCache>
                <formatCode>General</formatCode>
                <ptCount val="6"/>
                <pt idx="0">
                  <v>0</v>
                </pt>
                <pt idx="1">
                  <v>7</v>
                </pt>
                <pt idx="2">
                  <v>9</v>
                </pt>
                <pt idx="3">
                  <v>0</v>
                </pt>
                <pt idx="4">
                  <v>12</v>
                </pt>
                <pt idx="5">
                  <v>12</v>
                </pt>
              </numCache>
            </numRef>
          </val>
        </ser>
        <dLbls>
          <showLegendKey val="0"/>
          <showVal val="0"/>
          <showCatName val="0"/>
          <showSerName val="0"/>
          <showPercent val="0"/>
          <showBubbleSize val="0"/>
        </dLbls>
        <gapWidth val="219"/>
        <overlap val="-27"/>
        <axId val="449216424"/>
        <axId val="449216816"/>
      </barChart>
      <dateAx>
        <axId val="449216424"/>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9216816"/>
        <crosses val="autoZero"/>
        <lblOffset val="100"/>
        <baseTimeUnit val="months"/>
      </dateAx>
      <valAx>
        <axId val="44921681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9216424"/>
        <crosses val="autoZero"/>
        <crossBetween val="between"/>
      </valAx>
    </plotArea>
    <plotVisOnly val="1"/>
    <dispBlanksAs val="gap"/>
  </chart>
</chartSpace>
</file>

<file path=xl/charts/chart49.xml><?xml version="1.0" encoding="utf-8"?>
<chartSpace xmlns="http://schemas.openxmlformats.org/drawingml/2006/chart">
  <chart>
    <title>
      <tx>
        <strRef>
          <f>SectorsNewOrders!$L$5</f>
          <strCache>
            <ptCount val="1"/>
            <pt idx="0">
              <v>Construction</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0"/>
          <order val="0"/>
          <tx>
            <strRef>
              <f>SectorsNewOrders!$L$5</f>
              <strCache>
                <ptCount val="1"/>
                <pt idx="0">
                  <v>Construction</v>
                </pt>
              </strCache>
            </strRef>
          </tx>
          <spPr>
            <a:solidFill xmlns:a="http://schemas.openxmlformats.org/drawingml/2006/main">
              <a:schemeClr val="accent5">
                <a:lumMod val="60000"/>
              </a:schemeClr>
            </a:solidFill>
            <a:ln xmlns:a="http://schemas.openxmlformats.org/drawingml/2006/main">
              <a:noFill/>
              <a:prstDash val="solid"/>
            </a:ln>
          </spPr>
          <invertIfNegative val="0"/>
          <cat>
            <numRef>
              <f>SectorsNewOrders!$A$6:$A$11</f>
              <numCache>
                <formatCode>mmm\-yy</formatCode>
                <ptCount val="6"/>
                <pt idx="0">
                  <v>44562</v>
                </pt>
                <pt idx="1">
                  <v>44593</v>
                </pt>
                <pt idx="2">
                  <v>44621</v>
                </pt>
                <pt idx="3">
                  <v>44652</v>
                </pt>
                <pt idx="4">
                  <v>44682</v>
                </pt>
                <pt idx="5">
                  <v>44713</v>
                </pt>
              </numCache>
            </numRef>
          </cat>
          <val>
            <numRef>
              <f>SectorsNewOrders!$L$6:$L$11</f>
              <numCache>
                <formatCode>General</formatCode>
                <ptCount val="6"/>
                <pt idx="0">
                  <v>9</v>
                </pt>
                <pt idx="1">
                  <v>10</v>
                </pt>
                <pt idx="2">
                  <v>7</v>
                </pt>
                <pt idx="3">
                  <v>5</v>
                </pt>
                <pt idx="4">
                  <v>15</v>
                </pt>
                <pt idx="5">
                  <v>-2</v>
                </pt>
              </numCache>
            </numRef>
          </val>
        </ser>
        <dLbls>
          <showLegendKey val="0"/>
          <showVal val="0"/>
          <showCatName val="0"/>
          <showSerName val="0"/>
          <showPercent val="0"/>
          <showBubbleSize val="0"/>
        </dLbls>
        <gapWidth val="219"/>
        <overlap val="-27"/>
        <axId val="449218384"/>
        <axId val="449210936"/>
      </barChart>
      <dateAx>
        <axId val="449218384"/>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9210936"/>
        <crosses val="autoZero"/>
        <lblOffset val="100"/>
        <baseTimeUnit val="months"/>
      </dateAx>
      <valAx>
        <axId val="44921093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9218384"/>
        <crosses val="autoZero"/>
        <crossBetween val="between"/>
      </valAx>
    </plotArea>
    <plotVisOnly val="1"/>
    <dispBlanksAs val="gap"/>
  </chart>
</chartSpace>
</file>

<file path=xl/charts/chart50.xml><?xml version="1.0" encoding="utf-8"?>
<chartSpace xmlns="http://schemas.openxmlformats.org/drawingml/2006/chart">
  <chart>
    <title>
      <tx>
        <strRef>
          <f>SectorsNewOrders!$M$5</f>
          <strCache>
            <ptCount val="1"/>
            <pt idx="0">
              <v>Wholesale Trade</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1"/>
          <order val="0"/>
          <tx>
            <strRef>
              <f>SectorsNewOrders!$M$5</f>
              <strCache>
                <ptCount val="1"/>
                <pt idx="0">
                  <v>Wholesale Trade</v>
                </pt>
              </strCache>
            </strRef>
          </tx>
          <spPr>
            <a:solidFill xmlns:a="http://schemas.openxmlformats.org/drawingml/2006/main">
              <a:schemeClr val="accent6">
                <a:lumMod val="60000"/>
              </a:schemeClr>
            </a:solidFill>
            <a:ln xmlns:a="http://schemas.openxmlformats.org/drawingml/2006/main">
              <a:noFill/>
              <a:prstDash val="solid"/>
            </a:ln>
          </spPr>
          <invertIfNegative val="0"/>
          <cat>
            <numRef>
              <f>SectorsNewOrders!$A$6:$A$11</f>
              <numCache>
                <formatCode>mmm\-yy</formatCode>
                <ptCount val="6"/>
                <pt idx="0">
                  <v>44562</v>
                </pt>
                <pt idx="1">
                  <v>44593</v>
                </pt>
                <pt idx="2">
                  <v>44621</v>
                </pt>
                <pt idx="3">
                  <v>44652</v>
                </pt>
                <pt idx="4">
                  <v>44682</v>
                </pt>
                <pt idx="5">
                  <v>44713</v>
                </pt>
              </numCache>
            </numRef>
          </cat>
          <val>
            <numRef>
              <f>SectorsNewOrders!$M$6:$M$11</f>
              <numCache>
                <formatCode>General</formatCode>
                <ptCount val="6"/>
                <pt idx="0">
                  <v>-1</v>
                </pt>
                <pt idx="1">
                  <v>3</v>
                </pt>
                <pt idx="2">
                  <v>13</v>
                </pt>
                <pt idx="3">
                  <v>4</v>
                </pt>
                <pt idx="4">
                  <v>7</v>
                </pt>
                <pt idx="5">
                  <v>4</v>
                </pt>
              </numCache>
            </numRef>
          </val>
        </ser>
        <dLbls>
          <showLegendKey val="0"/>
          <showVal val="0"/>
          <showCatName val="0"/>
          <showSerName val="0"/>
          <showPercent val="0"/>
          <showBubbleSize val="0"/>
        </dLbls>
        <gapWidth val="219"/>
        <overlap val="-27"/>
        <axId val="450219320"/>
        <axId val="450219712"/>
      </barChart>
      <dateAx>
        <axId val="450219320"/>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0219712"/>
        <crosses val="autoZero"/>
        <lblOffset val="100"/>
        <baseTimeUnit val="months"/>
      </dateAx>
      <valAx>
        <axId val="45021971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0219320"/>
        <crosses val="autoZero"/>
        <crossBetween val="between"/>
      </valAx>
    </plotArea>
    <plotVisOnly val="1"/>
    <dispBlanksAs val="gap"/>
  </chart>
</chartSpace>
</file>

<file path=xl/charts/chart51.xml><?xml version="1.0" encoding="utf-8"?>
<chartSpace xmlns="http://schemas.openxmlformats.org/drawingml/2006/chart">
  <chart>
    <title>
      <tx>
        <strRef>
          <f>SectorsNewOrders!$N$5</f>
          <strCache>
            <ptCount val="1"/>
            <pt idx="0">
              <v>Public Administration</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2"/>
          <order val="0"/>
          <tx>
            <strRef>
              <f>SectorsNewOrders!$N$5</f>
              <strCache>
                <ptCount val="1"/>
                <pt idx="0">
                  <v>Public Administration</v>
                </pt>
              </strCache>
            </strRef>
          </tx>
          <spPr>
            <a:solidFill xmlns:a="http://schemas.openxmlformats.org/drawingml/2006/main">
              <a:schemeClr val="accent1">
                <a:lumMod val="80000"/>
                <a:lumOff val="20000"/>
              </a:schemeClr>
            </a:solidFill>
            <a:ln xmlns:a="http://schemas.openxmlformats.org/drawingml/2006/main">
              <a:noFill/>
              <a:prstDash val="solid"/>
            </a:ln>
          </spPr>
          <invertIfNegative val="0"/>
          <cat>
            <numRef>
              <f>SectorsNewOrders!$A$6:$A$11</f>
              <numCache>
                <formatCode>mmm\-yy</formatCode>
                <ptCount val="6"/>
                <pt idx="0">
                  <v>44562</v>
                </pt>
                <pt idx="1">
                  <v>44593</v>
                </pt>
                <pt idx="2">
                  <v>44621</v>
                </pt>
                <pt idx="3">
                  <v>44652</v>
                </pt>
                <pt idx="4">
                  <v>44682</v>
                </pt>
                <pt idx="5">
                  <v>44713</v>
                </pt>
              </numCache>
            </numRef>
          </cat>
          <val>
            <numRef>
              <f>SectorsNewOrders!$N$6:$N$11</f>
              <numCache>
                <formatCode>General</formatCode>
                <ptCount val="6"/>
                <pt idx="0">
                  <v>8</v>
                </pt>
                <pt idx="1">
                  <v>4</v>
                </pt>
                <pt idx="2">
                  <v>2</v>
                </pt>
                <pt idx="3">
                  <v>6</v>
                </pt>
                <pt idx="4">
                  <v>1</v>
                </pt>
                <pt idx="5">
                  <v>1</v>
                </pt>
              </numCache>
            </numRef>
          </val>
        </ser>
        <dLbls>
          <showLegendKey val="0"/>
          <showVal val="0"/>
          <showCatName val="0"/>
          <showSerName val="0"/>
          <showPercent val="0"/>
          <showBubbleSize val="0"/>
        </dLbls>
        <gapWidth val="219"/>
        <overlap val="-27"/>
        <axId val="450223240"/>
        <axId val="450222848"/>
      </barChart>
      <dateAx>
        <axId val="450223240"/>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0222848"/>
        <crosses val="autoZero"/>
        <lblOffset val="100"/>
        <baseTimeUnit val="months"/>
      </dateAx>
      <valAx>
        <axId val="450222848"/>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0223240"/>
        <crosses val="autoZero"/>
        <crossBetween val="between"/>
      </valAx>
    </plotArea>
    <plotVisOnly val="1"/>
    <dispBlanksAs val="gap"/>
  </chart>
</chartSpace>
</file>

<file path=xl/charts/chart52.xml><?xml version="1.0" encoding="utf-8"?>
<chartSpace xmlns="http://schemas.openxmlformats.org/drawingml/2006/chart">
  <chart>
    <title>
      <tx>
        <strRef>
          <f>SectorsNewOrders!$O$5</f>
          <strCache>
            <ptCount val="1"/>
            <pt idx="0">
              <v>Professional, Scientific &amp; Technical Services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3"/>
          <order val="0"/>
          <tx>
            <strRef>
              <f>SectorsNewOrders!$O$5</f>
              <strCache>
                <ptCount val="1"/>
                <pt idx="0">
                  <v>Professional, Scientific &amp; Technical Services</v>
                </pt>
              </strCache>
            </strRef>
          </tx>
          <spPr>
            <a:solidFill xmlns:a="http://schemas.openxmlformats.org/drawingml/2006/main">
              <a:schemeClr val="accent2">
                <a:lumMod val="80000"/>
                <a:lumOff val="20000"/>
              </a:schemeClr>
            </a:solidFill>
            <a:ln xmlns:a="http://schemas.openxmlformats.org/drawingml/2006/main">
              <a:noFill/>
              <a:prstDash val="solid"/>
            </a:ln>
          </spPr>
          <invertIfNegative val="0"/>
          <cat>
            <numRef>
              <f>SectorsNewOrders!$A$6:$A$11</f>
              <numCache>
                <formatCode>mmm\-yy</formatCode>
                <ptCount val="6"/>
                <pt idx="0">
                  <v>44562</v>
                </pt>
                <pt idx="1">
                  <v>44593</v>
                </pt>
                <pt idx="2">
                  <v>44621</v>
                </pt>
                <pt idx="3">
                  <v>44652</v>
                </pt>
                <pt idx="4">
                  <v>44682</v>
                </pt>
                <pt idx="5">
                  <v>44713</v>
                </pt>
              </numCache>
            </numRef>
          </cat>
          <val>
            <numRef>
              <f>SectorsNewOrders!$O$6:$O$11</f>
              <numCache>
                <formatCode>General</formatCode>
                <ptCount val="6"/>
                <pt idx="0">
                  <v>4</v>
                </pt>
                <pt idx="1">
                  <v>2</v>
                </pt>
                <pt idx="2">
                  <v>4</v>
                </pt>
                <pt idx="3">
                  <v>7</v>
                </pt>
                <pt idx="4">
                  <v>8</v>
                </pt>
                <pt idx="5">
                  <v>2</v>
                </pt>
              </numCache>
            </numRef>
          </val>
        </ser>
        <dLbls>
          <showLegendKey val="0"/>
          <showVal val="0"/>
          <showCatName val="0"/>
          <showSerName val="0"/>
          <showPercent val="0"/>
          <showBubbleSize val="0"/>
        </dLbls>
        <gapWidth val="219"/>
        <overlap val="-27"/>
        <axId val="450218928"/>
        <axId val="450224024"/>
      </barChart>
      <dateAx>
        <axId val="450218928"/>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0224024"/>
        <crosses val="autoZero"/>
        <lblOffset val="100"/>
        <baseTimeUnit val="months"/>
      </dateAx>
      <valAx>
        <axId val="450224024"/>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0218928"/>
        <crosses val="autoZero"/>
        <crossBetween val="between"/>
      </valAx>
    </plotArea>
    <plotVisOnly val="1"/>
    <dispBlanksAs val="gap"/>
  </chart>
</chartSpace>
</file>

<file path=xl/charts/chart53.xml><?xml version="1.0" encoding="utf-8"?>
<chartSpace xmlns="http://schemas.openxmlformats.org/drawingml/2006/chart">
  <chart>
    <title>
      <tx>
        <strRef>
          <f>SectorsNewOrders!$P$5</f>
          <strCache>
            <ptCount val="1"/>
            <pt idx="0">
              <v>Agriculture, Forestry, Fishing &amp; Hunting</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4"/>
          <order val="0"/>
          <tx>
            <strRef>
              <f>SectorsNewOrders!$P$5</f>
              <strCache>
                <ptCount val="1"/>
                <pt idx="0">
                  <v>Agriculture, Forestry, Fishing &amp; Hunting</v>
                </pt>
              </strCache>
            </strRef>
          </tx>
          <spPr>
            <a:solidFill xmlns:a="http://schemas.openxmlformats.org/drawingml/2006/main">
              <a:schemeClr val="accent3">
                <a:lumMod val="80000"/>
                <a:lumOff val="20000"/>
              </a:schemeClr>
            </a:solidFill>
            <a:ln xmlns:a="http://schemas.openxmlformats.org/drawingml/2006/main">
              <a:noFill/>
              <a:prstDash val="solid"/>
            </a:ln>
          </spPr>
          <invertIfNegative val="0"/>
          <cat>
            <numRef>
              <f>SectorsNewOrders!$A$6:$A$11</f>
              <numCache>
                <formatCode>mmm\-yy</formatCode>
                <ptCount val="6"/>
                <pt idx="0">
                  <v>44562</v>
                </pt>
                <pt idx="1">
                  <v>44593</v>
                </pt>
                <pt idx="2">
                  <v>44621</v>
                </pt>
                <pt idx="3">
                  <v>44652</v>
                </pt>
                <pt idx="4">
                  <v>44682</v>
                </pt>
                <pt idx="5">
                  <v>44713</v>
                </pt>
              </numCache>
            </numRef>
          </cat>
          <val>
            <numRef>
              <f>SectorsNewOrders!$P$6:$P$11</f>
              <numCache>
                <formatCode>General</formatCode>
                <ptCount val="6"/>
                <pt idx="0">
                  <v>0</v>
                </pt>
                <pt idx="1">
                  <v>0</v>
                </pt>
                <pt idx="2">
                  <v>-2</v>
                </pt>
                <pt idx="3">
                  <v>0</v>
                </pt>
                <pt idx="4">
                  <v>-2</v>
                </pt>
                <pt idx="5">
                  <v>0</v>
                </pt>
              </numCache>
            </numRef>
          </val>
        </ser>
        <dLbls>
          <showLegendKey val="0"/>
          <showVal val="0"/>
          <showCatName val="0"/>
          <showSerName val="0"/>
          <showPercent val="0"/>
          <showBubbleSize val="0"/>
        </dLbls>
        <gapWidth val="219"/>
        <overlap val="-27"/>
        <axId val="450224416"/>
        <axId val="450218144"/>
      </barChart>
      <dateAx>
        <axId val="450224416"/>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0218144"/>
        <crosses val="autoZero"/>
        <lblOffset val="100"/>
        <baseTimeUnit val="months"/>
      </dateAx>
      <valAx>
        <axId val="450218144"/>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0224416"/>
        <crosses val="autoZero"/>
        <crossBetween val="between"/>
      </valAx>
    </plotArea>
    <plotVisOnly val="1"/>
    <dispBlanksAs val="gap"/>
  </chart>
</chartSpace>
</file>

<file path=xl/charts/chart54.xml><?xml version="1.0" encoding="utf-8"?>
<chartSpace xmlns="http://schemas.openxmlformats.org/drawingml/2006/chart">
  <chart>
    <title>
      <tx>
        <strRef>
          <f>SectorsNewOrders!$Q$5</f>
          <strCache>
            <ptCount val="1"/>
            <pt idx="0">
              <v>Information</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5"/>
          <order val="0"/>
          <tx>
            <strRef>
              <f>SectorsNewOrders!$Q$5</f>
              <strCache>
                <ptCount val="1"/>
                <pt idx="0">
                  <v>Information</v>
                </pt>
              </strCache>
            </strRef>
          </tx>
          <spPr>
            <a:solidFill xmlns:a="http://schemas.openxmlformats.org/drawingml/2006/main">
              <a:schemeClr val="accent4">
                <a:lumMod val="80000"/>
                <a:lumOff val="20000"/>
              </a:schemeClr>
            </a:solidFill>
            <a:ln xmlns:a="http://schemas.openxmlformats.org/drawingml/2006/main">
              <a:noFill/>
              <a:prstDash val="solid"/>
            </a:ln>
          </spPr>
          <invertIfNegative val="0"/>
          <cat>
            <numRef>
              <f>SectorsNewOrders!$A$6:$A$11</f>
              <numCache>
                <formatCode>mmm\-yy</formatCode>
                <ptCount val="6"/>
                <pt idx="0">
                  <v>44562</v>
                </pt>
                <pt idx="1">
                  <v>44593</v>
                </pt>
                <pt idx="2">
                  <v>44621</v>
                </pt>
                <pt idx="3">
                  <v>44652</v>
                </pt>
                <pt idx="4">
                  <v>44682</v>
                </pt>
                <pt idx="5">
                  <v>44713</v>
                </pt>
              </numCache>
            </numRef>
          </cat>
          <val>
            <numRef>
              <f>SectorsNewOrders!$Q$6:$Q$11</f>
              <numCache>
                <formatCode>General</formatCode>
                <ptCount val="6"/>
                <pt idx="0">
                  <v>-2</v>
                </pt>
                <pt idx="1">
                  <v>-1</v>
                </pt>
                <pt idx="2">
                  <v>6</v>
                </pt>
                <pt idx="3">
                  <v>0</v>
                </pt>
                <pt idx="4">
                  <v>-1</v>
                </pt>
                <pt idx="5">
                  <v>0</v>
                </pt>
              </numCache>
            </numRef>
          </val>
        </ser>
        <dLbls>
          <showLegendKey val="0"/>
          <showVal val="0"/>
          <showCatName val="0"/>
          <showSerName val="0"/>
          <showPercent val="0"/>
          <showBubbleSize val="0"/>
        </dLbls>
        <gapWidth val="219"/>
        <overlap val="-27"/>
        <axId val="450220888"/>
        <axId val="450221280"/>
      </barChart>
      <dateAx>
        <axId val="450220888"/>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0221280"/>
        <crosses val="autoZero"/>
        <lblOffset val="100"/>
        <baseTimeUnit val="months"/>
      </dateAx>
      <valAx>
        <axId val="45022128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0220888"/>
        <crosses val="autoZero"/>
        <crossBetween val="between"/>
      </valAx>
    </plotArea>
    <plotVisOnly val="1"/>
    <dispBlanksAs val="gap"/>
  </chart>
</chartSpace>
</file>

<file path=xl/charts/chart55.xml><?xml version="1.0" encoding="utf-8"?>
<chartSpace xmlns="http://schemas.openxmlformats.org/drawingml/2006/chart">
  <chart>
    <title>
      <tx>
        <strRef>
          <f>SectorsNewOrders!$R$5</f>
          <strCache>
            <ptCount val="1"/>
            <pt idx="0">
              <v>Educational Services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6"/>
          <order val="0"/>
          <tx>
            <strRef>
              <f>SectorsNewOrders!$R$5</f>
              <strCache>
                <ptCount val="1"/>
                <pt idx="0">
                  <v>Educational Services</v>
                </pt>
              </strCache>
            </strRef>
          </tx>
          <spPr>
            <a:solidFill xmlns:a="http://schemas.openxmlformats.org/drawingml/2006/main">
              <a:schemeClr val="accent5">
                <a:lumMod val="80000"/>
                <a:lumOff val="20000"/>
              </a:schemeClr>
            </a:solidFill>
            <a:ln xmlns:a="http://schemas.openxmlformats.org/drawingml/2006/main">
              <a:noFill/>
              <a:prstDash val="solid"/>
            </a:ln>
          </spPr>
          <invertIfNegative val="0"/>
          <cat>
            <numRef>
              <f>SectorsNewOrders!$A$6:$A$11</f>
              <numCache>
                <formatCode>mmm\-yy</formatCode>
                <ptCount val="6"/>
                <pt idx="0">
                  <v>44562</v>
                </pt>
                <pt idx="1">
                  <v>44593</v>
                </pt>
                <pt idx="2">
                  <v>44621</v>
                </pt>
                <pt idx="3">
                  <v>44652</v>
                </pt>
                <pt idx="4">
                  <v>44682</v>
                </pt>
                <pt idx="5">
                  <v>44713</v>
                </pt>
              </numCache>
            </numRef>
          </cat>
          <val>
            <numRef>
              <f>SectorsNewOrders!$R$6:$R$11</f>
              <numCache>
                <formatCode>General</formatCode>
                <ptCount val="6"/>
                <pt idx="0">
                  <v>1</v>
                </pt>
                <pt idx="1">
                  <v>9</v>
                </pt>
                <pt idx="2">
                  <v>14</v>
                </pt>
                <pt idx="3">
                  <v>9</v>
                </pt>
                <pt idx="4">
                  <v>13</v>
                </pt>
                <pt idx="5">
                  <v>-1</v>
                </pt>
              </numCache>
            </numRef>
          </val>
        </ser>
        <dLbls>
          <showLegendKey val="0"/>
          <showVal val="0"/>
          <showCatName val="0"/>
          <showSerName val="0"/>
          <showPercent val="0"/>
          <showBubbleSize val="0"/>
        </dLbls>
        <gapWidth val="219"/>
        <overlap val="-27"/>
        <axId val="450221672"/>
        <axId val="450222064"/>
      </barChart>
      <dateAx>
        <axId val="450221672"/>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0222064"/>
        <crosses val="autoZero"/>
        <lblOffset val="100"/>
        <baseTimeUnit val="months"/>
      </dateAx>
      <valAx>
        <axId val="450222064"/>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0221672"/>
        <crosses val="autoZero"/>
        <crossBetween val="between"/>
      </valAx>
    </plotArea>
    <plotVisOnly val="1"/>
    <dispBlanksAs val="gap"/>
  </chart>
</chartSpace>
</file>

<file path=xl/charts/chart56.xml><?xml version="1.0" encoding="utf-8"?>
<chartSpace xmlns="http://schemas.openxmlformats.org/drawingml/2006/chart">
  <chart>
    <title>
      <tx>
        <strRef>
          <f>SectorsNewOrders!$S$5</f>
          <strCache>
            <ptCount val="1"/>
            <pt idx="0">
              <v>Management of Companies &amp; Support Services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7"/>
          <order val="0"/>
          <tx>
            <strRef>
              <f>SectorsNewOrders!$S$5</f>
              <strCache>
                <ptCount val="1"/>
                <pt idx="0">
                  <v>Management of Companies &amp; Support Services</v>
                </pt>
              </strCache>
            </strRef>
          </tx>
          <spPr>
            <a:solidFill xmlns:a="http://schemas.openxmlformats.org/drawingml/2006/main">
              <a:schemeClr val="accent6">
                <a:lumMod val="80000"/>
                <a:lumOff val="20000"/>
              </a:schemeClr>
            </a:solidFill>
            <a:ln xmlns:a="http://schemas.openxmlformats.org/drawingml/2006/main">
              <a:noFill/>
              <a:prstDash val="solid"/>
            </a:ln>
          </spPr>
          <invertIfNegative val="0"/>
          <cat>
            <numRef>
              <f>SectorsNewOrders!$A$6:$A$11</f>
              <numCache>
                <formatCode>mmm\-yy</formatCode>
                <ptCount val="6"/>
                <pt idx="0">
                  <v>44562</v>
                </pt>
                <pt idx="1">
                  <v>44593</v>
                </pt>
                <pt idx="2">
                  <v>44621</v>
                </pt>
                <pt idx="3">
                  <v>44652</v>
                </pt>
                <pt idx="4">
                  <v>44682</v>
                </pt>
                <pt idx="5">
                  <v>44713</v>
                </pt>
              </numCache>
            </numRef>
          </cat>
          <val>
            <numRef>
              <f>SectorsNewOrders!$S$6:$S$11</f>
              <numCache>
                <formatCode>General</formatCode>
                <ptCount val="6"/>
                <pt idx="0">
                  <v>6</v>
                </pt>
                <pt idx="1">
                  <v>11</v>
                </pt>
                <pt idx="2">
                  <v>12</v>
                </pt>
                <pt idx="3">
                  <v>12</v>
                </pt>
                <pt idx="4">
                  <v>11</v>
                </pt>
                <pt idx="5">
                  <v>11</v>
                </pt>
              </numCache>
            </numRef>
          </val>
        </ser>
        <dLbls>
          <showLegendKey val="0"/>
          <showVal val="0"/>
          <showCatName val="0"/>
          <showSerName val="0"/>
          <showPercent val="0"/>
          <showBubbleSize val="0"/>
        </dLbls>
        <gapWidth val="219"/>
        <overlap val="-27"/>
        <axId val="450225592"/>
        <axId val="450218536"/>
      </barChart>
      <dateAx>
        <axId val="450225592"/>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0218536"/>
        <crosses val="autoZero"/>
        <lblOffset val="100"/>
        <baseTimeUnit val="months"/>
      </dateAx>
      <valAx>
        <axId val="450218536"/>
        <scaling>
          <orientation val="minMax"/>
          <max val="2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0225592"/>
        <crosses val="autoZero"/>
        <crossBetween val="between"/>
        <majorUnit val="10"/>
        <minorUnit val="2"/>
      </valAx>
    </plotArea>
    <plotVisOnly val="1"/>
    <dispBlanksAs val="gap"/>
  </chart>
</chartSpace>
</file>

<file path=xl/charts/chart57.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New Orders</a:t>
            </a:r>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Details!$B$5</f>
              <strCache>
                <ptCount val="1"/>
                <pt idx="0">
                  <v>New Orders</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Details!$A$6:$A$307</f>
              <numCache>
                <formatCode>m/d/yy</formatCode>
                <ptCount val="302"/>
                <pt idx="0">
                  <v>35612</v>
                </pt>
                <pt idx="1">
                  <v>35643</v>
                </pt>
                <pt idx="2">
                  <v>35674</v>
                </pt>
                <pt idx="3">
                  <v>35704</v>
                </pt>
                <pt idx="4">
                  <v>35735</v>
                </pt>
                <pt idx="5">
                  <v>35765</v>
                </pt>
                <pt idx="6">
                  <v>35796</v>
                </pt>
                <pt idx="7">
                  <v>35827</v>
                </pt>
                <pt idx="8">
                  <v>35855</v>
                </pt>
                <pt idx="9">
                  <v>35886</v>
                </pt>
                <pt idx="10">
                  <v>35916</v>
                </pt>
                <pt idx="11">
                  <v>35947</v>
                </pt>
                <pt idx="12">
                  <v>35977</v>
                </pt>
                <pt idx="13">
                  <v>36008</v>
                </pt>
                <pt idx="14">
                  <v>36039</v>
                </pt>
                <pt idx="15">
                  <v>36069</v>
                </pt>
                <pt idx="16">
                  <v>36100</v>
                </pt>
                <pt idx="17">
                  <v>36130</v>
                </pt>
                <pt idx="18">
                  <v>36161</v>
                </pt>
                <pt idx="19">
                  <v>36192</v>
                </pt>
                <pt idx="20">
                  <v>36220</v>
                </pt>
                <pt idx="21">
                  <v>36251</v>
                </pt>
                <pt idx="22">
                  <v>36281</v>
                </pt>
                <pt idx="23">
                  <v>36312</v>
                </pt>
                <pt idx="24">
                  <v>36342</v>
                </pt>
                <pt idx="25">
                  <v>36373</v>
                </pt>
                <pt idx="26">
                  <v>36404</v>
                </pt>
                <pt idx="27">
                  <v>36434</v>
                </pt>
                <pt idx="28">
                  <v>36465</v>
                </pt>
                <pt idx="29">
                  <v>36495</v>
                </pt>
                <pt idx="30">
                  <v>36526</v>
                </pt>
                <pt idx="31">
                  <v>36557</v>
                </pt>
                <pt idx="32">
                  <v>36586</v>
                </pt>
                <pt idx="33">
                  <v>36617</v>
                </pt>
                <pt idx="34">
                  <v>36647</v>
                </pt>
                <pt idx="35">
                  <v>36678</v>
                </pt>
                <pt idx="36">
                  <v>36708</v>
                </pt>
                <pt idx="37">
                  <v>36739</v>
                </pt>
                <pt idx="38">
                  <v>36770</v>
                </pt>
                <pt idx="39">
                  <v>36800</v>
                </pt>
                <pt idx="40">
                  <v>36831</v>
                </pt>
                <pt idx="41">
                  <v>36861</v>
                </pt>
                <pt idx="42">
                  <v>36892</v>
                </pt>
                <pt idx="43">
                  <v>36923</v>
                </pt>
                <pt idx="44">
                  <v>36951</v>
                </pt>
                <pt idx="45">
                  <v>36982</v>
                </pt>
                <pt idx="46">
                  <v>37012</v>
                </pt>
                <pt idx="47">
                  <v>37043</v>
                </pt>
                <pt idx="48">
                  <v>37073</v>
                </pt>
                <pt idx="49">
                  <v>37104</v>
                </pt>
                <pt idx="50">
                  <v>37135</v>
                </pt>
                <pt idx="51">
                  <v>37165</v>
                </pt>
                <pt idx="52">
                  <v>37196</v>
                </pt>
                <pt idx="53">
                  <v>37226</v>
                </pt>
                <pt idx="54">
                  <v>37257</v>
                </pt>
                <pt idx="55">
                  <v>37288</v>
                </pt>
                <pt idx="56">
                  <v>37316</v>
                </pt>
                <pt idx="57">
                  <v>37347</v>
                </pt>
                <pt idx="58">
                  <v>37377</v>
                </pt>
                <pt idx="59">
                  <v>37408</v>
                </pt>
                <pt idx="60">
                  <v>37438</v>
                </pt>
                <pt idx="61">
                  <v>37469</v>
                </pt>
                <pt idx="62">
                  <v>37500</v>
                </pt>
                <pt idx="63">
                  <v>37530</v>
                </pt>
                <pt idx="64">
                  <v>37561</v>
                </pt>
                <pt idx="65">
                  <v>37591</v>
                </pt>
                <pt idx="66">
                  <v>37622</v>
                </pt>
                <pt idx="67">
                  <v>37653</v>
                </pt>
                <pt idx="68">
                  <v>37681</v>
                </pt>
                <pt idx="69">
                  <v>37712</v>
                </pt>
                <pt idx="70">
                  <v>37742</v>
                </pt>
                <pt idx="71">
                  <v>37773</v>
                </pt>
                <pt idx="72">
                  <v>37803</v>
                </pt>
                <pt idx="73">
                  <v>37834</v>
                </pt>
                <pt idx="74">
                  <v>37865</v>
                </pt>
                <pt idx="75">
                  <v>37895</v>
                </pt>
                <pt idx="76">
                  <v>37926</v>
                </pt>
                <pt idx="77">
                  <v>37956</v>
                </pt>
                <pt idx="78">
                  <v>37987</v>
                </pt>
                <pt idx="79">
                  <v>38018</v>
                </pt>
                <pt idx="80">
                  <v>38047</v>
                </pt>
                <pt idx="81">
                  <v>38078</v>
                </pt>
                <pt idx="82">
                  <v>38108</v>
                </pt>
                <pt idx="83">
                  <v>38139</v>
                </pt>
                <pt idx="84">
                  <v>38169</v>
                </pt>
                <pt idx="85">
                  <v>38200</v>
                </pt>
                <pt idx="86">
                  <v>38231</v>
                </pt>
                <pt idx="87">
                  <v>38261</v>
                </pt>
                <pt idx="88">
                  <v>38292</v>
                </pt>
                <pt idx="89">
                  <v>38322</v>
                </pt>
                <pt idx="90">
                  <v>38353</v>
                </pt>
                <pt idx="91">
                  <v>38384</v>
                </pt>
                <pt idx="92">
                  <v>38412</v>
                </pt>
                <pt idx="93">
                  <v>38443</v>
                </pt>
                <pt idx="94">
                  <v>38473</v>
                </pt>
                <pt idx="95">
                  <v>38504</v>
                </pt>
                <pt idx="96">
                  <v>38534</v>
                </pt>
                <pt idx="97">
                  <v>38565</v>
                </pt>
                <pt idx="98">
                  <v>38596</v>
                </pt>
                <pt idx="99">
                  <v>38626</v>
                </pt>
                <pt idx="100">
                  <v>38657</v>
                </pt>
                <pt idx="101">
                  <v>38687</v>
                </pt>
                <pt idx="102">
                  <v>38718</v>
                </pt>
                <pt idx="103">
                  <v>38749</v>
                </pt>
                <pt idx="104">
                  <v>38777</v>
                </pt>
                <pt idx="105">
                  <v>38808</v>
                </pt>
                <pt idx="106">
                  <v>38838</v>
                </pt>
                <pt idx="107">
                  <v>38869</v>
                </pt>
                <pt idx="108">
                  <v>38899</v>
                </pt>
                <pt idx="109">
                  <v>38930</v>
                </pt>
                <pt idx="110">
                  <v>38961</v>
                </pt>
                <pt idx="111">
                  <v>38991</v>
                </pt>
                <pt idx="112">
                  <v>39022</v>
                </pt>
                <pt idx="113">
                  <v>39052</v>
                </pt>
                <pt idx="114">
                  <v>39083</v>
                </pt>
                <pt idx="115">
                  <v>39114</v>
                </pt>
                <pt idx="116">
                  <v>39142</v>
                </pt>
                <pt idx="117">
                  <v>39173</v>
                </pt>
                <pt idx="118">
                  <v>39203</v>
                </pt>
                <pt idx="119">
                  <v>39234</v>
                </pt>
                <pt idx="120">
                  <v>39264</v>
                </pt>
                <pt idx="121">
                  <v>39295</v>
                </pt>
                <pt idx="122">
                  <v>39326</v>
                </pt>
                <pt idx="123">
                  <v>39356</v>
                </pt>
                <pt idx="124">
                  <v>39387</v>
                </pt>
                <pt idx="125">
                  <v>39417</v>
                </pt>
                <pt idx="126">
                  <v>39448</v>
                </pt>
                <pt idx="127">
                  <v>39479</v>
                </pt>
                <pt idx="128">
                  <v>39508</v>
                </pt>
                <pt idx="129">
                  <v>39539</v>
                </pt>
                <pt idx="130">
                  <v>39569</v>
                </pt>
                <pt idx="131">
                  <v>39600</v>
                </pt>
                <pt idx="132">
                  <v>39630</v>
                </pt>
                <pt idx="133">
                  <v>39661</v>
                </pt>
                <pt idx="134">
                  <v>39692</v>
                </pt>
                <pt idx="135">
                  <v>39722</v>
                </pt>
                <pt idx="136">
                  <v>39753</v>
                </pt>
                <pt idx="137">
                  <v>39783</v>
                </pt>
                <pt idx="138">
                  <v>39814</v>
                </pt>
                <pt idx="139">
                  <v>39845</v>
                </pt>
                <pt idx="140">
                  <v>39873</v>
                </pt>
                <pt idx="141">
                  <v>39904</v>
                </pt>
                <pt idx="142">
                  <v>39934</v>
                </pt>
                <pt idx="143">
                  <v>39965</v>
                </pt>
                <pt idx="144">
                  <v>39995</v>
                </pt>
                <pt idx="145">
                  <v>40026</v>
                </pt>
                <pt idx="146">
                  <v>40057</v>
                </pt>
                <pt idx="147">
                  <v>40087</v>
                </pt>
                <pt idx="148">
                  <v>40118</v>
                </pt>
                <pt idx="149">
                  <v>40148</v>
                </pt>
                <pt idx="150">
                  <v>40179</v>
                </pt>
                <pt idx="151">
                  <v>40210</v>
                </pt>
                <pt idx="152">
                  <v>40238</v>
                </pt>
                <pt idx="153">
                  <v>40269</v>
                </pt>
                <pt idx="154">
                  <v>40299</v>
                </pt>
                <pt idx="155">
                  <v>40330</v>
                </pt>
                <pt idx="156">
                  <v>40360</v>
                </pt>
                <pt idx="157">
                  <v>40391</v>
                </pt>
                <pt idx="158">
                  <v>40422</v>
                </pt>
                <pt idx="159">
                  <v>40452</v>
                </pt>
                <pt idx="160">
                  <v>40483</v>
                </pt>
                <pt idx="161">
                  <v>40513</v>
                </pt>
                <pt idx="162">
                  <v>40544</v>
                </pt>
                <pt idx="163">
                  <v>40575</v>
                </pt>
                <pt idx="164">
                  <v>40603</v>
                </pt>
                <pt idx="165">
                  <v>40634</v>
                </pt>
                <pt idx="166">
                  <v>40664</v>
                </pt>
                <pt idx="167">
                  <v>40695</v>
                </pt>
                <pt idx="168">
                  <v>40725</v>
                </pt>
                <pt idx="169">
                  <v>40756</v>
                </pt>
                <pt idx="170">
                  <v>40787</v>
                </pt>
                <pt idx="171">
                  <v>40817</v>
                </pt>
                <pt idx="172">
                  <v>40848</v>
                </pt>
                <pt idx="173">
                  <v>40878</v>
                </pt>
                <pt idx="174">
                  <v>40909</v>
                </pt>
                <pt idx="175">
                  <v>40940</v>
                </pt>
                <pt idx="176">
                  <v>40969</v>
                </pt>
                <pt idx="177">
                  <v>41000</v>
                </pt>
                <pt idx="178">
                  <v>41030</v>
                </pt>
                <pt idx="179">
                  <v>41061</v>
                </pt>
                <pt idx="180">
                  <v>41091</v>
                </pt>
                <pt idx="181">
                  <v>41122</v>
                </pt>
                <pt idx="182">
                  <v>41153</v>
                </pt>
                <pt idx="183">
                  <v>41183</v>
                </pt>
                <pt idx="184">
                  <v>41214</v>
                </pt>
                <pt idx="185">
                  <v>41244</v>
                </pt>
                <pt idx="186">
                  <v>41275</v>
                </pt>
                <pt idx="187">
                  <v>41306</v>
                </pt>
                <pt idx="188">
                  <v>41334</v>
                </pt>
                <pt idx="189">
                  <v>41365</v>
                </pt>
                <pt idx="190">
                  <v>41395</v>
                </pt>
                <pt idx="191">
                  <v>41426</v>
                </pt>
                <pt idx="192">
                  <v>41456</v>
                </pt>
                <pt idx="193">
                  <v>41487</v>
                </pt>
                <pt idx="194">
                  <v>41518</v>
                </pt>
                <pt idx="195">
                  <v>41548</v>
                </pt>
                <pt idx="196">
                  <v>41579</v>
                </pt>
                <pt idx="197">
                  <v>41609</v>
                </pt>
                <pt idx="198">
                  <v>41640</v>
                </pt>
                <pt idx="199">
                  <v>41671</v>
                </pt>
                <pt idx="200">
                  <v>41699</v>
                </pt>
                <pt idx="201">
                  <v>41730</v>
                </pt>
                <pt idx="202">
                  <v>41760</v>
                </pt>
                <pt idx="203">
                  <v>41791</v>
                </pt>
                <pt idx="204">
                  <v>41821</v>
                </pt>
                <pt idx="205">
                  <v>41852</v>
                </pt>
                <pt idx="206">
                  <v>41883</v>
                </pt>
                <pt idx="207">
                  <v>41913</v>
                </pt>
                <pt idx="208">
                  <v>41944</v>
                </pt>
                <pt idx="209">
                  <v>41974</v>
                </pt>
                <pt idx="210">
                  <v>42005</v>
                </pt>
                <pt idx="211">
                  <v>42036</v>
                </pt>
                <pt idx="212">
                  <v>42064</v>
                </pt>
                <pt idx="213">
                  <v>42095</v>
                </pt>
                <pt idx="214">
                  <v>42125</v>
                </pt>
                <pt idx="215">
                  <v>42156</v>
                </pt>
                <pt idx="216">
                  <v>42186</v>
                </pt>
                <pt idx="217">
                  <v>42217</v>
                </pt>
                <pt idx="218">
                  <v>42248</v>
                </pt>
                <pt idx="219">
                  <v>42278</v>
                </pt>
                <pt idx="220">
                  <v>42309</v>
                </pt>
                <pt idx="221">
                  <v>42339</v>
                </pt>
                <pt idx="222">
                  <v>42370</v>
                </pt>
                <pt idx="223">
                  <v>42401</v>
                </pt>
                <pt idx="224">
                  <v>42430</v>
                </pt>
                <pt idx="225">
                  <v>42461</v>
                </pt>
                <pt idx="226">
                  <v>42491</v>
                </pt>
                <pt idx="227">
                  <v>42522</v>
                </pt>
                <pt idx="228">
                  <v>42552</v>
                </pt>
                <pt idx="229">
                  <v>42583</v>
                </pt>
                <pt idx="230">
                  <v>42614</v>
                </pt>
                <pt idx="231">
                  <v>42644</v>
                </pt>
                <pt idx="232">
                  <v>42675</v>
                </pt>
                <pt idx="233">
                  <v>42705</v>
                </pt>
                <pt idx="234">
                  <v>42736</v>
                </pt>
                <pt idx="235">
                  <v>42767</v>
                </pt>
                <pt idx="236">
                  <v>42795</v>
                </pt>
                <pt idx="237">
                  <v>42826</v>
                </pt>
                <pt idx="238">
                  <v>42856</v>
                </pt>
                <pt idx="239">
                  <v>42887</v>
                </pt>
                <pt idx="240">
                  <v>42917</v>
                </pt>
                <pt idx="241">
                  <v>42948</v>
                </pt>
                <pt idx="242">
                  <v>42979</v>
                </pt>
                <pt idx="243">
                  <v>43009</v>
                </pt>
                <pt idx="244">
                  <v>43040</v>
                </pt>
                <pt idx="245">
                  <v>43070</v>
                </pt>
                <pt idx="246">
                  <v>43101</v>
                </pt>
                <pt idx="247">
                  <v>43132</v>
                </pt>
                <pt idx="248">
                  <v>43160</v>
                </pt>
                <pt idx="249">
                  <v>43191</v>
                </pt>
                <pt idx="250">
                  <v>43221</v>
                </pt>
                <pt idx="251">
                  <v>43252</v>
                </pt>
                <pt idx="252">
                  <v>43282</v>
                </pt>
                <pt idx="253">
                  <v>43313</v>
                </pt>
                <pt idx="254">
                  <v>43344</v>
                </pt>
                <pt idx="255">
                  <v>43374</v>
                </pt>
                <pt idx="256">
                  <v>43405</v>
                </pt>
                <pt idx="257">
                  <v>43435</v>
                </pt>
                <pt idx="258">
                  <v>43466</v>
                </pt>
                <pt idx="259">
                  <v>43497</v>
                </pt>
                <pt idx="260">
                  <v>43525</v>
                </pt>
                <pt idx="261">
                  <v>43556</v>
                </pt>
                <pt idx="262">
                  <v>43586</v>
                </pt>
                <pt idx="263">
                  <v>43617</v>
                </pt>
                <pt idx="264">
                  <v>43647</v>
                </pt>
                <pt idx="265">
                  <v>43678</v>
                </pt>
                <pt idx="266">
                  <v>43709</v>
                </pt>
                <pt idx="267">
                  <v>43739</v>
                </pt>
                <pt idx="268">
                  <v>43770</v>
                </pt>
                <pt idx="269">
                  <v>43800</v>
                </pt>
                <pt idx="270">
                  <v>43831</v>
                </pt>
                <pt idx="271">
                  <v>43862</v>
                </pt>
                <pt idx="272">
                  <v>43891</v>
                </pt>
                <pt idx="273">
                  <v>43922</v>
                </pt>
                <pt idx="274">
                  <v>43952</v>
                </pt>
                <pt idx="275">
                  <v>43983</v>
                </pt>
                <pt idx="276">
                  <v>44013</v>
                </pt>
                <pt idx="277">
                  <v>44044</v>
                </pt>
                <pt idx="278">
                  <v>44075</v>
                </pt>
                <pt idx="279">
                  <v>44105</v>
                </pt>
                <pt idx="280">
                  <v>44136</v>
                </pt>
                <pt idx="281">
                  <v>44166</v>
                </pt>
                <pt idx="282">
                  <v>44197</v>
                </pt>
                <pt idx="283">
                  <v>44228</v>
                </pt>
                <pt idx="284">
                  <v>44256</v>
                </pt>
                <pt idx="285">
                  <v>44287</v>
                </pt>
                <pt idx="286">
                  <v>44317</v>
                </pt>
                <pt idx="287">
                  <v>44348</v>
                </pt>
                <pt idx="288">
                  <v>44378</v>
                </pt>
                <pt idx="289">
                  <v>44409</v>
                </pt>
                <pt idx="290">
                  <v>44440</v>
                </pt>
                <pt idx="291">
                  <v>44470</v>
                </pt>
                <pt idx="292">
                  <v>44501</v>
                </pt>
                <pt idx="293">
                  <v>44531</v>
                </pt>
                <pt idx="294">
                  <v>44562</v>
                </pt>
                <pt idx="295">
                  <v>44593</v>
                </pt>
                <pt idx="296">
                  <v>44621</v>
                </pt>
                <pt idx="297">
                  <v>44652</v>
                </pt>
                <pt idx="298">
                  <v>44682</v>
                </pt>
                <pt idx="299">
                  <v>44713</v>
                </pt>
              </numCache>
            </numRef>
          </cat>
          <val>
            <numRef>
              <f>Details!$B$6:$B$307</f>
              <numCache>
                <formatCode>0.00</formatCode>
                <ptCount val="302"/>
                <pt idx="0">
                  <v>0</v>
                </pt>
                <pt idx="1">
                  <v>0</v>
                </pt>
                <pt idx="2">
                  <v>0</v>
                </pt>
                <pt idx="3">
                  <v>0</v>
                </pt>
                <pt idx="4">
                  <v>0</v>
                </pt>
                <pt idx="5">
                  <v>0</v>
                </pt>
                <pt idx="6">
                  <v>57.4</v>
                </pt>
                <pt idx="7">
                  <v>59.1</v>
                </pt>
                <pt idx="8">
                  <v>55.1</v>
                </pt>
                <pt idx="9">
                  <v>57.5</v>
                </pt>
                <pt idx="10">
                  <v>60.2</v>
                </pt>
                <pt idx="11">
                  <v>55.8</v>
                </pt>
                <pt idx="12">
                  <v>58.2</v>
                </pt>
                <pt idx="13">
                  <v>55.3</v>
                </pt>
                <pt idx="14">
                  <v>55.9</v>
                </pt>
                <pt idx="15">
                  <v>54.7</v>
                </pt>
                <pt idx="16">
                  <v>52.7</v>
                </pt>
                <pt idx="17">
                  <v>53.5</v>
                </pt>
                <pt idx="18">
                  <v>57.5</v>
                </pt>
                <pt idx="19">
                  <v>56.6</v>
                </pt>
                <pt idx="20">
                  <v>58.1</v>
                </pt>
                <pt idx="21">
                  <v>58.6</v>
                </pt>
                <pt idx="22">
                  <v>56.4</v>
                </pt>
                <pt idx="23">
                  <v>59.7</v>
                </pt>
                <pt idx="24">
                  <v>58.1</v>
                </pt>
                <pt idx="25">
                  <v>59.6</v>
                </pt>
                <pt idx="26">
                  <v>60.1</v>
                </pt>
                <pt idx="27">
                  <v>62</v>
                </pt>
                <pt idx="28">
                  <v>55.5</v>
                </pt>
                <pt idx="29">
                  <v>61.1</v>
                </pt>
                <pt idx="30">
                  <v>60.8</v>
                </pt>
                <pt idx="31">
                  <v>58.9</v>
                </pt>
                <pt idx="32">
                  <v>61.7</v>
                </pt>
                <pt idx="33">
                  <v>61.5</v>
                </pt>
                <pt idx="34">
                  <v>60.5</v>
                </pt>
                <pt idx="35">
                  <v>59.4</v>
                </pt>
                <pt idx="36">
                  <v>59.7</v>
                </pt>
                <pt idx="37">
                  <v>59.8</v>
                </pt>
                <pt idx="38">
                  <v>60.4</v>
                </pt>
                <pt idx="39">
                  <v>59.2</v>
                </pt>
                <pt idx="40">
                  <v>56.4</v>
                </pt>
                <pt idx="41">
                  <v>54.9</v>
                </pt>
                <pt idx="42">
                  <v>50.8</v>
                </pt>
                <pt idx="43">
                  <v>51.4</v>
                </pt>
                <pt idx="44">
                  <v>52.6</v>
                </pt>
                <pt idx="45">
                  <v>47.2</v>
                </pt>
                <pt idx="46">
                  <v>49.3</v>
                </pt>
                <pt idx="47">
                  <v>52.2</v>
                </pt>
                <pt idx="48">
                  <v>47.5</v>
                </pt>
                <pt idx="49">
                  <v>46.5</v>
                </pt>
                <pt idx="50">
                  <v>50.8</v>
                </pt>
                <pt idx="51">
                  <v>41.3</v>
                </pt>
                <pt idx="52">
                  <v>46.4</v>
                </pt>
                <pt idx="53">
                  <v>49.9</v>
                </pt>
                <pt idx="54">
                  <v>48.3</v>
                </pt>
                <pt idx="55">
                  <v>56.3</v>
                </pt>
                <pt idx="56">
                  <v>56.4</v>
                </pt>
                <pt idx="57">
                  <v>58.4</v>
                </pt>
                <pt idx="58">
                  <v>57.3</v>
                </pt>
                <pt idx="59">
                  <v>56.4</v>
                </pt>
                <pt idx="60">
                  <v>50.7</v>
                </pt>
                <pt idx="61">
                  <v>51.6</v>
                </pt>
                <pt idx="62">
                  <v>54.8</v>
                </pt>
                <pt idx="63">
                  <v>52.3</v>
                </pt>
                <pt idx="64">
                  <v>56.4</v>
                </pt>
                <pt idx="65">
                  <v>54.2</v>
                </pt>
                <pt idx="66">
                  <v>54.4</v>
                </pt>
                <pt idx="67">
                  <v>53.9</v>
                </pt>
                <pt idx="68">
                  <v>49.9</v>
                </pt>
                <pt idx="69">
                  <v>50.4</v>
                </pt>
                <pt idx="70">
                  <v>55.9</v>
                </pt>
                <pt idx="71">
                  <v>57.1</v>
                </pt>
                <pt idx="72">
                  <v>62.3</v>
                </pt>
                <pt idx="73">
                  <v>66.90000000000001</v>
                </pt>
                <pt idx="74">
                  <v>61.4</v>
                </pt>
                <pt idx="75">
                  <v>64.2</v>
                </pt>
                <pt idx="76">
                  <v>61.3</v>
                </pt>
                <pt idx="77">
                  <v>61.2</v>
                </pt>
                <pt idx="78">
                  <v>65.40000000000001</v>
                </pt>
                <pt idx="79">
                  <v>61.2</v>
                </pt>
                <pt idx="80">
                  <v>62.1</v>
                </pt>
                <pt idx="81">
                  <v>61.6</v>
                </pt>
                <pt idx="82">
                  <v>60.7</v>
                </pt>
                <pt idx="83">
                  <v>62.1</v>
                </pt>
                <pt idx="84">
                  <v>63.2</v>
                </pt>
                <pt idx="85">
                  <v>59</v>
                </pt>
                <pt idx="86">
                  <v>60.6</v>
                </pt>
                <pt idx="87">
                  <v>61.7</v>
                </pt>
                <pt idx="88">
                  <v>61.1</v>
                </pt>
                <pt idx="89">
                  <v>63.2</v>
                </pt>
                <pt idx="90">
                  <v>62.4</v>
                </pt>
                <pt idx="91">
                  <v>63.3</v>
                </pt>
                <pt idx="92">
                  <v>60.5</v>
                </pt>
                <pt idx="93">
                  <v>57.5</v>
                </pt>
                <pt idx="94">
                  <v>58.2</v>
                </pt>
                <pt idx="95">
                  <v>59.2</v>
                </pt>
                <pt idx="96">
                  <v>64.40000000000001</v>
                </pt>
                <pt idx="97">
                  <v>65.3</v>
                </pt>
                <pt idx="98">
                  <v>56.2</v>
                </pt>
                <pt idx="99">
                  <v>57.5</v>
                </pt>
                <pt idx="100">
                  <v>59.6</v>
                </pt>
                <pt idx="101">
                  <v>62.8</v>
                </pt>
                <pt idx="102">
                  <v>57.4</v>
                </pt>
                <pt idx="103">
                  <v>57.8</v>
                </pt>
                <pt idx="104">
                  <v>58.6</v>
                </pt>
                <pt idx="105">
                  <v>61.1</v>
                </pt>
                <pt idx="106">
                  <v>58.6</v>
                </pt>
                <pt idx="107">
                  <v>57</v>
                </pt>
                <pt idx="108">
                  <v>58.1</v>
                </pt>
                <pt idx="109">
                  <v>53.1</v>
                </pt>
                <pt idx="110">
                  <v>56.5</v>
                </pt>
                <pt idx="111">
                  <v>55.3</v>
                </pt>
                <pt idx="112">
                  <v>56.7</v>
                </pt>
                <pt idx="113">
                  <v>54.8</v>
                </pt>
                <pt idx="114">
                  <v>55.6</v>
                </pt>
                <pt idx="115">
                  <v>55.7</v>
                </pt>
                <pt idx="116">
                  <v>53.2</v>
                </pt>
                <pt idx="117">
                  <v>54.9</v>
                </pt>
                <pt idx="118">
                  <v>57.1</v>
                </pt>
                <pt idx="119">
                  <v>57.2</v>
                </pt>
                <pt idx="120">
                  <v>54.5</v>
                </pt>
                <pt idx="121">
                  <v>56.7</v>
                </pt>
                <pt idx="122">
                  <v>52.6</v>
                </pt>
                <pt idx="123">
                  <v>55.3</v>
                </pt>
                <pt idx="124">
                  <v>51.9</v>
                </pt>
                <pt idx="125">
                  <v>52.5</v>
                </pt>
                <pt idx="126">
                  <v>43.3</v>
                </pt>
                <pt idx="127">
                  <v>50.1</v>
                </pt>
                <pt idx="128">
                  <v>49.3</v>
                </pt>
                <pt idx="129">
                  <v>50.3</v>
                </pt>
                <pt idx="130">
                  <v>54.2</v>
                </pt>
                <pt idx="131">
                  <v>49.2</v>
                </pt>
                <pt idx="132">
                  <v>49</v>
                </pt>
                <pt idx="133">
                  <v>50.7</v>
                </pt>
                <pt idx="134">
                  <v>49.5</v>
                </pt>
                <pt idx="135">
                  <v>44.1</v>
                </pt>
                <pt idx="136">
                  <v>35.3</v>
                </pt>
                <pt idx="137">
                  <v>38.7</v>
                </pt>
                <pt idx="138">
                  <v>40.7</v>
                </pt>
                <pt idx="139">
                  <v>40.4</v>
                </pt>
                <pt idx="140">
                  <v>37.2</v>
                </pt>
                <pt idx="141">
                  <v>46.8</v>
                </pt>
                <pt idx="142">
                  <v>45.9</v>
                </pt>
                <pt idx="143">
                  <v>49.6</v>
                </pt>
                <pt idx="144">
                  <v>49.7</v>
                </pt>
                <pt idx="145">
                  <v>51.7</v>
                </pt>
                <pt idx="146">
                  <v>53.3</v>
                </pt>
                <pt idx="147">
                  <v>55.4</v>
                </pt>
                <pt idx="148">
                  <v>54.9</v>
                </pt>
                <pt idx="149">
                  <v>51.6</v>
                </pt>
                <pt idx="150">
                  <v>52.9</v>
                </pt>
                <pt idx="151">
                  <v>53.4</v>
                </pt>
                <pt idx="152">
                  <v>58.1</v>
                </pt>
                <pt idx="153">
                  <v>58.1</v>
                </pt>
                <pt idx="154">
                  <v>57.9</v>
                </pt>
                <pt idx="155">
                  <v>56.6</v>
                </pt>
                <pt idx="156">
                  <v>58.2</v>
                </pt>
                <pt idx="157">
                  <v>54.4</v>
                </pt>
                <pt idx="158">
                  <v>54.3</v>
                </pt>
                <pt idx="159">
                  <v>58.3</v>
                </pt>
                <pt idx="160">
                  <v>58.4</v>
                </pt>
                <pt idx="161">
                  <v>62.1</v>
                </pt>
                <pt idx="162">
                  <v>63</v>
                </pt>
                <pt idx="163">
                  <v>61.9</v>
                </pt>
                <pt idx="164">
                  <v>59.5</v>
                </pt>
                <pt idx="165">
                  <v>56.3</v>
                </pt>
                <pt idx="166">
                  <v>56</v>
                </pt>
                <pt idx="167">
                  <v>55.4</v>
                </pt>
                <pt idx="168">
                  <v>53.7</v>
                </pt>
                <pt idx="169">
                  <v>53.9</v>
                </pt>
                <pt idx="170">
                  <v>54.6</v>
                </pt>
                <pt idx="171">
                  <v>53.4</v>
                </pt>
                <pt idx="172">
                  <v>53.4</v>
                </pt>
                <pt idx="173">
                  <v>54.1</v>
                </pt>
                <pt idx="174">
                  <v>59.5</v>
                </pt>
                <pt idx="175">
                  <v>59.9</v>
                </pt>
                <pt idx="176">
                  <v>57.9</v>
                </pt>
                <pt idx="177">
                  <v>55.1</v>
                </pt>
                <pt idx="178">
                  <v>55.6</v>
                </pt>
                <pt idx="179">
                  <v>55.7</v>
                </pt>
                <pt idx="180">
                  <v>54.3</v>
                </pt>
                <pt idx="181">
                  <v>53.6</v>
                </pt>
                <pt idx="182">
                  <v>55.6</v>
                </pt>
                <pt idx="183">
                  <v>55.5</v>
                </pt>
                <pt idx="184">
                  <v>57.1</v>
                </pt>
                <pt idx="185">
                  <v>58.8</v>
                </pt>
                <pt idx="186">
                  <v>56.7</v>
                </pt>
                <pt idx="187">
                  <v>58.9</v>
                </pt>
                <pt idx="188">
                  <v>56.5</v>
                </pt>
                <pt idx="189">
                  <v>55.4</v>
                </pt>
                <pt idx="190">
                  <v>56.1</v>
                </pt>
                <pt idx="191">
                  <v>54.1</v>
                </pt>
                <pt idx="192">
                  <v>55.3</v>
                </pt>
                <pt idx="193">
                  <v>57.8</v>
                </pt>
                <pt idx="194">
                  <v>57.1</v>
                </pt>
                <pt idx="195">
                  <v>56</v>
                </pt>
                <pt idx="196">
                  <v>55.4</v>
                </pt>
                <pt idx="197">
                  <v>50.2</v>
                </pt>
                <pt idx="198">
                  <v>52.9</v>
                </pt>
                <pt idx="199">
                  <v>54.4</v>
                </pt>
                <pt idx="200">
                  <v>55.3</v>
                </pt>
                <pt idx="201">
                  <v>58</v>
                </pt>
                <pt idx="202">
                  <v>60.2</v>
                </pt>
                <pt idx="203">
                  <v>60.9</v>
                </pt>
                <pt idx="204">
                  <v>60.7</v>
                </pt>
                <pt idx="205">
                  <v>61.4</v>
                </pt>
                <pt idx="206">
                  <v>59.9</v>
                </pt>
                <pt idx="207">
                  <v>58.5</v>
                </pt>
                <pt idx="208">
                  <v>61.4</v>
                </pt>
                <pt idx="209">
                  <v>58.7</v>
                </pt>
                <pt idx="210">
                  <v>60.5</v>
                </pt>
                <pt idx="211">
                  <v>58.8</v>
                </pt>
                <pt idx="212">
                  <v>58.9</v>
                </pt>
                <pt idx="213">
                  <v>58.7</v>
                </pt>
                <pt idx="214">
                  <v>58.4</v>
                </pt>
                <pt idx="215">
                  <v>58.3</v>
                </pt>
                <pt idx="216">
                  <v>60.9</v>
                </pt>
                <pt idx="217">
                  <v>62.7</v>
                </pt>
                <pt idx="218">
                  <v>56</v>
                </pt>
                <pt idx="219">
                  <v>61</v>
                </pt>
                <pt idx="220">
                  <v>58.2</v>
                </pt>
                <pt idx="221">
                  <v>57.9</v>
                </pt>
                <pt idx="222">
                  <v>57</v>
                </pt>
                <pt idx="223">
                  <v>56.8</v>
                </pt>
                <pt idx="224">
                  <v>57.4</v>
                </pt>
                <pt idx="225">
                  <v>59.5</v>
                </pt>
                <pt idx="226">
                  <v>54.8</v>
                </pt>
                <pt idx="227">
                  <v>58.9</v>
                </pt>
                <pt idx="228">
                  <v>58.5</v>
                </pt>
                <pt idx="229">
                  <v>52</v>
                </pt>
                <pt idx="230">
                  <v>59.6</v>
                </pt>
                <pt idx="231">
                  <v>57.7</v>
                </pt>
                <pt idx="232">
                  <v>57.4</v>
                </pt>
                <pt idx="233">
                  <v>60.7</v>
                </pt>
                <pt idx="234">
                  <v>58.6</v>
                </pt>
                <pt idx="235">
                  <v>61.2</v>
                </pt>
                <pt idx="236">
                  <v>58.9</v>
                </pt>
                <pt idx="237">
                  <v>63.2</v>
                </pt>
                <pt idx="238">
                  <v>57.7</v>
                </pt>
                <pt idx="239">
                  <v>60.5</v>
                </pt>
                <pt idx="240">
                  <v>55.1</v>
                </pt>
                <pt idx="241">
                  <v>57.1</v>
                </pt>
                <pt idx="242">
                  <v>63</v>
                </pt>
                <pt idx="243">
                  <v>62.8</v>
                </pt>
                <pt idx="244">
                  <v>58.7</v>
                </pt>
                <pt idx="245">
                  <v>54.3</v>
                </pt>
                <pt idx="246">
                  <v>62.7</v>
                </pt>
                <pt idx="247">
                  <v>64.8</v>
                </pt>
                <pt idx="248">
                  <v>59.5</v>
                </pt>
                <pt idx="249">
                  <v>60</v>
                </pt>
                <pt idx="250">
                  <v>60.5</v>
                </pt>
                <pt idx="251">
                  <v>63.2</v>
                </pt>
                <pt idx="252">
                  <v>57</v>
                </pt>
                <pt idx="253">
                  <v>60.4</v>
                </pt>
                <pt idx="254">
                  <v>61.6</v>
                </pt>
                <pt idx="255">
                  <v>61.5</v>
                </pt>
                <pt idx="256">
                  <v>62.5</v>
                </pt>
                <pt idx="257">
                  <v>62.7</v>
                </pt>
                <pt idx="258">
                  <v>57.7</v>
                </pt>
                <pt idx="259">
                  <v>65.2</v>
                </pt>
                <pt idx="260">
                  <v>59</v>
                </pt>
                <pt idx="261">
                  <v>58.1</v>
                </pt>
                <pt idx="262">
                  <v>58.6</v>
                </pt>
                <pt idx="263">
                  <v>55.8</v>
                </pt>
                <pt idx="264">
                  <v>54.1</v>
                </pt>
                <pt idx="265">
                  <v>60.3</v>
                </pt>
                <pt idx="266">
                  <v>53.7</v>
                </pt>
                <pt idx="267">
                  <v>55.6</v>
                </pt>
                <pt idx="268">
                  <v>57.1</v>
                </pt>
                <pt idx="269">
                  <v>54.9</v>
                </pt>
                <pt idx="270">
                  <v>56.2</v>
                </pt>
                <pt idx="271">
                  <v>63.1</v>
                </pt>
                <pt idx="272">
                  <v>52.9</v>
                </pt>
                <pt idx="273">
                  <v>32.9</v>
                </pt>
                <pt idx="274">
                  <v>41.9</v>
                </pt>
                <pt idx="275">
                  <v>61.6</v>
                </pt>
                <pt idx="276">
                  <v>67.7</v>
                </pt>
                <pt idx="277">
                  <v>56.8</v>
                </pt>
                <pt idx="278">
                  <v>61.5</v>
                </pt>
                <pt idx="279">
                  <v>58.8</v>
                </pt>
                <pt idx="280">
                  <v>57.2</v>
                </pt>
                <pt idx="281">
                  <v>58.5</v>
                </pt>
                <pt idx="282">
                  <v>61.8</v>
                </pt>
                <pt idx="283">
                  <v>51.9</v>
                </pt>
                <pt idx="284">
                  <v>67.2</v>
                </pt>
                <pt idx="285">
                  <v>63.2</v>
                </pt>
                <pt idx="286">
                  <v>63.9</v>
                </pt>
                <pt idx="287">
                  <v>62.1</v>
                </pt>
                <pt idx="288">
                  <v>63.7</v>
                </pt>
                <pt idx="289">
                  <v>63.2</v>
                </pt>
                <pt idx="290">
                  <v>63.5</v>
                </pt>
                <pt idx="291">
                  <v>69.7</v>
                </pt>
                <pt idx="292">
                  <v>69.7</v>
                </pt>
                <pt idx="293">
                  <v>61.5</v>
                </pt>
                <pt idx="294">
                  <v>61.7</v>
                </pt>
                <pt idx="295">
                  <v>56.1</v>
                </pt>
                <pt idx="296">
                  <v>60.1</v>
                </pt>
                <pt idx="297">
                  <v>54.6</v>
                </pt>
                <pt idx="298">
                  <v>57.6</v>
                </pt>
                <pt idx="299">
                  <v>55.6</v>
                </pt>
              </numCache>
            </numRef>
          </val>
          <smooth val="0"/>
        </ser>
        <dLbls>
          <showLegendKey val="0"/>
          <showVal val="0"/>
          <showCatName val="0"/>
          <showSerName val="0"/>
          <showPercent val="0"/>
          <showBubbleSize val="0"/>
        </dLbls>
        <smooth val="0"/>
        <axId val="946929536"/>
        <axId val="946929864"/>
      </lineChart>
      <dateAx>
        <axId val="946929536"/>
        <scaling>
          <orientation val="minMax"/>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864"/>
        <crosses val="autoZero"/>
        <lblOffset val="100"/>
        <baseTimeUnit val="months"/>
      </dateAx>
      <valAx>
        <axId val="946929864"/>
        <scaling>
          <orientation val="minMax"/>
          <min val="3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536"/>
        <crosses val="autoZero"/>
        <crossBetween val="between"/>
      </valAx>
    </plotArea>
    <plotVisOnly val="1"/>
    <dispBlanksAs val="gap"/>
  </chart>
</chartSpace>
</file>

<file path=xl/charts/chart58.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New Orders</a:t>
            </a:r>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Details!$B$5</f>
              <strCache>
                <ptCount val="1"/>
                <pt idx="0">
                  <v>New Orders</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Details!$A$6:$A$307</f>
              <numCache>
                <formatCode>m/d/yy</formatCode>
                <ptCount val="302"/>
                <pt idx="0">
                  <v>35612</v>
                </pt>
                <pt idx="1">
                  <v>35643</v>
                </pt>
                <pt idx="2">
                  <v>35674</v>
                </pt>
                <pt idx="3">
                  <v>35704</v>
                </pt>
                <pt idx="4">
                  <v>35735</v>
                </pt>
                <pt idx="5">
                  <v>35765</v>
                </pt>
                <pt idx="6">
                  <v>35796</v>
                </pt>
                <pt idx="7">
                  <v>35827</v>
                </pt>
                <pt idx="8">
                  <v>35855</v>
                </pt>
                <pt idx="9">
                  <v>35886</v>
                </pt>
                <pt idx="10">
                  <v>35916</v>
                </pt>
                <pt idx="11">
                  <v>35947</v>
                </pt>
                <pt idx="12">
                  <v>35977</v>
                </pt>
                <pt idx="13">
                  <v>36008</v>
                </pt>
                <pt idx="14">
                  <v>36039</v>
                </pt>
                <pt idx="15">
                  <v>36069</v>
                </pt>
                <pt idx="16">
                  <v>36100</v>
                </pt>
                <pt idx="17">
                  <v>36130</v>
                </pt>
                <pt idx="18">
                  <v>36161</v>
                </pt>
                <pt idx="19">
                  <v>36192</v>
                </pt>
                <pt idx="20">
                  <v>36220</v>
                </pt>
                <pt idx="21">
                  <v>36251</v>
                </pt>
                <pt idx="22">
                  <v>36281</v>
                </pt>
                <pt idx="23">
                  <v>36312</v>
                </pt>
                <pt idx="24">
                  <v>36342</v>
                </pt>
                <pt idx="25">
                  <v>36373</v>
                </pt>
                <pt idx="26">
                  <v>36404</v>
                </pt>
                <pt idx="27">
                  <v>36434</v>
                </pt>
                <pt idx="28">
                  <v>36465</v>
                </pt>
                <pt idx="29">
                  <v>36495</v>
                </pt>
                <pt idx="30">
                  <v>36526</v>
                </pt>
                <pt idx="31">
                  <v>36557</v>
                </pt>
                <pt idx="32">
                  <v>36586</v>
                </pt>
                <pt idx="33">
                  <v>36617</v>
                </pt>
                <pt idx="34">
                  <v>36647</v>
                </pt>
                <pt idx="35">
                  <v>36678</v>
                </pt>
                <pt idx="36">
                  <v>36708</v>
                </pt>
                <pt idx="37">
                  <v>36739</v>
                </pt>
                <pt idx="38">
                  <v>36770</v>
                </pt>
                <pt idx="39">
                  <v>36800</v>
                </pt>
                <pt idx="40">
                  <v>36831</v>
                </pt>
                <pt idx="41">
                  <v>36861</v>
                </pt>
                <pt idx="42">
                  <v>36892</v>
                </pt>
                <pt idx="43">
                  <v>36923</v>
                </pt>
                <pt idx="44">
                  <v>36951</v>
                </pt>
                <pt idx="45">
                  <v>36982</v>
                </pt>
                <pt idx="46">
                  <v>37012</v>
                </pt>
                <pt idx="47">
                  <v>37043</v>
                </pt>
                <pt idx="48">
                  <v>37073</v>
                </pt>
                <pt idx="49">
                  <v>37104</v>
                </pt>
                <pt idx="50">
                  <v>37135</v>
                </pt>
                <pt idx="51">
                  <v>37165</v>
                </pt>
                <pt idx="52">
                  <v>37196</v>
                </pt>
                <pt idx="53">
                  <v>37226</v>
                </pt>
                <pt idx="54">
                  <v>37257</v>
                </pt>
                <pt idx="55">
                  <v>37288</v>
                </pt>
                <pt idx="56">
                  <v>37316</v>
                </pt>
                <pt idx="57">
                  <v>37347</v>
                </pt>
                <pt idx="58">
                  <v>37377</v>
                </pt>
                <pt idx="59">
                  <v>37408</v>
                </pt>
                <pt idx="60">
                  <v>37438</v>
                </pt>
                <pt idx="61">
                  <v>37469</v>
                </pt>
                <pt idx="62">
                  <v>37500</v>
                </pt>
                <pt idx="63">
                  <v>37530</v>
                </pt>
                <pt idx="64">
                  <v>37561</v>
                </pt>
                <pt idx="65">
                  <v>37591</v>
                </pt>
                <pt idx="66">
                  <v>37622</v>
                </pt>
                <pt idx="67">
                  <v>37653</v>
                </pt>
                <pt idx="68">
                  <v>37681</v>
                </pt>
                <pt idx="69">
                  <v>37712</v>
                </pt>
                <pt idx="70">
                  <v>37742</v>
                </pt>
                <pt idx="71">
                  <v>37773</v>
                </pt>
                <pt idx="72">
                  <v>37803</v>
                </pt>
                <pt idx="73">
                  <v>37834</v>
                </pt>
                <pt idx="74">
                  <v>37865</v>
                </pt>
                <pt idx="75">
                  <v>37895</v>
                </pt>
                <pt idx="76">
                  <v>37926</v>
                </pt>
                <pt idx="77">
                  <v>37956</v>
                </pt>
                <pt idx="78">
                  <v>37987</v>
                </pt>
                <pt idx="79">
                  <v>38018</v>
                </pt>
                <pt idx="80">
                  <v>38047</v>
                </pt>
                <pt idx="81">
                  <v>38078</v>
                </pt>
                <pt idx="82">
                  <v>38108</v>
                </pt>
                <pt idx="83">
                  <v>38139</v>
                </pt>
                <pt idx="84">
                  <v>38169</v>
                </pt>
                <pt idx="85">
                  <v>38200</v>
                </pt>
                <pt idx="86">
                  <v>38231</v>
                </pt>
                <pt idx="87">
                  <v>38261</v>
                </pt>
                <pt idx="88">
                  <v>38292</v>
                </pt>
                <pt idx="89">
                  <v>38322</v>
                </pt>
                <pt idx="90">
                  <v>38353</v>
                </pt>
                <pt idx="91">
                  <v>38384</v>
                </pt>
                <pt idx="92">
                  <v>38412</v>
                </pt>
                <pt idx="93">
                  <v>38443</v>
                </pt>
                <pt idx="94">
                  <v>38473</v>
                </pt>
                <pt idx="95">
                  <v>38504</v>
                </pt>
                <pt idx="96">
                  <v>38534</v>
                </pt>
                <pt idx="97">
                  <v>38565</v>
                </pt>
                <pt idx="98">
                  <v>38596</v>
                </pt>
                <pt idx="99">
                  <v>38626</v>
                </pt>
                <pt idx="100">
                  <v>38657</v>
                </pt>
                <pt idx="101">
                  <v>38687</v>
                </pt>
                <pt idx="102">
                  <v>38718</v>
                </pt>
                <pt idx="103">
                  <v>38749</v>
                </pt>
                <pt idx="104">
                  <v>38777</v>
                </pt>
                <pt idx="105">
                  <v>38808</v>
                </pt>
                <pt idx="106">
                  <v>38838</v>
                </pt>
                <pt idx="107">
                  <v>38869</v>
                </pt>
                <pt idx="108">
                  <v>38899</v>
                </pt>
                <pt idx="109">
                  <v>38930</v>
                </pt>
                <pt idx="110">
                  <v>38961</v>
                </pt>
                <pt idx="111">
                  <v>38991</v>
                </pt>
                <pt idx="112">
                  <v>39022</v>
                </pt>
                <pt idx="113">
                  <v>39052</v>
                </pt>
                <pt idx="114">
                  <v>39083</v>
                </pt>
                <pt idx="115">
                  <v>39114</v>
                </pt>
                <pt idx="116">
                  <v>39142</v>
                </pt>
                <pt idx="117">
                  <v>39173</v>
                </pt>
                <pt idx="118">
                  <v>39203</v>
                </pt>
                <pt idx="119">
                  <v>39234</v>
                </pt>
                <pt idx="120">
                  <v>39264</v>
                </pt>
                <pt idx="121">
                  <v>39295</v>
                </pt>
                <pt idx="122">
                  <v>39326</v>
                </pt>
                <pt idx="123">
                  <v>39356</v>
                </pt>
                <pt idx="124">
                  <v>39387</v>
                </pt>
                <pt idx="125">
                  <v>39417</v>
                </pt>
                <pt idx="126">
                  <v>39448</v>
                </pt>
                <pt idx="127">
                  <v>39479</v>
                </pt>
                <pt idx="128">
                  <v>39508</v>
                </pt>
                <pt idx="129">
                  <v>39539</v>
                </pt>
                <pt idx="130">
                  <v>39569</v>
                </pt>
                <pt idx="131">
                  <v>39600</v>
                </pt>
                <pt idx="132">
                  <v>39630</v>
                </pt>
                <pt idx="133">
                  <v>39661</v>
                </pt>
                <pt idx="134">
                  <v>39692</v>
                </pt>
                <pt idx="135">
                  <v>39722</v>
                </pt>
                <pt idx="136">
                  <v>39753</v>
                </pt>
                <pt idx="137">
                  <v>39783</v>
                </pt>
                <pt idx="138">
                  <v>39814</v>
                </pt>
                <pt idx="139">
                  <v>39845</v>
                </pt>
                <pt idx="140">
                  <v>39873</v>
                </pt>
                <pt idx="141">
                  <v>39904</v>
                </pt>
                <pt idx="142">
                  <v>39934</v>
                </pt>
                <pt idx="143">
                  <v>39965</v>
                </pt>
                <pt idx="144">
                  <v>39995</v>
                </pt>
                <pt idx="145">
                  <v>40026</v>
                </pt>
                <pt idx="146">
                  <v>40057</v>
                </pt>
                <pt idx="147">
                  <v>40087</v>
                </pt>
                <pt idx="148">
                  <v>40118</v>
                </pt>
                <pt idx="149">
                  <v>40148</v>
                </pt>
                <pt idx="150">
                  <v>40179</v>
                </pt>
                <pt idx="151">
                  <v>40210</v>
                </pt>
                <pt idx="152">
                  <v>40238</v>
                </pt>
                <pt idx="153">
                  <v>40269</v>
                </pt>
                <pt idx="154">
                  <v>40299</v>
                </pt>
                <pt idx="155">
                  <v>40330</v>
                </pt>
                <pt idx="156">
                  <v>40360</v>
                </pt>
                <pt idx="157">
                  <v>40391</v>
                </pt>
                <pt idx="158">
                  <v>40422</v>
                </pt>
                <pt idx="159">
                  <v>40452</v>
                </pt>
                <pt idx="160">
                  <v>40483</v>
                </pt>
                <pt idx="161">
                  <v>40513</v>
                </pt>
                <pt idx="162">
                  <v>40544</v>
                </pt>
                <pt idx="163">
                  <v>40575</v>
                </pt>
                <pt idx="164">
                  <v>40603</v>
                </pt>
                <pt idx="165">
                  <v>40634</v>
                </pt>
                <pt idx="166">
                  <v>40664</v>
                </pt>
                <pt idx="167">
                  <v>40695</v>
                </pt>
                <pt idx="168">
                  <v>40725</v>
                </pt>
                <pt idx="169">
                  <v>40756</v>
                </pt>
                <pt idx="170">
                  <v>40787</v>
                </pt>
                <pt idx="171">
                  <v>40817</v>
                </pt>
                <pt idx="172">
                  <v>40848</v>
                </pt>
                <pt idx="173">
                  <v>40878</v>
                </pt>
                <pt idx="174">
                  <v>40909</v>
                </pt>
                <pt idx="175">
                  <v>40940</v>
                </pt>
                <pt idx="176">
                  <v>40969</v>
                </pt>
                <pt idx="177">
                  <v>41000</v>
                </pt>
                <pt idx="178">
                  <v>41030</v>
                </pt>
                <pt idx="179">
                  <v>41061</v>
                </pt>
                <pt idx="180">
                  <v>41091</v>
                </pt>
                <pt idx="181">
                  <v>41122</v>
                </pt>
                <pt idx="182">
                  <v>41153</v>
                </pt>
                <pt idx="183">
                  <v>41183</v>
                </pt>
                <pt idx="184">
                  <v>41214</v>
                </pt>
                <pt idx="185">
                  <v>41244</v>
                </pt>
                <pt idx="186">
                  <v>41275</v>
                </pt>
                <pt idx="187">
                  <v>41306</v>
                </pt>
                <pt idx="188">
                  <v>41334</v>
                </pt>
                <pt idx="189">
                  <v>41365</v>
                </pt>
                <pt idx="190">
                  <v>41395</v>
                </pt>
                <pt idx="191">
                  <v>41426</v>
                </pt>
                <pt idx="192">
                  <v>41456</v>
                </pt>
                <pt idx="193">
                  <v>41487</v>
                </pt>
                <pt idx="194">
                  <v>41518</v>
                </pt>
                <pt idx="195">
                  <v>41548</v>
                </pt>
                <pt idx="196">
                  <v>41579</v>
                </pt>
                <pt idx="197">
                  <v>41609</v>
                </pt>
                <pt idx="198">
                  <v>41640</v>
                </pt>
                <pt idx="199">
                  <v>41671</v>
                </pt>
                <pt idx="200">
                  <v>41699</v>
                </pt>
                <pt idx="201">
                  <v>41730</v>
                </pt>
                <pt idx="202">
                  <v>41760</v>
                </pt>
                <pt idx="203">
                  <v>41791</v>
                </pt>
                <pt idx="204">
                  <v>41821</v>
                </pt>
                <pt idx="205">
                  <v>41852</v>
                </pt>
                <pt idx="206">
                  <v>41883</v>
                </pt>
                <pt idx="207">
                  <v>41913</v>
                </pt>
                <pt idx="208">
                  <v>41944</v>
                </pt>
                <pt idx="209">
                  <v>41974</v>
                </pt>
                <pt idx="210">
                  <v>42005</v>
                </pt>
                <pt idx="211">
                  <v>42036</v>
                </pt>
                <pt idx="212">
                  <v>42064</v>
                </pt>
                <pt idx="213">
                  <v>42095</v>
                </pt>
                <pt idx="214">
                  <v>42125</v>
                </pt>
                <pt idx="215">
                  <v>42156</v>
                </pt>
                <pt idx="216">
                  <v>42186</v>
                </pt>
                <pt idx="217">
                  <v>42217</v>
                </pt>
                <pt idx="218">
                  <v>42248</v>
                </pt>
                <pt idx="219">
                  <v>42278</v>
                </pt>
                <pt idx="220">
                  <v>42309</v>
                </pt>
                <pt idx="221">
                  <v>42339</v>
                </pt>
                <pt idx="222">
                  <v>42370</v>
                </pt>
                <pt idx="223">
                  <v>42401</v>
                </pt>
                <pt idx="224">
                  <v>42430</v>
                </pt>
                <pt idx="225">
                  <v>42461</v>
                </pt>
                <pt idx="226">
                  <v>42491</v>
                </pt>
                <pt idx="227">
                  <v>42522</v>
                </pt>
                <pt idx="228">
                  <v>42552</v>
                </pt>
                <pt idx="229">
                  <v>42583</v>
                </pt>
                <pt idx="230">
                  <v>42614</v>
                </pt>
                <pt idx="231">
                  <v>42644</v>
                </pt>
                <pt idx="232">
                  <v>42675</v>
                </pt>
                <pt idx="233">
                  <v>42705</v>
                </pt>
                <pt idx="234">
                  <v>42736</v>
                </pt>
                <pt idx="235">
                  <v>42767</v>
                </pt>
                <pt idx="236">
                  <v>42795</v>
                </pt>
                <pt idx="237">
                  <v>42826</v>
                </pt>
                <pt idx="238">
                  <v>42856</v>
                </pt>
                <pt idx="239">
                  <v>42887</v>
                </pt>
                <pt idx="240">
                  <v>42917</v>
                </pt>
                <pt idx="241">
                  <v>42948</v>
                </pt>
                <pt idx="242">
                  <v>42979</v>
                </pt>
                <pt idx="243">
                  <v>43009</v>
                </pt>
                <pt idx="244">
                  <v>43040</v>
                </pt>
                <pt idx="245">
                  <v>43070</v>
                </pt>
                <pt idx="246">
                  <v>43101</v>
                </pt>
                <pt idx="247">
                  <v>43132</v>
                </pt>
                <pt idx="248">
                  <v>43160</v>
                </pt>
                <pt idx="249">
                  <v>43191</v>
                </pt>
                <pt idx="250">
                  <v>43221</v>
                </pt>
                <pt idx="251">
                  <v>43252</v>
                </pt>
                <pt idx="252">
                  <v>43282</v>
                </pt>
                <pt idx="253">
                  <v>43313</v>
                </pt>
                <pt idx="254">
                  <v>43344</v>
                </pt>
                <pt idx="255">
                  <v>43374</v>
                </pt>
                <pt idx="256">
                  <v>43405</v>
                </pt>
                <pt idx="257">
                  <v>43435</v>
                </pt>
                <pt idx="258">
                  <v>43466</v>
                </pt>
                <pt idx="259">
                  <v>43497</v>
                </pt>
                <pt idx="260">
                  <v>43525</v>
                </pt>
                <pt idx="261">
                  <v>43556</v>
                </pt>
                <pt idx="262">
                  <v>43586</v>
                </pt>
                <pt idx="263">
                  <v>43617</v>
                </pt>
                <pt idx="264">
                  <v>43647</v>
                </pt>
                <pt idx="265">
                  <v>43678</v>
                </pt>
                <pt idx="266">
                  <v>43709</v>
                </pt>
                <pt idx="267">
                  <v>43739</v>
                </pt>
                <pt idx="268">
                  <v>43770</v>
                </pt>
                <pt idx="269">
                  <v>43800</v>
                </pt>
                <pt idx="270">
                  <v>43831</v>
                </pt>
                <pt idx="271">
                  <v>43862</v>
                </pt>
                <pt idx="272">
                  <v>43891</v>
                </pt>
                <pt idx="273">
                  <v>43922</v>
                </pt>
                <pt idx="274">
                  <v>43952</v>
                </pt>
                <pt idx="275">
                  <v>43983</v>
                </pt>
                <pt idx="276">
                  <v>44013</v>
                </pt>
                <pt idx="277">
                  <v>44044</v>
                </pt>
                <pt idx="278">
                  <v>44075</v>
                </pt>
                <pt idx="279">
                  <v>44105</v>
                </pt>
                <pt idx="280">
                  <v>44136</v>
                </pt>
                <pt idx="281">
                  <v>44166</v>
                </pt>
                <pt idx="282">
                  <v>44197</v>
                </pt>
                <pt idx="283">
                  <v>44228</v>
                </pt>
                <pt idx="284">
                  <v>44256</v>
                </pt>
                <pt idx="285">
                  <v>44287</v>
                </pt>
                <pt idx="286">
                  <v>44317</v>
                </pt>
                <pt idx="287">
                  <v>44348</v>
                </pt>
                <pt idx="288">
                  <v>44378</v>
                </pt>
                <pt idx="289">
                  <v>44409</v>
                </pt>
                <pt idx="290">
                  <v>44440</v>
                </pt>
                <pt idx="291">
                  <v>44470</v>
                </pt>
                <pt idx="292">
                  <v>44501</v>
                </pt>
                <pt idx="293">
                  <v>44531</v>
                </pt>
                <pt idx="294">
                  <v>44562</v>
                </pt>
                <pt idx="295">
                  <v>44593</v>
                </pt>
                <pt idx="296">
                  <v>44621</v>
                </pt>
                <pt idx="297">
                  <v>44652</v>
                </pt>
                <pt idx="298">
                  <v>44682</v>
                </pt>
                <pt idx="299">
                  <v>44713</v>
                </pt>
              </numCache>
            </numRef>
          </cat>
          <val>
            <numRef>
              <f>Details!$B$6:$B$307</f>
              <numCache>
                <formatCode>0.00</formatCode>
                <ptCount val="302"/>
                <pt idx="0">
                  <v>0</v>
                </pt>
                <pt idx="1">
                  <v>0</v>
                </pt>
                <pt idx="2">
                  <v>0</v>
                </pt>
                <pt idx="3">
                  <v>0</v>
                </pt>
                <pt idx="4">
                  <v>0</v>
                </pt>
                <pt idx="5">
                  <v>0</v>
                </pt>
                <pt idx="6">
                  <v>57.4</v>
                </pt>
                <pt idx="7">
                  <v>59.1</v>
                </pt>
                <pt idx="8">
                  <v>55.1</v>
                </pt>
                <pt idx="9">
                  <v>57.5</v>
                </pt>
                <pt idx="10">
                  <v>60.2</v>
                </pt>
                <pt idx="11">
                  <v>55.8</v>
                </pt>
                <pt idx="12">
                  <v>58.2</v>
                </pt>
                <pt idx="13">
                  <v>55.3</v>
                </pt>
                <pt idx="14">
                  <v>55.9</v>
                </pt>
                <pt idx="15">
                  <v>54.7</v>
                </pt>
                <pt idx="16">
                  <v>52.7</v>
                </pt>
                <pt idx="17">
                  <v>53.5</v>
                </pt>
                <pt idx="18">
                  <v>57.5</v>
                </pt>
                <pt idx="19">
                  <v>56.6</v>
                </pt>
                <pt idx="20">
                  <v>58.1</v>
                </pt>
                <pt idx="21">
                  <v>58.6</v>
                </pt>
                <pt idx="22">
                  <v>56.4</v>
                </pt>
                <pt idx="23">
                  <v>59.7</v>
                </pt>
                <pt idx="24">
                  <v>58.1</v>
                </pt>
                <pt idx="25">
                  <v>59.6</v>
                </pt>
                <pt idx="26">
                  <v>60.1</v>
                </pt>
                <pt idx="27">
                  <v>62</v>
                </pt>
                <pt idx="28">
                  <v>55.5</v>
                </pt>
                <pt idx="29">
                  <v>61.1</v>
                </pt>
                <pt idx="30">
                  <v>60.8</v>
                </pt>
                <pt idx="31">
                  <v>58.9</v>
                </pt>
                <pt idx="32">
                  <v>61.7</v>
                </pt>
                <pt idx="33">
                  <v>61.5</v>
                </pt>
                <pt idx="34">
                  <v>60.5</v>
                </pt>
                <pt idx="35">
                  <v>59.4</v>
                </pt>
                <pt idx="36">
                  <v>59.7</v>
                </pt>
                <pt idx="37">
                  <v>59.8</v>
                </pt>
                <pt idx="38">
                  <v>60.4</v>
                </pt>
                <pt idx="39">
                  <v>59.2</v>
                </pt>
                <pt idx="40">
                  <v>56.4</v>
                </pt>
                <pt idx="41">
                  <v>54.9</v>
                </pt>
                <pt idx="42">
                  <v>50.8</v>
                </pt>
                <pt idx="43">
                  <v>51.4</v>
                </pt>
                <pt idx="44">
                  <v>52.6</v>
                </pt>
                <pt idx="45">
                  <v>47.2</v>
                </pt>
                <pt idx="46">
                  <v>49.3</v>
                </pt>
                <pt idx="47">
                  <v>52.2</v>
                </pt>
                <pt idx="48">
                  <v>47.5</v>
                </pt>
                <pt idx="49">
                  <v>46.5</v>
                </pt>
                <pt idx="50">
                  <v>50.8</v>
                </pt>
                <pt idx="51">
                  <v>41.3</v>
                </pt>
                <pt idx="52">
                  <v>46.4</v>
                </pt>
                <pt idx="53">
                  <v>49.9</v>
                </pt>
                <pt idx="54">
                  <v>48.3</v>
                </pt>
                <pt idx="55">
                  <v>56.3</v>
                </pt>
                <pt idx="56">
                  <v>56.4</v>
                </pt>
                <pt idx="57">
                  <v>58.4</v>
                </pt>
                <pt idx="58">
                  <v>57.3</v>
                </pt>
                <pt idx="59">
                  <v>56.4</v>
                </pt>
                <pt idx="60">
                  <v>50.7</v>
                </pt>
                <pt idx="61">
                  <v>51.6</v>
                </pt>
                <pt idx="62">
                  <v>54.8</v>
                </pt>
                <pt idx="63">
                  <v>52.3</v>
                </pt>
                <pt idx="64">
                  <v>56.4</v>
                </pt>
                <pt idx="65">
                  <v>54.2</v>
                </pt>
                <pt idx="66">
                  <v>54.4</v>
                </pt>
                <pt idx="67">
                  <v>53.9</v>
                </pt>
                <pt idx="68">
                  <v>49.9</v>
                </pt>
                <pt idx="69">
                  <v>50.4</v>
                </pt>
                <pt idx="70">
                  <v>55.9</v>
                </pt>
                <pt idx="71">
                  <v>57.1</v>
                </pt>
                <pt idx="72">
                  <v>62.3</v>
                </pt>
                <pt idx="73">
                  <v>66.90000000000001</v>
                </pt>
                <pt idx="74">
                  <v>61.4</v>
                </pt>
                <pt idx="75">
                  <v>64.2</v>
                </pt>
                <pt idx="76">
                  <v>61.3</v>
                </pt>
                <pt idx="77">
                  <v>61.2</v>
                </pt>
                <pt idx="78">
                  <v>65.40000000000001</v>
                </pt>
                <pt idx="79">
                  <v>61.2</v>
                </pt>
                <pt idx="80">
                  <v>62.1</v>
                </pt>
                <pt idx="81">
                  <v>61.6</v>
                </pt>
                <pt idx="82">
                  <v>60.7</v>
                </pt>
                <pt idx="83">
                  <v>62.1</v>
                </pt>
                <pt idx="84">
                  <v>63.2</v>
                </pt>
                <pt idx="85">
                  <v>59</v>
                </pt>
                <pt idx="86">
                  <v>60.6</v>
                </pt>
                <pt idx="87">
                  <v>61.7</v>
                </pt>
                <pt idx="88">
                  <v>61.1</v>
                </pt>
                <pt idx="89">
                  <v>63.2</v>
                </pt>
                <pt idx="90">
                  <v>62.4</v>
                </pt>
                <pt idx="91">
                  <v>63.3</v>
                </pt>
                <pt idx="92">
                  <v>60.5</v>
                </pt>
                <pt idx="93">
                  <v>57.5</v>
                </pt>
                <pt idx="94">
                  <v>58.2</v>
                </pt>
                <pt idx="95">
                  <v>59.2</v>
                </pt>
                <pt idx="96">
                  <v>64.40000000000001</v>
                </pt>
                <pt idx="97">
                  <v>65.3</v>
                </pt>
                <pt idx="98">
                  <v>56.2</v>
                </pt>
                <pt idx="99">
                  <v>57.5</v>
                </pt>
                <pt idx="100">
                  <v>59.6</v>
                </pt>
                <pt idx="101">
                  <v>62.8</v>
                </pt>
                <pt idx="102">
                  <v>57.4</v>
                </pt>
                <pt idx="103">
                  <v>57.8</v>
                </pt>
                <pt idx="104">
                  <v>58.6</v>
                </pt>
                <pt idx="105">
                  <v>61.1</v>
                </pt>
                <pt idx="106">
                  <v>58.6</v>
                </pt>
                <pt idx="107">
                  <v>57</v>
                </pt>
                <pt idx="108">
                  <v>58.1</v>
                </pt>
                <pt idx="109">
                  <v>53.1</v>
                </pt>
                <pt idx="110">
                  <v>56.5</v>
                </pt>
                <pt idx="111">
                  <v>55.3</v>
                </pt>
                <pt idx="112">
                  <v>56.7</v>
                </pt>
                <pt idx="113">
                  <v>54.8</v>
                </pt>
                <pt idx="114">
                  <v>55.6</v>
                </pt>
                <pt idx="115">
                  <v>55.7</v>
                </pt>
                <pt idx="116">
                  <v>53.2</v>
                </pt>
                <pt idx="117">
                  <v>54.9</v>
                </pt>
                <pt idx="118">
                  <v>57.1</v>
                </pt>
                <pt idx="119">
                  <v>57.2</v>
                </pt>
                <pt idx="120">
                  <v>54.5</v>
                </pt>
                <pt idx="121">
                  <v>56.7</v>
                </pt>
                <pt idx="122">
                  <v>52.6</v>
                </pt>
                <pt idx="123">
                  <v>55.3</v>
                </pt>
                <pt idx="124">
                  <v>51.9</v>
                </pt>
                <pt idx="125">
                  <v>52.5</v>
                </pt>
                <pt idx="126">
                  <v>43.3</v>
                </pt>
                <pt idx="127">
                  <v>50.1</v>
                </pt>
                <pt idx="128">
                  <v>49.3</v>
                </pt>
                <pt idx="129">
                  <v>50.3</v>
                </pt>
                <pt idx="130">
                  <v>54.2</v>
                </pt>
                <pt idx="131">
                  <v>49.2</v>
                </pt>
                <pt idx="132">
                  <v>49</v>
                </pt>
                <pt idx="133">
                  <v>50.7</v>
                </pt>
                <pt idx="134">
                  <v>49.5</v>
                </pt>
                <pt idx="135">
                  <v>44.1</v>
                </pt>
                <pt idx="136">
                  <v>35.3</v>
                </pt>
                <pt idx="137">
                  <v>38.7</v>
                </pt>
                <pt idx="138">
                  <v>40.7</v>
                </pt>
                <pt idx="139">
                  <v>40.4</v>
                </pt>
                <pt idx="140">
                  <v>37.2</v>
                </pt>
                <pt idx="141">
                  <v>46.8</v>
                </pt>
                <pt idx="142">
                  <v>45.9</v>
                </pt>
                <pt idx="143">
                  <v>49.6</v>
                </pt>
                <pt idx="144">
                  <v>49.7</v>
                </pt>
                <pt idx="145">
                  <v>51.7</v>
                </pt>
                <pt idx="146">
                  <v>53.3</v>
                </pt>
                <pt idx="147">
                  <v>55.4</v>
                </pt>
                <pt idx="148">
                  <v>54.9</v>
                </pt>
                <pt idx="149">
                  <v>51.6</v>
                </pt>
                <pt idx="150">
                  <v>52.9</v>
                </pt>
                <pt idx="151">
                  <v>53.4</v>
                </pt>
                <pt idx="152">
                  <v>58.1</v>
                </pt>
                <pt idx="153">
                  <v>58.1</v>
                </pt>
                <pt idx="154">
                  <v>57.9</v>
                </pt>
                <pt idx="155">
                  <v>56.6</v>
                </pt>
                <pt idx="156">
                  <v>58.2</v>
                </pt>
                <pt idx="157">
                  <v>54.4</v>
                </pt>
                <pt idx="158">
                  <v>54.3</v>
                </pt>
                <pt idx="159">
                  <v>58.3</v>
                </pt>
                <pt idx="160">
                  <v>58.4</v>
                </pt>
                <pt idx="161">
                  <v>62.1</v>
                </pt>
                <pt idx="162">
                  <v>63</v>
                </pt>
                <pt idx="163">
                  <v>61.9</v>
                </pt>
                <pt idx="164">
                  <v>59.5</v>
                </pt>
                <pt idx="165">
                  <v>56.3</v>
                </pt>
                <pt idx="166">
                  <v>56</v>
                </pt>
                <pt idx="167">
                  <v>55.4</v>
                </pt>
                <pt idx="168">
                  <v>53.7</v>
                </pt>
                <pt idx="169">
                  <v>53.9</v>
                </pt>
                <pt idx="170">
                  <v>54.6</v>
                </pt>
                <pt idx="171">
                  <v>53.4</v>
                </pt>
                <pt idx="172">
                  <v>53.4</v>
                </pt>
                <pt idx="173">
                  <v>54.1</v>
                </pt>
                <pt idx="174">
                  <v>59.5</v>
                </pt>
                <pt idx="175">
                  <v>59.9</v>
                </pt>
                <pt idx="176">
                  <v>57.9</v>
                </pt>
                <pt idx="177">
                  <v>55.1</v>
                </pt>
                <pt idx="178">
                  <v>55.6</v>
                </pt>
                <pt idx="179">
                  <v>55.7</v>
                </pt>
                <pt idx="180">
                  <v>54.3</v>
                </pt>
                <pt idx="181">
                  <v>53.6</v>
                </pt>
                <pt idx="182">
                  <v>55.6</v>
                </pt>
                <pt idx="183">
                  <v>55.5</v>
                </pt>
                <pt idx="184">
                  <v>57.1</v>
                </pt>
                <pt idx="185">
                  <v>58.8</v>
                </pt>
                <pt idx="186">
                  <v>56.7</v>
                </pt>
                <pt idx="187">
                  <v>58.9</v>
                </pt>
                <pt idx="188">
                  <v>56.5</v>
                </pt>
                <pt idx="189">
                  <v>55.4</v>
                </pt>
                <pt idx="190">
                  <v>56.1</v>
                </pt>
                <pt idx="191">
                  <v>54.1</v>
                </pt>
                <pt idx="192">
                  <v>55.3</v>
                </pt>
                <pt idx="193">
                  <v>57.8</v>
                </pt>
                <pt idx="194">
                  <v>57.1</v>
                </pt>
                <pt idx="195">
                  <v>56</v>
                </pt>
                <pt idx="196">
                  <v>55.4</v>
                </pt>
                <pt idx="197">
                  <v>50.2</v>
                </pt>
                <pt idx="198">
                  <v>52.9</v>
                </pt>
                <pt idx="199">
                  <v>54.4</v>
                </pt>
                <pt idx="200">
                  <v>55.3</v>
                </pt>
                <pt idx="201">
                  <v>58</v>
                </pt>
                <pt idx="202">
                  <v>60.2</v>
                </pt>
                <pt idx="203">
                  <v>60.9</v>
                </pt>
                <pt idx="204">
                  <v>60.7</v>
                </pt>
                <pt idx="205">
                  <v>61.4</v>
                </pt>
                <pt idx="206">
                  <v>59.9</v>
                </pt>
                <pt idx="207">
                  <v>58.5</v>
                </pt>
                <pt idx="208">
                  <v>61.4</v>
                </pt>
                <pt idx="209">
                  <v>58.7</v>
                </pt>
                <pt idx="210">
                  <v>60.5</v>
                </pt>
                <pt idx="211">
                  <v>58.8</v>
                </pt>
                <pt idx="212">
                  <v>58.9</v>
                </pt>
                <pt idx="213">
                  <v>58.7</v>
                </pt>
                <pt idx="214">
                  <v>58.4</v>
                </pt>
                <pt idx="215">
                  <v>58.3</v>
                </pt>
                <pt idx="216">
                  <v>60.9</v>
                </pt>
                <pt idx="217">
                  <v>62.7</v>
                </pt>
                <pt idx="218">
                  <v>56</v>
                </pt>
                <pt idx="219">
                  <v>61</v>
                </pt>
                <pt idx="220">
                  <v>58.2</v>
                </pt>
                <pt idx="221">
                  <v>57.9</v>
                </pt>
                <pt idx="222">
                  <v>57</v>
                </pt>
                <pt idx="223">
                  <v>56.8</v>
                </pt>
                <pt idx="224">
                  <v>57.4</v>
                </pt>
                <pt idx="225">
                  <v>59.5</v>
                </pt>
                <pt idx="226">
                  <v>54.8</v>
                </pt>
                <pt idx="227">
                  <v>58.9</v>
                </pt>
                <pt idx="228">
                  <v>58.5</v>
                </pt>
                <pt idx="229">
                  <v>52</v>
                </pt>
                <pt idx="230">
                  <v>59.6</v>
                </pt>
                <pt idx="231">
                  <v>57.7</v>
                </pt>
                <pt idx="232">
                  <v>57.4</v>
                </pt>
                <pt idx="233">
                  <v>60.7</v>
                </pt>
                <pt idx="234">
                  <v>58.6</v>
                </pt>
                <pt idx="235">
                  <v>61.2</v>
                </pt>
                <pt idx="236">
                  <v>58.9</v>
                </pt>
                <pt idx="237">
                  <v>63.2</v>
                </pt>
                <pt idx="238">
                  <v>57.7</v>
                </pt>
                <pt idx="239">
                  <v>60.5</v>
                </pt>
                <pt idx="240">
                  <v>55.1</v>
                </pt>
                <pt idx="241">
                  <v>57.1</v>
                </pt>
                <pt idx="242">
                  <v>63</v>
                </pt>
                <pt idx="243">
                  <v>62.8</v>
                </pt>
                <pt idx="244">
                  <v>58.7</v>
                </pt>
                <pt idx="245">
                  <v>54.3</v>
                </pt>
                <pt idx="246">
                  <v>62.7</v>
                </pt>
                <pt idx="247">
                  <v>64.8</v>
                </pt>
                <pt idx="248">
                  <v>59.5</v>
                </pt>
                <pt idx="249">
                  <v>60</v>
                </pt>
                <pt idx="250">
                  <v>60.5</v>
                </pt>
                <pt idx="251">
                  <v>63.2</v>
                </pt>
                <pt idx="252">
                  <v>57</v>
                </pt>
                <pt idx="253">
                  <v>60.4</v>
                </pt>
                <pt idx="254">
                  <v>61.6</v>
                </pt>
                <pt idx="255">
                  <v>61.5</v>
                </pt>
                <pt idx="256">
                  <v>62.5</v>
                </pt>
                <pt idx="257">
                  <v>62.7</v>
                </pt>
                <pt idx="258">
                  <v>57.7</v>
                </pt>
                <pt idx="259">
                  <v>65.2</v>
                </pt>
                <pt idx="260">
                  <v>59</v>
                </pt>
                <pt idx="261">
                  <v>58.1</v>
                </pt>
                <pt idx="262">
                  <v>58.6</v>
                </pt>
                <pt idx="263">
                  <v>55.8</v>
                </pt>
                <pt idx="264">
                  <v>54.1</v>
                </pt>
                <pt idx="265">
                  <v>60.3</v>
                </pt>
                <pt idx="266">
                  <v>53.7</v>
                </pt>
                <pt idx="267">
                  <v>55.6</v>
                </pt>
                <pt idx="268">
                  <v>57.1</v>
                </pt>
                <pt idx="269">
                  <v>54.9</v>
                </pt>
                <pt idx="270">
                  <v>56.2</v>
                </pt>
                <pt idx="271">
                  <v>63.1</v>
                </pt>
                <pt idx="272">
                  <v>52.9</v>
                </pt>
                <pt idx="273">
                  <v>32.9</v>
                </pt>
                <pt idx="274">
                  <v>41.9</v>
                </pt>
                <pt idx="275">
                  <v>61.6</v>
                </pt>
                <pt idx="276">
                  <v>67.7</v>
                </pt>
                <pt idx="277">
                  <v>56.8</v>
                </pt>
                <pt idx="278">
                  <v>61.5</v>
                </pt>
                <pt idx="279">
                  <v>58.8</v>
                </pt>
                <pt idx="280">
                  <v>57.2</v>
                </pt>
                <pt idx="281">
                  <v>58.5</v>
                </pt>
                <pt idx="282">
                  <v>61.8</v>
                </pt>
                <pt idx="283">
                  <v>51.9</v>
                </pt>
                <pt idx="284">
                  <v>67.2</v>
                </pt>
                <pt idx="285">
                  <v>63.2</v>
                </pt>
                <pt idx="286">
                  <v>63.9</v>
                </pt>
                <pt idx="287">
                  <v>62.1</v>
                </pt>
                <pt idx="288">
                  <v>63.7</v>
                </pt>
                <pt idx="289">
                  <v>63.2</v>
                </pt>
                <pt idx="290">
                  <v>63.5</v>
                </pt>
                <pt idx="291">
                  <v>69.7</v>
                </pt>
                <pt idx="292">
                  <v>69.7</v>
                </pt>
                <pt idx="293">
                  <v>61.5</v>
                </pt>
                <pt idx="294">
                  <v>61.7</v>
                </pt>
                <pt idx="295">
                  <v>56.1</v>
                </pt>
                <pt idx="296">
                  <v>60.1</v>
                </pt>
                <pt idx="297">
                  <v>54.6</v>
                </pt>
                <pt idx="298">
                  <v>57.6</v>
                </pt>
                <pt idx="299">
                  <v>55.6</v>
                </pt>
              </numCache>
            </numRef>
          </val>
          <smooth val="0"/>
        </ser>
        <dLbls>
          <showLegendKey val="0"/>
          <showVal val="0"/>
          <showCatName val="0"/>
          <showSerName val="0"/>
          <showPercent val="0"/>
          <showBubbleSize val="0"/>
        </dLbls>
        <smooth val="0"/>
        <axId val="946929536"/>
        <axId val="946929864"/>
      </lineChart>
      <dateAx>
        <axId val="946929536"/>
        <scaling>
          <orientation val="minMax"/>
          <min val="42005"/>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864"/>
        <crosses val="autoZero"/>
        <lblOffset val="100"/>
        <baseTimeUnit val="months"/>
      </dateAx>
      <valAx>
        <axId val="946929864"/>
        <scaling>
          <orientation val="minMax"/>
          <min val="3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536"/>
        <crosses val="autoZero"/>
        <crossBetween val="between"/>
      </valAx>
    </plotArea>
    <plotVisOnly val="1"/>
    <dispBlanksAs val="gap"/>
  </chart>
</chartSpace>
</file>

<file path=xl/charts/chart59.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Imports</a:t>
            </a:r>
          </a:p>
        </rich>
      </tx>
      <overlay val="0"/>
      <spPr>
        <a:noFill xmlns:a="http://schemas.openxmlformats.org/drawingml/2006/main"/>
        <a:ln xmlns:a="http://schemas.openxmlformats.org/drawingml/2006/main">
          <a:noFill/>
          <a:prstDash val="solid"/>
        </a:ln>
      </spPr>
    </title>
    <plotArea>
      <layout/>
      <lineChart>
        <grouping val="standard"/>
        <varyColors val="0"/>
        <ser>
          <idx val="1"/>
          <order val="0"/>
          <tx>
            <strRef>
              <f>Details!$C$5</f>
              <strCache>
                <ptCount val="1"/>
                <pt idx="0">
                  <v>Imports</v>
                </pt>
              </strCache>
            </strRef>
          </tx>
          <spPr>
            <a:ln xmlns:a="http://schemas.openxmlformats.org/drawingml/2006/main" w="28575" cap="rnd">
              <a:solidFill>
                <a:schemeClr val="accent2"/>
              </a:solidFill>
              <a:prstDash val="solid"/>
              <a:round/>
            </a:ln>
          </spPr>
          <marker>
            <symbol val="none"/>
            <spPr>
              <a:ln xmlns:a="http://schemas.openxmlformats.org/drawingml/2006/main">
                <a:prstDash val="solid"/>
              </a:ln>
            </spPr>
          </marker>
          <cat>
            <numRef>
              <f>Details!$A$6:$A$307</f>
              <numCache>
                <formatCode>m/d/yy</formatCode>
                <ptCount val="302"/>
                <pt idx="0">
                  <v>35612</v>
                </pt>
                <pt idx="1">
                  <v>35643</v>
                </pt>
                <pt idx="2">
                  <v>35674</v>
                </pt>
                <pt idx="3">
                  <v>35704</v>
                </pt>
                <pt idx="4">
                  <v>35735</v>
                </pt>
                <pt idx="5">
                  <v>35765</v>
                </pt>
                <pt idx="6">
                  <v>35796</v>
                </pt>
                <pt idx="7">
                  <v>35827</v>
                </pt>
                <pt idx="8">
                  <v>35855</v>
                </pt>
                <pt idx="9">
                  <v>35886</v>
                </pt>
                <pt idx="10">
                  <v>35916</v>
                </pt>
                <pt idx="11">
                  <v>35947</v>
                </pt>
                <pt idx="12">
                  <v>35977</v>
                </pt>
                <pt idx="13">
                  <v>36008</v>
                </pt>
                <pt idx="14">
                  <v>36039</v>
                </pt>
                <pt idx="15">
                  <v>36069</v>
                </pt>
                <pt idx="16">
                  <v>36100</v>
                </pt>
                <pt idx="17">
                  <v>36130</v>
                </pt>
                <pt idx="18">
                  <v>36161</v>
                </pt>
                <pt idx="19">
                  <v>36192</v>
                </pt>
                <pt idx="20">
                  <v>36220</v>
                </pt>
                <pt idx="21">
                  <v>36251</v>
                </pt>
                <pt idx="22">
                  <v>36281</v>
                </pt>
                <pt idx="23">
                  <v>36312</v>
                </pt>
                <pt idx="24">
                  <v>36342</v>
                </pt>
                <pt idx="25">
                  <v>36373</v>
                </pt>
                <pt idx="26">
                  <v>36404</v>
                </pt>
                <pt idx="27">
                  <v>36434</v>
                </pt>
                <pt idx="28">
                  <v>36465</v>
                </pt>
                <pt idx="29">
                  <v>36495</v>
                </pt>
                <pt idx="30">
                  <v>36526</v>
                </pt>
                <pt idx="31">
                  <v>36557</v>
                </pt>
                <pt idx="32">
                  <v>36586</v>
                </pt>
                <pt idx="33">
                  <v>36617</v>
                </pt>
                <pt idx="34">
                  <v>36647</v>
                </pt>
                <pt idx="35">
                  <v>36678</v>
                </pt>
                <pt idx="36">
                  <v>36708</v>
                </pt>
                <pt idx="37">
                  <v>36739</v>
                </pt>
                <pt idx="38">
                  <v>36770</v>
                </pt>
                <pt idx="39">
                  <v>36800</v>
                </pt>
                <pt idx="40">
                  <v>36831</v>
                </pt>
                <pt idx="41">
                  <v>36861</v>
                </pt>
                <pt idx="42">
                  <v>36892</v>
                </pt>
                <pt idx="43">
                  <v>36923</v>
                </pt>
                <pt idx="44">
                  <v>36951</v>
                </pt>
                <pt idx="45">
                  <v>36982</v>
                </pt>
                <pt idx="46">
                  <v>37012</v>
                </pt>
                <pt idx="47">
                  <v>37043</v>
                </pt>
                <pt idx="48">
                  <v>37073</v>
                </pt>
                <pt idx="49">
                  <v>37104</v>
                </pt>
                <pt idx="50">
                  <v>37135</v>
                </pt>
                <pt idx="51">
                  <v>37165</v>
                </pt>
                <pt idx="52">
                  <v>37196</v>
                </pt>
                <pt idx="53">
                  <v>37226</v>
                </pt>
                <pt idx="54">
                  <v>37257</v>
                </pt>
                <pt idx="55">
                  <v>37288</v>
                </pt>
                <pt idx="56">
                  <v>37316</v>
                </pt>
                <pt idx="57">
                  <v>37347</v>
                </pt>
                <pt idx="58">
                  <v>37377</v>
                </pt>
                <pt idx="59">
                  <v>37408</v>
                </pt>
                <pt idx="60">
                  <v>37438</v>
                </pt>
                <pt idx="61">
                  <v>37469</v>
                </pt>
                <pt idx="62">
                  <v>37500</v>
                </pt>
                <pt idx="63">
                  <v>37530</v>
                </pt>
                <pt idx="64">
                  <v>37561</v>
                </pt>
                <pt idx="65">
                  <v>37591</v>
                </pt>
                <pt idx="66">
                  <v>37622</v>
                </pt>
                <pt idx="67">
                  <v>37653</v>
                </pt>
                <pt idx="68">
                  <v>37681</v>
                </pt>
                <pt idx="69">
                  <v>37712</v>
                </pt>
                <pt idx="70">
                  <v>37742</v>
                </pt>
                <pt idx="71">
                  <v>37773</v>
                </pt>
                <pt idx="72">
                  <v>37803</v>
                </pt>
                <pt idx="73">
                  <v>37834</v>
                </pt>
                <pt idx="74">
                  <v>37865</v>
                </pt>
                <pt idx="75">
                  <v>37895</v>
                </pt>
                <pt idx="76">
                  <v>37926</v>
                </pt>
                <pt idx="77">
                  <v>37956</v>
                </pt>
                <pt idx="78">
                  <v>37987</v>
                </pt>
                <pt idx="79">
                  <v>38018</v>
                </pt>
                <pt idx="80">
                  <v>38047</v>
                </pt>
                <pt idx="81">
                  <v>38078</v>
                </pt>
                <pt idx="82">
                  <v>38108</v>
                </pt>
                <pt idx="83">
                  <v>38139</v>
                </pt>
                <pt idx="84">
                  <v>38169</v>
                </pt>
                <pt idx="85">
                  <v>38200</v>
                </pt>
                <pt idx="86">
                  <v>38231</v>
                </pt>
                <pt idx="87">
                  <v>38261</v>
                </pt>
                <pt idx="88">
                  <v>38292</v>
                </pt>
                <pt idx="89">
                  <v>38322</v>
                </pt>
                <pt idx="90">
                  <v>38353</v>
                </pt>
                <pt idx="91">
                  <v>38384</v>
                </pt>
                <pt idx="92">
                  <v>38412</v>
                </pt>
                <pt idx="93">
                  <v>38443</v>
                </pt>
                <pt idx="94">
                  <v>38473</v>
                </pt>
                <pt idx="95">
                  <v>38504</v>
                </pt>
                <pt idx="96">
                  <v>38534</v>
                </pt>
                <pt idx="97">
                  <v>38565</v>
                </pt>
                <pt idx="98">
                  <v>38596</v>
                </pt>
                <pt idx="99">
                  <v>38626</v>
                </pt>
                <pt idx="100">
                  <v>38657</v>
                </pt>
                <pt idx="101">
                  <v>38687</v>
                </pt>
                <pt idx="102">
                  <v>38718</v>
                </pt>
                <pt idx="103">
                  <v>38749</v>
                </pt>
                <pt idx="104">
                  <v>38777</v>
                </pt>
                <pt idx="105">
                  <v>38808</v>
                </pt>
                <pt idx="106">
                  <v>38838</v>
                </pt>
                <pt idx="107">
                  <v>38869</v>
                </pt>
                <pt idx="108">
                  <v>38899</v>
                </pt>
                <pt idx="109">
                  <v>38930</v>
                </pt>
                <pt idx="110">
                  <v>38961</v>
                </pt>
                <pt idx="111">
                  <v>38991</v>
                </pt>
                <pt idx="112">
                  <v>39022</v>
                </pt>
                <pt idx="113">
                  <v>39052</v>
                </pt>
                <pt idx="114">
                  <v>39083</v>
                </pt>
                <pt idx="115">
                  <v>39114</v>
                </pt>
                <pt idx="116">
                  <v>39142</v>
                </pt>
                <pt idx="117">
                  <v>39173</v>
                </pt>
                <pt idx="118">
                  <v>39203</v>
                </pt>
                <pt idx="119">
                  <v>39234</v>
                </pt>
                <pt idx="120">
                  <v>39264</v>
                </pt>
                <pt idx="121">
                  <v>39295</v>
                </pt>
                <pt idx="122">
                  <v>39326</v>
                </pt>
                <pt idx="123">
                  <v>39356</v>
                </pt>
                <pt idx="124">
                  <v>39387</v>
                </pt>
                <pt idx="125">
                  <v>39417</v>
                </pt>
                <pt idx="126">
                  <v>39448</v>
                </pt>
                <pt idx="127">
                  <v>39479</v>
                </pt>
                <pt idx="128">
                  <v>39508</v>
                </pt>
                <pt idx="129">
                  <v>39539</v>
                </pt>
                <pt idx="130">
                  <v>39569</v>
                </pt>
                <pt idx="131">
                  <v>39600</v>
                </pt>
                <pt idx="132">
                  <v>39630</v>
                </pt>
                <pt idx="133">
                  <v>39661</v>
                </pt>
                <pt idx="134">
                  <v>39692</v>
                </pt>
                <pt idx="135">
                  <v>39722</v>
                </pt>
                <pt idx="136">
                  <v>39753</v>
                </pt>
                <pt idx="137">
                  <v>39783</v>
                </pt>
                <pt idx="138">
                  <v>39814</v>
                </pt>
                <pt idx="139">
                  <v>39845</v>
                </pt>
                <pt idx="140">
                  <v>39873</v>
                </pt>
                <pt idx="141">
                  <v>39904</v>
                </pt>
                <pt idx="142">
                  <v>39934</v>
                </pt>
                <pt idx="143">
                  <v>39965</v>
                </pt>
                <pt idx="144">
                  <v>39995</v>
                </pt>
                <pt idx="145">
                  <v>40026</v>
                </pt>
                <pt idx="146">
                  <v>40057</v>
                </pt>
                <pt idx="147">
                  <v>40087</v>
                </pt>
                <pt idx="148">
                  <v>40118</v>
                </pt>
                <pt idx="149">
                  <v>40148</v>
                </pt>
                <pt idx="150">
                  <v>40179</v>
                </pt>
                <pt idx="151">
                  <v>40210</v>
                </pt>
                <pt idx="152">
                  <v>40238</v>
                </pt>
                <pt idx="153">
                  <v>40269</v>
                </pt>
                <pt idx="154">
                  <v>40299</v>
                </pt>
                <pt idx="155">
                  <v>40330</v>
                </pt>
                <pt idx="156">
                  <v>40360</v>
                </pt>
                <pt idx="157">
                  <v>40391</v>
                </pt>
                <pt idx="158">
                  <v>40422</v>
                </pt>
                <pt idx="159">
                  <v>40452</v>
                </pt>
                <pt idx="160">
                  <v>40483</v>
                </pt>
                <pt idx="161">
                  <v>40513</v>
                </pt>
                <pt idx="162">
                  <v>40544</v>
                </pt>
                <pt idx="163">
                  <v>40575</v>
                </pt>
                <pt idx="164">
                  <v>40603</v>
                </pt>
                <pt idx="165">
                  <v>40634</v>
                </pt>
                <pt idx="166">
                  <v>40664</v>
                </pt>
                <pt idx="167">
                  <v>40695</v>
                </pt>
                <pt idx="168">
                  <v>40725</v>
                </pt>
                <pt idx="169">
                  <v>40756</v>
                </pt>
                <pt idx="170">
                  <v>40787</v>
                </pt>
                <pt idx="171">
                  <v>40817</v>
                </pt>
                <pt idx="172">
                  <v>40848</v>
                </pt>
                <pt idx="173">
                  <v>40878</v>
                </pt>
                <pt idx="174">
                  <v>40909</v>
                </pt>
                <pt idx="175">
                  <v>40940</v>
                </pt>
                <pt idx="176">
                  <v>40969</v>
                </pt>
                <pt idx="177">
                  <v>41000</v>
                </pt>
                <pt idx="178">
                  <v>41030</v>
                </pt>
                <pt idx="179">
                  <v>41061</v>
                </pt>
                <pt idx="180">
                  <v>41091</v>
                </pt>
                <pt idx="181">
                  <v>41122</v>
                </pt>
                <pt idx="182">
                  <v>41153</v>
                </pt>
                <pt idx="183">
                  <v>41183</v>
                </pt>
                <pt idx="184">
                  <v>41214</v>
                </pt>
                <pt idx="185">
                  <v>41244</v>
                </pt>
                <pt idx="186">
                  <v>41275</v>
                </pt>
                <pt idx="187">
                  <v>41306</v>
                </pt>
                <pt idx="188">
                  <v>41334</v>
                </pt>
                <pt idx="189">
                  <v>41365</v>
                </pt>
                <pt idx="190">
                  <v>41395</v>
                </pt>
                <pt idx="191">
                  <v>41426</v>
                </pt>
                <pt idx="192">
                  <v>41456</v>
                </pt>
                <pt idx="193">
                  <v>41487</v>
                </pt>
                <pt idx="194">
                  <v>41518</v>
                </pt>
                <pt idx="195">
                  <v>41548</v>
                </pt>
                <pt idx="196">
                  <v>41579</v>
                </pt>
                <pt idx="197">
                  <v>41609</v>
                </pt>
                <pt idx="198">
                  <v>41640</v>
                </pt>
                <pt idx="199">
                  <v>41671</v>
                </pt>
                <pt idx="200">
                  <v>41699</v>
                </pt>
                <pt idx="201">
                  <v>41730</v>
                </pt>
                <pt idx="202">
                  <v>41760</v>
                </pt>
                <pt idx="203">
                  <v>41791</v>
                </pt>
                <pt idx="204">
                  <v>41821</v>
                </pt>
                <pt idx="205">
                  <v>41852</v>
                </pt>
                <pt idx="206">
                  <v>41883</v>
                </pt>
                <pt idx="207">
                  <v>41913</v>
                </pt>
                <pt idx="208">
                  <v>41944</v>
                </pt>
                <pt idx="209">
                  <v>41974</v>
                </pt>
                <pt idx="210">
                  <v>42005</v>
                </pt>
                <pt idx="211">
                  <v>42036</v>
                </pt>
                <pt idx="212">
                  <v>42064</v>
                </pt>
                <pt idx="213">
                  <v>42095</v>
                </pt>
                <pt idx="214">
                  <v>42125</v>
                </pt>
                <pt idx="215">
                  <v>42156</v>
                </pt>
                <pt idx="216">
                  <v>42186</v>
                </pt>
                <pt idx="217">
                  <v>42217</v>
                </pt>
                <pt idx="218">
                  <v>42248</v>
                </pt>
                <pt idx="219">
                  <v>42278</v>
                </pt>
                <pt idx="220">
                  <v>42309</v>
                </pt>
                <pt idx="221">
                  <v>42339</v>
                </pt>
                <pt idx="222">
                  <v>42370</v>
                </pt>
                <pt idx="223">
                  <v>42401</v>
                </pt>
                <pt idx="224">
                  <v>42430</v>
                </pt>
                <pt idx="225">
                  <v>42461</v>
                </pt>
                <pt idx="226">
                  <v>42491</v>
                </pt>
                <pt idx="227">
                  <v>42522</v>
                </pt>
                <pt idx="228">
                  <v>42552</v>
                </pt>
                <pt idx="229">
                  <v>42583</v>
                </pt>
                <pt idx="230">
                  <v>42614</v>
                </pt>
                <pt idx="231">
                  <v>42644</v>
                </pt>
                <pt idx="232">
                  <v>42675</v>
                </pt>
                <pt idx="233">
                  <v>42705</v>
                </pt>
                <pt idx="234">
                  <v>42736</v>
                </pt>
                <pt idx="235">
                  <v>42767</v>
                </pt>
                <pt idx="236">
                  <v>42795</v>
                </pt>
                <pt idx="237">
                  <v>42826</v>
                </pt>
                <pt idx="238">
                  <v>42856</v>
                </pt>
                <pt idx="239">
                  <v>42887</v>
                </pt>
                <pt idx="240">
                  <v>42917</v>
                </pt>
                <pt idx="241">
                  <v>42948</v>
                </pt>
                <pt idx="242">
                  <v>42979</v>
                </pt>
                <pt idx="243">
                  <v>43009</v>
                </pt>
                <pt idx="244">
                  <v>43040</v>
                </pt>
                <pt idx="245">
                  <v>43070</v>
                </pt>
                <pt idx="246">
                  <v>43101</v>
                </pt>
                <pt idx="247">
                  <v>43132</v>
                </pt>
                <pt idx="248">
                  <v>43160</v>
                </pt>
                <pt idx="249">
                  <v>43191</v>
                </pt>
                <pt idx="250">
                  <v>43221</v>
                </pt>
                <pt idx="251">
                  <v>43252</v>
                </pt>
                <pt idx="252">
                  <v>43282</v>
                </pt>
                <pt idx="253">
                  <v>43313</v>
                </pt>
                <pt idx="254">
                  <v>43344</v>
                </pt>
                <pt idx="255">
                  <v>43374</v>
                </pt>
                <pt idx="256">
                  <v>43405</v>
                </pt>
                <pt idx="257">
                  <v>43435</v>
                </pt>
                <pt idx="258">
                  <v>43466</v>
                </pt>
                <pt idx="259">
                  <v>43497</v>
                </pt>
                <pt idx="260">
                  <v>43525</v>
                </pt>
                <pt idx="261">
                  <v>43556</v>
                </pt>
                <pt idx="262">
                  <v>43586</v>
                </pt>
                <pt idx="263">
                  <v>43617</v>
                </pt>
                <pt idx="264">
                  <v>43647</v>
                </pt>
                <pt idx="265">
                  <v>43678</v>
                </pt>
                <pt idx="266">
                  <v>43709</v>
                </pt>
                <pt idx="267">
                  <v>43739</v>
                </pt>
                <pt idx="268">
                  <v>43770</v>
                </pt>
                <pt idx="269">
                  <v>43800</v>
                </pt>
                <pt idx="270">
                  <v>43831</v>
                </pt>
                <pt idx="271">
                  <v>43862</v>
                </pt>
                <pt idx="272">
                  <v>43891</v>
                </pt>
                <pt idx="273">
                  <v>43922</v>
                </pt>
                <pt idx="274">
                  <v>43952</v>
                </pt>
                <pt idx="275">
                  <v>43983</v>
                </pt>
                <pt idx="276">
                  <v>44013</v>
                </pt>
                <pt idx="277">
                  <v>44044</v>
                </pt>
                <pt idx="278">
                  <v>44075</v>
                </pt>
                <pt idx="279">
                  <v>44105</v>
                </pt>
                <pt idx="280">
                  <v>44136</v>
                </pt>
                <pt idx="281">
                  <v>44166</v>
                </pt>
                <pt idx="282">
                  <v>44197</v>
                </pt>
                <pt idx="283">
                  <v>44228</v>
                </pt>
                <pt idx="284">
                  <v>44256</v>
                </pt>
                <pt idx="285">
                  <v>44287</v>
                </pt>
                <pt idx="286">
                  <v>44317</v>
                </pt>
                <pt idx="287">
                  <v>44348</v>
                </pt>
                <pt idx="288">
                  <v>44378</v>
                </pt>
                <pt idx="289">
                  <v>44409</v>
                </pt>
                <pt idx="290">
                  <v>44440</v>
                </pt>
                <pt idx="291">
                  <v>44470</v>
                </pt>
                <pt idx="292">
                  <v>44501</v>
                </pt>
                <pt idx="293">
                  <v>44531</v>
                </pt>
                <pt idx="294">
                  <v>44562</v>
                </pt>
                <pt idx="295">
                  <v>44593</v>
                </pt>
                <pt idx="296">
                  <v>44621</v>
                </pt>
                <pt idx="297">
                  <v>44652</v>
                </pt>
                <pt idx="298">
                  <v>44682</v>
                </pt>
                <pt idx="299">
                  <v>44713</v>
                </pt>
              </numCache>
            </numRef>
          </cat>
          <val>
            <numRef>
              <f>Details!$C$6:$C$307</f>
              <numCache>
                <formatCode>General</formatCode>
                <ptCount val="302"/>
                <pt idx="0">
                  <v>55.6</v>
                </pt>
                <pt idx="1">
                  <v>48.4</v>
                </pt>
                <pt idx="2">
                  <v>47.5</v>
                </pt>
                <pt idx="3">
                  <v>50.7</v>
                </pt>
                <pt idx="4">
                  <v>50.3</v>
                </pt>
                <pt idx="5">
                  <v>52.2</v>
                </pt>
                <pt idx="6">
                  <v>51.5</v>
                </pt>
                <pt idx="7">
                  <v>52.6</v>
                </pt>
                <pt idx="8">
                  <v>50</v>
                </pt>
                <pt idx="9">
                  <v>52.1</v>
                </pt>
                <pt idx="10">
                  <v>52.8</v>
                </pt>
                <pt idx="11">
                  <v>54.5</v>
                </pt>
                <pt idx="12">
                  <v>50.9</v>
                </pt>
                <pt idx="13">
                  <v>55.2</v>
                </pt>
                <pt idx="14">
                  <v>52</v>
                </pt>
                <pt idx="15">
                  <v>48.8</v>
                </pt>
                <pt idx="16">
                  <v>50.7</v>
                </pt>
                <pt idx="17">
                  <v>50.3</v>
                </pt>
                <pt idx="18">
                  <v>53.1</v>
                </pt>
                <pt idx="19">
                  <v>52.7</v>
                </pt>
                <pt idx="20">
                  <v>55.3</v>
                </pt>
                <pt idx="21">
                  <v>52.6</v>
                </pt>
                <pt idx="22">
                  <v>54.4</v>
                </pt>
                <pt idx="23">
                  <v>51.9</v>
                </pt>
                <pt idx="24">
                  <v>55.9</v>
                </pt>
                <pt idx="25">
                  <v>52.3</v>
                </pt>
                <pt idx="26">
                  <v>55.5</v>
                </pt>
                <pt idx="27">
                  <v>55.7</v>
                </pt>
                <pt idx="28">
                  <v>53.8</v>
                </pt>
                <pt idx="29">
                  <v>50.8</v>
                </pt>
                <pt idx="30">
                  <v>54.9</v>
                </pt>
                <pt idx="31">
                  <v>51.9</v>
                </pt>
                <pt idx="32">
                  <v>54.7</v>
                </pt>
                <pt idx="33">
                  <v>54.6</v>
                </pt>
                <pt idx="34">
                  <v>54.7</v>
                </pt>
                <pt idx="35">
                  <v>52.6</v>
                </pt>
                <pt idx="36">
                  <v>53.1</v>
                </pt>
                <pt idx="37">
                  <v>53.9</v>
                </pt>
                <pt idx="38">
                  <v>46</v>
                </pt>
                <pt idx="39">
                  <v>58.9</v>
                </pt>
                <pt idx="40">
                  <v>54.7</v>
                </pt>
                <pt idx="41">
                  <v>53.4</v>
                </pt>
                <pt idx="42">
                  <v>49.8</v>
                </pt>
                <pt idx="43">
                  <v>48.7</v>
                </pt>
                <pt idx="44">
                  <v>48.4</v>
                </pt>
                <pt idx="45">
                  <v>49.8</v>
                </pt>
                <pt idx="46">
                  <v>48.7</v>
                </pt>
                <pt idx="47">
                  <v>50</v>
                </pt>
                <pt idx="48">
                  <v>50.1</v>
                </pt>
                <pt idx="49">
                  <v>52.8</v>
                </pt>
                <pt idx="50">
                  <v>52.7</v>
                </pt>
                <pt idx="51">
                  <v>50.7</v>
                </pt>
                <pt idx="52">
                  <v>51.6</v>
                </pt>
                <pt idx="53">
                  <v>55.9</v>
                </pt>
                <pt idx="54">
                  <v>55.3</v>
                </pt>
                <pt idx="55">
                  <v>54.3</v>
                </pt>
                <pt idx="56">
                  <v>48.9</v>
                </pt>
                <pt idx="57">
                  <v>56.2</v>
                </pt>
                <pt idx="58">
                  <v>54</v>
                </pt>
                <pt idx="59">
                  <v>55.2</v>
                </pt>
                <pt idx="60">
                  <v>52.6</v>
                </pt>
                <pt idx="61">
                  <v>48.3</v>
                </pt>
                <pt idx="62">
                  <v>44.7</v>
                </pt>
                <pt idx="63">
                  <v>54.9</v>
                </pt>
                <pt idx="64">
                  <v>55.1</v>
                </pt>
                <pt idx="65">
                  <v>51.8</v>
                </pt>
                <pt idx="66">
                  <v>56.5</v>
                </pt>
                <pt idx="67">
                  <v>51.5</v>
                </pt>
                <pt idx="68">
                  <v>55</v>
                </pt>
                <pt idx="69">
                  <v>50</v>
                </pt>
                <pt idx="70">
                  <v>58.5</v>
                </pt>
                <pt idx="71">
                  <v>50.5</v>
                </pt>
                <pt idx="72">
                  <v>54</v>
                </pt>
                <pt idx="73">
                  <v>60</v>
                </pt>
                <pt idx="74">
                  <v>55</v>
                </pt>
                <pt idx="75">
                  <v>56</v>
                </pt>
                <pt idx="76">
                  <v>57.5</v>
                </pt>
                <pt idx="77">
                  <v>57</v>
                </pt>
                <pt idx="78">
                  <v>54.5</v>
                </pt>
                <pt idx="79">
                  <v>58.5</v>
                </pt>
                <pt idx="80">
                  <v>60.5</v>
                </pt>
                <pt idx="81">
                  <v>60.5</v>
                </pt>
                <pt idx="82">
                  <v>59.5</v>
                </pt>
                <pt idx="83">
                  <v>56.5</v>
                </pt>
                <pt idx="84">
                  <v>60.5</v>
                </pt>
                <pt idx="85">
                  <v>63.5</v>
                </pt>
                <pt idx="86">
                  <v>56</v>
                </pt>
                <pt idx="87">
                  <v>57.5</v>
                </pt>
                <pt idx="88">
                  <v>62</v>
                </pt>
                <pt idx="89">
                  <v>61</v>
                </pt>
                <pt idx="90">
                  <v>53</v>
                </pt>
                <pt idx="91">
                  <v>57.5</v>
                </pt>
                <pt idx="92">
                  <v>59</v>
                </pt>
                <pt idx="93">
                  <v>58.5</v>
                </pt>
                <pt idx="94">
                  <v>57.5</v>
                </pt>
                <pt idx="95">
                  <v>58.5</v>
                </pt>
                <pt idx="96">
                  <v>62</v>
                </pt>
                <pt idx="97">
                  <v>61.5</v>
                </pt>
                <pt idx="98">
                  <v>58.5</v>
                </pt>
                <pt idx="99">
                  <v>53.5</v>
                </pt>
                <pt idx="100">
                  <v>56.5</v>
                </pt>
                <pt idx="101">
                  <v>56.5</v>
                </pt>
                <pt idx="102">
                  <v>49.5</v>
                </pt>
                <pt idx="103">
                  <v>55</v>
                </pt>
                <pt idx="104">
                  <v>60.5</v>
                </pt>
                <pt idx="105">
                  <v>57</v>
                </pt>
                <pt idx="106">
                  <v>58.5</v>
                </pt>
                <pt idx="107">
                  <v>55.5</v>
                </pt>
                <pt idx="108">
                  <v>60.5</v>
                </pt>
                <pt idx="109">
                  <v>60</v>
                </pt>
                <pt idx="110">
                  <v>55</v>
                </pt>
                <pt idx="111">
                  <v>57.5</v>
                </pt>
                <pt idx="112">
                  <v>59.5</v>
                </pt>
                <pt idx="113">
                  <v>62</v>
                </pt>
                <pt idx="114">
                  <v>52</v>
                </pt>
                <pt idx="115">
                  <v>54</v>
                </pt>
                <pt idx="116">
                  <v>50</v>
                </pt>
                <pt idx="117">
                  <v>52.5</v>
                </pt>
                <pt idx="118">
                  <v>55.5</v>
                </pt>
                <pt idx="119">
                  <v>57.5</v>
                </pt>
                <pt idx="120">
                  <v>54.5</v>
                </pt>
                <pt idx="121">
                  <v>55</v>
                </pt>
                <pt idx="122">
                  <v>51</v>
                </pt>
                <pt idx="123">
                  <v>55.5</v>
                </pt>
                <pt idx="124">
                  <v>49.5</v>
                </pt>
                <pt idx="125">
                  <v>50.5</v>
                </pt>
                <pt idx="126">
                  <v>41.5</v>
                </pt>
                <pt idx="127">
                  <v>49</v>
                </pt>
                <pt idx="128">
                  <v>54.5</v>
                </pt>
                <pt idx="129">
                  <v>50</v>
                </pt>
                <pt idx="130">
                  <v>48</v>
                </pt>
                <pt idx="131">
                  <v>50.5</v>
                </pt>
                <pt idx="132">
                  <v>49</v>
                </pt>
                <pt idx="133">
                  <v>46</v>
                </pt>
                <pt idx="134">
                  <v>47.5</v>
                </pt>
                <pt idx="135">
                  <v>52</v>
                </pt>
                <pt idx="136">
                  <v>40</v>
                </pt>
                <pt idx="137">
                  <v>32.5</v>
                </pt>
                <pt idx="138">
                  <v>40.5</v>
                </pt>
                <pt idx="139">
                  <v>39</v>
                </pt>
                <pt idx="140">
                  <v>37</v>
                </pt>
                <pt idx="141">
                  <v>48.5</v>
                </pt>
                <pt idx="142">
                  <v>46</v>
                </pt>
                <pt idx="143">
                  <v>47</v>
                </pt>
                <pt idx="144">
                  <v>45</v>
                </pt>
                <pt idx="145">
                  <v>49</v>
                </pt>
                <pt idx="146">
                  <v>51.5</v>
                </pt>
                <pt idx="147">
                  <v>46</v>
                </pt>
                <pt idx="148">
                  <v>46</v>
                </pt>
                <pt idx="149">
                  <v>52.5</v>
                </pt>
                <pt idx="150">
                  <v>47</v>
                </pt>
                <pt idx="151">
                  <v>48.5</v>
                </pt>
                <pt idx="152">
                  <v>51</v>
                </pt>
                <pt idx="153">
                  <v>56.5</v>
                </pt>
                <pt idx="154">
                  <v>56.5</v>
                </pt>
                <pt idx="155">
                  <v>48</v>
                </pt>
                <pt idx="156">
                  <v>48</v>
                </pt>
                <pt idx="157">
                  <v>50.5</v>
                </pt>
                <pt idx="158">
                  <v>53</v>
                </pt>
                <pt idx="159">
                  <v>54</v>
                </pt>
                <pt idx="160">
                  <v>54.5</v>
                </pt>
                <pt idx="161">
                  <v>51</v>
                </pt>
                <pt idx="162">
                  <v>53.5</v>
                </pt>
                <pt idx="163">
                  <v>53.5</v>
                </pt>
                <pt idx="164">
                  <v>50</v>
                </pt>
                <pt idx="165">
                  <v>57</v>
                </pt>
                <pt idx="166">
                  <v>50.5</v>
                </pt>
                <pt idx="167">
                  <v>46.5</v>
                </pt>
                <pt idx="168">
                  <v>47.5</v>
                </pt>
                <pt idx="169">
                  <v>53.5</v>
                </pt>
                <pt idx="170">
                  <v>47.5</v>
                </pt>
                <pt idx="171">
                  <v>48</v>
                </pt>
                <pt idx="172">
                  <v>48.5</v>
                </pt>
                <pt idx="173">
                  <v>54</v>
                </pt>
                <pt idx="174">
                  <v>55</v>
                </pt>
                <pt idx="175">
                  <v>52</v>
                </pt>
                <pt idx="176">
                  <v>56</v>
                </pt>
                <pt idx="177">
                  <v>56.5</v>
                </pt>
                <pt idx="178">
                  <v>53</v>
                </pt>
                <pt idx="179">
                  <v>53.5</v>
                </pt>
                <pt idx="180">
                  <v>44.5</v>
                </pt>
                <pt idx="181">
                  <v>49.5</v>
                </pt>
                <pt idx="182">
                  <v>50</v>
                </pt>
                <pt idx="183">
                  <v>49.5</v>
                </pt>
                <pt idx="184">
                  <v>55.5</v>
                </pt>
                <pt idx="185">
                  <v>49</v>
                </pt>
                <pt idx="186">
                  <v>51</v>
                </pt>
                <pt idx="187">
                  <v>52.5</v>
                </pt>
                <pt idx="188">
                  <v>57.5</v>
                </pt>
                <pt idx="189">
                  <v>58.5</v>
                </pt>
                <pt idx="190">
                  <v>49.5</v>
                </pt>
                <pt idx="191">
                  <v>53.5</v>
                </pt>
                <pt idx="192">
                  <v>50.5</v>
                </pt>
                <pt idx="193">
                  <v>55</v>
                </pt>
                <pt idx="194">
                  <v>51.5</v>
                </pt>
                <pt idx="195">
                  <v>55</v>
                </pt>
                <pt idx="196">
                  <v>55</v>
                </pt>
                <pt idx="197">
                  <v>50.5</v>
                </pt>
                <pt idx="198">
                  <v>48</v>
                </pt>
                <pt idx="199">
                  <v>47</v>
                </pt>
                <pt idx="200">
                  <v>50.5</v>
                </pt>
                <pt idx="201">
                  <v>55.5</v>
                </pt>
                <pt idx="202">
                  <v>55.5</v>
                </pt>
                <pt idx="203">
                  <v>53</v>
                </pt>
                <pt idx="204">
                  <v>54.5</v>
                </pt>
                <pt idx="205">
                  <v>51</v>
                </pt>
                <pt idx="206">
                  <v>52.5</v>
                </pt>
                <pt idx="207">
                  <v>56</v>
                </pt>
                <pt idx="208">
                  <v>53.5</v>
                </pt>
                <pt idx="209">
                  <v>50</v>
                </pt>
                <pt idx="210">
                  <v>46.5</v>
                </pt>
                <pt idx="211">
                  <v>51</v>
                </pt>
                <pt idx="212">
                  <v>55.5</v>
                </pt>
                <pt idx="213">
                  <v>51.5</v>
                </pt>
                <pt idx="214">
                  <v>53.5</v>
                </pt>
                <pt idx="215">
                  <v>48</v>
                </pt>
                <pt idx="216">
                  <v>50.5</v>
                </pt>
                <pt idx="217">
                  <v>51.5</v>
                </pt>
                <pt idx="218">
                  <v>53</v>
                </pt>
                <pt idx="219">
                  <v>54.5</v>
                </pt>
                <pt idx="220">
                  <v>51</v>
                </pt>
                <pt idx="221">
                  <v>49</v>
                </pt>
                <pt idx="222">
                  <v>46</v>
                </pt>
                <pt idx="223">
                  <v>55.5</v>
                </pt>
                <pt idx="224">
                  <v>53</v>
                </pt>
                <pt idx="225">
                  <v>54</v>
                </pt>
                <pt idx="226">
                  <v>53.5</v>
                </pt>
                <pt idx="227">
                  <v>54</v>
                </pt>
                <pt idx="228">
                  <v>53</v>
                </pt>
                <pt idx="229">
                  <v>50.5</v>
                </pt>
                <pt idx="230">
                  <v>51</v>
                </pt>
                <pt idx="231">
                  <v>53</v>
                </pt>
                <pt idx="232">
                  <v>54</v>
                </pt>
                <pt idx="233">
                  <v>50</v>
                </pt>
                <pt idx="234">
                  <v>54</v>
                </pt>
                <pt idx="235">
                  <v>51</v>
                </pt>
                <pt idx="236">
                  <v>56.5</v>
                </pt>
                <pt idx="237">
                  <v>53</v>
                </pt>
                <pt idx="238">
                  <v>48.5</v>
                </pt>
                <pt idx="239">
                  <v>51</v>
                </pt>
                <pt idx="240">
                  <v>51.5</v>
                </pt>
                <pt idx="241">
                  <v>50.5</v>
                </pt>
                <pt idx="242">
                  <v>52</v>
                </pt>
                <pt idx="243">
                  <v>52</v>
                </pt>
                <pt idx="244">
                  <v>52.5</v>
                </pt>
                <pt idx="245">
                  <v>52.5</v>
                </pt>
                <pt idx="246">
                  <v>54</v>
                </pt>
                <pt idx="247">
                  <v>50</v>
                </pt>
                <pt idx="248">
                  <v>55</v>
                </pt>
                <pt idx="249">
                  <v>54.5</v>
                </pt>
                <pt idx="250">
                  <v>54</v>
                </pt>
                <pt idx="251">
                  <v>51.5</v>
                </pt>
                <pt idx="252">
                  <v>52.5</v>
                </pt>
                <pt idx="253">
                  <v>52</v>
                </pt>
                <pt idx="254">
                  <v>55</v>
                </pt>
                <pt idx="255">
                  <v>51</v>
                </pt>
                <pt idx="256">
                  <v>54.5</v>
                </pt>
                <pt idx="257">
                  <v>53.5</v>
                </pt>
                <pt idx="258">
                  <v>52</v>
                </pt>
                <pt idx="259">
                  <v>48.5</v>
                </pt>
                <pt idx="260">
                  <v>51.5</v>
                </pt>
                <pt idx="261">
                  <v>55</v>
                </pt>
                <pt idx="262">
                  <v>50</v>
                </pt>
                <pt idx="263">
                  <v>50</v>
                </pt>
                <pt idx="264">
                  <v>53.5</v>
                </pt>
                <pt idx="265">
                  <v>50.5</v>
                </pt>
                <pt idx="266">
                  <v>49</v>
                </pt>
                <pt idx="267">
                  <v>48.5</v>
                </pt>
                <pt idx="268">
                  <v>45</v>
                </pt>
                <pt idx="269">
                  <v>48</v>
                </pt>
                <pt idx="270">
                  <v>55.1</v>
                </pt>
                <pt idx="271">
                  <v>52.6</v>
                </pt>
                <pt idx="272">
                  <v>40.2</v>
                </pt>
                <pt idx="273">
                  <v>49.3</v>
                </pt>
                <pt idx="274">
                  <v>43.7</v>
                </pt>
                <pt idx="275">
                  <v>52.9</v>
                </pt>
                <pt idx="276">
                  <v>46.3</v>
                </pt>
                <pt idx="277">
                  <v>50.8</v>
                </pt>
                <pt idx="278">
                  <v>46.6</v>
                </pt>
                <pt idx="279">
                  <v>52.5</v>
                </pt>
                <pt idx="280">
                  <v>55</v>
                </pt>
                <pt idx="281">
                  <v>51.8</v>
                </pt>
                <pt idx="282">
                  <v>53.5</v>
                </pt>
                <pt idx="283">
                  <v>50.5</v>
                </pt>
                <pt idx="284">
                  <v>74</v>
                </pt>
                <pt idx="285">
                  <v>55.7</v>
                </pt>
                <pt idx="286">
                  <v>50.4</v>
                </pt>
                <pt idx="287">
                  <v>58.2</v>
                </pt>
                <pt idx="288">
                  <v>51.6</v>
                </pt>
                <pt idx="289">
                  <v>48.7</v>
                </pt>
                <pt idx="290">
                  <v>47.7</v>
                </pt>
                <pt idx="291">
                  <v>53.3</v>
                </pt>
                <pt idx="292">
                  <v>50.5</v>
                </pt>
                <pt idx="293">
                  <v>55.5</v>
                </pt>
                <pt idx="294">
                  <v>51.1</v>
                </pt>
                <pt idx="295">
                  <v>51.7</v>
                </pt>
                <pt idx="296">
                  <v>45</v>
                </pt>
                <pt idx="297">
                  <v>52.9</v>
                </pt>
                <pt idx="298">
                  <v>52.8</v>
                </pt>
                <pt idx="299">
                  <v>46.3</v>
                </pt>
              </numCache>
            </numRef>
          </val>
          <smooth val="0"/>
        </ser>
        <dLbls>
          <showLegendKey val="0"/>
          <showVal val="0"/>
          <showCatName val="0"/>
          <showSerName val="0"/>
          <showPercent val="0"/>
          <showBubbleSize val="0"/>
        </dLbls>
        <smooth val="0"/>
        <axId val="946929536"/>
        <axId val="946929864"/>
      </lineChart>
      <dateAx>
        <axId val="946929536"/>
        <scaling>
          <orientation val="minMax"/>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864"/>
        <crosses val="autoZero"/>
        <lblOffset val="100"/>
        <baseTimeUnit val="months"/>
      </dateAx>
      <valAx>
        <axId val="946929864"/>
        <scaling>
          <orientation val="minMax"/>
          <min val="3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536"/>
        <crosses val="autoZero"/>
        <crossBetween val="between"/>
      </valAx>
    </plotArea>
    <plotVisOnly val="1"/>
    <dispBlanksAs val="gap"/>
  </chart>
</chartSpace>
</file>

<file path=xl/charts/chart60.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Imports</a:t>
            </a:r>
          </a:p>
        </rich>
      </tx>
      <overlay val="0"/>
      <spPr>
        <a:noFill xmlns:a="http://schemas.openxmlformats.org/drawingml/2006/main"/>
        <a:ln xmlns:a="http://schemas.openxmlformats.org/drawingml/2006/main">
          <a:noFill/>
          <a:prstDash val="solid"/>
        </a:ln>
      </spPr>
    </title>
    <plotArea>
      <layout/>
      <lineChart>
        <grouping val="standard"/>
        <varyColors val="0"/>
        <ser>
          <idx val="1"/>
          <order val="0"/>
          <tx>
            <strRef>
              <f>Details!$C$5</f>
              <strCache>
                <ptCount val="1"/>
                <pt idx="0">
                  <v>Imports</v>
                </pt>
              </strCache>
            </strRef>
          </tx>
          <spPr>
            <a:ln xmlns:a="http://schemas.openxmlformats.org/drawingml/2006/main" w="28575" cap="rnd">
              <a:solidFill>
                <a:schemeClr val="accent2"/>
              </a:solidFill>
              <a:prstDash val="solid"/>
              <a:round/>
            </a:ln>
          </spPr>
          <marker>
            <symbol val="none"/>
            <spPr>
              <a:ln xmlns:a="http://schemas.openxmlformats.org/drawingml/2006/main">
                <a:prstDash val="solid"/>
              </a:ln>
            </spPr>
          </marker>
          <cat>
            <numRef>
              <f>Details!$A$6:$A$307</f>
              <numCache>
                <formatCode>m/d/yy</formatCode>
                <ptCount val="302"/>
                <pt idx="0">
                  <v>35612</v>
                </pt>
                <pt idx="1">
                  <v>35643</v>
                </pt>
                <pt idx="2">
                  <v>35674</v>
                </pt>
                <pt idx="3">
                  <v>35704</v>
                </pt>
                <pt idx="4">
                  <v>35735</v>
                </pt>
                <pt idx="5">
                  <v>35765</v>
                </pt>
                <pt idx="6">
                  <v>35796</v>
                </pt>
                <pt idx="7">
                  <v>35827</v>
                </pt>
                <pt idx="8">
                  <v>35855</v>
                </pt>
                <pt idx="9">
                  <v>35886</v>
                </pt>
                <pt idx="10">
                  <v>35916</v>
                </pt>
                <pt idx="11">
                  <v>35947</v>
                </pt>
                <pt idx="12">
                  <v>35977</v>
                </pt>
                <pt idx="13">
                  <v>36008</v>
                </pt>
                <pt idx="14">
                  <v>36039</v>
                </pt>
                <pt idx="15">
                  <v>36069</v>
                </pt>
                <pt idx="16">
                  <v>36100</v>
                </pt>
                <pt idx="17">
                  <v>36130</v>
                </pt>
                <pt idx="18">
                  <v>36161</v>
                </pt>
                <pt idx="19">
                  <v>36192</v>
                </pt>
                <pt idx="20">
                  <v>36220</v>
                </pt>
                <pt idx="21">
                  <v>36251</v>
                </pt>
                <pt idx="22">
                  <v>36281</v>
                </pt>
                <pt idx="23">
                  <v>36312</v>
                </pt>
                <pt idx="24">
                  <v>36342</v>
                </pt>
                <pt idx="25">
                  <v>36373</v>
                </pt>
                <pt idx="26">
                  <v>36404</v>
                </pt>
                <pt idx="27">
                  <v>36434</v>
                </pt>
                <pt idx="28">
                  <v>36465</v>
                </pt>
                <pt idx="29">
                  <v>36495</v>
                </pt>
                <pt idx="30">
                  <v>36526</v>
                </pt>
                <pt idx="31">
                  <v>36557</v>
                </pt>
                <pt idx="32">
                  <v>36586</v>
                </pt>
                <pt idx="33">
                  <v>36617</v>
                </pt>
                <pt idx="34">
                  <v>36647</v>
                </pt>
                <pt idx="35">
                  <v>36678</v>
                </pt>
                <pt idx="36">
                  <v>36708</v>
                </pt>
                <pt idx="37">
                  <v>36739</v>
                </pt>
                <pt idx="38">
                  <v>36770</v>
                </pt>
                <pt idx="39">
                  <v>36800</v>
                </pt>
                <pt idx="40">
                  <v>36831</v>
                </pt>
                <pt idx="41">
                  <v>36861</v>
                </pt>
                <pt idx="42">
                  <v>36892</v>
                </pt>
                <pt idx="43">
                  <v>36923</v>
                </pt>
                <pt idx="44">
                  <v>36951</v>
                </pt>
                <pt idx="45">
                  <v>36982</v>
                </pt>
                <pt idx="46">
                  <v>37012</v>
                </pt>
                <pt idx="47">
                  <v>37043</v>
                </pt>
                <pt idx="48">
                  <v>37073</v>
                </pt>
                <pt idx="49">
                  <v>37104</v>
                </pt>
                <pt idx="50">
                  <v>37135</v>
                </pt>
                <pt idx="51">
                  <v>37165</v>
                </pt>
                <pt idx="52">
                  <v>37196</v>
                </pt>
                <pt idx="53">
                  <v>37226</v>
                </pt>
                <pt idx="54">
                  <v>37257</v>
                </pt>
                <pt idx="55">
                  <v>37288</v>
                </pt>
                <pt idx="56">
                  <v>37316</v>
                </pt>
                <pt idx="57">
                  <v>37347</v>
                </pt>
                <pt idx="58">
                  <v>37377</v>
                </pt>
                <pt idx="59">
                  <v>37408</v>
                </pt>
                <pt idx="60">
                  <v>37438</v>
                </pt>
                <pt idx="61">
                  <v>37469</v>
                </pt>
                <pt idx="62">
                  <v>37500</v>
                </pt>
                <pt idx="63">
                  <v>37530</v>
                </pt>
                <pt idx="64">
                  <v>37561</v>
                </pt>
                <pt idx="65">
                  <v>37591</v>
                </pt>
                <pt idx="66">
                  <v>37622</v>
                </pt>
                <pt idx="67">
                  <v>37653</v>
                </pt>
                <pt idx="68">
                  <v>37681</v>
                </pt>
                <pt idx="69">
                  <v>37712</v>
                </pt>
                <pt idx="70">
                  <v>37742</v>
                </pt>
                <pt idx="71">
                  <v>37773</v>
                </pt>
                <pt idx="72">
                  <v>37803</v>
                </pt>
                <pt idx="73">
                  <v>37834</v>
                </pt>
                <pt idx="74">
                  <v>37865</v>
                </pt>
                <pt idx="75">
                  <v>37895</v>
                </pt>
                <pt idx="76">
                  <v>37926</v>
                </pt>
                <pt idx="77">
                  <v>37956</v>
                </pt>
                <pt idx="78">
                  <v>37987</v>
                </pt>
                <pt idx="79">
                  <v>38018</v>
                </pt>
                <pt idx="80">
                  <v>38047</v>
                </pt>
                <pt idx="81">
                  <v>38078</v>
                </pt>
                <pt idx="82">
                  <v>38108</v>
                </pt>
                <pt idx="83">
                  <v>38139</v>
                </pt>
                <pt idx="84">
                  <v>38169</v>
                </pt>
                <pt idx="85">
                  <v>38200</v>
                </pt>
                <pt idx="86">
                  <v>38231</v>
                </pt>
                <pt idx="87">
                  <v>38261</v>
                </pt>
                <pt idx="88">
                  <v>38292</v>
                </pt>
                <pt idx="89">
                  <v>38322</v>
                </pt>
                <pt idx="90">
                  <v>38353</v>
                </pt>
                <pt idx="91">
                  <v>38384</v>
                </pt>
                <pt idx="92">
                  <v>38412</v>
                </pt>
                <pt idx="93">
                  <v>38443</v>
                </pt>
                <pt idx="94">
                  <v>38473</v>
                </pt>
                <pt idx="95">
                  <v>38504</v>
                </pt>
                <pt idx="96">
                  <v>38534</v>
                </pt>
                <pt idx="97">
                  <v>38565</v>
                </pt>
                <pt idx="98">
                  <v>38596</v>
                </pt>
                <pt idx="99">
                  <v>38626</v>
                </pt>
                <pt idx="100">
                  <v>38657</v>
                </pt>
                <pt idx="101">
                  <v>38687</v>
                </pt>
                <pt idx="102">
                  <v>38718</v>
                </pt>
                <pt idx="103">
                  <v>38749</v>
                </pt>
                <pt idx="104">
                  <v>38777</v>
                </pt>
                <pt idx="105">
                  <v>38808</v>
                </pt>
                <pt idx="106">
                  <v>38838</v>
                </pt>
                <pt idx="107">
                  <v>38869</v>
                </pt>
                <pt idx="108">
                  <v>38899</v>
                </pt>
                <pt idx="109">
                  <v>38930</v>
                </pt>
                <pt idx="110">
                  <v>38961</v>
                </pt>
                <pt idx="111">
                  <v>38991</v>
                </pt>
                <pt idx="112">
                  <v>39022</v>
                </pt>
                <pt idx="113">
                  <v>39052</v>
                </pt>
                <pt idx="114">
                  <v>39083</v>
                </pt>
                <pt idx="115">
                  <v>39114</v>
                </pt>
                <pt idx="116">
                  <v>39142</v>
                </pt>
                <pt idx="117">
                  <v>39173</v>
                </pt>
                <pt idx="118">
                  <v>39203</v>
                </pt>
                <pt idx="119">
                  <v>39234</v>
                </pt>
                <pt idx="120">
                  <v>39264</v>
                </pt>
                <pt idx="121">
                  <v>39295</v>
                </pt>
                <pt idx="122">
                  <v>39326</v>
                </pt>
                <pt idx="123">
                  <v>39356</v>
                </pt>
                <pt idx="124">
                  <v>39387</v>
                </pt>
                <pt idx="125">
                  <v>39417</v>
                </pt>
                <pt idx="126">
                  <v>39448</v>
                </pt>
                <pt idx="127">
                  <v>39479</v>
                </pt>
                <pt idx="128">
                  <v>39508</v>
                </pt>
                <pt idx="129">
                  <v>39539</v>
                </pt>
                <pt idx="130">
                  <v>39569</v>
                </pt>
                <pt idx="131">
                  <v>39600</v>
                </pt>
                <pt idx="132">
                  <v>39630</v>
                </pt>
                <pt idx="133">
                  <v>39661</v>
                </pt>
                <pt idx="134">
                  <v>39692</v>
                </pt>
                <pt idx="135">
                  <v>39722</v>
                </pt>
                <pt idx="136">
                  <v>39753</v>
                </pt>
                <pt idx="137">
                  <v>39783</v>
                </pt>
                <pt idx="138">
                  <v>39814</v>
                </pt>
                <pt idx="139">
                  <v>39845</v>
                </pt>
                <pt idx="140">
                  <v>39873</v>
                </pt>
                <pt idx="141">
                  <v>39904</v>
                </pt>
                <pt idx="142">
                  <v>39934</v>
                </pt>
                <pt idx="143">
                  <v>39965</v>
                </pt>
                <pt idx="144">
                  <v>39995</v>
                </pt>
                <pt idx="145">
                  <v>40026</v>
                </pt>
                <pt idx="146">
                  <v>40057</v>
                </pt>
                <pt idx="147">
                  <v>40087</v>
                </pt>
                <pt idx="148">
                  <v>40118</v>
                </pt>
                <pt idx="149">
                  <v>40148</v>
                </pt>
                <pt idx="150">
                  <v>40179</v>
                </pt>
                <pt idx="151">
                  <v>40210</v>
                </pt>
                <pt idx="152">
                  <v>40238</v>
                </pt>
                <pt idx="153">
                  <v>40269</v>
                </pt>
                <pt idx="154">
                  <v>40299</v>
                </pt>
                <pt idx="155">
                  <v>40330</v>
                </pt>
                <pt idx="156">
                  <v>40360</v>
                </pt>
                <pt idx="157">
                  <v>40391</v>
                </pt>
                <pt idx="158">
                  <v>40422</v>
                </pt>
                <pt idx="159">
                  <v>40452</v>
                </pt>
                <pt idx="160">
                  <v>40483</v>
                </pt>
                <pt idx="161">
                  <v>40513</v>
                </pt>
                <pt idx="162">
                  <v>40544</v>
                </pt>
                <pt idx="163">
                  <v>40575</v>
                </pt>
                <pt idx="164">
                  <v>40603</v>
                </pt>
                <pt idx="165">
                  <v>40634</v>
                </pt>
                <pt idx="166">
                  <v>40664</v>
                </pt>
                <pt idx="167">
                  <v>40695</v>
                </pt>
                <pt idx="168">
                  <v>40725</v>
                </pt>
                <pt idx="169">
                  <v>40756</v>
                </pt>
                <pt idx="170">
                  <v>40787</v>
                </pt>
                <pt idx="171">
                  <v>40817</v>
                </pt>
                <pt idx="172">
                  <v>40848</v>
                </pt>
                <pt idx="173">
                  <v>40878</v>
                </pt>
                <pt idx="174">
                  <v>40909</v>
                </pt>
                <pt idx="175">
                  <v>40940</v>
                </pt>
                <pt idx="176">
                  <v>40969</v>
                </pt>
                <pt idx="177">
                  <v>41000</v>
                </pt>
                <pt idx="178">
                  <v>41030</v>
                </pt>
                <pt idx="179">
                  <v>41061</v>
                </pt>
                <pt idx="180">
                  <v>41091</v>
                </pt>
                <pt idx="181">
                  <v>41122</v>
                </pt>
                <pt idx="182">
                  <v>41153</v>
                </pt>
                <pt idx="183">
                  <v>41183</v>
                </pt>
                <pt idx="184">
                  <v>41214</v>
                </pt>
                <pt idx="185">
                  <v>41244</v>
                </pt>
                <pt idx="186">
                  <v>41275</v>
                </pt>
                <pt idx="187">
                  <v>41306</v>
                </pt>
                <pt idx="188">
                  <v>41334</v>
                </pt>
                <pt idx="189">
                  <v>41365</v>
                </pt>
                <pt idx="190">
                  <v>41395</v>
                </pt>
                <pt idx="191">
                  <v>41426</v>
                </pt>
                <pt idx="192">
                  <v>41456</v>
                </pt>
                <pt idx="193">
                  <v>41487</v>
                </pt>
                <pt idx="194">
                  <v>41518</v>
                </pt>
                <pt idx="195">
                  <v>41548</v>
                </pt>
                <pt idx="196">
                  <v>41579</v>
                </pt>
                <pt idx="197">
                  <v>41609</v>
                </pt>
                <pt idx="198">
                  <v>41640</v>
                </pt>
                <pt idx="199">
                  <v>41671</v>
                </pt>
                <pt idx="200">
                  <v>41699</v>
                </pt>
                <pt idx="201">
                  <v>41730</v>
                </pt>
                <pt idx="202">
                  <v>41760</v>
                </pt>
                <pt idx="203">
                  <v>41791</v>
                </pt>
                <pt idx="204">
                  <v>41821</v>
                </pt>
                <pt idx="205">
                  <v>41852</v>
                </pt>
                <pt idx="206">
                  <v>41883</v>
                </pt>
                <pt idx="207">
                  <v>41913</v>
                </pt>
                <pt idx="208">
                  <v>41944</v>
                </pt>
                <pt idx="209">
                  <v>41974</v>
                </pt>
                <pt idx="210">
                  <v>42005</v>
                </pt>
                <pt idx="211">
                  <v>42036</v>
                </pt>
                <pt idx="212">
                  <v>42064</v>
                </pt>
                <pt idx="213">
                  <v>42095</v>
                </pt>
                <pt idx="214">
                  <v>42125</v>
                </pt>
                <pt idx="215">
                  <v>42156</v>
                </pt>
                <pt idx="216">
                  <v>42186</v>
                </pt>
                <pt idx="217">
                  <v>42217</v>
                </pt>
                <pt idx="218">
                  <v>42248</v>
                </pt>
                <pt idx="219">
                  <v>42278</v>
                </pt>
                <pt idx="220">
                  <v>42309</v>
                </pt>
                <pt idx="221">
                  <v>42339</v>
                </pt>
                <pt idx="222">
                  <v>42370</v>
                </pt>
                <pt idx="223">
                  <v>42401</v>
                </pt>
                <pt idx="224">
                  <v>42430</v>
                </pt>
                <pt idx="225">
                  <v>42461</v>
                </pt>
                <pt idx="226">
                  <v>42491</v>
                </pt>
                <pt idx="227">
                  <v>42522</v>
                </pt>
                <pt idx="228">
                  <v>42552</v>
                </pt>
                <pt idx="229">
                  <v>42583</v>
                </pt>
                <pt idx="230">
                  <v>42614</v>
                </pt>
                <pt idx="231">
                  <v>42644</v>
                </pt>
                <pt idx="232">
                  <v>42675</v>
                </pt>
                <pt idx="233">
                  <v>42705</v>
                </pt>
                <pt idx="234">
                  <v>42736</v>
                </pt>
                <pt idx="235">
                  <v>42767</v>
                </pt>
                <pt idx="236">
                  <v>42795</v>
                </pt>
                <pt idx="237">
                  <v>42826</v>
                </pt>
                <pt idx="238">
                  <v>42856</v>
                </pt>
                <pt idx="239">
                  <v>42887</v>
                </pt>
                <pt idx="240">
                  <v>42917</v>
                </pt>
                <pt idx="241">
                  <v>42948</v>
                </pt>
                <pt idx="242">
                  <v>42979</v>
                </pt>
                <pt idx="243">
                  <v>43009</v>
                </pt>
                <pt idx="244">
                  <v>43040</v>
                </pt>
                <pt idx="245">
                  <v>43070</v>
                </pt>
                <pt idx="246">
                  <v>43101</v>
                </pt>
                <pt idx="247">
                  <v>43132</v>
                </pt>
                <pt idx="248">
                  <v>43160</v>
                </pt>
                <pt idx="249">
                  <v>43191</v>
                </pt>
                <pt idx="250">
                  <v>43221</v>
                </pt>
                <pt idx="251">
                  <v>43252</v>
                </pt>
                <pt idx="252">
                  <v>43282</v>
                </pt>
                <pt idx="253">
                  <v>43313</v>
                </pt>
                <pt idx="254">
                  <v>43344</v>
                </pt>
                <pt idx="255">
                  <v>43374</v>
                </pt>
                <pt idx="256">
                  <v>43405</v>
                </pt>
                <pt idx="257">
                  <v>43435</v>
                </pt>
                <pt idx="258">
                  <v>43466</v>
                </pt>
                <pt idx="259">
                  <v>43497</v>
                </pt>
                <pt idx="260">
                  <v>43525</v>
                </pt>
                <pt idx="261">
                  <v>43556</v>
                </pt>
                <pt idx="262">
                  <v>43586</v>
                </pt>
                <pt idx="263">
                  <v>43617</v>
                </pt>
                <pt idx="264">
                  <v>43647</v>
                </pt>
                <pt idx="265">
                  <v>43678</v>
                </pt>
                <pt idx="266">
                  <v>43709</v>
                </pt>
                <pt idx="267">
                  <v>43739</v>
                </pt>
                <pt idx="268">
                  <v>43770</v>
                </pt>
                <pt idx="269">
                  <v>43800</v>
                </pt>
                <pt idx="270">
                  <v>43831</v>
                </pt>
                <pt idx="271">
                  <v>43862</v>
                </pt>
                <pt idx="272">
                  <v>43891</v>
                </pt>
                <pt idx="273">
                  <v>43922</v>
                </pt>
                <pt idx="274">
                  <v>43952</v>
                </pt>
                <pt idx="275">
                  <v>43983</v>
                </pt>
                <pt idx="276">
                  <v>44013</v>
                </pt>
                <pt idx="277">
                  <v>44044</v>
                </pt>
                <pt idx="278">
                  <v>44075</v>
                </pt>
                <pt idx="279">
                  <v>44105</v>
                </pt>
                <pt idx="280">
                  <v>44136</v>
                </pt>
                <pt idx="281">
                  <v>44166</v>
                </pt>
                <pt idx="282">
                  <v>44197</v>
                </pt>
                <pt idx="283">
                  <v>44228</v>
                </pt>
                <pt idx="284">
                  <v>44256</v>
                </pt>
                <pt idx="285">
                  <v>44287</v>
                </pt>
                <pt idx="286">
                  <v>44317</v>
                </pt>
                <pt idx="287">
                  <v>44348</v>
                </pt>
                <pt idx="288">
                  <v>44378</v>
                </pt>
                <pt idx="289">
                  <v>44409</v>
                </pt>
                <pt idx="290">
                  <v>44440</v>
                </pt>
                <pt idx="291">
                  <v>44470</v>
                </pt>
                <pt idx="292">
                  <v>44501</v>
                </pt>
                <pt idx="293">
                  <v>44531</v>
                </pt>
                <pt idx="294">
                  <v>44562</v>
                </pt>
                <pt idx="295">
                  <v>44593</v>
                </pt>
                <pt idx="296">
                  <v>44621</v>
                </pt>
                <pt idx="297">
                  <v>44652</v>
                </pt>
                <pt idx="298">
                  <v>44682</v>
                </pt>
                <pt idx="299">
                  <v>44713</v>
                </pt>
              </numCache>
            </numRef>
          </cat>
          <val>
            <numRef>
              <f>Details!$C$6:$C$307</f>
              <numCache>
                <formatCode>General</formatCode>
                <ptCount val="302"/>
                <pt idx="0">
                  <v>55.6</v>
                </pt>
                <pt idx="1">
                  <v>48.4</v>
                </pt>
                <pt idx="2">
                  <v>47.5</v>
                </pt>
                <pt idx="3">
                  <v>50.7</v>
                </pt>
                <pt idx="4">
                  <v>50.3</v>
                </pt>
                <pt idx="5">
                  <v>52.2</v>
                </pt>
                <pt idx="6">
                  <v>51.5</v>
                </pt>
                <pt idx="7">
                  <v>52.6</v>
                </pt>
                <pt idx="8">
                  <v>50</v>
                </pt>
                <pt idx="9">
                  <v>52.1</v>
                </pt>
                <pt idx="10">
                  <v>52.8</v>
                </pt>
                <pt idx="11">
                  <v>54.5</v>
                </pt>
                <pt idx="12">
                  <v>50.9</v>
                </pt>
                <pt idx="13">
                  <v>55.2</v>
                </pt>
                <pt idx="14">
                  <v>52</v>
                </pt>
                <pt idx="15">
                  <v>48.8</v>
                </pt>
                <pt idx="16">
                  <v>50.7</v>
                </pt>
                <pt idx="17">
                  <v>50.3</v>
                </pt>
                <pt idx="18">
                  <v>53.1</v>
                </pt>
                <pt idx="19">
                  <v>52.7</v>
                </pt>
                <pt idx="20">
                  <v>55.3</v>
                </pt>
                <pt idx="21">
                  <v>52.6</v>
                </pt>
                <pt idx="22">
                  <v>54.4</v>
                </pt>
                <pt idx="23">
                  <v>51.9</v>
                </pt>
                <pt idx="24">
                  <v>55.9</v>
                </pt>
                <pt idx="25">
                  <v>52.3</v>
                </pt>
                <pt idx="26">
                  <v>55.5</v>
                </pt>
                <pt idx="27">
                  <v>55.7</v>
                </pt>
                <pt idx="28">
                  <v>53.8</v>
                </pt>
                <pt idx="29">
                  <v>50.8</v>
                </pt>
                <pt idx="30">
                  <v>54.9</v>
                </pt>
                <pt idx="31">
                  <v>51.9</v>
                </pt>
                <pt idx="32">
                  <v>54.7</v>
                </pt>
                <pt idx="33">
                  <v>54.6</v>
                </pt>
                <pt idx="34">
                  <v>54.7</v>
                </pt>
                <pt idx="35">
                  <v>52.6</v>
                </pt>
                <pt idx="36">
                  <v>53.1</v>
                </pt>
                <pt idx="37">
                  <v>53.9</v>
                </pt>
                <pt idx="38">
                  <v>46</v>
                </pt>
                <pt idx="39">
                  <v>58.9</v>
                </pt>
                <pt idx="40">
                  <v>54.7</v>
                </pt>
                <pt idx="41">
                  <v>53.4</v>
                </pt>
                <pt idx="42">
                  <v>49.8</v>
                </pt>
                <pt idx="43">
                  <v>48.7</v>
                </pt>
                <pt idx="44">
                  <v>48.4</v>
                </pt>
                <pt idx="45">
                  <v>49.8</v>
                </pt>
                <pt idx="46">
                  <v>48.7</v>
                </pt>
                <pt idx="47">
                  <v>50</v>
                </pt>
                <pt idx="48">
                  <v>50.1</v>
                </pt>
                <pt idx="49">
                  <v>52.8</v>
                </pt>
                <pt idx="50">
                  <v>52.7</v>
                </pt>
                <pt idx="51">
                  <v>50.7</v>
                </pt>
                <pt idx="52">
                  <v>51.6</v>
                </pt>
                <pt idx="53">
                  <v>55.9</v>
                </pt>
                <pt idx="54">
                  <v>55.3</v>
                </pt>
                <pt idx="55">
                  <v>54.3</v>
                </pt>
                <pt idx="56">
                  <v>48.9</v>
                </pt>
                <pt idx="57">
                  <v>56.2</v>
                </pt>
                <pt idx="58">
                  <v>54</v>
                </pt>
                <pt idx="59">
                  <v>55.2</v>
                </pt>
                <pt idx="60">
                  <v>52.6</v>
                </pt>
                <pt idx="61">
                  <v>48.3</v>
                </pt>
                <pt idx="62">
                  <v>44.7</v>
                </pt>
                <pt idx="63">
                  <v>54.9</v>
                </pt>
                <pt idx="64">
                  <v>55.1</v>
                </pt>
                <pt idx="65">
                  <v>51.8</v>
                </pt>
                <pt idx="66">
                  <v>56.5</v>
                </pt>
                <pt idx="67">
                  <v>51.5</v>
                </pt>
                <pt idx="68">
                  <v>55</v>
                </pt>
                <pt idx="69">
                  <v>50</v>
                </pt>
                <pt idx="70">
                  <v>58.5</v>
                </pt>
                <pt idx="71">
                  <v>50.5</v>
                </pt>
                <pt idx="72">
                  <v>54</v>
                </pt>
                <pt idx="73">
                  <v>60</v>
                </pt>
                <pt idx="74">
                  <v>55</v>
                </pt>
                <pt idx="75">
                  <v>56</v>
                </pt>
                <pt idx="76">
                  <v>57.5</v>
                </pt>
                <pt idx="77">
                  <v>57</v>
                </pt>
                <pt idx="78">
                  <v>54.5</v>
                </pt>
                <pt idx="79">
                  <v>58.5</v>
                </pt>
                <pt idx="80">
                  <v>60.5</v>
                </pt>
                <pt idx="81">
                  <v>60.5</v>
                </pt>
                <pt idx="82">
                  <v>59.5</v>
                </pt>
                <pt idx="83">
                  <v>56.5</v>
                </pt>
                <pt idx="84">
                  <v>60.5</v>
                </pt>
                <pt idx="85">
                  <v>63.5</v>
                </pt>
                <pt idx="86">
                  <v>56</v>
                </pt>
                <pt idx="87">
                  <v>57.5</v>
                </pt>
                <pt idx="88">
                  <v>62</v>
                </pt>
                <pt idx="89">
                  <v>61</v>
                </pt>
                <pt idx="90">
                  <v>53</v>
                </pt>
                <pt idx="91">
                  <v>57.5</v>
                </pt>
                <pt idx="92">
                  <v>59</v>
                </pt>
                <pt idx="93">
                  <v>58.5</v>
                </pt>
                <pt idx="94">
                  <v>57.5</v>
                </pt>
                <pt idx="95">
                  <v>58.5</v>
                </pt>
                <pt idx="96">
                  <v>62</v>
                </pt>
                <pt idx="97">
                  <v>61.5</v>
                </pt>
                <pt idx="98">
                  <v>58.5</v>
                </pt>
                <pt idx="99">
                  <v>53.5</v>
                </pt>
                <pt idx="100">
                  <v>56.5</v>
                </pt>
                <pt idx="101">
                  <v>56.5</v>
                </pt>
                <pt idx="102">
                  <v>49.5</v>
                </pt>
                <pt idx="103">
                  <v>55</v>
                </pt>
                <pt idx="104">
                  <v>60.5</v>
                </pt>
                <pt idx="105">
                  <v>57</v>
                </pt>
                <pt idx="106">
                  <v>58.5</v>
                </pt>
                <pt idx="107">
                  <v>55.5</v>
                </pt>
                <pt idx="108">
                  <v>60.5</v>
                </pt>
                <pt idx="109">
                  <v>60</v>
                </pt>
                <pt idx="110">
                  <v>55</v>
                </pt>
                <pt idx="111">
                  <v>57.5</v>
                </pt>
                <pt idx="112">
                  <v>59.5</v>
                </pt>
                <pt idx="113">
                  <v>62</v>
                </pt>
                <pt idx="114">
                  <v>52</v>
                </pt>
                <pt idx="115">
                  <v>54</v>
                </pt>
                <pt idx="116">
                  <v>50</v>
                </pt>
                <pt idx="117">
                  <v>52.5</v>
                </pt>
                <pt idx="118">
                  <v>55.5</v>
                </pt>
                <pt idx="119">
                  <v>57.5</v>
                </pt>
                <pt idx="120">
                  <v>54.5</v>
                </pt>
                <pt idx="121">
                  <v>55</v>
                </pt>
                <pt idx="122">
                  <v>51</v>
                </pt>
                <pt idx="123">
                  <v>55.5</v>
                </pt>
                <pt idx="124">
                  <v>49.5</v>
                </pt>
                <pt idx="125">
                  <v>50.5</v>
                </pt>
                <pt idx="126">
                  <v>41.5</v>
                </pt>
                <pt idx="127">
                  <v>49</v>
                </pt>
                <pt idx="128">
                  <v>54.5</v>
                </pt>
                <pt idx="129">
                  <v>50</v>
                </pt>
                <pt idx="130">
                  <v>48</v>
                </pt>
                <pt idx="131">
                  <v>50.5</v>
                </pt>
                <pt idx="132">
                  <v>49</v>
                </pt>
                <pt idx="133">
                  <v>46</v>
                </pt>
                <pt idx="134">
                  <v>47.5</v>
                </pt>
                <pt idx="135">
                  <v>52</v>
                </pt>
                <pt idx="136">
                  <v>40</v>
                </pt>
                <pt idx="137">
                  <v>32.5</v>
                </pt>
                <pt idx="138">
                  <v>40.5</v>
                </pt>
                <pt idx="139">
                  <v>39</v>
                </pt>
                <pt idx="140">
                  <v>37</v>
                </pt>
                <pt idx="141">
                  <v>48.5</v>
                </pt>
                <pt idx="142">
                  <v>46</v>
                </pt>
                <pt idx="143">
                  <v>47</v>
                </pt>
                <pt idx="144">
                  <v>45</v>
                </pt>
                <pt idx="145">
                  <v>49</v>
                </pt>
                <pt idx="146">
                  <v>51.5</v>
                </pt>
                <pt idx="147">
                  <v>46</v>
                </pt>
                <pt idx="148">
                  <v>46</v>
                </pt>
                <pt idx="149">
                  <v>52.5</v>
                </pt>
                <pt idx="150">
                  <v>47</v>
                </pt>
                <pt idx="151">
                  <v>48.5</v>
                </pt>
                <pt idx="152">
                  <v>51</v>
                </pt>
                <pt idx="153">
                  <v>56.5</v>
                </pt>
                <pt idx="154">
                  <v>56.5</v>
                </pt>
                <pt idx="155">
                  <v>48</v>
                </pt>
                <pt idx="156">
                  <v>48</v>
                </pt>
                <pt idx="157">
                  <v>50.5</v>
                </pt>
                <pt idx="158">
                  <v>53</v>
                </pt>
                <pt idx="159">
                  <v>54</v>
                </pt>
                <pt idx="160">
                  <v>54.5</v>
                </pt>
                <pt idx="161">
                  <v>51</v>
                </pt>
                <pt idx="162">
                  <v>53.5</v>
                </pt>
                <pt idx="163">
                  <v>53.5</v>
                </pt>
                <pt idx="164">
                  <v>50</v>
                </pt>
                <pt idx="165">
                  <v>57</v>
                </pt>
                <pt idx="166">
                  <v>50.5</v>
                </pt>
                <pt idx="167">
                  <v>46.5</v>
                </pt>
                <pt idx="168">
                  <v>47.5</v>
                </pt>
                <pt idx="169">
                  <v>53.5</v>
                </pt>
                <pt idx="170">
                  <v>47.5</v>
                </pt>
                <pt idx="171">
                  <v>48</v>
                </pt>
                <pt idx="172">
                  <v>48.5</v>
                </pt>
                <pt idx="173">
                  <v>54</v>
                </pt>
                <pt idx="174">
                  <v>55</v>
                </pt>
                <pt idx="175">
                  <v>52</v>
                </pt>
                <pt idx="176">
                  <v>56</v>
                </pt>
                <pt idx="177">
                  <v>56.5</v>
                </pt>
                <pt idx="178">
                  <v>53</v>
                </pt>
                <pt idx="179">
                  <v>53.5</v>
                </pt>
                <pt idx="180">
                  <v>44.5</v>
                </pt>
                <pt idx="181">
                  <v>49.5</v>
                </pt>
                <pt idx="182">
                  <v>50</v>
                </pt>
                <pt idx="183">
                  <v>49.5</v>
                </pt>
                <pt idx="184">
                  <v>55.5</v>
                </pt>
                <pt idx="185">
                  <v>49</v>
                </pt>
                <pt idx="186">
                  <v>51</v>
                </pt>
                <pt idx="187">
                  <v>52.5</v>
                </pt>
                <pt idx="188">
                  <v>57.5</v>
                </pt>
                <pt idx="189">
                  <v>58.5</v>
                </pt>
                <pt idx="190">
                  <v>49.5</v>
                </pt>
                <pt idx="191">
                  <v>53.5</v>
                </pt>
                <pt idx="192">
                  <v>50.5</v>
                </pt>
                <pt idx="193">
                  <v>55</v>
                </pt>
                <pt idx="194">
                  <v>51.5</v>
                </pt>
                <pt idx="195">
                  <v>55</v>
                </pt>
                <pt idx="196">
                  <v>55</v>
                </pt>
                <pt idx="197">
                  <v>50.5</v>
                </pt>
                <pt idx="198">
                  <v>48</v>
                </pt>
                <pt idx="199">
                  <v>47</v>
                </pt>
                <pt idx="200">
                  <v>50.5</v>
                </pt>
                <pt idx="201">
                  <v>55.5</v>
                </pt>
                <pt idx="202">
                  <v>55.5</v>
                </pt>
                <pt idx="203">
                  <v>53</v>
                </pt>
                <pt idx="204">
                  <v>54.5</v>
                </pt>
                <pt idx="205">
                  <v>51</v>
                </pt>
                <pt idx="206">
                  <v>52.5</v>
                </pt>
                <pt idx="207">
                  <v>56</v>
                </pt>
                <pt idx="208">
                  <v>53.5</v>
                </pt>
                <pt idx="209">
                  <v>50</v>
                </pt>
                <pt idx="210">
                  <v>46.5</v>
                </pt>
                <pt idx="211">
                  <v>51</v>
                </pt>
                <pt idx="212">
                  <v>55.5</v>
                </pt>
                <pt idx="213">
                  <v>51.5</v>
                </pt>
                <pt idx="214">
                  <v>53.5</v>
                </pt>
                <pt idx="215">
                  <v>48</v>
                </pt>
                <pt idx="216">
                  <v>50.5</v>
                </pt>
                <pt idx="217">
                  <v>51.5</v>
                </pt>
                <pt idx="218">
                  <v>53</v>
                </pt>
                <pt idx="219">
                  <v>54.5</v>
                </pt>
                <pt idx="220">
                  <v>51</v>
                </pt>
                <pt idx="221">
                  <v>49</v>
                </pt>
                <pt idx="222">
                  <v>46</v>
                </pt>
                <pt idx="223">
                  <v>55.5</v>
                </pt>
                <pt idx="224">
                  <v>53</v>
                </pt>
                <pt idx="225">
                  <v>54</v>
                </pt>
                <pt idx="226">
                  <v>53.5</v>
                </pt>
                <pt idx="227">
                  <v>54</v>
                </pt>
                <pt idx="228">
                  <v>53</v>
                </pt>
                <pt idx="229">
                  <v>50.5</v>
                </pt>
                <pt idx="230">
                  <v>51</v>
                </pt>
                <pt idx="231">
                  <v>53</v>
                </pt>
                <pt idx="232">
                  <v>54</v>
                </pt>
                <pt idx="233">
                  <v>50</v>
                </pt>
                <pt idx="234">
                  <v>54</v>
                </pt>
                <pt idx="235">
                  <v>51</v>
                </pt>
                <pt idx="236">
                  <v>56.5</v>
                </pt>
                <pt idx="237">
                  <v>53</v>
                </pt>
                <pt idx="238">
                  <v>48.5</v>
                </pt>
                <pt idx="239">
                  <v>51</v>
                </pt>
                <pt idx="240">
                  <v>51.5</v>
                </pt>
                <pt idx="241">
                  <v>50.5</v>
                </pt>
                <pt idx="242">
                  <v>52</v>
                </pt>
                <pt idx="243">
                  <v>52</v>
                </pt>
                <pt idx="244">
                  <v>52.5</v>
                </pt>
                <pt idx="245">
                  <v>52.5</v>
                </pt>
                <pt idx="246">
                  <v>54</v>
                </pt>
                <pt idx="247">
                  <v>50</v>
                </pt>
                <pt idx="248">
                  <v>55</v>
                </pt>
                <pt idx="249">
                  <v>54.5</v>
                </pt>
                <pt idx="250">
                  <v>54</v>
                </pt>
                <pt idx="251">
                  <v>51.5</v>
                </pt>
                <pt idx="252">
                  <v>52.5</v>
                </pt>
                <pt idx="253">
                  <v>52</v>
                </pt>
                <pt idx="254">
                  <v>55</v>
                </pt>
                <pt idx="255">
                  <v>51</v>
                </pt>
                <pt idx="256">
                  <v>54.5</v>
                </pt>
                <pt idx="257">
                  <v>53.5</v>
                </pt>
                <pt idx="258">
                  <v>52</v>
                </pt>
                <pt idx="259">
                  <v>48.5</v>
                </pt>
                <pt idx="260">
                  <v>51.5</v>
                </pt>
                <pt idx="261">
                  <v>55</v>
                </pt>
                <pt idx="262">
                  <v>50</v>
                </pt>
                <pt idx="263">
                  <v>50</v>
                </pt>
                <pt idx="264">
                  <v>53.5</v>
                </pt>
                <pt idx="265">
                  <v>50.5</v>
                </pt>
                <pt idx="266">
                  <v>49</v>
                </pt>
                <pt idx="267">
                  <v>48.5</v>
                </pt>
                <pt idx="268">
                  <v>45</v>
                </pt>
                <pt idx="269">
                  <v>48</v>
                </pt>
                <pt idx="270">
                  <v>55.1</v>
                </pt>
                <pt idx="271">
                  <v>52.6</v>
                </pt>
                <pt idx="272">
                  <v>40.2</v>
                </pt>
                <pt idx="273">
                  <v>49.3</v>
                </pt>
                <pt idx="274">
                  <v>43.7</v>
                </pt>
                <pt idx="275">
                  <v>52.9</v>
                </pt>
                <pt idx="276">
                  <v>46.3</v>
                </pt>
                <pt idx="277">
                  <v>50.8</v>
                </pt>
                <pt idx="278">
                  <v>46.6</v>
                </pt>
                <pt idx="279">
                  <v>52.5</v>
                </pt>
                <pt idx="280">
                  <v>55</v>
                </pt>
                <pt idx="281">
                  <v>51.8</v>
                </pt>
                <pt idx="282">
                  <v>53.5</v>
                </pt>
                <pt idx="283">
                  <v>50.5</v>
                </pt>
                <pt idx="284">
                  <v>74</v>
                </pt>
                <pt idx="285">
                  <v>55.7</v>
                </pt>
                <pt idx="286">
                  <v>50.4</v>
                </pt>
                <pt idx="287">
                  <v>58.2</v>
                </pt>
                <pt idx="288">
                  <v>51.6</v>
                </pt>
                <pt idx="289">
                  <v>48.7</v>
                </pt>
                <pt idx="290">
                  <v>47.7</v>
                </pt>
                <pt idx="291">
                  <v>53.3</v>
                </pt>
                <pt idx="292">
                  <v>50.5</v>
                </pt>
                <pt idx="293">
                  <v>55.5</v>
                </pt>
                <pt idx="294">
                  <v>51.1</v>
                </pt>
                <pt idx="295">
                  <v>51.7</v>
                </pt>
                <pt idx="296">
                  <v>45</v>
                </pt>
                <pt idx="297">
                  <v>52.9</v>
                </pt>
                <pt idx="298">
                  <v>52.8</v>
                </pt>
                <pt idx="299">
                  <v>46.3</v>
                </pt>
              </numCache>
            </numRef>
          </val>
          <smooth val="0"/>
        </ser>
        <dLbls>
          <showLegendKey val="0"/>
          <showVal val="0"/>
          <showCatName val="0"/>
          <showSerName val="0"/>
          <showPercent val="0"/>
          <showBubbleSize val="0"/>
        </dLbls>
        <smooth val="0"/>
        <axId val="946929536"/>
        <axId val="946929864"/>
      </lineChart>
      <dateAx>
        <axId val="946929536"/>
        <scaling>
          <orientation val="minMax"/>
          <min val="42005"/>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864"/>
        <crosses val="autoZero"/>
        <lblOffset val="100"/>
        <baseTimeUnit val="months"/>
      </dateAx>
      <valAx>
        <axId val="946929864"/>
        <scaling>
          <orientation val="minMax"/>
          <max val="60"/>
          <min val="4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536"/>
        <crosses val="autoZero"/>
        <crossBetween val="between"/>
      </valAx>
    </plotArea>
    <plotVisOnly val="1"/>
    <dispBlanksAs val="gap"/>
  </chart>
</chartSpace>
</file>

<file path=xl/charts/chart61.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Backlog Of Orders</a:t>
            </a:r>
          </a:p>
        </rich>
      </tx>
      <overlay val="0"/>
      <spPr>
        <a:noFill xmlns:a="http://schemas.openxmlformats.org/drawingml/2006/main"/>
        <a:ln xmlns:a="http://schemas.openxmlformats.org/drawingml/2006/main">
          <a:noFill/>
          <a:prstDash val="solid"/>
        </a:ln>
      </spPr>
    </title>
    <plotArea>
      <layout/>
      <lineChart>
        <grouping val="standard"/>
        <varyColors val="0"/>
        <ser>
          <idx val="2"/>
          <order val="0"/>
          <tx>
            <strRef>
              <f>Details!$D$5</f>
              <strCache>
                <ptCount val="1"/>
                <pt idx="0">
                  <v>Backlog Of Orders</v>
                </pt>
              </strCache>
            </strRef>
          </tx>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Details!$A$6:$A$307</f>
              <numCache>
                <formatCode>m/d/yy</formatCode>
                <ptCount val="302"/>
                <pt idx="0">
                  <v>35612</v>
                </pt>
                <pt idx="1">
                  <v>35643</v>
                </pt>
                <pt idx="2">
                  <v>35674</v>
                </pt>
                <pt idx="3">
                  <v>35704</v>
                </pt>
                <pt idx="4">
                  <v>35735</v>
                </pt>
                <pt idx="5">
                  <v>35765</v>
                </pt>
                <pt idx="6">
                  <v>35796</v>
                </pt>
                <pt idx="7">
                  <v>35827</v>
                </pt>
                <pt idx="8">
                  <v>35855</v>
                </pt>
                <pt idx="9">
                  <v>35886</v>
                </pt>
                <pt idx="10">
                  <v>35916</v>
                </pt>
                <pt idx="11">
                  <v>35947</v>
                </pt>
                <pt idx="12">
                  <v>35977</v>
                </pt>
                <pt idx="13">
                  <v>36008</v>
                </pt>
                <pt idx="14">
                  <v>36039</v>
                </pt>
                <pt idx="15">
                  <v>36069</v>
                </pt>
                <pt idx="16">
                  <v>36100</v>
                </pt>
                <pt idx="17">
                  <v>36130</v>
                </pt>
                <pt idx="18">
                  <v>36161</v>
                </pt>
                <pt idx="19">
                  <v>36192</v>
                </pt>
                <pt idx="20">
                  <v>36220</v>
                </pt>
                <pt idx="21">
                  <v>36251</v>
                </pt>
                <pt idx="22">
                  <v>36281</v>
                </pt>
                <pt idx="23">
                  <v>36312</v>
                </pt>
                <pt idx="24">
                  <v>36342</v>
                </pt>
                <pt idx="25">
                  <v>36373</v>
                </pt>
                <pt idx="26">
                  <v>36404</v>
                </pt>
                <pt idx="27">
                  <v>36434</v>
                </pt>
                <pt idx="28">
                  <v>36465</v>
                </pt>
                <pt idx="29">
                  <v>36495</v>
                </pt>
                <pt idx="30">
                  <v>36526</v>
                </pt>
                <pt idx="31">
                  <v>36557</v>
                </pt>
                <pt idx="32">
                  <v>36586</v>
                </pt>
                <pt idx="33">
                  <v>36617</v>
                </pt>
                <pt idx="34">
                  <v>36647</v>
                </pt>
                <pt idx="35">
                  <v>36678</v>
                </pt>
                <pt idx="36">
                  <v>36708</v>
                </pt>
                <pt idx="37">
                  <v>36739</v>
                </pt>
                <pt idx="38">
                  <v>36770</v>
                </pt>
                <pt idx="39">
                  <v>36800</v>
                </pt>
                <pt idx="40">
                  <v>36831</v>
                </pt>
                <pt idx="41">
                  <v>36861</v>
                </pt>
                <pt idx="42">
                  <v>36892</v>
                </pt>
                <pt idx="43">
                  <v>36923</v>
                </pt>
                <pt idx="44">
                  <v>36951</v>
                </pt>
                <pt idx="45">
                  <v>36982</v>
                </pt>
                <pt idx="46">
                  <v>37012</v>
                </pt>
                <pt idx="47">
                  <v>37043</v>
                </pt>
                <pt idx="48">
                  <v>37073</v>
                </pt>
                <pt idx="49">
                  <v>37104</v>
                </pt>
                <pt idx="50">
                  <v>37135</v>
                </pt>
                <pt idx="51">
                  <v>37165</v>
                </pt>
                <pt idx="52">
                  <v>37196</v>
                </pt>
                <pt idx="53">
                  <v>37226</v>
                </pt>
                <pt idx="54">
                  <v>37257</v>
                </pt>
                <pt idx="55">
                  <v>37288</v>
                </pt>
                <pt idx="56">
                  <v>37316</v>
                </pt>
                <pt idx="57">
                  <v>37347</v>
                </pt>
                <pt idx="58">
                  <v>37377</v>
                </pt>
                <pt idx="59">
                  <v>37408</v>
                </pt>
                <pt idx="60">
                  <v>37438</v>
                </pt>
                <pt idx="61">
                  <v>37469</v>
                </pt>
                <pt idx="62">
                  <v>37500</v>
                </pt>
                <pt idx="63">
                  <v>37530</v>
                </pt>
                <pt idx="64">
                  <v>37561</v>
                </pt>
                <pt idx="65">
                  <v>37591</v>
                </pt>
                <pt idx="66">
                  <v>37622</v>
                </pt>
                <pt idx="67">
                  <v>37653</v>
                </pt>
                <pt idx="68">
                  <v>37681</v>
                </pt>
                <pt idx="69">
                  <v>37712</v>
                </pt>
                <pt idx="70">
                  <v>37742</v>
                </pt>
                <pt idx="71">
                  <v>37773</v>
                </pt>
                <pt idx="72">
                  <v>37803</v>
                </pt>
                <pt idx="73">
                  <v>37834</v>
                </pt>
                <pt idx="74">
                  <v>37865</v>
                </pt>
                <pt idx="75">
                  <v>37895</v>
                </pt>
                <pt idx="76">
                  <v>37926</v>
                </pt>
                <pt idx="77">
                  <v>37956</v>
                </pt>
                <pt idx="78">
                  <v>37987</v>
                </pt>
                <pt idx="79">
                  <v>38018</v>
                </pt>
                <pt idx="80">
                  <v>38047</v>
                </pt>
                <pt idx="81">
                  <v>38078</v>
                </pt>
                <pt idx="82">
                  <v>38108</v>
                </pt>
                <pt idx="83">
                  <v>38139</v>
                </pt>
                <pt idx="84">
                  <v>38169</v>
                </pt>
                <pt idx="85">
                  <v>38200</v>
                </pt>
                <pt idx="86">
                  <v>38231</v>
                </pt>
                <pt idx="87">
                  <v>38261</v>
                </pt>
                <pt idx="88">
                  <v>38292</v>
                </pt>
                <pt idx="89">
                  <v>38322</v>
                </pt>
                <pt idx="90">
                  <v>38353</v>
                </pt>
                <pt idx="91">
                  <v>38384</v>
                </pt>
                <pt idx="92">
                  <v>38412</v>
                </pt>
                <pt idx="93">
                  <v>38443</v>
                </pt>
                <pt idx="94">
                  <v>38473</v>
                </pt>
                <pt idx="95">
                  <v>38504</v>
                </pt>
                <pt idx="96">
                  <v>38534</v>
                </pt>
                <pt idx="97">
                  <v>38565</v>
                </pt>
                <pt idx="98">
                  <v>38596</v>
                </pt>
                <pt idx="99">
                  <v>38626</v>
                </pt>
                <pt idx="100">
                  <v>38657</v>
                </pt>
                <pt idx="101">
                  <v>38687</v>
                </pt>
                <pt idx="102">
                  <v>38718</v>
                </pt>
                <pt idx="103">
                  <v>38749</v>
                </pt>
                <pt idx="104">
                  <v>38777</v>
                </pt>
                <pt idx="105">
                  <v>38808</v>
                </pt>
                <pt idx="106">
                  <v>38838</v>
                </pt>
                <pt idx="107">
                  <v>38869</v>
                </pt>
                <pt idx="108">
                  <v>38899</v>
                </pt>
                <pt idx="109">
                  <v>38930</v>
                </pt>
                <pt idx="110">
                  <v>38961</v>
                </pt>
                <pt idx="111">
                  <v>38991</v>
                </pt>
                <pt idx="112">
                  <v>39022</v>
                </pt>
                <pt idx="113">
                  <v>39052</v>
                </pt>
                <pt idx="114">
                  <v>39083</v>
                </pt>
                <pt idx="115">
                  <v>39114</v>
                </pt>
                <pt idx="116">
                  <v>39142</v>
                </pt>
                <pt idx="117">
                  <v>39173</v>
                </pt>
                <pt idx="118">
                  <v>39203</v>
                </pt>
                <pt idx="119">
                  <v>39234</v>
                </pt>
                <pt idx="120">
                  <v>39264</v>
                </pt>
                <pt idx="121">
                  <v>39295</v>
                </pt>
                <pt idx="122">
                  <v>39326</v>
                </pt>
                <pt idx="123">
                  <v>39356</v>
                </pt>
                <pt idx="124">
                  <v>39387</v>
                </pt>
                <pt idx="125">
                  <v>39417</v>
                </pt>
                <pt idx="126">
                  <v>39448</v>
                </pt>
                <pt idx="127">
                  <v>39479</v>
                </pt>
                <pt idx="128">
                  <v>39508</v>
                </pt>
                <pt idx="129">
                  <v>39539</v>
                </pt>
                <pt idx="130">
                  <v>39569</v>
                </pt>
                <pt idx="131">
                  <v>39600</v>
                </pt>
                <pt idx="132">
                  <v>39630</v>
                </pt>
                <pt idx="133">
                  <v>39661</v>
                </pt>
                <pt idx="134">
                  <v>39692</v>
                </pt>
                <pt idx="135">
                  <v>39722</v>
                </pt>
                <pt idx="136">
                  <v>39753</v>
                </pt>
                <pt idx="137">
                  <v>39783</v>
                </pt>
                <pt idx="138">
                  <v>39814</v>
                </pt>
                <pt idx="139">
                  <v>39845</v>
                </pt>
                <pt idx="140">
                  <v>39873</v>
                </pt>
                <pt idx="141">
                  <v>39904</v>
                </pt>
                <pt idx="142">
                  <v>39934</v>
                </pt>
                <pt idx="143">
                  <v>39965</v>
                </pt>
                <pt idx="144">
                  <v>39995</v>
                </pt>
                <pt idx="145">
                  <v>40026</v>
                </pt>
                <pt idx="146">
                  <v>40057</v>
                </pt>
                <pt idx="147">
                  <v>40087</v>
                </pt>
                <pt idx="148">
                  <v>40118</v>
                </pt>
                <pt idx="149">
                  <v>40148</v>
                </pt>
                <pt idx="150">
                  <v>40179</v>
                </pt>
                <pt idx="151">
                  <v>40210</v>
                </pt>
                <pt idx="152">
                  <v>40238</v>
                </pt>
                <pt idx="153">
                  <v>40269</v>
                </pt>
                <pt idx="154">
                  <v>40299</v>
                </pt>
                <pt idx="155">
                  <v>40330</v>
                </pt>
                <pt idx="156">
                  <v>40360</v>
                </pt>
                <pt idx="157">
                  <v>40391</v>
                </pt>
                <pt idx="158">
                  <v>40422</v>
                </pt>
                <pt idx="159">
                  <v>40452</v>
                </pt>
                <pt idx="160">
                  <v>40483</v>
                </pt>
                <pt idx="161">
                  <v>40513</v>
                </pt>
                <pt idx="162">
                  <v>40544</v>
                </pt>
                <pt idx="163">
                  <v>40575</v>
                </pt>
                <pt idx="164">
                  <v>40603</v>
                </pt>
                <pt idx="165">
                  <v>40634</v>
                </pt>
                <pt idx="166">
                  <v>40664</v>
                </pt>
                <pt idx="167">
                  <v>40695</v>
                </pt>
                <pt idx="168">
                  <v>40725</v>
                </pt>
                <pt idx="169">
                  <v>40756</v>
                </pt>
                <pt idx="170">
                  <v>40787</v>
                </pt>
                <pt idx="171">
                  <v>40817</v>
                </pt>
                <pt idx="172">
                  <v>40848</v>
                </pt>
                <pt idx="173">
                  <v>40878</v>
                </pt>
                <pt idx="174">
                  <v>40909</v>
                </pt>
                <pt idx="175">
                  <v>40940</v>
                </pt>
                <pt idx="176">
                  <v>40969</v>
                </pt>
                <pt idx="177">
                  <v>41000</v>
                </pt>
                <pt idx="178">
                  <v>41030</v>
                </pt>
                <pt idx="179">
                  <v>41061</v>
                </pt>
                <pt idx="180">
                  <v>41091</v>
                </pt>
                <pt idx="181">
                  <v>41122</v>
                </pt>
                <pt idx="182">
                  <v>41153</v>
                </pt>
                <pt idx="183">
                  <v>41183</v>
                </pt>
                <pt idx="184">
                  <v>41214</v>
                </pt>
                <pt idx="185">
                  <v>41244</v>
                </pt>
                <pt idx="186">
                  <v>41275</v>
                </pt>
                <pt idx="187">
                  <v>41306</v>
                </pt>
                <pt idx="188">
                  <v>41334</v>
                </pt>
                <pt idx="189">
                  <v>41365</v>
                </pt>
                <pt idx="190">
                  <v>41395</v>
                </pt>
                <pt idx="191">
                  <v>41426</v>
                </pt>
                <pt idx="192">
                  <v>41456</v>
                </pt>
                <pt idx="193">
                  <v>41487</v>
                </pt>
                <pt idx="194">
                  <v>41518</v>
                </pt>
                <pt idx="195">
                  <v>41548</v>
                </pt>
                <pt idx="196">
                  <v>41579</v>
                </pt>
                <pt idx="197">
                  <v>41609</v>
                </pt>
                <pt idx="198">
                  <v>41640</v>
                </pt>
                <pt idx="199">
                  <v>41671</v>
                </pt>
                <pt idx="200">
                  <v>41699</v>
                </pt>
                <pt idx="201">
                  <v>41730</v>
                </pt>
                <pt idx="202">
                  <v>41760</v>
                </pt>
                <pt idx="203">
                  <v>41791</v>
                </pt>
                <pt idx="204">
                  <v>41821</v>
                </pt>
                <pt idx="205">
                  <v>41852</v>
                </pt>
                <pt idx="206">
                  <v>41883</v>
                </pt>
                <pt idx="207">
                  <v>41913</v>
                </pt>
                <pt idx="208">
                  <v>41944</v>
                </pt>
                <pt idx="209">
                  <v>41974</v>
                </pt>
                <pt idx="210">
                  <v>42005</v>
                </pt>
                <pt idx="211">
                  <v>42036</v>
                </pt>
                <pt idx="212">
                  <v>42064</v>
                </pt>
                <pt idx="213">
                  <v>42095</v>
                </pt>
                <pt idx="214">
                  <v>42125</v>
                </pt>
                <pt idx="215">
                  <v>42156</v>
                </pt>
                <pt idx="216">
                  <v>42186</v>
                </pt>
                <pt idx="217">
                  <v>42217</v>
                </pt>
                <pt idx="218">
                  <v>42248</v>
                </pt>
                <pt idx="219">
                  <v>42278</v>
                </pt>
                <pt idx="220">
                  <v>42309</v>
                </pt>
                <pt idx="221">
                  <v>42339</v>
                </pt>
                <pt idx="222">
                  <v>42370</v>
                </pt>
                <pt idx="223">
                  <v>42401</v>
                </pt>
                <pt idx="224">
                  <v>42430</v>
                </pt>
                <pt idx="225">
                  <v>42461</v>
                </pt>
                <pt idx="226">
                  <v>42491</v>
                </pt>
                <pt idx="227">
                  <v>42522</v>
                </pt>
                <pt idx="228">
                  <v>42552</v>
                </pt>
                <pt idx="229">
                  <v>42583</v>
                </pt>
                <pt idx="230">
                  <v>42614</v>
                </pt>
                <pt idx="231">
                  <v>42644</v>
                </pt>
                <pt idx="232">
                  <v>42675</v>
                </pt>
                <pt idx="233">
                  <v>42705</v>
                </pt>
                <pt idx="234">
                  <v>42736</v>
                </pt>
                <pt idx="235">
                  <v>42767</v>
                </pt>
                <pt idx="236">
                  <v>42795</v>
                </pt>
                <pt idx="237">
                  <v>42826</v>
                </pt>
                <pt idx="238">
                  <v>42856</v>
                </pt>
                <pt idx="239">
                  <v>42887</v>
                </pt>
                <pt idx="240">
                  <v>42917</v>
                </pt>
                <pt idx="241">
                  <v>42948</v>
                </pt>
                <pt idx="242">
                  <v>42979</v>
                </pt>
                <pt idx="243">
                  <v>43009</v>
                </pt>
                <pt idx="244">
                  <v>43040</v>
                </pt>
                <pt idx="245">
                  <v>43070</v>
                </pt>
                <pt idx="246">
                  <v>43101</v>
                </pt>
                <pt idx="247">
                  <v>43132</v>
                </pt>
                <pt idx="248">
                  <v>43160</v>
                </pt>
                <pt idx="249">
                  <v>43191</v>
                </pt>
                <pt idx="250">
                  <v>43221</v>
                </pt>
                <pt idx="251">
                  <v>43252</v>
                </pt>
                <pt idx="252">
                  <v>43282</v>
                </pt>
                <pt idx="253">
                  <v>43313</v>
                </pt>
                <pt idx="254">
                  <v>43344</v>
                </pt>
                <pt idx="255">
                  <v>43374</v>
                </pt>
                <pt idx="256">
                  <v>43405</v>
                </pt>
                <pt idx="257">
                  <v>43435</v>
                </pt>
                <pt idx="258">
                  <v>43466</v>
                </pt>
                <pt idx="259">
                  <v>43497</v>
                </pt>
                <pt idx="260">
                  <v>43525</v>
                </pt>
                <pt idx="261">
                  <v>43556</v>
                </pt>
                <pt idx="262">
                  <v>43586</v>
                </pt>
                <pt idx="263">
                  <v>43617</v>
                </pt>
                <pt idx="264">
                  <v>43647</v>
                </pt>
                <pt idx="265">
                  <v>43678</v>
                </pt>
                <pt idx="266">
                  <v>43709</v>
                </pt>
                <pt idx="267">
                  <v>43739</v>
                </pt>
                <pt idx="268">
                  <v>43770</v>
                </pt>
                <pt idx="269">
                  <v>43800</v>
                </pt>
                <pt idx="270">
                  <v>43831</v>
                </pt>
                <pt idx="271">
                  <v>43862</v>
                </pt>
                <pt idx="272">
                  <v>43891</v>
                </pt>
                <pt idx="273">
                  <v>43922</v>
                </pt>
                <pt idx="274">
                  <v>43952</v>
                </pt>
                <pt idx="275">
                  <v>43983</v>
                </pt>
                <pt idx="276">
                  <v>44013</v>
                </pt>
                <pt idx="277">
                  <v>44044</v>
                </pt>
                <pt idx="278">
                  <v>44075</v>
                </pt>
                <pt idx="279">
                  <v>44105</v>
                </pt>
                <pt idx="280">
                  <v>44136</v>
                </pt>
                <pt idx="281">
                  <v>44166</v>
                </pt>
                <pt idx="282">
                  <v>44197</v>
                </pt>
                <pt idx="283">
                  <v>44228</v>
                </pt>
                <pt idx="284">
                  <v>44256</v>
                </pt>
                <pt idx="285">
                  <v>44287</v>
                </pt>
                <pt idx="286">
                  <v>44317</v>
                </pt>
                <pt idx="287">
                  <v>44348</v>
                </pt>
                <pt idx="288">
                  <v>44378</v>
                </pt>
                <pt idx="289">
                  <v>44409</v>
                </pt>
                <pt idx="290">
                  <v>44440</v>
                </pt>
                <pt idx="291">
                  <v>44470</v>
                </pt>
                <pt idx="292">
                  <v>44501</v>
                </pt>
                <pt idx="293">
                  <v>44531</v>
                </pt>
                <pt idx="294">
                  <v>44562</v>
                </pt>
                <pt idx="295">
                  <v>44593</v>
                </pt>
                <pt idx="296">
                  <v>44621</v>
                </pt>
                <pt idx="297">
                  <v>44652</v>
                </pt>
                <pt idx="298">
                  <v>44682</v>
                </pt>
                <pt idx="299">
                  <v>44713</v>
                </pt>
              </numCache>
            </numRef>
          </cat>
          <val>
            <numRef>
              <f>Details!$D$6:$D$307</f>
              <numCache>
                <formatCode>General</formatCode>
                <ptCount val="302"/>
                <pt idx="0">
                  <v>49</v>
                </pt>
                <pt idx="1">
                  <v>56.5</v>
                </pt>
                <pt idx="2">
                  <v>49.5</v>
                </pt>
                <pt idx="3">
                  <v>52</v>
                </pt>
                <pt idx="4">
                  <v>56</v>
                </pt>
                <pt idx="5">
                  <v>49</v>
                </pt>
                <pt idx="6">
                  <v>49</v>
                </pt>
                <pt idx="7">
                  <v>51.5</v>
                </pt>
                <pt idx="8">
                  <v>51.5</v>
                </pt>
                <pt idx="9">
                  <v>51</v>
                </pt>
                <pt idx="10">
                  <v>53</v>
                </pt>
                <pt idx="11">
                  <v>50</v>
                </pt>
                <pt idx="12">
                  <v>52</v>
                </pt>
                <pt idx="13">
                  <v>56.5</v>
                </pt>
                <pt idx="14">
                  <v>54</v>
                </pt>
                <pt idx="15">
                  <v>49</v>
                </pt>
                <pt idx="16">
                  <v>46.5</v>
                </pt>
                <pt idx="17">
                  <v>47</v>
                </pt>
                <pt idx="18">
                  <v>49</v>
                </pt>
                <pt idx="19">
                  <v>51.5</v>
                </pt>
                <pt idx="20">
                  <v>55.5</v>
                </pt>
                <pt idx="21">
                  <v>51</v>
                </pt>
                <pt idx="22">
                  <v>50.5</v>
                </pt>
                <pt idx="23">
                  <v>52</v>
                </pt>
                <pt idx="24">
                  <v>50</v>
                </pt>
                <pt idx="25">
                  <v>51.5</v>
                </pt>
                <pt idx="26">
                  <v>52.5</v>
                </pt>
                <pt idx="27">
                  <v>52</v>
                </pt>
                <pt idx="28">
                  <v>49</v>
                </pt>
                <pt idx="29">
                  <v>49</v>
                </pt>
                <pt idx="30">
                  <v>48.5</v>
                </pt>
                <pt idx="31">
                  <v>52</v>
                </pt>
                <pt idx="32">
                  <v>53</v>
                </pt>
                <pt idx="33">
                  <v>55.5</v>
                </pt>
                <pt idx="34">
                  <v>53.5</v>
                </pt>
                <pt idx="35">
                  <v>56.5</v>
                </pt>
                <pt idx="36">
                  <v>50.5</v>
                </pt>
                <pt idx="37">
                  <v>52</v>
                </pt>
                <pt idx="38">
                  <v>56.5</v>
                </pt>
                <pt idx="39">
                  <v>53.5</v>
                </pt>
                <pt idx="40">
                  <v>49.5</v>
                </pt>
                <pt idx="41">
                  <v>50.5</v>
                </pt>
                <pt idx="42">
                  <v>42.5</v>
                </pt>
                <pt idx="43">
                  <v>45.5</v>
                </pt>
                <pt idx="44">
                  <v>47.5</v>
                </pt>
                <pt idx="45">
                  <v>44</v>
                </pt>
                <pt idx="46">
                  <v>46.5</v>
                </pt>
                <pt idx="47">
                  <v>49</v>
                </pt>
                <pt idx="48">
                  <v>42.5</v>
                </pt>
                <pt idx="49">
                  <v>41.5</v>
                </pt>
                <pt idx="50">
                  <v>48.5</v>
                </pt>
                <pt idx="51">
                  <v>40.5</v>
                </pt>
                <pt idx="52">
                  <v>42</v>
                </pt>
                <pt idx="53">
                  <v>46.5</v>
                </pt>
                <pt idx="54">
                  <v>45.5</v>
                </pt>
                <pt idx="55">
                  <v>47.5</v>
                </pt>
                <pt idx="56">
                  <v>49.5</v>
                </pt>
                <pt idx="57">
                  <v>48.5</v>
                </pt>
                <pt idx="58">
                  <v>53.5</v>
                </pt>
                <pt idx="59">
                  <v>49</v>
                </pt>
                <pt idx="60">
                  <v>43.5</v>
                </pt>
                <pt idx="61">
                  <v>48</v>
                </pt>
                <pt idx="62">
                  <v>51</v>
                </pt>
                <pt idx="63">
                  <v>52</v>
                </pt>
                <pt idx="64">
                  <v>50.5</v>
                </pt>
                <pt idx="65">
                  <v>51.5</v>
                </pt>
                <pt idx="66">
                  <v>48</v>
                </pt>
                <pt idx="67">
                  <v>50</v>
                </pt>
                <pt idx="68">
                  <v>47.5</v>
                </pt>
                <pt idx="69">
                  <v>46</v>
                </pt>
                <pt idx="70">
                  <v>51</v>
                </pt>
                <pt idx="71">
                  <v>51.5</v>
                </pt>
                <pt idx="72">
                  <v>54.5</v>
                </pt>
                <pt idx="73">
                  <v>51.5</v>
                </pt>
                <pt idx="74">
                  <v>57</v>
                </pt>
                <pt idx="75">
                  <v>54</v>
                </pt>
                <pt idx="76">
                  <v>52.5</v>
                </pt>
                <pt idx="77">
                  <v>55.5</v>
                </pt>
                <pt idx="78">
                  <v>53.5</v>
                </pt>
                <pt idx="79">
                  <v>53</v>
                </pt>
                <pt idx="80">
                  <v>52.5</v>
                </pt>
                <pt idx="81">
                  <v>53.5</v>
                </pt>
                <pt idx="82">
                  <v>56.5</v>
                </pt>
                <pt idx="83">
                  <v>55.5</v>
                </pt>
                <pt idx="84">
                  <v>55</v>
                </pt>
                <pt idx="85">
                  <v>53</v>
                </pt>
                <pt idx="86">
                  <v>52.5</v>
                </pt>
                <pt idx="87">
                  <v>52.5</v>
                </pt>
                <pt idx="88">
                  <v>54</v>
                </pt>
                <pt idx="89">
                  <v>56.5</v>
                </pt>
                <pt idx="90">
                  <v>48</v>
                </pt>
                <pt idx="91">
                  <v>51.5</v>
                </pt>
                <pt idx="92">
                  <v>56.5</v>
                </pt>
                <pt idx="93">
                  <v>54</v>
                </pt>
                <pt idx="94">
                  <v>56.5</v>
                </pt>
                <pt idx="95">
                  <v>52.5</v>
                </pt>
                <pt idx="96">
                  <v>53.5</v>
                </pt>
                <pt idx="97">
                  <v>52</v>
                </pt>
                <pt idx="98">
                  <v>52</v>
                </pt>
                <pt idx="99">
                  <v>55</v>
                </pt>
                <pt idx="100">
                  <v>54</v>
                </pt>
                <pt idx="101">
                  <v>54</v>
                </pt>
                <pt idx="102">
                  <v>52.5</v>
                </pt>
                <pt idx="103">
                  <v>54</v>
                </pt>
                <pt idx="104">
                  <v>50.5</v>
                </pt>
                <pt idx="105">
                  <v>54</v>
                </pt>
                <pt idx="106">
                  <v>52</v>
                </pt>
                <pt idx="107">
                  <v>55</v>
                </pt>
                <pt idx="108">
                  <v>56</v>
                </pt>
                <pt idx="109">
                  <v>49.5</v>
                </pt>
                <pt idx="110">
                  <v>53</v>
                </pt>
                <pt idx="111">
                  <v>51.5</v>
                </pt>
                <pt idx="112">
                  <v>54.5</v>
                </pt>
                <pt idx="113">
                  <v>48</v>
                </pt>
                <pt idx="114">
                  <v>49</v>
                </pt>
                <pt idx="115">
                  <v>47</v>
                </pt>
                <pt idx="116">
                  <v>52.5</v>
                </pt>
                <pt idx="117">
                  <v>50</v>
                </pt>
                <pt idx="118">
                  <v>48</v>
                </pt>
                <pt idx="119">
                  <v>46.5</v>
                </pt>
                <pt idx="120">
                  <v>53</v>
                </pt>
                <pt idx="121">
                  <v>58.6</v>
                </pt>
                <pt idx="122">
                  <v>47</v>
                </pt>
                <pt idx="123">
                  <v>43.5</v>
                </pt>
                <pt idx="124">
                  <v>48.5</v>
                </pt>
                <pt idx="125">
                  <v>49</v>
                </pt>
                <pt idx="126">
                  <v>46</v>
                </pt>
                <pt idx="127">
                  <v>49.5</v>
                </pt>
                <pt idx="128">
                  <v>47.5</v>
                </pt>
                <pt idx="129">
                  <v>50</v>
                </pt>
                <pt idx="130">
                  <v>49</v>
                </pt>
                <pt idx="131">
                  <v>49</v>
                </pt>
                <pt idx="132">
                  <v>52</v>
                </pt>
                <pt idx="133">
                  <v>49</v>
                </pt>
                <pt idx="134">
                  <v>46.5</v>
                </pt>
                <pt idx="135">
                  <v>44</v>
                </pt>
                <pt idx="136">
                  <v>39.5</v>
                </pt>
                <pt idx="137">
                  <v>42.5</v>
                </pt>
                <pt idx="138">
                  <v>37.5</v>
                </pt>
                <pt idx="139">
                  <v>36.5</v>
                </pt>
                <pt idx="140">
                  <v>41</v>
                </pt>
                <pt idx="141">
                  <v>44</v>
                </pt>
                <pt idx="142">
                  <v>40</v>
                </pt>
                <pt idx="143">
                  <v>46</v>
                </pt>
                <pt idx="144">
                  <v>42</v>
                </pt>
                <pt idx="145">
                  <v>41</v>
                </pt>
                <pt idx="146">
                  <v>51.5</v>
                </pt>
                <pt idx="147">
                  <v>53.5</v>
                </pt>
                <pt idx="148">
                  <v>48.5</v>
                </pt>
                <pt idx="149">
                  <v>48</v>
                </pt>
                <pt idx="150">
                  <v>45.5</v>
                </pt>
                <pt idx="151">
                  <v>46</v>
                </pt>
                <pt idx="152">
                  <v>55.5</v>
                </pt>
                <pt idx="153">
                  <v>49.5</v>
                </pt>
                <pt idx="154">
                  <v>56</v>
                </pt>
                <pt idx="155">
                  <v>55.5</v>
                </pt>
                <pt idx="156">
                  <v>52</v>
                </pt>
                <pt idx="157">
                  <v>50.5</v>
                </pt>
                <pt idx="158">
                  <v>48</v>
                </pt>
                <pt idx="159">
                  <v>52</v>
                </pt>
                <pt idx="160">
                  <v>51.5</v>
                </pt>
                <pt idx="161">
                  <v>48.5</v>
                </pt>
                <pt idx="162">
                  <v>50.5</v>
                </pt>
                <pt idx="163">
                  <v>52</v>
                </pt>
                <pt idx="164">
                  <v>56</v>
                </pt>
                <pt idx="165">
                  <v>55.5</v>
                </pt>
                <pt idx="166">
                  <v>55</v>
                </pt>
                <pt idx="167">
                  <v>48.5</v>
                </pt>
                <pt idx="168">
                  <v>44</v>
                </pt>
                <pt idx="169">
                  <v>47.5</v>
                </pt>
                <pt idx="170">
                  <v>52.5</v>
                </pt>
                <pt idx="171">
                  <v>47</v>
                </pt>
                <pt idx="172">
                  <v>48</v>
                </pt>
                <pt idx="173">
                  <v>45.5</v>
                </pt>
                <pt idx="174">
                  <v>49.5</v>
                </pt>
                <pt idx="175">
                  <v>53</v>
                </pt>
                <pt idx="176">
                  <v>49.5</v>
                </pt>
                <pt idx="177">
                  <v>53</v>
                </pt>
                <pt idx="178">
                  <v>53</v>
                </pt>
                <pt idx="179">
                  <v>47.5</v>
                </pt>
                <pt idx="180">
                  <v>44.5</v>
                </pt>
                <pt idx="181">
                  <v>50.5</v>
                </pt>
                <pt idx="182">
                  <v>48</v>
                </pt>
                <pt idx="183">
                  <v>49</v>
                </pt>
                <pt idx="184">
                  <v>53.5</v>
                </pt>
                <pt idx="185">
                  <v>49.5</v>
                </pt>
                <pt idx="186">
                  <v>49</v>
                </pt>
                <pt idx="187">
                  <v>54.5</v>
                </pt>
                <pt idx="188">
                  <v>54.5</v>
                </pt>
                <pt idx="189">
                  <v>51.5</v>
                </pt>
                <pt idx="190">
                  <v>51.5</v>
                </pt>
                <pt idx="191">
                  <v>52</v>
                </pt>
                <pt idx="192">
                  <v>46.5</v>
                </pt>
                <pt idx="193">
                  <v>50.5</v>
                </pt>
                <pt idx="194">
                  <v>50.5</v>
                </pt>
                <pt idx="195">
                  <v>50</v>
                </pt>
                <pt idx="196">
                  <v>49</v>
                </pt>
                <pt idx="197">
                  <v>46</v>
                </pt>
                <pt idx="198">
                  <v>49</v>
                </pt>
                <pt idx="199">
                  <v>52</v>
                </pt>
                <pt idx="200">
                  <v>51.5</v>
                </pt>
                <pt idx="201">
                  <v>49</v>
                </pt>
                <pt idx="202">
                  <v>54</v>
                </pt>
                <pt idx="203">
                  <v>53</v>
                </pt>
                <pt idx="204">
                  <v>53</v>
                </pt>
                <pt idx="205">
                  <v>54.5</v>
                </pt>
                <pt idx="206">
                  <v>52</v>
                </pt>
                <pt idx="207">
                  <v>51.5</v>
                </pt>
                <pt idx="208">
                  <v>55.5</v>
                </pt>
                <pt idx="209">
                  <v>49.5</v>
                </pt>
                <pt idx="210">
                  <v>49</v>
                </pt>
                <pt idx="211">
                  <v>53</v>
                </pt>
                <pt idx="212">
                  <v>53.5</v>
                </pt>
                <pt idx="213">
                  <v>54.5</v>
                </pt>
                <pt idx="214">
                  <v>48.5</v>
                </pt>
                <pt idx="215">
                  <v>50.5</v>
                </pt>
                <pt idx="216">
                  <v>54</v>
                </pt>
                <pt idx="217">
                  <v>56.5</v>
                </pt>
                <pt idx="218">
                  <v>54.5</v>
                </pt>
                <pt idx="219">
                  <v>54.5</v>
                </pt>
                <pt idx="220">
                  <v>51.5</v>
                </pt>
                <pt idx="221">
                  <v>50</v>
                </pt>
                <pt idx="222">
                  <v>52</v>
                </pt>
                <pt idx="223">
                  <v>52</v>
                </pt>
                <pt idx="224">
                  <v>52</v>
                </pt>
                <pt idx="225">
                  <v>51.5</v>
                </pt>
                <pt idx="226">
                  <v>50</v>
                </pt>
                <pt idx="227">
                  <v>47.5</v>
                </pt>
                <pt idx="228">
                  <v>51</v>
                </pt>
                <pt idx="229">
                  <v>49.5</v>
                </pt>
                <pt idx="230">
                  <v>52</v>
                </pt>
                <pt idx="231">
                  <v>52</v>
                </pt>
                <pt idx="232">
                  <v>51</v>
                </pt>
                <pt idx="233">
                  <v>48</v>
                </pt>
                <pt idx="234">
                  <v>50</v>
                </pt>
                <pt idx="235">
                  <v>54</v>
                </pt>
                <pt idx="236">
                  <v>53</v>
                </pt>
                <pt idx="237">
                  <v>53.5</v>
                </pt>
                <pt idx="238">
                  <v>57</v>
                </pt>
                <pt idx="239">
                  <v>52.5</v>
                </pt>
                <pt idx="240">
                  <v>52</v>
                </pt>
                <pt idx="241">
                  <v>53.5</v>
                </pt>
                <pt idx="242">
                  <v>56</v>
                </pt>
                <pt idx="243">
                  <v>53.5</v>
                </pt>
                <pt idx="244">
                  <v>51.5</v>
                </pt>
                <pt idx="245">
                  <v>50</v>
                </pt>
                <pt idx="246">
                  <v>50.5</v>
                </pt>
                <pt idx="247">
                  <v>56</v>
                </pt>
                <pt idx="248">
                  <v>56.5</v>
                </pt>
                <pt idx="249">
                  <v>52</v>
                </pt>
                <pt idx="250">
                  <v>60.5</v>
                </pt>
                <pt idx="251">
                  <v>56.5</v>
                </pt>
                <pt idx="252">
                  <v>51.5</v>
                </pt>
                <pt idx="253">
                  <v>56.5</v>
                </pt>
                <pt idx="254">
                  <v>58.5</v>
                </pt>
                <pt idx="255">
                  <v>53.5</v>
                </pt>
                <pt idx="256">
                  <v>55.5</v>
                </pt>
                <pt idx="257">
                  <v>50.5</v>
                </pt>
                <pt idx="258">
                  <v>52.5</v>
                </pt>
                <pt idx="259">
                  <v>55.5</v>
                </pt>
                <pt idx="260">
                  <v>56.5</v>
                </pt>
                <pt idx="261">
                  <v>55</v>
                </pt>
                <pt idx="262">
                  <v>52.5</v>
                </pt>
                <pt idx="263">
                  <v>56</v>
                </pt>
                <pt idx="264">
                  <v>53.5</v>
                </pt>
                <pt idx="265">
                  <v>49</v>
                </pt>
                <pt idx="266">
                  <v>54</v>
                </pt>
                <pt idx="267">
                  <v>48.5</v>
                </pt>
                <pt idx="268">
                  <v>48.5</v>
                </pt>
                <pt idx="269">
                  <v>47.5</v>
                </pt>
                <pt idx="270">
                  <v>45.5</v>
                </pt>
                <pt idx="271">
                  <v>53.2</v>
                </pt>
                <pt idx="272">
                  <v>55</v>
                </pt>
                <pt idx="273">
                  <v>47.7</v>
                </pt>
                <pt idx="274">
                  <v>46.4</v>
                </pt>
                <pt idx="275">
                  <v>41.9</v>
                </pt>
                <pt idx="276">
                  <v>55.9</v>
                </pt>
                <pt idx="277">
                  <v>56.6</v>
                </pt>
                <pt idx="278">
                  <v>50.1</v>
                </pt>
                <pt idx="279">
                  <v>54.4</v>
                </pt>
                <pt idx="280">
                  <v>50.7</v>
                </pt>
                <pt idx="281">
                  <v>48.7</v>
                </pt>
                <pt idx="282">
                  <v>50.9</v>
                </pt>
                <pt idx="283">
                  <v>55.2</v>
                </pt>
                <pt idx="284">
                  <v>50.2</v>
                </pt>
                <pt idx="285">
                  <v>55.7</v>
                </pt>
                <pt idx="286">
                  <v>61.1</v>
                </pt>
                <pt idx="287">
                  <v>65.8</v>
                </pt>
                <pt idx="288">
                  <v>63.5</v>
                </pt>
                <pt idx="289">
                  <v>61.3</v>
                </pt>
                <pt idx="290">
                  <v>61.9</v>
                </pt>
                <pt idx="291">
                  <v>67.3</v>
                </pt>
                <pt idx="292">
                  <v>65.90000000000001</v>
                </pt>
                <pt idx="293">
                  <v>62.3</v>
                </pt>
                <pt idx="294">
                  <v>57.4</v>
                </pt>
                <pt idx="295">
                  <v>64.2</v>
                </pt>
                <pt idx="296">
                  <v>64.5</v>
                </pt>
                <pt idx="297">
                  <v>59.4</v>
                </pt>
                <pt idx="298">
                  <v>52</v>
                </pt>
                <pt idx="299">
                  <v>60.5</v>
                </pt>
              </numCache>
            </numRef>
          </val>
          <smooth val="0"/>
        </ser>
        <dLbls>
          <showLegendKey val="0"/>
          <showVal val="0"/>
          <showCatName val="0"/>
          <showSerName val="0"/>
          <showPercent val="0"/>
          <showBubbleSize val="0"/>
        </dLbls>
        <smooth val="0"/>
        <axId val="946929536"/>
        <axId val="946929864"/>
      </lineChart>
      <dateAx>
        <axId val="946929536"/>
        <scaling>
          <orientation val="minMax"/>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864"/>
        <crosses val="autoZero"/>
        <lblOffset val="100"/>
        <baseTimeUnit val="months"/>
      </dateAx>
      <valAx>
        <axId val="946929864"/>
        <scaling>
          <orientation val="minMax"/>
          <max val="60"/>
          <min val="3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536"/>
        <crosses val="autoZero"/>
        <crossBetween val="between"/>
      </valAx>
    </plotArea>
    <plotVisOnly val="1"/>
    <dispBlanksAs val="gap"/>
  </chart>
</chartSpace>
</file>

<file path=xl/charts/chart62.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Backlog Of Orders</a:t>
            </a:r>
          </a:p>
        </rich>
      </tx>
      <overlay val="0"/>
      <spPr>
        <a:noFill xmlns:a="http://schemas.openxmlformats.org/drawingml/2006/main"/>
        <a:ln xmlns:a="http://schemas.openxmlformats.org/drawingml/2006/main">
          <a:noFill/>
          <a:prstDash val="solid"/>
        </a:ln>
      </spPr>
    </title>
    <plotArea>
      <layout/>
      <lineChart>
        <grouping val="standard"/>
        <varyColors val="0"/>
        <ser>
          <idx val="2"/>
          <order val="0"/>
          <tx>
            <strRef>
              <f>Details!$D$5</f>
              <strCache>
                <ptCount val="1"/>
                <pt idx="0">
                  <v>Backlog Of Orders</v>
                </pt>
              </strCache>
            </strRef>
          </tx>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Details!$A$6:$A$307</f>
              <numCache>
                <formatCode>m/d/yy</formatCode>
                <ptCount val="302"/>
                <pt idx="0">
                  <v>35612</v>
                </pt>
                <pt idx="1">
                  <v>35643</v>
                </pt>
                <pt idx="2">
                  <v>35674</v>
                </pt>
                <pt idx="3">
                  <v>35704</v>
                </pt>
                <pt idx="4">
                  <v>35735</v>
                </pt>
                <pt idx="5">
                  <v>35765</v>
                </pt>
                <pt idx="6">
                  <v>35796</v>
                </pt>
                <pt idx="7">
                  <v>35827</v>
                </pt>
                <pt idx="8">
                  <v>35855</v>
                </pt>
                <pt idx="9">
                  <v>35886</v>
                </pt>
                <pt idx="10">
                  <v>35916</v>
                </pt>
                <pt idx="11">
                  <v>35947</v>
                </pt>
                <pt idx="12">
                  <v>35977</v>
                </pt>
                <pt idx="13">
                  <v>36008</v>
                </pt>
                <pt idx="14">
                  <v>36039</v>
                </pt>
                <pt idx="15">
                  <v>36069</v>
                </pt>
                <pt idx="16">
                  <v>36100</v>
                </pt>
                <pt idx="17">
                  <v>36130</v>
                </pt>
                <pt idx="18">
                  <v>36161</v>
                </pt>
                <pt idx="19">
                  <v>36192</v>
                </pt>
                <pt idx="20">
                  <v>36220</v>
                </pt>
                <pt idx="21">
                  <v>36251</v>
                </pt>
                <pt idx="22">
                  <v>36281</v>
                </pt>
                <pt idx="23">
                  <v>36312</v>
                </pt>
                <pt idx="24">
                  <v>36342</v>
                </pt>
                <pt idx="25">
                  <v>36373</v>
                </pt>
                <pt idx="26">
                  <v>36404</v>
                </pt>
                <pt idx="27">
                  <v>36434</v>
                </pt>
                <pt idx="28">
                  <v>36465</v>
                </pt>
                <pt idx="29">
                  <v>36495</v>
                </pt>
                <pt idx="30">
                  <v>36526</v>
                </pt>
                <pt idx="31">
                  <v>36557</v>
                </pt>
                <pt idx="32">
                  <v>36586</v>
                </pt>
                <pt idx="33">
                  <v>36617</v>
                </pt>
                <pt idx="34">
                  <v>36647</v>
                </pt>
                <pt idx="35">
                  <v>36678</v>
                </pt>
                <pt idx="36">
                  <v>36708</v>
                </pt>
                <pt idx="37">
                  <v>36739</v>
                </pt>
                <pt idx="38">
                  <v>36770</v>
                </pt>
                <pt idx="39">
                  <v>36800</v>
                </pt>
                <pt idx="40">
                  <v>36831</v>
                </pt>
                <pt idx="41">
                  <v>36861</v>
                </pt>
                <pt idx="42">
                  <v>36892</v>
                </pt>
                <pt idx="43">
                  <v>36923</v>
                </pt>
                <pt idx="44">
                  <v>36951</v>
                </pt>
                <pt idx="45">
                  <v>36982</v>
                </pt>
                <pt idx="46">
                  <v>37012</v>
                </pt>
                <pt idx="47">
                  <v>37043</v>
                </pt>
                <pt idx="48">
                  <v>37073</v>
                </pt>
                <pt idx="49">
                  <v>37104</v>
                </pt>
                <pt idx="50">
                  <v>37135</v>
                </pt>
                <pt idx="51">
                  <v>37165</v>
                </pt>
                <pt idx="52">
                  <v>37196</v>
                </pt>
                <pt idx="53">
                  <v>37226</v>
                </pt>
                <pt idx="54">
                  <v>37257</v>
                </pt>
                <pt idx="55">
                  <v>37288</v>
                </pt>
                <pt idx="56">
                  <v>37316</v>
                </pt>
                <pt idx="57">
                  <v>37347</v>
                </pt>
                <pt idx="58">
                  <v>37377</v>
                </pt>
                <pt idx="59">
                  <v>37408</v>
                </pt>
                <pt idx="60">
                  <v>37438</v>
                </pt>
                <pt idx="61">
                  <v>37469</v>
                </pt>
                <pt idx="62">
                  <v>37500</v>
                </pt>
                <pt idx="63">
                  <v>37530</v>
                </pt>
                <pt idx="64">
                  <v>37561</v>
                </pt>
                <pt idx="65">
                  <v>37591</v>
                </pt>
                <pt idx="66">
                  <v>37622</v>
                </pt>
                <pt idx="67">
                  <v>37653</v>
                </pt>
                <pt idx="68">
                  <v>37681</v>
                </pt>
                <pt idx="69">
                  <v>37712</v>
                </pt>
                <pt idx="70">
                  <v>37742</v>
                </pt>
                <pt idx="71">
                  <v>37773</v>
                </pt>
                <pt idx="72">
                  <v>37803</v>
                </pt>
                <pt idx="73">
                  <v>37834</v>
                </pt>
                <pt idx="74">
                  <v>37865</v>
                </pt>
                <pt idx="75">
                  <v>37895</v>
                </pt>
                <pt idx="76">
                  <v>37926</v>
                </pt>
                <pt idx="77">
                  <v>37956</v>
                </pt>
                <pt idx="78">
                  <v>37987</v>
                </pt>
                <pt idx="79">
                  <v>38018</v>
                </pt>
                <pt idx="80">
                  <v>38047</v>
                </pt>
                <pt idx="81">
                  <v>38078</v>
                </pt>
                <pt idx="82">
                  <v>38108</v>
                </pt>
                <pt idx="83">
                  <v>38139</v>
                </pt>
                <pt idx="84">
                  <v>38169</v>
                </pt>
                <pt idx="85">
                  <v>38200</v>
                </pt>
                <pt idx="86">
                  <v>38231</v>
                </pt>
                <pt idx="87">
                  <v>38261</v>
                </pt>
                <pt idx="88">
                  <v>38292</v>
                </pt>
                <pt idx="89">
                  <v>38322</v>
                </pt>
                <pt idx="90">
                  <v>38353</v>
                </pt>
                <pt idx="91">
                  <v>38384</v>
                </pt>
                <pt idx="92">
                  <v>38412</v>
                </pt>
                <pt idx="93">
                  <v>38443</v>
                </pt>
                <pt idx="94">
                  <v>38473</v>
                </pt>
                <pt idx="95">
                  <v>38504</v>
                </pt>
                <pt idx="96">
                  <v>38534</v>
                </pt>
                <pt idx="97">
                  <v>38565</v>
                </pt>
                <pt idx="98">
                  <v>38596</v>
                </pt>
                <pt idx="99">
                  <v>38626</v>
                </pt>
                <pt idx="100">
                  <v>38657</v>
                </pt>
                <pt idx="101">
                  <v>38687</v>
                </pt>
                <pt idx="102">
                  <v>38718</v>
                </pt>
                <pt idx="103">
                  <v>38749</v>
                </pt>
                <pt idx="104">
                  <v>38777</v>
                </pt>
                <pt idx="105">
                  <v>38808</v>
                </pt>
                <pt idx="106">
                  <v>38838</v>
                </pt>
                <pt idx="107">
                  <v>38869</v>
                </pt>
                <pt idx="108">
                  <v>38899</v>
                </pt>
                <pt idx="109">
                  <v>38930</v>
                </pt>
                <pt idx="110">
                  <v>38961</v>
                </pt>
                <pt idx="111">
                  <v>38991</v>
                </pt>
                <pt idx="112">
                  <v>39022</v>
                </pt>
                <pt idx="113">
                  <v>39052</v>
                </pt>
                <pt idx="114">
                  <v>39083</v>
                </pt>
                <pt idx="115">
                  <v>39114</v>
                </pt>
                <pt idx="116">
                  <v>39142</v>
                </pt>
                <pt idx="117">
                  <v>39173</v>
                </pt>
                <pt idx="118">
                  <v>39203</v>
                </pt>
                <pt idx="119">
                  <v>39234</v>
                </pt>
                <pt idx="120">
                  <v>39264</v>
                </pt>
                <pt idx="121">
                  <v>39295</v>
                </pt>
                <pt idx="122">
                  <v>39326</v>
                </pt>
                <pt idx="123">
                  <v>39356</v>
                </pt>
                <pt idx="124">
                  <v>39387</v>
                </pt>
                <pt idx="125">
                  <v>39417</v>
                </pt>
                <pt idx="126">
                  <v>39448</v>
                </pt>
                <pt idx="127">
                  <v>39479</v>
                </pt>
                <pt idx="128">
                  <v>39508</v>
                </pt>
                <pt idx="129">
                  <v>39539</v>
                </pt>
                <pt idx="130">
                  <v>39569</v>
                </pt>
                <pt idx="131">
                  <v>39600</v>
                </pt>
                <pt idx="132">
                  <v>39630</v>
                </pt>
                <pt idx="133">
                  <v>39661</v>
                </pt>
                <pt idx="134">
                  <v>39692</v>
                </pt>
                <pt idx="135">
                  <v>39722</v>
                </pt>
                <pt idx="136">
                  <v>39753</v>
                </pt>
                <pt idx="137">
                  <v>39783</v>
                </pt>
                <pt idx="138">
                  <v>39814</v>
                </pt>
                <pt idx="139">
                  <v>39845</v>
                </pt>
                <pt idx="140">
                  <v>39873</v>
                </pt>
                <pt idx="141">
                  <v>39904</v>
                </pt>
                <pt idx="142">
                  <v>39934</v>
                </pt>
                <pt idx="143">
                  <v>39965</v>
                </pt>
                <pt idx="144">
                  <v>39995</v>
                </pt>
                <pt idx="145">
                  <v>40026</v>
                </pt>
                <pt idx="146">
                  <v>40057</v>
                </pt>
                <pt idx="147">
                  <v>40087</v>
                </pt>
                <pt idx="148">
                  <v>40118</v>
                </pt>
                <pt idx="149">
                  <v>40148</v>
                </pt>
                <pt idx="150">
                  <v>40179</v>
                </pt>
                <pt idx="151">
                  <v>40210</v>
                </pt>
                <pt idx="152">
                  <v>40238</v>
                </pt>
                <pt idx="153">
                  <v>40269</v>
                </pt>
                <pt idx="154">
                  <v>40299</v>
                </pt>
                <pt idx="155">
                  <v>40330</v>
                </pt>
                <pt idx="156">
                  <v>40360</v>
                </pt>
                <pt idx="157">
                  <v>40391</v>
                </pt>
                <pt idx="158">
                  <v>40422</v>
                </pt>
                <pt idx="159">
                  <v>40452</v>
                </pt>
                <pt idx="160">
                  <v>40483</v>
                </pt>
                <pt idx="161">
                  <v>40513</v>
                </pt>
                <pt idx="162">
                  <v>40544</v>
                </pt>
                <pt idx="163">
                  <v>40575</v>
                </pt>
                <pt idx="164">
                  <v>40603</v>
                </pt>
                <pt idx="165">
                  <v>40634</v>
                </pt>
                <pt idx="166">
                  <v>40664</v>
                </pt>
                <pt idx="167">
                  <v>40695</v>
                </pt>
                <pt idx="168">
                  <v>40725</v>
                </pt>
                <pt idx="169">
                  <v>40756</v>
                </pt>
                <pt idx="170">
                  <v>40787</v>
                </pt>
                <pt idx="171">
                  <v>40817</v>
                </pt>
                <pt idx="172">
                  <v>40848</v>
                </pt>
                <pt idx="173">
                  <v>40878</v>
                </pt>
                <pt idx="174">
                  <v>40909</v>
                </pt>
                <pt idx="175">
                  <v>40940</v>
                </pt>
                <pt idx="176">
                  <v>40969</v>
                </pt>
                <pt idx="177">
                  <v>41000</v>
                </pt>
                <pt idx="178">
                  <v>41030</v>
                </pt>
                <pt idx="179">
                  <v>41061</v>
                </pt>
                <pt idx="180">
                  <v>41091</v>
                </pt>
                <pt idx="181">
                  <v>41122</v>
                </pt>
                <pt idx="182">
                  <v>41153</v>
                </pt>
                <pt idx="183">
                  <v>41183</v>
                </pt>
                <pt idx="184">
                  <v>41214</v>
                </pt>
                <pt idx="185">
                  <v>41244</v>
                </pt>
                <pt idx="186">
                  <v>41275</v>
                </pt>
                <pt idx="187">
                  <v>41306</v>
                </pt>
                <pt idx="188">
                  <v>41334</v>
                </pt>
                <pt idx="189">
                  <v>41365</v>
                </pt>
                <pt idx="190">
                  <v>41395</v>
                </pt>
                <pt idx="191">
                  <v>41426</v>
                </pt>
                <pt idx="192">
                  <v>41456</v>
                </pt>
                <pt idx="193">
                  <v>41487</v>
                </pt>
                <pt idx="194">
                  <v>41518</v>
                </pt>
                <pt idx="195">
                  <v>41548</v>
                </pt>
                <pt idx="196">
                  <v>41579</v>
                </pt>
                <pt idx="197">
                  <v>41609</v>
                </pt>
                <pt idx="198">
                  <v>41640</v>
                </pt>
                <pt idx="199">
                  <v>41671</v>
                </pt>
                <pt idx="200">
                  <v>41699</v>
                </pt>
                <pt idx="201">
                  <v>41730</v>
                </pt>
                <pt idx="202">
                  <v>41760</v>
                </pt>
                <pt idx="203">
                  <v>41791</v>
                </pt>
                <pt idx="204">
                  <v>41821</v>
                </pt>
                <pt idx="205">
                  <v>41852</v>
                </pt>
                <pt idx="206">
                  <v>41883</v>
                </pt>
                <pt idx="207">
                  <v>41913</v>
                </pt>
                <pt idx="208">
                  <v>41944</v>
                </pt>
                <pt idx="209">
                  <v>41974</v>
                </pt>
                <pt idx="210">
                  <v>42005</v>
                </pt>
                <pt idx="211">
                  <v>42036</v>
                </pt>
                <pt idx="212">
                  <v>42064</v>
                </pt>
                <pt idx="213">
                  <v>42095</v>
                </pt>
                <pt idx="214">
                  <v>42125</v>
                </pt>
                <pt idx="215">
                  <v>42156</v>
                </pt>
                <pt idx="216">
                  <v>42186</v>
                </pt>
                <pt idx="217">
                  <v>42217</v>
                </pt>
                <pt idx="218">
                  <v>42248</v>
                </pt>
                <pt idx="219">
                  <v>42278</v>
                </pt>
                <pt idx="220">
                  <v>42309</v>
                </pt>
                <pt idx="221">
                  <v>42339</v>
                </pt>
                <pt idx="222">
                  <v>42370</v>
                </pt>
                <pt idx="223">
                  <v>42401</v>
                </pt>
                <pt idx="224">
                  <v>42430</v>
                </pt>
                <pt idx="225">
                  <v>42461</v>
                </pt>
                <pt idx="226">
                  <v>42491</v>
                </pt>
                <pt idx="227">
                  <v>42522</v>
                </pt>
                <pt idx="228">
                  <v>42552</v>
                </pt>
                <pt idx="229">
                  <v>42583</v>
                </pt>
                <pt idx="230">
                  <v>42614</v>
                </pt>
                <pt idx="231">
                  <v>42644</v>
                </pt>
                <pt idx="232">
                  <v>42675</v>
                </pt>
                <pt idx="233">
                  <v>42705</v>
                </pt>
                <pt idx="234">
                  <v>42736</v>
                </pt>
                <pt idx="235">
                  <v>42767</v>
                </pt>
                <pt idx="236">
                  <v>42795</v>
                </pt>
                <pt idx="237">
                  <v>42826</v>
                </pt>
                <pt idx="238">
                  <v>42856</v>
                </pt>
                <pt idx="239">
                  <v>42887</v>
                </pt>
                <pt idx="240">
                  <v>42917</v>
                </pt>
                <pt idx="241">
                  <v>42948</v>
                </pt>
                <pt idx="242">
                  <v>42979</v>
                </pt>
                <pt idx="243">
                  <v>43009</v>
                </pt>
                <pt idx="244">
                  <v>43040</v>
                </pt>
                <pt idx="245">
                  <v>43070</v>
                </pt>
                <pt idx="246">
                  <v>43101</v>
                </pt>
                <pt idx="247">
                  <v>43132</v>
                </pt>
                <pt idx="248">
                  <v>43160</v>
                </pt>
                <pt idx="249">
                  <v>43191</v>
                </pt>
                <pt idx="250">
                  <v>43221</v>
                </pt>
                <pt idx="251">
                  <v>43252</v>
                </pt>
                <pt idx="252">
                  <v>43282</v>
                </pt>
                <pt idx="253">
                  <v>43313</v>
                </pt>
                <pt idx="254">
                  <v>43344</v>
                </pt>
                <pt idx="255">
                  <v>43374</v>
                </pt>
                <pt idx="256">
                  <v>43405</v>
                </pt>
                <pt idx="257">
                  <v>43435</v>
                </pt>
                <pt idx="258">
                  <v>43466</v>
                </pt>
                <pt idx="259">
                  <v>43497</v>
                </pt>
                <pt idx="260">
                  <v>43525</v>
                </pt>
                <pt idx="261">
                  <v>43556</v>
                </pt>
                <pt idx="262">
                  <v>43586</v>
                </pt>
                <pt idx="263">
                  <v>43617</v>
                </pt>
                <pt idx="264">
                  <v>43647</v>
                </pt>
                <pt idx="265">
                  <v>43678</v>
                </pt>
                <pt idx="266">
                  <v>43709</v>
                </pt>
                <pt idx="267">
                  <v>43739</v>
                </pt>
                <pt idx="268">
                  <v>43770</v>
                </pt>
                <pt idx="269">
                  <v>43800</v>
                </pt>
                <pt idx="270">
                  <v>43831</v>
                </pt>
                <pt idx="271">
                  <v>43862</v>
                </pt>
                <pt idx="272">
                  <v>43891</v>
                </pt>
                <pt idx="273">
                  <v>43922</v>
                </pt>
                <pt idx="274">
                  <v>43952</v>
                </pt>
                <pt idx="275">
                  <v>43983</v>
                </pt>
                <pt idx="276">
                  <v>44013</v>
                </pt>
                <pt idx="277">
                  <v>44044</v>
                </pt>
                <pt idx="278">
                  <v>44075</v>
                </pt>
                <pt idx="279">
                  <v>44105</v>
                </pt>
                <pt idx="280">
                  <v>44136</v>
                </pt>
                <pt idx="281">
                  <v>44166</v>
                </pt>
                <pt idx="282">
                  <v>44197</v>
                </pt>
                <pt idx="283">
                  <v>44228</v>
                </pt>
                <pt idx="284">
                  <v>44256</v>
                </pt>
                <pt idx="285">
                  <v>44287</v>
                </pt>
                <pt idx="286">
                  <v>44317</v>
                </pt>
                <pt idx="287">
                  <v>44348</v>
                </pt>
                <pt idx="288">
                  <v>44378</v>
                </pt>
                <pt idx="289">
                  <v>44409</v>
                </pt>
                <pt idx="290">
                  <v>44440</v>
                </pt>
                <pt idx="291">
                  <v>44470</v>
                </pt>
                <pt idx="292">
                  <v>44501</v>
                </pt>
                <pt idx="293">
                  <v>44531</v>
                </pt>
                <pt idx="294">
                  <v>44562</v>
                </pt>
                <pt idx="295">
                  <v>44593</v>
                </pt>
                <pt idx="296">
                  <v>44621</v>
                </pt>
                <pt idx="297">
                  <v>44652</v>
                </pt>
                <pt idx="298">
                  <v>44682</v>
                </pt>
                <pt idx="299">
                  <v>44713</v>
                </pt>
              </numCache>
            </numRef>
          </cat>
          <val>
            <numRef>
              <f>Details!$D$6:$D$307</f>
              <numCache>
                <formatCode>General</formatCode>
                <ptCount val="302"/>
                <pt idx="0">
                  <v>49</v>
                </pt>
                <pt idx="1">
                  <v>56.5</v>
                </pt>
                <pt idx="2">
                  <v>49.5</v>
                </pt>
                <pt idx="3">
                  <v>52</v>
                </pt>
                <pt idx="4">
                  <v>56</v>
                </pt>
                <pt idx="5">
                  <v>49</v>
                </pt>
                <pt idx="6">
                  <v>49</v>
                </pt>
                <pt idx="7">
                  <v>51.5</v>
                </pt>
                <pt idx="8">
                  <v>51.5</v>
                </pt>
                <pt idx="9">
                  <v>51</v>
                </pt>
                <pt idx="10">
                  <v>53</v>
                </pt>
                <pt idx="11">
                  <v>50</v>
                </pt>
                <pt idx="12">
                  <v>52</v>
                </pt>
                <pt idx="13">
                  <v>56.5</v>
                </pt>
                <pt idx="14">
                  <v>54</v>
                </pt>
                <pt idx="15">
                  <v>49</v>
                </pt>
                <pt idx="16">
                  <v>46.5</v>
                </pt>
                <pt idx="17">
                  <v>47</v>
                </pt>
                <pt idx="18">
                  <v>49</v>
                </pt>
                <pt idx="19">
                  <v>51.5</v>
                </pt>
                <pt idx="20">
                  <v>55.5</v>
                </pt>
                <pt idx="21">
                  <v>51</v>
                </pt>
                <pt idx="22">
                  <v>50.5</v>
                </pt>
                <pt idx="23">
                  <v>52</v>
                </pt>
                <pt idx="24">
                  <v>50</v>
                </pt>
                <pt idx="25">
                  <v>51.5</v>
                </pt>
                <pt idx="26">
                  <v>52.5</v>
                </pt>
                <pt idx="27">
                  <v>52</v>
                </pt>
                <pt idx="28">
                  <v>49</v>
                </pt>
                <pt idx="29">
                  <v>49</v>
                </pt>
                <pt idx="30">
                  <v>48.5</v>
                </pt>
                <pt idx="31">
                  <v>52</v>
                </pt>
                <pt idx="32">
                  <v>53</v>
                </pt>
                <pt idx="33">
                  <v>55.5</v>
                </pt>
                <pt idx="34">
                  <v>53.5</v>
                </pt>
                <pt idx="35">
                  <v>56.5</v>
                </pt>
                <pt idx="36">
                  <v>50.5</v>
                </pt>
                <pt idx="37">
                  <v>52</v>
                </pt>
                <pt idx="38">
                  <v>56.5</v>
                </pt>
                <pt idx="39">
                  <v>53.5</v>
                </pt>
                <pt idx="40">
                  <v>49.5</v>
                </pt>
                <pt idx="41">
                  <v>50.5</v>
                </pt>
                <pt idx="42">
                  <v>42.5</v>
                </pt>
                <pt idx="43">
                  <v>45.5</v>
                </pt>
                <pt idx="44">
                  <v>47.5</v>
                </pt>
                <pt idx="45">
                  <v>44</v>
                </pt>
                <pt idx="46">
                  <v>46.5</v>
                </pt>
                <pt idx="47">
                  <v>49</v>
                </pt>
                <pt idx="48">
                  <v>42.5</v>
                </pt>
                <pt idx="49">
                  <v>41.5</v>
                </pt>
                <pt idx="50">
                  <v>48.5</v>
                </pt>
                <pt idx="51">
                  <v>40.5</v>
                </pt>
                <pt idx="52">
                  <v>42</v>
                </pt>
                <pt idx="53">
                  <v>46.5</v>
                </pt>
                <pt idx="54">
                  <v>45.5</v>
                </pt>
                <pt idx="55">
                  <v>47.5</v>
                </pt>
                <pt idx="56">
                  <v>49.5</v>
                </pt>
                <pt idx="57">
                  <v>48.5</v>
                </pt>
                <pt idx="58">
                  <v>53.5</v>
                </pt>
                <pt idx="59">
                  <v>49</v>
                </pt>
                <pt idx="60">
                  <v>43.5</v>
                </pt>
                <pt idx="61">
                  <v>48</v>
                </pt>
                <pt idx="62">
                  <v>51</v>
                </pt>
                <pt idx="63">
                  <v>52</v>
                </pt>
                <pt idx="64">
                  <v>50.5</v>
                </pt>
                <pt idx="65">
                  <v>51.5</v>
                </pt>
                <pt idx="66">
                  <v>48</v>
                </pt>
                <pt idx="67">
                  <v>50</v>
                </pt>
                <pt idx="68">
                  <v>47.5</v>
                </pt>
                <pt idx="69">
                  <v>46</v>
                </pt>
                <pt idx="70">
                  <v>51</v>
                </pt>
                <pt idx="71">
                  <v>51.5</v>
                </pt>
                <pt idx="72">
                  <v>54.5</v>
                </pt>
                <pt idx="73">
                  <v>51.5</v>
                </pt>
                <pt idx="74">
                  <v>57</v>
                </pt>
                <pt idx="75">
                  <v>54</v>
                </pt>
                <pt idx="76">
                  <v>52.5</v>
                </pt>
                <pt idx="77">
                  <v>55.5</v>
                </pt>
                <pt idx="78">
                  <v>53.5</v>
                </pt>
                <pt idx="79">
                  <v>53</v>
                </pt>
                <pt idx="80">
                  <v>52.5</v>
                </pt>
                <pt idx="81">
                  <v>53.5</v>
                </pt>
                <pt idx="82">
                  <v>56.5</v>
                </pt>
                <pt idx="83">
                  <v>55.5</v>
                </pt>
                <pt idx="84">
                  <v>55</v>
                </pt>
                <pt idx="85">
                  <v>53</v>
                </pt>
                <pt idx="86">
                  <v>52.5</v>
                </pt>
                <pt idx="87">
                  <v>52.5</v>
                </pt>
                <pt idx="88">
                  <v>54</v>
                </pt>
                <pt idx="89">
                  <v>56.5</v>
                </pt>
                <pt idx="90">
                  <v>48</v>
                </pt>
                <pt idx="91">
                  <v>51.5</v>
                </pt>
                <pt idx="92">
                  <v>56.5</v>
                </pt>
                <pt idx="93">
                  <v>54</v>
                </pt>
                <pt idx="94">
                  <v>56.5</v>
                </pt>
                <pt idx="95">
                  <v>52.5</v>
                </pt>
                <pt idx="96">
                  <v>53.5</v>
                </pt>
                <pt idx="97">
                  <v>52</v>
                </pt>
                <pt idx="98">
                  <v>52</v>
                </pt>
                <pt idx="99">
                  <v>55</v>
                </pt>
                <pt idx="100">
                  <v>54</v>
                </pt>
                <pt idx="101">
                  <v>54</v>
                </pt>
                <pt idx="102">
                  <v>52.5</v>
                </pt>
                <pt idx="103">
                  <v>54</v>
                </pt>
                <pt idx="104">
                  <v>50.5</v>
                </pt>
                <pt idx="105">
                  <v>54</v>
                </pt>
                <pt idx="106">
                  <v>52</v>
                </pt>
                <pt idx="107">
                  <v>55</v>
                </pt>
                <pt idx="108">
                  <v>56</v>
                </pt>
                <pt idx="109">
                  <v>49.5</v>
                </pt>
                <pt idx="110">
                  <v>53</v>
                </pt>
                <pt idx="111">
                  <v>51.5</v>
                </pt>
                <pt idx="112">
                  <v>54.5</v>
                </pt>
                <pt idx="113">
                  <v>48</v>
                </pt>
                <pt idx="114">
                  <v>49</v>
                </pt>
                <pt idx="115">
                  <v>47</v>
                </pt>
                <pt idx="116">
                  <v>52.5</v>
                </pt>
                <pt idx="117">
                  <v>50</v>
                </pt>
                <pt idx="118">
                  <v>48</v>
                </pt>
                <pt idx="119">
                  <v>46.5</v>
                </pt>
                <pt idx="120">
                  <v>53</v>
                </pt>
                <pt idx="121">
                  <v>58.6</v>
                </pt>
                <pt idx="122">
                  <v>47</v>
                </pt>
                <pt idx="123">
                  <v>43.5</v>
                </pt>
                <pt idx="124">
                  <v>48.5</v>
                </pt>
                <pt idx="125">
                  <v>49</v>
                </pt>
                <pt idx="126">
                  <v>46</v>
                </pt>
                <pt idx="127">
                  <v>49.5</v>
                </pt>
                <pt idx="128">
                  <v>47.5</v>
                </pt>
                <pt idx="129">
                  <v>50</v>
                </pt>
                <pt idx="130">
                  <v>49</v>
                </pt>
                <pt idx="131">
                  <v>49</v>
                </pt>
                <pt idx="132">
                  <v>52</v>
                </pt>
                <pt idx="133">
                  <v>49</v>
                </pt>
                <pt idx="134">
                  <v>46.5</v>
                </pt>
                <pt idx="135">
                  <v>44</v>
                </pt>
                <pt idx="136">
                  <v>39.5</v>
                </pt>
                <pt idx="137">
                  <v>42.5</v>
                </pt>
                <pt idx="138">
                  <v>37.5</v>
                </pt>
                <pt idx="139">
                  <v>36.5</v>
                </pt>
                <pt idx="140">
                  <v>41</v>
                </pt>
                <pt idx="141">
                  <v>44</v>
                </pt>
                <pt idx="142">
                  <v>40</v>
                </pt>
                <pt idx="143">
                  <v>46</v>
                </pt>
                <pt idx="144">
                  <v>42</v>
                </pt>
                <pt idx="145">
                  <v>41</v>
                </pt>
                <pt idx="146">
                  <v>51.5</v>
                </pt>
                <pt idx="147">
                  <v>53.5</v>
                </pt>
                <pt idx="148">
                  <v>48.5</v>
                </pt>
                <pt idx="149">
                  <v>48</v>
                </pt>
                <pt idx="150">
                  <v>45.5</v>
                </pt>
                <pt idx="151">
                  <v>46</v>
                </pt>
                <pt idx="152">
                  <v>55.5</v>
                </pt>
                <pt idx="153">
                  <v>49.5</v>
                </pt>
                <pt idx="154">
                  <v>56</v>
                </pt>
                <pt idx="155">
                  <v>55.5</v>
                </pt>
                <pt idx="156">
                  <v>52</v>
                </pt>
                <pt idx="157">
                  <v>50.5</v>
                </pt>
                <pt idx="158">
                  <v>48</v>
                </pt>
                <pt idx="159">
                  <v>52</v>
                </pt>
                <pt idx="160">
                  <v>51.5</v>
                </pt>
                <pt idx="161">
                  <v>48.5</v>
                </pt>
                <pt idx="162">
                  <v>50.5</v>
                </pt>
                <pt idx="163">
                  <v>52</v>
                </pt>
                <pt idx="164">
                  <v>56</v>
                </pt>
                <pt idx="165">
                  <v>55.5</v>
                </pt>
                <pt idx="166">
                  <v>55</v>
                </pt>
                <pt idx="167">
                  <v>48.5</v>
                </pt>
                <pt idx="168">
                  <v>44</v>
                </pt>
                <pt idx="169">
                  <v>47.5</v>
                </pt>
                <pt idx="170">
                  <v>52.5</v>
                </pt>
                <pt idx="171">
                  <v>47</v>
                </pt>
                <pt idx="172">
                  <v>48</v>
                </pt>
                <pt idx="173">
                  <v>45.5</v>
                </pt>
                <pt idx="174">
                  <v>49.5</v>
                </pt>
                <pt idx="175">
                  <v>53</v>
                </pt>
                <pt idx="176">
                  <v>49.5</v>
                </pt>
                <pt idx="177">
                  <v>53</v>
                </pt>
                <pt idx="178">
                  <v>53</v>
                </pt>
                <pt idx="179">
                  <v>47.5</v>
                </pt>
                <pt idx="180">
                  <v>44.5</v>
                </pt>
                <pt idx="181">
                  <v>50.5</v>
                </pt>
                <pt idx="182">
                  <v>48</v>
                </pt>
                <pt idx="183">
                  <v>49</v>
                </pt>
                <pt idx="184">
                  <v>53.5</v>
                </pt>
                <pt idx="185">
                  <v>49.5</v>
                </pt>
                <pt idx="186">
                  <v>49</v>
                </pt>
                <pt idx="187">
                  <v>54.5</v>
                </pt>
                <pt idx="188">
                  <v>54.5</v>
                </pt>
                <pt idx="189">
                  <v>51.5</v>
                </pt>
                <pt idx="190">
                  <v>51.5</v>
                </pt>
                <pt idx="191">
                  <v>52</v>
                </pt>
                <pt idx="192">
                  <v>46.5</v>
                </pt>
                <pt idx="193">
                  <v>50.5</v>
                </pt>
                <pt idx="194">
                  <v>50.5</v>
                </pt>
                <pt idx="195">
                  <v>50</v>
                </pt>
                <pt idx="196">
                  <v>49</v>
                </pt>
                <pt idx="197">
                  <v>46</v>
                </pt>
                <pt idx="198">
                  <v>49</v>
                </pt>
                <pt idx="199">
                  <v>52</v>
                </pt>
                <pt idx="200">
                  <v>51.5</v>
                </pt>
                <pt idx="201">
                  <v>49</v>
                </pt>
                <pt idx="202">
                  <v>54</v>
                </pt>
                <pt idx="203">
                  <v>53</v>
                </pt>
                <pt idx="204">
                  <v>53</v>
                </pt>
                <pt idx="205">
                  <v>54.5</v>
                </pt>
                <pt idx="206">
                  <v>52</v>
                </pt>
                <pt idx="207">
                  <v>51.5</v>
                </pt>
                <pt idx="208">
                  <v>55.5</v>
                </pt>
                <pt idx="209">
                  <v>49.5</v>
                </pt>
                <pt idx="210">
                  <v>49</v>
                </pt>
                <pt idx="211">
                  <v>53</v>
                </pt>
                <pt idx="212">
                  <v>53.5</v>
                </pt>
                <pt idx="213">
                  <v>54.5</v>
                </pt>
                <pt idx="214">
                  <v>48.5</v>
                </pt>
                <pt idx="215">
                  <v>50.5</v>
                </pt>
                <pt idx="216">
                  <v>54</v>
                </pt>
                <pt idx="217">
                  <v>56.5</v>
                </pt>
                <pt idx="218">
                  <v>54.5</v>
                </pt>
                <pt idx="219">
                  <v>54.5</v>
                </pt>
                <pt idx="220">
                  <v>51.5</v>
                </pt>
                <pt idx="221">
                  <v>50</v>
                </pt>
                <pt idx="222">
                  <v>52</v>
                </pt>
                <pt idx="223">
                  <v>52</v>
                </pt>
                <pt idx="224">
                  <v>52</v>
                </pt>
                <pt idx="225">
                  <v>51.5</v>
                </pt>
                <pt idx="226">
                  <v>50</v>
                </pt>
                <pt idx="227">
                  <v>47.5</v>
                </pt>
                <pt idx="228">
                  <v>51</v>
                </pt>
                <pt idx="229">
                  <v>49.5</v>
                </pt>
                <pt idx="230">
                  <v>52</v>
                </pt>
                <pt idx="231">
                  <v>52</v>
                </pt>
                <pt idx="232">
                  <v>51</v>
                </pt>
                <pt idx="233">
                  <v>48</v>
                </pt>
                <pt idx="234">
                  <v>50</v>
                </pt>
                <pt idx="235">
                  <v>54</v>
                </pt>
                <pt idx="236">
                  <v>53</v>
                </pt>
                <pt idx="237">
                  <v>53.5</v>
                </pt>
                <pt idx="238">
                  <v>57</v>
                </pt>
                <pt idx="239">
                  <v>52.5</v>
                </pt>
                <pt idx="240">
                  <v>52</v>
                </pt>
                <pt idx="241">
                  <v>53.5</v>
                </pt>
                <pt idx="242">
                  <v>56</v>
                </pt>
                <pt idx="243">
                  <v>53.5</v>
                </pt>
                <pt idx="244">
                  <v>51.5</v>
                </pt>
                <pt idx="245">
                  <v>50</v>
                </pt>
                <pt idx="246">
                  <v>50.5</v>
                </pt>
                <pt idx="247">
                  <v>56</v>
                </pt>
                <pt idx="248">
                  <v>56.5</v>
                </pt>
                <pt idx="249">
                  <v>52</v>
                </pt>
                <pt idx="250">
                  <v>60.5</v>
                </pt>
                <pt idx="251">
                  <v>56.5</v>
                </pt>
                <pt idx="252">
                  <v>51.5</v>
                </pt>
                <pt idx="253">
                  <v>56.5</v>
                </pt>
                <pt idx="254">
                  <v>58.5</v>
                </pt>
                <pt idx="255">
                  <v>53.5</v>
                </pt>
                <pt idx="256">
                  <v>55.5</v>
                </pt>
                <pt idx="257">
                  <v>50.5</v>
                </pt>
                <pt idx="258">
                  <v>52.5</v>
                </pt>
                <pt idx="259">
                  <v>55.5</v>
                </pt>
                <pt idx="260">
                  <v>56.5</v>
                </pt>
                <pt idx="261">
                  <v>55</v>
                </pt>
                <pt idx="262">
                  <v>52.5</v>
                </pt>
                <pt idx="263">
                  <v>56</v>
                </pt>
                <pt idx="264">
                  <v>53.5</v>
                </pt>
                <pt idx="265">
                  <v>49</v>
                </pt>
                <pt idx="266">
                  <v>54</v>
                </pt>
                <pt idx="267">
                  <v>48.5</v>
                </pt>
                <pt idx="268">
                  <v>48.5</v>
                </pt>
                <pt idx="269">
                  <v>47.5</v>
                </pt>
                <pt idx="270">
                  <v>45.5</v>
                </pt>
                <pt idx="271">
                  <v>53.2</v>
                </pt>
                <pt idx="272">
                  <v>55</v>
                </pt>
                <pt idx="273">
                  <v>47.7</v>
                </pt>
                <pt idx="274">
                  <v>46.4</v>
                </pt>
                <pt idx="275">
                  <v>41.9</v>
                </pt>
                <pt idx="276">
                  <v>55.9</v>
                </pt>
                <pt idx="277">
                  <v>56.6</v>
                </pt>
                <pt idx="278">
                  <v>50.1</v>
                </pt>
                <pt idx="279">
                  <v>54.4</v>
                </pt>
                <pt idx="280">
                  <v>50.7</v>
                </pt>
                <pt idx="281">
                  <v>48.7</v>
                </pt>
                <pt idx="282">
                  <v>50.9</v>
                </pt>
                <pt idx="283">
                  <v>55.2</v>
                </pt>
                <pt idx="284">
                  <v>50.2</v>
                </pt>
                <pt idx="285">
                  <v>55.7</v>
                </pt>
                <pt idx="286">
                  <v>61.1</v>
                </pt>
                <pt idx="287">
                  <v>65.8</v>
                </pt>
                <pt idx="288">
                  <v>63.5</v>
                </pt>
                <pt idx="289">
                  <v>61.3</v>
                </pt>
                <pt idx="290">
                  <v>61.9</v>
                </pt>
                <pt idx="291">
                  <v>67.3</v>
                </pt>
                <pt idx="292">
                  <v>65.90000000000001</v>
                </pt>
                <pt idx="293">
                  <v>62.3</v>
                </pt>
                <pt idx="294">
                  <v>57.4</v>
                </pt>
                <pt idx="295">
                  <v>64.2</v>
                </pt>
                <pt idx="296">
                  <v>64.5</v>
                </pt>
                <pt idx="297">
                  <v>59.4</v>
                </pt>
                <pt idx="298">
                  <v>52</v>
                </pt>
                <pt idx="299">
                  <v>60.5</v>
                </pt>
              </numCache>
            </numRef>
          </val>
          <smooth val="0"/>
        </ser>
        <dLbls>
          <showLegendKey val="0"/>
          <showVal val="0"/>
          <showCatName val="0"/>
          <showSerName val="0"/>
          <showPercent val="0"/>
          <showBubbleSize val="0"/>
        </dLbls>
        <smooth val="0"/>
        <axId val="946929536"/>
        <axId val="946929864"/>
      </lineChart>
      <dateAx>
        <axId val="946929536"/>
        <scaling>
          <orientation val="minMax"/>
          <min val="42005"/>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864"/>
        <crosses val="autoZero"/>
        <lblOffset val="100"/>
        <baseTimeUnit val="months"/>
      </dateAx>
      <valAx>
        <axId val="946929864"/>
        <scaling>
          <orientation val="minMax"/>
          <min val="4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536"/>
        <crosses val="autoZero"/>
        <crossBetween val="between"/>
      </valAx>
    </plotArea>
    <plotVisOnly val="1"/>
    <dispBlanksAs val="gap"/>
  </chart>
</chartSpace>
</file>

<file path=xl/charts/chart63.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Prices</a:t>
            </a:r>
          </a:p>
        </rich>
      </tx>
      <overlay val="0"/>
      <spPr>
        <a:noFill xmlns:a="http://schemas.openxmlformats.org/drawingml/2006/main"/>
        <a:ln xmlns:a="http://schemas.openxmlformats.org/drawingml/2006/main">
          <a:noFill/>
          <a:prstDash val="solid"/>
        </a:ln>
      </spPr>
    </title>
    <plotArea>
      <layout/>
      <lineChart>
        <grouping val="standard"/>
        <varyColors val="0"/>
        <ser>
          <idx val="3"/>
          <order val="0"/>
          <tx>
            <strRef>
              <f>Details!$E$5</f>
              <strCache>
                <ptCount val="1"/>
                <pt idx="0">
                  <v>Prices</v>
                </pt>
              </strCache>
            </strRef>
          </tx>
          <spPr>
            <a:ln xmlns:a="http://schemas.openxmlformats.org/drawingml/2006/main" w="28575" cap="rnd">
              <a:solidFill>
                <a:schemeClr val="accent4"/>
              </a:solidFill>
              <a:prstDash val="solid"/>
              <a:round/>
            </a:ln>
          </spPr>
          <marker>
            <symbol val="none"/>
            <spPr>
              <a:ln xmlns:a="http://schemas.openxmlformats.org/drawingml/2006/main">
                <a:prstDash val="solid"/>
              </a:ln>
            </spPr>
          </marker>
          <cat>
            <numRef>
              <f>Details!$A$6:$A$307</f>
              <numCache>
                <formatCode>m/d/yy</formatCode>
                <ptCount val="302"/>
                <pt idx="0">
                  <v>35612</v>
                </pt>
                <pt idx="1">
                  <v>35643</v>
                </pt>
                <pt idx="2">
                  <v>35674</v>
                </pt>
                <pt idx="3">
                  <v>35704</v>
                </pt>
                <pt idx="4">
                  <v>35735</v>
                </pt>
                <pt idx="5">
                  <v>35765</v>
                </pt>
                <pt idx="6">
                  <v>35796</v>
                </pt>
                <pt idx="7">
                  <v>35827</v>
                </pt>
                <pt idx="8">
                  <v>35855</v>
                </pt>
                <pt idx="9">
                  <v>35886</v>
                </pt>
                <pt idx="10">
                  <v>35916</v>
                </pt>
                <pt idx="11">
                  <v>35947</v>
                </pt>
                <pt idx="12">
                  <v>35977</v>
                </pt>
                <pt idx="13">
                  <v>36008</v>
                </pt>
                <pt idx="14">
                  <v>36039</v>
                </pt>
                <pt idx="15">
                  <v>36069</v>
                </pt>
                <pt idx="16">
                  <v>36100</v>
                </pt>
                <pt idx="17">
                  <v>36130</v>
                </pt>
                <pt idx="18">
                  <v>36161</v>
                </pt>
                <pt idx="19">
                  <v>36192</v>
                </pt>
                <pt idx="20">
                  <v>36220</v>
                </pt>
                <pt idx="21">
                  <v>36251</v>
                </pt>
                <pt idx="22">
                  <v>36281</v>
                </pt>
                <pt idx="23">
                  <v>36312</v>
                </pt>
                <pt idx="24">
                  <v>36342</v>
                </pt>
                <pt idx="25">
                  <v>36373</v>
                </pt>
                <pt idx="26">
                  <v>36404</v>
                </pt>
                <pt idx="27">
                  <v>36434</v>
                </pt>
                <pt idx="28">
                  <v>36465</v>
                </pt>
                <pt idx="29">
                  <v>36495</v>
                </pt>
                <pt idx="30">
                  <v>36526</v>
                </pt>
                <pt idx="31">
                  <v>36557</v>
                </pt>
                <pt idx="32">
                  <v>36586</v>
                </pt>
                <pt idx="33">
                  <v>36617</v>
                </pt>
                <pt idx="34">
                  <v>36647</v>
                </pt>
                <pt idx="35">
                  <v>36678</v>
                </pt>
                <pt idx="36">
                  <v>36708</v>
                </pt>
                <pt idx="37">
                  <v>36739</v>
                </pt>
                <pt idx="38">
                  <v>36770</v>
                </pt>
                <pt idx="39">
                  <v>36800</v>
                </pt>
                <pt idx="40">
                  <v>36831</v>
                </pt>
                <pt idx="41">
                  <v>36861</v>
                </pt>
                <pt idx="42">
                  <v>36892</v>
                </pt>
                <pt idx="43">
                  <v>36923</v>
                </pt>
                <pt idx="44">
                  <v>36951</v>
                </pt>
                <pt idx="45">
                  <v>36982</v>
                </pt>
                <pt idx="46">
                  <v>37012</v>
                </pt>
                <pt idx="47">
                  <v>37043</v>
                </pt>
                <pt idx="48">
                  <v>37073</v>
                </pt>
                <pt idx="49">
                  <v>37104</v>
                </pt>
                <pt idx="50">
                  <v>37135</v>
                </pt>
                <pt idx="51">
                  <v>37165</v>
                </pt>
                <pt idx="52">
                  <v>37196</v>
                </pt>
                <pt idx="53">
                  <v>37226</v>
                </pt>
                <pt idx="54">
                  <v>37257</v>
                </pt>
                <pt idx="55">
                  <v>37288</v>
                </pt>
                <pt idx="56">
                  <v>37316</v>
                </pt>
                <pt idx="57">
                  <v>37347</v>
                </pt>
                <pt idx="58">
                  <v>37377</v>
                </pt>
                <pt idx="59">
                  <v>37408</v>
                </pt>
                <pt idx="60">
                  <v>37438</v>
                </pt>
                <pt idx="61">
                  <v>37469</v>
                </pt>
                <pt idx="62">
                  <v>37500</v>
                </pt>
                <pt idx="63">
                  <v>37530</v>
                </pt>
                <pt idx="64">
                  <v>37561</v>
                </pt>
                <pt idx="65">
                  <v>37591</v>
                </pt>
                <pt idx="66">
                  <v>37622</v>
                </pt>
                <pt idx="67">
                  <v>37653</v>
                </pt>
                <pt idx="68">
                  <v>37681</v>
                </pt>
                <pt idx="69">
                  <v>37712</v>
                </pt>
                <pt idx="70">
                  <v>37742</v>
                </pt>
                <pt idx="71">
                  <v>37773</v>
                </pt>
                <pt idx="72">
                  <v>37803</v>
                </pt>
                <pt idx="73">
                  <v>37834</v>
                </pt>
                <pt idx="74">
                  <v>37865</v>
                </pt>
                <pt idx="75">
                  <v>37895</v>
                </pt>
                <pt idx="76">
                  <v>37926</v>
                </pt>
                <pt idx="77">
                  <v>37956</v>
                </pt>
                <pt idx="78">
                  <v>37987</v>
                </pt>
                <pt idx="79">
                  <v>38018</v>
                </pt>
                <pt idx="80">
                  <v>38047</v>
                </pt>
                <pt idx="81">
                  <v>38078</v>
                </pt>
                <pt idx="82">
                  <v>38108</v>
                </pt>
                <pt idx="83">
                  <v>38139</v>
                </pt>
                <pt idx="84">
                  <v>38169</v>
                </pt>
                <pt idx="85">
                  <v>38200</v>
                </pt>
                <pt idx="86">
                  <v>38231</v>
                </pt>
                <pt idx="87">
                  <v>38261</v>
                </pt>
                <pt idx="88">
                  <v>38292</v>
                </pt>
                <pt idx="89">
                  <v>38322</v>
                </pt>
                <pt idx="90">
                  <v>38353</v>
                </pt>
                <pt idx="91">
                  <v>38384</v>
                </pt>
                <pt idx="92">
                  <v>38412</v>
                </pt>
                <pt idx="93">
                  <v>38443</v>
                </pt>
                <pt idx="94">
                  <v>38473</v>
                </pt>
                <pt idx="95">
                  <v>38504</v>
                </pt>
                <pt idx="96">
                  <v>38534</v>
                </pt>
                <pt idx="97">
                  <v>38565</v>
                </pt>
                <pt idx="98">
                  <v>38596</v>
                </pt>
                <pt idx="99">
                  <v>38626</v>
                </pt>
                <pt idx="100">
                  <v>38657</v>
                </pt>
                <pt idx="101">
                  <v>38687</v>
                </pt>
                <pt idx="102">
                  <v>38718</v>
                </pt>
                <pt idx="103">
                  <v>38749</v>
                </pt>
                <pt idx="104">
                  <v>38777</v>
                </pt>
                <pt idx="105">
                  <v>38808</v>
                </pt>
                <pt idx="106">
                  <v>38838</v>
                </pt>
                <pt idx="107">
                  <v>38869</v>
                </pt>
                <pt idx="108">
                  <v>38899</v>
                </pt>
                <pt idx="109">
                  <v>38930</v>
                </pt>
                <pt idx="110">
                  <v>38961</v>
                </pt>
                <pt idx="111">
                  <v>38991</v>
                </pt>
                <pt idx="112">
                  <v>39022</v>
                </pt>
                <pt idx="113">
                  <v>39052</v>
                </pt>
                <pt idx="114">
                  <v>39083</v>
                </pt>
                <pt idx="115">
                  <v>39114</v>
                </pt>
                <pt idx="116">
                  <v>39142</v>
                </pt>
                <pt idx="117">
                  <v>39173</v>
                </pt>
                <pt idx="118">
                  <v>39203</v>
                </pt>
                <pt idx="119">
                  <v>39234</v>
                </pt>
                <pt idx="120">
                  <v>39264</v>
                </pt>
                <pt idx="121">
                  <v>39295</v>
                </pt>
                <pt idx="122">
                  <v>39326</v>
                </pt>
                <pt idx="123">
                  <v>39356</v>
                </pt>
                <pt idx="124">
                  <v>39387</v>
                </pt>
                <pt idx="125">
                  <v>39417</v>
                </pt>
                <pt idx="126">
                  <v>39448</v>
                </pt>
                <pt idx="127">
                  <v>39479</v>
                </pt>
                <pt idx="128">
                  <v>39508</v>
                </pt>
                <pt idx="129">
                  <v>39539</v>
                </pt>
                <pt idx="130">
                  <v>39569</v>
                </pt>
                <pt idx="131">
                  <v>39600</v>
                </pt>
                <pt idx="132">
                  <v>39630</v>
                </pt>
                <pt idx="133">
                  <v>39661</v>
                </pt>
                <pt idx="134">
                  <v>39692</v>
                </pt>
                <pt idx="135">
                  <v>39722</v>
                </pt>
                <pt idx="136">
                  <v>39753</v>
                </pt>
                <pt idx="137">
                  <v>39783</v>
                </pt>
                <pt idx="138">
                  <v>39814</v>
                </pt>
                <pt idx="139">
                  <v>39845</v>
                </pt>
                <pt idx="140">
                  <v>39873</v>
                </pt>
                <pt idx="141">
                  <v>39904</v>
                </pt>
                <pt idx="142">
                  <v>39934</v>
                </pt>
                <pt idx="143">
                  <v>39965</v>
                </pt>
                <pt idx="144">
                  <v>39995</v>
                </pt>
                <pt idx="145">
                  <v>40026</v>
                </pt>
                <pt idx="146">
                  <v>40057</v>
                </pt>
                <pt idx="147">
                  <v>40087</v>
                </pt>
                <pt idx="148">
                  <v>40118</v>
                </pt>
                <pt idx="149">
                  <v>40148</v>
                </pt>
                <pt idx="150">
                  <v>40179</v>
                </pt>
                <pt idx="151">
                  <v>40210</v>
                </pt>
                <pt idx="152">
                  <v>40238</v>
                </pt>
                <pt idx="153">
                  <v>40269</v>
                </pt>
                <pt idx="154">
                  <v>40299</v>
                </pt>
                <pt idx="155">
                  <v>40330</v>
                </pt>
                <pt idx="156">
                  <v>40360</v>
                </pt>
                <pt idx="157">
                  <v>40391</v>
                </pt>
                <pt idx="158">
                  <v>40422</v>
                </pt>
                <pt idx="159">
                  <v>40452</v>
                </pt>
                <pt idx="160">
                  <v>40483</v>
                </pt>
                <pt idx="161">
                  <v>40513</v>
                </pt>
                <pt idx="162">
                  <v>40544</v>
                </pt>
                <pt idx="163">
                  <v>40575</v>
                </pt>
                <pt idx="164">
                  <v>40603</v>
                </pt>
                <pt idx="165">
                  <v>40634</v>
                </pt>
                <pt idx="166">
                  <v>40664</v>
                </pt>
                <pt idx="167">
                  <v>40695</v>
                </pt>
                <pt idx="168">
                  <v>40725</v>
                </pt>
                <pt idx="169">
                  <v>40756</v>
                </pt>
                <pt idx="170">
                  <v>40787</v>
                </pt>
                <pt idx="171">
                  <v>40817</v>
                </pt>
                <pt idx="172">
                  <v>40848</v>
                </pt>
                <pt idx="173">
                  <v>40878</v>
                </pt>
                <pt idx="174">
                  <v>40909</v>
                </pt>
                <pt idx="175">
                  <v>40940</v>
                </pt>
                <pt idx="176">
                  <v>40969</v>
                </pt>
                <pt idx="177">
                  <v>41000</v>
                </pt>
                <pt idx="178">
                  <v>41030</v>
                </pt>
                <pt idx="179">
                  <v>41061</v>
                </pt>
                <pt idx="180">
                  <v>41091</v>
                </pt>
                <pt idx="181">
                  <v>41122</v>
                </pt>
                <pt idx="182">
                  <v>41153</v>
                </pt>
                <pt idx="183">
                  <v>41183</v>
                </pt>
                <pt idx="184">
                  <v>41214</v>
                </pt>
                <pt idx="185">
                  <v>41244</v>
                </pt>
                <pt idx="186">
                  <v>41275</v>
                </pt>
                <pt idx="187">
                  <v>41306</v>
                </pt>
                <pt idx="188">
                  <v>41334</v>
                </pt>
                <pt idx="189">
                  <v>41365</v>
                </pt>
                <pt idx="190">
                  <v>41395</v>
                </pt>
                <pt idx="191">
                  <v>41426</v>
                </pt>
                <pt idx="192">
                  <v>41456</v>
                </pt>
                <pt idx="193">
                  <v>41487</v>
                </pt>
                <pt idx="194">
                  <v>41518</v>
                </pt>
                <pt idx="195">
                  <v>41548</v>
                </pt>
                <pt idx="196">
                  <v>41579</v>
                </pt>
                <pt idx="197">
                  <v>41609</v>
                </pt>
                <pt idx="198">
                  <v>41640</v>
                </pt>
                <pt idx="199">
                  <v>41671</v>
                </pt>
                <pt idx="200">
                  <v>41699</v>
                </pt>
                <pt idx="201">
                  <v>41730</v>
                </pt>
                <pt idx="202">
                  <v>41760</v>
                </pt>
                <pt idx="203">
                  <v>41791</v>
                </pt>
                <pt idx="204">
                  <v>41821</v>
                </pt>
                <pt idx="205">
                  <v>41852</v>
                </pt>
                <pt idx="206">
                  <v>41883</v>
                </pt>
                <pt idx="207">
                  <v>41913</v>
                </pt>
                <pt idx="208">
                  <v>41944</v>
                </pt>
                <pt idx="209">
                  <v>41974</v>
                </pt>
                <pt idx="210">
                  <v>42005</v>
                </pt>
                <pt idx="211">
                  <v>42036</v>
                </pt>
                <pt idx="212">
                  <v>42064</v>
                </pt>
                <pt idx="213">
                  <v>42095</v>
                </pt>
                <pt idx="214">
                  <v>42125</v>
                </pt>
                <pt idx="215">
                  <v>42156</v>
                </pt>
                <pt idx="216">
                  <v>42186</v>
                </pt>
                <pt idx="217">
                  <v>42217</v>
                </pt>
                <pt idx="218">
                  <v>42248</v>
                </pt>
                <pt idx="219">
                  <v>42278</v>
                </pt>
                <pt idx="220">
                  <v>42309</v>
                </pt>
                <pt idx="221">
                  <v>42339</v>
                </pt>
                <pt idx="222">
                  <v>42370</v>
                </pt>
                <pt idx="223">
                  <v>42401</v>
                </pt>
                <pt idx="224">
                  <v>42430</v>
                </pt>
                <pt idx="225">
                  <v>42461</v>
                </pt>
                <pt idx="226">
                  <v>42491</v>
                </pt>
                <pt idx="227">
                  <v>42522</v>
                </pt>
                <pt idx="228">
                  <v>42552</v>
                </pt>
                <pt idx="229">
                  <v>42583</v>
                </pt>
                <pt idx="230">
                  <v>42614</v>
                </pt>
                <pt idx="231">
                  <v>42644</v>
                </pt>
                <pt idx="232">
                  <v>42675</v>
                </pt>
                <pt idx="233">
                  <v>42705</v>
                </pt>
                <pt idx="234">
                  <v>42736</v>
                </pt>
                <pt idx="235">
                  <v>42767</v>
                </pt>
                <pt idx="236">
                  <v>42795</v>
                </pt>
                <pt idx="237">
                  <v>42826</v>
                </pt>
                <pt idx="238">
                  <v>42856</v>
                </pt>
                <pt idx="239">
                  <v>42887</v>
                </pt>
                <pt idx="240">
                  <v>42917</v>
                </pt>
                <pt idx="241">
                  <v>42948</v>
                </pt>
                <pt idx="242">
                  <v>42979</v>
                </pt>
                <pt idx="243">
                  <v>43009</v>
                </pt>
                <pt idx="244">
                  <v>43040</v>
                </pt>
                <pt idx="245">
                  <v>43070</v>
                </pt>
                <pt idx="246">
                  <v>43101</v>
                </pt>
                <pt idx="247">
                  <v>43132</v>
                </pt>
                <pt idx="248">
                  <v>43160</v>
                </pt>
                <pt idx="249">
                  <v>43191</v>
                </pt>
                <pt idx="250">
                  <v>43221</v>
                </pt>
                <pt idx="251">
                  <v>43252</v>
                </pt>
                <pt idx="252">
                  <v>43282</v>
                </pt>
                <pt idx="253">
                  <v>43313</v>
                </pt>
                <pt idx="254">
                  <v>43344</v>
                </pt>
                <pt idx="255">
                  <v>43374</v>
                </pt>
                <pt idx="256">
                  <v>43405</v>
                </pt>
                <pt idx="257">
                  <v>43435</v>
                </pt>
                <pt idx="258">
                  <v>43466</v>
                </pt>
                <pt idx="259">
                  <v>43497</v>
                </pt>
                <pt idx="260">
                  <v>43525</v>
                </pt>
                <pt idx="261">
                  <v>43556</v>
                </pt>
                <pt idx="262">
                  <v>43586</v>
                </pt>
                <pt idx="263">
                  <v>43617</v>
                </pt>
                <pt idx="264">
                  <v>43647</v>
                </pt>
                <pt idx="265">
                  <v>43678</v>
                </pt>
                <pt idx="266">
                  <v>43709</v>
                </pt>
                <pt idx="267">
                  <v>43739</v>
                </pt>
                <pt idx="268">
                  <v>43770</v>
                </pt>
                <pt idx="269">
                  <v>43800</v>
                </pt>
                <pt idx="270">
                  <v>43831</v>
                </pt>
                <pt idx="271">
                  <v>43862</v>
                </pt>
                <pt idx="272">
                  <v>43891</v>
                </pt>
                <pt idx="273">
                  <v>43922</v>
                </pt>
                <pt idx="274">
                  <v>43952</v>
                </pt>
                <pt idx="275">
                  <v>43983</v>
                </pt>
                <pt idx="276">
                  <v>44013</v>
                </pt>
                <pt idx="277">
                  <v>44044</v>
                </pt>
                <pt idx="278">
                  <v>44075</v>
                </pt>
                <pt idx="279">
                  <v>44105</v>
                </pt>
                <pt idx="280">
                  <v>44136</v>
                </pt>
                <pt idx="281">
                  <v>44166</v>
                </pt>
                <pt idx="282">
                  <v>44197</v>
                </pt>
                <pt idx="283">
                  <v>44228</v>
                </pt>
                <pt idx="284">
                  <v>44256</v>
                </pt>
                <pt idx="285">
                  <v>44287</v>
                </pt>
                <pt idx="286">
                  <v>44317</v>
                </pt>
                <pt idx="287">
                  <v>44348</v>
                </pt>
                <pt idx="288">
                  <v>44378</v>
                </pt>
                <pt idx="289">
                  <v>44409</v>
                </pt>
                <pt idx="290">
                  <v>44440</v>
                </pt>
                <pt idx="291">
                  <v>44470</v>
                </pt>
                <pt idx="292">
                  <v>44501</v>
                </pt>
                <pt idx="293">
                  <v>44531</v>
                </pt>
                <pt idx="294">
                  <v>44562</v>
                </pt>
                <pt idx="295">
                  <v>44593</v>
                </pt>
                <pt idx="296">
                  <v>44621</v>
                </pt>
                <pt idx="297">
                  <v>44652</v>
                </pt>
                <pt idx="298">
                  <v>44682</v>
                </pt>
                <pt idx="299">
                  <v>44713</v>
                </pt>
              </numCache>
            </numRef>
          </cat>
          <val>
            <numRef>
              <f>Details!$E$6:$E$307</f>
              <numCache>
                <formatCode>General</formatCode>
                <ptCount val="302"/>
                <pt idx="0">
                  <v>50.9</v>
                </pt>
                <pt idx="1">
                  <v>53.3</v>
                </pt>
                <pt idx="2">
                  <v>53.1</v>
                </pt>
                <pt idx="3">
                  <v>53.1</v>
                </pt>
                <pt idx="4">
                  <v>54.3</v>
                </pt>
                <pt idx="5">
                  <v>54.9</v>
                </pt>
                <pt idx="6">
                  <v>52.7</v>
                </pt>
                <pt idx="7">
                  <v>51.6</v>
                </pt>
                <pt idx="8">
                  <v>47.9</v>
                </pt>
                <pt idx="9">
                  <v>46.8</v>
                </pt>
                <pt idx="10">
                  <v>47.2</v>
                </pt>
                <pt idx="11">
                  <v>45.5</v>
                </pt>
                <pt idx="12">
                  <v>47</v>
                </pt>
                <pt idx="13">
                  <v>47.9</v>
                </pt>
                <pt idx="14">
                  <v>46.2</v>
                </pt>
                <pt idx="15">
                  <v>49.3</v>
                </pt>
                <pt idx="16">
                  <v>47.3</v>
                </pt>
                <pt idx="17">
                  <v>48.5</v>
                </pt>
                <pt idx="18">
                  <v>47</v>
                </pt>
                <pt idx="19">
                  <v>45.5</v>
                </pt>
                <pt idx="20">
                  <v>48.9</v>
                </pt>
                <pt idx="21">
                  <v>51.4</v>
                </pt>
                <pt idx="22">
                  <v>52.9</v>
                </pt>
                <pt idx="23">
                  <v>53.2</v>
                </pt>
                <pt idx="24">
                  <v>57.7</v>
                </pt>
                <pt idx="25">
                  <v>58.9</v>
                </pt>
                <pt idx="26">
                  <v>64.2</v>
                </pt>
                <pt idx="27">
                  <v>58.9</v>
                </pt>
                <pt idx="28">
                  <v>61</v>
                </pt>
                <pt idx="29">
                  <v>60.5</v>
                </pt>
                <pt idx="30">
                  <v>61.4</v>
                </pt>
                <pt idx="31">
                  <v>66.5</v>
                </pt>
                <pt idx="32">
                  <v>68.59999999999999</v>
                </pt>
                <pt idx="33">
                  <v>65</v>
                </pt>
                <pt idx="34">
                  <v>64.2</v>
                </pt>
                <pt idx="35">
                  <v>65</v>
                </pt>
                <pt idx="36">
                  <v>62.1</v>
                </pt>
                <pt idx="37">
                  <v>59.2</v>
                </pt>
                <pt idx="38">
                  <v>62.1</v>
                </pt>
                <pt idx="39">
                  <v>63.7</v>
                </pt>
                <pt idx="40">
                  <v>60.9</v>
                </pt>
                <pt idx="41">
                  <v>63.5</v>
                </pt>
                <pt idx="42">
                  <v>61.8</v>
                </pt>
                <pt idx="43">
                  <v>58.1</v>
                </pt>
                <pt idx="44">
                  <v>55.8</v>
                </pt>
                <pt idx="45">
                  <v>53.8</v>
                </pt>
                <pt idx="46">
                  <v>58.5</v>
                </pt>
                <pt idx="47">
                  <v>54.5</v>
                </pt>
                <pt idx="48">
                  <v>49.9</v>
                </pt>
                <pt idx="49">
                  <v>48.9</v>
                </pt>
                <pt idx="50">
                  <v>50.2</v>
                </pt>
                <pt idx="51">
                  <v>43.4</v>
                </pt>
                <pt idx="52">
                  <v>41.3</v>
                </pt>
                <pt idx="53">
                  <v>42.3</v>
                </pt>
                <pt idx="54">
                  <v>48.8</v>
                </pt>
                <pt idx="55">
                  <v>47.6</v>
                </pt>
                <pt idx="56">
                  <v>49.2</v>
                </pt>
                <pt idx="57">
                  <v>53.7</v>
                </pt>
                <pt idx="58">
                  <v>55.2</v>
                </pt>
                <pt idx="59">
                  <v>53.1</v>
                </pt>
                <pt idx="60">
                  <v>60.5</v>
                </pt>
                <pt idx="61">
                  <v>55.1</v>
                </pt>
                <pt idx="62">
                  <v>53.4</v>
                </pt>
                <pt idx="63">
                  <v>56.1</v>
                </pt>
                <pt idx="64">
                  <v>57.6</v>
                </pt>
                <pt idx="65">
                  <v>56.5</v>
                </pt>
                <pt idx="66">
                  <v>58</v>
                </pt>
                <pt idx="67">
                  <v>60.5</v>
                </pt>
                <pt idx="68">
                  <v>59.4</v>
                </pt>
                <pt idx="69">
                  <v>55.7</v>
                </pt>
                <pt idx="70">
                  <v>50</v>
                </pt>
                <pt idx="71">
                  <v>52.3</v>
                </pt>
                <pt idx="72">
                  <v>51.4</v>
                </pt>
                <pt idx="73">
                  <v>56.1</v>
                </pt>
                <pt idx="74">
                  <v>59.5</v>
                </pt>
                <pt idx="75">
                  <v>57.2</v>
                </pt>
                <pt idx="76">
                  <v>58.5</v>
                </pt>
                <pt idx="77">
                  <v>61.1</v>
                </pt>
                <pt idx="78">
                  <v>62.2</v>
                </pt>
                <pt idx="79">
                  <v>59.5</v>
                </pt>
                <pt idx="80">
                  <v>65</v>
                </pt>
                <pt idx="81">
                  <v>68.59999999999999</v>
                </pt>
                <pt idx="82">
                  <v>71</v>
                </pt>
                <pt idx="83">
                  <v>74.2</v>
                </pt>
                <pt idx="84">
                  <v>71.90000000000001</v>
                </pt>
                <pt idx="85">
                  <v>70.90000000000001</v>
                </pt>
                <pt idx="86">
                  <v>67</v>
                </pt>
                <pt idx="87">
                  <v>72.8</v>
                </pt>
                <pt idx="88">
                  <v>70.59999999999999</v>
                </pt>
                <pt idx="89">
                  <v>71.3</v>
                </pt>
                <pt idx="90">
                  <v>69.09999999999999</v>
                </pt>
                <pt idx="91">
                  <v>69.7</v>
                </pt>
                <pt idx="92">
                  <v>65.59999999999999</v>
                </pt>
                <pt idx="93">
                  <v>62.4</v>
                </pt>
                <pt idx="94">
                  <v>57.6</v>
                </pt>
                <pt idx="95">
                  <v>58.4</v>
                </pt>
                <pt idx="96">
                  <v>65.8</v>
                </pt>
                <pt idx="97">
                  <v>66.09999999999999</v>
                </pt>
                <pt idx="98">
                  <v>83.5</v>
                </pt>
                <pt idx="99">
                  <v>79.2</v>
                </pt>
                <pt idx="100">
                  <v>72.59999999999999</v>
                </pt>
                <pt idx="101">
                  <v>68.90000000000001</v>
                </pt>
                <pt idx="102">
                  <v>69.90000000000001</v>
                </pt>
                <pt idx="103">
                  <v>67.8</v>
                </pt>
                <pt idx="104">
                  <v>60.1</v>
                </pt>
                <pt idx="105">
                  <v>68.5</v>
                </pt>
                <pt idx="106">
                  <v>70.5</v>
                </pt>
                <pt idx="107">
                  <v>69</v>
                </pt>
                <pt idx="108">
                  <v>70.59999999999999</v>
                </pt>
                <pt idx="109">
                  <v>72.2</v>
                </pt>
                <pt idx="110">
                  <v>60.6</v>
                </pt>
                <pt idx="111">
                  <v>56.5</v>
                </pt>
                <pt idx="112">
                  <v>56.7</v>
                </pt>
                <pt idx="113">
                  <v>60.5</v>
                </pt>
                <pt idx="114">
                  <v>57.5</v>
                </pt>
                <pt idx="115">
                  <v>57</v>
                </pt>
                <pt idx="116">
                  <v>64.2</v>
                </pt>
                <pt idx="117">
                  <v>63.2</v>
                </pt>
                <pt idx="118">
                  <v>62.8</v>
                </pt>
                <pt idx="119">
                  <v>61.6</v>
                </pt>
                <pt idx="120">
                  <v>59.7</v>
                </pt>
                <pt idx="121">
                  <v>60</v>
                </pt>
                <pt idx="122">
                  <v>66.7</v>
                </pt>
                <pt idx="123">
                  <v>66.2</v>
                </pt>
                <pt idx="124">
                  <v>75.3</v>
                </pt>
                <pt idx="125">
                  <v>72</v>
                </pt>
                <pt idx="126">
                  <v>71.59999999999999</v>
                </pt>
                <pt idx="127">
                  <v>71.7</v>
                </pt>
                <pt idx="128">
                  <v>72.7</v>
                </pt>
                <pt idx="129">
                  <v>71.90000000000001</v>
                </pt>
                <pt idx="130">
                  <v>75.2</v>
                </pt>
                <pt idx="131">
                  <v>79.59999999999999</v>
                </pt>
                <pt idx="132">
                  <v>77.40000000000001</v>
                </pt>
                <pt idx="133">
                  <v>72.40000000000001</v>
                </pt>
                <pt idx="134">
                  <v>71.90000000000001</v>
                </pt>
                <pt idx="135">
                  <v>53.9</v>
                </pt>
                <pt idx="136">
                  <v>37.4</v>
                </pt>
                <pt idx="137">
                  <v>36.1</v>
                </pt>
                <pt idx="138">
                  <v>41.7</v>
                </pt>
                <pt idx="139">
                  <v>48.6</v>
                </pt>
                <pt idx="140">
                  <v>40</v>
                </pt>
                <pt idx="141">
                  <v>39.9</v>
                </pt>
                <pt idx="142">
                  <v>47.1</v>
                </pt>
                <pt idx="143">
                  <v>52.9</v>
                </pt>
                <pt idx="144">
                  <v>41.5</v>
                </pt>
                <pt idx="145">
                  <v>60.8</v>
                </pt>
                <pt idx="146">
                  <v>49.6</v>
                </pt>
                <pt idx="147">
                  <v>53.5</v>
                </pt>
                <pt idx="148">
                  <v>58.9</v>
                </pt>
                <pt idx="149">
                  <v>58.9</v>
                </pt>
                <pt idx="150">
                  <v>59.4</v>
                </pt>
                <pt idx="151">
                  <v>58.7</v>
                </pt>
                <pt idx="152">
                  <v>60.9</v>
                </pt>
                <pt idx="153">
                  <v>63.8</v>
                </pt>
                <pt idx="154">
                  <v>60.8</v>
                </pt>
                <pt idx="155">
                  <v>56.7</v>
                </pt>
                <pt idx="156">
                  <v>56.1</v>
                </pt>
                <pt idx="157">
                  <v>59.2</v>
                </pt>
                <pt idx="158">
                  <v>59.5</v>
                </pt>
                <pt idx="159">
                  <v>68.2</v>
                </pt>
                <pt idx="160">
                  <v>65.59999999999999</v>
                </pt>
                <pt idx="161">
                  <v>69.3</v>
                </pt>
                <pt idx="162">
                  <v>70</v>
                </pt>
                <pt idx="163">
                  <v>70.90000000000001</v>
                </pt>
                <pt idx="164">
                  <v>70.90000000000001</v>
                </pt>
                <pt idx="165">
                  <v>71</v>
                </pt>
                <pt idx="166">
                  <v>70.3</v>
                </pt>
                <pt idx="167">
                  <v>62.4</v>
                </pt>
                <pt idx="168">
                  <v>60.7</v>
                </pt>
                <pt idx="169">
                  <v>61.3</v>
                </pt>
                <pt idx="170">
                  <v>60.9</v>
                </pt>
                <pt idx="171">
                  <v>57.7</v>
                </pt>
                <pt idx="172">
                  <v>63.4</v>
                </pt>
                <pt idx="173">
                  <v>62.2</v>
                </pt>
                <pt idx="174">
                  <v>61.4</v>
                </pt>
                <pt idx="175">
                  <v>67.40000000000001</v>
                </pt>
                <pt idx="176">
                  <v>65</v>
                </pt>
                <pt idx="177">
                  <v>56.6</v>
                </pt>
                <pt idx="178">
                  <v>52.8</v>
                </pt>
                <pt idx="179">
                  <v>49.7</v>
                </pt>
                <pt idx="180">
                  <v>54.8</v>
                </pt>
                <pt idx="181">
                  <v>61.8</v>
                </pt>
                <pt idx="182">
                  <v>65.90000000000001</v>
                </pt>
                <pt idx="183">
                  <v>61.7</v>
                </pt>
                <pt idx="184">
                  <v>57.9</v>
                </pt>
                <pt idx="185">
                  <v>56.9</v>
                </pt>
                <pt idx="186">
                  <v>57.4</v>
                </pt>
                <pt idx="187">
                  <v>61</v>
                </pt>
                <pt idx="188">
                  <v>56.2</v>
                </pt>
                <pt idx="189">
                  <v>52.7</v>
                </pt>
                <pt idx="190">
                  <v>52.6</v>
                </pt>
                <pt idx="191">
                  <v>54.8</v>
                </pt>
                <pt idx="192">
                  <v>56.9</v>
                </pt>
                <pt idx="193">
                  <v>53.2</v>
                </pt>
                <pt idx="194">
                  <v>57</v>
                </pt>
                <pt idx="195">
                  <v>56.7</v>
                </pt>
                <pt idx="196">
                  <v>52.9</v>
                </pt>
                <pt idx="197">
                  <v>56</v>
                </pt>
                <pt idx="198">
                  <v>58.1</v>
                </pt>
                <pt idx="199">
                  <v>56.9</v>
                </pt>
                <pt idx="200">
                  <v>58.4</v>
                </pt>
                <pt idx="201">
                  <v>60.5</v>
                </pt>
                <pt idx="202">
                  <v>58.7</v>
                </pt>
                <pt idx="203">
                  <v>59.3</v>
                </pt>
                <pt idx="204">
                  <v>59.1</v>
                </pt>
                <pt idx="205">
                  <v>57.5</v>
                </pt>
                <pt idx="206">
                  <v>55.3</v>
                </pt>
                <pt idx="207">
                  <v>52.3</v>
                </pt>
                <pt idx="208">
                  <v>54.3</v>
                </pt>
                <pt idx="209">
                  <v>50.3</v>
                </pt>
                <pt idx="210">
                  <v>47.1</v>
                </pt>
                <pt idx="211">
                  <v>50.7</v>
                </pt>
                <pt idx="212">
                  <v>53.3</v>
                </pt>
                <pt idx="213">
                  <v>50.2</v>
                </pt>
                <pt idx="214">
                  <v>54</v>
                </pt>
                <pt idx="215">
                  <v>52.3</v>
                </pt>
                <pt idx="216">
                  <v>52.8</v>
                </pt>
                <pt idx="217">
                  <v>50.9</v>
                </pt>
                <pt idx="218">
                  <v>48.7</v>
                </pt>
                <pt idx="219">
                  <v>48.4</v>
                </pt>
                <pt idx="220">
                  <v>49.1</v>
                </pt>
                <pt idx="221">
                  <v>50.1</v>
                </pt>
                <pt idx="222">
                  <v>47.3</v>
                </pt>
                <pt idx="223">
                  <v>45.6</v>
                </pt>
                <pt idx="224">
                  <v>50.4</v>
                </pt>
                <pt idx="225">
                  <v>53.6</v>
                </pt>
                <pt idx="226">
                  <v>55.5</v>
                </pt>
                <pt idx="227">
                  <v>55.7</v>
                </pt>
                <pt idx="228">
                  <v>52.7</v>
                </pt>
                <pt idx="229">
                  <v>52</v>
                </pt>
                <pt idx="230">
                  <v>53.4</v>
                </pt>
                <pt idx="231">
                  <v>54.9</v>
                </pt>
                <pt idx="232">
                  <v>55</v>
                </pt>
                <pt idx="233">
                  <v>55.4</v>
                </pt>
                <pt idx="234">
                  <v>57.5</v>
                </pt>
                <pt idx="235">
                  <v>57.1</v>
                </pt>
                <pt idx="236">
                  <v>54.3</v>
                </pt>
                <pt idx="237">
                  <v>58</v>
                </pt>
                <pt idx="238">
                  <v>50.1</v>
                </pt>
                <pt idx="239">
                  <v>53.3</v>
                </pt>
                <pt idx="240">
                  <v>56.4</v>
                </pt>
                <pt idx="241">
                  <v>58.1</v>
                </pt>
                <pt idx="242">
                  <v>65.90000000000001</v>
                </pt>
                <pt idx="243">
                  <v>61.5</v>
                </pt>
                <pt idx="244">
                  <v>60.1</v>
                </pt>
                <pt idx="245">
                  <v>59.9</v>
                </pt>
                <pt idx="246">
                  <v>61.9</v>
                </pt>
                <pt idx="247">
                  <v>61</v>
                </pt>
                <pt idx="248">
                  <v>61.5</v>
                </pt>
                <pt idx="249">
                  <v>61.8</v>
                </pt>
                <pt idx="250">
                  <v>64.3</v>
                </pt>
                <pt idx="251">
                  <v>60.7</v>
                </pt>
                <pt idx="252">
                  <v>63.4</v>
                </pt>
                <pt idx="253">
                  <v>62.8</v>
                </pt>
                <pt idx="254">
                  <v>64.2</v>
                </pt>
                <pt idx="255">
                  <v>61.7</v>
                </pt>
                <pt idx="256">
                  <v>64.3</v>
                </pt>
                <pt idx="257">
                  <v>57.6</v>
                </pt>
                <pt idx="258">
                  <v>59.4</v>
                </pt>
                <pt idx="259">
                  <v>54.4</v>
                </pt>
                <pt idx="260">
                  <v>58.7</v>
                </pt>
                <pt idx="261">
                  <v>55.7</v>
                </pt>
                <pt idx="262">
                  <v>55.4</v>
                </pt>
                <pt idx="263">
                  <v>58.9</v>
                </pt>
                <pt idx="264">
                  <v>56.5</v>
                </pt>
                <pt idx="265">
                  <v>58.2</v>
                </pt>
                <pt idx="266">
                  <v>60</v>
                </pt>
                <pt idx="267">
                  <v>56.6</v>
                </pt>
                <pt idx="268">
                  <v>58.5</v>
                </pt>
                <pt idx="269">
                  <v>58.5</v>
                </pt>
                <pt idx="270">
                  <v>55.5</v>
                </pt>
                <pt idx="271">
                  <v>50.8</v>
                </pt>
                <pt idx="272">
                  <v>50</v>
                </pt>
                <pt idx="273">
                  <v>55.1</v>
                </pt>
                <pt idx="274">
                  <v>55.6</v>
                </pt>
                <pt idx="275">
                  <v>62.4</v>
                </pt>
                <pt idx="276">
                  <v>57.6</v>
                </pt>
                <pt idx="277">
                  <v>64.2</v>
                </pt>
                <pt idx="278">
                  <v>59</v>
                </pt>
                <pt idx="279">
                  <v>63.9</v>
                </pt>
                <pt idx="280">
                  <v>66.09999999999999</v>
                </pt>
                <pt idx="281">
                  <v>64.8</v>
                </pt>
                <pt idx="282">
                  <v>64.2</v>
                </pt>
                <pt idx="283">
                  <v>71.8</v>
                </pt>
                <pt idx="284">
                  <v>74</v>
                </pt>
                <pt idx="285">
                  <v>76.8</v>
                </pt>
                <pt idx="286">
                  <v>80.59999999999999</v>
                </pt>
                <pt idx="287">
                  <v>79.5</v>
                </pt>
                <pt idx="288">
                  <v>82.3</v>
                </pt>
                <pt idx="289">
                  <v>75.40000000000001</v>
                </pt>
                <pt idx="290">
                  <v>77.5</v>
                </pt>
                <pt idx="291">
                  <v>82.90000000000001</v>
                </pt>
                <pt idx="292">
                  <v>82.3</v>
                </pt>
                <pt idx="293">
                  <v>82.5</v>
                </pt>
                <pt idx="294">
                  <v>82.3</v>
                </pt>
                <pt idx="295">
                  <v>83.09999999999999</v>
                </pt>
                <pt idx="296">
                  <v>83.8</v>
                </pt>
                <pt idx="297">
                  <v>84.59999999999999</v>
                </pt>
                <pt idx="298">
                  <v>82.09999999999999</v>
                </pt>
                <pt idx="299">
                  <v>80.09999999999999</v>
                </pt>
              </numCache>
            </numRef>
          </val>
          <smooth val="0"/>
        </ser>
        <dLbls>
          <showLegendKey val="0"/>
          <showVal val="0"/>
          <showCatName val="0"/>
          <showSerName val="0"/>
          <showPercent val="0"/>
          <showBubbleSize val="0"/>
        </dLbls>
        <smooth val="0"/>
        <axId val="946929536"/>
        <axId val="946929864"/>
      </lineChart>
      <dateAx>
        <axId val="946929536"/>
        <scaling>
          <orientation val="minMax"/>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864"/>
        <crosses val="autoZero"/>
        <lblOffset val="100"/>
        <baseTimeUnit val="months"/>
      </dateAx>
      <valAx>
        <axId val="946929864"/>
        <scaling>
          <orientation val="minMax"/>
          <max val="85"/>
          <min val="3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536"/>
        <crosses val="autoZero"/>
        <crossBetween val="between"/>
      </valAx>
    </plotArea>
    <plotVisOnly val="1"/>
    <dispBlanksAs val="gap"/>
  </chart>
</chartSpace>
</file>

<file path=xl/charts/chart64.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Prices</a:t>
            </a:r>
          </a:p>
        </rich>
      </tx>
      <overlay val="0"/>
      <spPr>
        <a:noFill xmlns:a="http://schemas.openxmlformats.org/drawingml/2006/main"/>
        <a:ln xmlns:a="http://schemas.openxmlformats.org/drawingml/2006/main">
          <a:noFill/>
          <a:prstDash val="solid"/>
        </a:ln>
      </spPr>
    </title>
    <plotArea>
      <layout/>
      <lineChart>
        <grouping val="standard"/>
        <varyColors val="0"/>
        <ser>
          <idx val="3"/>
          <order val="0"/>
          <tx>
            <strRef>
              <f>Details!$E$5</f>
              <strCache>
                <ptCount val="1"/>
                <pt idx="0">
                  <v>Prices</v>
                </pt>
              </strCache>
            </strRef>
          </tx>
          <spPr>
            <a:ln xmlns:a="http://schemas.openxmlformats.org/drawingml/2006/main" w="28575" cap="rnd">
              <a:solidFill>
                <a:schemeClr val="accent4"/>
              </a:solidFill>
              <a:prstDash val="solid"/>
              <a:round/>
            </a:ln>
          </spPr>
          <marker>
            <symbol val="none"/>
            <spPr>
              <a:ln xmlns:a="http://schemas.openxmlformats.org/drawingml/2006/main">
                <a:prstDash val="solid"/>
              </a:ln>
            </spPr>
          </marker>
          <cat>
            <numRef>
              <f>Details!$A$6:$A$307</f>
              <numCache>
                <formatCode>m/d/yy</formatCode>
                <ptCount val="302"/>
                <pt idx="0">
                  <v>35612</v>
                </pt>
                <pt idx="1">
                  <v>35643</v>
                </pt>
                <pt idx="2">
                  <v>35674</v>
                </pt>
                <pt idx="3">
                  <v>35704</v>
                </pt>
                <pt idx="4">
                  <v>35735</v>
                </pt>
                <pt idx="5">
                  <v>35765</v>
                </pt>
                <pt idx="6">
                  <v>35796</v>
                </pt>
                <pt idx="7">
                  <v>35827</v>
                </pt>
                <pt idx="8">
                  <v>35855</v>
                </pt>
                <pt idx="9">
                  <v>35886</v>
                </pt>
                <pt idx="10">
                  <v>35916</v>
                </pt>
                <pt idx="11">
                  <v>35947</v>
                </pt>
                <pt idx="12">
                  <v>35977</v>
                </pt>
                <pt idx="13">
                  <v>36008</v>
                </pt>
                <pt idx="14">
                  <v>36039</v>
                </pt>
                <pt idx="15">
                  <v>36069</v>
                </pt>
                <pt idx="16">
                  <v>36100</v>
                </pt>
                <pt idx="17">
                  <v>36130</v>
                </pt>
                <pt idx="18">
                  <v>36161</v>
                </pt>
                <pt idx="19">
                  <v>36192</v>
                </pt>
                <pt idx="20">
                  <v>36220</v>
                </pt>
                <pt idx="21">
                  <v>36251</v>
                </pt>
                <pt idx="22">
                  <v>36281</v>
                </pt>
                <pt idx="23">
                  <v>36312</v>
                </pt>
                <pt idx="24">
                  <v>36342</v>
                </pt>
                <pt idx="25">
                  <v>36373</v>
                </pt>
                <pt idx="26">
                  <v>36404</v>
                </pt>
                <pt idx="27">
                  <v>36434</v>
                </pt>
                <pt idx="28">
                  <v>36465</v>
                </pt>
                <pt idx="29">
                  <v>36495</v>
                </pt>
                <pt idx="30">
                  <v>36526</v>
                </pt>
                <pt idx="31">
                  <v>36557</v>
                </pt>
                <pt idx="32">
                  <v>36586</v>
                </pt>
                <pt idx="33">
                  <v>36617</v>
                </pt>
                <pt idx="34">
                  <v>36647</v>
                </pt>
                <pt idx="35">
                  <v>36678</v>
                </pt>
                <pt idx="36">
                  <v>36708</v>
                </pt>
                <pt idx="37">
                  <v>36739</v>
                </pt>
                <pt idx="38">
                  <v>36770</v>
                </pt>
                <pt idx="39">
                  <v>36800</v>
                </pt>
                <pt idx="40">
                  <v>36831</v>
                </pt>
                <pt idx="41">
                  <v>36861</v>
                </pt>
                <pt idx="42">
                  <v>36892</v>
                </pt>
                <pt idx="43">
                  <v>36923</v>
                </pt>
                <pt idx="44">
                  <v>36951</v>
                </pt>
                <pt idx="45">
                  <v>36982</v>
                </pt>
                <pt idx="46">
                  <v>37012</v>
                </pt>
                <pt idx="47">
                  <v>37043</v>
                </pt>
                <pt idx="48">
                  <v>37073</v>
                </pt>
                <pt idx="49">
                  <v>37104</v>
                </pt>
                <pt idx="50">
                  <v>37135</v>
                </pt>
                <pt idx="51">
                  <v>37165</v>
                </pt>
                <pt idx="52">
                  <v>37196</v>
                </pt>
                <pt idx="53">
                  <v>37226</v>
                </pt>
                <pt idx="54">
                  <v>37257</v>
                </pt>
                <pt idx="55">
                  <v>37288</v>
                </pt>
                <pt idx="56">
                  <v>37316</v>
                </pt>
                <pt idx="57">
                  <v>37347</v>
                </pt>
                <pt idx="58">
                  <v>37377</v>
                </pt>
                <pt idx="59">
                  <v>37408</v>
                </pt>
                <pt idx="60">
                  <v>37438</v>
                </pt>
                <pt idx="61">
                  <v>37469</v>
                </pt>
                <pt idx="62">
                  <v>37500</v>
                </pt>
                <pt idx="63">
                  <v>37530</v>
                </pt>
                <pt idx="64">
                  <v>37561</v>
                </pt>
                <pt idx="65">
                  <v>37591</v>
                </pt>
                <pt idx="66">
                  <v>37622</v>
                </pt>
                <pt idx="67">
                  <v>37653</v>
                </pt>
                <pt idx="68">
                  <v>37681</v>
                </pt>
                <pt idx="69">
                  <v>37712</v>
                </pt>
                <pt idx="70">
                  <v>37742</v>
                </pt>
                <pt idx="71">
                  <v>37773</v>
                </pt>
                <pt idx="72">
                  <v>37803</v>
                </pt>
                <pt idx="73">
                  <v>37834</v>
                </pt>
                <pt idx="74">
                  <v>37865</v>
                </pt>
                <pt idx="75">
                  <v>37895</v>
                </pt>
                <pt idx="76">
                  <v>37926</v>
                </pt>
                <pt idx="77">
                  <v>37956</v>
                </pt>
                <pt idx="78">
                  <v>37987</v>
                </pt>
                <pt idx="79">
                  <v>38018</v>
                </pt>
                <pt idx="80">
                  <v>38047</v>
                </pt>
                <pt idx="81">
                  <v>38078</v>
                </pt>
                <pt idx="82">
                  <v>38108</v>
                </pt>
                <pt idx="83">
                  <v>38139</v>
                </pt>
                <pt idx="84">
                  <v>38169</v>
                </pt>
                <pt idx="85">
                  <v>38200</v>
                </pt>
                <pt idx="86">
                  <v>38231</v>
                </pt>
                <pt idx="87">
                  <v>38261</v>
                </pt>
                <pt idx="88">
                  <v>38292</v>
                </pt>
                <pt idx="89">
                  <v>38322</v>
                </pt>
                <pt idx="90">
                  <v>38353</v>
                </pt>
                <pt idx="91">
                  <v>38384</v>
                </pt>
                <pt idx="92">
                  <v>38412</v>
                </pt>
                <pt idx="93">
                  <v>38443</v>
                </pt>
                <pt idx="94">
                  <v>38473</v>
                </pt>
                <pt idx="95">
                  <v>38504</v>
                </pt>
                <pt idx="96">
                  <v>38534</v>
                </pt>
                <pt idx="97">
                  <v>38565</v>
                </pt>
                <pt idx="98">
                  <v>38596</v>
                </pt>
                <pt idx="99">
                  <v>38626</v>
                </pt>
                <pt idx="100">
                  <v>38657</v>
                </pt>
                <pt idx="101">
                  <v>38687</v>
                </pt>
                <pt idx="102">
                  <v>38718</v>
                </pt>
                <pt idx="103">
                  <v>38749</v>
                </pt>
                <pt idx="104">
                  <v>38777</v>
                </pt>
                <pt idx="105">
                  <v>38808</v>
                </pt>
                <pt idx="106">
                  <v>38838</v>
                </pt>
                <pt idx="107">
                  <v>38869</v>
                </pt>
                <pt idx="108">
                  <v>38899</v>
                </pt>
                <pt idx="109">
                  <v>38930</v>
                </pt>
                <pt idx="110">
                  <v>38961</v>
                </pt>
                <pt idx="111">
                  <v>38991</v>
                </pt>
                <pt idx="112">
                  <v>39022</v>
                </pt>
                <pt idx="113">
                  <v>39052</v>
                </pt>
                <pt idx="114">
                  <v>39083</v>
                </pt>
                <pt idx="115">
                  <v>39114</v>
                </pt>
                <pt idx="116">
                  <v>39142</v>
                </pt>
                <pt idx="117">
                  <v>39173</v>
                </pt>
                <pt idx="118">
                  <v>39203</v>
                </pt>
                <pt idx="119">
                  <v>39234</v>
                </pt>
                <pt idx="120">
                  <v>39264</v>
                </pt>
                <pt idx="121">
                  <v>39295</v>
                </pt>
                <pt idx="122">
                  <v>39326</v>
                </pt>
                <pt idx="123">
                  <v>39356</v>
                </pt>
                <pt idx="124">
                  <v>39387</v>
                </pt>
                <pt idx="125">
                  <v>39417</v>
                </pt>
                <pt idx="126">
                  <v>39448</v>
                </pt>
                <pt idx="127">
                  <v>39479</v>
                </pt>
                <pt idx="128">
                  <v>39508</v>
                </pt>
                <pt idx="129">
                  <v>39539</v>
                </pt>
                <pt idx="130">
                  <v>39569</v>
                </pt>
                <pt idx="131">
                  <v>39600</v>
                </pt>
                <pt idx="132">
                  <v>39630</v>
                </pt>
                <pt idx="133">
                  <v>39661</v>
                </pt>
                <pt idx="134">
                  <v>39692</v>
                </pt>
                <pt idx="135">
                  <v>39722</v>
                </pt>
                <pt idx="136">
                  <v>39753</v>
                </pt>
                <pt idx="137">
                  <v>39783</v>
                </pt>
                <pt idx="138">
                  <v>39814</v>
                </pt>
                <pt idx="139">
                  <v>39845</v>
                </pt>
                <pt idx="140">
                  <v>39873</v>
                </pt>
                <pt idx="141">
                  <v>39904</v>
                </pt>
                <pt idx="142">
                  <v>39934</v>
                </pt>
                <pt idx="143">
                  <v>39965</v>
                </pt>
                <pt idx="144">
                  <v>39995</v>
                </pt>
                <pt idx="145">
                  <v>40026</v>
                </pt>
                <pt idx="146">
                  <v>40057</v>
                </pt>
                <pt idx="147">
                  <v>40087</v>
                </pt>
                <pt idx="148">
                  <v>40118</v>
                </pt>
                <pt idx="149">
                  <v>40148</v>
                </pt>
                <pt idx="150">
                  <v>40179</v>
                </pt>
                <pt idx="151">
                  <v>40210</v>
                </pt>
                <pt idx="152">
                  <v>40238</v>
                </pt>
                <pt idx="153">
                  <v>40269</v>
                </pt>
                <pt idx="154">
                  <v>40299</v>
                </pt>
                <pt idx="155">
                  <v>40330</v>
                </pt>
                <pt idx="156">
                  <v>40360</v>
                </pt>
                <pt idx="157">
                  <v>40391</v>
                </pt>
                <pt idx="158">
                  <v>40422</v>
                </pt>
                <pt idx="159">
                  <v>40452</v>
                </pt>
                <pt idx="160">
                  <v>40483</v>
                </pt>
                <pt idx="161">
                  <v>40513</v>
                </pt>
                <pt idx="162">
                  <v>40544</v>
                </pt>
                <pt idx="163">
                  <v>40575</v>
                </pt>
                <pt idx="164">
                  <v>40603</v>
                </pt>
                <pt idx="165">
                  <v>40634</v>
                </pt>
                <pt idx="166">
                  <v>40664</v>
                </pt>
                <pt idx="167">
                  <v>40695</v>
                </pt>
                <pt idx="168">
                  <v>40725</v>
                </pt>
                <pt idx="169">
                  <v>40756</v>
                </pt>
                <pt idx="170">
                  <v>40787</v>
                </pt>
                <pt idx="171">
                  <v>40817</v>
                </pt>
                <pt idx="172">
                  <v>40848</v>
                </pt>
                <pt idx="173">
                  <v>40878</v>
                </pt>
                <pt idx="174">
                  <v>40909</v>
                </pt>
                <pt idx="175">
                  <v>40940</v>
                </pt>
                <pt idx="176">
                  <v>40969</v>
                </pt>
                <pt idx="177">
                  <v>41000</v>
                </pt>
                <pt idx="178">
                  <v>41030</v>
                </pt>
                <pt idx="179">
                  <v>41061</v>
                </pt>
                <pt idx="180">
                  <v>41091</v>
                </pt>
                <pt idx="181">
                  <v>41122</v>
                </pt>
                <pt idx="182">
                  <v>41153</v>
                </pt>
                <pt idx="183">
                  <v>41183</v>
                </pt>
                <pt idx="184">
                  <v>41214</v>
                </pt>
                <pt idx="185">
                  <v>41244</v>
                </pt>
                <pt idx="186">
                  <v>41275</v>
                </pt>
                <pt idx="187">
                  <v>41306</v>
                </pt>
                <pt idx="188">
                  <v>41334</v>
                </pt>
                <pt idx="189">
                  <v>41365</v>
                </pt>
                <pt idx="190">
                  <v>41395</v>
                </pt>
                <pt idx="191">
                  <v>41426</v>
                </pt>
                <pt idx="192">
                  <v>41456</v>
                </pt>
                <pt idx="193">
                  <v>41487</v>
                </pt>
                <pt idx="194">
                  <v>41518</v>
                </pt>
                <pt idx="195">
                  <v>41548</v>
                </pt>
                <pt idx="196">
                  <v>41579</v>
                </pt>
                <pt idx="197">
                  <v>41609</v>
                </pt>
                <pt idx="198">
                  <v>41640</v>
                </pt>
                <pt idx="199">
                  <v>41671</v>
                </pt>
                <pt idx="200">
                  <v>41699</v>
                </pt>
                <pt idx="201">
                  <v>41730</v>
                </pt>
                <pt idx="202">
                  <v>41760</v>
                </pt>
                <pt idx="203">
                  <v>41791</v>
                </pt>
                <pt idx="204">
                  <v>41821</v>
                </pt>
                <pt idx="205">
                  <v>41852</v>
                </pt>
                <pt idx="206">
                  <v>41883</v>
                </pt>
                <pt idx="207">
                  <v>41913</v>
                </pt>
                <pt idx="208">
                  <v>41944</v>
                </pt>
                <pt idx="209">
                  <v>41974</v>
                </pt>
                <pt idx="210">
                  <v>42005</v>
                </pt>
                <pt idx="211">
                  <v>42036</v>
                </pt>
                <pt idx="212">
                  <v>42064</v>
                </pt>
                <pt idx="213">
                  <v>42095</v>
                </pt>
                <pt idx="214">
                  <v>42125</v>
                </pt>
                <pt idx="215">
                  <v>42156</v>
                </pt>
                <pt idx="216">
                  <v>42186</v>
                </pt>
                <pt idx="217">
                  <v>42217</v>
                </pt>
                <pt idx="218">
                  <v>42248</v>
                </pt>
                <pt idx="219">
                  <v>42278</v>
                </pt>
                <pt idx="220">
                  <v>42309</v>
                </pt>
                <pt idx="221">
                  <v>42339</v>
                </pt>
                <pt idx="222">
                  <v>42370</v>
                </pt>
                <pt idx="223">
                  <v>42401</v>
                </pt>
                <pt idx="224">
                  <v>42430</v>
                </pt>
                <pt idx="225">
                  <v>42461</v>
                </pt>
                <pt idx="226">
                  <v>42491</v>
                </pt>
                <pt idx="227">
                  <v>42522</v>
                </pt>
                <pt idx="228">
                  <v>42552</v>
                </pt>
                <pt idx="229">
                  <v>42583</v>
                </pt>
                <pt idx="230">
                  <v>42614</v>
                </pt>
                <pt idx="231">
                  <v>42644</v>
                </pt>
                <pt idx="232">
                  <v>42675</v>
                </pt>
                <pt idx="233">
                  <v>42705</v>
                </pt>
                <pt idx="234">
                  <v>42736</v>
                </pt>
                <pt idx="235">
                  <v>42767</v>
                </pt>
                <pt idx="236">
                  <v>42795</v>
                </pt>
                <pt idx="237">
                  <v>42826</v>
                </pt>
                <pt idx="238">
                  <v>42856</v>
                </pt>
                <pt idx="239">
                  <v>42887</v>
                </pt>
                <pt idx="240">
                  <v>42917</v>
                </pt>
                <pt idx="241">
                  <v>42948</v>
                </pt>
                <pt idx="242">
                  <v>42979</v>
                </pt>
                <pt idx="243">
                  <v>43009</v>
                </pt>
                <pt idx="244">
                  <v>43040</v>
                </pt>
                <pt idx="245">
                  <v>43070</v>
                </pt>
                <pt idx="246">
                  <v>43101</v>
                </pt>
                <pt idx="247">
                  <v>43132</v>
                </pt>
                <pt idx="248">
                  <v>43160</v>
                </pt>
                <pt idx="249">
                  <v>43191</v>
                </pt>
                <pt idx="250">
                  <v>43221</v>
                </pt>
                <pt idx="251">
                  <v>43252</v>
                </pt>
                <pt idx="252">
                  <v>43282</v>
                </pt>
                <pt idx="253">
                  <v>43313</v>
                </pt>
                <pt idx="254">
                  <v>43344</v>
                </pt>
                <pt idx="255">
                  <v>43374</v>
                </pt>
                <pt idx="256">
                  <v>43405</v>
                </pt>
                <pt idx="257">
                  <v>43435</v>
                </pt>
                <pt idx="258">
                  <v>43466</v>
                </pt>
                <pt idx="259">
                  <v>43497</v>
                </pt>
                <pt idx="260">
                  <v>43525</v>
                </pt>
                <pt idx="261">
                  <v>43556</v>
                </pt>
                <pt idx="262">
                  <v>43586</v>
                </pt>
                <pt idx="263">
                  <v>43617</v>
                </pt>
                <pt idx="264">
                  <v>43647</v>
                </pt>
                <pt idx="265">
                  <v>43678</v>
                </pt>
                <pt idx="266">
                  <v>43709</v>
                </pt>
                <pt idx="267">
                  <v>43739</v>
                </pt>
                <pt idx="268">
                  <v>43770</v>
                </pt>
                <pt idx="269">
                  <v>43800</v>
                </pt>
                <pt idx="270">
                  <v>43831</v>
                </pt>
                <pt idx="271">
                  <v>43862</v>
                </pt>
                <pt idx="272">
                  <v>43891</v>
                </pt>
                <pt idx="273">
                  <v>43922</v>
                </pt>
                <pt idx="274">
                  <v>43952</v>
                </pt>
                <pt idx="275">
                  <v>43983</v>
                </pt>
                <pt idx="276">
                  <v>44013</v>
                </pt>
                <pt idx="277">
                  <v>44044</v>
                </pt>
                <pt idx="278">
                  <v>44075</v>
                </pt>
                <pt idx="279">
                  <v>44105</v>
                </pt>
                <pt idx="280">
                  <v>44136</v>
                </pt>
                <pt idx="281">
                  <v>44166</v>
                </pt>
                <pt idx="282">
                  <v>44197</v>
                </pt>
                <pt idx="283">
                  <v>44228</v>
                </pt>
                <pt idx="284">
                  <v>44256</v>
                </pt>
                <pt idx="285">
                  <v>44287</v>
                </pt>
                <pt idx="286">
                  <v>44317</v>
                </pt>
                <pt idx="287">
                  <v>44348</v>
                </pt>
                <pt idx="288">
                  <v>44378</v>
                </pt>
                <pt idx="289">
                  <v>44409</v>
                </pt>
                <pt idx="290">
                  <v>44440</v>
                </pt>
                <pt idx="291">
                  <v>44470</v>
                </pt>
                <pt idx="292">
                  <v>44501</v>
                </pt>
                <pt idx="293">
                  <v>44531</v>
                </pt>
                <pt idx="294">
                  <v>44562</v>
                </pt>
                <pt idx="295">
                  <v>44593</v>
                </pt>
                <pt idx="296">
                  <v>44621</v>
                </pt>
                <pt idx="297">
                  <v>44652</v>
                </pt>
                <pt idx="298">
                  <v>44682</v>
                </pt>
                <pt idx="299">
                  <v>44713</v>
                </pt>
              </numCache>
            </numRef>
          </cat>
          <val>
            <numRef>
              <f>Details!$E$6:$E$307</f>
              <numCache>
                <formatCode>General</formatCode>
                <ptCount val="302"/>
                <pt idx="0">
                  <v>50.9</v>
                </pt>
                <pt idx="1">
                  <v>53.3</v>
                </pt>
                <pt idx="2">
                  <v>53.1</v>
                </pt>
                <pt idx="3">
                  <v>53.1</v>
                </pt>
                <pt idx="4">
                  <v>54.3</v>
                </pt>
                <pt idx="5">
                  <v>54.9</v>
                </pt>
                <pt idx="6">
                  <v>52.7</v>
                </pt>
                <pt idx="7">
                  <v>51.6</v>
                </pt>
                <pt idx="8">
                  <v>47.9</v>
                </pt>
                <pt idx="9">
                  <v>46.8</v>
                </pt>
                <pt idx="10">
                  <v>47.2</v>
                </pt>
                <pt idx="11">
                  <v>45.5</v>
                </pt>
                <pt idx="12">
                  <v>47</v>
                </pt>
                <pt idx="13">
                  <v>47.9</v>
                </pt>
                <pt idx="14">
                  <v>46.2</v>
                </pt>
                <pt idx="15">
                  <v>49.3</v>
                </pt>
                <pt idx="16">
                  <v>47.3</v>
                </pt>
                <pt idx="17">
                  <v>48.5</v>
                </pt>
                <pt idx="18">
                  <v>47</v>
                </pt>
                <pt idx="19">
                  <v>45.5</v>
                </pt>
                <pt idx="20">
                  <v>48.9</v>
                </pt>
                <pt idx="21">
                  <v>51.4</v>
                </pt>
                <pt idx="22">
                  <v>52.9</v>
                </pt>
                <pt idx="23">
                  <v>53.2</v>
                </pt>
                <pt idx="24">
                  <v>57.7</v>
                </pt>
                <pt idx="25">
                  <v>58.9</v>
                </pt>
                <pt idx="26">
                  <v>64.2</v>
                </pt>
                <pt idx="27">
                  <v>58.9</v>
                </pt>
                <pt idx="28">
                  <v>61</v>
                </pt>
                <pt idx="29">
                  <v>60.5</v>
                </pt>
                <pt idx="30">
                  <v>61.4</v>
                </pt>
                <pt idx="31">
                  <v>66.5</v>
                </pt>
                <pt idx="32">
                  <v>68.59999999999999</v>
                </pt>
                <pt idx="33">
                  <v>65</v>
                </pt>
                <pt idx="34">
                  <v>64.2</v>
                </pt>
                <pt idx="35">
                  <v>65</v>
                </pt>
                <pt idx="36">
                  <v>62.1</v>
                </pt>
                <pt idx="37">
                  <v>59.2</v>
                </pt>
                <pt idx="38">
                  <v>62.1</v>
                </pt>
                <pt idx="39">
                  <v>63.7</v>
                </pt>
                <pt idx="40">
                  <v>60.9</v>
                </pt>
                <pt idx="41">
                  <v>63.5</v>
                </pt>
                <pt idx="42">
                  <v>61.8</v>
                </pt>
                <pt idx="43">
                  <v>58.1</v>
                </pt>
                <pt idx="44">
                  <v>55.8</v>
                </pt>
                <pt idx="45">
                  <v>53.8</v>
                </pt>
                <pt idx="46">
                  <v>58.5</v>
                </pt>
                <pt idx="47">
                  <v>54.5</v>
                </pt>
                <pt idx="48">
                  <v>49.9</v>
                </pt>
                <pt idx="49">
                  <v>48.9</v>
                </pt>
                <pt idx="50">
                  <v>50.2</v>
                </pt>
                <pt idx="51">
                  <v>43.4</v>
                </pt>
                <pt idx="52">
                  <v>41.3</v>
                </pt>
                <pt idx="53">
                  <v>42.3</v>
                </pt>
                <pt idx="54">
                  <v>48.8</v>
                </pt>
                <pt idx="55">
                  <v>47.6</v>
                </pt>
                <pt idx="56">
                  <v>49.2</v>
                </pt>
                <pt idx="57">
                  <v>53.7</v>
                </pt>
                <pt idx="58">
                  <v>55.2</v>
                </pt>
                <pt idx="59">
                  <v>53.1</v>
                </pt>
                <pt idx="60">
                  <v>60.5</v>
                </pt>
                <pt idx="61">
                  <v>55.1</v>
                </pt>
                <pt idx="62">
                  <v>53.4</v>
                </pt>
                <pt idx="63">
                  <v>56.1</v>
                </pt>
                <pt idx="64">
                  <v>57.6</v>
                </pt>
                <pt idx="65">
                  <v>56.5</v>
                </pt>
                <pt idx="66">
                  <v>58</v>
                </pt>
                <pt idx="67">
                  <v>60.5</v>
                </pt>
                <pt idx="68">
                  <v>59.4</v>
                </pt>
                <pt idx="69">
                  <v>55.7</v>
                </pt>
                <pt idx="70">
                  <v>50</v>
                </pt>
                <pt idx="71">
                  <v>52.3</v>
                </pt>
                <pt idx="72">
                  <v>51.4</v>
                </pt>
                <pt idx="73">
                  <v>56.1</v>
                </pt>
                <pt idx="74">
                  <v>59.5</v>
                </pt>
                <pt idx="75">
                  <v>57.2</v>
                </pt>
                <pt idx="76">
                  <v>58.5</v>
                </pt>
                <pt idx="77">
                  <v>61.1</v>
                </pt>
                <pt idx="78">
                  <v>62.2</v>
                </pt>
                <pt idx="79">
                  <v>59.5</v>
                </pt>
                <pt idx="80">
                  <v>65</v>
                </pt>
                <pt idx="81">
                  <v>68.59999999999999</v>
                </pt>
                <pt idx="82">
                  <v>71</v>
                </pt>
                <pt idx="83">
                  <v>74.2</v>
                </pt>
                <pt idx="84">
                  <v>71.90000000000001</v>
                </pt>
                <pt idx="85">
                  <v>70.90000000000001</v>
                </pt>
                <pt idx="86">
                  <v>67</v>
                </pt>
                <pt idx="87">
                  <v>72.8</v>
                </pt>
                <pt idx="88">
                  <v>70.59999999999999</v>
                </pt>
                <pt idx="89">
                  <v>71.3</v>
                </pt>
                <pt idx="90">
                  <v>69.09999999999999</v>
                </pt>
                <pt idx="91">
                  <v>69.7</v>
                </pt>
                <pt idx="92">
                  <v>65.59999999999999</v>
                </pt>
                <pt idx="93">
                  <v>62.4</v>
                </pt>
                <pt idx="94">
                  <v>57.6</v>
                </pt>
                <pt idx="95">
                  <v>58.4</v>
                </pt>
                <pt idx="96">
                  <v>65.8</v>
                </pt>
                <pt idx="97">
                  <v>66.09999999999999</v>
                </pt>
                <pt idx="98">
                  <v>83.5</v>
                </pt>
                <pt idx="99">
                  <v>79.2</v>
                </pt>
                <pt idx="100">
                  <v>72.59999999999999</v>
                </pt>
                <pt idx="101">
                  <v>68.90000000000001</v>
                </pt>
                <pt idx="102">
                  <v>69.90000000000001</v>
                </pt>
                <pt idx="103">
                  <v>67.8</v>
                </pt>
                <pt idx="104">
                  <v>60.1</v>
                </pt>
                <pt idx="105">
                  <v>68.5</v>
                </pt>
                <pt idx="106">
                  <v>70.5</v>
                </pt>
                <pt idx="107">
                  <v>69</v>
                </pt>
                <pt idx="108">
                  <v>70.59999999999999</v>
                </pt>
                <pt idx="109">
                  <v>72.2</v>
                </pt>
                <pt idx="110">
                  <v>60.6</v>
                </pt>
                <pt idx="111">
                  <v>56.5</v>
                </pt>
                <pt idx="112">
                  <v>56.7</v>
                </pt>
                <pt idx="113">
                  <v>60.5</v>
                </pt>
                <pt idx="114">
                  <v>57.5</v>
                </pt>
                <pt idx="115">
                  <v>57</v>
                </pt>
                <pt idx="116">
                  <v>64.2</v>
                </pt>
                <pt idx="117">
                  <v>63.2</v>
                </pt>
                <pt idx="118">
                  <v>62.8</v>
                </pt>
                <pt idx="119">
                  <v>61.6</v>
                </pt>
                <pt idx="120">
                  <v>59.7</v>
                </pt>
                <pt idx="121">
                  <v>60</v>
                </pt>
                <pt idx="122">
                  <v>66.7</v>
                </pt>
                <pt idx="123">
                  <v>66.2</v>
                </pt>
                <pt idx="124">
                  <v>75.3</v>
                </pt>
                <pt idx="125">
                  <v>72</v>
                </pt>
                <pt idx="126">
                  <v>71.59999999999999</v>
                </pt>
                <pt idx="127">
                  <v>71.7</v>
                </pt>
                <pt idx="128">
                  <v>72.7</v>
                </pt>
                <pt idx="129">
                  <v>71.90000000000001</v>
                </pt>
                <pt idx="130">
                  <v>75.2</v>
                </pt>
                <pt idx="131">
                  <v>79.59999999999999</v>
                </pt>
                <pt idx="132">
                  <v>77.40000000000001</v>
                </pt>
                <pt idx="133">
                  <v>72.40000000000001</v>
                </pt>
                <pt idx="134">
                  <v>71.90000000000001</v>
                </pt>
                <pt idx="135">
                  <v>53.9</v>
                </pt>
                <pt idx="136">
                  <v>37.4</v>
                </pt>
                <pt idx="137">
                  <v>36.1</v>
                </pt>
                <pt idx="138">
                  <v>41.7</v>
                </pt>
                <pt idx="139">
                  <v>48.6</v>
                </pt>
                <pt idx="140">
                  <v>40</v>
                </pt>
                <pt idx="141">
                  <v>39.9</v>
                </pt>
                <pt idx="142">
                  <v>47.1</v>
                </pt>
                <pt idx="143">
                  <v>52.9</v>
                </pt>
                <pt idx="144">
                  <v>41.5</v>
                </pt>
                <pt idx="145">
                  <v>60.8</v>
                </pt>
                <pt idx="146">
                  <v>49.6</v>
                </pt>
                <pt idx="147">
                  <v>53.5</v>
                </pt>
                <pt idx="148">
                  <v>58.9</v>
                </pt>
                <pt idx="149">
                  <v>58.9</v>
                </pt>
                <pt idx="150">
                  <v>59.4</v>
                </pt>
                <pt idx="151">
                  <v>58.7</v>
                </pt>
                <pt idx="152">
                  <v>60.9</v>
                </pt>
                <pt idx="153">
                  <v>63.8</v>
                </pt>
                <pt idx="154">
                  <v>60.8</v>
                </pt>
                <pt idx="155">
                  <v>56.7</v>
                </pt>
                <pt idx="156">
                  <v>56.1</v>
                </pt>
                <pt idx="157">
                  <v>59.2</v>
                </pt>
                <pt idx="158">
                  <v>59.5</v>
                </pt>
                <pt idx="159">
                  <v>68.2</v>
                </pt>
                <pt idx="160">
                  <v>65.59999999999999</v>
                </pt>
                <pt idx="161">
                  <v>69.3</v>
                </pt>
                <pt idx="162">
                  <v>70</v>
                </pt>
                <pt idx="163">
                  <v>70.90000000000001</v>
                </pt>
                <pt idx="164">
                  <v>70.90000000000001</v>
                </pt>
                <pt idx="165">
                  <v>71</v>
                </pt>
                <pt idx="166">
                  <v>70.3</v>
                </pt>
                <pt idx="167">
                  <v>62.4</v>
                </pt>
                <pt idx="168">
                  <v>60.7</v>
                </pt>
                <pt idx="169">
                  <v>61.3</v>
                </pt>
                <pt idx="170">
                  <v>60.9</v>
                </pt>
                <pt idx="171">
                  <v>57.7</v>
                </pt>
                <pt idx="172">
                  <v>63.4</v>
                </pt>
                <pt idx="173">
                  <v>62.2</v>
                </pt>
                <pt idx="174">
                  <v>61.4</v>
                </pt>
                <pt idx="175">
                  <v>67.40000000000001</v>
                </pt>
                <pt idx="176">
                  <v>65</v>
                </pt>
                <pt idx="177">
                  <v>56.6</v>
                </pt>
                <pt idx="178">
                  <v>52.8</v>
                </pt>
                <pt idx="179">
                  <v>49.7</v>
                </pt>
                <pt idx="180">
                  <v>54.8</v>
                </pt>
                <pt idx="181">
                  <v>61.8</v>
                </pt>
                <pt idx="182">
                  <v>65.90000000000001</v>
                </pt>
                <pt idx="183">
                  <v>61.7</v>
                </pt>
                <pt idx="184">
                  <v>57.9</v>
                </pt>
                <pt idx="185">
                  <v>56.9</v>
                </pt>
                <pt idx="186">
                  <v>57.4</v>
                </pt>
                <pt idx="187">
                  <v>61</v>
                </pt>
                <pt idx="188">
                  <v>56.2</v>
                </pt>
                <pt idx="189">
                  <v>52.7</v>
                </pt>
                <pt idx="190">
                  <v>52.6</v>
                </pt>
                <pt idx="191">
                  <v>54.8</v>
                </pt>
                <pt idx="192">
                  <v>56.9</v>
                </pt>
                <pt idx="193">
                  <v>53.2</v>
                </pt>
                <pt idx="194">
                  <v>57</v>
                </pt>
                <pt idx="195">
                  <v>56.7</v>
                </pt>
                <pt idx="196">
                  <v>52.9</v>
                </pt>
                <pt idx="197">
                  <v>56</v>
                </pt>
                <pt idx="198">
                  <v>58.1</v>
                </pt>
                <pt idx="199">
                  <v>56.9</v>
                </pt>
                <pt idx="200">
                  <v>58.4</v>
                </pt>
                <pt idx="201">
                  <v>60.5</v>
                </pt>
                <pt idx="202">
                  <v>58.7</v>
                </pt>
                <pt idx="203">
                  <v>59.3</v>
                </pt>
                <pt idx="204">
                  <v>59.1</v>
                </pt>
                <pt idx="205">
                  <v>57.5</v>
                </pt>
                <pt idx="206">
                  <v>55.3</v>
                </pt>
                <pt idx="207">
                  <v>52.3</v>
                </pt>
                <pt idx="208">
                  <v>54.3</v>
                </pt>
                <pt idx="209">
                  <v>50.3</v>
                </pt>
                <pt idx="210">
                  <v>47.1</v>
                </pt>
                <pt idx="211">
                  <v>50.7</v>
                </pt>
                <pt idx="212">
                  <v>53.3</v>
                </pt>
                <pt idx="213">
                  <v>50.2</v>
                </pt>
                <pt idx="214">
                  <v>54</v>
                </pt>
                <pt idx="215">
                  <v>52.3</v>
                </pt>
                <pt idx="216">
                  <v>52.8</v>
                </pt>
                <pt idx="217">
                  <v>50.9</v>
                </pt>
                <pt idx="218">
                  <v>48.7</v>
                </pt>
                <pt idx="219">
                  <v>48.4</v>
                </pt>
                <pt idx="220">
                  <v>49.1</v>
                </pt>
                <pt idx="221">
                  <v>50.1</v>
                </pt>
                <pt idx="222">
                  <v>47.3</v>
                </pt>
                <pt idx="223">
                  <v>45.6</v>
                </pt>
                <pt idx="224">
                  <v>50.4</v>
                </pt>
                <pt idx="225">
                  <v>53.6</v>
                </pt>
                <pt idx="226">
                  <v>55.5</v>
                </pt>
                <pt idx="227">
                  <v>55.7</v>
                </pt>
                <pt idx="228">
                  <v>52.7</v>
                </pt>
                <pt idx="229">
                  <v>52</v>
                </pt>
                <pt idx="230">
                  <v>53.4</v>
                </pt>
                <pt idx="231">
                  <v>54.9</v>
                </pt>
                <pt idx="232">
                  <v>55</v>
                </pt>
                <pt idx="233">
                  <v>55.4</v>
                </pt>
                <pt idx="234">
                  <v>57.5</v>
                </pt>
                <pt idx="235">
                  <v>57.1</v>
                </pt>
                <pt idx="236">
                  <v>54.3</v>
                </pt>
                <pt idx="237">
                  <v>58</v>
                </pt>
                <pt idx="238">
                  <v>50.1</v>
                </pt>
                <pt idx="239">
                  <v>53.3</v>
                </pt>
                <pt idx="240">
                  <v>56.4</v>
                </pt>
                <pt idx="241">
                  <v>58.1</v>
                </pt>
                <pt idx="242">
                  <v>65.90000000000001</v>
                </pt>
                <pt idx="243">
                  <v>61.5</v>
                </pt>
                <pt idx="244">
                  <v>60.1</v>
                </pt>
                <pt idx="245">
                  <v>59.9</v>
                </pt>
                <pt idx="246">
                  <v>61.9</v>
                </pt>
                <pt idx="247">
                  <v>61</v>
                </pt>
                <pt idx="248">
                  <v>61.5</v>
                </pt>
                <pt idx="249">
                  <v>61.8</v>
                </pt>
                <pt idx="250">
                  <v>64.3</v>
                </pt>
                <pt idx="251">
                  <v>60.7</v>
                </pt>
                <pt idx="252">
                  <v>63.4</v>
                </pt>
                <pt idx="253">
                  <v>62.8</v>
                </pt>
                <pt idx="254">
                  <v>64.2</v>
                </pt>
                <pt idx="255">
                  <v>61.7</v>
                </pt>
                <pt idx="256">
                  <v>64.3</v>
                </pt>
                <pt idx="257">
                  <v>57.6</v>
                </pt>
                <pt idx="258">
                  <v>59.4</v>
                </pt>
                <pt idx="259">
                  <v>54.4</v>
                </pt>
                <pt idx="260">
                  <v>58.7</v>
                </pt>
                <pt idx="261">
                  <v>55.7</v>
                </pt>
                <pt idx="262">
                  <v>55.4</v>
                </pt>
                <pt idx="263">
                  <v>58.9</v>
                </pt>
                <pt idx="264">
                  <v>56.5</v>
                </pt>
                <pt idx="265">
                  <v>58.2</v>
                </pt>
                <pt idx="266">
                  <v>60</v>
                </pt>
                <pt idx="267">
                  <v>56.6</v>
                </pt>
                <pt idx="268">
                  <v>58.5</v>
                </pt>
                <pt idx="269">
                  <v>58.5</v>
                </pt>
                <pt idx="270">
                  <v>55.5</v>
                </pt>
                <pt idx="271">
                  <v>50.8</v>
                </pt>
                <pt idx="272">
                  <v>50</v>
                </pt>
                <pt idx="273">
                  <v>55.1</v>
                </pt>
                <pt idx="274">
                  <v>55.6</v>
                </pt>
                <pt idx="275">
                  <v>62.4</v>
                </pt>
                <pt idx="276">
                  <v>57.6</v>
                </pt>
                <pt idx="277">
                  <v>64.2</v>
                </pt>
                <pt idx="278">
                  <v>59</v>
                </pt>
                <pt idx="279">
                  <v>63.9</v>
                </pt>
                <pt idx="280">
                  <v>66.09999999999999</v>
                </pt>
                <pt idx="281">
                  <v>64.8</v>
                </pt>
                <pt idx="282">
                  <v>64.2</v>
                </pt>
                <pt idx="283">
                  <v>71.8</v>
                </pt>
                <pt idx="284">
                  <v>74</v>
                </pt>
                <pt idx="285">
                  <v>76.8</v>
                </pt>
                <pt idx="286">
                  <v>80.59999999999999</v>
                </pt>
                <pt idx="287">
                  <v>79.5</v>
                </pt>
                <pt idx="288">
                  <v>82.3</v>
                </pt>
                <pt idx="289">
                  <v>75.40000000000001</v>
                </pt>
                <pt idx="290">
                  <v>77.5</v>
                </pt>
                <pt idx="291">
                  <v>82.90000000000001</v>
                </pt>
                <pt idx="292">
                  <v>82.3</v>
                </pt>
                <pt idx="293">
                  <v>82.5</v>
                </pt>
                <pt idx="294">
                  <v>82.3</v>
                </pt>
                <pt idx="295">
                  <v>83.09999999999999</v>
                </pt>
                <pt idx="296">
                  <v>83.8</v>
                </pt>
                <pt idx="297">
                  <v>84.59999999999999</v>
                </pt>
                <pt idx="298">
                  <v>82.09999999999999</v>
                </pt>
                <pt idx="299">
                  <v>80.09999999999999</v>
                </pt>
              </numCache>
            </numRef>
          </val>
          <smooth val="0"/>
        </ser>
        <dLbls>
          <showLegendKey val="0"/>
          <showVal val="0"/>
          <showCatName val="0"/>
          <showSerName val="0"/>
          <showPercent val="0"/>
          <showBubbleSize val="0"/>
        </dLbls>
        <smooth val="0"/>
        <axId val="946929536"/>
        <axId val="946929864"/>
      </lineChart>
      <dateAx>
        <axId val="946929536"/>
        <scaling>
          <orientation val="minMax"/>
          <min val="42005"/>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864"/>
        <crosses val="autoZero"/>
        <lblOffset val="100"/>
        <baseTimeUnit val="months"/>
      </dateAx>
      <valAx>
        <axId val="946929864"/>
        <scaling>
          <orientation val="minMax"/>
          <max val="90"/>
          <min val="4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536"/>
        <crosses val="autoZero"/>
        <crossBetween val="between"/>
      </valAx>
    </plotArea>
    <plotVisOnly val="1"/>
    <dispBlanksAs val="gap"/>
  </chart>
</chartSpace>
</file>

<file path=xl/charts/chart65.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Business Activity</a:t>
            </a:r>
          </a:p>
        </rich>
      </tx>
      <overlay val="0"/>
      <spPr>
        <a:noFill xmlns:a="http://schemas.openxmlformats.org/drawingml/2006/main"/>
        <a:ln xmlns:a="http://schemas.openxmlformats.org/drawingml/2006/main">
          <a:noFill/>
          <a:prstDash val="solid"/>
        </a:ln>
      </spPr>
    </title>
    <plotArea>
      <layout/>
      <lineChart>
        <grouping val="standard"/>
        <varyColors val="0"/>
        <ser>
          <idx val="4"/>
          <order val="0"/>
          <tx>
            <strRef>
              <f>Details!$F$5</f>
              <strCache>
                <ptCount val="1"/>
                <pt idx="0">
                  <v>Business Activity</v>
                </pt>
              </strCache>
            </strRef>
          </tx>
          <spPr>
            <a:ln xmlns:a="http://schemas.openxmlformats.org/drawingml/2006/main" w="28575" cap="rnd">
              <a:solidFill>
                <a:schemeClr val="accent5"/>
              </a:solidFill>
              <a:prstDash val="solid"/>
              <a:round/>
            </a:ln>
          </spPr>
          <marker>
            <symbol val="none"/>
            <spPr>
              <a:ln xmlns:a="http://schemas.openxmlformats.org/drawingml/2006/main">
                <a:prstDash val="solid"/>
              </a:ln>
            </spPr>
          </marker>
          <cat>
            <numRef>
              <f>Details!$A$6:$A$307</f>
              <numCache>
                <formatCode>m/d/yy</formatCode>
                <ptCount val="302"/>
                <pt idx="0">
                  <v>35612</v>
                </pt>
                <pt idx="1">
                  <v>35643</v>
                </pt>
                <pt idx="2">
                  <v>35674</v>
                </pt>
                <pt idx="3">
                  <v>35704</v>
                </pt>
                <pt idx="4">
                  <v>35735</v>
                </pt>
                <pt idx="5">
                  <v>35765</v>
                </pt>
                <pt idx="6">
                  <v>35796</v>
                </pt>
                <pt idx="7">
                  <v>35827</v>
                </pt>
                <pt idx="8">
                  <v>35855</v>
                </pt>
                <pt idx="9">
                  <v>35886</v>
                </pt>
                <pt idx="10">
                  <v>35916</v>
                </pt>
                <pt idx="11">
                  <v>35947</v>
                </pt>
                <pt idx="12">
                  <v>35977</v>
                </pt>
                <pt idx="13">
                  <v>36008</v>
                </pt>
                <pt idx="14">
                  <v>36039</v>
                </pt>
                <pt idx="15">
                  <v>36069</v>
                </pt>
                <pt idx="16">
                  <v>36100</v>
                </pt>
                <pt idx="17">
                  <v>36130</v>
                </pt>
                <pt idx="18">
                  <v>36161</v>
                </pt>
                <pt idx="19">
                  <v>36192</v>
                </pt>
                <pt idx="20">
                  <v>36220</v>
                </pt>
                <pt idx="21">
                  <v>36251</v>
                </pt>
                <pt idx="22">
                  <v>36281</v>
                </pt>
                <pt idx="23">
                  <v>36312</v>
                </pt>
                <pt idx="24">
                  <v>36342</v>
                </pt>
                <pt idx="25">
                  <v>36373</v>
                </pt>
                <pt idx="26">
                  <v>36404</v>
                </pt>
                <pt idx="27">
                  <v>36434</v>
                </pt>
                <pt idx="28">
                  <v>36465</v>
                </pt>
                <pt idx="29">
                  <v>36495</v>
                </pt>
                <pt idx="30">
                  <v>36526</v>
                </pt>
                <pt idx="31">
                  <v>36557</v>
                </pt>
                <pt idx="32">
                  <v>36586</v>
                </pt>
                <pt idx="33">
                  <v>36617</v>
                </pt>
                <pt idx="34">
                  <v>36647</v>
                </pt>
                <pt idx="35">
                  <v>36678</v>
                </pt>
                <pt idx="36">
                  <v>36708</v>
                </pt>
                <pt idx="37">
                  <v>36739</v>
                </pt>
                <pt idx="38">
                  <v>36770</v>
                </pt>
                <pt idx="39">
                  <v>36800</v>
                </pt>
                <pt idx="40">
                  <v>36831</v>
                </pt>
                <pt idx="41">
                  <v>36861</v>
                </pt>
                <pt idx="42">
                  <v>36892</v>
                </pt>
                <pt idx="43">
                  <v>36923</v>
                </pt>
                <pt idx="44">
                  <v>36951</v>
                </pt>
                <pt idx="45">
                  <v>36982</v>
                </pt>
                <pt idx="46">
                  <v>37012</v>
                </pt>
                <pt idx="47">
                  <v>37043</v>
                </pt>
                <pt idx="48">
                  <v>37073</v>
                </pt>
                <pt idx="49">
                  <v>37104</v>
                </pt>
                <pt idx="50">
                  <v>37135</v>
                </pt>
                <pt idx="51">
                  <v>37165</v>
                </pt>
                <pt idx="52">
                  <v>37196</v>
                </pt>
                <pt idx="53">
                  <v>37226</v>
                </pt>
                <pt idx="54">
                  <v>37257</v>
                </pt>
                <pt idx="55">
                  <v>37288</v>
                </pt>
                <pt idx="56">
                  <v>37316</v>
                </pt>
                <pt idx="57">
                  <v>37347</v>
                </pt>
                <pt idx="58">
                  <v>37377</v>
                </pt>
                <pt idx="59">
                  <v>37408</v>
                </pt>
                <pt idx="60">
                  <v>37438</v>
                </pt>
                <pt idx="61">
                  <v>37469</v>
                </pt>
                <pt idx="62">
                  <v>37500</v>
                </pt>
                <pt idx="63">
                  <v>37530</v>
                </pt>
                <pt idx="64">
                  <v>37561</v>
                </pt>
                <pt idx="65">
                  <v>37591</v>
                </pt>
                <pt idx="66">
                  <v>37622</v>
                </pt>
                <pt idx="67">
                  <v>37653</v>
                </pt>
                <pt idx="68">
                  <v>37681</v>
                </pt>
                <pt idx="69">
                  <v>37712</v>
                </pt>
                <pt idx="70">
                  <v>37742</v>
                </pt>
                <pt idx="71">
                  <v>37773</v>
                </pt>
                <pt idx="72">
                  <v>37803</v>
                </pt>
                <pt idx="73">
                  <v>37834</v>
                </pt>
                <pt idx="74">
                  <v>37865</v>
                </pt>
                <pt idx="75">
                  <v>37895</v>
                </pt>
                <pt idx="76">
                  <v>37926</v>
                </pt>
                <pt idx="77">
                  <v>37956</v>
                </pt>
                <pt idx="78">
                  <v>37987</v>
                </pt>
                <pt idx="79">
                  <v>38018</v>
                </pt>
                <pt idx="80">
                  <v>38047</v>
                </pt>
                <pt idx="81">
                  <v>38078</v>
                </pt>
                <pt idx="82">
                  <v>38108</v>
                </pt>
                <pt idx="83">
                  <v>38139</v>
                </pt>
                <pt idx="84">
                  <v>38169</v>
                </pt>
                <pt idx="85">
                  <v>38200</v>
                </pt>
                <pt idx="86">
                  <v>38231</v>
                </pt>
                <pt idx="87">
                  <v>38261</v>
                </pt>
                <pt idx="88">
                  <v>38292</v>
                </pt>
                <pt idx="89">
                  <v>38322</v>
                </pt>
                <pt idx="90">
                  <v>38353</v>
                </pt>
                <pt idx="91">
                  <v>38384</v>
                </pt>
                <pt idx="92">
                  <v>38412</v>
                </pt>
                <pt idx="93">
                  <v>38443</v>
                </pt>
                <pt idx="94">
                  <v>38473</v>
                </pt>
                <pt idx="95">
                  <v>38504</v>
                </pt>
                <pt idx="96">
                  <v>38534</v>
                </pt>
                <pt idx="97">
                  <v>38565</v>
                </pt>
                <pt idx="98">
                  <v>38596</v>
                </pt>
                <pt idx="99">
                  <v>38626</v>
                </pt>
                <pt idx="100">
                  <v>38657</v>
                </pt>
                <pt idx="101">
                  <v>38687</v>
                </pt>
                <pt idx="102">
                  <v>38718</v>
                </pt>
                <pt idx="103">
                  <v>38749</v>
                </pt>
                <pt idx="104">
                  <v>38777</v>
                </pt>
                <pt idx="105">
                  <v>38808</v>
                </pt>
                <pt idx="106">
                  <v>38838</v>
                </pt>
                <pt idx="107">
                  <v>38869</v>
                </pt>
                <pt idx="108">
                  <v>38899</v>
                </pt>
                <pt idx="109">
                  <v>38930</v>
                </pt>
                <pt idx="110">
                  <v>38961</v>
                </pt>
                <pt idx="111">
                  <v>38991</v>
                </pt>
                <pt idx="112">
                  <v>39022</v>
                </pt>
                <pt idx="113">
                  <v>39052</v>
                </pt>
                <pt idx="114">
                  <v>39083</v>
                </pt>
                <pt idx="115">
                  <v>39114</v>
                </pt>
                <pt idx="116">
                  <v>39142</v>
                </pt>
                <pt idx="117">
                  <v>39173</v>
                </pt>
                <pt idx="118">
                  <v>39203</v>
                </pt>
                <pt idx="119">
                  <v>39234</v>
                </pt>
                <pt idx="120">
                  <v>39264</v>
                </pt>
                <pt idx="121">
                  <v>39295</v>
                </pt>
                <pt idx="122">
                  <v>39326</v>
                </pt>
                <pt idx="123">
                  <v>39356</v>
                </pt>
                <pt idx="124">
                  <v>39387</v>
                </pt>
                <pt idx="125">
                  <v>39417</v>
                </pt>
                <pt idx="126">
                  <v>39448</v>
                </pt>
                <pt idx="127">
                  <v>39479</v>
                </pt>
                <pt idx="128">
                  <v>39508</v>
                </pt>
                <pt idx="129">
                  <v>39539</v>
                </pt>
                <pt idx="130">
                  <v>39569</v>
                </pt>
                <pt idx="131">
                  <v>39600</v>
                </pt>
                <pt idx="132">
                  <v>39630</v>
                </pt>
                <pt idx="133">
                  <v>39661</v>
                </pt>
                <pt idx="134">
                  <v>39692</v>
                </pt>
                <pt idx="135">
                  <v>39722</v>
                </pt>
                <pt idx="136">
                  <v>39753</v>
                </pt>
                <pt idx="137">
                  <v>39783</v>
                </pt>
                <pt idx="138">
                  <v>39814</v>
                </pt>
                <pt idx="139">
                  <v>39845</v>
                </pt>
                <pt idx="140">
                  <v>39873</v>
                </pt>
                <pt idx="141">
                  <v>39904</v>
                </pt>
                <pt idx="142">
                  <v>39934</v>
                </pt>
                <pt idx="143">
                  <v>39965</v>
                </pt>
                <pt idx="144">
                  <v>39995</v>
                </pt>
                <pt idx="145">
                  <v>40026</v>
                </pt>
                <pt idx="146">
                  <v>40057</v>
                </pt>
                <pt idx="147">
                  <v>40087</v>
                </pt>
                <pt idx="148">
                  <v>40118</v>
                </pt>
                <pt idx="149">
                  <v>40148</v>
                </pt>
                <pt idx="150">
                  <v>40179</v>
                </pt>
                <pt idx="151">
                  <v>40210</v>
                </pt>
                <pt idx="152">
                  <v>40238</v>
                </pt>
                <pt idx="153">
                  <v>40269</v>
                </pt>
                <pt idx="154">
                  <v>40299</v>
                </pt>
                <pt idx="155">
                  <v>40330</v>
                </pt>
                <pt idx="156">
                  <v>40360</v>
                </pt>
                <pt idx="157">
                  <v>40391</v>
                </pt>
                <pt idx="158">
                  <v>40422</v>
                </pt>
                <pt idx="159">
                  <v>40452</v>
                </pt>
                <pt idx="160">
                  <v>40483</v>
                </pt>
                <pt idx="161">
                  <v>40513</v>
                </pt>
                <pt idx="162">
                  <v>40544</v>
                </pt>
                <pt idx="163">
                  <v>40575</v>
                </pt>
                <pt idx="164">
                  <v>40603</v>
                </pt>
                <pt idx="165">
                  <v>40634</v>
                </pt>
                <pt idx="166">
                  <v>40664</v>
                </pt>
                <pt idx="167">
                  <v>40695</v>
                </pt>
                <pt idx="168">
                  <v>40725</v>
                </pt>
                <pt idx="169">
                  <v>40756</v>
                </pt>
                <pt idx="170">
                  <v>40787</v>
                </pt>
                <pt idx="171">
                  <v>40817</v>
                </pt>
                <pt idx="172">
                  <v>40848</v>
                </pt>
                <pt idx="173">
                  <v>40878</v>
                </pt>
                <pt idx="174">
                  <v>40909</v>
                </pt>
                <pt idx="175">
                  <v>40940</v>
                </pt>
                <pt idx="176">
                  <v>40969</v>
                </pt>
                <pt idx="177">
                  <v>41000</v>
                </pt>
                <pt idx="178">
                  <v>41030</v>
                </pt>
                <pt idx="179">
                  <v>41061</v>
                </pt>
                <pt idx="180">
                  <v>41091</v>
                </pt>
                <pt idx="181">
                  <v>41122</v>
                </pt>
                <pt idx="182">
                  <v>41153</v>
                </pt>
                <pt idx="183">
                  <v>41183</v>
                </pt>
                <pt idx="184">
                  <v>41214</v>
                </pt>
                <pt idx="185">
                  <v>41244</v>
                </pt>
                <pt idx="186">
                  <v>41275</v>
                </pt>
                <pt idx="187">
                  <v>41306</v>
                </pt>
                <pt idx="188">
                  <v>41334</v>
                </pt>
                <pt idx="189">
                  <v>41365</v>
                </pt>
                <pt idx="190">
                  <v>41395</v>
                </pt>
                <pt idx="191">
                  <v>41426</v>
                </pt>
                <pt idx="192">
                  <v>41456</v>
                </pt>
                <pt idx="193">
                  <v>41487</v>
                </pt>
                <pt idx="194">
                  <v>41518</v>
                </pt>
                <pt idx="195">
                  <v>41548</v>
                </pt>
                <pt idx="196">
                  <v>41579</v>
                </pt>
                <pt idx="197">
                  <v>41609</v>
                </pt>
                <pt idx="198">
                  <v>41640</v>
                </pt>
                <pt idx="199">
                  <v>41671</v>
                </pt>
                <pt idx="200">
                  <v>41699</v>
                </pt>
                <pt idx="201">
                  <v>41730</v>
                </pt>
                <pt idx="202">
                  <v>41760</v>
                </pt>
                <pt idx="203">
                  <v>41791</v>
                </pt>
                <pt idx="204">
                  <v>41821</v>
                </pt>
                <pt idx="205">
                  <v>41852</v>
                </pt>
                <pt idx="206">
                  <v>41883</v>
                </pt>
                <pt idx="207">
                  <v>41913</v>
                </pt>
                <pt idx="208">
                  <v>41944</v>
                </pt>
                <pt idx="209">
                  <v>41974</v>
                </pt>
                <pt idx="210">
                  <v>42005</v>
                </pt>
                <pt idx="211">
                  <v>42036</v>
                </pt>
                <pt idx="212">
                  <v>42064</v>
                </pt>
                <pt idx="213">
                  <v>42095</v>
                </pt>
                <pt idx="214">
                  <v>42125</v>
                </pt>
                <pt idx="215">
                  <v>42156</v>
                </pt>
                <pt idx="216">
                  <v>42186</v>
                </pt>
                <pt idx="217">
                  <v>42217</v>
                </pt>
                <pt idx="218">
                  <v>42248</v>
                </pt>
                <pt idx="219">
                  <v>42278</v>
                </pt>
                <pt idx="220">
                  <v>42309</v>
                </pt>
                <pt idx="221">
                  <v>42339</v>
                </pt>
                <pt idx="222">
                  <v>42370</v>
                </pt>
                <pt idx="223">
                  <v>42401</v>
                </pt>
                <pt idx="224">
                  <v>42430</v>
                </pt>
                <pt idx="225">
                  <v>42461</v>
                </pt>
                <pt idx="226">
                  <v>42491</v>
                </pt>
                <pt idx="227">
                  <v>42522</v>
                </pt>
                <pt idx="228">
                  <v>42552</v>
                </pt>
                <pt idx="229">
                  <v>42583</v>
                </pt>
                <pt idx="230">
                  <v>42614</v>
                </pt>
                <pt idx="231">
                  <v>42644</v>
                </pt>
                <pt idx="232">
                  <v>42675</v>
                </pt>
                <pt idx="233">
                  <v>42705</v>
                </pt>
                <pt idx="234">
                  <v>42736</v>
                </pt>
                <pt idx="235">
                  <v>42767</v>
                </pt>
                <pt idx="236">
                  <v>42795</v>
                </pt>
                <pt idx="237">
                  <v>42826</v>
                </pt>
                <pt idx="238">
                  <v>42856</v>
                </pt>
                <pt idx="239">
                  <v>42887</v>
                </pt>
                <pt idx="240">
                  <v>42917</v>
                </pt>
                <pt idx="241">
                  <v>42948</v>
                </pt>
                <pt idx="242">
                  <v>42979</v>
                </pt>
                <pt idx="243">
                  <v>43009</v>
                </pt>
                <pt idx="244">
                  <v>43040</v>
                </pt>
                <pt idx="245">
                  <v>43070</v>
                </pt>
                <pt idx="246">
                  <v>43101</v>
                </pt>
                <pt idx="247">
                  <v>43132</v>
                </pt>
                <pt idx="248">
                  <v>43160</v>
                </pt>
                <pt idx="249">
                  <v>43191</v>
                </pt>
                <pt idx="250">
                  <v>43221</v>
                </pt>
                <pt idx="251">
                  <v>43252</v>
                </pt>
                <pt idx="252">
                  <v>43282</v>
                </pt>
                <pt idx="253">
                  <v>43313</v>
                </pt>
                <pt idx="254">
                  <v>43344</v>
                </pt>
                <pt idx="255">
                  <v>43374</v>
                </pt>
                <pt idx="256">
                  <v>43405</v>
                </pt>
                <pt idx="257">
                  <v>43435</v>
                </pt>
                <pt idx="258">
                  <v>43466</v>
                </pt>
                <pt idx="259">
                  <v>43497</v>
                </pt>
                <pt idx="260">
                  <v>43525</v>
                </pt>
                <pt idx="261">
                  <v>43556</v>
                </pt>
                <pt idx="262">
                  <v>43586</v>
                </pt>
                <pt idx="263">
                  <v>43617</v>
                </pt>
                <pt idx="264">
                  <v>43647</v>
                </pt>
                <pt idx="265">
                  <v>43678</v>
                </pt>
                <pt idx="266">
                  <v>43709</v>
                </pt>
                <pt idx="267">
                  <v>43739</v>
                </pt>
                <pt idx="268">
                  <v>43770</v>
                </pt>
                <pt idx="269">
                  <v>43800</v>
                </pt>
                <pt idx="270">
                  <v>43831</v>
                </pt>
                <pt idx="271">
                  <v>43862</v>
                </pt>
                <pt idx="272">
                  <v>43891</v>
                </pt>
                <pt idx="273">
                  <v>43922</v>
                </pt>
                <pt idx="274">
                  <v>43952</v>
                </pt>
                <pt idx="275">
                  <v>43983</v>
                </pt>
                <pt idx="276">
                  <v>44013</v>
                </pt>
                <pt idx="277">
                  <v>44044</v>
                </pt>
                <pt idx="278">
                  <v>44075</v>
                </pt>
                <pt idx="279">
                  <v>44105</v>
                </pt>
                <pt idx="280">
                  <v>44136</v>
                </pt>
                <pt idx="281">
                  <v>44166</v>
                </pt>
                <pt idx="282">
                  <v>44197</v>
                </pt>
                <pt idx="283">
                  <v>44228</v>
                </pt>
                <pt idx="284">
                  <v>44256</v>
                </pt>
                <pt idx="285">
                  <v>44287</v>
                </pt>
                <pt idx="286">
                  <v>44317</v>
                </pt>
                <pt idx="287">
                  <v>44348</v>
                </pt>
                <pt idx="288">
                  <v>44378</v>
                </pt>
                <pt idx="289">
                  <v>44409</v>
                </pt>
                <pt idx="290">
                  <v>44440</v>
                </pt>
                <pt idx="291">
                  <v>44470</v>
                </pt>
                <pt idx="292">
                  <v>44501</v>
                </pt>
                <pt idx="293">
                  <v>44531</v>
                </pt>
                <pt idx="294">
                  <v>44562</v>
                </pt>
                <pt idx="295">
                  <v>44593</v>
                </pt>
                <pt idx="296">
                  <v>44621</v>
                </pt>
                <pt idx="297">
                  <v>44652</v>
                </pt>
                <pt idx="298">
                  <v>44682</v>
                </pt>
                <pt idx="299">
                  <v>44713</v>
                </pt>
              </numCache>
            </numRef>
          </cat>
          <val>
            <numRef>
              <f>Details!$F$6:$F$307</f>
              <numCache>
                <formatCode>General</formatCode>
                <ptCount val="302"/>
                <pt idx="0">
                  <v>58.6</v>
                </pt>
                <pt idx="1">
                  <v>62.6</v>
                </pt>
                <pt idx="2">
                  <v>59.1</v>
                </pt>
                <pt idx="3">
                  <v>62.6</v>
                </pt>
                <pt idx="4">
                  <v>61.9</v>
                </pt>
                <pt idx="5">
                  <v>56.5</v>
                </pt>
                <pt idx="6">
                  <v>61.4</v>
                </pt>
                <pt idx="7">
                  <v>58.9</v>
                </pt>
                <pt idx="8">
                  <v>57</v>
                </pt>
                <pt idx="9">
                  <v>58.6</v>
                </pt>
                <pt idx="10">
                  <v>61.2</v>
                </pt>
                <pt idx="11">
                  <v>58.7</v>
                </pt>
                <pt idx="12">
                  <v>58.6</v>
                </pt>
                <pt idx="13">
                  <v>52.2</v>
                </pt>
                <pt idx="14">
                  <v>57.4</v>
                </pt>
                <pt idx="15">
                  <v>54</v>
                </pt>
                <pt idx="16">
                  <v>54.9</v>
                </pt>
                <pt idx="17">
                  <v>54.2</v>
                </pt>
                <pt idx="18">
                  <v>58.8</v>
                </pt>
                <pt idx="19">
                  <v>57.3</v>
                </pt>
                <pt idx="20">
                  <v>59.5</v>
                </pt>
                <pt idx="21">
                  <v>59.8</v>
                </pt>
                <pt idx="22">
                  <v>57.7</v>
                </pt>
                <pt idx="23">
                  <v>57.9</v>
                </pt>
                <pt idx="24">
                  <v>60.7</v>
                </pt>
                <pt idx="25">
                  <v>60.3</v>
                </pt>
                <pt idx="26">
                  <v>59.1</v>
                </pt>
                <pt idx="27">
                  <v>60.7</v>
                </pt>
                <pt idx="28">
                  <v>57</v>
                </pt>
                <pt idx="29">
                  <v>60.4</v>
                </pt>
                <pt idx="30">
                  <v>57.7</v>
                </pt>
                <pt idx="31">
                  <v>58.2</v>
                </pt>
                <pt idx="32">
                  <v>60.5</v>
                </pt>
                <pt idx="33">
                  <v>61.1</v>
                </pt>
                <pt idx="34">
                  <v>59.8</v>
                </pt>
                <pt idx="35">
                  <v>60.3</v>
                </pt>
                <pt idx="36">
                  <v>56.5</v>
                </pt>
                <pt idx="37">
                  <v>61.3</v>
                </pt>
                <pt idx="38">
                  <v>59.8</v>
                </pt>
                <pt idx="39">
                  <v>58.6</v>
                </pt>
                <pt idx="40">
                  <v>59.7</v>
                </pt>
                <pt idx="41">
                  <v>57.5</v>
                </pt>
                <pt idx="42">
                  <v>52.5</v>
                </pt>
                <pt idx="43">
                  <v>51.5</v>
                </pt>
                <pt idx="44">
                  <v>50</v>
                </pt>
                <pt idx="45">
                  <v>48.3</v>
                </pt>
                <pt idx="46">
                  <v>47.9</v>
                </pt>
                <pt idx="47">
                  <v>51.6</v>
                </pt>
                <pt idx="48">
                  <v>48.1</v>
                </pt>
                <pt idx="49">
                  <v>47.4</v>
                </pt>
                <pt idx="50">
                  <v>49.7</v>
                </pt>
                <pt idx="51">
                  <v>40.5</v>
                </pt>
                <pt idx="52">
                  <v>49.4</v>
                </pt>
                <pt idx="53">
                  <v>50.7</v>
                </pt>
                <pt idx="54">
                  <v>49.8</v>
                </pt>
                <pt idx="55">
                  <v>57.5</v>
                </pt>
                <pt idx="56">
                  <v>57.1</v>
                </pt>
                <pt idx="57">
                  <v>56.3</v>
                </pt>
                <pt idx="58">
                  <v>60.5</v>
                </pt>
                <pt idx="59">
                  <v>56.1</v>
                </pt>
                <pt idx="60">
                  <v>52.1</v>
                </pt>
                <pt idx="61">
                  <v>51.9</v>
                </pt>
                <pt idx="62">
                  <v>54.9</v>
                </pt>
                <pt idx="63">
                  <v>53.1</v>
                </pt>
                <pt idx="64">
                  <v>56.8</v>
                </pt>
                <pt idx="65">
                  <v>55.5</v>
                </pt>
                <pt idx="66">
                  <v>56.2</v>
                </pt>
                <pt idx="67">
                  <v>55.6</v>
                </pt>
                <pt idx="68">
                  <v>46.3</v>
                </pt>
                <pt idx="69">
                  <v>50.7</v>
                </pt>
                <pt idx="70">
                  <v>54.6</v>
                </pt>
                <pt idx="71">
                  <v>59.2</v>
                </pt>
                <pt idx="72">
                  <v>62.7</v>
                </pt>
                <pt idx="73">
                  <v>65.09999999999999</v>
                </pt>
                <pt idx="74">
                  <v>63.8</v>
                </pt>
                <pt idx="75">
                  <v>64.40000000000001</v>
                </pt>
                <pt idx="76">
                  <v>61.1</v>
                </pt>
                <pt idx="77">
                  <v>60</v>
                </pt>
                <pt idx="78">
                  <v>67.7</v>
                </pt>
                <pt idx="79">
                  <v>62.5</v>
                </pt>
                <pt idx="80">
                  <v>62.3</v>
                </pt>
                <pt idx="81">
                  <v>64</v>
                </pt>
                <pt idx="82">
                  <v>62.6</v>
                </pt>
                <pt idx="83">
                  <v>59.2</v>
                </pt>
                <pt idx="84">
                  <v>63.2</v>
                </pt>
                <pt idx="85">
                  <v>59.7</v>
                </pt>
                <pt idx="86">
                  <v>60</v>
                </pt>
                <pt idx="87">
                  <v>61</v>
                </pt>
                <pt idx="88">
                  <v>62.8</v>
                </pt>
                <pt idx="89">
                  <v>65</v>
                </pt>
                <pt idx="90">
                  <v>62.5</v>
                </pt>
                <pt idx="91">
                  <v>61.9</v>
                </pt>
                <pt idx="92">
                  <v>61.3</v>
                </pt>
                <pt idx="93">
                  <v>58.6</v>
                </pt>
                <pt idx="94">
                  <v>57.5</v>
                </pt>
                <pt idx="95">
                  <v>60.7</v>
                </pt>
                <pt idx="96">
                  <v>61.3</v>
                </pt>
                <pt idx="97">
                  <v>64.8</v>
                </pt>
                <pt idx="98">
                  <v>55.2</v>
                </pt>
                <pt idx="99">
                  <v>59.2</v>
                </pt>
                <pt idx="100">
                  <v>59.2</v>
                </pt>
                <pt idx="101">
                  <v>60.1</v>
                </pt>
                <pt idx="102">
                  <v>58.6</v>
                </pt>
                <pt idx="103">
                  <v>61.8</v>
                </pt>
                <pt idx="104">
                  <v>60</v>
                </pt>
                <pt idx="105">
                  <v>61.3</v>
                </pt>
                <pt idx="106">
                  <v>58.1</v>
                </pt>
                <pt idx="107">
                  <v>56.4</v>
                </pt>
                <pt idx="108">
                  <v>56.3</v>
                </pt>
                <pt idx="109">
                  <v>56.7</v>
                </pt>
                <pt idx="110">
                  <v>54.4</v>
                </pt>
                <pt idx="111">
                  <v>56.9</v>
                </pt>
                <pt idx="112">
                  <v>59.2</v>
                </pt>
                <pt idx="113">
                  <v>56.1</v>
                </pt>
                <pt idx="114">
                  <v>58.3</v>
                </pt>
                <pt idx="115">
                  <v>56</v>
                </pt>
                <pt idx="116">
                  <v>52.8</v>
                </pt>
                <pt idx="117">
                  <v>56.1</v>
                </pt>
                <pt idx="118">
                  <v>58.1</v>
                </pt>
                <pt idx="119">
                  <v>60.1</v>
                </pt>
                <pt idx="120">
                  <v>57.1</v>
                </pt>
                <pt idx="121">
                  <v>55.7</v>
                </pt>
                <pt idx="122">
                  <v>54.2</v>
                </pt>
                <pt idx="123">
                  <v>55.1</v>
                </pt>
                <pt idx="124">
                  <v>55.7</v>
                </pt>
                <pt idx="125">
                  <v>53.2</v>
                </pt>
                <pt idx="126">
                  <v>41.9</v>
                </pt>
                <pt idx="127">
                  <v>52.2</v>
                </pt>
                <pt idx="128">
                  <v>51.7</v>
                </pt>
                <pt idx="129">
                  <v>51.1</v>
                </pt>
                <pt idx="130">
                  <v>53.3</v>
                </pt>
                <pt idx="131">
                  <v>50.2</v>
                </pt>
                <pt idx="132">
                  <v>51</v>
                </pt>
                <pt idx="133">
                  <v>51.1</v>
                </pt>
                <pt idx="134">
                  <v>50.4</v>
                </pt>
                <pt idx="135">
                  <v>43.8</v>
                </pt>
                <pt idx="136">
                  <v>34.2</v>
                </pt>
                <pt idx="137">
                  <v>38.3</v>
                </pt>
                <pt idx="138">
                  <v>44.1</v>
                </pt>
                <pt idx="139">
                  <v>40.6</v>
                </pt>
                <pt idx="140">
                  <v>42.8</v>
                </pt>
                <pt idx="141">
                  <v>45</v>
                </pt>
                <pt idx="142">
                  <v>43.1</v>
                </pt>
                <pt idx="143">
                  <v>50.1</v>
                </pt>
                <pt idx="144">
                  <v>47</v>
                </pt>
                <pt idx="145">
                  <v>52.1</v>
                </pt>
                <pt idx="146">
                  <v>53.8</v>
                </pt>
                <pt idx="147">
                  <v>55</v>
                </pt>
                <pt idx="148">
                  <v>50.9</v>
                </pt>
                <pt idx="149">
                  <v>53</v>
                </pt>
                <pt idx="150">
                  <v>51.5</v>
                </pt>
                <pt idx="151">
                  <v>53</v>
                </pt>
                <pt idx="152">
                  <v>57.7</v>
                </pt>
                <pt idx="153">
                  <v>59.8</v>
                </pt>
                <pt idx="154">
                  <v>61.3</v>
                </pt>
                <pt idx="155">
                  <v>59.4</v>
                </pt>
                <pt idx="156">
                  <v>57.4</v>
                </pt>
                <pt idx="157">
                  <v>55.8</v>
                </pt>
                <pt idx="158">
                  <v>53.3</v>
                </pt>
                <pt idx="159">
                  <v>59.7</v>
                </pt>
                <pt idx="160">
                  <v>59.1</v>
                </pt>
                <pt idx="161">
                  <v>62.2</v>
                </pt>
                <pt idx="162">
                  <v>61.6</v>
                </pt>
                <pt idx="163">
                  <v>63.3</v>
                </pt>
                <pt idx="164">
                  <v>58.2</v>
                </pt>
                <pt idx="165">
                  <v>56.9</v>
                </pt>
                <pt idx="166">
                  <v>55</v>
                </pt>
                <pt idx="167">
                  <v>55.7</v>
                </pt>
                <pt idx="168">
                  <v>56.6</v>
                </pt>
                <pt idx="169">
                  <v>56.5</v>
                </pt>
                <pt idx="170">
                  <v>56.8</v>
                </pt>
                <pt idx="171">
                  <v>53.9</v>
                </pt>
                <pt idx="172">
                  <v>56.1</v>
                </pt>
                <pt idx="173">
                  <v>55.6</v>
                </pt>
                <pt idx="174">
                  <v>58.7</v>
                </pt>
                <pt idx="175">
                  <v>59.9</v>
                </pt>
                <pt idx="176">
                  <v>58.5</v>
                </pt>
                <pt idx="177">
                  <v>56</v>
                </pt>
                <pt idx="178">
                  <v>56.4</v>
                </pt>
                <pt idx="179">
                  <v>53.6</v>
                </pt>
                <pt idx="180">
                  <v>56.2</v>
                </pt>
                <pt idx="181">
                  <v>55.3</v>
                </pt>
                <pt idx="182">
                  <v>60.2</v>
                </pt>
                <pt idx="183">
                  <v>56.1</v>
                </pt>
                <pt idx="184">
                  <v>60.9</v>
                </pt>
                <pt idx="185">
                  <v>60</v>
                </pt>
                <pt idx="186">
                  <v>56.4</v>
                </pt>
                <pt idx="187">
                  <v>56.3</v>
                </pt>
                <pt idx="188">
                  <v>56.6</v>
                </pt>
                <pt idx="189">
                  <v>55.9</v>
                </pt>
                <pt idx="190">
                  <v>57</v>
                </pt>
                <pt idx="191">
                  <v>53.3</v>
                </pt>
                <pt idx="192">
                  <v>59.5</v>
                </pt>
                <pt idx="193">
                  <v>61</v>
                </pt>
                <pt idx="194">
                  <v>55.8</v>
                </pt>
                <pt idx="195">
                  <v>58.9</v>
                </pt>
                <pt idx="196">
                  <v>55.3</v>
                </pt>
                <pt idx="197">
                  <v>54.3</v>
                </pt>
                <pt idx="198">
                  <v>56.3</v>
                </pt>
                <pt idx="199">
                  <v>54.6</v>
                </pt>
                <pt idx="200">
                  <v>53.4</v>
                </pt>
                <pt idx="201">
                  <v>60.9</v>
                </pt>
                <pt idx="202">
                  <v>62.1</v>
                </pt>
                <pt idx="203">
                  <v>57.5</v>
                </pt>
                <pt idx="204">
                  <v>62.4</v>
                </pt>
                <pt idx="205">
                  <v>65</v>
                </pt>
                <pt idx="206">
                  <v>62.9</v>
                </pt>
                <pt idx="207">
                  <v>60</v>
                </pt>
                <pt idx="208">
                  <v>64.40000000000001</v>
                </pt>
                <pt idx="209">
                  <v>57.2</v>
                </pt>
                <pt idx="210">
                  <v>61.5</v>
                </pt>
                <pt idx="211">
                  <v>59.4</v>
                </pt>
                <pt idx="212">
                  <v>57.5</v>
                </pt>
                <pt idx="213">
                  <v>61.6</v>
                </pt>
                <pt idx="214">
                  <v>59.5</v>
                </pt>
                <pt idx="215">
                  <v>61.5</v>
                </pt>
                <pt idx="216">
                  <v>64.90000000000001</v>
                </pt>
                <pt idx="217">
                  <v>63.9</v>
                </pt>
                <pt idx="218">
                  <v>60.2</v>
                </pt>
                <pt idx="219">
                  <v>63</v>
                </pt>
                <pt idx="220">
                  <v>58.2</v>
                </pt>
                <pt idx="221">
                  <v>58.7</v>
                </pt>
                <pt idx="222">
                  <v>53.9</v>
                </pt>
                <pt idx="223">
                  <v>57.8</v>
                </pt>
                <pt idx="224">
                  <v>59.8</v>
                </pt>
                <pt idx="225">
                  <v>58.8</v>
                </pt>
                <pt idx="226">
                  <v>55.1</v>
                </pt>
                <pt idx="227">
                  <v>59.5</v>
                </pt>
                <pt idx="228">
                  <v>59.3</v>
                </pt>
                <pt idx="229">
                  <v>51.8</v>
                </pt>
                <pt idx="230">
                  <v>60.3</v>
                </pt>
                <pt idx="231">
                  <v>57.7</v>
                </pt>
                <pt idx="232">
                  <v>61.7</v>
                </pt>
                <pt idx="233">
                  <v>61.4</v>
                </pt>
                <pt idx="234">
                  <v>60.3</v>
                </pt>
                <pt idx="235">
                  <v>63.6</v>
                </pt>
                <pt idx="236">
                  <v>58.9</v>
                </pt>
                <pt idx="237">
                  <v>62.4</v>
                </pt>
                <pt idx="238">
                  <v>60.7</v>
                </pt>
                <pt idx="239">
                  <v>60.8</v>
                </pt>
                <pt idx="240">
                  <v>55.9</v>
                </pt>
                <pt idx="241">
                  <v>57.5</v>
                </pt>
                <pt idx="242">
                  <v>61.3</v>
                </pt>
                <pt idx="243">
                  <v>62.2</v>
                </pt>
                <pt idx="244">
                  <v>61.4</v>
                </pt>
                <pt idx="245">
                  <v>57.3</v>
                </pt>
                <pt idx="246">
                  <v>59.8</v>
                </pt>
                <pt idx="247">
                  <v>62.8</v>
                </pt>
                <pt idx="248">
                  <v>60.6</v>
                </pt>
                <pt idx="249">
                  <v>59.1</v>
                </pt>
                <pt idx="250">
                  <v>61.3</v>
                </pt>
                <pt idx="251">
                  <v>63.9</v>
                </pt>
                <pt idx="252">
                  <v>56.5</v>
                </pt>
                <pt idx="253">
                  <v>60.7</v>
                </pt>
                <pt idx="254">
                  <v>65.2</v>
                </pt>
                <pt idx="255">
                  <v>62.5</v>
                </pt>
                <pt idx="256">
                  <v>65.2</v>
                </pt>
                <pt idx="257">
                  <v>59.9</v>
                </pt>
                <pt idx="258">
                  <v>59.7</v>
                </pt>
                <pt idx="259">
                  <v>64.7</v>
                </pt>
                <pt idx="260">
                  <v>57.4</v>
                </pt>
                <pt idx="261">
                  <v>59.5</v>
                </pt>
                <pt idx="262">
                  <v>61.2</v>
                </pt>
                <pt idx="263">
                  <v>58.2</v>
                </pt>
                <pt idx="264">
                  <v>53.1</v>
                </pt>
                <pt idx="265">
                  <v>61.5</v>
                </pt>
                <pt idx="266">
                  <v>55.2</v>
                </pt>
                <pt idx="267">
                  <v>57</v>
                </pt>
                <pt idx="268">
                  <v>51.6</v>
                </pt>
                <pt idx="269">
                  <v>57.2</v>
                </pt>
                <pt idx="270">
                  <v>60.9</v>
                </pt>
                <pt idx="271">
                  <v>57.8</v>
                </pt>
                <pt idx="272">
                  <v>48</v>
                </pt>
                <pt idx="273">
                  <v>26</v>
                </pt>
                <pt idx="274">
                  <v>41</v>
                </pt>
                <pt idx="275">
                  <v>66</v>
                </pt>
                <pt idx="276">
                  <v>67.2</v>
                </pt>
                <pt idx="277">
                  <v>62.4</v>
                </pt>
                <pt idx="278">
                  <v>63</v>
                </pt>
                <pt idx="279">
                  <v>61.2</v>
                </pt>
                <pt idx="280">
                  <v>58</v>
                </pt>
                <pt idx="281">
                  <v>59.4</v>
                </pt>
                <pt idx="282">
                  <v>59.9</v>
                </pt>
                <pt idx="283">
                  <v>55.5</v>
                </pt>
                <pt idx="284">
                  <v>69.40000000000001</v>
                </pt>
                <pt idx="285">
                  <v>62.7</v>
                </pt>
                <pt idx="286">
                  <v>66.2</v>
                </pt>
                <pt idx="287">
                  <v>60.4</v>
                </pt>
                <pt idx="288">
                  <v>67</v>
                </pt>
                <pt idx="289">
                  <v>60.1</v>
                </pt>
                <pt idx="290">
                  <v>62.3</v>
                </pt>
                <pt idx="291">
                  <v>69.8</v>
                </pt>
                <pt idx="292">
                  <v>74.59999999999999</v>
                </pt>
                <pt idx="293">
                  <v>67.59999999999999</v>
                </pt>
                <pt idx="294">
                  <v>59.9</v>
                </pt>
                <pt idx="295">
                  <v>55.1</v>
                </pt>
                <pt idx="296">
                  <v>55.5</v>
                </pt>
                <pt idx="297">
                  <v>59.1</v>
                </pt>
                <pt idx="298">
                  <v>54.5</v>
                </pt>
                <pt idx="299">
                  <v>56.1</v>
                </pt>
              </numCache>
            </numRef>
          </val>
          <smooth val="0"/>
        </ser>
        <dLbls>
          <showLegendKey val="0"/>
          <showVal val="0"/>
          <showCatName val="0"/>
          <showSerName val="0"/>
          <showPercent val="0"/>
          <showBubbleSize val="0"/>
        </dLbls>
        <smooth val="0"/>
        <axId val="946929536"/>
        <axId val="946929864"/>
      </lineChart>
      <dateAx>
        <axId val="946929536"/>
        <scaling>
          <orientation val="minMax"/>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864"/>
        <crosses val="autoZero"/>
        <lblOffset val="100"/>
        <baseTimeUnit val="months"/>
      </dateAx>
      <valAx>
        <axId val="946929864"/>
        <scaling>
          <orientation val="minMax"/>
          <max val="70"/>
          <min val="2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536"/>
        <crosses val="autoZero"/>
        <crossBetween val="between"/>
      </valAx>
    </plotArea>
    <plotVisOnly val="1"/>
    <dispBlanksAs val="gap"/>
  </chart>
</chartSpace>
</file>

<file path=xl/charts/chart66.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Business</a:t>
            </a:r>
            <a:r>
              <a:rPr lang="en-SG" baseline="0"/>
              <a:t xml:space="preserve"> Activity</a:t>
            </a:r>
            <a:endParaRPr lang="en-SG"/>
          </a:p>
        </rich>
      </tx>
      <overlay val="0"/>
      <spPr>
        <a:noFill xmlns:a="http://schemas.openxmlformats.org/drawingml/2006/main"/>
        <a:ln xmlns:a="http://schemas.openxmlformats.org/drawingml/2006/main">
          <a:noFill/>
          <a:prstDash val="solid"/>
        </a:ln>
      </spPr>
    </title>
    <plotArea>
      <layout/>
      <lineChart>
        <grouping val="standard"/>
        <varyColors val="0"/>
        <ser>
          <idx val="4"/>
          <order val="0"/>
          <tx>
            <strRef>
              <f>Details!$F$5</f>
              <strCache>
                <ptCount val="1"/>
                <pt idx="0">
                  <v>Business Activity</v>
                </pt>
              </strCache>
            </strRef>
          </tx>
          <spPr>
            <a:ln xmlns:a="http://schemas.openxmlformats.org/drawingml/2006/main" w="28575" cap="rnd">
              <a:solidFill>
                <a:schemeClr val="accent5"/>
              </a:solidFill>
              <a:prstDash val="solid"/>
              <a:round/>
            </a:ln>
          </spPr>
          <marker>
            <symbol val="none"/>
            <spPr>
              <a:ln xmlns:a="http://schemas.openxmlformats.org/drawingml/2006/main">
                <a:prstDash val="solid"/>
              </a:ln>
            </spPr>
          </marker>
          <cat>
            <numRef>
              <f>Details!$A$6:$A$307</f>
              <numCache>
                <formatCode>m/d/yy</formatCode>
                <ptCount val="302"/>
                <pt idx="0">
                  <v>35612</v>
                </pt>
                <pt idx="1">
                  <v>35643</v>
                </pt>
                <pt idx="2">
                  <v>35674</v>
                </pt>
                <pt idx="3">
                  <v>35704</v>
                </pt>
                <pt idx="4">
                  <v>35735</v>
                </pt>
                <pt idx="5">
                  <v>35765</v>
                </pt>
                <pt idx="6">
                  <v>35796</v>
                </pt>
                <pt idx="7">
                  <v>35827</v>
                </pt>
                <pt idx="8">
                  <v>35855</v>
                </pt>
                <pt idx="9">
                  <v>35886</v>
                </pt>
                <pt idx="10">
                  <v>35916</v>
                </pt>
                <pt idx="11">
                  <v>35947</v>
                </pt>
                <pt idx="12">
                  <v>35977</v>
                </pt>
                <pt idx="13">
                  <v>36008</v>
                </pt>
                <pt idx="14">
                  <v>36039</v>
                </pt>
                <pt idx="15">
                  <v>36069</v>
                </pt>
                <pt idx="16">
                  <v>36100</v>
                </pt>
                <pt idx="17">
                  <v>36130</v>
                </pt>
                <pt idx="18">
                  <v>36161</v>
                </pt>
                <pt idx="19">
                  <v>36192</v>
                </pt>
                <pt idx="20">
                  <v>36220</v>
                </pt>
                <pt idx="21">
                  <v>36251</v>
                </pt>
                <pt idx="22">
                  <v>36281</v>
                </pt>
                <pt idx="23">
                  <v>36312</v>
                </pt>
                <pt idx="24">
                  <v>36342</v>
                </pt>
                <pt idx="25">
                  <v>36373</v>
                </pt>
                <pt idx="26">
                  <v>36404</v>
                </pt>
                <pt idx="27">
                  <v>36434</v>
                </pt>
                <pt idx="28">
                  <v>36465</v>
                </pt>
                <pt idx="29">
                  <v>36495</v>
                </pt>
                <pt idx="30">
                  <v>36526</v>
                </pt>
                <pt idx="31">
                  <v>36557</v>
                </pt>
                <pt idx="32">
                  <v>36586</v>
                </pt>
                <pt idx="33">
                  <v>36617</v>
                </pt>
                <pt idx="34">
                  <v>36647</v>
                </pt>
                <pt idx="35">
                  <v>36678</v>
                </pt>
                <pt idx="36">
                  <v>36708</v>
                </pt>
                <pt idx="37">
                  <v>36739</v>
                </pt>
                <pt idx="38">
                  <v>36770</v>
                </pt>
                <pt idx="39">
                  <v>36800</v>
                </pt>
                <pt idx="40">
                  <v>36831</v>
                </pt>
                <pt idx="41">
                  <v>36861</v>
                </pt>
                <pt idx="42">
                  <v>36892</v>
                </pt>
                <pt idx="43">
                  <v>36923</v>
                </pt>
                <pt idx="44">
                  <v>36951</v>
                </pt>
                <pt idx="45">
                  <v>36982</v>
                </pt>
                <pt idx="46">
                  <v>37012</v>
                </pt>
                <pt idx="47">
                  <v>37043</v>
                </pt>
                <pt idx="48">
                  <v>37073</v>
                </pt>
                <pt idx="49">
                  <v>37104</v>
                </pt>
                <pt idx="50">
                  <v>37135</v>
                </pt>
                <pt idx="51">
                  <v>37165</v>
                </pt>
                <pt idx="52">
                  <v>37196</v>
                </pt>
                <pt idx="53">
                  <v>37226</v>
                </pt>
                <pt idx="54">
                  <v>37257</v>
                </pt>
                <pt idx="55">
                  <v>37288</v>
                </pt>
                <pt idx="56">
                  <v>37316</v>
                </pt>
                <pt idx="57">
                  <v>37347</v>
                </pt>
                <pt idx="58">
                  <v>37377</v>
                </pt>
                <pt idx="59">
                  <v>37408</v>
                </pt>
                <pt idx="60">
                  <v>37438</v>
                </pt>
                <pt idx="61">
                  <v>37469</v>
                </pt>
                <pt idx="62">
                  <v>37500</v>
                </pt>
                <pt idx="63">
                  <v>37530</v>
                </pt>
                <pt idx="64">
                  <v>37561</v>
                </pt>
                <pt idx="65">
                  <v>37591</v>
                </pt>
                <pt idx="66">
                  <v>37622</v>
                </pt>
                <pt idx="67">
                  <v>37653</v>
                </pt>
                <pt idx="68">
                  <v>37681</v>
                </pt>
                <pt idx="69">
                  <v>37712</v>
                </pt>
                <pt idx="70">
                  <v>37742</v>
                </pt>
                <pt idx="71">
                  <v>37773</v>
                </pt>
                <pt idx="72">
                  <v>37803</v>
                </pt>
                <pt idx="73">
                  <v>37834</v>
                </pt>
                <pt idx="74">
                  <v>37865</v>
                </pt>
                <pt idx="75">
                  <v>37895</v>
                </pt>
                <pt idx="76">
                  <v>37926</v>
                </pt>
                <pt idx="77">
                  <v>37956</v>
                </pt>
                <pt idx="78">
                  <v>37987</v>
                </pt>
                <pt idx="79">
                  <v>38018</v>
                </pt>
                <pt idx="80">
                  <v>38047</v>
                </pt>
                <pt idx="81">
                  <v>38078</v>
                </pt>
                <pt idx="82">
                  <v>38108</v>
                </pt>
                <pt idx="83">
                  <v>38139</v>
                </pt>
                <pt idx="84">
                  <v>38169</v>
                </pt>
                <pt idx="85">
                  <v>38200</v>
                </pt>
                <pt idx="86">
                  <v>38231</v>
                </pt>
                <pt idx="87">
                  <v>38261</v>
                </pt>
                <pt idx="88">
                  <v>38292</v>
                </pt>
                <pt idx="89">
                  <v>38322</v>
                </pt>
                <pt idx="90">
                  <v>38353</v>
                </pt>
                <pt idx="91">
                  <v>38384</v>
                </pt>
                <pt idx="92">
                  <v>38412</v>
                </pt>
                <pt idx="93">
                  <v>38443</v>
                </pt>
                <pt idx="94">
                  <v>38473</v>
                </pt>
                <pt idx="95">
                  <v>38504</v>
                </pt>
                <pt idx="96">
                  <v>38534</v>
                </pt>
                <pt idx="97">
                  <v>38565</v>
                </pt>
                <pt idx="98">
                  <v>38596</v>
                </pt>
                <pt idx="99">
                  <v>38626</v>
                </pt>
                <pt idx="100">
                  <v>38657</v>
                </pt>
                <pt idx="101">
                  <v>38687</v>
                </pt>
                <pt idx="102">
                  <v>38718</v>
                </pt>
                <pt idx="103">
                  <v>38749</v>
                </pt>
                <pt idx="104">
                  <v>38777</v>
                </pt>
                <pt idx="105">
                  <v>38808</v>
                </pt>
                <pt idx="106">
                  <v>38838</v>
                </pt>
                <pt idx="107">
                  <v>38869</v>
                </pt>
                <pt idx="108">
                  <v>38899</v>
                </pt>
                <pt idx="109">
                  <v>38930</v>
                </pt>
                <pt idx="110">
                  <v>38961</v>
                </pt>
                <pt idx="111">
                  <v>38991</v>
                </pt>
                <pt idx="112">
                  <v>39022</v>
                </pt>
                <pt idx="113">
                  <v>39052</v>
                </pt>
                <pt idx="114">
                  <v>39083</v>
                </pt>
                <pt idx="115">
                  <v>39114</v>
                </pt>
                <pt idx="116">
                  <v>39142</v>
                </pt>
                <pt idx="117">
                  <v>39173</v>
                </pt>
                <pt idx="118">
                  <v>39203</v>
                </pt>
                <pt idx="119">
                  <v>39234</v>
                </pt>
                <pt idx="120">
                  <v>39264</v>
                </pt>
                <pt idx="121">
                  <v>39295</v>
                </pt>
                <pt idx="122">
                  <v>39326</v>
                </pt>
                <pt idx="123">
                  <v>39356</v>
                </pt>
                <pt idx="124">
                  <v>39387</v>
                </pt>
                <pt idx="125">
                  <v>39417</v>
                </pt>
                <pt idx="126">
                  <v>39448</v>
                </pt>
                <pt idx="127">
                  <v>39479</v>
                </pt>
                <pt idx="128">
                  <v>39508</v>
                </pt>
                <pt idx="129">
                  <v>39539</v>
                </pt>
                <pt idx="130">
                  <v>39569</v>
                </pt>
                <pt idx="131">
                  <v>39600</v>
                </pt>
                <pt idx="132">
                  <v>39630</v>
                </pt>
                <pt idx="133">
                  <v>39661</v>
                </pt>
                <pt idx="134">
                  <v>39692</v>
                </pt>
                <pt idx="135">
                  <v>39722</v>
                </pt>
                <pt idx="136">
                  <v>39753</v>
                </pt>
                <pt idx="137">
                  <v>39783</v>
                </pt>
                <pt idx="138">
                  <v>39814</v>
                </pt>
                <pt idx="139">
                  <v>39845</v>
                </pt>
                <pt idx="140">
                  <v>39873</v>
                </pt>
                <pt idx="141">
                  <v>39904</v>
                </pt>
                <pt idx="142">
                  <v>39934</v>
                </pt>
                <pt idx="143">
                  <v>39965</v>
                </pt>
                <pt idx="144">
                  <v>39995</v>
                </pt>
                <pt idx="145">
                  <v>40026</v>
                </pt>
                <pt idx="146">
                  <v>40057</v>
                </pt>
                <pt idx="147">
                  <v>40087</v>
                </pt>
                <pt idx="148">
                  <v>40118</v>
                </pt>
                <pt idx="149">
                  <v>40148</v>
                </pt>
                <pt idx="150">
                  <v>40179</v>
                </pt>
                <pt idx="151">
                  <v>40210</v>
                </pt>
                <pt idx="152">
                  <v>40238</v>
                </pt>
                <pt idx="153">
                  <v>40269</v>
                </pt>
                <pt idx="154">
                  <v>40299</v>
                </pt>
                <pt idx="155">
                  <v>40330</v>
                </pt>
                <pt idx="156">
                  <v>40360</v>
                </pt>
                <pt idx="157">
                  <v>40391</v>
                </pt>
                <pt idx="158">
                  <v>40422</v>
                </pt>
                <pt idx="159">
                  <v>40452</v>
                </pt>
                <pt idx="160">
                  <v>40483</v>
                </pt>
                <pt idx="161">
                  <v>40513</v>
                </pt>
                <pt idx="162">
                  <v>40544</v>
                </pt>
                <pt idx="163">
                  <v>40575</v>
                </pt>
                <pt idx="164">
                  <v>40603</v>
                </pt>
                <pt idx="165">
                  <v>40634</v>
                </pt>
                <pt idx="166">
                  <v>40664</v>
                </pt>
                <pt idx="167">
                  <v>40695</v>
                </pt>
                <pt idx="168">
                  <v>40725</v>
                </pt>
                <pt idx="169">
                  <v>40756</v>
                </pt>
                <pt idx="170">
                  <v>40787</v>
                </pt>
                <pt idx="171">
                  <v>40817</v>
                </pt>
                <pt idx="172">
                  <v>40848</v>
                </pt>
                <pt idx="173">
                  <v>40878</v>
                </pt>
                <pt idx="174">
                  <v>40909</v>
                </pt>
                <pt idx="175">
                  <v>40940</v>
                </pt>
                <pt idx="176">
                  <v>40969</v>
                </pt>
                <pt idx="177">
                  <v>41000</v>
                </pt>
                <pt idx="178">
                  <v>41030</v>
                </pt>
                <pt idx="179">
                  <v>41061</v>
                </pt>
                <pt idx="180">
                  <v>41091</v>
                </pt>
                <pt idx="181">
                  <v>41122</v>
                </pt>
                <pt idx="182">
                  <v>41153</v>
                </pt>
                <pt idx="183">
                  <v>41183</v>
                </pt>
                <pt idx="184">
                  <v>41214</v>
                </pt>
                <pt idx="185">
                  <v>41244</v>
                </pt>
                <pt idx="186">
                  <v>41275</v>
                </pt>
                <pt idx="187">
                  <v>41306</v>
                </pt>
                <pt idx="188">
                  <v>41334</v>
                </pt>
                <pt idx="189">
                  <v>41365</v>
                </pt>
                <pt idx="190">
                  <v>41395</v>
                </pt>
                <pt idx="191">
                  <v>41426</v>
                </pt>
                <pt idx="192">
                  <v>41456</v>
                </pt>
                <pt idx="193">
                  <v>41487</v>
                </pt>
                <pt idx="194">
                  <v>41518</v>
                </pt>
                <pt idx="195">
                  <v>41548</v>
                </pt>
                <pt idx="196">
                  <v>41579</v>
                </pt>
                <pt idx="197">
                  <v>41609</v>
                </pt>
                <pt idx="198">
                  <v>41640</v>
                </pt>
                <pt idx="199">
                  <v>41671</v>
                </pt>
                <pt idx="200">
                  <v>41699</v>
                </pt>
                <pt idx="201">
                  <v>41730</v>
                </pt>
                <pt idx="202">
                  <v>41760</v>
                </pt>
                <pt idx="203">
                  <v>41791</v>
                </pt>
                <pt idx="204">
                  <v>41821</v>
                </pt>
                <pt idx="205">
                  <v>41852</v>
                </pt>
                <pt idx="206">
                  <v>41883</v>
                </pt>
                <pt idx="207">
                  <v>41913</v>
                </pt>
                <pt idx="208">
                  <v>41944</v>
                </pt>
                <pt idx="209">
                  <v>41974</v>
                </pt>
                <pt idx="210">
                  <v>42005</v>
                </pt>
                <pt idx="211">
                  <v>42036</v>
                </pt>
                <pt idx="212">
                  <v>42064</v>
                </pt>
                <pt idx="213">
                  <v>42095</v>
                </pt>
                <pt idx="214">
                  <v>42125</v>
                </pt>
                <pt idx="215">
                  <v>42156</v>
                </pt>
                <pt idx="216">
                  <v>42186</v>
                </pt>
                <pt idx="217">
                  <v>42217</v>
                </pt>
                <pt idx="218">
                  <v>42248</v>
                </pt>
                <pt idx="219">
                  <v>42278</v>
                </pt>
                <pt idx="220">
                  <v>42309</v>
                </pt>
                <pt idx="221">
                  <v>42339</v>
                </pt>
                <pt idx="222">
                  <v>42370</v>
                </pt>
                <pt idx="223">
                  <v>42401</v>
                </pt>
                <pt idx="224">
                  <v>42430</v>
                </pt>
                <pt idx="225">
                  <v>42461</v>
                </pt>
                <pt idx="226">
                  <v>42491</v>
                </pt>
                <pt idx="227">
                  <v>42522</v>
                </pt>
                <pt idx="228">
                  <v>42552</v>
                </pt>
                <pt idx="229">
                  <v>42583</v>
                </pt>
                <pt idx="230">
                  <v>42614</v>
                </pt>
                <pt idx="231">
                  <v>42644</v>
                </pt>
                <pt idx="232">
                  <v>42675</v>
                </pt>
                <pt idx="233">
                  <v>42705</v>
                </pt>
                <pt idx="234">
                  <v>42736</v>
                </pt>
                <pt idx="235">
                  <v>42767</v>
                </pt>
                <pt idx="236">
                  <v>42795</v>
                </pt>
                <pt idx="237">
                  <v>42826</v>
                </pt>
                <pt idx="238">
                  <v>42856</v>
                </pt>
                <pt idx="239">
                  <v>42887</v>
                </pt>
                <pt idx="240">
                  <v>42917</v>
                </pt>
                <pt idx="241">
                  <v>42948</v>
                </pt>
                <pt idx="242">
                  <v>42979</v>
                </pt>
                <pt idx="243">
                  <v>43009</v>
                </pt>
                <pt idx="244">
                  <v>43040</v>
                </pt>
                <pt idx="245">
                  <v>43070</v>
                </pt>
                <pt idx="246">
                  <v>43101</v>
                </pt>
                <pt idx="247">
                  <v>43132</v>
                </pt>
                <pt idx="248">
                  <v>43160</v>
                </pt>
                <pt idx="249">
                  <v>43191</v>
                </pt>
                <pt idx="250">
                  <v>43221</v>
                </pt>
                <pt idx="251">
                  <v>43252</v>
                </pt>
                <pt idx="252">
                  <v>43282</v>
                </pt>
                <pt idx="253">
                  <v>43313</v>
                </pt>
                <pt idx="254">
                  <v>43344</v>
                </pt>
                <pt idx="255">
                  <v>43374</v>
                </pt>
                <pt idx="256">
                  <v>43405</v>
                </pt>
                <pt idx="257">
                  <v>43435</v>
                </pt>
                <pt idx="258">
                  <v>43466</v>
                </pt>
                <pt idx="259">
                  <v>43497</v>
                </pt>
                <pt idx="260">
                  <v>43525</v>
                </pt>
                <pt idx="261">
                  <v>43556</v>
                </pt>
                <pt idx="262">
                  <v>43586</v>
                </pt>
                <pt idx="263">
                  <v>43617</v>
                </pt>
                <pt idx="264">
                  <v>43647</v>
                </pt>
                <pt idx="265">
                  <v>43678</v>
                </pt>
                <pt idx="266">
                  <v>43709</v>
                </pt>
                <pt idx="267">
                  <v>43739</v>
                </pt>
                <pt idx="268">
                  <v>43770</v>
                </pt>
                <pt idx="269">
                  <v>43800</v>
                </pt>
                <pt idx="270">
                  <v>43831</v>
                </pt>
                <pt idx="271">
                  <v>43862</v>
                </pt>
                <pt idx="272">
                  <v>43891</v>
                </pt>
                <pt idx="273">
                  <v>43922</v>
                </pt>
                <pt idx="274">
                  <v>43952</v>
                </pt>
                <pt idx="275">
                  <v>43983</v>
                </pt>
                <pt idx="276">
                  <v>44013</v>
                </pt>
                <pt idx="277">
                  <v>44044</v>
                </pt>
                <pt idx="278">
                  <v>44075</v>
                </pt>
                <pt idx="279">
                  <v>44105</v>
                </pt>
                <pt idx="280">
                  <v>44136</v>
                </pt>
                <pt idx="281">
                  <v>44166</v>
                </pt>
                <pt idx="282">
                  <v>44197</v>
                </pt>
                <pt idx="283">
                  <v>44228</v>
                </pt>
                <pt idx="284">
                  <v>44256</v>
                </pt>
                <pt idx="285">
                  <v>44287</v>
                </pt>
                <pt idx="286">
                  <v>44317</v>
                </pt>
                <pt idx="287">
                  <v>44348</v>
                </pt>
                <pt idx="288">
                  <v>44378</v>
                </pt>
                <pt idx="289">
                  <v>44409</v>
                </pt>
                <pt idx="290">
                  <v>44440</v>
                </pt>
                <pt idx="291">
                  <v>44470</v>
                </pt>
                <pt idx="292">
                  <v>44501</v>
                </pt>
                <pt idx="293">
                  <v>44531</v>
                </pt>
                <pt idx="294">
                  <v>44562</v>
                </pt>
                <pt idx="295">
                  <v>44593</v>
                </pt>
                <pt idx="296">
                  <v>44621</v>
                </pt>
                <pt idx="297">
                  <v>44652</v>
                </pt>
                <pt idx="298">
                  <v>44682</v>
                </pt>
                <pt idx="299">
                  <v>44713</v>
                </pt>
              </numCache>
            </numRef>
          </cat>
          <val>
            <numRef>
              <f>Details!$F$6:$F$307</f>
              <numCache>
                <formatCode>General</formatCode>
                <ptCount val="302"/>
                <pt idx="0">
                  <v>58.6</v>
                </pt>
                <pt idx="1">
                  <v>62.6</v>
                </pt>
                <pt idx="2">
                  <v>59.1</v>
                </pt>
                <pt idx="3">
                  <v>62.6</v>
                </pt>
                <pt idx="4">
                  <v>61.9</v>
                </pt>
                <pt idx="5">
                  <v>56.5</v>
                </pt>
                <pt idx="6">
                  <v>61.4</v>
                </pt>
                <pt idx="7">
                  <v>58.9</v>
                </pt>
                <pt idx="8">
                  <v>57</v>
                </pt>
                <pt idx="9">
                  <v>58.6</v>
                </pt>
                <pt idx="10">
                  <v>61.2</v>
                </pt>
                <pt idx="11">
                  <v>58.7</v>
                </pt>
                <pt idx="12">
                  <v>58.6</v>
                </pt>
                <pt idx="13">
                  <v>52.2</v>
                </pt>
                <pt idx="14">
                  <v>57.4</v>
                </pt>
                <pt idx="15">
                  <v>54</v>
                </pt>
                <pt idx="16">
                  <v>54.9</v>
                </pt>
                <pt idx="17">
                  <v>54.2</v>
                </pt>
                <pt idx="18">
                  <v>58.8</v>
                </pt>
                <pt idx="19">
                  <v>57.3</v>
                </pt>
                <pt idx="20">
                  <v>59.5</v>
                </pt>
                <pt idx="21">
                  <v>59.8</v>
                </pt>
                <pt idx="22">
                  <v>57.7</v>
                </pt>
                <pt idx="23">
                  <v>57.9</v>
                </pt>
                <pt idx="24">
                  <v>60.7</v>
                </pt>
                <pt idx="25">
                  <v>60.3</v>
                </pt>
                <pt idx="26">
                  <v>59.1</v>
                </pt>
                <pt idx="27">
                  <v>60.7</v>
                </pt>
                <pt idx="28">
                  <v>57</v>
                </pt>
                <pt idx="29">
                  <v>60.4</v>
                </pt>
                <pt idx="30">
                  <v>57.7</v>
                </pt>
                <pt idx="31">
                  <v>58.2</v>
                </pt>
                <pt idx="32">
                  <v>60.5</v>
                </pt>
                <pt idx="33">
                  <v>61.1</v>
                </pt>
                <pt idx="34">
                  <v>59.8</v>
                </pt>
                <pt idx="35">
                  <v>60.3</v>
                </pt>
                <pt idx="36">
                  <v>56.5</v>
                </pt>
                <pt idx="37">
                  <v>61.3</v>
                </pt>
                <pt idx="38">
                  <v>59.8</v>
                </pt>
                <pt idx="39">
                  <v>58.6</v>
                </pt>
                <pt idx="40">
                  <v>59.7</v>
                </pt>
                <pt idx="41">
                  <v>57.5</v>
                </pt>
                <pt idx="42">
                  <v>52.5</v>
                </pt>
                <pt idx="43">
                  <v>51.5</v>
                </pt>
                <pt idx="44">
                  <v>50</v>
                </pt>
                <pt idx="45">
                  <v>48.3</v>
                </pt>
                <pt idx="46">
                  <v>47.9</v>
                </pt>
                <pt idx="47">
                  <v>51.6</v>
                </pt>
                <pt idx="48">
                  <v>48.1</v>
                </pt>
                <pt idx="49">
                  <v>47.4</v>
                </pt>
                <pt idx="50">
                  <v>49.7</v>
                </pt>
                <pt idx="51">
                  <v>40.5</v>
                </pt>
                <pt idx="52">
                  <v>49.4</v>
                </pt>
                <pt idx="53">
                  <v>50.7</v>
                </pt>
                <pt idx="54">
                  <v>49.8</v>
                </pt>
                <pt idx="55">
                  <v>57.5</v>
                </pt>
                <pt idx="56">
                  <v>57.1</v>
                </pt>
                <pt idx="57">
                  <v>56.3</v>
                </pt>
                <pt idx="58">
                  <v>60.5</v>
                </pt>
                <pt idx="59">
                  <v>56.1</v>
                </pt>
                <pt idx="60">
                  <v>52.1</v>
                </pt>
                <pt idx="61">
                  <v>51.9</v>
                </pt>
                <pt idx="62">
                  <v>54.9</v>
                </pt>
                <pt idx="63">
                  <v>53.1</v>
                </pt>
                <pt idx="64">
                  <v>56.8</v>
                </pt>
                <pt idx="65">
                  <v>55.5</v>
                </pt>
                <pt idx="66">
                  <v>56.2</v>
                </pt>
                <pt idx="67">
                  <v>55.6</v>
                </pt>
                <pt idx="68">
                  <v>46.3</v>
                </pt>
                <pt idx="69">
                  <v>50.7</v>
                </pt>
                <pt idx="70">
                  <v>54.6</v>
                </pt>
                <pt idx="71">
                  <v>59.2</v>
                </pt>
                <pt idx="72">
                  <v>62.7</v>
                </pt>
                <pt idx="73">
                  <v>65.09999999999999</v>
                </pt>
                <pt idx="74">
                  <v>63.8</v>
                </pt>
                <pt idx="75">
                  <v>64.40000000000001</v>
                </pt>
                <pt idx="76">
                  <v>61.1</v>
                </pt>
                <pt idx="77">
                  <v>60</v>
                </pt>
                <pt idx="78">
                  <v>67.7</v>
                </pt>
                <pt idx="79">
                  <v>62.5</v>
                </pt>
                <pt idx="80">
                  <v>62.3</v>
                </pt>
                <pt idx="81">
                  <v>64</v>
                </pt>
                <pt idx="82">
                  <v>62.6</v>
                </pt>
                <pt idx="83">
                  <v>59.2</v>
                </pt>
                <pt idx="84">
                  <v>63.2</v>
                </pt>
                <pt idx="85">
                  <v>59.7</v>
                </pt>
                <pt idx="86">
                  <v>60</v>
                </pt>
                <pt idx="87">
                  <v>61</v>
                </pt>
                <pt idx="88">
                  <v>62.8</v>
                </pt>
                <pt idx="89">
                  <v>65</v>
                </pt>
                <pt idx="90">
                  <v>62.5</v>
                </pt>
                <pt idx="91">
                  <v>61.9</v>
                </pt>
                <pt idx="92">
                  <v>61.3</v>
                </pt>
                <pt idx="93">
                  <v>58.6</v>
                </pt>
                <pt idx="94">
                  <v>57.5</v>
                </pt>
                <pt idx="95">
                  <v>60.7</v>
                </pt>
                <pt idx="96">
                  <v>61.3</v>
                </pt>
                <pt idx="97">
                  <v>64.8</v>
                </pt>
                <pt idx="98">
                  <v>55.2</v>
                </pt>
                <pt idx="99">
                  <v>59.2</v>
                </pt>
                <pt idx="100">
                  <v>59.2</v>
                </pt>
                <pt idx="101">
                  <v>60.1</v>
                </pt>
                <pt idx="102">
                  <v>58.6</v>
                </pt>
                <pt idx="103">
                  <v>61.8</v>
                </pt>
                <pt idx="104">
                  <v>60</v>
                </pt>
                <pt idx="105">
                  <v>61.3</v>
                </pt>
                <pt idx="106">
                  <v>58.1</v>
                </pt>
                <pt idx="107">
                  <v>56.4</v>
                </pt>
                <pt idx="108">
                  <v>56.3</v>
                </pt>
                <pt idx="109">
                  <v>56.7</v>
                </pt>
                <pt idx="110">
                  <v>54.4</v>
                </pt>
                <pt idx="111">
                  <v>56.9</v>
                </pt>
                <pt idx="112">
                  <v>59.2</v>
                </pt>
                <pt idx="113">
                  <v>56.1</v>
                </pt>
                <pt idx="114">
                  <v>58.3</v>
                </pt>
                <pt idx="115">
                  <v>56</v>
                </pt>
                <pt idx="116">
                  <v>52.8</v>
                </pt>
                <pt idx="117">
                  <v>56.1</v>
                </pt>
                <pt idx="118">
                  <v>58.1</v>
                </pt>
                <pt idx="119">
                  <v>60.1</v>
                </pt>
                <pt idx="120">
                  <v>57.1</v>
                </pt>
                <pt idx="121">
                  <v>55.7</v>
                </pt>
                <pt idx="122">
                  <v>54.2</v>
                </pt>
                <pt idx="123">
                  <v>55.1</v>
                </pt>
                <pt idx="124">
                  <v>55.7</v>
                </pt>
                <pt idx="125">
                  <v>53.2</v>
                </pt>
                <pt idx="126">
                  <v>41.9</v>
                </pt>
                <pt idx="127">
                  <v>52.2</v>
                </pt>
                <pt idx="128">
                  <v>51.7</v>
                </pt>
                <pt idx="129">
                  <v>51.1</v>
                </pt>
                <pt idx="130">
                  <v>53.3</v>
                </pt>
                <pt idx="131">
                  <v>50.2</v>
                </pt>
                <pt idx="132">
                  <v>51</v>
                </pt>
                <pt idx="133">
                  <v>51.1</v>
                </pt>
                <pt idx="134">
                  <v>50.4</v>
                </pt>
                <pt idx="135">
                  <v>43.8</v>
                </pt>
                <pt idx="136">
                  <v>34.2</v>
                </pt>
                <pt idx="137">
                  <v>38.3</v>
                </pt>
                <pt idx="138">
                  <v>44.1</v>
                </pt>
                <pt idx="139">
                  <v>40.6</v>
                </pt>
                <pt idx="140">
                  <v>42.8</v>
                </pt>
                <pt idx="141">
                  <v>45</v>
                </pt>
                <pt idx="142">
                  <v>43.1</v>
                </pt>
                <pt idx="143">
                  <v>50.1</v>
                </pt>
                <pt idx="144">
                  <v>47</v>
                </pt>
                <pt idx="145">
                  <v>52.1</v>
                </pt>
                <pt idx="146">
                  <v>53.8</v>
                </pt>
                <pt idx="147">
                  <v>55</v>
                </pt>
                <pt idx="148">
                  <v>50.9</v>
                </pt>
                <pt idx="149">
                  <v>53</v>
                </pt>
                <pt idx="150">
                  <v>51.5</v>
                </pt>
                <pt idx="151">
                  <v>53</v>
                </pt>
                <pt idx="152">
                  <v>57.7</v>
                </pt>
                <pt idx="153">
                  <v>59.8</v>
                </pt>
                <pt idx="154">
                  <v>61.3</v>
                </pt>
                <pt idx="155">
                  <v>59.4</v>
                </pt>
                <pt idx="156">
                  <v>57.4</v>
                </pt>
                <pt idx="157">
                  <v>55.8</v>
                </pt>
                <pt idx="158">
                  <v>53.3</v>
                </pt>
                <pt idx="159">
                  <v>59.7</v>
                </pt>
                <pt idx="160">
                  <v>59.1</v>
                </pt>
                <pt idx="161">
                  <v>62.2</v>
                </pt>
                <pt idx="162">
                  <v>61.6</v>
                </pt>
                <pt idx="163">
                  <v>63.3</v>
                </pt>
                <pt idx="164">
                  <v>58.2</v>
                </pt>
                <pt idx="165">
                  <v>56.9</v>
                </pt>
                <pt idx="166">
                  <v>55</v>
                </pt>
                <pt idx="167">
                  <v>55.7</v>
                </pt>
                <pt idx="168">
                  <v>56.6</v>
                </pt>
                <pt idx="169">
                  <v>56.5</v>
                </pt>
                <pt idx="170">
                  <v>56.8</v>
                </pt>
                <pt idx="171">
                  <v>53.9</v>
                </pt>
                <pt idx="172">
                  <v>56.1</v>
                </pt>
                <pt idx="173">
                  <v>55.6</v>
                </pt>
                <pt idx="174">
                  <v>58.7</v>
                </pt>
                <pt idx="175">
                  <v>59.9</v>
                </pt>
                <pt idx="176">
                  <v>58.5</v>
                </pt>
                <pt idx="177">
                  <v>56</v>
                </pt>
                <pt idx="178">
                  <v>56.4</v>
                </pt>
                <pt idx="179">
                  <v>53.6</v>
                </pt>
                <pt idx="180">
                  <v>56.2</v>
                </pt>
                <pt idx="181">
                  <v>55.3</v>
                </pt>
                <pt idx="182">
                  <v>60.2</v>
                </pt>
                <pt idx="183">
                  <v>56.1</v>
                </pt>
                <pt idx="184">
                  <v>60.9</v>
                </pt>
                <pt idx="185">
                  <v>60</v>
                </pt>
                <pt idx="186">
                  <v>56.4</v>
                </pt>
                <pt idx="187">
                  <v>56.3</v>
                </pt>
                <pt idx="188">
                  <v>56.6</v>
                </pt>
                <pt idx="189">
                  <v>55.9</v>
                </pt>
                <pt idx="190">
                  <v>57</v>
                </pt>
                <pt idx="191">
                  <v>53.3</v>
                </pt>
                <pt idx="192">
                  <v>59.5</v>
                </pt>
                <pt idx="193">
                  <v>61</v>
                </pt>
                <pt idx="194">
                  <v>55.8</v>
                </pt>
                <pt idx="195">
                  <v>58.9</v>
                </pt>
                <pt idx="196">
                  <v>55.3</v>
                </pt>
                <pt idx="197">
                  <v>54.3</v>
                </pt>
                <pt idx="198">
                  <v>56.3</v>
                </pt>
                <pt idx="199">
                  <v>54.6</v>
                </pt>
                <pt idx="200">
                  <v>53.4</v>
                </pt>
                <pt idx="201">
                  <v>60.9</v>
                </pt>
                <pt idx="202">
                  <v>62.1</v>
                </pt>
                <pt idx="203">
                  <v>57.5</v>
                </pt>
                <pt idx="204">
                  <v>62.4</v>
                </pt>
                <pt idx="205">
                  <v>65</v>
                </pt>
                <pt idx="206">
                  <v>62.9</v>
                </pt>
                <pt idx="207">
                  <v>60</v>
                </pt>
                <pt idx="208">
                  <v>64.40000000000001</v>
                </pt>
                <pt idx="209">
                  <v>57.2</v>
                </pt>
                <pt idx="210">
                  <v>61.5</v>
                </pt>
                <pt idx="211">
                  <v>59.4</v>
                </pt>
                <pt idx="212">
                  <v>57.5</v>
                </pt>
                <pt idx="213">
                  <v>61.6</v>
                </pt>
                <pt idx="214">
                  <v>59.5</v>
                </pt>
                <pt idx="215">
                  <v>61.5</v>
                </pt>
                <pt idx="216">
                  <v>64.90000000000001</v>
                </pt>
                <pt idx="217">
                  <v>63.9</v>
                </pt>
                <pt idx="218">
                  <v>60.2</v>
                </pt>
                <pt idx="219">
                  <v>63</v>
                </pt>
                <pt idx="220">
                  <v>58.2</v>
                </pt>
                <pt idx="221">
                  <v>58.7</v>
                </pt>
                <pt idx="222">
                  <v>53.9</v>
                </pt>
                <pt idx="223">
                  <v>57.8</v>
                </pt>
                <pt idx="224">
                  <v>59.8</v>
                </pt>
                <pt idx="225">
                  <v>58.8</v>
                </pt>
                <pt idx="226">
                  <v>55.1</v>
                </pt>
                <pt idx="227">
                  <v>59.5</v>
                </pt>
                <pt idx="228">
                  <v>59.3</v>
                </pt>
                <pt idx="229">
                  <v>51.8</v>
                </pt>
                <pt idx="230">
                  <v>60.3</v>
                </pt>
                <pt idx="231">
                  <v>57.7</v>
                </pt>
                <pt idx="232">
                  <v>61.7</v>
                </pt>
                <pt idx="233">
                  <v>61.4</v>
                </pt>
                <pt idx="234">
                  <v>60.3</v>
                </pt>
                <pt idx="235">
                  <v>63.6</v>
                </pt>
                <pt idx="236">
                  <v>58.9</v>
                </pt>
                <pt idx="237">
                  <v>62.4</v>
                </pt>
                <pt idx="238">
                  <v>60.7</v>
                </pt>
                <pt idx="239">
                  <v>60.8</v>
                </pt>
                <pt idx="240">
                  <v>55.9</v>
                </pt>
                <pt idx="241">
                  <v>57.5</v>
                </pt>
                <pt idx="242">
                  <v>61.3</v>
                </pt>
                <pt idx="243">
                  <v>62.2</v>
                </pt>
                <pt idx="244">
                  <v>61.4</v>
                </pt>
                <pt idx="245">
                  <v>57.3</v>
                </pt>
                <pt idx="246">
                  <v>59.8</v>
                </pt>
                <pt idx="247">
                  <v>62.8</v>
                </pt>
                <pt idx="248">
                  <v>60.6</v>
                </pt>
                <pt idx="249">
                  <v>59.1</v>
                </pt>
                <pt idx="250">
                  <v>61.3</v>
                </pt>
                <pt idx="251">
                  <v>63.9</v>
                </pt>
                <pt idx="252">
                  <v>56.5</v>
                </pt>
                <pt idx="253">
                  <v>60.7</v>
                </pt>
                <pt idx="254">
                  <v>65.2</v>
                </pt>
                <pt idx="255">
                  <v>62.5</v>
                </pt>
                <pt idx="256">
                  <v>65.2</v>
                </pt>
                <pt idx="257">
                  <v>59.9</v>
                </pt>
                <pt idx="258">
                  <v>59.7</v>
                </pt>
                <pt idx="259">
                  <v>64.7</v>
                </pt>
                <pt idx="260">
                  <v>57.4</v>
                </pt>
                <pt idx="261">
                  <v>59.5</v>
                </pt>
                <pt idx="262">
                  <v>61.2</v>
                </pt>
                <pt idx="263">
                  <v>58.2</v>
                </pt>
                <pt idx="264">
                  <v>53.1</v>
                </pt>
                <pt idx="265">
                  <v>61.5</v>
                </pt>
                <pt idx="266">
                  <v>55.2</v>
                </pt>
                <pt idx="267">
                  <v>57</v>
                </pt>
                <pt idx="268">
                  <v>51.6</v>
                </pt>
                <pt idx="269">
                  <v>57.2</v>
                </pt>
                <pt idx="270">
                  <v>60.9</v>
                </pt>
                <pt idx="271">
                  <v>57.8</v>
                </pt>
                <pt idx="272">
                  <v>48</v>
                </pt>
                <pt idx="273">
                  <v>26</v>
                </pt>
                <pt idx="274">
                  <v>41</v>
                </pt>
                <pt idx="275">
                  <v>66</v>
                </pt>
                <pt idx="276">
                  <v>67.2</v>
                </pt>
                <pt idx="277">
                  <v>62.4</v>
                </pt>
                <pt idx="278">
                  <v>63</v>
                </pt>
                <pt idx="279">
                  <v>61.2</v>
                </pt>
                <pt idx="280">
                  <v>58</v>
                </pt>
                <pt idx="281">
                  <v>59.4</v>
                </pt>
                <pt idx="282">
                  <v>59.9</v>
                </pt>
                <pt idx="283">
                  <v>55.5</v>
                </pt>
                <pt idx="284">
                  <v>69.40000000000001</v>
                </pt>
                <pt idx="285">
                  <v>62.7</v>
                </pt>
                <pt idx="286">
                  <v>66.2</v>
                </pt>
                <pt idx="287">
                  <v>60.4</v>
                </pt>
                <pt idx="288">
                  <v>67</v>
                </pt>
                <pt idx="289">
                  <v>60.1</v>
                </pt>
                <pt idx="290">
                  <v>62.3</v>
                </pt>
                <pt idx="291">
                  <v>69.8</v>
                </pt>
                <pt idx="292">
                  <v>74.59999999999999</v>
                </pt>
                <pt idx="293">
                  <v>67.59999999999999</v>
                </pt>
                <pt idx="294">
                  <v>59.9</v>
                </pt>
                <pt idx="295">
                  <v>55.1</v>
                </pt>
                <pt idx="296">
                  <v>55.5</v>
                </pt>
                <pt idx="297">
                  <v>59.1</v>
                </pt>
                <pt idx="298">
                  <v>54.5</v>
                </pt>
                <pt idx="299">
                  <v>56.1</v>
                </pt>
              </numCache>
            </numRef>
          </val>
          <smooth val="0"/>
        </ser>
        <dLbls>
          <showLegendKey val="0"/>
          <showVal val="0"/>
          <showCatName val="0"/>
          <showSerName val="0"/>
          <showPercent val="0"/>
          <showBubbleSize val="0"/>
        </dLbls>
        <smooth val="0"/>
        <axId val="946929536"/>
        <axId val="946929864"/>
      </lineChart>
      <dateAx>
        <axId val="946929536"/>
        <scaling>
          <orientation val="minMax"/>
          <min val="42005"/>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864"/>
        <crosses val="autoZero"/>
        <lblOffset val="100"/>
        <baseTimeUnit val="months"/>
      </dateAx>
      <valAx>
        <axId val="946929864"/>
        <scaling>
          <orientation val="minMax"/>
          <min val="2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536"/>
        <crosses val="autoZero"/>
        <crossBetween val="between"/>
      </valAx>
    </plotArea>
    <plotVisOnly val="1"/>
    <dispBlanksAs val="gap"/>
  </chart>
</chartSpace>
</file>

<file path=xl/charts/chart67.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Inventory Sentiment</a:t>
            </a:r>
          </a:p>
        </rich>
      </tx>
      <overlay val="0"/>
      <spPr>
        <a:noFill xmlns:a="http://schemas.openxmlformats.org/drawingml/2006/main"/>
        <a:ln xmlns:a="http://schemas.openxmlformats.org/drawingml/2006/main">
          <a:noFill/>
          <a:prstDash val="solid"/>
        </a:ln>
      </spPr>
    </title>
    <plotArea>
      <layout/>
      <lineChart>
        <grouping val="standard"/>
        <varyColors val="0"/>
        <ser>
          <idx val="5"/>
          <order val="0"/>
          <tx>
            <strRef>
              <f>Details!$G$5</f>
              <strCache>
                <ptCount val="1"/>
                <pt idx="0">
                  <v>Inventory Sentiment</v>
                </pt>
              </strCache>
            </strRef>
          </tx>
          <spPr>
            <a:ln xmlns:a="http://schemas.openxmlformats.org/drawingml/2006/main" w="28575" cap="rnd">
              <a:solidFill>
                <a:schemeClr val="accent6"/>
              </a:solidFill>
              <a:prstDash val="solid"/>
              <a:round/>
            </a:ln>
          </spPr>
          <marker>
            <symbol val="none"/>
            <spPr>
              <a:ln xmlns:a="http://schemas.openxmlformats.org/drawingml/2006/main">
                <a:prstDash val="solid"/>
              </a:ln>
            </spPr>
          </marker>
          <cat>
            <numRef>
              <f>Details!$A$6:$A$307</f>
              <numCache>
                <formatCode>m/d/yy</formatCode>
                <ptCount val="302"/>
                <pt idx="0">
                  <v>35612</v>
                </pt>
                <pt idx="1">
                  <v>35643</v>
                </pt>
                <pt idx="2">
                  <v>35674</v>
                </pt>
                <pt idx="3">
                  <v>35704</v>
                </pt>
                <pt idx="4">
                  <v>35735</v>
                </pt>
                <pt idx="5">
                  <v>35765</v>
                </pt>
                <pt idx="6">
                  <v>35796</v>
                </pt>
                <pt idx="7">
                  <v>35827</v>
                </pt>
                <pt idx="8">
                  <v>35855</v>
                </pt>
                <pt idx="9">
                  <v>35886</v>
                </pt>
                <pt idx="10">
                  <v>35916</v>
                </pt>
                <pt idx="11">
                  <v>35947</v>
                </pt>
                <pt idx="12">
                  <v>35977</v>
                </pt>
                <pt idx="13">
                  <v>36008</v>
                </pt>
                <pt idx="14">
                  <v>36039</v>
                </pt>
                <pt idx="15">
                  <v>36069</v>
                </pt>
                <pt idx="16">
                  <v>36100</v>
                </pt>
                <pt idx="17">
                  <v>36130</v>
                </pt>
                <pt idx="18">
                  <v>36161</v>
                </pt>
                <pt idx="19">
                  <v>36192</v>
                </pt>
                <pt idx="20">
                  <v>36220</v>
                </pt>
                <pt idx="21">
                  <v>36251</v>
                </pt>
                <pt idx="22">
                  <v>36281</v>
                </pt>
                <pt idx="23">
                  <v>36312</v>
                </pt>
                <pt idx="24">
                  <v>36342</v>
                </pt>
                <pt idx="25">
                  <v>36373</v>
                </pt>
                <pt idx="26">
                  <v>36404</v>
                </pt>
                <pt idx="27">
                  <v>36434</v>
                </pt>
                <pt idx="28">
                  <v>36465</v>
                </pt>
                <pt idx="29">
                  <v>36495</v>
                </pt>
                <pt idx="30">
                  <v>36526</v>
                </pt>
                <pt idx="31">
                  <v>36557</v>
                </pt>
                <pt idx="32">
                  <v>36586</v>
                </pt>
                <pt idx="33">
                  <v>36617</v>
                </pt>
                <pt idx="34">
                  <v>36647</v>
                </pt>
                <pt idx="35">
                  <v>36678</v>
                </pt>
                <pt idx="36">
                  <v>36708</v>
                </pt>
                <pt idx="37">
                  <v>36739</v>
                </pt>
                <pt idx="38">
                  <v>36770</v>
                </pt>
                <pt idx="39">
                  <v>36800</v>
                </pt>
                <pt idx="40">
                  <v>36831</v>
                </pt>
                <pt idx="41">
                  <v>36861</v>
                </pt>
                <pt idx="42">
                  <v>36892</v>
                </pt>
                <pt idx="43">
                  <v>36923</v>
                </pt>
                <pt idx="44">
                  <v>36951</v>
                </pt>
                <pt idx="45">
                  <v>36982</v>
                </pt>
                <pt idx="46">
                  <v>37012</v>
                </pt>
                <pt idx="47">
                  <v>37043</v>
                </pt>
                <pt idx="48">
                  <v>37073</v>
                </pt>
                <pt idx="49">
                  <v>37104</v>
                </pt>
                <pt idx="50">
                  <v>37135</v>
                </pt>
                <pt idx="51">
                  <v>37165</v>
                </pt>
                <pt idx="52">
                  <v>37196</v>
                </pt>
                <pt idx="53">
                  <v>37226</v>
                </pt>
                <pt idx="54">
                  <v>37257</v>
                </pt>
                <pt idx="55">
                  <v>37288</v>
                </pt>
                <pt idx="56">
                  <v>37316</v>
                </pt>
                <pt idx="57">
                  <v>37347</v>
                </pt>
                <pt idx="58">
                  <v>37377</v>
                </pt>
                <pt idx="59">
                  <v>37408</v>
                </pt>
                <pt idx="60">
                  <v>37438</v>
                </pt>
                <pt idx="61">
                  <v>37469</v>
                </pt>
                <pt idx="62">
                  <v>37500</v>
                </pt>
                <pt idx="63">
                  <v>37530</v>
                </pt>
                <pt idx="64">
                  <v>37561</v>
                </pt>
                <pt idx="65">
                  <v>37591</v>
                </pt>
                <pt idx="66">
                  <v>37622</v>
                </pt>
                <pt idx="67">
                  <v>37653</v>
                </pt>
                <pt idx="68">
                  <v>37681</v>
                </pt>
                <pt idx="69">
                  <v>37712</v>
                </pt>
                <pt idx="70">
                  <v>37742</v>
                </pt>
                <pt idx="71">
                  <v>37773</v>
                </pt>
                <pt idx="72">
                  <v>37803</v>
                </pt>
                <pt idx="73">
                  <v>37834</v>
                </pt>
                <pt idx="74">
                  <v>37865</v>
                </pt>
                <pt idx="75">
                  <v>37895</v>
                </pt>
                <pt idx="76">
                  <v>37926</v>
                </pt>
                <pt idx="77">
                  <v>37956</v>
                </pt>
                <pt idx="78">
                  <v>37987</v>
                </pt>
                <pt idx="79">
                  <v>38018</v>
                </pt>
                <pt idx="80">
                  <v>38047</v>
                </pt>
                <pt idx="81">
                  <v>38078</v>
                </pt>
                <pt idx="82">
                  <v>38108</v>
                </pt>
                <pt idx="83">
                  <v>38139</v>
                </pt>
                <pt idx="84">
                  <v>38169</v>
                </pt>
                <pt idx="85">
                  <v>38200</v>
                </pt>
                <pt idx="86">
                  <v>38231</v>
                </pt>
                <pt idx="87">
                  <v>38261</v>
                </pt>
                <pt idx="88">
                  <v>38292</v>
                </pt>
                <pt idx="89">
                  <v>38322</v>
                </pt>
                <pt idx="90">
                  <v>38353</v>
                </pt>
                <pt idx="91">
                  <v>38384</v>
                </pt>
                <pt idx="92">
                  <v>38412</v>
                </pt>
                <pt idx="93">
                  <v>38443</v>
                </pt>
                <pt idx="94">
                  <v>38473</v>
                </pt>
                <pt idx="95">
                  <v>38504</v>
                </pt>
                <pt idx="96">
                  <v>38534</v>
                </pt>
                <pt idx="97">
                  <v>38565</v>
                </pt>
                <pt idx="98">
                  <v>38596</v>
                </pt>
                <pt idx="99">
                  <v>38626</v>
                </pt>
                <pt idx="100">
                  <v>38657</v>
                </pt>
                <pt idx="101">
                  <v>38687</v>
                </pt>
                <pt idx="102">
                  <v>38718</v>
                </pt>
                <pt idx="103">
                  <v>38749</v>
                </pt>
                <pt idx="104">
                  <v>38777</v>
                </pt>
                <pt idx="105">
                  <v>38808</v>
                </pt>
                <pt idx="106">
                  <v>38838</v>
                </pt>
                <pt idx="107">
                  <v>38869</v>
                </pt>
                <pt idx="108">
                  <v>38899</v>
                </pt>
                <pt idx="109">
                  <v>38930</v>
                </pt>
                <pt idx="110">
                  <v>38961</v>
                </pt>
                <pt idx="111">
                  <v>38991</v>
                </pt>
                <pt idx="112">
                  <v>39022</v>
                </pt>
                <pt idx="113">
                  <v>39052</v>
                </pt>
                <pt idx="114">
                  <v>39083</v>
                </pt>
                <pt idx="115">
                  <v>39114</v>
                </pt>
                <pt idx="116">
                  <v>39142</v>
                </pt>
                <pt idx="117">
                  <v>39173</v>
                </pt>
                <pt idx="118">
                  <v>39203</v>
                </pt>
                <pt idx="119">
                  <v>39234</v>
                </pt>
                <pt idx="120">
                  <v>39264</v>
                </pt>
                <pt idx="121">
                  <v>39295</v>
                </pt>
                <pt idx="122">
                  <v>39326</v>
                </pt>
                <pt idx="123">
                  <v>39356</v>
                </pt>
                <pt idx="124">
                  <v>39387</v>
                </pt>
                <pt idx="125">
                  <v>39417</v>
                </pt>
                <pt idx="126">
                  <v>39448</v>
                </pt>
                <pt idx="127">
                  <v>39479</v>
                </pt>
                <pt idx="128">
                  <v>39508</v>
                </pt>
                <pt idx="129">
                  <v>39539</v>
                </pt>
                <pt idx="130">
                  <v>39569</v>
                </pt>
                <pt idx="131">
                  <v>39600</v>
                </pt>
                <pt idx="132">
                  <v>39630</v>
                </pt>
                <pt idx="133">
                  <v>39661</v>
                </pt>
                <pt idx="134">
                  <v>39692</v>
                </pt>
                <pt idx="135">
                  <v>39722</v>
                </pt>
                <pt idx="136">
                  <v>39753</v>
                </pt>
                <pt idx="137">
                  <v>39783</v>
                </pt>
                <pt idx="138">
                  <v>39814</v>
                </pt>
                <pt idx="139">
                  <v>39845</v>
                </pt>
                <pt idx="140">
                  <v>39873</v>
                </pt>
                <pt idx="141">
                  <v>39904</v>
                </pt>
                <pt idx="142">
                  <v>39934</v>
                </pt>
                <pt idx="143">
                  <v>39965</v>
                </pt>
                <pt idx="144">
                  <v>39995</v>
                </pt>
                <pt idx="145">
                  <v>40026</v>
                </pt>
                <pt idx="146">
                  <v>40057</v>
                </pt>
                <pt idx="147">
                  <v>40087</v>
                </pt>
                <pt idx="148">
                  <v>40118</v>
                </pt>
                <pt idx="149">
                  <v>40148</v>
                </pt>
                <pt idx="150">
                  <v>40179</v>
                </pt>
                <pt idx="151">
                  <v>40210</v>
                </pt>
                <pt idx="152">
                  <v>40238</v>
                </pt>
                <pt idx="153">
                  <v>40269</v>
                </pt>
                <pt idx="154">
                  <v>40299</v>
                </pt>
                <pt idx="155">
                  <v>40330</v>
                </pt>
                <pt idx="156">
                  <v>40360</v>
                </pt>
                <pt idx="157">
                  <v>40391</v>
                </pt>
                <pt idx="158">
                  <v>40422</v>
                </pt>
                <pt idx="159">
                  <v>40452</v>
                </pt>
                <pt idx="160">
                  <v>40483</v>
                </pt>
                <pt idx="161">
                  <v>40513</v>
                </pt>
                <pt idx="162">
                  <v>40544</v>
                </pt>
                <pt idx="163">
                  <v>40575</v>
                </pt>
                <pt idx="164">
                  <v>40603</v>
                </pt>
                <pt idx="165">
                  <v>40634</v>
                </pt>
                <pt idx="166">
                  <v>40664</v>
                </pt>
                <pt idx="167">
                  <v>40695</v>
                </pt>
                <pt idx="168">
                  <v>40725</v>
                </pt>
                <pt idx="169">
                  <v>40756</v>
                </pt>
                <pt idx="170">
                  <v>40787</v>
                </pt>
                <pt idx="171">
                  <v>40817</v>
                </pt>
                <pt idx="172">
                  <v>40848</v>
                </pt>
                <pt idx="173">
                  <v>40878</v>
                </pt>
                <pt idx="174">
                  <v>40909</v>
                </pt>
                <pt idx="175">
                  <v>40940</v>
                </pt>
                <pt idx="176">
                  <v>40969</v>
                </pt>
                <pt idx="177">
                  <v>41000</v>
                </pt>
                <pt idx="178">
                  <v>41030</v>
                </pt>
                <pt idx="179">
                  <v>41061</v>
                </pt>
                <pt idx="180">
                  <v>41091</v>
                </pt>
                <pt idx="181">
                  <v>41122</v>
                </pt>
                <pt idx="182">
                  <v>41153</v>
                </pt>
                <pt idx="183">
                  <v>41183</v>
                </pt>
                <pt idx="184">
                  <v>41214</v>
                </pt>
                <pt idx="185">
                  <v>41244</v>
                </pt>
                <pt idx="186">
                  <v>41275</v>
                </pt>
                <pt idx="187">
                  <v>41306</v>
                </pt>
                <pt idx="188">
                  <v>41334</v>
                </pt>
                <pt idx="189">
                  <v>41365</v>
                </pt>
                <pt idx="190">
                  <v>41395</v>
                </pt>
                <pt idx="191">
                  <v>41426</v>
                </pt>
                <pt idx="192">
                  <v>41456</v>
                </pt>
                <pt idx="193">
                  <v>41487</v>
                </pt>
                <pt idx="194">
                  <v>41518</v>
                </pt>
                <pt idx="195">
                  <v>41548</v>
                </pt>
                <pt idx="196">
                  <v>41579</v>
                </pt>
                <pt idx="197">
                  <v>41609</v>
                </pt>
                <pt idx="198">
                  <v>41640</v>
                </pt>
                <pt idx="199">
                  <v>41671</v>
                </pt>
                <pt idx="200">
                  <v>41699</v>
                </pt>
                <pt idx="201">
                  <v>41730</v>
                </pt>
                <pt idx="202">
                  <v>41760</v>
                </pt>
                <pt idx="203">
                  <v>41791</v>
                </pt>
                <pt idx="204">
                  <v>41821</v>
                </pt>
                <pt idx="205">
                  <v>41852</v>
                </pt>
                <pt idx="206">
                  <v>41883</v>
                </pt>
                <pt idx="207">
                  <v>41913</v>
                </pt>
                <pt idx="208">
                  <v>41944</v>
                </pt>
                <pt idx="209">
                  <v>41974</v>
                </pt>
                <pt idx="210">
                  <v>42005</v>
                </pt>
                <pt idx="211">
                  <v>42036</v>
                </pt>
                <pt idx="212">
                  <v>42064</v>
                </pt>
                <pt idx="213">
                  <v>42095</v>
                </pt>
                <pt idx="214">
                  <v>42125</v>
                </pt>
                <pt idx="215">
                  <v>42156</v>
                </pt>
                <pt idx="216">
                  <v>42186</v>
                </pt>
                <pt idx="217">
                  <v>42217</v>
                </pt>
                <pt idx="218">
                  <v>42248</v>
                </pt>
                <pt idx="219">
                  <v>42278</v>
                </pt>
                <pt idx="220">
                  <v>42309</v>
                </pt>
                <pt idx="221">
                  <v>42339</v>
                </pt>
                <pt idx="222">
                  <v>42370</v>
                </pt>
                <pt idx="223">
                  <v>42401</v>
                </pt>
                <pt idx="224">
                  <v>42430</v>
                </pt>
                <pt idx="225">
                  <v>42461</v>
                </pt>
                <pt idx="226">
                  <v>42491</v>
                </pt>
                <pt idx="227">
                  <v>42522</v>
                </pt>
                <pt idx="228">
                  <v>42552</v>
                </pt>
                <pt idx="229">
                  <v>42583</v>
                </pt>
                <pt idx="230">
                  <v>42614</v>
                </pt>
                <pt idx="231">
                  <v>42644</v>
                </pt>
                <pt idx="232">
                  <v>42675</v>
                </pt>
                <pt idx="233">
                  <v>42705</v>
                </pt>
                <pt idx="234">
                  <v>42736</v>
                </pt>
                <pt idx="235">
                  <v>42767</v>
                </pt>
                <pt idx="236">
                  <v>42795</v>
                </pt>
                <pt idx="237">
                  <v>42826</v>
                </pt>
                <pt idx="238">
                  <v>42856</v>
                </pt>
                <pt idx="239">
                  <v>42887</v>
                </pt>
                <pt idx="240">
                  <v>42917</v>
                </pt>
                <pt idx="241">
                  <v>42948</v>
                </pt>
                <pt idx="242">
                  <v>42979</v>
                </pt>
                <pt idx="243">
                  <v>43009</v>
                </pt>
                <pt idx="244">
                  <v>43040</v>
                </pt>
                <pt idx="245">
                  <v>43070</v>
                </pt>
                <pt idx="246">
                  <v>43101</v>
                </pt>
                <pt idx="247">
                  <v>43132</v>
                </pt>
                <pt idx="248">
                  <v>43160</v>
                </pt>
                <pt idx="249">
                  <v>43191</v>
                </pt>
                <pt idx="250">
                  <v>43221</v>
                </pt>
                <pt idx="251">
                  <v>43252</v>
                </pt>
                <pt idx="252">
                  <v>43282</v>
                </pt>
                <pt idx="253">
                  <v>43313</v>
                </pt>
                <pt idx="254">
                  <v>43344</v>
                </pt>
                <pt idx="255">
                  <v>43374</v>
                </pt>
                <pt idx="256">
                  <v>43405</v>
                </pt>
                <pt idx="257">
                  <v>43435</v>
                </pt>
                <pt idx="258">
                  <v>43466</v>
                </pt>
                <pt idx="259">
                  <v>43497</v>
                </pt>
                <pt idx="260">
                  <v>43525</v>
                </pt>
                <pt idx="261">
                  <v>43556</v>
                </pt>
                <pt idx="262">
                  <v>43586</v>
                </pt>
                <pt idx="263">
                  <v>43617</v>
                </pt>
                <pt idx="264">
                  <v>43647</v>
                </pt>
                <pt idx="265">
                  <v>43678</v>
                </pt>
                <pt idx="266">
                  <v>43709</v>
                </pt>
                <pt idx="267">
                  <v>43739</v>
                </pt>
                <pt idx="268">
                  <v>43770</v>
                </pt>
                <pt idx="269">
                  <v>43800</v>
                </pt>
                <pt idx="270">
                  <v>43831</v>
                </pt>
                <pt idx="271">
                  <v>43862</v>
                </pt>
                <pt idx="272">
                  <v>43891</v>
                </pt>
                <pt idx="273">
                  <v>43922</v>
                </pt>
                <pt idx="274">
                  <v>43952</v>
                </pt>
                <pt idx="275">
                  <v>43983</v>
                </pt>
                <pt idx="276">
                  <v>44013</v>
                </pt>
                <pt idx="277">
                  <v>44044</v>
                </pt>
                <pt idx="278">
                  <v>44075</v>
                </pt>
                <pt idx="279">
                  <v>44105</v>
                </pt>
                <pt idx="280">
                  <v>44136</v>
                </pt>
                <pt idx="281">
                  <v>44166</v>
                </pt>
                <pt idx="282">
                  <v>44197</v>
                </pt>
                <pt idx="283">
                  <v>44228</v>
                </pt>
                <pt idx="284">
                  <v>44256</v>
                </pt>
                <pt idx="285">
                  <v>44287</v>
                </pt>
                <pt idx="286">
                  <v>44317</v>
                </pt>
                <pt idx="287">
                  <v>44348</v>
                </pt>
                <pt idx="288">
                  <v>44378</v>
                </pt>
                <pt idx="289">
                  <v>44409</v>
                </pt>
                <pt idx="290">
                  <v>44440</v>
                </pt>
                <pt idx="291">
                  <v>44470</v>
                </pt>
                <pt idx="292">
                  <v>44501</v>
                </pt>
                <pt idx="293">
                  <v>44531</v>
                </pt>
                <pt idx="294">
                  <v>44562</v>
                </pt>
                <pt idx="295">
                  <v>44593</v>
                </pt>
                <pt idx="296">
                  <v>44621</v>
                </pt>
                <pt idx="297">
                  <v>44652</v>
                </pt>
                <pt idx="298">
                  <v>44682</v>
                </pt>
                <pt idx="299">
                  <v>44713</v>
                </pt>
              </numCache>
            </numRef>
          </cat>
          <val>
            <numRef>
              <f>Details!$G$6:$G$307</f>
              <numCache>
                <formatCode>General</formatCode>
                <ptCount val="302"/>
                <pt idx="0">
                  <v>0</v>
                </pt>
                <pt idx="1">
                  <v>62</v>
                </pt>
                <pt idx="2">
                  <v>63</v>
                </pt>
                <pt idx="3">
                  <v>66</v>
                </pt>
                <pt idx="4">
                  <v>64.5</v>
                </pt>
                <pt idx="5">
                  <v>67</v>
                </pt>
                <pt idx="6">
                  <v>61.5</v>
                </pt>
                <pt idx="7">
                  <v>59.5</v>
                </pt>
                <pt idx="8">
                  <v>64</v>
                </pt>
                <pt idx="9">
                  <v>66.5</v>
                </pt>
                <pt idx="10">
                  <v>63.5</v>
                </pt>
                <pt idx="11">
                  <v>69</v>
                </pt>
                <pt idx="12">
                  <v>60.5</v>
                </pt>
                <pt idx="13">
                  <v>62.5</v>
                </pt>
                <pt idx="14">
                  <v>65</v>
                </pt>
                <pt idx="15">
                  <v>65.5</v>
                </pt>
                <pt idx="16">
                  <v>63</v>
                </pt>
                <pt idx="17">
                  <v>64.5</v>
                </pt>
                <pt idx="18">
                  <v>61</v>
                </pt>
                <pt idx="19">
                  <v>60.5</v>
                </pt>
                <pt idx="20">
                  <v>61.5</v>
                </pt>
                <pt idx="21">
                  <v>63</v>
                </pt>
                <pt idx="22">
                  <v>61</v>
                </pt>
                <pt idx="23">
                  <v>61</v>
                </pt>
                <pt idx="24">
                  <v>61</v>
                </pt>
                <pt idx="25">
                  <v>63</v>
                </pt>
                <pt idx="26">
                  <v>61.5</v>
                </pt>
                <pt idx="27">
                  <v>58</v>
                </pt>
                <pt idx="28">
                  <v>62.5</v>
                </pt>
                <pt idx="29">
                  <v>61.5</v>
                </pt>
                <pt idx="30">
                  <v>67</v>
                </pt>
                <pt idx="31">
                  <v>66.5</v>
                </pt>
                <pt idx="32">
                  <v>60.5</v>
                </pt>
                <pt idx="33">
                  <v>64</v>
                </pt>
                <pt idx="34">
                  <v>63</v>
                </pt>
                <pt idx="35">
                  <v>66.5</v>
                </pt>
                <pt idx="36">
                  <v>68</v>
                </pt>
                <pt idx="37">
                  <v>61.5</v>
                </pt>
                <pt idx="38">
                  <v>65</v>
                </pt>
                <pt idx="39">
                  <v>67.5</v>
                </pt>
                <pt idx="40">
                  <v>66</v>
                </pt>
                <pt idx="41">
                  <v>65</v>
                </pt>
                <pt idx="42">
                  <v>67.5</v>
                </pt>
                <pt idx="43">
                  <v>65</v>
                </pt>
                <pt idx="44">
                  <v>69</v>
                </pt>
                <pt idx="45">
                  <v>64</v>
                </pt>
                <pt idx="46">
                  <v>63.5</v>
                </pt>
                <pt idx="47">
                  <v>65</v>
                </pt>
                <pt idx="48">
                  <v>61.5</v>
                </pt>
                <pt idx="49">
                  <v>65.5</v>
                </pt>
                <pt idx="50">
                  <v>64</v>
                </pt>
                <pt idx="51">
                  <v>68.5</v>
                </pt>
                <pt idx="52">
                  <v>67</v>
                </pt>
                <pt idx="53">
                  <v>66.5</v>
                </pt>
                <pt idx="54">
                  <v>64.5</v>
                </pt>
                <pt idx="55">
                  <v>66.5</v>
                </pt>
                <pt idx="56">
                  <v>65.5</v>
                </pt>
                <pt idx="57">
                  <v>63</v>
                </pt>
                <pt idx="58">
                  <v>65</v>
                </pt>
                <pt idx="59">
                  <v>66</v>
                </pt>
                <pt idx="60">
                  <v>66</v>
                </pt>
                <pt idx="61">
                  <v>62</v>
                </pt>
                <pt idx="62">
                  <v>66</v>
                </pt>
                <pt idx="63">
                  <v>64.5</v>
                </pt>
                <pt idx="64">
                  <v>61</v>
                </pt>
                <pt idx="65">
                  <v>63</v>
                </pt>
                <pt idx="66">
                  <v>64.5</v>
                </pt>
                <pt idx="67">
                  <v>66.5</v>
                </pt>
                <pt idx="68">
                  <v>66</v>
                </pt>
                <pt idx="69">
                  <v>62.5</v>
                </pt>
                <pt idx="70">
                  <v>63</v>
                </pt>
                <pt idx="71">
                  <v>62</v>
                </pt>
                <pt idx="72">
                  <v>60</v>
                </pt>
                <pt idx="73">
                  <v>62</v>
                </pt>
                <pt idx="74">
                  <v>60.5</v>
                </pt>
                <pt idx="75">
                  <v>60</v>
                </pt>
                <pt idx="76">
                  <v>62</v>
                </pt>
                <pt idx="77">
                  <v>62</v>
                </pt>
                <pt idx="78">
                  <v>59</v>
                </pt>
                <pt idx="79">
                  <v>58</v>
                </pt>
                <pt idx="80">
                  <v>60.5</v>
                </pt>
                <pt idx="81">
                  <v>58</v>
                </pt>
                <pt idx="82">
                  <v>60</v>
                </pt>
                <pt idx="83">
                  <v>60.5</v>
                </pt>
                <pt idx="84">
                  <v>64</v>
                </pt>
                <pt idx="85">
                  <v>62.5</v>
                </pt>
                <pt idx="86">
                  <v>61.5</v>
                </pt>
                <pt idx="87">
                  <v>60.5</v>
                </pt>
                <pt idx="88">
                  <v>61.5</v>
                </pt>
                <pt idx="89">
                  <v>64</v>
                </pt>
                <pt idx="90">
                  <v>64.5</v>
                </pt>
                <pt idx="91">
                  <v>64.5</v>
                </pt>
                <pt idx="92">
                  <v>64.5</v>
                </pt>
                <pt idx="93">
                  <v>60.5</v>
                </pt>
                <pt idx="94">
                  <v>63</v>
                </pt>
                <pt idx="95">
                  <v>64.5</v>
                </pt>
                <pt idx="96">
                  <v>64</v>
                </pt>
                <pt idx="97">
                  <v>67</v>
                </pt>
                <pt idx="98">
                  <v>64</v>
                </pt>
                <pt idx="99">
                  <v>55</v>
                </pt>
                <pt idx="100">
                  <v>60</v>
                </pt>
                <pt idx="101">
                  <v>59</v>
                </pt>
                <pt idx="102">
                  <v>63</v>
                </pt>
                <pt idx="103">
                  <v>63.5</v>
                </pt>
                <pt idx="104">
                  <v>63</v>
                </pt>
                <pt idx="105">
                  <v>60</v>
                </pt>
                <pt idx="106">
                  <v>59</v>
                </pt>
                <pt idx="107">
                  <v>63</v>
                </pt>
                <pt idx="108">
                  <v>60</v>
                </pt>
                <pt idx="109">
                  <v>59</v>
                </pt>
                <pt idx="110">
                  <v>63.5</v>
                </pt>
                <pt idx="111">
                  <v>64.5</v>
                </pt>
                <pt idx="112">
                  <v>57</v>
                </pt>
                <pt idx="113">
                  <v>63.5</v>
                </pt>
                <pt idx="114">
                  <v>65.5</v>
                </pt>
                <pt idx="115">
                  <v>61.5</v>
                </pt>
                <pt idx="116">
                  <v>63</v>
                </pt>
                <pt idx="117">
                  <v>60.5</v>
                </pt>
                <pt idx="118">
                  <v>61</v>
                </pt>
                <pt idx="119">
                  <v>60.5</v>
                </pt>
                <pt idx="120">
                  <v>65</v>
                </pt>
                <pt idx="121">
                  <v>61.5</v>
                </pt>
                <pt idx="122">
                  <v>62</v>
                </pt>
                <pt idx="123">
                  <v>60</v>
                </pt>
                <pt idx="124">
                  <v>61.5</v>
                </pt>
                <pt idx="125">
                  <v>64.5</v>
                </pt>
                <pt idx="126">
                  <v>57</v>
                </pt>
                <pt idx="127">
                  <v>60.5</v>
                </pt>
                <pt idx="128">
                  <v>60.5</v>
                </pt>
                <pt idx="129">
                  <v>63</v>
                </pt>
                <pt idx="130">
                  <v>66.5</v>
                </pt>
                <pt idx="131">
                  <v>60</v>
                </pt>
                <pt idx="132">
                  <v>62.5</v>
                </pt>
                <pt idx="133">
                  <v>66</v>
                </pt>
                <pt idx="134">
                  <v>62.5</v>
                </pt>
                <pt idx="135">
                  <v>67.5</v>
                </pt>
                <pt idx="136">
                  <v>65</v>
                </pt>
                <pt idx="137">
                  <v>65.5</v>
                </pt>
                <pt idx="138">
                  <v>62.5</v>
                </pt>
                <pt idx="139">
                  <v>66.5</v>
                </pt>
                <pt idx="140">
                  <v>60</v>
                </pt>
                <pt idx="141">
                  <v>62.5</v>
                </pt>
                <pt idx="142">
                  <v>62.5</v>
                </pt>
                <pt idx="143">
                  <v>67</v>
                </pt>
                <pt idx="144">
                  <v>62.5</v>
                </pt>
                <pt idx="145">
                  <v>67.5</v>
                </pt>
                <pt idx="146">
                  <v>62</v>
                </pt>
                <pt idx="147">
                  <v>63.5</v>
                </pt>
                <pt idx="148">
                  <v>61.5</v>
                </pt>
                <pt idx="149">
                  <v>61</v>
                </pt>
                <pt idx="150">
                  <v>64.5</v>
                </pt>
                <pt idx="151">
                  <v>60</v>
                </pt>
                <pt idx="152">
                  <v>52.5</v>
                </pt>
                <pt idx="153">
                  <v>53.5</v>
                </pt>
                <pt idx="154">
                  <v>60.5</v>
                </pt>
                <pt idx="155">
                  <v>59</v>
                </pt>
                <pt idx="156">
                  <v>59</v>
                </pt>
                <pt idx="157">
                  <v>60</v>
                </pt>
                <pt idx="158">
                  <v>59.5</v>
                </pt>
                <pt idx="159">
                  <v>61.5</v>
                </pt>
                <pt idx="160">
                  <v>60</v>
                </pt>
                <pt idx="161">
                  <v>61.5</v>
                </pt>
                <pt idx="162">
                  <v>60</v>
                </pt>
                <pt idx="163">
                  <v>57.5</v>
                </pt>
                <pt idx="164">
                  <v>67</v>
                </pt>
                <pt idx="165">
                  <v>57.5</v>
                </pt>
                <pt idx="166">
                  <v>55</v>
                </pt>
                <pt idx="167">
                  <v>58.5</v>
                </pt>
                <pt idx="168">
                  <v>59.5</v>
                </pt>
                <pt idx="169">
                  <v>56</v>
                </pt>
                <pt idx="170">
                  <v>59</v>
                </pt>
                <pt idx="171">
                  <v>57.5</v>
                </pt>
                <pt idx="172">
                  <v>63</v>
                </pt>
                <pt idx="173">
                  <v>59.5</v>
                </pt>
                <pt idx="174">
                  <v>58.5</v>
                </pt>
                <pt idx="175">
                  <v>61.5</v>
                </pt>
                <pt idx="176">
                  <v>58.5</v>
                </pt>
                <pt idx="177">
                  <v>61</v>
                </pt>
                <pt idx="178">
                  <v>63</v>
                </pt>
                <pt idx="179">
                  <v>64.5</v>
                </pt>
                <pt idx="180">
                  <v>59</v>
                </pt>
                <pt idx="181">
                  <v>67</v>
                </pt>
                <pt idx="182">
                  <v>65</v>
                </pt>
                <pt idx="183">
                  <v>64</v>
                </pt>
                <pt idx="184">
                  <v>62.5</v>
                </pt>
                <pt idx="185">
                  <v>58</v>
                </pt>
                <pt idx="186">
                  <v>64</v>
                </pt>
                <pt idx="187">
                  <v>62.5</v>
                </pt>
                <pt idx="188">
                  <v>59.5</v>
                </pt>
                <pt idx="189">
                  <v>60.5</v>
                </pt>
                <pt idx="190">
                  <v>62.5</v>
                </pt>
                <pt idx="191">
                  <v>61.5</v>
                </pt>
                <pt idx="192">
                  <v>64</v>
                </pt>
                <pt idx="193">
                  <v>63.5</v>
                </pt>
                <pt idx="194">
                  <v>62</v>
                </pt>
                <pt idx="195">
                  <v>62.5</v>
                </pt>
                <pt idx="196">
                  <v>60.5</v>
                </pt>
                <pt idx="197">
                  <v>57.5</v>
                </pt>
                <pt idx="198">
                  <v>63</v>
                </pt>
                <pt idx="199">
                  <v>62</v>
                </pt>
                <pt idx="200">
                  <v>60.5</v>
                </pt>
                <pt idx="201">
                  <v>65</v>
                </pt>
                <pt idx="202">
                  <v>63</v>
                </pt>
                <pt idx="203">
                  <v>60.5</v>
                </pt>
                <pt idx="204">
                  <v>58</v>
                </pt>
                <pt idx="205">
                  <v>55</v>
                </pt>
                <pt idx="206">
                  <v>60</v>
                </pt>
                <pt idx="207">
                  <v>58.5</v>
                </pt>
                <pt idx="208">
                  <v>63</v>
                </pt>
                <pt idx="209">
                  <v>59</v>
                </pt>
                <pt idx="210">
                  <v>61.5</v>
                </pt>
                <pt idx="211">
                  <v>62</v>
                </pt>
                <pt idx="212">
                  <v>61</v>
                </pt>
                <pt idx="213">
                  <v>59.5</v>
                </pt>
                <pt idx="214">
                  <v>59</v>
                </pt>
                <pt idx="215">
                  <v>65</v>
                </pt>
                <pt idx="216">
                  <v>63.5</v>
                </pt>
                <pt idx="217">
                  <v>69</v>
                </pt>
                <pt idx="218">
                  <v>65</v>
                </pt>
                <pt idx="219">
                  <v>63</v>
                </pt>
                <pt idx="220">
                  <v>63.5</v>
                </pt>
                <pt idx="221">
                  <v>64.5</v>
                </pt>
                <pt idx="222">
                  <v>61.5</v>
                </pt>
                <pt idx="223">
                  <v>62</v>
                </pt>
                <pt idx="224">
                  <v>62.5</v>
                </pt>
                <pt idx="225">
                  <v>61</v>
                </pt>
                <pt idx="226">
                  <v>60</v>
                </pt>
                <pt idx="227">
                  <v>62.5</v>
                </pt>
                <pt idx="228">
                  <v>63</v>
                </pt>
                <pt idx="229">
                  <v>64</v>
                </pt>
                <pt idx="230">
                  <v>64.5</v>
                </pt>
                <pt idx="231">
                  <v>62</v>
                </pt>
                <pt idx="232">
                  <v>60.5</v>
                </pt>
                <pt idx="233">
                  <v>61.5</v>
                </pt>
                <pt idx="234">
                  <v>62</v>
                </pt>
                <pt idx="235">
                  <v>64.5</v>
                </pt>
                <pt idx="236">
                  <v>65</v>
                </pt>
                <pt idx="237">
                  <v>60</v>
                </pt>
                <pt idx="238">
                  <v>63</v>
                </pt>
                <pt idx="239">
                  <v>62</v>
                </pt>
                <pt idx="240">
                  <v>67.5</v>
                </pt>
                <pt idx="241">
                  <v>61</v>
                </pt>
                <pt idx="242">
                  <v>58.5</v>
                </pt>
                <pt idx="243">
                  <v>61</v>
                </pt>
                <pt idx="244">
                  <v>56</v>
                </pt>
                <pt idx="245">
                  <v>62.5</v>
                </pt>
                <pt idx="246">
                  <v>61</v>
                </pt>
                <pt idx="247">
                  <v>61</v>
                </pt>
                <pt idx="248">
                  <v>58.5</v>
                </pt>
                <pt idx="249">
                  <v>60</v>
                </pt>
                <pt idx="250">
                  <v>61</v>
                </pt>
                <pt idx="251">
                  <v>57.5</v>
                </pt>
                <pt idx="252">
                  <v>58</v>
                </pt>
                <pt idx="253">
                  <v>59.5</v>
                </pt>
                <pt idx="254">
                  <v>59.5</v>
                </pt>
                <pt idx="255">
                  <v>62</v>
                </pt>
                <pt idx="256">
                  <v>60</v>
                </pt>
                <pt idx="257">
                  <v>59</v>
                </pt>
                <pt idx="258">
                  <v>60.5</v>
                </pt>
                <pt idx="259">
                  <v>59</v>
                </pt>
                <pt idx="260">
                  <v>62.5</v>
                </pt>
                <pt idx="261">
                  <v>60</v>
                </pt>
                <pt idx="262">
                  <v>58.5</v>
                </pt>
                <pt idx="263">
                  <v>58.5</v>
                </pt>
                <pt idx="264">
                  <v>60.5</v>
                </pt>
                <pt idx="265">
                  <v>56</v>
                </pt>
                <pt idx="266">
                  <v>58</v>
                </pt>
                <pt idx="267">
                  <v>57</v>
                </pt>
                <pt idx="268">
                  <v>58.5</v>
                </pt>
                <pt idx="269">
                  <v>60</v>
                </pt>
                <pt idx="270">
                  <v>54.9</v>
                </pt>
                <pt idx="271">
                  <v>59.3</v>
                </pt>
                <pt idx="272">
                  <v>47.8</v>
                </pt>
                <pt idx="273">
                  <v>62.6</v>
                </pt>
                <pt idx="274">
                  <v>55.1</v>
                </pt>
                <pt idx="275">
                  <v>55.9</v>
                </pt>
                <pt idx="276">
                  <v>50</v>
                </pt>
                <pt idx="277">
                  <v>52.5</v>
                </pt>
                <pt idx="278">
                  <v>55.4</v>
                </pt>
                <pt idx="279">
                  <v>51.1</v>
                </pt>
                <pt idx="280">
                  <v>49.9</v>
                </pt>
                <pt idx="281">
                  <v>47.7</v>
                </pt>
                <pt idx="282">
                  <v>49.7</v>
                </pt>
                <pt idx="283">
                  <v>54.3</v>
                </pt>
                <pt idx="284">
                  <v>52.7</v>
                </pt>
                <pt idx="285">
                  <v>46.8</v>
                </pt>
                <pt idx="286">
                  <v>40.5</v>
                </pt>
                <pt idx="287">
                  <v>37.2</v>
                </pt>
                <pt idx="288">
                  <v>40.3</v>
                </pt>
                <pt idx="289">
                  <v>41.4</v>
                </pt>
                <pt idx="290">
                  <v>46.3</v>
                </pt>
                <pt idx="291">
                  <v>37.3</v>
                </pt>
                <pt idx="292">
                  <v>36.4</v>
                </pt>
                <pt idx="293">
                  <v>38.3</v>
                </pt>
                <pt idx="294">
                  <v>47.5</v>
                </pt>
                <pt idx="295">
                  <v>55.3</v>
                </pt>
                <pt idx="296">
                  <v>40.2</v>
                </pt>
                <pt idx="297">
                  <v>46.7</v>
                </pt>
                <pt idx="298">
                  <v>44.5</v>
                </pt>
                <pt idx="299">
                  <v>46.2</v>
                </pt>
              </numCache>
            </numRef>
          </val>
          <smooth val="0"/>
        </ser>
        <dLbls>
          <showLegendKey val="0"/>
          <showVal val="0"/>
          <showCatName val="0"/>
          <showSerName val="0"/>
          <showPercent val="0"/>
          <showBubbleSize val="0"/>
        </dLbls>
        <smooth val="0"/>
        <axId val="946929536"/>
        <axId val="946929864"/>
      </lineChart>
      <dateAx>
        <axId val="946929536"/>
        <scaling>
          <orientation val="minMax"/>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864"/>
        <crosses val="autoZero"/>
        <lblOffset val="100"/>
        <baseTimeUnit val="months"/>
      </dateAx>
      <valAx>
        <axId val="946929864"/>
        <scaling>
          <orientation val="minMax"/>
          <min val="4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536"/>
        <crosses val="autoZero"/>
        <crossBetween val="between"/>
      </valAx>
    </plotArea>
    <plotVisOnly val="1"/>
    <dispBlanksAs val="gap"/>
  </chart>
</chartSpace>
</file>

<file path=xl/charts/chart68.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Inventory Sentiment</a:t>
            </a:r>
          </a:p>
        </rich>
      </tx>
      <overlay val="0"/>
      <spPr>
        <a:noFill xmlns:a="http://schemas.openxmlformats.org/drawingml/2006/main"/>
        <a:ln xmlns:a="http://schemas.openxmlformats.org/drawingml/2006/main">
          <a:noFill/>
          <a:prstDash val="solid"/>
        </a:ln>
      </spPr>
    </title>
    <plotArea>
      <layout/>
      <lineChart>
        <grouping val="standard"/>
        <varyColors val="0"/>
        <ser>
          <idx val="5"/>
          <order val="0"/>
          <tx>
            <strRef>
              <f>Details!$G$5</f>
              <strCache>
                <ptCount val="1"/>
                <pt idx="0">
                  <v>Inventory Sentiment</v>
                </pt>
              </strCache>
            </strRef>
          </tx>
          <spPr>
            <a:ln xmlns:a="http://schemas.openxmlformats.org/drawingml/2006/main" w="28575" cap="rnd">
              <a:solidFill>
                <a:schemeClr val="accent6"/>
              </a:solidFill>
              <a:prstDash val="solid"/>
              <a:round/>
            </a:ln>
          </spPr>
          <marker>
            <symbol val="none"/>
            <spPr>
              <a:ln xmlns:a="http://schemas.openxmlformats.org/drawingml/2006/main">
                <a:prstDash val="solid"/>
              </a:ln>
            </spPr>
          </marker>
          <cat>
            <numRef>
              <f>Details!$A$6:$A$307</f>
              <numCache>
                <formatCode>m/d/yy</formatCode>
                <ptCount val="302"/>
                <pt idx="0">
                  <v>35612</v>
                </pt>
                <pt idx="1">
                  <v>35643</v>
                </pt>
                <pt idx="2">
                  <v>35674</v>
                </pt>
                <pt idx="3">
                  <v>35704</v>
                </pt>
                <pt idx="4">
                  <v>35735</v>
                </pt>
                <pt idx="5">
                  <v>35765</v>
                </pt>
                <pt idx="6">
                  <v>35796</v>
                </pt>
                <pt idx="7">
                  <v>35827</v>
                </pt>
                <pt idx="8">
                  <v>35855</v>
                </pt>
                <pt idx="9">
                  <v>35886</v>
                </pt>
                <pt idx="10">
                  <v>35916</v>
                </pt>
                <pt idx="11">
                  <v>35947</v>
                </pt>
                <pt idx="12">
                  <v>35977</v>
                </pt>
                <pt idx="13">
                  <v>36008</v>
                </pt>
                <pt idx="14">
                  <v>36039</v>
                </pt>
                <pt idx="15">
                  <v>36069</v>
                </pt>
                <pt idx="16">
                  <v>36100</v>
                </pt>
                <pt idx="17">
                  <v>36130</v>
                </pt>
                <pt idx="18">
                  <v>36161</v>
                </pt>
                <pt idx="19">
                  <v>36192</v>
                </pt>
                <pt idx="20">
                  <v>36220</v>
                </pt>
                <pt idx="21">
                  <v>36251</v>
                </pt>
                <pt idx="22">
                  <v>36281</v>
                </pt>
                <pt idx="23">
                  <v>36312</v>
                </pt>
                <pt idx="24">
                  <v>36342</v>
                </pt>
                <pt idx="25">
                  <v>36373</v>
                </pt>
                <pt idx="26">
                  <v>36404</v>
                </pt>
                <pt idx="27">
                  <v>36434</v>
                </pt>
                <pt idx="28">
                  <v>36465</v>
                </pt>
                <pt idx="29">
                  <v>36495</v>
                </pt>
                <pt idx="30">
                  <v>36526</v>
                </pt>
                <pt idx="31">
                  <v>36557</v>
                </pt>
                <pt idx="32">
                  <v>36586</v>
                </pt>
                <pt idx="33">
                  <v>36617</v>
                </pt>
                <pt idx="34">
                  <v>36647</v>
                </pt>
                <pt idx="35">
                  <v>36678</v>
                </pt>
                <pt idx="36">
                  <v>36708</v>
                </pt>
                <pt idx="37">
                  <v>36739</v>
                </pt>
                <pt idx="38">
                  <v>36770</v>
                </pt>
                <pt idx="39">
                  <v>36800</v>
                </pt>
                <pt idx="40">
                  <v>36831</v>
                </pt>
                <pt idx="41">
                  <v>36861</v>
                </pt>
                <pt idx="42">
                  <v>36892</v>
                </pt>
                <pt idx="43">
                  <v>36923</v>
                </pt>
                <pt idx="44">
                  <v>36951</v>
                </pt>
                <pt idx="45">
                  <v>36982</v>
                </pt>
                <pt idx="46">
                  <v>37012</v>
                </pt>
                <pt idx="47">
                  <v>37043</v>
                </pt>
                <pt idx="48">
                  <v>37073</v>
                </pt>
                <pt idx="49">
                  <v>37104</v>
                </pt>
                <pt idx="50">
                  <v>37135</v>
                </pt>
                <pt idx="51">
                  <v>37165</v>
                </pt>
                <pt idx="52">
                  <v>37196</v>
                </pt>
                <pt idx="53">
                  <v>37226</v>
                </pt>
                <pt idx="54">
                  <v>37257</v>
                </pt>
                <pt idx="55">
                  <v>37288</v>
                </pt>
                <pt idx="56">
                  <v>37316</v>
                </pt>
                <pt idx="57">
                  <v>37347</v>
                </pt>
                <pt idx="58">
                  <v>37377</v>
                </pt>
                <pt idx="59">
                  <v>37408</v>
                </pt>
                <pt idx="60">
                  <v>37438</v>
                </pt>
                <pt idx="61">
                  <v>37469</v>
                </pt>
                <pt idx="62">
                  <v>37500</v>
                </pt>
                <pt idx="63">
                  <v>37530</v>
                </pt>
                <pt idx="64">
                  <v>37561</v>
                </pt>
                <pt idx="65">
                  <v>37591</v>
                </pt>
                <pt idx="66">
                  <v>37622</v>
                </pt>
                <pt idx="67">
                  <v>37653</v>
                </pt>
                <pt idx="68">
                  <v>37681</v>
                </pt>
                <pt idx="69">
                  <v>37712</v>
                </pt>
                <pt idx="70">
                  <v>37742</v>
                </pt>
                <pt idx="71">
                  <v>37773</v>
                </pt>
                <pt idx="72">
                  <v>37803</v>
                </pt>
                <pt idx="73">
                  <v>37834</v>
                </pt>
                <pt idx="74">
                  <v>37865</v>
                </pt>
                <pt idx="75">
                  <v>37895</v>
                </pt>
                <pt idx="76">
                  <v>37926</v>
                </pt>
                <pt idx="77">
                  <v>37956</v>
                </pt>
                <pt idx="78">
                  <v>37987</v>
                </pt>
                <pt idx="79">
                  <v>38018</v>
                </pt>
                <pt idx="80">
                  <v>38047</v>
                </pt>
                <pt idx="81">
                  <v>38078</v>
                </pt>
                <pt idx="82">
                  <v>38108</v>
                </pt>
                <pt idx="83">
                  <v>38139</v>
                </pt>
                <pt idx="84">
                  <v>38169</v>
                </pt>
                <pt idx="85">
                  <v>38200</v>
                </pt>
                <pt idx="86">
                  <v>38231</v>
                </pt>
                <pt idx="87">
                  <v>38261</v>
                </pt>
                <pt idx="88">
                  <v>38292</v>
                </pt>
                <pt idx="89">
                  <v>38322</v>
                </pt>
                <pt idx="90">
                  <v>38353</v>
                </pt>
                <pt idx="91">
                  <v>38384</v>
                </pt>
                <pt idx="92">
                  <v>38412</v>
                </pt>
                <pt idx="93">
                  <v>38443</v>
                </pt>
                <pt idx="94">
                  <v>38473</v>
                </pt>
                <pt idx="95">
                  <v>38504</v>
                </pt>
                <pt idx="96">
                  <v>38534</v>
                </pt>
                <pt idx="97">
                  <v>38565</v>
                </pt>
                <pt idx="98">
                  <v>38596</v>
                </pt>
                <pt idx="99">
                  <v>38626</v>
                </pt>
                <pt idx="100">
                  <v>38657</v>
                </pt>
                <pt idx="101">
                  <v>38687</v>
                </pt>
                <pt idx="102">
                  <v>38718</v>
                </pt>
                <pt idx="103">
                  <v>38749</v>
                </pt>
                <pt idx="104">
                  <v>38777</v>
                </pt>
                <pt idx="105">
                  <v>38808</v>
                </pt>
                <pt idx="106">
                  <v>38838</v>
                </pt>
                <pt idx="107">
                  <v>38869</v>
                </pt>
                <pt idx="108">
                  <v>38899</v>
                </pt>
                <pt idx="109">
                  <v>38930</v>
                </pt>
                <pt idx="110">
                  <v>38961</v>
                </pt>
                <pt idx="111">
                  <v>38991</v>
                </pt>
                <pt idx="112">
                  <v>39022</v>
                </pt>
                <pt idx="113">
                  <v>39052</v>
                </pt>
                <pt idx="114">
                  <v>39083</v>
                </pt>
                <pt idx="115">
                  <v>39114</v>
                </pt>
                <pt idx="116">
                  <v>39142</v>
                </pt>
                <pt idx="117">
                  <v>39173</v>
                </pt>
                <pt idx="118">
                  <v>39203</v>
                </pt>
                <pt idx="119">
                  <v>39234</v>
                </pt>
                <pt idx="120">
                  <v>39264</v>
                </pt>
                <pt idx="121">
                  <v>39295</v>
                </pt>
                <pt idx="122">
                  <v>39326</v>
                </pt>
                <pt idx="123">
                  <v>39356</v>
                </pt>
                <pt idx="124">
                  <v>39387</v>
                </pt>
                <pt idx="125">
                  <v>39417</v>
                </pt>
                <pt idx="126">
                  <v>39448</v>
                </pt>
                <pt idx="127">
                  <v>39479</v>
                </pt>
                <pt idx="128">
                  <v>39508</v>
                </pt>
                <pt idx="129">
                  <v>39539</v>
                </pt>
                <pt idx="130">
                  <v>39569</v>
                </pt>
                <pt idx="131">
                  <v>39600</v>
                </pt>
                <pt idx="132">
                  <v>39630</v>
                </pt>
                <pt idx="133">
                  <v>39661</v>
                </pt>
                <pt idx="134">
                  <v>39692</v>
                </pt>
                <pt idx="135">
                  <v>39722</v>
                </pt>
                <pt idx="136">
                  <v>39753</v>
                </pt>
                <pt idx="137">
                  <v>39783</v>
                </pt>
                <pt idx="138">
                  <v>39814</v>
                </pt>
                <pt idx="139">
                  <v>39845</v>
                </pt>
                <pt idx="140">
                  <v>39873</v>
                </pt>
                <pt idx="141">
                  <v>39904</v>
                </pt>
                <pt idx="142">
                  <v>39934</v>
                </pt>
                <pt idx="143">
                  <v>39965</v>
                </pt>
                <pt idx="144">
                  <v>39995</v>
                </pt>
                <pt idx="145">
                  <v>40026</v>
                </pt>
                <pt idx="146">
                  <v>40057</v>
                </pt>
                <pt idx="147">
                  <v>40087</v>
                </pt>
                <pt idx="148">
                  <v>40118</v>
                </pt>
                <pt idx="149">
                  <v>40148</v>
                </pt>
                <pt idx="150">
                  <v>40179</v>
                </pt>
                <pt idx="151">
                  <v>40210</v>
                </pt>
                <pt idx="152">
                  <v>40238</v>
                </pt>
                <pt idx="153">
                  <v>40269</v>
                </pt>
                <pt idx="154">
                  <v>40299</v>
                </pt>
                <pt idx="155">
                  <v>40330</v>
                </pt>
                <pt idx="156">
                  <v>40360</v>
                </pt>
                <pt idx="157">
                  <v>40391</v>
                </pt>
                <pt idx="158">
                  <v>40422</v>
                </pt>
                <pt idx="159">
                  <v>40452</v>
                </pt>
                <pt idx="160">
                  <v>40483</v>
                </pt>
                <pt idx="161">
                  <v>40513</v>
                </pt>
                <pt idx="162">
                  <v>40544</v>
                </pt>
                <pt idx="163">
                  <v>40575</v>
                </pt>
                <pt idx="164">
                  <v>40603</v>
                </pt>
                <pt idx="165">
                  <v>40634</v>
                </pt>
                <pt idx="166">
                  <v>40664</v>
                </pt>
                <pt idx="167">
                  <v>40695</v>
                </pt>
                <pt idx="168">
                  <v>40725</v>
                </pt>
                <pt idx="169">
                  <v>40756</v>
                </pt>
                <pt idx="170">
                  <v>40787</v>
                </pt>
                <pt idx="171">
                  <v>40817</v>
                </pt>
                <pt idx="172">
                  <v>40848</v>
                </pt>
                <pt idx="173">
                  <v>40878</v>
                </pt>
                <pt idx="174">
                  <v>40909</v>
                </pt>
                <pt idx="175">
                  <v>40940</v>
                </pt>
                <pt idx="176">
                  <v>40969</v>
                </pt>
                <pt idx="177">
                  <v>41000</v>
                </pt>
                <pt idx="178">
                  <v>41030</v>
                </pt>
                <pt idx="179">
                  <v>41061</v>
                </pt>
                <pt idx="180">
                  <v>41091</v>
                </pt>
                <pt idx="181">
                  <v>41122</v>
                </pt>
                <pt idx="182">
                  <v>41153</v>
                </pt>
                <pt idx="183">
                  <v>41183</v>
                </pt>
                <pt idx="184">
                  <v>41214</v>
                </pt>
                <pt idx="185">
                  <v>41244</v>
                </pt>
                <pt idx="186">
                  <v>41275</v>
                </pt>
                <pt idx="187">
                  <v>41306</v>
                </pt>
                <pt idx="188">
                  <v>41334</v>
                </pt>
                <pt idx="189">
                  <v>41365</v>
                </pt>
                <pt idx="190">
                  <v>41395</v>
                </pt>
                <pt idx="191">
                  <v>41426</v>
                </pt>
                <pt idx="192">
                  <v>41456</v>
                </pt>
                <pt idx="193">
                  <v>41487</v>
                </pt>
                <pt idx="194">
                  <v>41518</v>
                </pt>
                <pt idx="195">
                  <v>41548</v>
                </pt>
                <pt idx="196">
                  <v>41579</v>
                </pt>
                <pt idx="197">
                  <v>41609</v>
                </pt>
                <pt idx="198">
                  <v>41640</v>
                </pt>
                <pt idx="199">
                  <v>41671</v>
                </pt>
                <pt idx="200">
                  <v>41699</v>
                </pt>
                <pt idx="201">
                  <v>41730</v>
                </pt>
                <pt idx="202">
                  <v>41760</v>
                </pt>
                <pt idx="203">
                  <v>41791</v>
                </pt>
                <pt idx="204">
                  <v>41821</v>
                </pt>
                <pt idx="205">
                  <v>41852</v>
                </pt>
                <pt idx="206">
                  <v>41883</v>
                </pt>
                <pt idx="207">
                  <v>41913</v>
                </pt>
                <pt idx="208">
                  <v>41944</v>
                </pt>
                <pt idx="209">
                  <v>41974</v>
                </pt>
                <pt idx="210">
                  <v>42005</v>
                </pt>
                <pt idx="211">
                  <v>42036</v>
                </pt>
                <pt idx="212">
                  <v>42064</v>
                </pt>
                <pt idx="213">
                  <v>42095</v>
                </pt>
                <pt idx="214">
                  <v>42125</v>
                </pt>
                <pt idx="215">
                  <v>42156</v>
                </pt>
                <pt idx="216">
                  <v>42186</v>
                </pt>
                <pt idx="217">
                  <v>42217</v>
                </pt>
                <pt idx="218">
                  <v>42248</v>
                </pt>
                <pt idx="219">
                  <v>42278</v>
                </pt>
                <pt idx="220">
                  <v>42309</v>
                </pt>
                <pt idx="221">
                  <v>42339</v>
                </pt>
                <pt idx="222">
                  <v>42370</v>
                </pt>
                <pt idx="223">
                  <v>42401</v>
                </pt>
                <pt idx="224">
                  <v>42430</v>
                </pt>
                <pt idx="225">
                  <v>42461</v>
                </pt>
                <pt idx="226">
                  <v>42491</v>
                </pt>
                <pt idx="227">
                  <v>42522</v>
                </pt>
                <pt idx="228">
                  <v>42552</v>
                </pt>
                <pt idx="229">
                  <v>42583</v>
                </pt>
                <pt idx="230">
                  <v>42614</v>
                </pt>
                <pt idx="231">
                  <v>42644</v>
                </pt>
                <pt idx="232">
                  <v>42675</v>
                </pt>
                <pt idx="233">
                  <v>42705</v>
                </pt>
                <pt idx="234">
                  <v>42736</v>
                </pt>
                <pt idx="235">
                  <v>42767</v>
                </pt>
                <pt idx="236">
                  <v>42795</v>
                </pt>
                <pt idx="237">
                  <v>42826</v>
                </pt>
                <pt idx="238">
                  <v>42856</v>
                </pt>
                <pt idx="239">
                  <v>42887</v>
                </pt>
                <pt idx="240">
                  <v>42917</v>
                </pt>
                <pt idx="241">
                  <v>42948</v>
                </pt>
                <pt idx="242">
                  <v>42979</v>
                </pt>
                <pt idx="243">
                  <v>43009</v>
                </pt>
                <pt idx="244">
                  <v>43040</v>
                </pt>
                <pt idx="245">
                  <v>43070</v>
                </pt>
                <pt idx="246">
                  <v>43101</v>
                </pt>
                <pt idx="247">
                  <v>43132</v>
                </pt>
                <pt idx="248">
                  <v>43160</v>
                </pt>
                <pt idx="249">
                  <v>43191</v>
                </pt>
                <pt idx="250">
                  <v>43221</v>
                </pt>
                <pt idx="251">
                  <v>43252</v>
                </pt>
                <pt idx="252">
                  <v>43282</v>
                </pt>
                <pt idx="253">
                  <v>43313</v>
                </pt>
                <pt idx="254">
                  <v>43344</v>
                </pt>
                <pt idx="255">
                  <v>43374</v>
                </pt>
                <pt idx="256">
                  <v>43405</v>
                </pt>
                <pt idx="257">
                  <v>43435</v>
                </pt>
                <pt idx="258">
                  <v>43466</v>
                </pt>
                <pt idx="259">
                  <v>43497</v>
                </pt>
                <pt idx="260">
                  <v>43525</v>
                </pt>
                <pt idx="261">
                  <v>43556</v>
                </pt>
                <pt idx="262">
                  <v>43586</v>
                </pt>
                <pt idx="263">
                  <v>43617</v>
                </pt>
                <pt idx="264">
                  <v>43647</v>
                </pt>
                <pt idx="265">
                  <v>43678</v>
                </pt>
                <pt idx="266">
                  <v>43709</v>
                </pt>
                <pt idx="267">
                  <v>43739</v>
                </pt>
                <pt idx="268">
                  <v>43770</v>
                </pt>
                <pt idx="269">
                  <v>43800</v>
                </pt>
                <pt idx="270">
                  <v>43831</v>
                </pt>
                <pt idx="271">
                  <v>43862</v>
                </pt>
                <pt idx="272">
                  <v>43891</v>
                </pt>
                <pt idx="273">
                  <v>43922</v>
                </pt>
                <pt idx="274">
                  <v>43952</v>
                </pt>
                <pt idx="275">
                  <v>43983</v>
                </pt>
                <pt idx="276">
                  <v>44013</v>
                </pt>
                <pt idx="277">
                  <v>44044</v>
                </pt>
                <pt idx="278">
                  <v>44075</v>
                </pt>
                <pt idx="279">
                  <v>44105</v>
                </pt>
                <pt idx="280">
                  <v>44136</v>
                </pt>
                <pt idx="281">
                  <v>44166</v>
                </pt>
                <pt idx="282">
                  <v>44197</v>
                </pt>
                <pt idx="283">
                  <v>44228</v>
                </pt>
                <pt idx="284">
                  <v>44256</v>
                </pt>
                <pt idx="285">
                  <v>44287</v>
                </pt>
                <pt idx="286">
                  <v>44317</v>
                </pt>
                <pt idx="287">
                  <v>44348</v>
                </pt>
                <pt idx="288">
                  <v>44378</v>
                </pt>
                <pt idx="289">
                  <v>44409</v>
                </pt>
                <pt idx="290">
                  <v>44440</v>
                </pt>
                <pt idx="291">
                  <v>44470</v>
                </pt>
                <pt idx="292">
                  <v>44501</v>
                </pt>
                <pt idx="293">
                  <v>44531</v>
                </pt>
                <pt idx="294">
                  <v>44562</v>
                </pt>
                <pt idx="295">
                  <v>44593</v>
                </pt>
                <pt idx="296">
                  <v>44621</v>
                </pt>
                <pt idx="297">
                  <v>44652</v>
                </pt>
                <pt idx="298">
                  <v>44682</v>
                </pt>
                <pt idx="299">
                  <v>44713</v>
                </pt>
              </numCache>
            </numRef>
          </cat>
          <val>
            <numRef>
              <f>Details!$G$6:$G$307</f>
              <numCache>
                <formatCode>General</formatCode>
                <ptCount val="302"/>
                <pt idx="0">
                  <v>0</v>
                </pt>
                <pt idx="1">
                  <v>62</v>
                </pt>
                <pt idx="2">
                  <v>63</v>
                </pt>
                <pt idx="3">
                  <v>66</v>
                </pt>
                <pt idx="4">
                  <v>64.5</v>
                </pt>
                <pt idx="5">
                  <v>67</v>
                </pt>
                <pt idx="6">
                  <v>61.5</v>
                </pt>
                <pt idx="7">
                  <v>59.5</v>
                </pt>
                <pt idx="8">
                  <v>64</v>
                </pt>
                <pt idx="9">
                  <v>66.5</v>
                </pt>
                <pt idx="10">
                  <v>63.5</v>
                </pt>
                <pt idx="11">
                  <v>69</v>
                </pt>
                <pt idx="12">
                  <v>60.5</v>
                </pt>
                <pt idx="13">
                  <v>62.5</v>
                </pt>
                <pt idx="14">
                  <v>65</v>
                </pt>
                <pt idx="15">
                  <v>65.5</v>
                </pt>
                <pt idx="16">
                  <v>63</v>
                </pt>
                <pt idx="17">
                  <v>64.5</v>
                </pt>
                <pt idx="18">
                  <v>61</v>
                </pt>
                <pt idx="19">
                  <v>60.5</v>
                </pt>
                <pt idx="20">
                  <v>61.5</v>
                </pt>
                <pt idx="21">
                  <v>63</v>
                </pt>
                <pt idx="22">
                  <v>61</v>
                </pt>
                <pt idx="23">
                  <v>61</v>
                </pt>
                <pt idx="24">
                  <v>61</v>
                </pt>
                <pt idx="25">
                  <v>63</v>
                </pt>
                <pt idx="26">
                  <v>61.5</v>
                </pt>
                <pt idx="27">
                  <v>58</v>
                </pt>
                <pt idx="28">
                  <v>62.5</v>
                </pt>
                <pt idx="29">
                  <v>61.5</v>
                </pt>
                <pt idx="30">
                  <v>67</v>
                </pt>
                <pt idx="31">
                  <v>66.5</v>
                </pt>
                <pt idx="32">
                  <v>60.5</v>
                </pt>
                <pt idx="33">
                  <v>64</v>
                </pt>
                <pt idx="34">
                  <v>63</v>
                </pt>
                <pt idx="35">
                  <v>66.5</v>
                </pt>
                <pt idx="36">
                  <v>68</v>
                </pt>
                <pt idx="37">
                  <v>61.5</v>
                </pt>
                <pt idx="38">
                  <v>65</v>
                </pt>
                <pt idx="39">
                  <v>67.5</v>
                </pt>
                <pt idx="40">
                  <v>66</v>
                </pt>
                <pt idx="41">
                  <v>65</v>
                </pt>
                <pt idx="42">
                  <v>67.5</v>
                </pt>
                <pt idx="43">
                  <v>65</v>
                </pt>
                <pt idx="44">
                  <v>69</v>
                </pt>
                <pt idx="45">
                  <v>64</v>
                </pt>
                <pt idx="46">
                  <v>63.5</v>
                </pt>
                <pt idx="47">
                  <v>65</v>
                </pt>
                <pt idx="48">
                  <v>61.5</v>
                </pt>
                <pt idx="49">
                  <v>65.5</v>
                </pt>
                <pt idx="50">
                  <v>64</v>
                </pt>
                <pt idx="51">
                  <v>68.5</v>
                </pt>
                <pt idx="52">
                  <v>67</v>
                </pt>
                <pt idx="53">
                  <v>66.5</v>
                </pt>
                <pt idx="54">
                  <v>64.5</v>
                </pt>
                <pt idx="55">
                  <v>66.5</v>
                </pt>
                <pt idx="56">
                  <v>65.5</v>
                </pt>
                <pt idx="57">
                  <v>63</v>
                </pt>
                <pt idx="58">
                  <v>65</v>
                </pt>
                <pt idx="59">
                  <v>66</v>
                </pt>
                <pt idx="60">
                  <v>66</v>
                </pt>
                <pt idx="61">
                  <v>62</v>
                </pt>
                <pt idx="62">
                  <v>66</v>
                </pt>
                <pt idx="63">
                  <v>64.5</v>
                </pt>
                <pt idx="64">
                  <v>61</v>
                </pt>
                <pt idx="65">
                  <v>63</v>
                </pt>
                <pt idx="66">
                  <v>64.5</v>
                </pt>
                <pt idx="67">
                  <v>66.5</v>
                </pt>
                <pt idx="68">
                  <v>66</v>
                </pt>
                <pt idx="69">
                  <v>62.5</v>
                </pt>
                <pt idx="70">
                  <v>63</v>
                </pt>
                <pt idx="71">
                  <v>62</v>
                </pt>
                <pt idx="72">
                  <v>60</v>
                </pt>
                <pt idx="73">
                  <v>62</v>
                </pt>
                <pt idx="74">
                  <v>60.5</v>
                </pt>
                <pt idx="75">
                  <v>60</v>
                </pt>
                <pt idx="76">
                  <v>62</v>
                </pt>
                <pt idx="77">
                  <v>62</v>
                </pt>
                <pt idx="78">
                  <v>59</v>
                </pt>
                <pt idx="79">
                  <v>58</v>
                </pt>
                <pt idx="80">
                  <v>60.5</v>
                </pt>
                <pt idx="81">
                  <v>58</v>
                </pt>
                <pt idx="82">
                  <v>60</v>
                </pt>
                <pt idx="83">
                  <v>60.5</v>
                </pt>
                <pt idx="84">
                  <v>64</v>
                </pt>
                <pt idx="85">
                  <v>62.5</v>
                </pt>
                <pt idx="86">
                  <v>61.5</v>
                </pt>
                <pt idx="87">
                  <v>60.5</v>
                </pt>
                <pt idx="88">
                  <v>61.5</v>
                </pt>
                <pt idx="89">
                  <v>64</v>
                </pt>
                <pt idx="90">
                  <v>64.5</v>
                </pt>
                <pt idx="91">
                  <v>64.5</v>
                </pt>
                <pt idx="92">
                  <v>64.5</v>
                </pt>
                <pt idx="93">
                  <v>60.5</v>
                </pt>
                <pt idx="94">
                  <v>63</v>
                </pt>
                <pt idx="95">
                  <v>64.5</v>
                </pt>
                <pt idx="96">
                  <v>64</v>
                </pt>
                <pt idx="97">
                  <v>67</v>
                </pt>
                <pt idx="98">
                  <v>64</v>
                </pt>
                <pt idx="99">
                  <v>55</v>
                </pt>
                <pt idx="100">
                  <v>60</v>
                </pt>
                <pt idx="101">
                  <v>59</v>
                </pt>
                <pt idx="102">
                  <v>63</v>
                </pt>
                <pt idx="103">
                  <v>63.5</v>
                </pt>
                <pt idx="104">
                  <v>63</v>
                </pt>
                <pt idx="105">
                  <v>60</v>
                </pt>
                <pt idx="106">
                  <v>59</v>
                </pt>
                <pt idx="107">
                  <v>63</v>
                </pt>
                <pt idx="108">
                  <v>60</v>
                </pt>
                <pt idx="109">
                  <v>59</v>
                </pt>
                <pt idx="110">
                  <v>63.5</v>
                </pt>
                <pt idx="111">
                  <v>64.5</v>
                </pt>
                <pt idx="112">
                  <v>57</v>
                </pt>
                <pt idx="113">
                  <v>63.5</v>
                </pt>
                <pt idx="114">
                  <v>65.5</v>
                </pt>
                <pt idx="115">
                  <v>61.5</v>
                </pt>
                <pt idx="116">
                  <v>63</v>
                </pt>
                <pt idx="117">
                  <v>60.5</v>
                </pt>
                <pt idx="118">
                  <v>61</v>
                </pt>
                <pt idx="119">
                  <v>60.5</v>
                </pt>
                <pt idx="120">
                  <v>65</v>
                </pt>
                <pt idx="121">
                  <v>61.5</v>
                </pt>
                <pt idx="122">
                  <v>62</v>
                </pt>
                <pt idx="123">
                  <v>60</v>
                </pt>
                <pt idx="124">
                  <v>61.5</v>
                </pt>
                <pt idx="125">
                  <v>64.5</v>
                </pt>
                <pt idx="126">
                  <v>57</v>
                </pt>
                <pt idx="127">
                  <v>60.5</v>
                </pt>
                <pt idx="128">
                  <v>60.5</v>
                </pt>
                <pt idx="129">
                  <v>63</v>
                </pt>
                <pt idx="130">
                  <v>66.5</v>
                </pt>
                <pt idx="131">
                  <v>60</v>
                </pt>
                <pt idx="132">
                  <v>62.5</v>
                </pt>
                <pt idx="133">
                  <v>66</v>
                </pt>
                <pt idx="134">
                  <v>62.5</v>
                </pt>
                <pt idx="135">
                  <v>67.5</v>
                </pt>
                <pt idx="136">
                  <v>65</v>
                </pt>
                <pt idx="137">
                  <v>65.5</v>
                </pt>
                <pt idx="138">
                  <v>62.5</v>
                </pt>
                <pt idx="139">
                  <v>66.5</v>
                </pt>
                <pt idx="140">
                  <v>60</v>
                </pt>
                <pt idx="141">
                  <v>62.5</v>
                </pt>
                <pt idx="142">
                  <v>62.5</v>
                </pt>
                <pt idx="143">
                  <v>67</v>
                </pt>
                <pt idx="144">
                  <v>62.5</v>
                </pt>
                <pt idx="145">
                  <v>67.5</v>
                </pt>
                <pt idx="146">
                  <v>62</v>
                </pt>
                <pt idx="147">
                  <v>63.5</v>
                </pt>
                <pt idx="148">
                  <v>61.5</v>
                </pt>
                <pt idx="149">
                  <v>61</v>
                </pt>
                <pt idx="150">
                  <v>64.5</v>
                </pt>
                <pt idx="151">
                  <v>60</v>
                </pt>
                <pt idx="152">
                  <v>52.5</v>
                </pt>
                <pt idx="153">
                  <v>53.5</v>
                </pt>
                <pt idx="154">
                  <v>60.5</v>
                </pt>
                <pt idx="155">
                  <v>59</v>
                </pt>
                <pt idx="156">
                  <v>59</v>
                </pt>
                <pt idx="157">
                  <v>60</v>
                </pt>
                <pt idx="158">
                  <v>59.5</v>
                </pt>
                <pt idx="159">
                  <v>61.5</v>
                </pt>
                <pt idx="160">
                  <v>60</v>
                </pt>
                <pt idx="161">
                  <v>61.5</v>
                </pt>
                <pt idx="162">
                  <v>60</v>
                </pt>
                <pt idx="163">
                  <v>57.5</v>
                </pt>
                <pt idx="164">
                  <v>67</v>
                </pt>
                <pt idx="165">
                  <v>57.5</v>
                </pt>
                <pt idx="166">
                  <v>55</v>
                </pt>
                <pt idx="167">
                  <v>58.5</v>
                </pt>
                <pt idx="168">
                  <v>59.5</v>
                </pt>
                <pt idx="169">
                  <v>56</v>
                </pt>
                <pt idx="170">
                  <v>59</v>
                </pt>
                <pt idx="171">
                  <v>57.5</v>
                </pt>
                <pt idx="172">
                  <v>63</v>
                </pt>
                <pt idx="173">
                  <v>59.5</v>
                </pt>
                <pt idx="174">
                  <v>58.5</v>
                </pt>
                <pt idx="175">
                  <v>61.5</v>
                </pt>
                <pt idx="176">
                  <v>58.5</v>
                </pt>
                <pt idx="177">
                  <v>61</v>
                </pt>
                <pt idx="178">
                  <v>63</v>
                </pt>
                <pt idx="179">
                  <v>64.5</v>
                </pt>
                <pt idx="180">
                  <v>59</v>
                </pt>
                <pt idx="181">
                  <v>67</v>
                </pt>
                <pt idx="182">
                  <v>65</v>
                </pt>
                <pt idx="183">
                  <v>64</v>
                </pt>
                <pt idx="184">
                  <v>62.5</v>
                </pt>
                <pt idx="185">
                  <v>58</v>
                </pt>
                <pt idx="186">
                  <v>64</v>
                </pt>
                <pt idx="187">
                  <v>62.5</v>
                </pt>
                <pt idx="188">
                  <v>59.5</v>
                </pt>
                <pt idx="189">
                  <v>60.5</v>
                </pt>
                <pt idx="190">
                  <v>62.5</v>
                </pt>
                <pt idx="191">
                  <v>61.5</v>
                </pt>
                <pt idx="192">
                  <v>64</v>
                </pt>
                <pt idx="193">
                  <v>63.5</v>
                </pt>
                <pt idx="194">
                  <v>62</v>
                </pt>
                <pt idx="195">
                  <v>62.5</v>
                </pt>
                <pt idx="196">
                  <v>60.5</v>
                </pt>
                <pt idx="197">
                  <v>57.5</v>
                </pt>
                <pt idx="198">
                  <v>63</v>
                </pt>
                <pt idx="199">
                  <v>62</v>
                </pt>
                <pt idx="200">
                  <v>60.5</v>
                </pt>
                <pt idx="201">
                  <v>65</v>
                </pt>
                <pt idx="202">
                  <v>63</v>
                </pt>
                <pt idx="203">
                  <v>60.5</v>
                </pt>
                <pt idx="204">
                  <v>58</v>
                </pt>
                <pt idx="205">
                  <v>55</v>
                </pt>
                <pt idx="206">
                  <v>60</v>
                </pt>
                <pt idx="207">
                  <v>58.5</v>
                </pt>
                <pt idx="208">
                  <v>63</v>
                </pt>
                <pt idx="209">
                  <v>59</v>
                </pt>
                <pt idx="210">
                  <v>61.5</v>
                </pt>
                <pt idx="211">
                  <v>62</v>
                </pt>
                <pt idx="212">
                  <v>61</v>
                </pt>
                <pt idx="213">
                  <v>59.5</v>
                </pt>
                <pt idx="214">
                  <v>59</v>
                </pt>
                <pt idx="215">
                  <v>65</v>
                </pt>
                <pt idx="216">
                  <v>63.5</v>
                </pt>
                <pt idx="217">
                  <v>69</v>
                </pt>
                <pt idx="218">
                  <v>65</v>
                </pt>
                <pt idx="219">
                  <v>63</v>
                </pt>
                <pt idx="220">
                  <v>63.5</v>
                </pt>
                <pt idx="221">
                  <v>64.5</v>
                </pt>
                <pt idx="222">
                  <v>61.5</v>
                </pt>
                <pt idx="223">
                  <v>62</v>
                </pt>
                <pt idx="224">
                  <v>62.5</v>
                </pt>
                <pt idx="225">
                  <v>61</v>
                </pt>
                <pt idx="226">
                  <v>60</v>
                </pt>
                <pt idx="227">
                  <v>62.5</v>
                </pt>
                <pt idx="228">
                  <v>63</v>
                </pt>
                <pt idx="229">
                  <v>64</v>
                </pt>
                <pt idx="230">
                  <v>64.5</v>
                </pt>
                <pt idx="231">
                  <v>62</v>
                </pt>
                <pt idx="232">
                  <v>60.5</v>
                </pt>
                <pt idx="233">
                  <v>61.5</v>
                </pt>
                <pt idx="234">
                  <v>62</v>
                </pt>
                <pt idx="235">
                  <v>64.5</v>
                </pt>
                <pt idx="236">
                  <v>65</v>
                </pt>
                <pt idx="237">
                  <v>60</v>
                </pt>
                <pt idx="238">
                  <v>63</v>
                </pt>
                <pt idx="239">
                  <v>62</v>
                </pt>
                <pt idx="240">
                  <v>67.5</v>
                </pt>
                <pt idx="241">
                  <v>61</v>
                </pt>
                <pt idx="242">
                  <v>58.5</v>
                </pt>
                <pt idx="243">
                  <v>61</v>
                </pt>
                <pt idx="244">
                  <v>56</v>
                </pt>
                <pt idx="245">
                  <v>62.5</v>
                </pt>
                <pt idx="246">
                  <v>61</v>
                </pt>
                <pt idx="247">
                  <v>61</v>
                </pt>
                <pt idx="248">
                  <v>58.5</v>
                </pt>
                <pt idx="249">
                  <v>60</v>
                </pt>
                <pt idx="250">
                  <v>61</v>
                </pt>
                <pt idx="251">
                  <v>57.5</v>
                </pt>
                <pt idx="252">
                  <v>58</v>
                </pt>
                <pt idx="253">
                  <v>59.5</v>
                </pt>
                <pt idx="254">
                  <v>59.5</v>
                </pt>
                <pt idx="255">
                  <v>62</v>
                </pt>
                <pt idx="256">
                  <v>60</v>
                </pt>
                <pt idx="257">
                  <v>59</v>
                </pt>
                <pt idx="258">
                  <v>60.5</v>
                </pt>
                <pt idx="259">
                  <v>59</v>
                </pt>
                <pt idx="260">
                  <v>62.5</v>
                </pt>
                <pt idx="261">
                  <v>60</v>
                </pt>
                <pt idx="262">
                  <v>58.5</v>
                </pt>
                <pt idx="263">
                  <v>58.5</v>
                </pt>
                <pt idx="264">
                  <v>60.5</v>
                </pt>
                <pt idx="265">
                  <v>56</v>
                </pt>
                <pt idx="266">
                  <v>58</v>
                </pt>
                <pt idx="267">
                  <v>57</v>
                </pt>
                <pt idx="268">
                  <v>58.5</v>
                </pt>
                <pt idx="269">
                  <v>60</v>
                </pt>
                <pt idx="270">
                  <v>54.9</v>
                </pt>
                <pt idx="271">
                  <v>59.3</v>
                </pt>
                <pt idx="272">
                  <v>47.8</v>
                </pt>
                <pt idx="273">
                  <v>62.6</v>
                </pt>
                <pt idx="274">
                  <v>55.1</v>
                </pt>
                <pt idx="275">
                  <v>55.9</v>
                </pt>
                <pt idx="276">
                  <v>50</v>
                </pt>
                <pt idx="277">
                  <v>52.5</v>
                </pt>
                <pt idx="278">
                  <v>55.4</v>
                </pt>
                <pt idx="279">
                  <v>51.1</v>
                </pt>
                <pt idx="280">
                  <v>49.9</v>
                </pt>
                <pt idx="281">
                  <v>47.7</v>
                </pt>
                <pt idx="282">
                  <v>49.7</v>
                </pt>
                <pt idx="283">
                  <v>54.3</v>
                </pt>
                <pt idx="284">
                  <v>52.7</v>
                </pt>
                <pt idx="285">
                  <v>46.8</v>
                </pt>
                <pt idx="286">
                  <v>40.5</v>
                </pt>
                <pt idx="287">
                  <v>37.2</v>
                </pt>
                <pt idx="288">
                  <v>40.3</v>
                </pt>
                <pt idx="289">
                  <v>41.4</v>
                </pt>
                <pt idx="290">
                  <v>46.3</v>
                </pt>
                <pt idx="291">
                  <v>37.3</v>
                </pt>
                <pt idx="292">
                  <v>36.4</v>
                </pt>
                <pt idx="293">
                  <v>38.3</v>
                </pt>
                <pt idx="294">
                  <v>47.5</v>
                </pt>
                <pt idx="295">
                  <v>55.3</v>
                </pt>
                <pt idx="296">
                  <v>40.2</v>
                </pt>
                <pt idx="297">
                  <v>46.7</v>
                </pt>
                <pt idx="298">
                  <v>44.5</v>
                </pt>
                <pt idx="299">
                  <v>46.2</v>
                </pt>
              </numCache>
            </numRef>
          </val>
          <smooth val="0"/>
        </ser>
        <dLbls>
          <showLegendKey val="0"/>
          <showVal val="0"/>
          <showCatName val="0"/>
          <showSerName val="0"/>
          <showPercent val="0"/>
          <showBubbleSize val="0"/>
        </dLbls>
        <smooth val="0"/>
        <axId val="946929536"/>
        <axId val="946929864"/>
      </lineChart>
      <dateAx>
        <axId val="946929536"/>
        <scaling>
          <orientation val="minMax"/>
          <min val="42005"/>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864"/>
        <crosses val="autoZero"/>
        <lblOffset val="100"/>
        <baseTimeUnit val="months"/>
      </dateAx>
      <valAx>
        <axId val="946929864"/>
        <scaling>
          <orientation val="minMax"/>
          <min val="46"/>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536"/>
        <crosses val="autoZero"/>
        <crossBetween val="between"/>
      </valAx>
    </plotArea>
    <plotVisOnly val="1"/>
    <dispBlanksAs val="gap"/>
  </chart>
</chartSpace>
</file>

<file path=xl/charts/chart69.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Inventories</a:t>
            </a:r>
          </a:p>
        </rich>
      </tx>
      <overlay val="0"/>
      <spPr>
        <a:noFill xmlns:a="http://schemas.openxmlformats.org/drawingml/2006/main"/>
        <a:ln xmlns:a="http://schemas.openxmlformats.org/drawingml/2006/main">
          <a:noFill/>
          <a:prstDash val="solid"/>
        </a:ln>
      </spPr>
    </title>
    <plotArea>
      <layout/>
      <lineChart>
        <grouping val="standard"/>
        <varyColors val="0"/>
        <ser>
          <idx val="6"/>
          <order val="0"/>
          <tx>
            <strRef>
              <f>Details!$H$5</f>
              <strCache>
                <ptCount val="1"/>
                <pt idx="0">
                  <v>Inventories</v>
                </pt>
              </strCache>
            </strRef>
          </tx>
          <spPr>
            <a:ln xmlns:a="http://schemas.openxmlformats.org/drawingml/2006/main" w="28575" cap="rnd">
              <a:solidFill>
                <a:schemeClr val="accent1">
                  <a:lumMod val="60000"/>
                </a:schemeClr>
              </a:solidFill>
              <a:prstDash val="solid"/>
              <a:round/>
            </a:ln>
          </spPr>
          <marker>
            <symbol val="none"/>
            <spPr>
              <a:ln xmlns:a="http://schemas.openxmlformats.org/drawingml/2006/main">
                <a:prstDash val="solid"/>
              </a:ln>
            </spPr>
          </marker>
          <cat>
            <numRef>
              <f>Details!$A$6:$A$307</f>
              <numCache>
                <formatCode>m/d/yy</formatCode>
                <ptCount val="302"/>
                <pt idx="0">
                  <v>35612</v>
                </pt>
                <pt idx="1">
                  <v>35643</v>
                </pt>
                <pt idx="2">
                  <v>35674</v>
                </pt>
                <pt idx="3">
                  <v>35704</v>
                </pt>
                <pt idx="4">
                  <v>35735</v>
                </pt>
                <pt idx="5">
                  <v>35765</v>
                </pt>
                <pt idx="6">
                  <v>35796</v>
                </pt>
                <pt idx="7">
                  <v>35827</v>
                </pt>
                <pt idx="8">
                  <v>35855</v>
                </pt>
                <pt idx="9">
                  <v>35886</v>
                </pt>
                <pt idx="10">
                  <v>35916</v>
                </pt>
                <pt idx="11">
                  <v>35947</v>
                </pt>
                <pt idx="12">
                  <v>35977</v>
                </pt>
                <pt idx="13">
                  <v>36008</v>
                </pt>
                <pt idx="14">
                  <v>36039</v>
                </pt>
                <pt idx="15">
                  <v>36069</v>
                </pt>
                <pt idx="16">
                  <v>36100</v>
                </pt>
                <pt idx="17">
                  <v>36130</v>
                </pt>
                <pt idx="18">
                  <v>36161</v>
                </pt>
                <pt idx="19">
                  <v>36192</v>
                </pt>
                <pt idx="20">
                  <v>36220</v>
                </pt>
                <pt idx="21">
                  <v>36251</v>
                </pt>
                <pt idx="22">
                  <v>36281</v>
                </pt>
                <pt idx="23">
                  <v>36312</v>
                </pt>
                <pt idx="24">
                  <v>36342</v>
                </pt>
                <pt idx="25">
                  <v>36373</v>
                </pt>
                <pt idx="26">
                  <v>36404</v>
                </pt>
                <pt idx="27">
                  <v>36434</v>
                </pt>
                <pt idx="28">
                  <v>36465</v>
                </pt>
                <pt idx="29">
                  <v>36495</v>
                </pt>
                <pt idx="30">
                  <v>36526</v>
                </pt>
                <pt idx="31">
                  <v>36557</v>
                </pt>
                <pt idx="32">
                  <v>36586</v>
                </pt>
                <pt idx="33">
                  <v>36617</v>
                </pt>
                <pt idx="34">
                  <v>36647</v>
                </pt>
                <pt idx="35">
                  <v>36678</v>
                </pt>
                <pt idx="36">
                  <v>36708</v>
                </pt>
                <pt idx="37">
                  <v>36739</v>
                </pt>
                <pt idx="38">
                  <v>36770</v>
                </pt>
                <pt idx="39">
                  <v>36800</v>
                </pt>
                <pt idx="40">
                  <v>36831</v>
                </pt>
                <pt idx="41">
                  <v>36861</v>
                </pt>
                <pt idx="42">
                  <v>36892</v>
                </pt>
                <pt idx="43">
                  <v>36923</v>
                </pt>
                <pt idx="44">
                  <v>36951</v>
                </pt>
                <pt idx="45">
                  <v>36982</v>
                </pt>
                <pt idx="46">
                  <v>37012</v>
                </pt>
                <pt idx="47">
                  <v>37043</v>
                </pt>
                <pt idx="48">
                  <v>37073</v>
                </pt>
                <pt idx="49">
                  <v>37104</v>
                </pt>
                <pt idx="50">
                  <v>37135</v>
                </pt>
                <pt idx="51">
                  <v>37165</v>
                </pt>
                <pt idx="52">
                  <v>37196</v>
                </pt>
                <pt idx="53">
                  <v>37226</v>
                </pt>
                <pt idx="54">
                  <v>37257</v>
                </pt>
                <pt idx="55">
                  <v>37288</v>
                </pt>
                <pt idx="56">
                  <v>37316</v>
                </pt>
                <pt idx="57">
                  <v>37347</v>
                </pt>
                <pt idx="58">
                  <v>37377</v>
                </pt>
                <pt idx="59">
                  <v>37408</v>
                </pt>
                <pt idx="60">
                  <v>37438</v>
                </pt>
                <pt idx="61">
                  <v>37469</v>
                </pt>
                <pt idx="62">
                  <v>37500</v>
                </pt>
                <pt idx="63">
                  <v>37530</v>
                </pt>
                <pt idx="64">
                  <v>37561</v>
                </pt>
                <pt idx="65">
                  <v>37591</v>
                </pt>
                <pt idx="66">
                  <v>37622</v>
                </pt>
                <pt idx="67">
                  <v>37653</v>
                </pt>
                <pt idx="68">
                  <v>37681</v>
                </pt>
                <pt idx="69">
                  <v>37712</v>
                </pt>
                <pt idx="70">
                  <v>37742</v>
                </pt>
                <pt idx="71">
                  <v>37773</v>
                </pt>
                <pt idx="72">
                  <v>37803</v>
                </pt>
                <pt idx="73">
                  <v>37834</v>
                </pt>
                <pt idx="74">
                  <v>37865</v>
                </pt>
                <pt idx="75">
                  <v>37895</v>
                </pt>
                <pt idx="76">
                  <v>37926</v>
                </pt>
                <pt idx="77">
                  <v>37956</v>
                </pt>
                <pt idx="78">
                  <v>37987</v>
                </pt>
                <pt idx="79">
                  <v>38018</v>
                </pt>
                <pt idx="80">
                  <v>38047</v>
                </pt>
                <pt idx="81">
                  <v>38078</v>
                </pt>
                <pt idx="82">
                  <v>38108</v>
                </pt>
                <pt idx="83">
                  <v>38139</v>
                </pt>
                <pt idx="84">
                  <v>38169</v>
                </pt>
                <pt idx="85">
                  <v>38200</v>
                </pt>
                <pt idx="86">
                  <v>38231</v>
                </pt>
                <pt idx="87">
                  <v>38261</v>
                </pt>
                <pt idx="88">
                  <v>38292</v>
                </pt>
                <pt idx="89">
                  <v>38322</v>
                </pt>
                <pt idx="90">
                  <v>38353</v>
                </pt>
                <pt idx="91">
                  <v>38384</v>
                </pt>
                <pt idx="92">
                  <v>38412</v>
                </pt>
                <pt idx="93">
                  <v>38443</v>
                </pt>
                <pt idx="94">
                  <v>38473</v>
                </pt>
                <pt idx="95">
                  <v>38504</v>
                </pt>
                <pt idx="96">
                  <v>38534</v>
                </pt>
                <pt idx="97">
                  <v>38565</v>
                </pt>
                <pt idx="98">
                  <v>38596</v>
                </pt>
                <pt idx="99">
                  <v>38626</v>
                </pt>
                <pt idx="100">
                  <v>38657</v>
                </pt>
                <pt idx="101">
                  <v>38687</v>
                </pt>
                <pt idx="102">
                  <v>38718</v>
                </pt>
                <pt idx="103">
                  <v>38749</v>
                </pt>
                <pt idx="104">
                  <v>38777</v>
                </pt>
                <pt idx="105">
                  <v>38808</v>
                </pt>
                <pt idx="106">
                  <v>38838</v>
                </pt>
                <pt idx="107">
                  <v>38869</v>
                </pt>
                <pt idx="108">
                  <v>38899</v>
                </pt>
                <pt idx="109">
                  <v>38930</v>
                </pt>
                <pt idx="110">
                  <v>38961</v>
                </pt>
                <pt idx="111">
                  <v>38991</v>
                </pt>
                <pt idx="112">
                  <v>39022</v>
                </pt>
                <pt idx="113">
                  <v>39052</v>
                </pt>
                <pt idx="114">
                  <v>39083</v>
                </pt>
                <pt idx="115">
                  <v>39114</v>
                </pt>
                <pt idx="116">
                  <v>39142</v>
                </pt>
                <pt idx="117">
                  <v>39173</v>
                </pt>
                <pt idx="118">
                  <v>39203</v>
                </pt>
                <pt idx="119">
                  <v>39234</v>
                </pt>
                <pt idx="120">
                  <v>39264</v>
                </pt>
                <pt idx="121">
                  <v>39295</v>
                </pt>
                <pt idx="122">
                  <v>39326</v>
                </pt>
                <pt idx="123">
                  <v>39356</v>
                </pt>
                <pt idx="124">
                  <v>39387</v>
                </pt>
                <pt idx="125">
                  <v>39417</v>
                </pt>
                <pt idx="126">
                  <v>39448</v>
                </pt>
                <pt idx="127">
                  <v>39479</v>
                </pt>
                <pt idx="128">
                  <v>39508</v>
                </pt>
                <pt idx="129">
                  <v>39539</v>
                </pt>
                <pt idx="130">
                  <v>39569</v>
                </pt>
                <pt idx="131">
                  <v>39600</v>
                </pt>
                <pt idx="132">
                  <v>39630</v>
                </pt>
                <pt idx="133">
                  <v>39661</v>
                </pt>
                <pt idx="134">
                  <v>39692</v>
                </pt>
                <pt idx="135">
                  <v>39722</v>
                </pt>
                <pt idx="136">
                  <v>39753</v>
                </pt>
                <pt idx="137">
                  <v>39783</v>
                </pt>
                <pt idx="138">
                  <v>39814</v>
                </pt>
                <pt idx="139">
                  <v>39845</v>
                </pt>
                <pt idx="140">
                  <v>39873</v>
                </pt>
                <pt idx="141">
                  <v>39904</v>
                </pt>
                <pt idx="142">
                  <v>39934</v>
                </pt>
                <pt idx="143">
                  <v>39965</v>
                </pt>
                <pt idx="144">
                  <v>39995</v>
                </pt>
                <pt idx="145">
                  <v>40026</v>
                </pt>
                <pt idx="146">
                  <v>40057</v>
                </pt>
                <pt idx="147">
                  <v>40087</v>
                </pt>
                <pt idx="148">
                  <v>40118</v>
                </pt>
                <pt idx="149">
                  <v>40148</v>
                </pt>
                <pt idx="150">
                  <v>40179</v>
                </pt>
                <pt idx="151">
                  <v>40210</v>
                </pt>
                <pt idx="152">
                  <v>40238</v>
                </pt>
                <pt idx="153">
                  <v>40269</v>
                </pt>
                <pt idx="154">
                  <v>40299</v>
                </pt>
                <pt idx="155">
                  <v>40330</v>
                </pt>
                <pt idx="156">
                  <v>40360</v>
                </pt>
                <pt idx="157">
                  <v>40391</v>
                </pt>
                <pt idx="158">
                  <v>40422</v>
                </pt>
                <pt idx="159">
                  <v>40452</v>
                </pt>
                <pt idx="160">
                  <v>40483</v>
                </pt>
                <pt idx="161">
                  <v>40513</v>
                </pt>
                <pt idx="162">
                  <v>40544</v>
                </pt>
                <pt idx="163">
                  <v>40575</v>
                </pt>
                <pt idx="164">
                  <v>40603</v>
                </pt>
                <pt idx="165">
                  <v>40634</v>
                </pt>
                <pt idx="166">
                  <v>40664</v>
                </pt>
                <pt idx="167">
                  <v>40695</v>
                </pt>
                <pt idx="168">
                  <v>40725</v>
                </pt>
                <pt idx="169">
                  <v>40756</v>
                </pt>
                <pt idx="170">
                  <v>40787</v>
                </pt>
                <pt idx="171">
                  <v>40817</v>
                </pt>
                <pt idx="172">
                  <v>40848</v>
                </pt>
                <pt idx="173">
                  <v>40878</v>
                </pt>
                <pt idx="174">
                  <v>40909</v>
                </pt>
                <pt idx="175">
                  <v>40940</v>
                </pt>
                <pt idx="176">
                  <v>40969</v>
                </pt>
                <pt idx="177">
                  <v>41000</v>
                </pt>
                <pt idx="178">
                  <v>41030</v>
                </pt>
                <pt idx="179">
                  <v>41061</v>
                </pt>
                <pt idx="180">
                  <v>41091</v>
                </pt>
                <pt idx="181">
                  <v>41122</v>
                </pt>
                <pt idx="182">
                  <v>41153</v>
                </pt>
                <pt idx="183">
                  <v>41183</v>
                </pt>
                <pt idx="184">
                  <v>41214</v>
                </pt>
                <pt idx="185">
                  <v>41244</v>
                </pt>
                <pt idx="186">
                  <v>41275</v>
                </pt>
                <pt idx="187">
                  <v>41306</v>
                </pt>
                <pt idx="188">
                  <v>41334</v>
                </pt>
                <pt idx="189">
                  <v>41365</v>
                </pt>
                <pt idx="190">
                  <v>41395</v>
                </pt>
                <pt idx="191">
                  <v>41426</v>
                </pt>
                <pt idx="192">
                  <v>41456</v>
                </pt>
                <pt idx="193">
                  <v>41487</v>
                </pt>
                <pt idx="194">
                  <v>41518</v>
                </pt>
                <pt idx="195">
                  <v>41548</v>
                </pt>
                <pt idx="196">
                  <v>41579</v>
                </pt>
                <pt idx="197">
                  <v>41609</v>
                </pt>
                <pt idx="198">
                  <v>41640</v>
                </pt>
                <pt idx="199">
                  <v>41671</v>
                </pt>
                <pt idx="200">
                  <v>41699</v>
                </pt>
                <pt idx="201">
                  <v>41730</v>
                </pt>
                <pt idx="202">
                  <v>41760</v>
                </pt>
                <pt idx="203">
                  <v>41791</v>
                </pt>
                <pt idx="204">
                  <v>41821</v>
                </pt>
                <pt idx="205">
                  <v>41852</v>
                </pt>
                <pt idx="206">
                  <v>41883</v>
                </pt>
                <pt idx="207">
                  <v>41913</v>
                </pt>
                <pt idx="208">
                  <v>41944</v>
                </pt>
                <pt idx="209">
                  <v>41974</v>
                </pt>
                <pt idx="210">
                  <v>42005</v>
                </pt>
                <pt idx="211">
                  <v>42036</v>
                </pt>
                <pt idx="212">
                  <v>42064</v>
                </pt>
                <pt idx="213">
                  <v>42095</v>
                </pt>
                <pt idx="214">
                  <v>42125</v>
                </pt>
                <pt idx="215">
                  <v>42156</v>
                </pt>
                <pt idx="216">
                  <v>42186</v>
                </pt>
                <pt idx="217">
                  <v>42217</v>
                </pt>
                <pt idx="218">
                  <v>42248</v>
                </pt>
                <pt idx="219">
                  <v>42278</v>
                </pt>
                <pt idx="220">
                  <v>42309</v>
                </pt>
                <pt idx="221">
                  <v>42339</v>
                </pt>
                <pt idx="222">
                  <v>42370</v>
                </pt>
                <pt idx="223">
                  <v>42401</v>
                </pt>
                <pt idx="224">
                  <v>42430</v>
                </pt>
                <pt idx="225">
                  <v>42461</v>
                </pt>
                <pt idx="226">
                  <v>42491</v>
                </pt>
                <pt idx="227">
                  <v>42522</v>
                </pt>
                <pt idx="228">
                  <v>42552</v>
                </pt>
                <pt idx="229">
                  <v>42583</v>
                </pt>
                <pt idx="230">
                  <v>42614</v>
                </pt>
                <pt idx="231">
                  <v>42644</v>
                </pt>
                <pt idx="232">
                  <v>42675</v>
                </pt>
                <pt idx="233">
                  <v>42705</v>
                </pt>
                <pt idx="234">
                  <v>42736</v>
                </pt>
                <pt idx="235">
                  <v>42767</v>
                </pt>
                <pt idx="236">
                  <v>42795</v>
                </pt>
                <pt idx="237">
                  <v>42826</v>
                </pt>
                <pt idx="238">
                  <v>42856</v>
                </pt>
                <pt idx="239">
                  <v>42887</v>
                </pt>
                <pt idx="240">
                  <v>42917</v>
                </pt>
                <pt idx="241">
                  <v>42948</v>
                </pt>
                <pt idx="242">
                  <v>42979</v>
                </pt>
                <pt idx="243">
                  <v>43009</v>
                </pt>
                <pt idx="244">
                  <v>43040</v>
                </pt>
                <pt idx="245">
                  <v>43070</v>
                </pt>
                <pt idx="246">
                  <v>43101</v>
                </pt>
                <pt idx="247">
                  <v>43132</v>
                </pt>
                <pt idx="248">
                  <v>43160</v>
                </pt>
                <pt idx="249">
                  <v>43191</v>
                </pt>
                <pt idx="250">
                  <v>43221</v>
                </pt>
                <pt idx="251">
                  <v>43252</v>
                </pt>
                <pt idx="252">
                  <v>43282</v>
                </pt>
                <pt idx="253">
                  <v>43313</v>
                </pt>
                <pt idx="254">
                  <v>43344</v>
                </pt>
                <pt idx="255">
                  <v>43374</v>
                </pt>
                <pt idx="256">
                  <v>43405</v>
                </pt>
                <pt idx="257">
                  <v>43435</v>
                </pt>
                <pt idx="258">
                  <v>43466</v>
                </pt>
                <pt idx="259">
                  <v>43497</v>
                </pt>
                <pt idx="260">
                  <v>43525</v>
                </pt>
                <pt idx="261">
                  <v>43556</v>
                </pt>
                <pt idx="262">
                  <v>43586</v>
                </pt>
                <pt idx="263">
                  <v>43617</v>
                </pt>
                <pt idx="264">
                  <v>43647</v>
                </pt>
                <pt idx="265">
                  <v>43678</v>
                </pt>
                <pt idx="266">
                  <v>43709</v>
                </pt>
                <pt idx="267">
                  <v>43739</v>
                </pt>
                <pt idx="268">
                  <v>43770</v>
                </pt>
                <pt idx="269">
                  <v>43800</v>
                </pt>
                <pt idx="270">
                  <v>43831</v>
                </pt>
                <pt idx="271">
                  <v>43862</v>
                </pt>
                <pt idx="272">
                  <v>43891</v>
                </pt>
                <pt idx="273">
                  <v>43922</v>
                </pt>
                <pt idx="274">
                  <v>43952</v>
                </pt>
                <pt idx="275">
                  <v>43983</v>
                </pt>
                <pt idx="276">
                  <v>44013</v>
                </pt>
                <pt idx="277">
                  <v>44044</v>
                </pt>
                <pt idx="278">
                  <v>44075</v>
                </pt>
                <pt idx="279">
                  <v>44105</v>
                </pt>
                <pt idx="280">
                  <v>44136</v>
                </pt>
                <pt idx="281">
                  <v>44166</v>
                </pt>
                <pt idx="282">
                  <v>44197</v>
                </pt>
                <pt idx="283">
                  <v>44228</v>
                </pt>
                <pt idx="284">
                  <v>44256</v>
                </pt>
                <pt idx="285">
                  <v>44287</v>
                </pt>
                <pt idx="286">
                  <v>44317</v>
                </pt>
                <pt idx="287">
                  <v>44348</v>
                </pt>
                <pt idx="288">
                  <v>44378</v>
                </pt>
                <pt idx="289">
                  <v>44409</v>
                </pt>
                <pt idx="290">
                  <v>44440</v>
                </pt>
                <pt idx="291">
                  <v>44470</v>
                </pt>
                <pt idx="292">
                  <v>44501</v>
                </pt>
                <pt idx="293">
                  <v>44531</v>
                </pt>
                <pt idx="294">
                  <v>44562</v>
                </pt>
                <pt idx="295">
                  <v>44593</v>
                </pt>
                <pt idx="296">
                  <v>44621</v>
                </pt>
                <pt idx="297">
                  <v>44652</v>
                </pt>
                <pt idx="298">
                  <v>44682</v>
                </pt>
                <pt idx="299">
                  <v>44713</v>
                </pt>
              </numCache>
            </numRef>
          </cat>
          <val>
            <numRef>
              <f>Details!$H$6:$H$307</f>
              <numCache>
                <formatCode>General</formatCode>
                <ptCount val="302"/>
                <pt idx="0">
                  <v>51</v>
                </pt>
                <pt idx="1">
                  <v>48.5</v>
                </pt>
                <pt idx="2">
                  <v>54</v>
                </pt>
                <pt idx="3">
                  <v>46.5</v>
                </pt>
                <pt idx="4">
                  <v>51</v>
                </pt>
                <pt idx="5">
                  <v>49</v>
                </pt>
                <pt idx="6">
                  <v>48.5</v>
                </pt>
                <pt idx="7">
                  <v>50.5</v>
                </pt>
                <pt idx="8">
                  <v>52.5</v>
                </pt>
                <pt idx="9">
                  <v>52.5</v>
                </pt>
                <pt idx="10">
                  <v>50</v>
                </pt>
                <pt idx="11">
                  <v>49.5</v>
                </pt>
                <pt idx="12">
                  <v>48</v>
                </pt>
                <pt idx="13">
                  <v>48</v>
                </pt>
                <pt idx="14">
                  <v>50.5</v>
                </pt>
                <pt idx="15">
                  <v>48.5</v>
                </pt>
                <pt idx="16">
                  <v>50</v>
                </pt>
                <pt idx="17">
                  <v>50.5</v>
                </pt>
                <pt idx="18">
                  <v>47</v>
                </pt>
                <pt idx="19">
                  <v>49.5</v>
                </pt>
                <pt idx="20">
                  <v>47.5</v>
                </pt>
                <pt idx="21">
                  <v>48.5</v>
                </pt>
                <pt idx="22">
                  <v>51.5</v>
                </pt>
                <pt idx="23">
                  <v>49.5</v>
                </pt>
                <pt idx="24">
                  <v>49.5</v>
                </pt>
                <pt idx="25">
                  <v>52</v>
                </pt>
                <pt idx="26">
                  <v>52</v>
                </pt>
                <pt idx="27">
                  <v>47.5</v>
                </pt>
                <pt idx="28">
                  <v>52.5</v>
                </pt>
                <pt idx="29">
                  <v>50</v>
                </pt>
                <pt idx="30">
                  <v>49.5</v>
                </pt>
                <pt idx="31">
                  <v>49.5</v>
                </pt>
                <pt idx="32">
                  <v>51.5</v>
                </pt>
                <pt idx="33">
                  <v>53.5</v>
                </pt>
                <pt idx="34">
                  <v>49.5</v>
                </pt>
                <pt idx="35">
                  <v>54</v>
                </pt>
                <pt idx="36">
                  <v>51</v>
                </pt>
                <pt idx="37">
                  <v>51</v>
                </pt>
                <pt idx="38">
                  <v>53.5</v>
                </pt>
                <pt idx="39">
                  <v>55</v>
                </pt>
                <pt idx="40">
                  <v>49.5</v>
                </pt>
                <pt idx="41">
                  <v>48.5</v>
                </pt>
                <pt idx="42">
                  <v>45.5</v>
                </pt>
                <pt idx="43">
                  <v>47</v>
                </pt>
                <pt idx="44">
                  <v>49</v>
                </pt>
                <pt idx="45">
                  <v>45.5</v>
                </pt>
                <pt idx="46">
                  <v>47.5</v>
                </pt>
                <pt idx="47">
                  <v>48.5</v>
                </pt>
                <pt idx="48">
                  <v>46</v>
                </pt>
                <pt idx="49">
                  <v>43.5</v>
                </pt>
                <pt idx="50">
                  <v>44.5</v>
                </pt>
                <pt idx="51">
                  <v>48</v>
                </pt>
                <pt idx="52">
                  <v>49.5</v>
                </pt>
                <pt idx="53">
                  <v>48.5</v>
                </pt>
                <pt idx="54">
                  <v>47.5</v>
                </pt>
                <pt idx="55">
                  <v>51.5</v>
                </pt>
                <pt idx="56">
                  <v>50</v>
                </pt>
                <pt idx="57">
                  <v>52.5</v>
                </pt>
                <pt idx="58">
                  <v>48.5</v>
                </pt>
                <pt idx="59">
                  <v>47.5</v>
                </pt>
                <pt idx="60">
                  <v>52</v>
                </pt>
                <pt idx="61">
                  <v>46</v>
                </pt>
                <pt idx="62">
                  <v>44.5</v>
                </pt>
                <pt idx="63">
                  <v>44</v>
                </pt>
                <pt idx="64">
                  <v>44</v>
                </pt>
                <pt idx="65">
                  <v>45.5</v>
                </pt>
                <pt idx="66">
                  <v>46.5</v>
                </pt>
                <pt idx="67">
                  <v>48.5</v>
                </pt>
                <pt idx="68">
                  <v>49.5</v>
                </pt>
                <pt idx="69">
                  <v>51</v>
                </pt>
                <pt idx="70">
                  <v>52.5</v>
                </pt>
                <pt idx="71">
                  <v>47</v>
                </pt>
                <pt idx="72">
                  <v>49.5</v>
                </pt>
                <pt idx="73">
                  <v>49</v>
                </pt>
                <pt idx="74">
                  <v>47.5</v>
                </pt>
                <pt idx="75">
                  <v>49</v>
                </pt>
                <pt idx="76">
                  <v>51</v>
                </pt>
                <pt idx="77">
                  <v>51.5</v>
                </pt>
                <pt idx="78">
                  <v>49.5</v>
                </pt>
                <pt idx="79">
                  <v>49</v>
                </pt>
                <pt idx="80">
                  <v>51.5</v>
                </pt>
                <pt idx="81">
                  <v>56.5</v>
                </pt>
                <pt idx="82">
                  <v>54</v>
                </pt>
                <pt idx="83">
                  <v>57.5</v>
                </pt>
                <pt idx="84">
                  <v>54</v>
                </pt>
                <pt idx="85">
                  <v>53</v>
                </pt>
                <pt idx="86">
                  <v>51.5</v>
                </pt>
                <pt idx="87">
                  <v>50</v>
                </pt>
                <pt idx="88">
                  <v>52.5</v>
                </pt>
                <pt idx="89">
                  <v>56</v>
                </pt>
                <pt idx="90">
                  <v>49.5</v>
                </pt>
                <pt idx="91">
                  <v>52</v>
                </pt>
                <pt idx="92">
                  <v>52.5</v>
                </pt>
                <pt idx="93">
                  <v>54.5</v>
                </pt>
                <pt idx="94">
                  <v>51.5</v>
                </pt>
                <pt idx="95">
                  <v>52</v>
                </pt>
                <pt idx="96">
                  <v>52.5</v>
                </pt>
                <pt idx="97">
                  <v>53.5</v>
                </pt>
                <pt idx="98">
                  <v>50</v>
                </pt>
                <pt idx="99">
                  <v>50</v>
                </pt>
                <pt idx="100">
                  <v>54</v>
                </pt>
                <pt idx="101">
                  <v>56</v>
                </pt>
                <pt idx="102">
                  <v>55</v>
                </pt>
                <pt idx="103">
                  <v>53</v>
                </pt>
                <pt idx="104">
                  <v>54</v>
                </pt>
                <pt idx="105">
                  <v>59</v>
                </pt>
                <pt idx="106">
                  <v>59</v>
                </pt>
                <pt idx="107">
                  <v>51.5</v>
                </pt>
                <pt idx="108">
                  <v>53</v>
                </pt>
                <pt idx="109">
                  <v>51.5</v>
                </pt>
                <pt idx="110">
                  <v>50.5</v>
                </pt>
                <pt idx="111">
                  <v>53</v>
                </pt>
                <pt idx="112">
                  <v>51.5</v>
                </pt>
                <pt idx="113">
                  <v>53.5</v>
                </pt>
                <pt idx="114">
                  <v>47</v>
                </pt>
                <pt idx="115">
                  <v>50.5</v>
                </pt>
                <pt idx="116">
                  <v>52</v>
                </pt>
                <pt idx="117">
                  <v>52</v>
                </pt>
                <pt idx="118">
                  <v>61</v>
                </pt>
                <pt idx="119">
                  <v>52.5</v>
                </pt>
                <pt idx="120">
                  <v>55</v>
                </pt>
                <pt idx="121">
                  <v>57</v>
                </pt>
                <pt idx="122">
                  <v>50</v>
                </pt>
                <pt idx="123">
                  <v>49.5</v>
                </pt>
                <pt idx="124">
                  <v>50.5</v>
                </pt>
                <pt idx="125">
                  <v>50.5</v>
                </pt>
                <pt idx="126">
                  <v>44.5</v>
                </pt>
                <pt idx="127">
                  <v>50</v>
                </pt>
                <pt idx="128">
                  <v>51.5</v>
                </pt>
                <pt idx="129">
                  <v>47</v>
                </pt>
                <pt idx="130">
                  <v>54</v>
                </pt>
                <pt idx="131">
                  <v>53</v>
                </pt>
                <pt idx="132">
                  <v>54.5</v>
                </pt>
                <pt idx="133">
                  <v>53.5</v>
                </pt>
                <pt idx="134">
                  <v>45.5</v>
                </pt>
                <pt idx="135">
                  <v>48</v>
                </pt>
                <pt idx="136">
                  <v>46</v>
                </pt>
                <pt idx="137">
                  <v>49</v>
                </pt>
                <pt idx="138">
                  <v>41.5</v>
                </pt>
                <pt idx="139">
                  <v>39</v>
                </pt>
                <pt idx="140">
                  <v>40</v>
                </pt>
                <pt idx="141">
                  <v>43</v>
                </pt>
                <pt idx="142">
                  <v>47</v>
                </pt>
                <pt idx="143">
                  <v>45</v>
                </pt>
                <pt idx="144">
                  <v>47</v>
                </pt>
                <pt idx="145">
                  <v>43</v>
                </pt>
                <pt idx="146">
                  <v>47.5</v>
                </pt>
                <pt idx="147">
                  <v>43</v>
                </pt>
                <pt idx="148">
                  <v>45.5</v>
                </pt>
                <pt idx="149">
                  <v>51.5</v>
                </pt>
                <pt idx="150">
                  <v>46.5</v>
                </pt>
                <pt idx="151">
                  <v>45</v>
                </pt>
                <pt idx="152">
                  <v>46.5</v>
                </pt>
                <pt idx="153">
                  <v>54.5</v>
                </pt>
                <pt idx="154">
                  <v>62.5</v>
                </pt>
                <pt idx="155">
                  <v>58.5</v>
                </pt>
                <pt idx="156">
                  <v>55.5</v>
                </pt>
                <pt idx="157">
                  <v>53.5</v>
                </pt>
                <pt idx="158">
                  <v>47</v>
                </pt>
                <pt idx="159">
                  <v>47.5</v>
                </pt>
                <pt idx="160">
                  <v>51.5</v>
                </pt>
                <pt idx="161">
                  <v>52.5</v>
                </pt>
                <pt idx="162">
                  <v>49</v>
                </pt>
                <pt idx="163">
                  <v>55.5</v>
                </pt>
                <pt idx="164">
                  <v>55.5</v>
                </pt>
                <pt idx="165">
                  <v>55.5</v>
                </pt>
                <pt idx="166">
                  <v>55</v>
                </pt>
                <pt idx="167">
                  <v>53.5</v>
                </pt>
                <pt idx="168">
                  <v>56.5</v>
                </pt>
                <pt idx="169">
                  <v>53.5</v>
                </pt>
                <pt idx="170">
                  <v>51.5</v>
                </pt>
                <pt idx="171">
                  <v>45.5</v>
                </pt>
                <pt idx="172">
                  <v>52.5</v>
                </pt>
                <pt idx="173">
                  <v>48.5</v>
                </pt>
                <pt idx="174">
                  <v>47</v>
                </pt>
                <pt idx="175">
                  <v>53.5</v>
                </pt>
                <pt idx="176">
                  <v>54</v>
                </pt>
                <pt idx="177">
                  <v>54</v>
                </pt>
                <pt idx="178">
                  <v>56</v>
                </pt>
                <pt idx="179">
                  <v>53</v>
                </pt>
                <pt idx="180">
                  <v>54.5</v>
                </pt>
                <pt idx="181">
                  <v>52.5</v>
                </pt>
                <pt idx="182">
                  <v>48.5</v>
                </pt>
                <pt idx="183">
                  <v>46.5</v>
                </pt>
                <pt idx="184">
                  <v>47</v>
                </pt>
                <pt idx="185">
                  <v>50</v>
                </pt>
                <pt idx="186">
                  <v>47</v>
                </pt>
                <pt idx="187">
                  <v>54</v>
                </pt>
                <pt idx="188">
                  <v>51.5</v>
                </pt>
                <pt idx="189">
                  <v>56</v>
                </pt>
                <pt idx="190">
                  <v>51.5</v>
                </pt>
                <pt idx="191">
                  <v>54.5</v>
                </pt>
                <pt idx="192">
                  <v>53.5</v>
                </pt>
                <pt idx="193">
                  <v>56</v>
                </pt>
                <pt idx="194">
                  <v>54.5</v>
                </pt>
                <pt idx="195">
                  <v>54.5</v>
                </pt>
                <pt idx="196">
                  <v>54</v>
                </pt>
                <pt idx="197">
                  <v>48</v>
                </pt>
                <pt idx="198">
                  <v>50.5</v>
                </pt>
                <pt idx="199">
                  <v>50.5</v>
                </pt>
                <pt idx="200">
                  <v>48</v>
                </pt>
                <pt idx="201">
                  <v>55.5</v>
                </pt>
                <pt idx="202">
                  <v>55.5</v>
                </pt>
                <pt idx="203">
                  <v>53.5</v>
                </pt>
                <pt idx="204">
                  <v>51</v>
                </pt>
                <pt idx="205">
                  <v>51</v>
                </pt>
                <pt idx="206">
                  <v>52</v>
                </pt>
                <pt idx="207">
                  <v>49.5</v>
                </pt>
                <pt idx="208">
                  <v>55.5</v>
                </pt>
                <pt idx="209">
                  <v>50</v>
                </pt>
                <pt idx="210">
                  <v>52.5</v>
                </pt>
                <pt idx="211">
                  <v>54.5</v>
                </pt>
                <pt idx="212">
                  <v>49.5</v>
                </pt>
                <pt idx="213">
                  <v>51</v>
                </pt>
                <pt idx="214">
                  <v>51</v>
                </pt>
                <pt idx="215">
                  <v>55</v>
                </pt>
                <pt idx="216">
                  <v>57</v>
                </pt>
                <pt idx="217">
                  <v>54.5</v>
                </pt>
                <pt idx="218">
                  <v>51</v>
                </pt>
                <pt idx="219">
                  <v>52.5</v>
                </pt>
                <pt idx="220">
                  <v>54.5</v>
                </pt>
                <pt idx="221">
                  <v>53</v>
                </pt>
                <pt idx="222">
                  <v>51.5</v>
                </pt>
                <pt idx="223">
                  <v>52.5</v>
                </pt>
                <pt idx="224">
                  <v>52.5</v>
                </pt>
                <pt idx="225">
                  <v>54</v>
                </pt>
                <pt idx="226">
                  <v>54</v>
                </pt>
                <pt idx="227">
                  <v>55.5</v>
                </pt>
                <pt idx="228">
                  <v>54</v>
                </pt>
                <pt idx="229">
                  <v>48</v>
                </pt>
                <pt idx="230">
                  <v>51.5</v>
                </pt>
                <pt idx="231">
                  <v>52</v>
                </pt>
                <pt idx="232">
                  <v>51.5</v>
                </pt>
                <pt idx="233">
                  <v>52</v>
                </pt>
                <pt idx="234">
                  <v>48</v>
                </pt>
                <pt idx="235">
                  <v>52</v>
                </pt>
                <pt idx="236">
                  <v>48.5</v>
                </pt>
                <pt idx="237">
                  <v>52.5</v>
                </pt>
                <pt idx="238">
                  <v>54</v>
                </pt>
                <pt idx="239">
                  <v>57.5</v>
                </pt>
                <pt idx="240">
                  <v>56.5</v>
                </pt>
                <pt idx="241">
                  <v>53.5</v>
                </pt>
                <pt idx="242">
                  <v>51.5</v>
                </pt>
                <pt idx="243">
                  <v>52.5</v>
                </pt>
                <pt idx="244">
                  <v>54.5</v>
                </pt>
                <pt idx="245">
                  <v>53.5</v>
                </pt>
                <pt idx="246">
                  <v>49</v>
                </pt>
                <pt idx="247">
                  <v>53.5</v>
                </pt>
                <pt idx="248">
                  <v>53.5</v>
                </pt>
                <pt idx="249">
                  <v>57</v>
                </pt>
                <pt idx="250">
                  <v>57.5</v>
                </pt>
                <pt idx="251">
                  <v>53.5</v>
                </pt>
                <pt idx="252">
                  <v>53.5</v>
                </pt>
                <pt idx="253">
                  <v>53.5</v>
                </pt>
                <pt idx="254">
                  <v>54.5</v>
                </pt>
                <pt idx="255">
                  <v>56</v>
                </pt>
                <pt idx="256">
                  <v>57.5</v>
                </pt>
                <pt idx="257">
                  <v>51.5</v>
                </pt>
                <pt idx="258">
                  <v>49</v>
                </pt>
                <pt idx="259">
                  <v>51</v>
                </pt>
                <pt idx="260">
                  <v>50</v>
                </pt>
                <pt idx="261">
                  <v>51.5</v>
                </pt>
                <pt idx="262">
                  <v>54</v>
                </pt>
                <pt idx="263">
                  <v>55</v>
                </pt>
                <pt idx="264">
                  <v>50</v>
                </pt>
                <pt idx="265">
                  <v>55</v>
                </pt>
                <pt idx="266">
                  <v>53</v>
                </pt>
                <pt idx="267">
                  <v>50.5</v>
                </pt>
                <pt idx="268">
                  <v>50.5</v>
                </pt>
                <pt idx="269">
                  <v>51</v>
                </pt>
                <pt idx="270">
                  <v>46.5</v>
                </pt>
                <pt idx="271">
                  <v>53.9</v>
                </pt>
                <pt idx="272">
                  <v>41.5</v>
                </pt>
                <pt idx="273">
                  <v>46.9</v>
                </pt>
                <pt idx="274">
                  <v>48</v>
                </pt>
                <pt idx="275">
                  <v>60.7</v>
                </pt>
                <pt idx="276">
                  <v>52</v>
                </pt>
                <pt idx="277">
                  <v>45.8</v>
                </pt>
                <pt idx="278">
                  <v>48.8</v>
                </pt>
                <pt idx="279">
                  <v>53.1</v>
                </pt>
                <pt idx="280">
                  <v>49.3</v>
                </pt>
                <pt idx="281">
                  <v>58.2</v>
                </pt>
                <pt idx="282">
                  <v>49.2</v>
                </pt>
                <pt idx="283">
                  <v>58.9</v>
                </pt>
                <pt idx="284">
                  <v>54</v>
                </pt>
                <pt idx="285">
                  <v>49.1</v>
                </pt>
                <pt idx="286">
                  <v>51.5</v>
                </pt>
                <pt idx="287">
                  <v>49.9</v>
                </pt>
                <pt idx="288">
                  <v>49.2</v>
                </pt>
                <pt idx="289">
                  <v>46.9</v>
                </pt>
                <pt idx="290">
                  <v>46.1</v>
                </pt>
                <pt idx="291">
                  <v>42.2</v>
                </pt>
                <pt idx="292">
                  <v>48.2</v>
                </pt>
                <pt idx="293">
                  <v>46.7</v>
                </pt>
                <pt idx="294">
                  <v>49.4</v>
                </pt>
                <pt idx="295">
                  <v>50.8</v>
                </pt>
                <pt idx="296">
                  <v>51.7</v>
                </pt>
                <pt idx="297">
                  <v>52.3</v>
                </pt>
                <pt idx="298">
                  <v>51</v>
                </pt>
                <pt idx="299">
                  <v>47.5</v>
                </pt>
              </numCache>
            </numRef>
          </val>
          <smooth val="0"/>
        </ser>
        <dLbls>
          <showLegendKey val="0"/>
          <showVal val="0"/>
          <showCatName val="0"/>
          <showSerName val="0"/>
          <showPercent val="0"/>
          <showBubbleSize val="0"/>
        </dLbls>
        <smooth val="0"/>
        <axId val="946929536"/>
        <axId val="946929864"/>
      </lineChart>
      <dateAx>
        <axId val="946929536"/>
        <scaling>
          <orientation val="minMax"/>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864"/>
        <crosses val="autoZero"/>
        <lblOffset val="100"/>
        <baseTimeUnit val="months"/>
      </dateAx>
      <valAx>
        <axId val="946929864"/>
        <scaling>
          <orientation val="minMax"/>
          <min val="3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536"/>
        <crosses val="autoZero"/>
        <crossBetween val="between"/>
      </valAx>
    </plotArea>
    <plotVisOnly val="1"/>
    <dispBlanksAs val="gap"/>
  </chart>
</chartSpace>
</file>

<file path=xl/charts/chart70.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Inventories</a:t>
            </a:r>
          </a:p>
        </rich>
      </tx>
      <overlay val="0"/>
      <spPr>
        <a:noFill xmlns:a="http://schemas.openxmlformats.org/drawingml/2006/main"/>
        <a:ln xmlns:a="http://schemas.openxmlformats.org/drawingml/2006/main">
          <a:noFill/>
          <a:prstDash val="solid"/>
        </a:ln>
      </spPr>
    </title>
    <plotArea>
      <layout/>
      <lineChart>
        <grouping val="standard"/>
        <varyColors val="0"/>
        <ser>
          <idx val="6"/>
          <order val="0"/>
          <tx>
            <strRef>
              <f>Details!$H$5</f>
              <strCache>
                <ptCount val="1"/>
                <pt idx="0">
                  <v>Inventories</v>
                </pt>
              </strCache>
            </strRef>
          </tx>
          <spPr>
            <a:ln xmlns:a="http://schemas.openxmlformats.org/drawingml/2006/main" w="28575" cap="rnd">
              <a:solidFill>
                <a:schemeClr val="accent1">
                  <a:lumMod val="60000"/>
                </a:schemeClr>
              </a:solidFill>
              <a:prstDash val="solid"/>
              <a:round/>
            </a:ln>
          </spPr>
          <marker>
            <symbol val="none"/>
            <spPr>
              <a:ln xmlns:a="http://schemas.openxmlformats.org/drawingml/2006/main">
                <a:prstDash val="solid"/>
              </a:ln>
            </spPr>
          </marker>
          <cat>
            <numRef>
              <f>Details!$A$6:$A$307</f>
              <numCache>
                <formatCode>m/d/yy</formatCode>
                <ptCount val="302"/>
                <pt idx="0">
                  <v>35612</v>
                </pt>
                <pt idx="1">
                  <v>35643</v>
                </pt>
                <pt idx="2">
                  <v>35674</v>
                </pt>
                <pt idx="3">
                  <v>35704</v>
                </pt>
                <pt idx="4">
                  <v>35735</v>
                </pt>
                <pt idx="5">
                  <v>35765</v>
                </pt>
                <pt idx="6">
                  <v>35796</v>
                </pt>
                <pt idx="7">
                  <v>35827</v>
                </pt>
                <pt idx="8">
                  <v>35855</v>
                </pt>
                <pt idx="9">
                  <v>35886</v>
                </pt>
                <pt idx="10">
                  <v>35916</v>
                </pt>
                <pt idx="11">
                  <v>35947</v>
                </pt>
                <pt idx="12">
                  <v>35977</v>
                </pt>
                <pt idx="13">
                  <v>36008</v>
                </pt>
                <pt idx="14">
                  <v>36039</v>
                </pt>
                <pt idx="15">
                  <v>36069</v>
                </pt>
                <pt idx="16">
                  <v>36100</v>
                </pt>
                <pt idx="17">
                  <v>36130</v>
                </pt>
                <pt idx="18">
                  <v>36161</v>
                </pt>
                <pt idx="19">
                  <v>36192</v>
                </pt>
                <pt idx="20">
                  <v>36220</v>
                </pt>
                <pt idx="21">
                  <v>36251</v>
                </pt>
                <pt idx="22">
                  <v>36281</v>
                </pt>
                <pt idx="23">
                  <v>36312</v>
                </pt>
                <pt idx="24">
                  <v>36342</v>
                </pt>
                <pt idx="25">
                  <v>36373</v>
                </pt>
                <pt idx="26">
                  <v>36404</v>
                </pt>
                <pt idx="27">
                  <v>36434</v>
                </pt>
                <pt idx="28">
                  <v>36465</v>
                </pt>
                <pt idx="29">
                  <v>36495</v>
                </pt>
                <pt idx="30">
                  <v>36526</v>
                </pt>
                <pt idx="31">
                  <v>36557</v>
                </pt>
                <pt idx="32">
                  <v>36586</v>
                </pt>
                <pt idx="33">
                  <v>36617</v>
                </pt>
                <pt idx="34">
                  <v>36647</v>
                </pt>
                <pt idx="35">
                  <v>36678</v>
                </pt>
                <pt idx="36">
                  <v>36708</v>
                </pt>
                <pt idx="37">
                  <v>36739</v>
                </pt>
                <pt idx="38">
                  <v>36770</v>
                </pt>
                <pt idx="39">
                  <v>36800</v>
                </pt>
                <pt idx="40">
                  <v>36831</v>
                </pt>
                <pt idx="41">
                  <v>36861</v>
                </pt>
                <pt idx="42">
                  <v>36892</v>
                </pt>
                <pt idx="43">
                  <v>36923</v>
                </pt>
                <pt idx="44">
                  <v>36951</v>
                </pt>
                <pt idx="45">
                  <v>36982</v>
                </pt>
                <pt idx="46">
                  <v>37012</v>
                </pt>
                <pt idx="47">
                  <v>37043</v>
                </pt>
                <pt idx="48">
                  <v>37073</v>
                </pt>
                <pt idx="49">
                  <v>37104</v>
                </pt>
                <pt idx="50">
                  <v>37135</v>
                </pt>
                <pt idx="51">
                  <v>37165</v>
                </pt>
                <pt idx="52">
                  <v>37196</v>
                </pt>
                <pt idx="53">
                  <v>37226</v>
                </pt>
                <pt idx="54">
                  <v>37257</v>
                </pt>
                <pt idx="55">
                  <v>37288</v>
                </pt>
                <pt idx="56">
                  <v>37316</v>
                </pt>
                <pt idx="57">
                  <v>37347</v>
                </pt>
                <pt idx="58">
                  <v>37377</v>
                </pt>
                <pt idx="59">
                  <v>37408</v>
                </pt>
                <pt idx="60">
                  <v>37438</v>
                </pt>
                <pt idx="61">
                  <v>37469</v>
                </pt>
                <pt idx="62">
                  <v>37500</v>
                </pt>
                <pt idx="63">
                  <v>37530</v>
                </pt>
                <pt idx="64">
                  <v>37561</v>
                </pt>
                <pt idx="65">
                  <v>37591</v>
                </pt>
                <pt idx="66">
                  <v>37622</v>
                </pt>
                <pt idx="67">
                  <v>37653</v>
                </pt>
                <pt idx="68">
                  <v>37681</v>
                </pt>
                <pt idx="69">
                  <v>37712</v>
                </pt>
                <pt idx="70">
                  <v>37742</v>
                </pt>
                <pt idx="71">
                  <v>37773</v>
                </pt>
                <pt idx="72">
                  <v>37803</v>
                </pt>
                <pt idx="73">
                  <v>37834</v>
                </pt>
                <pt idx="74">
                  <v>37865</v>
                </pt>
                <pt idx="75">
                  <v>37895</v>
                </pt>
                <pt idx="76">
                  <v>37926</v>
                </pt>
                <pt idx="77">
                  <v>37956</v>
                </pt>
                <pt idx="78">
                  <v>37987</v>
                </pt>
                <pt idx="79">
                  <v>38018</v>
                </pt>
                <pt idx="80">
                  <v>38047</v>
                </pt>
                <pt idx="81">
                  <v>38078</v>
                </pt>
                <pt idx="82">
                  <v>38108</v>
                </pt>
                <pt idx="83">
                  <v>38139</v>
                </pt>
                <pt idx="84">
                  <v>38169</v>
                </pt>
                <pt idx="85">
                  <v>38200</v>
                </pt>
                <pt idx="86">
                  <v>38231</v>
                </pt>
                <pt idx="87">
                  <v>38261</v>
                </pt>
                <pt idx="88">
                  <v>38292</v>
                </pt>
                <pt idx="89">
                  <v>38322</v>
                </pt>
                <pt idx="90">
                  <v>38353</v>
                </pt>
                <pt idx="91">
                  <v>38384</v>
                </pt>
                <pt idx="92">
                  <v>38412</v>
                </pt>
                <pt idx="93">
                  <v>38443</v>
                </pt>
                <pt idx="94">
                  <v>38473</v>
                </pt>
                <pt idx="95">
                  <v>38504</v>
                </pt>
                <pt idx="96">
                  <v>38534</v>
                </pt>
                <pt idx="97">
                  <v>38565</v>
                </pt>
                <pt idx="98">
                  <v>38596</v>
                </pt>
                <pt idx="99">
                  <v>38626</v>
                </pt>
                <pt idx="100">
                  <v>38657</v>
                </pt>
                <pt idx="101">
                  <v>38687</v>
                </pt>
                <pt idx="102">
                  <v>38718</v>
                </pt>
                <pt idx="103">
                  <v>38749</v>
                </pt>
                <pt idx="104">
                  <v>38777</v>
                </pt>
                <pt idx="105">
                  <v>38808</v>
                </pt>
                <pt idx="106">
                  <v>38838</v>
                </pt>
                <pt idx="107">
                  <v>38869</v>
                </pt>
                <pt idx="108">
                  <v>38899</v>
                </pt>
                <pt idx="109">
                  <v>38930</v>
                </pt>
                <pt idx="110">
                  <v>38961</v>
                </pt>
                <pt idx="111">
                  <v>38991</v>
                </pt>
                <pt idx="112">
                  <v>39022</v>
                </pt>
                <pt idx="113">
                  <v>39052</v>
                </pt>
                <pt idx="114">
                  <v>39083</v>
                </pt>
                <pt idx="115">
                  <v>39114</v>
                </pt>
                <pt idx="116">
                  <v>39142</v>
                </pt>
                <pt idx="117">
                  <v>39173</v>
                </pt>
                <pt idx="118">
                  <v>39203</v>
                </pt>
                <pt idx="119">
                  <v>39234</v>
                </pt>
                <pt idx="120">
                  <v>39264</v>
                </pt>
                <pt idx="121">
                  <v>39295</v>
                </pt>
                <pt idx="122">
                  <v>39326</v>
                </pt>
                <pt idx="123">
                  <v>39356</v>
                </pt>
                <pt idx="124">
                  <v>39387</v>
                </pt>
                <pt idx="125">
                  <v>39417</v>
                </pt>
                <pt idx="126">
                  <v>39448</v>
                </pt>
                <pt idx="127">
                  <v>39479</v>
                </pt>
                <pt idx="128">
                  <v>39508</v>
                </pt>
                <pt idx="129">
                  <v>39539</v>
                </pt>
                <pt idx="130">
                  <v>39569</v>
                </pt>
                <pt idx="131">
                  <v>39600</v>
                </pt>
                <pt idx="132">
                  <v>39630</v>
                </pt>
                <pt idx="133">
                  <v>39661</v>
                </pt>
                <pt idx="134">
                  <v>39692</v>
                </pt>
                <pt idx="135">
                  <v>39722</v>
                </pt>
                <pt idx="136">
                  <v>39753</v>
                </pt>
                <pt idx="137">
                  <v>39783</v>
                </pt>
                <pt idx="138">
                  <v>39814</v>
                </pt>
                <pt idx="139">
                  <v>39845</v>
                </pt>
                <pt idx="140">
                  <v>39873</v>
                </pt>
                <pt idx="141">
                  <v>39904</v>
                </pt>
                <pt idx="142">
                  <v>39934</v>
                </pt>
                <pt idx="143">
                  <v>39965</v>
                </pt>
                <pt idx="144">
                  <v>39995</v>
                </pt>
                <pt idx="145">
                  <v>40026</v>
                </pt>
                <pt idx="146">
                  <v>40057</v>
                </pt>
                <pt idx="147">
                  <v>40087</v>
                </pt>
                <pt idx="148">
                  <v>40118</v>
                </pt>
                <pt idx="149">
                  <v>40148</v>
                </pt>
                <pt idx="150">
                  <v>40179</v>
                </pt>
                <pt idx="151">
                  <v>40210</v>
                </pt>
                <pt idx="152">
                  <v>40238</v>
                </pt>
                <pt idx="153">
                  <v>40269</v>
                </pt>
                <pt idx="154">
                  <v>40299</v>
                </pt>
                <pt idx="155">
                  <v>40330</v>
                </pt>
                <pt idx="156">
                  <v>40360</v>
                </pt>
                <pt idx="157">
                  <v>40391</v>
                </pt>
                <pt idx="158">
                  <v>40422</v>
                </pt>
                <pt idx="159">
                  <v>40452</v>
                </pt>
                <pt idx="160">
                  <v>40483</v>
                </pt>
                <pt idx="161">
                  <v>40513</v>
                </pt>
                <pt idx="162">
                  <v>40544</v>
                </pt>
                <pt idx="163">
                  <v>40575</v>
                </pt>
                <pt idx="164">
                  <v>40603</v>
                </pt>
                <pt idx="165">
                  <v>40634</v>
                </pt>
                <pt idx="166">
                  <v>40664</v>
                </pt>
                <pt idx="167">
                  <v>40695</v>
                </pt>
                <pt idx="168">
                  <v>40725</v>
                </pt>
                <pt idx="169">
                  <v>40756</v>
                </pt>
                <pt idx="170">
                  <v>40787</v>
                </pt>
                <pt idx="171">
                  <v>40817</v>
                </pt>
                <pt idx="172">
                  <v>40848</v>
                </pt>
                <pt idx="173">
                  <v>40878</v>
                </pt>
                <pt idx="174">
                  <v>40909</v>
                </pt>
                <pt idx="175">
                  <v>40940</v>
                </pt>
                <pt idx="176">
                  <v>40969</v>
                </pt>
                <pt idx="177">
                  <v>41000</v>
                </pt>
                <pt idx="178">
                  <v>41030</v>
                </pt>
                <pt idx="179">
                  <v>41061</v>
                </pt>
                <pt idx="180">
                  <v>41091</v>
                </pt>
                <pt idx="181">
                  <v>41122</v>
                </pt>
                <pt idx="182">
                  <v>41153</v>
                </pt>
                <pt idx="183">
                  <v>41183</v>
                </pt>
                <pt idx="184">
                  <v>41214</v>
                </pt>
                <pt idx="185">
                  <v>41244</v>
                </pt>
                <pt idx="186">
                  <v>41275</v>
                </pt>
                <pt idx="187">
                  <v>41306</v>
                </pt>
                <pt idx="188">
                  <v>41334</v>
                </pt>
                <pt idx="189">
                  <v>41365</v>
                </pt>
                <pt idx="190">
                  <v>41395</v>
                </pt>
                <pt idx="191">
                  <v>41426</v>
                </pt>
                <pt idx="192">
                  <v>41456</v>
                </pt>
                <pt idx="193">
                  <v>41487</v>
                </pt>
                <pt idx="194">
                  <v>41518</v>
                </pt>
                <pt idx="195">
                  <v>41548</v>
                </pt>
                <pt idx="196">
                  <v>41579</v>
                </pt>
                <pt idx="197">
                  <v>41609</v>
                </pt>
                <pt idx="198">
                  <v>41640</v>
                </pt>
                <pt idx="199">
                  <v>41671</v>
                </pt>
                <pt idx="200">
                  <v>41699</v>
                </pt>
                <pt idx="201">
                  <v>41730</v>
                </pt>
                <pt idx="202">
                  <v>41760</v>
                </pt>
                <pt idx="203">
                  <v>41791</v>
                </pt>
                <pt idx="204">
                  <v>41821</v>
                </pt>
                <pt idx="205">
                  <v>41852</v>
                </pt>
                <pt idx="206">
                  <v>41883</v>
                </pt>
                <pt idx="207">
                  <v>41913</v>
                </pt>
                <pt idx="208">
                  <v>41944</v>
                </pt>
                <pt idx="209">
                  <v>41974</v>
                </pt>
                <pt idx="210">
                  <v>42005</v>
                </pt>
                <pt idx="211">
                  <v>42036</v>
                </pt>
                <pt idx="212">
                  <v>42064</v>
                </pt>
                <pt idx="213">
                  <v>42095</v>
                </pt>
                <pt idx="214">
                  <v>42125</v>
                </pt>
                <pt idx="215">
                  <v>42156</v>
                </pt>
                <pt idx="216">
                  <v>42186</v>
                </pt>
                <pt idx="217">
                  <v>42217</v>
                </pt>
                <pt idx="218">
                  <v>42248</v>
                </pt>
                <pt idx="219">
                  <v>42278</v>
                </pt>
                <pt idx="220">
                  <v>42309</v>
                </pt>
                <pt idx="221">
                  <v>42339</v>
                </pt>
                <pt idx="222">
                  <v>42370</v>
                </pt>
                <pt idx="223">
                  <v>42401</v>
                </pt>
                <pt idx="224">
                  <v>42430</v>
                </pt>
                <pt idx="225">
                  <v>42461</v>
                </pt>
                <pt idx="226">
                  <v>42491</v>
                </pt>
                <pt idx="227">
                  <v>42522</v>
                </pt>
                <pt idx="228">
                  <v>42552</v>
                </pt>
                <pt idx="229">
                  <v>42583</v>
                </pt>
                <pt idx="230">
                  <v>42614</v>
                </pt>
                <pt idx="231">
                  <v>42644</v>
                </pt>
                <pt idx="232">
                  <v>42675</v>
                </pt>
                <pt idx="233">
                  <v>42705</v>
                </pt>
                <pt idx="234">
                  <v>42736</v>
                </pt>
                <pt idx="235">
                  <v>42767</v>
                </pt>
                <pt idx="236">
                  <v>42795</v>
                </pt>
                <pt idx="237">
                  <v>42826</v>
                </pt>
                <pt idx="238">
                  <v>42856</v>
                </pt>
                <pt idx="239">
                  <v>42887</v>
                </pt>
                <pt idx="240">
                  <v>42917</v>
                </pt>
                <pt idx="241">
                  <v>42948</v>
                </pt>
                <pt idx="242">
                  <v>42979</v>
                </pt>
                <pt idx="243">
                  <v>43009</v>
                </pt>
                <pt idx="244">
                  <v>43040</v>
                </pt>
                <pt idx="245">
                  <v>43070</v>
                </pt>
                <pt idx="246">
                  <v>43101</v>
                </pt>
                <pt idx="247">
                  <v>43132</v>
                </pt>
                <pt idx="248">
                  <v>43160</v>
                </pt>
                <pt idx="249">
                  <v>43191</v>
                </pt>
                <pt idx="250">
                  <v>43221</v>
                </pt>
                <pt idx="251">
                  <v>43252</v>
                </pt>
                <pt idx="252">
                  <v>43282</v>
                </pt>
                <pt idx="253">
                  <v>43313</v>
                </pt>
                <pt idx="254">
                  <v>43344</v>
                </pt>
                <pt idx="255">
                  <v>43374</v>
                </pt>
                <pt idx="256">
                  <v>43405</v>
                </pt>
                <pt idx="257">
                  <v>43435</v>
                </pt>
                <pt idx="258">
                  <v>43466</v>
                </pt>
                <pt idx="259">
                  <v>43497</v>
                </pt>
                <pt idx="260">
                  <v>43525</v>
                </pt>
                <pt idx="261">
                  <v>43556</v>
                </pt>
                <pt idx="262">
                  <v>43586</v>
                </pt>
                <pt idx="263">
                  <v>43617</v>
                </pt>
                <pt idx="264">
                  <v>43647</v>
                </pt>
                <pt idx="265">
                  <v>43678</v>
                </pt>
                <pt idx="266">
                  <v>43709</v>
                </pt>
                <pt idx="267">
                  <v>43739</v>
                </pt>
                <pt idx="268">
                  <v>43770</v>
                </pt>
                <pt idx="269">
                  <v>43800</v>
                </pt>
                <pt idx="270">
                  <v>43831</v>
                </pt>
                <pt idx="271">
                  <v>43862</v>
                </pt>
                <pt idx="272">
                  <v>43891</v>
                </pt>
                <pt idx="273">
                  <v>43922</v>
                </pt>
                <pt idx="274">
                  <v>43952</v>
                </pt>
                <pt idx="275">
                  <v>43983</v>
                </pt>
                <pt idx="276">
                  <v>44013</v>
                </pt>
                <pt idx="277">
                  <v>44044</v>
                </pt>
                <pt idx="278">
                  <v>44075</v>
                </pt>
                <pt idx="279">
                  <v>44105</v>
                </pt>
                <pt idx="280">
                  <v>44136</v>
                </pt>
                <pt idx="281">
                  <v>44166</v>
                </pt>
                <pt idx="282">
                  <v>44197</v>
                </pt>
                <pt idx="283">
                  <v>44228</v>
                </pt>
                <pt idx="284">
                  <v>44256</v>
                </pt>
                <pt idx="285">
                  <v>44287</v>
                </pt>
                <pt idx="286">
                  <v>44317</v>
                </pt>
                <pt idx="287">
                  <v>44348</v>
                </pt>
                <pt idx="288">
                  <v>44378</v>
                </pt>
                <pt idx="289">
                  <v>44409</v>
                </pt>
                <pt idx="290">
                  <v>44440</v>
                </pt>
                <pt idx="291">
                  <v>44470</v>
                </pt>
                <pt idx="292">
                  <v>44501</v>
                </pt>
                <pt idx="293">
                  <v>44531</v>
                </pt>
                <pt idx="294">
                  <v>44562</v>
                </pt>
                <pt idx="295">
                  <v>44593</v>
                </pt>
                <pt idx="296">
                  <v>44621</v>
                </pt>
                <pt idx="297">
                  <v>44652</v>
                </pt>
                <pt idx="298">
                  <v>44682</v>
                </pt>
                <pt idx="299">
                  <v>44713</v>
                </pt>
              </numCache>
            </numRef>
          </cat>
          <val>
            <numRef>
              <f>Details!$H$6:$H$307</f>
              <numCache>
                <formatCode>General</formatCode>
                <ptCount val="302"/>
                <pt idx="0">
                  <v>51</v>
                </pt>
                <pt idx="1">
                  <v>48.5</v>
                </pt>
                <pt idx="2">
                  <v>54</v>
                </pt>
                <pt idx="3">
                  <v>46.5</v>
                </pt>
                <pt idx="4">
                  <v>51</v>
                </pt>
                <pt idx="5">
                  <v>49</v>
                </pt>
                <pt idx="6">
                  <v>48.5</v>
                </pt>
                <pt idx="7">
                  <v>50.5</v>
                </pt>
                <pt idx="8">
                  <v>52.5</v>
                </pt>
                <pt idx="9">
                  <v>52.5</v>
                </pt>
                <pt idx="10">
                  <v>50</v>
                </pt>
                <pt idx="11">
                  <v>49.5</v>
                </pt>
                <pt idx="12">
                  <v>48</v>
                </pt>
                <pt idx="13">
                  <v>48</v>
                </pt>
                <pt idx="14">
                  <v>50.5</v>
                </pt>
                <pt idx="15">
                  <v>48.5</v>
                </pt>
                <pt idx="16">
                  <v>50</v>
                </pt>
                <pt idx="17">
                  <v>50.5</v>
                </pt>
                <pt idx="18">
                  <v>47</v>
                </pt>
                <pt idx="19">
                  <v>49.5</v>
                </pt>
                <pt idx="20">
                  <v>47.5</v>
                </pt>
                <pt idx="21">
                  <v>48.5</v>
                </pt>
                <pt idx="22">
                  <v>51.5</v>
                </pt>
                <pt idx="23">
                  <v>49.5</v>
                </pt>
                <pt idx="24">
                  <v>49.5</v>
                </pt>
                <pt idx="25">
                  <v>52</v>
                </pt>
                <pt idx="26">
                  <v>52</v>
                </pt>
                <pt idx="27">
                  <v>47.5</v>
                </pt>
                <pt idx="28">
                  <v>52.5</v>
                </pt>
                <pt idx="29">
                  <v>50</v>
                </pt>
                <pt idx="30">
                  <v>49.5</v>
                </pt>
                <pt idx="31">
                  <v>49.5</v>
                </pt>
                <pt idx="32">
                  <v>51.5</v>
                </pt>
                <pt idx="33">
                  <v>53.5</v>
                </pt>
                <pt idx="34">
                  <v>49.5</v>
                </pt>
                <pt idx="35">
                  <v>54</v>
                </pt>
                <pt idx="36">
                  <v>51</v>
                </pt>
                <pt idx="37">
                  <v>51</v>
                </pt>
                <pt idx="38">
                  <v>53.5</v>
                </pt>
                <pt idx="39">
                  <v>55</v>
                </pt>
                <pt idx="40">
                  <v>49.5</v>
                </pt>
                <pt idx="41">
                  <v>48.5</v>
                </pt>
                <pt idx="42">
                  <v>45.5</v>
                </pt>
                <pt idx="43">
                  <v>47</v>
                </pt>
                <pt idx="44">
                  <v>49</v>
                </pt>
                <pt idx="45">
                  <v>45.5</v>
                </pt>
                <pt idx="46">
                  <v>47.5</v>
                </pt>
                <pt idx="47">
                  <v>48.5</v>
                </pt>
                <pt idx="48">
                  <v>46</v>
                </pt>
                <pt idx="49">
                  <v>43.5</v>
                </pt>
                <pt idx="50">
                  <v>44.5</v>
                </pt>
                <pt idx="51">
                  <v>48</v>
                </pt>
                <pt idx="52">
                  <v>49.5</v>
                </pt>
                <pt idx="53">
                  <v>48.5</v>
                </pt>
                <pt idx="54">
                  <v>47.5</v>
                </pt>
                <pt idx="55">
                  <v>51.5</v>
                </pt>
                <pt idx="56">
                  <v>50</v>
                </pt>
                <pt idx="57">
                  <v>52.5</v>
                </pt>
                <pt idx="58">
                  <v>48.5</v>
                </pt>
                <pt idx="59">
                  <v>47.5</v>
                </pt>
                <pt idx="60">
                  <v>52</v>
                </pt>
                <pt idx="61">
                  <v>46</v>
                </pt>
                <pt idx="62">
                  <v>44.5</v>
                </pt>
                <pt idx="63">
                  <v>44</v>
                </pt>
                <pt idx="64">
                  <v>44</v>
                </pt>
                <pt idx="65">
                  <v>45.5</v>
                </pt>
                <pt idx="66">
                  <v>46.5</v>
                </pt>
                <pt idx="67">
                  <v>48.5</v>
                </pt>
                <pt idx="68">
                  <v>49.5</v>
                </pt>
                <pt idx="69">
                  <v>51</v>
                </pt>
                <pt idx="70">
                  <v>52.5</v>
                </pt>
                <pt idx="71">
                  <v>47</v>
                </pt>
                <pt idx="72">
                  <v>49.5</v>
                </pt>
                <pt idx="73">
                  <v>49</v>
                </pt>
                <pt idx="74">
                  <v>47.5</v>
                </pt>
                <pt idx="75">
                  <v>49</v>
                </pt>
                <pt idx="76">
                  <v>51</v>
                </pt>
                <pt idx="77">
                  <v>51.5</v>
                </pt>
                <pt idx="78">
                  <v>49.5</v>
                </pt>
                <pt idx="79">
                  <v>49</v>
                </pt>
                <pt idx="80">
                  <v>51.5</v>
                </pt>
                <pt idx="81">
                  <v>56.5</v>
                </pt>
                <pt idx="82">
                  <v>54</v>
                </pt>
                <pt idx="83">
                  <v>57.5</v>
                </pt>
                <pt idx="84">
                  <v>54</v>
                </pt>
                <pt idx="85">
                  <v>53</v>
                </pt>
                <pt idx="86">
                  <v>51.5</v>
                </pt>
                <pt idx="87">
                  <v>50</v>
                </pt>
                <pt idx="88">
                  <v>52.5</v>
                </pt>
                <pt idx="89">
                  <v>56</v>
                </pt>
                <pt idx="90">
                  <v>49.5</v>
                </pt>
                <pt idx="91">
                  <v>52</v>
                </pt>
                <pt idx="92">
                  <v>52.5</v>
                </pt>
                <pt idx="93">
                  <v>54.5</v>
                </pt>
                <pt idx="94">
                  <v>51.5</v>
                </pt>
                <pt idx="95">
                  <v>52</v>
                </pt>
                <pt idx="96">
                  <v>52.5</v>
                </pt>
                <pt idx="97">
                  <v>53.5</v>
                </pt>
                <pt idx="98">
                  <v>50</v>
                </pt>
                <pt idx="99">
                  <v>50</v>
                </pt>
                <pt idx="100">
                  <v>54</v>
                </pt>
                <pt idx="101">
                  <v>56</v>
                </pt>
                <pt idx="102">
                  <v>55</v>
                </pt>
                <pt idx="103">
                  <v>53</v>
                </pt>
                <pt idx="104">
                  <v>54</v>
                </pt>
                <pt idx="105">
                  <v>59</v>
                </pt>
                <pt idx="106">
                  <v>59</v>
                </pt>
                <pt idx="107">
                  <v>51.5</v>
                </pt>
                <pt idx="108">
                  <v>53</v>
                </pt>
                <pt idx="109">
                  <v>51.5</v>
                </pt>
                <pt idx="110">
                  <v>50.5</v>
                </pt>
                <pt idx="111">
                  <v>53</v>
                </pt>
                <pt idx="112">
                  <v>51.5</v>
                </pt>
                <pt idx="113">
                  <v>53.5</v>
                </pt>
                <pt idx="114">
                  <v>47</v>
                </pt>
                <pt idx="115">
                  <v>50.5</v>
                </pt>
                <pt idx="116">
                  <v>52</v>
                </pt>
                <pt idx="117">
                  <v>52</v>
                </pt>
                <pt idx="118">
                  <v>61</v>
                </pt>
                <pt idx="119">
                  <v>52.5</v>
                </pt>
                <pt idx="120">
                  <v>55</v>
                </pt>
                <pt idx="121">
                  <v>57</v>
                </pt>
                <pt idx="122">
                  <v>50</v>
                </pt>
                <pt idx="123">
                  <v>49.5</v>
                </pt>
                <pt idx="124">
                  <v>50.5</v>
                </pt>
                <pt idx="125">
                  <v>50.5</v>
                </pt>
                <pt idx="126">
                  <v>44.5</v>
                </pt>
                <pt idx="127">
                  <v>50</v>
                </pt>
                <pt idx="128">
                  <v>51.5</v>
                </pt>
                <pt idx="129">
                  <v>47</v>
                </pt>
                <pt idx="130">
                  <v>54</v>
                </pt>
                <pt idx="131">
                  <v>53</v>
                </pt>
                <pt idx="132">
                  <v>54.5</v>
                </pt>
                <pt idx="133">
                  <v>53.5</v>
                </pt>
                <pt idx="134">
                  <v>45.5</v>
                </pt>
                <pt idx="135">
                  <v>48</v>
                </pt>
                <pt idx="136">
                  <v>46</v>
                </pt>
                <pt idx="137">
                  <v>49</v>
                </pt>
                <pt idx="138">
                  <v>41.5</v>
                </pt>
                <pt idx="139">
                  <v>39</v>
                </pt>
                <pt idx="140">
                  <v>40</v>
                </pt>
                <pt idx="141">
                  <v>43</v>
                </pt>
                <pt idx="142">
                  <v>47</v>
                </pt>
                <pt idx="143">
                  <v>45</v>
                </pt>
                <pt idx="144">
                  <v>47</v>
                </pt>
                <pt idx="145">
                  <v>43</v>
                </pt>
                <pt idx="146">
                  <v>47.5</v>
                </pt>
                <pt idx="147">
                  <v>43</v>
                </pt>
                <pt idx="148">
                  <v>45.5</v>
                </pt>
                <pt idx="149">
                  <v>51.5</v>
                </pt>
                <pt idx="150">
                  <v>46.5</v>
                </pt>
                <pt idx="151">
                  <v>45</v>
                </pt>
                <pt idx="152">
                  <v>46.5</v>
                </pt>
                <pt idx="153">
                  <v>54.5</v>
                </pt>
                <pt idx="154">
                  <v>62.5</v>
                </pt>
                <pt idx="155">
                  <v>58.5</v>
                </pt>
                <pt idx="156">
                  <v>55.5</v>
                </pt>
                <pt idx="157">
                  <v>53.5</v>
                </pt>
                <pt idx="158">
                  <v>47</v>
                </pt>
                <pt idx="159">
                  <v>47.5</v>
                </pt>
                <pt idx="160">
                  <v>51.5</v>
                </pt>
                <pt idx="161">
                  <v>52.5</v>
                </pt>
                <pt idx="162">
                  <v>49</v>
                </pt>
                <pt idx="163">
                  <v>55.5</v>
                </pt>
                <pt idx="164">
                  <v>55.5</v>
                </pt>
                <pt idx="165">
                  <v>55.5</v>
                </pt>
                <pt idx="166">
                  <v>55</v>
                </pt>
                <pt idx="167">
                  <v>53.5</v>
                </pt>
                <pt idx="168">
                  <v>56.5</v>
                </pt>
                <pt idx="169">
                  <v>53.5</v>
                </pt>
                <pt idx="170">
                  <v>51.5</v>
                </pt>
                <pt idx="171">
                  <v>45.5</v>
                </pt>
                <pt idx="172">
                  <v>52.5</v>
                </pt>
                <pt idx="173">
                  <v>48.5</v>
                </pt>
                <pt idx="174">
                  <v>47</v>
                </pt>
                <pt idx="175">
                  <v>53.5</v>
                </pt>
                <pt idx="176">
                  <v>54</v>
                </pt>
                <pt idx="177">
                  <v>54</v>
                </pt>
                <pt idx="178">
                  <v>56</v>
                </pt>
                <pt idx="179">
                  <v>53</v>
                </pt>
                <pt idx="180">
                  <v>54.5</v>
                </pt>
                <pt idx="181">
                  <v>52.5</v>
                </pt>
                <pt idx="182">
                  <v>48.5</v>
                </pt>
                <pt idx="183">
                  <v>46.5</v>
                </pt>
                <pt idx="184">
                  <v>47</v>
                </pt>
                <pt idx="185">
                  <v>50</v>
                </pt>
                <pt idx="186">
                  <v>47</v>
                </pt>
                <pt idx="187">
                  <v>54</v>
                </pt>
                <pt idx="188">
                  <v>51.5</v>
                </pt>
                <pt idx="189">
                  <v>56</v>
                </pt>
                <pt idx="190">
                  <v>51.5</v>
                </pt>
                <pt idx="191">
                  <v>54.5</v>
                </pt>
                <pt idx="192">
                  <v>53.5</v>
                </pt>
                <pt idx="193">
                  <v>56</v>
                </pt>
                <pt idx="194">
                  <v>54.5</v>
                </pt>
                <pt idx="195">
                  <v>54.5</v>
                </pt>
                <pt idx="196">
                  <v>54</v>
                </pt>
                <pt idx="197">
                  <v>48</v>
                </pt>
                <pt idx="198">
                  <v>50.5</v>
                </pt>
                <pt idx="199">
                  <v>50.5</v>
                </pt>
                <pt idx="200">
                  <v>48</v>
                </pt>
                <pt idx="201">
                  <v>55.5</v>
                </pt>
                <pt idx="202">
                  <v>55.5</v>
                </pt>
                <pt idx="203">
                  <v>53.5</v>
                </pt>
                <pt idx="204">
                  <v>51</v>
                </pt>
                <pt idx="205">
                  <v>51</v>
                </pt>
                <pt idx="206">
                  <v>52</v>
                </pt>
                <pt idx="207">
                  <v>49.5</v>
                </pt>
                <pt idx="208">
                  <v>55.5</v>
                </pt>
                <pt idx="209">
                  <v>50</v>
                </pt>
                <pt idx="210">
                  <v>52.5</v>
                </pt>
                <pt idx="211">
                  <v>54.5</v>
                </pt>
                <pt idx="212">
                  <v>49.5</v>
                </pt>
                <pt idx="213">
                  <v>51</v>
                </pt>
                <pt idx="214">
                  <v>51</v>
                </pt>
                <pt idx="215">
                  <v>55</v>
                </pt>
                <pt idx="216">
                  <v>57</v>
                </pt>
                <pt idx="217">
                  <v>54.5</v>
                </pt>
                <pt idx="218">
                  <v>51</v>
                </pt>
                <pt idx="219">
                  <v>52.5</v>
                </pt>
                <pt idx="220">
                  <v>54.5</v>
                </pt>
                <pt idx="221">
                  <v>53</v>
                </pt>
                <pt idx="222">
                  <v>51.5</v>
                </pt>
                <pt idx="223">
                  <v>52.5</v>
                </pt>
                <pt idx="224">
                  <v>52.5</v>
                </pt>
                <pt idx="225">
                  <v>54</v>
                </pt>
                <pt idx="226">
                  <v>54</v>
                </pt>
                <pt idx="227">
                  <v>55.5</v>
                </pt>
                <pt idx="228">
                  <v>54</v>
                </pt>
                <pt idx="229">
                  <v>48</v>
                </pt>
                <pt idx="230">
                  <v>51.5</v>
                </pt>
                <pt idx="231">
                  <v>52</v>
                </pt>
                <pt idx="232">
                  <v>51.5</v>
                </pt>
                <pt idx="233">
                  <v>52</v>
                </pt>
                <pt idx="234">
                  <v>48</v>
                </pt>
                <pt idx="235">
                  <v>52</v>
                </pt>
                <pt idx="236">
                  <v>48.5</v>
                </pt>
                <pt idx="237">
                  <v>52.5</v>
                </pt>
                <pt idx="238">
                  <v>54</v>
                </pt>
                <pt idx="239">
                  <v>57.5</v>
                </pt>
                <pt idx="240">
                  <v>56.5</v>
                </pt>
                <pt idx="241">
                  <v>53.5</v>
                </pt>
                <pt idx="242">
                  <v>51.5</v>
                </pt>
                <pt idx="243">
                  <v>52.5</v>
                </pt>
                <pt idx="244">
                  <v>54.5</v>
                </pt>
                <pt idx="245">
                  <v>53.5</v>
                </pt>
                <pt idx="246">
                  <v>49</v>
                </pt>
                <pt idx="247">
                  <v>53.5</v>
                </pt>
                <pt idx="248">
                  <v>53.5</v>
                </pt>
                <pt idx="249">
                  <v>57</v>
                </pt>
                <pt idx="250">
                  <v>57.5</v>
                </pt>
                <pt idx="251">
                  <v>53.5</v>
                </pt>
                <pt idx="252">
                  <v>53.5</v>
                </pt>
                <pt idx="253">
                  <v>53.5</v>
                </pt>
                <pt idx="254">
                  <v>54.5</v>
                </pt>
                <pt idx="255">
                  <v>56</v>
                </pt>
                <pt idx="256">
                  <v>57.5</v>
                </pt>
                <pt idx="257">
                  <v>51.5</v>
                </pt>
                <pt idx="258">
                  <v>49</v>
                </pt>
                <pt idx="259">
                  <v>51</v>
                </pt>
                <pt idx="260">
                  <v>50</v>
                </pt>
                <pt idx="261">
                  <v>51.5</v>
                </pt>
                <pt idx="262">
                  <v>54</v>
                </pt>
                <pt idx="263">
                  <v>55</v>
                </pt>
                <pt idx="264">
                  <v>50</v>
                </pt>
                <pt idx="265">
                  <v>55</v>
                </pt>
                <pt idx="266">
                  <v>53</v>
                </pt>
                <pt idx="267">
                  <v>50.5</v>
                </pt>
                <pt idx="268">
                  <v>50.5</v>
                </pt>
                <pt idx="269">
                  <v>51</v>
                </pt>
                <pt idx="270">
                  <v>46.5</v>
                </pt>
                <pt idx="271">
                  <v>53.9</v>
                </pt>
                <pt idx="272">
                  <v>41.5</v>
                </pt>
                <pt idx="273">
                  <v>46.9</v>
                </pt>
                <pt idx="274">
                  <v>48</v>
                </pt>
                <pt idx="275">
                  <v>60.7</v>
                </pt>
                <pt idx="276">
                  <v>52</v>
                </pt>
                <pt idx="277">
                  <v>45.8</v>
                </pt>
                <pt idx="278">
                  <v>48.8</v>
                </pt>
                <pt idx="279">
                  <v>53.1</v>
                </pt>
                <pt idx="280">
                  <v>49.3</v>
                </pt>
                <pt idx="281">
                  <v>58.2</v>
                </pt>
                <pt idx="282">
                  <v>49.2</v>
                </pt>
                <pt idx="283">
                  <v>58.9</v>
                </pt>
                <pt idx="284">
                  <v>54</v>
                </pt>
                <pt idx="285">
                  <v>49.1</v>
                </pt>
                <pt idx="286">
                  <v>51.5</v>
                </pt>
                <pt idx="287">
                  <v>49.9</v>
                </pt>
                <pt idx="288">
                  <v>49.2</v>
                </pt>
                <pt idx="289">
                  <v>46.9</v>
                </pt>
                <pt idx="290">
                  <v>46.1</v>
                </pt>
                <pt idx="291">
                  <v>42.2</v>
                </pt>
                <pt idx="292">
                  <v>48.2</v>
                </pt>
                <pt idx="293">
                  <v>46.7</v>
                </pt>
                <pt idx="294">
                  <v>49.4</v>
                </pt>
                <pt idx="295">
                  <v>50.8</v>
                </pt>
                <pt idx="296">
                  <v>51.7</v>
                </pt>
                <pt idx="297">
                  <v>52.3</v>
                </pt>
                <pt idx="298">
                  <v>51</v>
                </pt>
                <pt idx="299">
                  <v>47.5</v>
                </pt>
              </numCache>
            </numRef>
          </val>
          <smooth val="0"/>
        </ser>
        <dLbls>
          <showLegendKey val="0"/>
          <showVal val="0"/>
          <showCatName val="0"/>
          <showSerName val="0"/>
          <showPercent val="0"/>
          <showBubbleSize val="0"/>
        </dLbls>
        <smooth val="0"/>
        <axId val="946929536"/>
        <axId val="946929864"/>
      </lineChart>
      <dateAx>
        <axId val="946929536"/>
        <scaling>
          <orientation val="minMax"/>
          <min val="42005"/>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864"/>
        <crosses val="autoZero"/>
        <lblOffset val="100"/>
        <baseTimeUnit val="months"/>
      </dateAx>
      <valAx>
        <axId val="946929864"/>
        <scaling>
          <orientation val="minMax"/>
          <max val="60"/>
          <min val="4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536"/>
        <crosses val="autoZero"/>
        <crossBetween val="between"/>
      </valAx>
    </plotArea>
    <plotVisOnly val="1"/>
    <dispBlanksAs val="gap"/>
  </chart>
</chartSpace>
</file>

<file path=xl/charts/chart71.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Deliveries</a:t>
            </a:r>
          </a:p>
        </rich>
      </tx>
      <overlay val="0"/>
      <spPr>
        <a:noFill xmlns:a="http://schemas.openxmlformats.org/drawingml/2006/main"/>
        <a:ln xmlns:a="http://schemas.openxmlformats.org/drawingml/2006/main">
          <a:noFill/>
          <a:prstDash val="solid"/>
        </a:ln>
      </spPr>
    </title>
    <plotArea>
      <layout/>
      <lineChart>
        <grouping val="standard"/>
        <varyColors val="0"/>
        <ser>
          <idx val="7"/>
          <order val="0"/>
          <tx>
            <strRef>
              <f>Details!$I$5</f>
              <strCache>
                <ptCount val="1"/>
                <pt idx="0">
                  <v>Deliveries</v>
                </pt>
              </strCache>
            </strRef>
          </tx>
          <spPr>
            <a:ln xmlns:a="http://schemas.openxmlformats.org/drawingml/2006/main" w="28575" cap="rnd">
              <a:solidFill>
                <a:schemeClr val="accent2">
                  <a:lumMod val="60000"/>
                </a:schemeClr>
              </a:solidFill>
              <a:prstDash val="solid"/>
              <a:round/>
            </a:ln>
          </spPr>
          <marker>
            <symbol val="none"/>
            <spPr>
              <a:ln xmlns:a="http://schemas.openxmlformats.org/drawingml/2006/main">
                <a:prstDash val="solid"/>
              </a:ln>
            </spPr>
          </marker>
          <cat>
            <numRef>
              <f>Details!$A$6:$A$307</f>
              <numCache>
                <formatCode>m/d/yy</formatCode>
                <ptCount val="302"/>
                <pt idx="0">
                  <v>35612</v>
                </pt>
                <pt idx="1">
                  <v>35643</v>
                </pt>
                <pt idx="2">
                  <v>35674</v>
                </pt>
                <pt idx="3">
                  <v>35704</v>
                </pt>
                <pt idx="4">
                  <v>35735</v>
                </pt>
                <pt idx="5">
                  <v>35765</v>
                </pt>
                <pt idx="6">
                  <v>35796</v>
                </pt>
                <pt idx="7">
                  <v>35827</v>
                </pt>
                <pt idx="8">
                  <v>35855</v>
                </pt>
                <pt idx="9">
                  <v>35886</v>
                </pt>
                <pt idx="10">
                  <v>35916</v>
                </pt>
                <pt idx="11">
                  <v>35947</v>
                </pt>
                <pt idx="12">
                  <v>35977</v>
                </pt>
                <pt idx="13">
                  <v>36008</v>
                </pt>
                <pt idx="14">
                  <v>36039</v>
                </pt>
                <pt idx="15">
                  <v>36069</v>
                </pt>
                <pt idx="16">
                  <v>36100</v>
                </pt>
                <pt idx="17">
                  <v>36130</v>
                </pt>
                <pt idx="18">
                  <v>36161</v>
                </pt>
                <pt idx="19">
                  <v>36192</v>
                </pt>
                <pt idx="20">
                  <v>36220</v>
                </pt>
                <pt idx="21">
                  <v>36251</v>
                </pt>
                <pt idx="22">
                  <v>36281</v>
                </pt>
                <pt idx="23">
                  <v>36312</v>
                </pt>
                <pt idx="24">
                  <v>36342</v>
                </pt>
                <pt idx="25">
                  <v>36373</v>
                </pt>
                <pt idx="26">
                  <v>36404</v>
                </pt>
                <pt idx="27">
                  <v>36434</v>
                </pt>
                <pt idx="28">
                  <v>36465</v>
                </pt>
                <pt idx="29">
                  <v>36495</v>
                </pt>
                <pt idx="30">
                  <v>36526</v>
                </pt>
                <pt idx="31">
                  <v>36557</v>
                </pt>
                <pt idx="32">
                  <v>36586</v>
                </pt>
                <pt idx="33">
                  <v>36617</v>
                </pt>
                <pt idx="34">
                  <v>36647</v>
                </pt>
                <pt idx="35">
                  <v>36678</v>
                </pt>
                <pt idx="36">
                  <v>36708</v>
                </pt>
                <pt idx="37">
                  <v>36739</v>
                </pt>
                <pt idx="38">
                  <v>36770</v>
                </pt>
                <pt idx="39">
                  <v>36800</v>
                </pt>
                <pt idx="40">
                  <v>36831</v>
                </pt>
                <pt idx="41">
                  <v>36861</v>
                </pt>
                <pt idx="42">
                  <v>36892</v>
                </pt>
                <pt idx="43">
                  <v>36923</v>
                </pt>
                <pt idx="44">
                  <v>36951</v>
                </pt>
                <pt idx="45">
                  <v>36982</v>
                </pt>
                <pt idx="46">
                  <v>37012</v>
                </pt>
                <pt idx="47">
                  <v>37043</v>
                </pt>
                <pt idx="48">
                  <v>37073</v>
                </pt>
                <pt idx="49">
                  <v>37104</v>
                </pt>
                <pt idx="50">
                  <v>37135</v>
                </pt>
                <pt idx="51">
                  <v>37165</v>
                </pt>
                <pt idx="52">
                  <v>37196</v>
                </pt>
                <pt idx="53">
                  <v>37226</v>
                </pt>
                <pt idx="54">
                  <v>37257</v>
                </pt>
                <pt idx="55">
                  <v>37288</v>
                </pt>
                <pt idx="56">
                  <v>37316</v>
                </pt>
                <pt idx="57">
                  <v>37347</v>
                </pt>
                <pt idx="58">
                  <v>37377</v>
                </pt>
                <pt idx="59">
                  <v>37408</v>
                </pt>
                <pt idx="60">
                  <v>37438</v>
                </pt>
                <pt idx="61">
                  <v>37469</v>
                </pt>
                <pt idx="62">
                  <v>37500</v>
                </pt>
                <pt idx="63">
                  <v>37530</v>
                </pt>
                <pt idx="64">
                  <v>37561</v>
                </pt>
                <pt idx="65">
                  <v>37591</v>
                </pt>
                <pt idx="66">
                  <v>37622</v>
                </pt>
                <pt idx="67">
                  <v>37653</v>
                </pt>
                <pt idx="68">
                  <v>37681</v>
                </pt>
                <pt idx="69">
                  <v>37712</v>
                </pt>
                <pt idx="70">
                  <v>37742</v>
                </pt>
                <pt idx="71">
                  <v>37773</v>
                </pt>
                <pt idx="72">
                  <v>37803</v>
                </pt>
                <pt idx="73">
                  <v>37834</v>
                </pt>
                <pt idx="74">
                  <v>37865</v>
                </pt>
                <pt idx="75">
                  <v>37895</v>
                </pt>
                <pt idx="76">
                  <v>37926</v>
                </pt>
                <pt idx="77">
                  <v>37956</v>
                </pt>
                <pt idx="78">
                  <v>37987</v>
                </pt>
                <pt idx="79">
                  <v>38018</v>
                </pt>
                <pt idx="80">
                  <v>38047</v>
                </pt>
                <pt idx="81">
                  <v>38078</v>
                </pt>
                <pt idx="82">
                  <v>38108</v>
                </pt>
                <pt idx="83">
                  <v>38139</v>
                </pt>
                <pt idx="84">
                  <v>38169</v>
                </pt>
                <pt idx="85">
                  <v>38200</v>
                </pt>
                <pt idx="86">
                  <v>38231</v>
                </pt>
                <pt idx="87">
                  <v>38261</v>
                </pt>
                <pt idx="88">
                  <v>38292</v>
                </pt>
                <pt idx="89">
                  <v>38322</v>
                </pt>
                <pt idx="90">
                  <v>38353</v>
                </pt>
                <pt idx="91">
                  <v>38384</v>
                </pt>
                <pt idx="92">
                  <v>38412</v>
                </pt>
                <pt idx="93">
                  <v>38443</v>
                </pt>
                <pt idx="94">
                  <v>38473</v>
                </pt>
                <pt idx="95">
                  <v>38504</v>
                </pt>
                <pt idx="96">
                  <v>38534</v>
                </pt>
                <pt idx="97">
                  <v>38565</v>
                </pt>
                <pt idx="98">
                  <v>38596</v>
                </pt>
                <pt idx="99">
                  <v>38626</v>
                </pt>
                <pt idx="100">
                  <v>38657</v>
                </pt>
                <pt idx="101">
                  <v>38687</v>
                </pt>
                <pt idx="102">
                  <v>38718</v>
                </pt>
                <pt idx="103">
                  <v>38749</v>
                </pt>
                <pt idx="104">
                  <v>38777</v>
                </pt>
                <pt idx="105">
                  <v>38808</v>
                </pt>
                <pt idx="106">
                  <v>38838</v>
                </pt>
                <pt idx="107">
                  <v>38869</v>
                </pt>
                <pt idx="108">
                  <v>38899</v>
                </pt>
                <pt idx="109">
                  <v>38930</v>
                </pt>
                <pt idx="110">
                  <v>38961</v>
                </pt>
                <pt idx="111">
                  <v>38991</v>
                </pt>
                <pt idx="112">
                  <v>39022</v>
                </pt>
                <pt idx="113">
                  <v>39052</v>
                </pt>
                <pt idx="114">
                  <v>39083</v>
                </pt>
                <pt idx="115">
                  <v>39114</v>
                </pt>
                <pt idx="116">
                  <v>39142</v>
                </pt>
                <pt idx="117">
                  <v>39173</v>
                </pt>
                <pt idx="118">
                  <v>39203</v>
                </pt>
                <pt idx="119">
                  <v>39234</v>
                </pt>
                <pt idx="120">
                  <v>39264</v>
                </pt>
                <pt idx="121">
                  <v>39295</v>
                </pt>
                <pt idx="122">
                  <v>39326</v>
                </pt>
                <pt idx="123">
                  <v>39356</v>
                </pt>
                <pt idx="124">
                  <v>39387</v>
                </pt>
                <pt idx="125">
                  <v>39417</v>
                </pt>
                <pt idx="126">
                  <v>39448</v>
                </pt>
                <pt idx="127">
                  <v>39479</v>
                </pt>
                <pt idx="128">
                  <v>39508</v>
                </pt>
                <pt idx="129">
                  <v>39539</v>
                </pt>
                <pt idx="130">
                  <v>39569</v>
                </pt>
                <pt idx="131">
                  <v>39600</v>
                </pt>
                <pt idx="132">
                  <v>39630</v>
                </pt>
                <pt idx="133">
                  <v>39661</v>
                </pt>
                <pt idx="134">
                  <v>39692</v>
                </pt>
                <pt idx="135">
                  <v>39722</v>
                </pt>
                <pt idx="136">
                  <v>39753</v>
                </pt>
                <pt idx="137">
                  <v>39783</v>
                </pt>
                <pt idx="138">
                  <v>39814</v>
                </pt>
                <pt idx="139">
                  <v>39845</v>
                </pt>
                <pt idx="140">
                  <v>39873</v>
                </pt>
                <pt idx="141">
                  <v>39904</v>
                </pt>
                <pt idx="142">
                  <v>39934</v>
                </pt>
                <pt idx="143">
                  <v>39965</v>
                </pt>
                <pt idx="144">
                  <v>39995</v>
                </pt>
                <pt idx="145">
                  <v>40026</v>
                </pt>
                <pt idx="146">
                  <v>40057</v>
                </pt>
                <pt idx="147">
                  <v>40087</v>
                </pt>
                <pt idx="148">
                  <v>40118</v>
                </pt>
                <pt idx="149">
                  <v>40148</v>
                </pt>
                <pt idx="150">
                  <v>40179</v>
                </pt>
                <pt idx="151">
                  <v>40210</v>
                </pt>
                <pt idx="152">
                  <v>40238</v>
                </pt>
                <pt idx="153">
                  <v>40269</v>
                </pt>
                <pt idx="154">
                  <v>40299</v>
                </pt>
                <pt idx="155">
                  <v>40330</v>
                </pt>
                <pt idx="156">
                  <v>40360</v>
                </pt>
                <pt idx="157">
                  <v>40391</v>
                </pt>
                <pt idx="158">
                  <v>40422</v>
                </pt>
                <pt idx="159">
                  <v>40452</v>
                </pt>
                <pt idx="160">
                  <v>40483</v>
                </pt>
                <pt idx="161">
                  <v>40513</v>
                </pt>
                <pt idx="162">
                  <v>40544</v>
                </pt>
                <pt idx="163">
                  <v>40575</v>
                </pt>
                <pt idx="164">
                  <v>40603</v>
                </pt>
                <pt idx="165">
                  <v>40634</v>
                </pt>
                <pt idx="166">
                  <v>40664</v>
                </pt>
                <pt idx="167">
                  <v>40695</v>
                </pt>
                <pt idx="168">
                  <v>40725</v>
                </pt>
                <pt idx="169">
                  <v>40756</v>
                </pt>
                <pt idx="170">
                  <v>40787</v>
                </pt>
                <pt idx="171">
                  <v>40817</v>
                </pt>
                <pt idx="172">
                  <v>40848</v>
                </pt>
                <pt idx="173">
                  <v>40878</v>
                </pt>
                <pt idx="174">
                  <v>40909</v>
                </pt>
                <pt idx="175">
                  <v>40940</v>
                </pt>
                <pt idx="176">
                  <v>40969</v>
                </pt>
                <pt idx="177">
                  <v>41000</v>
                </pt>
                <pt idx="178">
                  <v>41030</v>
                </pt>
                <pt idx="179">
                  <v>41061</v>
                </pt>
                <pt idx="180">
                  <v>41091</v>
                </pt>
                <pt idx="181">
                  <v>41122</v>
                </pt>
                <pt idx="182">
                  <v>41153</v>
                </pt>
                <pt idx="183">
                  <v>41183</v>
                </pt>
                <pt idx="184">
                  <v>41214</v>
                </pt>
                <pt idx="185">
                  <v>41244</v>
                </pt>
                <pt idx="186">
                  <v>41275</v>
                </pt>
                <pt idx="187">
                  <v>41306</v>
                </pt>
                <pt idx="188">
                  <v>41334</v>
                </pt>
                <pt idx="189">
                  <v>41365</v>
                </pt>
                <pt idx="190">
                  <v>41395</v>
                </pt>
                <pt idx="191">
                  <v>41426</v>
                </pt>
                <pt idx="192">
                  <v>41456</v>
                </pt>
                <pt idx="193">
                  <v>41487</v>
                </pt>
                <pt idx="194">
                  <v>41518</v>
                </pt>
                <pt idx="195">
                  <v>41548</v>
                </pt>
                <pt idx="196">
                  <v>41579</v>
                </pt>
                <pt idx="197">
                  <v>41609</v>
                </pt>
                <pt idx="198">
                  <v>41640</v>
                </pt>
                <pt idx="199">
                  <v>41671</v>
                </pt>
                <pt idx="200">
                  <v>41699</v>
                </pt>
                <pt idx="201">
                  <v>41730</v>
                </pt>
                <pt idx="202">
                  <v>41760</v>
                </pt>
                <pt idx="203">
                  <v>41791</v>
                </pt>
                <pt idx="204">
                  <v>41821</v>
                </pt>
                <pt idx="205">
                  <v>41852</v>
                </pt>
                <pt idx="206">
                  <v>41883</v>
                </pt>
                <pt idx="207">
                  <v>41913</v>
                </pt>
                <pt idx="208">
                  <v>41944</v>
                </pt>
                <pt idx="209">
                  <v>41974</v>
                </pt>
                <pt idx="210">
                  <v>42005</v>
                </pt>
                <pt idx="211">
                  <v>42036</v>
                </pt>
                <pt idx="212">
                  <v>42064</v>
                </pt>
                <pt idx="213">
                  <v>42095</v>
                </pt>
                <pt idx="214">
                  <v>42125</v>
                </pt>
                <pt idx="215">
                  <v>42156</v>
                </pt>
                <pt idx="216">
                  <v>42186</v>
                </pt>
                <pt idx="217">
                  <v>42217</v>
                </pt>
                <pt idx="218">
                  <v>42248</v>
                </pt>
                <pt idx="219">
                  <v>42278</v>
                </pt>
                <pt idx="220">
                  <v>42309</v>
                </pt>
                <pt idx="221">
                  <v>42339</v>
                </pt>
                <pt idx="222">
                  <v>42370</v>
                </pt>
                <pt idx="223">
                  <v>42401</v>
                </pt>
                <pt idx="224">
                  <v>42430</v>
                </pt>
                <pt idx="225">
                  <v>42461</v>
                </pt>
                <pt idx="226">
                  <v>42491</v>
                </pt>
                <pt idx="227">
                  <v>42522</v>
                </pt>
                <pt idx="228">
                  <v>42552</v>
                </pt>
                <pt idx="229">
                  <v>42583</v>
                </pt>
                <pt idx="230">
                  <v>42614</v>
                </pt>
                <pt idx="231">
                  <v>42644</v>
                </pt>
                <pt idx="232">
                  <v>42675</v>
                </pt>
                <pt idx="233">
                  <v>42705</v>
                </pt>
                <pt idx="234">
                  <v>42736</v>
                </pt>
                <pt idx="235">
                  <v>42767</v>
                </pt>
                <pt idx="236">
                  <v>42795</v>
                </pt>
                <pt idx="237">
                  <v>42826</v>
                </pt>
                <pt idx="238">
                  <v>42856</v>
                </pt>
                <pt idx="239">
                  <v>42887</v>
                </pt>
                <pt idx="240">
                  <v>42917</v>
                </pt>
                <pt idx="241">
                  <v>42948</v>
                </pt>
                <pt idx="242">
                  <v>42979</v>
                </pt>
                <pt idx="243">
                  <v>43009</v>
                </pt>
                <pt idx="244">
                  <v>43040</v>
                </pt>
                <pt idx="245">
                  <v>43070</v>
                </pt>
                <pt idx="246">
                  <v>43101</v>
                </pt>
                <pt idx="247">
                  <v>43132</v>
                </pt>
                <pt idx="248">
                  <v>43160</v>
                </pt>
                <pt idx="249">
                  <v>43191</v>
                </pt>
                <pt idx="250">
                  <v>43221</v>
                </pt>
                <pt idx="251">
                  <v>43252</v>
                </pt>
                <pt idx="252">
                  <v>43282</v>
                </pt>
                <pt idx="253">
                  <v>43313</v>
                </pt>
                <pt idx="254">
                  <v>43344</v>
                </pt>
                <pt idx="255">
                  <v>43374</v>
                </pt>
                <pt idx="256">
                  <v>43405</v>
                </pt>
                <pt idx="257">
                  <v>43435</v>
                </pt>
                <pt idx="258">
                  <v>43466</v>
                </pt>
                <pt idx="259">
                  <v>43497</v>
                </pt>
                <pt idx="260">
                  <v>43525</v>
                </pt>
                <pt idx="261">
                  <v>43556</v>
                </pt>
                <pt idx="262">
                  <v>43586</v>
                </pt>
                <pt idx="263">
                  <v>43617</v>
                </pt>
                <pt idx="264">
                  <v>43647</v>
                </pt>
                <pt idx="265">
                  <v>43678</v>
                </pt>
                <pt idx="266">
                  <v>43709</v>
                </pt>
                <pt idx="267">
                  <v>43739</v>
                </pt>
                <pt idx="268">
                  <v>43770</v>
                </pt>
                <pt idx="269">
                  <v>43800</v>
                </pt>
                <pt idx="270">
                  <v>43831</v>
                </pt>
                <pt idx="271">
                  <v>43862</v>
                </pt>
                <pt idx="272">
                  <v>43891</v>
                </pt>
                <pt idx="273">
                  <v>43922</v>
                </pt>
                <pt idx="274">
                  <v>43952</v>
                </pt>
                <pt idx="275">
                  <v>43983</v>
                </pt>
                <pt idx="276">
                  <v>44013</v>
                </pt>
                <pt idx="277">
                  <v>44044</v>
                </pt>
                <pt idx="278">
                  <v>44075</v>
                </pt>
                <pt idx="279">
                  <v>44105</v>
                </pt>
                <pt idx="280">
                  <v>44136</v>
                </pt>
                <pt idx="281">
                  <v>44166</v>
                </pt>
                <pt idx="282">
                  <v>44197</v>
                </pt>
                <pt idx="283">
                  <v>44228</v>
                </pt>
                <pt idx="284">
                  <v>44256</v>
                </pt>
                <pt idx="285">
                  <v>44287</v>
                </pt>
                <pt idx="286">
                  <v>44317</v>
                </pt>
                <pt idx="287">
                  <v>44348</v>
                </pt>
                <pt idx="288">
                  <v>44378</v>
                </pt>
                <pt idx="289">
                  <v>44409</v>
                </pt>
                <pt idx="290">
                  <v>44440</v>
                </pt>
                <pt idx="291">
                  <v>44470</v>
                </pt>
                <pt idx="292">
                  <v>44501</v>
                </pt>
                <pt idx="293">
                  <v>44531</v>
                </pt>
                <pt idx="294">
                  <v>44562</v>
                </pt>
                <pt idx="295">
                  <v>44593</v>
                </pt>
                <pt idx="296">
                  <v>44621</v>
                </pt>
                <pt idx="297">
                  <v>44652</v>
                </pt>
                <pt idx="298">
                  <v>44682</v>
                </pt>
                <pt idx="299">
                  <v>44713</v>
                </pt>
              </numCache>
            </numRef>
          </cat>
          <val>
            <numRef>
              <f>Details!$I$6:$I$307</f>
              <numCache>
                <formatCode>General</formatCode>
                <ptCount val="302"/>
                <pt idx="0">
                  <v>0</v>
                </pt>
                <pt idx="1">
                  <v>0</v>
                </pt>
                <pt idx="2">
                  <v>0</v>
                </pt>
                <pt idx="3">
                  <v>0</v>
                </pt>
                <pt idx="4">
                  <v>0</v>
                </pt>
                <pt idx="5">
                  <v>0</v>
                </pt>
                <pt idx="6">
                  <v>54</v>
                </pt>
                <pt idx="7">
                  <v>52</v>
                </pt>
                <pt idx="8">
                  <v>52.5</v>
                </pt>
                <pt idx="9">
                  <v>52</v>
                </pt>
                <pt idx="10">
                  <v>50.5</v>
                </pt>
                <pt idx="11">
                  <v>53.5</v>
                </pt>
                <pt idx="12">
                  <v>54.5</v>
                </pt>
                <pt idx="13">
                  <v>54</v>
                </pt>
                <pt idx="14">
                  <v>53</v>
                </pt>
                <pt idx="15">
                  <v>53.5</v>
                </pt>
                <pt idx="16">
                  <v>50</v>
                </pt>
                <pt idx="17">
                  <v>53</v>
                </pt>
                <pt idx="18">
                  <v>54.5</v>
                </pt>
                <pt idx="19">
                  <v>51.5</v>
                </pt>
                <pt idx="20">
                  <v>52.5</v>
                </pt>
                <pt idx="21">
                  <v>51.5</v>
                </pt>
                <pt idx="22">
                  <v>54</v>
                </pt>
                <pt idx="23">
                  <v>54</v>
                </pt>
                <pt idx="24">
                  <v>52.5</v>
                </pt>
                <pt idx="25">
                  <v>53.5</v>
                </pt>
                <pt idx="26">
                  <v>54</v>
                </pt>
                <pt idx="27">
                  <v>56</v>
                </pt>
                <pt idx="28">
                  <v>56.5</v>
                </pt>
                <pt idx="29">
                  <v>53</v>
                </pt>
                <pt idx="30">
                  <v>55.5</v>
                </pt>
                <pt idx="31">
                  <v>55</v>
                </pt>
                <pt idx="32">
                  <v>52.5</v>
                </pt>
                <pt idx="33">
                  <v>55</v>
                </pt>
                <pt idx="34">
                  <v>57</v>
                </pt>
                <pt idx="35">
                  <v>53.5</v>
                </pt>
                <pt idx="36">
                  <v>54.5</v>
                </pt>
                <pt idx="37">
                  <v>55</v>
                </pt>
                <pt idx="38">
                  <v>53</v>
                </pt>
                <pt idx="39">
                  <v>54.5</v>
                </pt>
                <pt idx="40">
                  <v>54</v>
                </pt>
                <pt idx="41">
                  <v>51</v>
                </pt>
                <pt idx="42">
                  <v>51.5</v>
                </pt>
                <pt idx="43">
                  <v>51.5</v>
                </pt>
                <pt idx="44">
                  <v>50.5</v>
                </pt>
                <pt idx="45">
                  <v>51</v>
                </pt>
                <pt idx="46">
                  <v>52</v>
                </pt>
                <pt idx="47">
                  <v>51</v>
                </pt>
                <pt idx="48">
                  <v>50.5</v>
                </pt>
                <pt idx="49">
                  <v>48</v>
                </pt>
                <pt idx="50">
                  <v>51</v>
                </pt>
                <pt idx="51">
                  <v>53.5</v>
                </pt>
                <pt idx="52">
                  <v>52.5</v>
                </pt>
                <pt idx="53">
                  <v>53.5</v>
                </pt>
                <pt idx="54">
                  <v>53</v>
                </pt>
                <pt idx="55">
                  <v>53</v>
                </pt>
                <pt idx="56">
                  <v>52</v>
                </pt>
                <pt idx="57">
                  <v>51.5</v>
                </pt>
                <pt idx="58">
                  <v>52</v>
                </pt>
                <pt idx="59">
                  <v>53.5</v>
                </pt>
                <pt idx="60">
                  <v>52.5</v>
                </pt>
                <pt idx="61">
                  <v>53</v>
                </pt>
                <pt idx="62">
                  <v>52.5</v>
                </pt>
                <pt idx="63">
                  <v>53.5</v>
                </pt>
                <pt idx="64">
                  <v>52.5</v>
                </pt>
                <pt idx="65">
                  <v>52.5</v>
                </pt>
                <pt idx="66">
                  <v>52</v>
                </pt>
                <pt idx="67">
                  <v>52.5</v>
                </pt>
                <pt idx="68">
                  <v>52</v>
                </pt>
                <pt idx="69">
                  <v>50.5</v>
                </pt>
                <pt idx="70">
                  <v>52</v>
                </pt>
                <pt idx="71">
                  <v>51.5</v>
                </pt>
                <pt idx="72">
                  <v>53.5</v>
                </pt>
                <pt idx="73">
                  <v>52.5</v>
                </pt>
                <pt idx="74">
                  <v>55</v>
                </pt>
                <pt idx="75">
                  <v>53</v>
                </pt>
                <pt idx="76">
                  <v>53</v>
                </pt>
                <pt idx="77">
                  <v>52</v>
                </pt>
                <pt idx="78">
                  <v>56.5</v>
                </pt>
                <pt idx="79">
                  <v>55.5</v>
                </pt>
                <pt idx="80">
                  <v>55</v>
                </pt>
                <pt idx="81">
                  <v>58</v>
                </pt>
                <pt idx="82">
                  <v>56</v>
                </pt>
                <pt idx="83">
                  <v>57.5</v>
                </pt>
                <pt idx="84">
                  <v>58</v>
                </pt>
                <pt idx="85">
                  <v>57</v>
                </pt>
                <pt idx="86">
                  <v>55.5</v>
                </pt>
                <pt idx="87">
                  <v>56</v>
                </pt>
                <pt idx="88">
                  <v>55</v>
                </pt>
                <pt idx="89">
                  <v>55.5</v>
                </pt>
                <pt idx="90">
                  <v>52.5</v>
                </pt>
                <pt idx="91">
                  <v>52.5</v>
                </pt>
                <pt idx="92">
                  <v>53</v>
                </pt>
                <pt idx="93">
                  <v>53</v>
                </pt>
                <pt idx="94">
                  <v>53.5</v>
                </pt>
                <pt idx="95">
                  <v>56.5</v>
                </pt>
                <pt idx="96">
                  <v>57</v>
                </pt>
                <pt idx="97">
                  <v>55</v>
                </pt>
                <pt idx="98">
                  <v>56</v>
                </pt>
                <pt idx="99">
                  <v>58.5</v>
                </pt>
                <pt idx="100">
                  <v>60.5</v>
                </pt>
                <pt idx="101">
                  <v>56.5</v>
                </pt>
                <pt idx="102">
                  <v>54.5</v>
                </pt>
                <pt idx="103">
                  <v>52.5</v>
                </pt>
                <pt idx="104">
                  <v>54</v>
                </pt>
                <pt idx="105">
                  <v>54.5</v>
                </pt>
                <pt idx="106">
                  <v>56.5</v>
                </pt>
                <pt idx="107">
                  <v>56</v>
                </pt>
                <pt idx="108">
                  <v>54.5</v>
                </pt>
                <pt idx="109">
                  <v>53.5</v>
                </pt>
                <pt idx="110">
                  <v>54</v>
                </pt>
                <pt idx="111">
                  <v>54.5</v>
                </pt>
                <pt idx="112">
                  <v>50</v>
                </pt>
                <pt idx="113">
                  <v>51</v>
                </pt>
                <pt idx="114">
                  <v>53.5</v>
                </pt>
                <pt idx="115">
                  <v>52.5</v>
                </pt>
                <pt idx="116">
                  <v>50</v>
                </pt>
                <pt idx="117">
                  <v>51</v>
                </pt>
                <pt idx="118">
                  <v>49.5</v>
                </pt>
                <pt idx="119">
                  <v>50.5</v>
                </pt>
                <pt idx="120">
                  <v>51.5</v>
                </pt>
                <pt idx="121">
                  <v>50.5</v>
                </pt>
                <pt idx="122">
                  <v>50.5</v>
                </pt>
                <pt idx="123">
                  <v>50</v>
                </pt>
                <pt idx="124">
                  <v>51.5</v>
                </pt>
                <pt idx="125">
                  <v>52.5</v>
                </pt>
                <pt idx="126">
                  <v>49</v>
                </pt>
                <pt idx="127">
                  <v>50</v>
                </pt>
                <pt idx="128">
                  <v>49</v>
                </pt>
                <pt idx="129">
                  <v>56</v>
                </pt>
                <pt idx="130">
                  <v>51</v>
                </pt>
                <pt idx="131">
                  <v>50.5</v>
                </pt>
                <pt idx="132">
                  <v>53.5</v>
                </pt>
                <pt idx="133">
                  <v>55.5</v>
                </pt>
                <pt idx="134">
                  <v>53.5</v>
                </pt>
                <pt idx="135">
                  <v>48</v>
                </pt>
                <pt idx="136">
                  <v>49.5</v>
                </pt>
                <pt idx="137">
                  <v>48</v>
                </pt>
                <pt idx="138">
                  <v>51.5</v>
                </pt>
                <pt idx="139">
                  <v>48</v>
                </pt>
                <pt idx="140">
                  <v>48</v>
                </pt>
                <pt idx="141">
                  <v>45.5</v>
                </pt>
                <pt idx="142">
                  <v>50</v>
                </pt>
                <pt idx="143">
                  <v>46</v>
                </pt>
                <pt idx="144">
                  <v>50</v>
                </pt>
                <pt idx="145">
                  <v>49</v>
                </pt>
                <pt idx="146">
                  <v>50</v>
                </pt>
                <pt idx="147">
                  <v>50.5</v>
                </pt>
                <pt idx="148">
                  <v>48.5</v>
                </pt>
                <pt idx="149">
                  <v>50.5</v>
                </pt>
                <pt idx="150">
                  <v>50.5</v>
                </pt>
                <pt idx="151">
                  <v>53.5</v>
                </pt>
                <pt idx="152">
                  <v>49.5</v>
                </pt>
                <pt idx="153">
                  <v>53.5</v>
                </pt>
                <pt idx="154">
                  <v>53</v>
                </pt>
                <pt idx="155">
                  <v>53</v>
                </pt>
                <pt idx="156">
                  <v>52</v>
                </pt>
                <pt idx="157">
                  <v>51</v>
                </pt>
                <pt idx="158">
                  <v>55</v>
                </pt>
                <pt idx="159">
                  <v>51</v>
                </pt>
                <pt idx="160">
                  <v>52.5</v>
                </pt>
                <pt idx="161">
                  <v>51.5</v>
                </pt>
                <pt idx="162">
                  <v>53.5</v>
                </pt>
                <pt idx="163">
                  <v>52</v>
                </pt>
                <pt idx="164">
                  <v>51.5</v>
                </pt>
                <pt idx="165">
                  <v>53</v>
                </pt>
                <pt idx="166">
                  <v>54</v>
                </pt>
                <pt idx="167">
                  <v>52</v>
                </pt>
                <pt idx="168">
                  <v>50.5</v>
                </pt>
                <pt idx="169">
                  <v>53</v>
                </pt>
                <pt idx="170">
                  <v>49.5</v>
                </pt>
                <pt idx="171">
                  <v>52</v>
                </pt>
                <pt idx="172">
                  <v>50</v>
                </pt>
                <pt idx="173">
                  <v>51.5</v>
                </pt>
                <pt idx="174">
                  <v>51</v>
                </pt>
                <pt idx="175">
                  <v>49.5</v>
                </pt>
                <pt idx="176">
                  <v>49.5</v>
                </pt>
                <pt idx="177">
                  <v>51.5</v>
                </pt>
                <pt idx="178">
                  <v>53</v>
                </pt>
                <pt idx="179">
                  <v>51</v>
                </pt>
                <pt idx="180">
                  <v>49.5</v>
                </pt>
                <pt idx="181">
                  <v>51.5</v>
                </pt>
                <pt idx="182">
                  <v>51.5</v>
                </pt>
                <pt idx="183">
                  <v>51.5</v>
                </pt>
                <pt idx="184">
                  <v>49</v>
                </pt>
                <pt idx="185">
                  <v>48.5</v>
                </pt>
                <pt idx="186">
                  <v>52.5</v>
                </pt>
                <pt idx="187">
                  <v>51.5</v>
                </pt>
                <pt idx="188">
                  <v>53</v>
                </pt>
                <pt idx="189">
                  <v>51</v>
                </pt>
                <pt idx="190">
                  <v>52</v>
                </pt>
                <pt idx="191">
                  <v>51.5</v>
                </pt>
                <pt idx="192">
                  <v>52.5</v>
                </pt>
                <pt idx="193">
                  <v>54.5</v>
                </pt>
                <pt idx="194">
                  <v>50</v>
                </pt>
                <pt idx="195">
                  <v>49</v>
                </pt>
                <pt idx="196">
                  <v>51</v>
                </pt>
                <pt idx="197">
                  <v>51.5</v>
                </pt>
                <pt idx="198">
                  <v>52.5</v>
                </pt>
                <pt idx="199">
                  <v>53</v>
                </pt>
                <pt idx="200">
                  <v>52</v>
                </pt>
                <pt idx="201">
                  <v>50.5</v>
                </pt>
                <pt idx="202">
                  <v>50</v>
                </pt>
                <pt idx="203">
                  <v>51</v>
                </pt>
                <pt idx="204">
                  <v>51.5</v>
                </pt>
                <pt idx="205">
                  <v>52.5</v>
                </pt>
                <pt idx="206">
                  <v>52</v>
                </pt>
                <pt idx="207">
                  <v>49.5</v>
                </pt>
                <pt idx="208">
                  <v>54.5</v>
                </pt>
                <pt idx="209">
                  <v>52.5</v>
                </pt>
                <pt idx="210">
                  <v>54</v>
                </pt>
                <pt idx="211">
                  <v>55</v>
                </pt>
                <pt idx="212">
                  <v>54</v>
                </pt>
                <pt idx="213">
                  <v>53.5</v>
                </pt>
                <pt idx="214">
                  <v>50</v>
                </pt>
                <pt idx="215">
                  <v>51.5</v>
                </pt>
                <pt idx="216">
                  <v>53</v>
                </pt>
                <pt idx="217">
                  <v>52.5</v>
                </pt>
                <pt idx="218">
                  <v>52.5</v>
                </pt>
                <pt idx="219">
                  <v>52</v>
                </pt>
                <pt idx="220">
                  <v>53</v>
                </pt>
                <pt idx="221">
                  <v>48.5</v>
                </pt>
                <pt idx="222">
                  <v>51.5</v>
                </pt>
                <pt idx="223">
                  <v>50.5</v>
                </pt>
                <pt idx="224">
                  <v>51</v>
                </pt>
                <pt idx="225">
                  <v>51</v>
                </pt>
                <pt idx="226">
                  <v>52.5</v>
                </pt>
                <pt idx="227">
                  <v>54</v>
                </pt>
                <pt idx="228">
                  <v>51</v>
                </pt>
                <pt idx="229">
                  <v>51.5</v>
                </pt>
                <pt idx="230">
                  <v>51</v>
                </pt>
                <pt idx="231">
                  <v>50.5</v>
                </pt>
                <pt idx="232">
                  <v>52</v>
                </pt>
                <pt idx="233">
                  <v>52</v>
                </pt>
                <pt idx="234">
                  <v>52.5</v>
                </pt>
                <pt idx="235">
                  <v>50.5</v>
                </pt>
                <pt idx="236">
                  <v>51.5</v>
                </pt>
                <pt idx="237">
                  <v>53</v>
                </pt>
                <pt idx="238">
                  <v>51.5</v>
                </pt>
                <pt idx="239">
                  <v>52.5</v>
                </pt>
                <pt idx="240">
                  <v>51</v>
                </pt>
                <pt idx="241">
                  <v>50.5</v>
                </pt>
                <pt idx="242">
                  <v>58</v>
                </pt>
                <pt idx="243">
                  <v>58</v>
                </pt>
                <pt idx="244">
                  <v>54</v>
                </pt>
                <pt idx="245">
                  <v>55.5</v>
                </pt>
                <pt idx="246">
                  <v>55.5</v>
                </pt>
                <pt idx="247">
                  <v>55.5</v>
                </pt>
                <pt idx="248">
                  <v>58.5</v>
                </pt>
                <pt idx="249">
                  <v>54.5</v>
                </pt>
                <pt idx="250">
                  <v>58.5</v>
                </pt>
                <pt idx="251">
                  <v>55.5</v>
                </pt>
                <pt idx="252">
                  <v>53</v>
                </pt>
                <pt idx="253">
                  <v>56</v>
                </pt>
                <pt idx="254">
                  <v>57</v>
                </pt>
                <pt idx="255">
                  <v>57.5</v>
                </pt>
                <pt idx="256">
                  <v>56.5</v>
                </pt>
                <pt idx="257">
                  <v>51.5</v>
                </pt>
                <pt idx="258">
                  <v>51.5</v>
                </pt>
                <pt idx="259">
                  <v>53.5</v>
                </pt>
                <pt idx="260">
                  <v>52</v>
                </pt>
                <pt idx="261">
                  <v>50.5</v>
                </pt>
                <pt idx="262">
                  <v>49.5</v>
                </pt>
                <pt idx="263">
                  <v>51.5</v>
                </pt>
                <pt idx="264">
                  <v>51.5</v>
                </pt>
                <pt idx="265">
                  <v>50.5</v>
                </pt>
                <pt idx="266">
                  <v>51</v>
                </pt>
                <pt idx="267">
                  <v>52.5</v>
                </pt>
                <pt idx="268">
                  <v>51.5</v>
                </pt>
                <pt idx="269">
                  <v>52.5</v>
                </pt>
                <pt idx="270">
                  <v>51.7</v>
                </pt>
                <pt idx="271">
                  <v>52.4</v>
                </pt>
                <pt idx="272">
                  <v>62.1</v>
                </pt>
                <pt idx="273">
                  <v>78.3</v>
                </pt>
                <pt idx="274">
                  <v>67</v>
                </pt>
                <pt idx="275">
                  <v>57.5</v>
                </pt>
                <pt idx="276">
                  <v>55.2</v>
                </pt>
                <pt idx="277">
                  <v>60.5</v>
                </pt>
                <pt idx="278">
                  <v>54.9</v>
                </pt>
                <pt idx="279">
                  <v>56.2</v>
                </pt>
                <pt idx="280">
                  <v>57</v>
                </pt>
                <pt idx="281">
                  <v>62.8</v>
                </pt>
                <pt idx="282">
                  <v>57.8</v>
                </pt>
                <pt idx="283">
                  <v>60.8</v>
                </pt>
                <pt idx="284">
                  <v>61</v>
                </pt>
                <pt idx="285">
                  <v>66.09999999999999</v>
                </pt>
                <pt idx="286">
                  <v>70.40000000000001</v>
                </pt>
                <pt idx="287">
                  <v>68.5</v>
                </pt>
                <pt idx="288">
                  <v>72</v>
                </pt>
                <pt idx="289">
                  <v>69.59999999999999</v>
                </pt>
                <pt idx="290">
                  <v>68.8</v>
                </pt>
                <pt idx="291">
                  <v>75.7</v>
                </pt>
                <pt idx="292">
                  <v>75.7</v>
                </pt>
                <pt idx="293">
                  <v>63.9</v>
                </pt>
                <pt idx="294">
                  <v>65.7</v>
                </pt>
                <pt idx="295">
                  <v>66.2</v>
                </pt>
                <pt idx="296">
                  <v>63.4</v>
                </pt>
                <pt idx="297">
                  <v>65.09999999999999</v>
                </pt>
                <pt idx="298">
                  <v>61.3</v>
                </pt>
                <pt idx="299">
                  <v>61.9</v>
                </pt>
              </numCache>
            </numRef>
          </val>
          <smooth val="0"/>
        </ser>
        <dLbls>
          <showLegendKey val="0"/>
          <showVal val="0"/>
          <showCatName val="0"/>
          <showSerName val="0"/>
          <showPercent val="0"/>
          <showBubbleSize val="0"/>
        </dLbls>
        <smooth val="0"/>
        <axId val="946929536"/>
        <axId val="946929864"/>
      </lineChart>
      <dateAx>
        <axId val="946929536"/>
        <scaling>
          <orientation val="minMax"/>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864"/>
        <crosses val="autoZero"/>
        <lblOffset val="100"/>
        <baseTimeUnit val="months"/>
      </dateAx>
      <valAx>
        <axId val="946929864"/>
        <scaling>
          <orientation val="minMax"/>
          <min val="4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536"/>
        <crosses val="autoZero"/>
        <crossBetween val="between"/>
      </valAx>
    </plotArea>
    <plotVisOnly val="1"/>
    <dispBlanksAs val="gap"/>
  </chart>
</chartSpace>
</file>

<file path=xl/charts/chart72.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Deliveries</a:t>
            </a:r>
          </a:p>
        </rich>
      </tx>
      <overlay val="0"/>
      <spPr>
        <a:noFill xmlns:a="http://schemas.openxmlformats.org/drawingml/2006/main"/>
        <a:ln xmlns:a="http://schemas.openxmlformats.org/drawingml/2006/main">
          <a:noFill/>
          <a:prstDash val="solid"/>
        </a:ln>
      </spPr>
    </title>
    <plotArea>
      <layout/>
      <lineChart>
        <grouping val="standard"/>
        <varyColors val="0"/>
        <ser>
          <idx val="7"/>
          <order val="0"/>
          <tx>
            <strRef>
              <f>Details!$I$5</f>
              <strCache>
                <ptCount val="1"/>
                <pt idx="0">
                  <v>Deliveries</v>
                </pt>
              </strCache>
            </strRef>
          </tx>
          <spPr>
            <a:ln xmlns:a="http://schemas.openxmlformats.org/drawingml/2006/main" w="28575" cap="rnd">
              <a:solidFill>
                <a:schemeClr val="accent2">
                  <a:lumMod val="60000"/>
                </a:schemeClr>
              </a:solidFill>
              <a:prstDash val="solid"/>
              <a:round/>
            </a:ln>
          </spPr>
          <marker>
            <symbol val="none"/>
            <spPr>
              <a:ln xmlns:a="http://schemas.openxmlformats.org/drawingml/2006/main">
                <a:prstDash val="solid"/>
              </a:ln>
            </spPr>
          </marker>
          <cat>
            <numRef>
              <f>Details!$A$6:$A$307</f>
              <numCache>
                <formatCode>m/d/yy</formatCode>
                <ptCount val="302"/>
                <pt idx="0">
                  <v>35612</v>
                </pt>
                <pt idx="1">
                  <v>35643</v>
                </pt>
                <pt idx="2">
                  <v>35674</v>
                </pt>
                <pt idx="3">
                  <v>35704</v>
                </pt>
                <pt idx="4">
                  <v>35735</v>
                </pt>
                <pt idx="5">
                  <v>35765</v>
                </pt>
                <pt idx="6">
                  <v>35796</v>
                </pt>
                <pt idx="7">
                  <v>35827</v>
                </pt>
                <pt idx="8">
                  <v>35855</v>
                </pt>
                <pt idx="9">
                  <v>35886</v>
                </pt>
                <pt idx="10">
                  <v>35916</v>
                </pt>
                <pt idx="11">
                  <v>35947</v>
                </pt>
                <pt idx="12">
                  <v>35977</v>
                </pt>
                <pt idx="13">
                  <v>36008</v>
                </pt>
                <pt idx="14">
                  <v>36039</v>
                </pt>
                <pt idx="15">
                  <v>36069</v>
                </pt>
                <pt idx="16">
                  <v>36100</v>
                </pt>
                <pt idx="17">
                  <v>36130</v>
                </pt>
                <pt idx="18">
                  <v>36161</v>
                </pt>
                <pt idx="19">
                  <v>36192</v>
                </pt>
                <pt idx="20">
                  <v>36220</v>
                </pt>
                <pt idx="21">
                  <v>36251</v>
                </pt>
                <pt idx="22">
                  <v>36281</v>
                </pt>
                <pt idx="23">
                  <v>36312</v>
                </pt>
                <pt idx="24">
                  <v>36342</v>
                </pt>
                <pt idx="25">
                  <v>36373</v>
                </pt>
                <pt idx="26">
                  <v>36404</v>
                </pt>
                <pt idx="27">
                  <v>36434</v>
                </pt>
                <pt idx="28">
                  <v>36465</v>
                </pt>
                <pt idx="29">
                  <v>36495</v>
                </pt>
                <pt idx="30">
                  <v>36526</v>
                </pt>
                <pt idx="31">
                  <v>36557</v>
                </pt>
                <pt idx="32">
                  <v>36586</v>
                </pt>
                <pt idx="33">
                  <v>36617</v>
                </pt>
                <pt idx="34">
                  <v>36647</v>
                </pt>
                <pt idx="35">
                  <v>36678</v>
                </pt>
                <pt idx="36">
                  <v>36708</v>
                </pt>
                <pt idx="37">
                  <v>36739</v>
                </pt>
                <pt idx="38">
                  <v>36770</v>
                </pt>
                <pt idx="39">
                  <v>36800</v>
                </pt>
                <pt idx="40">
                  <v>36831</v>
                </pt>
                <pt idx="41">
                  <v>36861</v>
                </pt>
                <pt idx="42">
                  <v>36892</v>
                </pt>
                <pt idx="43">
                  <v>36923</v>
                </pt>
                <pt idx="44">
                  <v>36951</v>
                </pt>
                <pt idx="45">
                  <v>36982</v>
                </pt>
                <pt idx="46">
                  <v>37012</v>
                </pt>
                <pt idx="47">
                  <v>37043</v>
                </pt>
                <pt idx="48">
                  <v>37073</v>
                </pt>
                <pt idx="49">
                  <v>37104</v>
                </pt>
                <pt idx="50">
                  <v>37135</v>
                </pt>
                <pt idx="51">
                  <v>37165</v>
                </pt>
                <pt idx="52">
                  <v>37196</v>
                </pt>
                <pt idx="53">
                  <v>37226</v>
                </pt>
                <pt idx="54">
                  <v>37257</v>
                </pt>
                <pt idx="55">
                  <v>37288</v>
                </pt>
                <pt idx="56">
                  <v>37316</v>
                </pt>
                <pt idx="57">
                  <v>37347</v>
                </pt>
                <pt idx="58">
                  <v>37377</v>
                </pt>
                <pt idx="59">
                  <v>37408</v>
                </pt>
                <pt idx="60">
                  <v>37438</v>
                </pt>
                <pt idx="61">
                  <v>37469</v>
                </pt>
                <pt idx="62">
                  <v>37500</v>
                </pt>
                <pt idx="63">
                  <v>37530</v>
                </pt>
                <pt idx="64">
                  <v>37561</v>
                </pt>
                <pt idx="65">
                  <v>37591</v>
                </pt>
                <pt idx="66">
                  <v>37622</v>
                </pt>
                <pt idx="67">
                  <v>37653</v>
                </pt>
                <pt idx="68">
                  <v>37681</v>
                </pt>
                <pt idx="69">
                  <v>37712</v>
                </pt>
                <pt idx="70">
                  <v>37742</v>
                </pt>
                <pt idx="71">
                  <v>37773</v>
                </pt>
                <pt idx="72">
                  <v>37803</v>
                </pt>
                <pt idx="73">
                  <v>37834</v>
                </pt>
                <pt idx="74">
                  <v>37865</v>
                </pt>
                <pt idx="75">
                  <v>37895</v>
                </pt>
                <pt idx="76">
                  <v>37926</v>
                </pt>
                <pt idx="77">
                  <v>37956</v>
                </pt>
                <pt idx="78">
                  <v>37987</v>
                </pt>
                <pt idx="79">
                  <v>38018</v>
                </pt>
                <pt idx="80">
                  <v>38047</v>
                </pt>
                <pt idx="81">
                  <v>38078</v>
                </pt>
                <pt idx="82">
                  <v>38108</v>
                </pt>
                <pt idx="83">
                  <v>38139</v>
                </pt>
                <pt idx="84">
                  <v>38169</v>
                </pt>
                <pt idx="85">
                  <v>38200</v>
                </pt>
                <pt idx="86">
                  <v>38231</v>
                </pt>
                <pt idx="87">
                  <v>38261</v>
                </pt>
                <pt idx="88">
                  <v>38292</v>
                </pt>
                <pt idx="89">
                  <v>38322</v>
                </pt>
                <pt idx="90">
                  <v>38353</v>
                </pt>
                <pt idx="91">
                  <v>38384</v>
                </pt>
                <pt idx="92">
                  <v>38412</v>
                </pt>
                <pt idx="93">
                  <v>38443</v>
                </pt>
                <pt idx="94">
                  <v>38473</v>
                </pt>
                <pt idx="95">
                  <v>38504</v>
                </pt>
                <pt idx="96">
                  <v>38534</v>
                </pt>
                <pt idx="97">
                  <v>38565</v>
                </pt>
                <pt idx="98">
                  <v>38596</v>
                </pt>
                <pt idx="99">
                  <v>38626</v>
                </pt>
                <pt idx="100">
                  <v>38657</v>
                </pt>
                <pt idx="101">
                  <v>38687</v>
                </pt>
                <pt idx="102">
                  <v>38718</v>
                </pt>
                <pt idx="103">
                  <v>38749</v>
                </pt>
                <pt idx="104">
                  <v>38777</v>
                </pt>
                <pt idx="105">
                  <v>38808</v>
                </pt>
                <pt idx="106">
                  <v>38838</v>
                </pt>
                <pt idx="107">
                  <v>38869</v>
                </pt>
                <pt idx="108">
                  <v>38899</v>
                </pt>
                <pt idx="109">
                  <v>38930</v>
                </pt>
                <pt idx="110">
                  <v>38961</v>
                </pt>
                <pt idx="111">
                  <v>38991</v>
                </pt>
                <pt idx="112">
                  <v>39022</v>
                </pt>
                <pt idx="113">
                  <v>39052</v>
                </pt>
                <pt idx="114">
                  <v>39083</v>
                </pt>
                <pt idx="115">
                  <v>39114</v>
                </pt>
                <pt idx="116">
                  <v>39142</v>
                </pt>
                <pt idx="117">
                  <v>39173</v>
                </pt>
                <pt idx="118">
                  <v>39203</v>
                </pt>
                <pt idx="119">
                  <v>39234</v>
                </pt>
                <pt idx="120">
                  <v>39264</v>
                </pt>
                <pt idx="121">
                  <v>39295</v>
                </pt>
                <pt idx="122">
                  <v>39326</v>
                </pt>
                <pt idx="123">
                  <v>39356</v>
                </pt>
                <pt idx="124">
                  <v>39387</v>
                </pt>
                <pt idx="125">
                  <v>39417</v>
                </pt>
                <pt idx="126">
                  <v>39448</v>
                </pt>
                <pt idx="127">
                  <v>39479</v>
                </pt>
                <pt idx="128">
                  <v>39508</v>
                </pt>
                <pt idx="129">
                  <v>39539</v>
                </pt>
                <pt idx="130">
                  <v>39569</v>
                </pt>
                <pt idx="131">
                  <v>39600</v>
                </pt>
                <pt idx="132">
                  <v>39630</v>
                </pt>
                <pt idx="133">
                  <v>39661</v>
                </pt>
                <pt idx="134">
                  <v>39692</v>
                </pt>
                <pt idx="135">
                  <v>39722</v>
                </pt>
                <pt idx="136">
                  <v>39753</v>
                </pt>
                <pt idx="137">
                  <v>39783</v>
                </pt>
                <pt idx="138">
                  <v>39814</v>
                </pt>
                <pt idx="139">
                  <v>39845</v>
                </pt>
                <pt idx="140">
                  <v>39873</v>
                </pt>
                <pt idx="141">
                  <v>39904</v>
                </pt>
                <pt idx="142">
                  <v>39934</v>
                </pt>
                <pt idx="143">
                  <v>39965</v>
                </pt>
                <pt idx="144">
                  <v>39995</v>
                </pt>
                <pt idx="145">
                  <v>40026</v>
                </pt>
                <pt idx="146">
                  <v>40057</v>
                </pt>
                <pt idx="147">
                  <v>40087</v>
                </pt>
                <pt idx="148">
                  <v>40118</v>
                </pt>
                <pt idx="149">
                  <v>40148</v>
                </pt>
                <pt idx="150">
                  <v>40179</v>
                </pt>
                <pt idx="151">
                  <v>40210</v>
                </pt>
                <pt idx="152">
                  <v>40238</v>
                </pt>
                <pt idx="153">
                  <v>40269</v>
                </pt>
                <pt idx="154">
                  <v>40299</v>
                </pt>
                <pt idx="155">
                  <v>40330</v>
                </pt>
                <pt idx="156">
                  <v>40360</v>
                </pt>
                <pt idx="157">
                  <v>40391</v>
                </pt>
                <pt idx="158">
                  <v>40422</v>
                </pt>
                <pt idx="159">
                  <v>40452</v>
                </pt>
                <pt idx="160">
                  <v>40483</v>
                </pt>
                <pt idx="161">
                  <v>40513</v>
                </pt>
                <pt idx="162">
                  <v>40544</v>
                </pt>
                <pt idx="163">
                  <v>40575</v>
                </pt>
                <pt idx="164">
                  <v>40603</v>
                </pt>
                <pt idx="165">
                  <v>40634</v>
                </pt>
                <pt idx="166">
                  <v>40664</v>
                </pt>
                <pt idx="167">
                  <v>40695</v>
                </pt>
                <pt idx="168">
                  <v>40725</v>
                </pt>
                <pt idx="169">
                  <v>40756</v>
                </pt>
                <pt idx="170">
                  <v>40787</v>
                </pt>
                <pt idx="171">
                  <v>40817</v>
                </pt>
                <pt idx="172">
                  <v>40848</v>
                </pt>
                <pt idx="173">
                  <v>40878</v>
                </pt>
                <pt idx="174">
                  <v>40909</v>
                </pt>
                <pt idx="175">
                  <v>40940</v>
                </pt>
                <pt idx="176">
                  <v>40969</v>
                </pt>
                <pt idx="177">
                  <v>41000</v>
                </pt>
                <pt idx="178">
                  <v>41030</v>
                </pt>
                <pt idx="179">
                  <v>41061</v>
                </pt>
                <pt idx="180">
                  <v>41091</v>
                </pt>
                <pt idx="181">
                  <v>41122</v>
                </pt>
                <pt idx="182">
                  <v>41153</v>
                </pt>
                <pt idx="183">
                  <v>41183</v>
                </pt>
                <pt idx="184">
                  <v>41214</v>
                </pt>
                <pt idx="185">
                  <v>41244</v>
                </pt>
                <pt idx="186">
                  <v>41275</v>
                </pt>
                <pt idx="187">
                  <v>41306</v>
                </pt>
                <pt idx="188">
                  <v>41334</v>
                </pt>
                <pt idx="189">
                  <v>41365</v>
                </pt>
                <pt idx="190">
                  <v>41395</v>
                </pt>
                <pt idx="191">
                  <v>41426</v>
                </pt>
                <pt idx="192">
                  <v>41456</v>
                </pt>
                <pt idx="193">
                  <v>41487</v>
                </pt>
                <pt idx="194">
                  <v>41518</v>
                </pt>
                <pt idx="195">
                  <v>41548</v>
                </pt>
                <pt idx="196">
                  <v>41579</v>
                </pt>
                <pt idx="197">
                  <v>41609</v>
                </pt>
                <pt idx="198">
                  <v>41640</v>
                </pt>
                <pt idx="199">
                  <v>41671</v>
                </pt>
                <pt idx="200">
                  <v>41699</v>
                </pt>
                <pt idx="201">
                  <v>41730</v>
                </pt>
                <pt idx="202">
                  <v>41760</v>
                </pt>
                <pt idx="203">
                  <v>41791</v>
                </pt>
                <pt idx="204">
                  <v>41821</v>
                </pt>
                <pt idx="205">
                  <v>41852</v>
                </pt>
                <pt idx="206">
                  <v>41883</v>
                </pt>
                <pt idx="207">
                  <v>41913</v>
                </pt>
                <pt idx="208">
                  <v>41944</v>
                </pt>
                <pt idx="209">
                  <v>41974</v>
                </pt>
                <pt idx="210">
                  <v>42005</v>
                </pt>
                <pt idx="211">
                  <v>42036</v>
                </pt>
                <pt idx="212">
                  <v>42064</v>
                </pt>
                <pt idx="213">
                  <v>42095</v>
                </pt>
                <pt idx="214">
                  <v>42125</v>
                </pt>
                <pt idx="215">
                  <v>42156</v>
                </pt>
                <pt idx="216">
                  <v>42186</v>
                </pt>
                <pt idx="217">
                  <v>42217</v>
                </pt>
                <pt idx="218">
                  <v>42248</v>
                </pt>
                <pt idx="219">
                  <v>42278</v>
                </pt>
                <pt idx="220">
                  <v>42309</v>
                </pt>
                <pt idx="221">
                  <v>42339</v>
                </pt>
                <pt idx="222">
                  <v>42370</v>
                </pt>
                <pt idx="223">
                  <v>42401</v>
                </pt>
                <pt idx="224">
                  <v>42430</v>
                </pt>
                <pt idx="225">
                  <v>42461</v>
                </pt>
                <pt idx="226">
                  <v>42491</v>
                </pt>
                <pt idx="227">
                  <v>42522</v>
                </pt>
                <pt idx="228">
                  <v>42552</v>
                </pt>
                <pt idx="229">
                  <v>42583</v>
                </pt>
                <pt idx="230">
                  <v>42614</v>
                </pt>
                <pt idx="231">
                  <v>42644</v>
                </pt>
                <pt idx="232">
                  <v>42675</v>
                </pt>
                <pt idx="233">
                  <v>42705</v>
                </pt>
                <pt idx="234">
                  <v>42736</v>
                </pt>
                <pt idx="235">
                  <v>42767</v>
                </pt>
                <pt idx="236">
                  <v>42795</v>
                </pt>
                <pt idx="237">
                  <v>42826</v>
                </pt>
                <pt idx="238">
                  <v>42856</v>
                </pt>
                <pt idx="239">
                  <v>42887</v>
                </pt>
                <pt idx="240">
                  <v>42917</v>
                </pt>
                <pt idx="241">
                  <v>42948</v>
                </pt>
                <pt idx="242">
                  <v>42979</v>
                </pt>
                <pt idx="243">
                  <v>43009</v>
                </pt>
                <pt idx="244">
                  <v>43040</v>
                </pt>
                <pt idx="245">
                  <v>43070</v>
                </pt>
                <pt idx="246">
                  <v>43101</v>
                </pt>
                <pt idx="247">
                  <v>43132</v>
                </pt>
                <pt idx="248">
                  <v>43160</v>
                </pt>
                <pt idx="249">
                  <v>43191</v>
                </pt>
                <pt idx="250">
                  <v>43221</v>
                </pt>
                <pt idx="251">
                  <v>43252</v>
                </pt>
                <pt idx="252">
                  <v>43282</v>
                </pt>
                <pt idx="253">
                  <v>43313</v>
                </pt>
                <pt idx="254">
                  <v>43344</v>
                </pt>
                <pt idx="255">
                  <v>43374</v>
                </pt>
                <pt idx="256">
                  <v>43405</v>
                </pt>
                <pt idx="257">
                  <v>43435</v>
                </pt>
                <pt idx="258">
                  <v>43466</v>
                </pt>
                <pt idx="259">
                  <v>43497</v>
                </pt>
                <pt idx="260">
                  <v>43525</v>
                </pt>
                <pt idx="261">
                  <v>43556</v>
                </pt>
                <pt idx="262">
                  <v>43586</v>
                </pt>
                <pt idx="263">
                  <v>43617</v>
                </pt>
                <pt idx="264">
                  <v>43647</v>
                </pt>
                <pt idx="265">
                  <v>43678</v>
                </pt>
                <pt idx="266">
                  <v>43709</v>
                </pt>
                <pt idx="267">
                  <v>43739</v>
                </pt>
                <pt idx="268">
                  <v>43770</v>
                </pt>
                <pt idx="269">
                  <v>43800</v>
                </pt>
                <pt idx="270">
                  <v>43831</v>
                </pt>
                <pt idx="271">
                  <v>43862</v>
                </pt>
                <pt idx="272">
                  <v>43891</v>
                </pt>
                <pt idx="273">
                  <v>43922</v>
                </pt>
                <pt idx="274">
                  <v>43952</v>
                </pt>
                <pt idx="275">
                  <v>43983</v>
                </pt>
                <pt idx="276">
                  <v>44013</v>
                </pt>
                <pt idx="277">
                  <v>44044</v>
                </pt>
                <pt idx="278">
                  <v>44075</v>
                </pt>
                <pt idx="279">
                  <v>44105</v>
                </pt>
                <pt idx="280">
                  <v>44136</v>
                </pt>
                <pt idx="281">
                  <v>44166</v>
                </pt>
                <pt idx="282">
                  <v>44197</v>
                </pt>
                <pt idx="283">
                  <v>44228</v>
                </pt>
                <pt idx="284">
                  <v>44256</v>
                </pt>
                <pt idx="285">
                  <v>44287</v>
                </pt>
                <pt idx="286">
                  <v>44317</v>
                </pt>
                <pt idx="287">
                  <v>44348</v>
                </pt>
                <pt idx="288">
                  <v>44378</v>
                </pt>
                <pt idx="289">
                  <v>44409</v>
                </pt>
                <pt idx="290">
                  <v>44440</v>
                </pt>
                <pt idx="291">
                  <v>44470</v>
                </pt>
                <pt idx="292">
                  <v>44501</v>
                </pt>
                <pt idx="293">
                  <v>44531</v>
                </pt>
                <pt idx="294">
                  <v>44562</v>
                </pt>
                <pt idx="295">
                  <v>44593</v>
                </pt>
                <pt idx="296">
                  <v>44621</v>
                </pt>
                <pt idx="297">
                  <v>44652</v>
                </pt>
                <pt idx="298">
                  <v>44682</v>
                </pt>
                <pt idx="299">
                  <v>44713</v>
                </pt>
              </numCache>
            </numRef>
          </cat>
          <val>
            <numRef>
              <f>Details!$I$6:$I$307</f>
              <numCache>
                <formatCode>General</formatCode>
                <ptCount val="302"/>
                <pt idx="0">
                  <v>0</v>
                </pt>
                <pt idx="1">
                  <v>0</v>
                </pt>
                <pt idx="2">
                  <v>0</v>
                </pt>
                <pt idx="3">
                  <v>0</v>
                </pt>
                <pt idx="4">
                  <v>0</v>
                </pt>
                <pt idx="5">
                  <v>0</v>
                </pt>
                <pt idx="6">
                  <v>54</v>
                </pt>
                <pt idx="7">
                  <v>52</v>
                </pt>
                <pt idx="8">
                  <v>52.5</v>
                </pt>
                <pt idx="9">
                  <v>52</v>
                </pt>
                <pt idx="10">
                  <v>50.5</v>
                </pt>
                <pt idx="11">
                  <v>53.5</v>
                </pt>
                <pt idx="12">
                  <v>54.5</v>
                </pt>
                <pt idx="13">
                  <v>54</v>
                </pt>
                <pt idx="14">
                  <v>53</v>
                </pt>
                <pt idx="15">
                  <v>53.5</v>
                </pt>
                <pt idx="16">
                  <v>50</v>
                </pt>
                <pt idx="17">
                  <v>53</v>
                </pt>
                <pt idx="18">
                  <v>54.5</v>
                </pt>
                <pt idx="19">
                  <v>51.5</v>
                </pt>
                <pt idx="20">
                  <v>52.5</v>
                </pt>
                <pt idx="21">
                  <v>51.5</v>
                </pt>
                <pt idx="22">
                  <v>54</v>
                </pt>
                <pt idx="23">
                  <v>54</v>
                </pt>
                <pt idx="24">
                  <v>52.5</v>
                </pt>
                <pt idx="25">
                  <v>53.5</v>
                </pt>
                <pt idx="26">
                  <v>54</v>
                </pt>
                <pt idx="27">
                  <v>56</v>
                </pt>
                <pt idx="28">
                  <v>56.5</v>
                </pt>
                <pt idx="29">
                  <v>53</v>
                </pt>
                <pt idx="30">
                  <v>55.5</v>
                </pt>
                <pt idx="31">
                  <v>55</v>
                </pt>
                <pt idx="32">
                  <v>52.5</v>
                </pt>
                <pt idx="33">
                  <v>55</v>
                </pt>
                <pt idx="34">
                  <v>57</v>
                </pt>
                <pt idx="35">
                  <v>53.5</v>
                </pt>
                <pt idx="36">
                  <v>54.5</v>
                </pt>
                <pt idx="37">
                  <v>55</v>
                </pt>
                <pt idx="38">
                  <v>53</v>
                </pt>
                <pt idx="39">
                  <v>54.5</v>
                </pt>
                <pt idx="40">
                  <v>54</v>
                </pt>
                <pt idx="41">
                  <v>51</v>
                </pt>
                <pt idx="42">
                  <v>51.5</v>
                </pt>
                <pt idx="43">
                  <v>51.5</v>
                </pt>
                <pt idx="44">
                  <v>50.5</v>
                </pt>
                <pt idx="45">
                  <v>51</v>
                </pt>
                <pt idx="46">
                  <v>52</v>
                </pt>
                <pt idx="47">
                  <v>51</v>
                </pt>
                <pt idx="48">
                  <v>50.5</v>
                </pt>
                <pt idx="49">
                  <v>48</v>
                </pt>
                <pt idx="50">
                  <v>51</v>
                </pt>
                <pt idx="51">
                  <v>53.5</v>
                </pt>
                <pt idx="52">
                  <v>52.5</v>
                </pt>
                <pt idx="53">
                  <v>53.5</v>
                </pt>
                <pt idx="54">
                  <v>53</v>
                </pt>
                <pt idx="55">
                  <v>53</v>
                </pt>
                <pt idx="56">
                  <v>52</v>
                </pt>
                <pt idx="57">
                  <v>51.5</v>
                </pt>
                <pt idx="58">
                  <v>52</v>
                </pt>
                <pt idx="59">
                  <v>53.5</v>
                </pt>
                <pt idx="60">
                  <v>52.5</v>
                </pt>
                <pt idx="61">
                  <v>53</v>
                </pt>
                <pt idx="62">
                  <v>52.5</v>
                </pt>
                <pt idx="63">
                  <v>53.5</v>
                </pt>
                <pt idx="64">
                  <v>52.5</v>
                </pt>
                <pt idx="65">
                  <v>52.5</v>
                </pt>
                <pt idx="66">
                  <v>52</v>
                </pt>
                <pt idx="67">
                  <v>52.5</v>
                </pt>
                <pt idx="68">
                  <v>52</v>
                </pt>
                <pt idx="69">
                  <v>50.5</v>
                </pt>
                <pt idx="70">
                  <v>52</v>
                </pt>
                <pt idx="71">
                  <v>51.5</v>
                </pt>
                <pt idx="72">
                  <v>53.5</v>
                </pt>
                <pt idx="73">
                  <v>52.5</v>
                </pt>
                <pt idx="74">
                  <v>55</v>
                </pt>
                <pt idx="75">
                  <v>53</v>
                </pt>
                <pt idx="76">
                  <v>53</v>
                </pt>
                <pt idx="77">
                  <v>52</v>
                </pt>
                <pt idx="78">
                  <v>56.5</v>
                </pt>
                <pt idx="79">
                  <v>55.5</v>
                </pt>
                <pt idx="80">
                  <v>55</v>
                </pt>
                <pt idx="81">
                  <v>58</v>
                </pt>
                <pt idx="82">
                  <v>56</v>
                </pt>
                <pt idx="83">
                  <v>57.5</v>
                </pt>
                <pt idx="84">
                  <v>58</v>
                </pt>
                <pt idx="85">
                  <v>57</v>
                </pt>
                <pt idx="86">
                  <v>55.5</v>
                </pt>
                <pt idx="87">
                  <v>56</v>
                </pt>
                <pt idx="88">
                  <v>55</v>
                </pt>
                <pt idx="89">
                  <v>55.5</v>
                </pt>
                <pt idx="90">
                  <v>52.5</v>
                </pt>
                <pt idx="91">
                  <v>52.5</v>
                </pt>
                <pt idx="92">
                  <v>53</v>
                </pt>
                <pt idx="93">
                  <v>53</v>
                </pt>
                <pt idx="94">
                  <v>53.5</v>
                </pt>
                <pt idx="95">
                  <v>56.5</v>
                </pt>
                <pt idx="96">
                  <v>57</v>
                </pt>
                <pt idx="97">
                  <v>55</v>
                </pt>
                <pt idx="98">
                  <v>56</v>
                </pt>
                <pt idx="99">
                  <v>58.5</v>
                </pt>
                <pt idx="100">
                  <v>60.5</v>
                </pt>
                <pt idx="101">
                  <v>56.5</v>
                </pt>
                <pt idx="102">
                  <v>54.5</v>
                </pt>
                <pt idx="103">
                  <v>52.5</v>
                </pt>
                <pt idx="104">
                  <v>54</v>
                </pt>
                <pt idx="105">
                  <v>54.5</v>
                </pt>
                <pt idx="106">
                  <v>56.5</v>
                </pt>
                <pt idx="107">
                  <v>56</v>
                </pt>
                <pt idx="108">
                  <v>54.5</v>
                </pt>
                <pt idx="109">
                  <v>53.5</v>
                </pt>
                <pt idx="110">
                  <v>54</v>
                </pt>
                <pt idx="111">
                  <v>54.5</v>
                </pt>
                <pt idx="112">
                  <v>50</v>
                </pt>
                <pt idx="113">
                  <v>51</v>
                </pt>
                <pt idx="114">
                  <v>53.5</v>
                </pt>
                <pt idx="115">
                  <v>52.5</v>
                </pt>
                <pt idx="116">
                  <v>50</v>
                </pt>
                <pt idx="117">
                  <v>51</v>
                </pt>
                <pt idx="118">
                  <v>49.5</v>
                </pt>
                <pt idx="119">
                  <v>50.5</v>
                </pt>
                <pt idx="120">
                  <v>51.5</v>
                </pt>
                <pt idx="121">
                  <v>50.5</v>
                </pt>
                <pt idx="122">
                  <v>50.5</v>
                </pt>
                <pt idx="123">
                  <v>50</v>
                </pt>
                <pt idx="124">
                  <v>51.5</v>
                </pt>
                <pt idx="125">
                  <v>52.5</v>
                </pt>
                <pt idx="126">
                  <v>49</v>
                </pt>
                <pt idx="127">
                  <v>50</v>
                </pt>
                <pt idx="128">
                  <v>49</v>
                </pt>
                <pt idx="129">
                  <v>56</v>
                </pt>
                <pt idx="130">
                  <v>51</v>
                </pt>
                <pt idx="131">
                  <v>50.5</v>
                </pt>
                <pt idx="132">
                  <v>53.5</v>
                </pt>
                <pt idx="133">
                  <v>55.5</v>
                </pt>
                <pt idx="134">
                  <v>53.5</v>
                </pt>
                <pt idx="135">
                  <v>48</v>
                </pt>
                <pt idx="136">
                  <v>49.5</v>
                </pt>
                <pt idx="137">
                  <v>48</v>
                </pt>
                <pt idx="138">
                  <v>51.5</v>
                </pt>
                <pt idx="139">
                  <v>48</v>
                </pt>
                <pt idx="140">
                  <v>48</v>
                </pt>
                <pt idx="141">
                  <v>45.5</v>
                </pt>
                <pt idx="142">
                  <v>50</v>
                </pt>
                <pt idx="143">
                  <v>46</v>
                </pt>
                <pt idx="144">
                  <v>50</v>
                </pt>
                <pt idx="145">
                  <v>49</v>
                </pt>
                <pt idx="146">
                  <v>50</v>
                </pt>
                <pt idx="147">
                  <v>50.5</v>
                </pt>
                <pt idx="148">
                  <v>48.5</v>
                </pt>
                <pt idx="149">
                  <v>50.5</v>
                </pt>
                <pt idx="150">
                  <v>50.5</v>
                </pt>
                <pt idx="151">
                  <v>53.5</v>
                </pt>
                <pt idx="152">
                  <v>49.5</v>
                </pt>
                <pt idx="153">
                  <v>53.5</v>
                </pt>
                <pt idx="154">
                  <v>53</v>
                </pt>
                <pt idx="155">
                  <v>53</v>
                </pt>
                <pt idx="156">
                  <v>52</v>
                </pt>
                <pt idx="157">
                  <v>51</v>
                </pt>
                <pt idx="158">
                  <v>55</v>
                </pt>
                <pt idx="159">
                  <v>51</v>
                </pt>
                <pt idx="160">
                  <v>52.5</v>
                </pt>
                <pt idx="161">
                  <v>51.5</v>
                </pt>
                <pt idx="162">
                  <v>53.5</v>
                </pt>
                <pt idx="163">
                  <v>52</v>
                </pt>
                <pt idx="164">
                  <v>51.5</v>
                </pt>
                <pt idx="165">
                  <v>53</v>
                </pt>
                <pt idx="166">
                  <v>54</v>
                </pt>
                <pt idx="167">
                  <v>52</v>
                </pt>
                <pt idx="168">
                  <v>50.5</v>
                </pt>
                <pt idx="169">
                  <v>53</v>
                </pt>
                <pt idx="170">
                  <v>49.5</v>
                </pt>
                <pt idx="171">
                  <v>52</v>
                </pt>
                <pt idx="172">
                  <v>50</v>
                </pt>
                <pt idx="173">
                  <v>51.5</v>
                </pt>
                <pt idx="174">
                  <v>51</v>
                </pt>
                <pt idx="175">
                  <v>49.5</v>
                </pt>
                <pt idx="176">
                  <v>49.5</v>
                </pt>
                <pt idx="177">
                  <v>51.5</v>
                </pt>
                <pt idx="178">
                  <v>53</v>
                </pt>
                <pt idx="179">
                  <v>51</v>
                </pt>
                <pt idx="180">
                  <v>49.5</v>
                </pt>
                <pt idx="181">
                  <v>51.5</v>
                </pt>
                <pt idx="182">
                  <v>51.5</v>
                </pt>
                <pt idx="183">
                  <v>51.5</v>
                </pt>
                <pt idx="184">
                  <v>49</v>
                </pt>
                <pt idx="185">
                  <v>48.5</v>
                </pt>
                <pt idx="186">
                  <v>52.5</v>
                </pt>
                <pt idx="187">
                  <v>51.5</v>
                </pt>
                <pt idx="188">
                  <v>53</v>
                </pt>
                <pt idx="189">
                  <v>51</v>
                </pt>
                <pt idx="190">
                  <v>52</v>
                </pt>
                <pt idx="191">
                  <v>51.5</v>
                </pt>
                <pt idx="192">
                  <v>52.5</v>
                </pt>
                <pt idx="193">
                  <v>54.5</v>
                </pt>
                <pt idx="194">
                  <v>50</v>
                </pt>
                <pt idx="195">
                  <v>49</v>
                </pt>
                <pt idx="196">
                  <v>51</v>
                </pt>
                <pt idx="197">
                  <v>51.5</v>
                </pt>
                <pt idx="198">
                  <v>52.5</v>
                </pt>
                <pt idx="199">
                  <v>53</v>
                </pt>
                <pt idx="200">
                  <v>52</v>
                </pt>
                <pt idx="201">
                  <v>50.5</v>
                </pt>
                <pt idx="202">
                  <v>50</v>
                </pt>
                <pt idx="203">
                  <v>51</v>
                </pt>
                <pt idx="204">
                  <v>51.5</v>
                </pt>
                <pt idx="205">
                  <v>52.5</v>
                </pt>
                <pt idx="206">
                  <v>52</v>
                </pt>
                <pt idx="207">
                  <v>49.5</v>
                </pt>
                <pt idx="208">
                  <v>54.5</v>
                </pt>
                <pt idx="209">
                  <v>52.5</v>
                </pt>
                <pt idx="210">
                  <v>54</v>
                </pt>
                <pt idx="211">
                  <v>55</v>
                </pt>
                <pt idx="212">
                  <v>54</v>
                </pt>
                <pt idx="213">
                  <v>53.5</v>
                </pt>
                <pt idx="214">
                  <v>50</v>
                </pt>
                <pt idx="215">
                  <v>51.5</v>
                </pt>
                <pt idx="216">
                  <v>53</v>
                </pt>
                <pt idx="217">
                  <v>52.5</v>
                </pt>
                <pt idx="218">
                  <v>52.5</v>
                </pt>
                <pt idx="219">
                  <v>52</v>
                </pt>
                <pt idx="220">
                  <v>53</v>
                </pt>
                <pt idx="221">
                  <v>48.5</v>
                </pt>
                <pt idx="222">
                  <v>51.5</v>
                </pt>
                <pt idx="223">
                  <v>50.5</v>
                </pt>
                <pt idx="224">
                  <v>51</v>
                </pt>
                <pt idx="225">
                  <v>51</v>
                </pt>
                <pt idx="226">
                  <v>52.5</v>
                </pt>
                <pt idx="227">
                  <v>54</v>
                </pt>
                <pt idx="228">
                  <v>51</v>
                </pt>
                <pt idx="229">
                  <v>51.5</v>
                </pt>
                <pt idx="230">
                  <v>51</v>
                </pt>
                <pt idx="231">
                  <v>50.5</v>
                </pt>
                <pt idx="232">
                  <v>52</v>
                </pt>
                <pt idx="233">
                  <v>52</v>
                </pt>
                <pt idx="234">
                  <v>52.5</v>
                </pt>
                <pt idx="235">
                  <v>50.5</v>
                </pt>
                <pt idx="236">
                  <v>51.5</v>
                </pt>
                <pt idx="237">
                  <v>53</v>
                </pt>
                <pt idx="238">
                  <v>51.5</v>
                </pt>
                <pt idx="239">
                  <v>52.5</v>
                </pt>
                <pt idx="240">
                  <v>51</v>
                </pt>
                <pt idx="241">
                  <v>50.5</v>
                </pt>
                <pt idx="242">
                  <v>58</v>
                </pt>
                <pt idx="243">
                  <v>58</v>
                </pt>
                <pt idx="244">
                  <v>54</v>
                </pt>
                <pt idx="245">
                  <v>55.5</v>
                </pt>
                <pt idx="246">
                  <v>55.5</v>
                </pt>
                <pt idx="247">
                  <v>55.5</v>
                </pt>
                <pt idx="248">
                  <v>58.5</v>
                </pt>
                <pt idx="249">
                  <v>54.5</v>
                </pt>
                <pt idx="250">
                  <v>58.5</v>
                </pt>
                <pt idx="251">
                  <v>55.5</v>
                </pt>
                <pt idx="252">
                  <v>53</v>
                </pt>
                <pt idx="253">
                  <v>56</v>
                </pt>
                <pt idx="254">
                  <v>57</v>
                </pt>
                <pt idx="255">
                  <v>57.5</v>
                </pt>
                <pt idx="256">
                  <v>56.5</v>
                </pt>
                <pt idx="257">
                  <v>51.5</v>
                </pt>
                <pt idx="258">
                  <v>51.5</v>
                </pt>
                <pt idx="259">
                  <v>53.5</v>
                </pt>
                <pt idx="260">
                  <v>52</v>
                </pt>
                <pt idx="261">
                  <v>50.5</v>
                </pt>
                <pt idx="262">
                  <v>49.5</v>
                </pt>
                <pt idx="263">
                  <v>51.5</v>
                </pt>
                <pt idx="264">
                  <v>51.5</v>
                </pt>
                <pt idx="265">
                  <v>50.5</v>
                </pt>
                <pt idx="266">
                  <v>51</v>
                </pt>
                <pt idx="267">
                  <v>52.5</v>
                </pt>
                <pt idx="268">
                  <v>51.5</v>
                </pt>
                <pt idx="269">
                  <v>52.5</v>
                </pt>
                <pt idx="270">
                  <v>51.7</v>
                </pt>
                <pt idx="271">
                  <v>52.4</v>
                </pt>
                <pt idx="272">
                  <v>62.1</v>
                </pt>
                <pt idx="273">
                  <v>78.3</v>
                </pt>
                <pt idx="274">
                  <v>67</v>
                </pt>
                <pt idx="275">
                  <v>57.5</v>
                </pt>
                <pt idx="276">
                  <v>55.2</v>
                </pt>
                <pt idx="277">
                  <v>60.5</v>
                </pt>
                <pt idx="278">
                  <v>54.9</v>
                </pt>
                <pt idx="279">
                  <v>56.2</v>
                </pt>
                <pt idx="280">
                  <v>57</v>
                </pt>
                <pt idx="281">
                  <v>62.8</v>
                </pt>
                <pt idx="282">
                  <v>57.8</v>
                </pt>
                <pt idx="283">
                  <v>60.8</v>
                </pt>
                <pt idx="284">
                  <v>61</v>
                </pt>
                <pt idx="285">
                  <v>66.09999999999999</v>
                </pt>
                <pt idx="286">
                  <v>70.40000000000001</v>
                </pt>
                <pt idx="287">
                  <v>68.5</v>
                </pt>
                <pt idx="288">
                  <v>72</v>
                </pt>
                <pt idx="289">
                  <v>69.59999999999999</v>
                </pt>
                <pt idx="290">
                  <v>68.8</v>
                </pt>
                <pt idx="291">
                  <v>75.7</v>
                </pt>
                <pt idx="292">
                  <v>75.7</v>
                </pt>
                <pt idx="293">
                  <v>63.9</v>
                </pt>
                <pt idx="294">
                  <v>65.7</v>
                </pt>
                <pt idx="295">
                  <v>66.2</v>
                </pt>
                <pt idx="296">
                  <v>63.4</v>
                </pt>
                <pt idx="297">
                  <v>65.09999999999999</v>
                </pt>
                <pt idx="298">
                  <v>61.3</v>
                </pt>
                <pt idx="299">
                  <v>61.9</v>
                </pt>
              </numCache>
            </numRef>
          </val>
          <smooth val="0"/>
        </ser>
        <dLbls>
          <showLegendKey val="0"/>
          <showVal val="0"/>
          <showCatName val="0"/>
          <showSerName val="0"/>
          <showPercent val="0"/>
          <showBubbleSize val="0"/>
        </dLbls>
        <smooth val="0"/>
        <axId val="946929536"/>
        <axId val="946929864"/>
      </lineChart>
      <dateAx>
        <axId val="946929536"/>
        <scaling>
          <orientation val="minMax"/>
          <min val="42005"/>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864"/>
        <crosses val="autoZero"/>
        <lblOffset val="100"/>
        <baseTimeUnit val="months"/>
      </dateAx>
      <valAx>
        <axId val="946929864"/>
        <scaling>
          <orientation val="minMax"/>
          <max val="80"/>
          <min val="4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536"/>
        <crosses val="autoZero"/>
        <crossBetween val="between"/>
      </valAx>
    </plotArea>
    <plotVisOnly val="1"/>
    <dispBlanksAs val="gap"/>
  </chart>
</chartSpace>
</file>

<file path=xl/charts/chart73.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Employment</a:t>
            </a:r>
          </a:p>
        </rich>
      </tx>
      <overlay val="0"/>
      <spPr>
        <a:noFill xmlns:a="http://schemas.openxmlformats.org/drawingml/2006/main"/>
        <a:ln xmlns:a="http://schemas.openxmlformats.org/drawingml/2006/main">
          <a:noFill/>
          <a:prstDash val="solid"/>
        </a:ln>
      </spPr>
    </title>
    <plotArea>
      <layout/>
      <lineChart>
        <grouping val="standard"/>
        <varyColors val="0"/>
        <ser>
          <idx val="8"/>
          <order val="0"/>
          <tx>
            <strRef>
              <f>Details!$J$5</f>
              <strCache>
                <ptCount val="1"/>
                <pt idx="0">
                  <v>Employment</v>
                </pt>
              </strCache>
            </strRef>
          </tx>
          <spPr>
            <a:ln xmlns:a="http://schemas.openxmlformats.org/drawingml/2006/main" w="28575" cap="rnd">
              <a:solidFill>
                <a:schemeClr val="accent3">
                  <a:lumMod val="60000"/>
                </a:schemeClr>
              </a:solidFill>
              <a:prstDash val="solid"/>
              <a:round/>
            </a:ln>
          </spPr>
          <marker>
            <symbol val="none"/>
            <spPr>
              <a:ln xmlns:a="http://schemas.openxmlformats.org/drawingml/2006/main">
                <a:prstDash val="solid"/>
              </a:ln>
            </spPr>
          </marker>
          <cat>
            <numRef>
              <f>Details!$A$6:$A$307</f>
              <numCache>
                <formatCode>m/d/yy</formatCode>
                <ptCount val="302"/>
                <pt idx="0">
                  <v>35612</v>
                </pt>
                <pt idx="1">
                  <v>35643</v>
                </pt>
                <pt idx="2">
                  <v>35674</v>
                </pt>
                <pt idx="3">
                  <v>35704</v>
                </pt>
                <pt idx="4">
                  <v>35735</v>
                </pt>
                <pt idx="5">
                  <v>35765</v>
                </pt>
                <pt idx="6">
                  <v>35796</v>
                </pt>
                <pt idx="7">
                  <v>35827</v>
                </pt>
                <pt idx="8">
                  <v>35855</v>
                </pt>
                <pt idx="9">
                  <v>35886</v>
                </pt>
                <pt idx="10">
                  <v>35916</v>
                </pt>
                <pt idx="11">
                  <v>35947</v>
                </pt>
                <pt idx="12">
                  <v>35977</v>
                </pt>
                <pt idx="13">
                  <v>36008</v>
                </pt>
                <pt idx="14">
                  <v>36039</v>
                </pt>
                <pt idx="15">
                  <v>36069</v>
                </pt>
                <pt idx="16">
                  <v>36100</v>
                </pt>
                <pt idx="17">
                  <v>36130</v>
                </pt>
                <pt idx="18">
                  <v>36161</v>
                </pt>
                <pt idx="19">
                  <v>36192</v>
                </pt>
                <pt idx="20">
                  <v>36220</v>
                </pt>
                <pt idx="21">
                  <v>36251</v>
                </pt>
                <pt idx="22">
                  <v>36281</v>
                </pt>
                <pt idx="23">
                  <v>36312</v>
                </pt>
                <pt idx="24">
                  <v>36342</v>
                </pt>
                <pt idx="25">
                  <v>36373</v>
                </pt>
                <pt idx="26">
                  <v>36404</v>
                </pt>
                <pt idx="27">
                  <v>36434</v>
                </pt>
                <pt idx="28">
                  <v>36465</v>
                </pt>
                <pt idx="29">
                  <v>36495</v>
                </pt>
                <pt idx="30">
                  <v>36526</v>
                </pt>
                <pt idx="31">
                  <v>36557</v>
                </pt>
                <pt idx="32">
                  <v>36586</v>
                </pt>
                <pt idx="33">
                  <v>36617</v>
                </pt>
                <pt idx="34">
                  <v>36647</v>
                </pt>
                <pt idx="35">
                  <v>36678</v>
                </pt>
                <pt idx="36">
                  <v>36708</v>
                </pt>
                <pt idx="37">
                  <v>36739</v>
                </pt>
                <pt idx="38">
                  <v>36770</v>
                </pt>
                <pt idx="39">
                  <v>36800</v>
                </pt>
                <pt idx="40">
                  <v>36831</v>
                </pt>
                <pt idx="41">
                  <v>36861</v>
                </pt>
                <pt idx="42">
                  <v>36892</v>
                </pt>
                <pt idx="43">
                  <v>36923</v>
                </pt>
                <pt idx="44">
                  <v>36951</v>
                </pt>
                <pt idx="45">
                  <v>36982</v>
                </pt>
                <pt idx="46">
                  <v>37012</v>
                </pt>
                <pt idx="47">
                  <v>37043</v>
                </pt>
                <pt idx="48">
                  <v>37073</v>
                </pt>
                <pt idx="49">
                  <v>37104</v>
                </pt>
                <pt idx="50">
                  <v>37135</v>
                </pt>
                <pt idx="51">
                  <v>37165</v>
                </pt>
                <pt idx="52">
                  <v>37196</v>
                </pt>
                <pt idx="53">
                  <v>37226</v>
                </pt>
                <pt idx="54">
                  <v>37257</v>
                </pt>
                <pt idx="55">
                  <v>37288</v>
                </pt>
                <pt idx="56">
                  <v>37316</v>
                </pt>
                <pt idx="57">
                  <v>37347</v>
                </pt>
                <pt idx="58">
                  <v>37377</v>
                </pt>
                <pt idx="59">
                  <v>37408</v>
                </pt>
                <pt idx="60">
                  <v>37438</v>
                </pt>
                <pt idx="61">
                  <v>37469</v>
                </pt>
                <pt idx="62">
                  <v>37500</v>
                </pt>
                <pt idx="63">
                  <v>37530</v>
                </pt>
                <pt idx="64">
                  <v>37561</v>
                </pt>
                <pt idx="65">
                  <v>37591</v>
                </pt>
                <pt idx="66">
                  <v>37622</v>
                </pt>
                <pt idx="67">
                  <v>37653</v>
                </pt>
                <pt idx="68">
                  <v>37681</v>
                </pt>
                <pt idx="69">
                  <v>37712</v>
                </pt>
                <pt idx="70">
                  <v>37742</v>
                </pt>
                <pt idx="71">
                  <v>37773</v>
                </pt>
                <pt idx="72">
                  <v>37803</v>
                </pt>
                <pt idx="73">
                  <v>37834</v>
                </pt>
                <pt idx="74">
                  <v>37865</v>
                </pt>
                <pt idx="75">
                  <v>37895</v>
                </pt>
                <pt idx="76">
                  <v>37926</v>
                </pt>
                <pt idx="77">
                  <v>37956</v>
                </pt>
                <pt idx="78">
                  <v>37987</v>
                </pt>
                <pt idx="79">
                  <v>38018</v>
                </pt>
                <pt idx="80">
                  <v>38047</v>
                </pt>
                <pt idx="81">
                  <v>38078</v>
                </pt>
                <pt idx="82">
                  <v>38108</v>
                </pt>
                <pt idx="83">
                  <v>38139</v>
                </pt>
                <pt idx="84">
                  <v>38169</v>
                </pt>
                <pt idx="85">
                  <v>38200</v>
                </pt>
                <pt idx="86">
                  <v>38231</v>
                </pt>
                <pt idx="87">
                  <v>38261</v>
                </pt>
                <pt idx="88">
                  <v>38292</v>
                </pt>
                <pt idx="89">
                  <v>38322</v>
                </pt>
                <pt idx="90">
                  <v>38353</v>
                </pt>
                <pt idx="91">
                  <v>38384</v>
                </pt>
                <pt idx="92">
                  <v>38412</v>
                </pt>
                <pt idx="93">
                  <v>38443</v>
                </pt>
                <pt idx="94">
                  <v>38473</v>
                </pt>
                <pt idx="95">
                  <v>38504</v>
                </pt>
                <pt idx="96">
                  <v>38534</v>
                </pt>
                <pt idx="97">
                  <v>38565</v>
                </pt>
                <pt idx="98">
                  <v>38596</v>
                </pt>
                <pt idx="99">
                  <v>38626</v>
                </pt>
                <pt idx="100">
                  <v>38657</v>
                </pt>
                <pt idx="101">
                  <v>38687</v>
                </pt>
                <pt idx="102">
                  <v>38718</v>
                </pt>
                <pt idx="103">
                  <v>38749</v>
                </pt>
                <pt idx="104">
                  <v>38777</v>
                </pt>
                <pt idx="105">
                  <v>38808</v>
                </pt>
                <pt idx="106">
                  <v>38838</v>
                </pt>
                <pt idx="107">
                  <v>38869</v>
                </pt>
                <pt idx="108">
                  <v>38899</v>
                </pt>
                <pt idx="109">
                  <v>38930</v>
                </pt>
                <pt idx="110">
                  <v>38961</v>
                </pt>
                <pt idx="111">
                  <v>38991</v>
                </pt>
                <pt idx="112">
                  <v>39022</v>
                </pt>
                <pt idx="113">
                  <v>39052</v>
                </pt>
                <pt idx="114">
                  <v>39083</v>
                </pt>
                <pt idx="115">
                  <v>39114</v>
                </pt>
                <pt idx="116">
                  <v>39142</v>
                </pt>
                <pt idx="117">
                  <v>39173</v>
                </pt>
                <pt idx="118">
                  <v>39203</v>
                </pt>
                <pt idx="119">
                  <v>39234</v>
                </pt>
                <pt idx="120">
                  <v>39264</v>
                </pt>
                <pt idx="121">
                  <v>39295</v>
                </pt>
                <pt idx="122">
                  <v>39326</v>
                </pt>
                <pt idx="123">
                  <v>39356</v>
                </pt>
                <pt idx="124">
                  <v>39387</v>
                </pt>
                <pt idx="125">
                  <v>39417</v>
                </pt>
                <pt idx="126">
                  <v>39448</v>
                </pt>
                <pt idx="127">
                  <v>39479</v>
                </pt>
                <pt idx="128">
                  <v>39508</v>
                </pt>
                <pt idx="129">
                  <v>39539</v>
                </pt>
                <pt idx="130">
                  <v>39569</v>
                </pt>
                <pt idx="131">
                  <v>39600</v>
                </pt>
                <pt idx="132">
                  <v>39630</v>
                </pt>
                <pt idx="133">
                  <v>39661</v>
                </pt>
                <pt idx="134">
                  <v>39692</v>
                </pt>
                <pt idx="135">
                  <v>39722</v>
                </pt>
                <pt idx="136">
                  <v>39753</v>
                </pt>
                <pt idx="137">
                  <v>39783</v>
                </pt>
                <pt idx="138">
                  <v>39814</v>
                </pt>
                <pt idx="139">
                  <v>39845</v>
                </pt>
                <pt idx="140">
                  <v>39873</v>
                </pt>
                <pt idx="141">
                  <v>39904</v>
                </pt>
                <pt idx="142">
                  <v>39934</v>
                </pt>
                <pt idx="143">
                  <v>39965</v>
                </pt>
                <pt idx="144">
                  <v>39995</v>
                </pt>
                <pt idx="145">
                  <v>40026</v>
                </pt>
                <pt idx="146">
                  <v>40057</v>
                </pt>
                <pt idx="147">
                  <v>40087</v>
                </pt>
                <pt idx="148">
                  <v>40118</v>
                </pt>
                <pt idx="149">
                  <v>40148</v>
                </pt>
                <pt idx="150">
                  <v>40179</v>
                </pt>
                <pt idx="151">
                  <v>40210</v>
                </pt>
                <pt idx="152">
                  <v>40238</v>
                </pt>
                <pt idx="153">
                  <v>40269</v>
                </pt>
                <pt idx="154">
                  <v>40299</v>
                </pt>
                <pt idx="155">
                  <v>40330</v>
                </pt>
                <pt idx="156">
                  <v>40360</v>
                </pt>
                <pt idx="157">
                  <v>40391</v>
                </pt>
                <pt idx="158">
                  <v>40422</v>
                </pt>
                <pt idx="159">
                  <v>40452</v>
                </pt>
                <pt idx="160">
                  <v>40483</v>
                </pt>
                <pt idx="161">
                  <v>40513</v>
                </pt>
                <pt idx="162">
                  <v>40544</v>
                </pt>
                <pt idx="163">
                  <v>40575</v>
                </pt>
                <pt idx="164">
                  <v>40603</v>
                </pt>
                <pt idx="165">
                  <v>40634</v>
                </pt>
                <pt idx="166">
                  <v>40664</v>
                </pt>
                <pt idx="167">
                  <v>40695</v>
                </pt>
                <pt idx="168">
                  <v>40725</v>
                </pt>
                <pt idx="169">
                  <v>40756</v>
                </pt>
                <pt idx="170">
                  <v>40787</v>
                </pt>
                <pt idx="171">
                  <v>40817</v>
                </pt>
                <pt idx="172">
                  <v>40848</v>
                </pt>
                <pt idx="173">
                  <v>40878</v>
                </pt>
                <pt idx="174">
                  <v>40909</v>
                </pt>
                <pt idx="175">
                  <v>40940</v>
                </pt>
                <pt idx="176">
                  <v>40969</v>
                </pt>
                <pt idx="177">
                  <v>41000</v>
                </pt>
                <pt idx="178">
                  <v>41030</v>
                </pt>
                <pt idx="179">
                  <v>41061</v>
                </pt>
                <pt idx="180">
                  <v>41091</v>
                </pt>
                <pt idx="181">
                  <v>41122</v>
                </pt>
                <pt idx="182">
                  <v>41153</v>
                </pt>
                <pt idx="183">
                  <v>41183</v>
                </pt>
                <pt idx="184">
                  <v>41214</v>
                </pt>
                <pt idx="185">
                  <v>41244</v>
                </pt>
                <pt idx="186">
                  <v>41275</v>
                </pt>
                <pt idx="187">
                  <v>41306</v>
                </pt>
                <pt idx="188">
                  <v>41334</v>
                </pt>
                <pt idx="189">
                  <v>41365</v>
                </pt>
                <pt idx="190">
                  <v>41395</v>
                </pt>
                <pt idx="191">
                  <v>41426</v>
                </pt>
                <pt idx="192">
                  <v>41456</v>
                </pt>
                <pt idx="193">
                  <v>41487</v>
                </pt>
                <pt idx="194">
                  <v>41518</v>
                </pt>
                <pt idx="195">
                  <v>41548</v>
                </pt>
                <pt idx="196">
                  <v>41579</v>
                </pt>
                <pt idx="197">
                  <v>41609</v>
                </pt>
                <pt idx="198">
                  <v>41640</v>
                </pt>
                <pt idx="199">
                  <v>41671</v>
                </pt>
                <pt idx="200">
                  <v>41699</v>
                </pt>
                <pt idx="201">
                  <v>41730</v>
                </pt>
                <pt idx="202">
                  <v>41760</v>
                </pt>
                <pt idx="203">
                  <v>41791</v>
                </pt>
                <pt idx="204">
                  <v>41821</v>
                </pt>
                <pt idx="205">
                  <v>41852</v>
                </pt>
                <pt idx="206">
                  <v>41883</v>
                </pt>
                <pt idx="207">
                  <v>41913</v>
                </pt>
                <pt idx="208">
                  <v>41944</v>
                </pt>
                <pt idx="209">
                  <v>41974</v>
                </pt>
                <pt idx="210">
                  <v>42005</v>
                </pt>
                <pt idx="211">
                  <v>42036</v>
                </pt>
                <pt idx="212">
                  <v>42064</v>
                </pt>
                <pt idx="213">
                  <v>42095</v>
                </pt>
                <pt idx="214">
                  <v>42125</v>
                </pt>
                <pt idx="215">
                  <v>42156</v>
                </pt>
                <pt idx="216">
                  <v>42186</v>
                </pt>
                <pt idx="217">
                  <v>42217</v>
                </pt>
                <pt idx="218">
                  <v>42248</v>
                </pt>
                <pt idx="219">
                  <v>42278</v>
                </pt>
                <pt idx="220">
                  <v>42309</v>
                </pt>
                <pt idx="221">
                  <v>42339</v>
                </pt>
                <pt idx="222">
                  <v>42370</v>
                </pt>
                <pt idx="223">
                  <v>42401</v>
                </pt>
                <pt idx="224">
                  <v>42430</v>
                </pt>
                <pt idx="225">
                  <v>42461</v>
                </pt>
                <pt idx="226">
                  <v>42491</v>
                </pt>
                <pt idx="227">
                  <v>42522</v>
                </pt>
                <pt idx="228">
                  <v>42552</v>
                </pt>
                <pt idx="229">
                  <v>42583</v>
                </pt>
                <pt idx="230">
                  <v>42614</v>
                </pt>
                <pt idx="231">
                  <v>42644</v>
                </pt>
                <pt idx="232">
                  <v>42675</v>
                </pt>
                <pt idx="233">
                  <v>42705</v>
                </pt>
                <pt idx="234">
                  <v>42736</v>
                </pt>
                <pt idx="235">
                  <v>42767</v>
                </pt>
                <pt idx="236">
                  <v>42795</v>
                </pt>
                <pt idx="237">
                  <v>42826</v>
                </pt>
                <pt idx="238">
                  <v>42856</v>
                </pt>
                <pt idx="239">
                  <v>42887</v>
                </pt>
                <pt idx="240">
                  <v>42917</v>
                </pt>
                <pt idx="241">
                  <v>42948</v>
                </pt>
                <pt idx="242">
                  <v>42979</v>
                </pt>
                <pt idx="243">
                  <v>43009</v>
                </pt>
                <pt idx="244">
                  <v>43040</v>
                </pt>
                <pt idx="245">
                  <v>43070</v>
                </pt>
                <pt idx="246">
                  <v>43101</v>
                </pt>
                <pt idx="247">
                  <v>43132</v>
                </pt>
                <pt idx="248">
                  <v>43160</v>
                </pt>
                <pt idx="249">
                  <v>43191</v>
                </pt>
                <pt idx="250">
                  <v>43221</v>
                </pt>
                <pt idx="251">
                  <v>43252</v>
                </pt>
                <pt idx="252">
                  <v>43282</v>
                </pt>
                <pt idx="253">
                  <v>43313</v>
                </pt>
                <pt idx="254">
                  <v>43344</v>
                </pt>
                <pt idx="255">
                  <v>43374</v>
                </pt>
                <pt idx="256">
                  <v>43405</v>
                </pt>
                <pt idx="257">
                  <v>43435</v>
                </pt>
                <pt idx="258">
                  <v>43466</v>
                </pt>
                <pt idx="259">
                  <v>43497</v>
                </pt>
                <pt idx="260">
                  <v>43525</v>
                </pt>
                <pt idx="261">
                  <v>43556</v>
                </pt>
                <pt idx="262">
                  <v>43586</v>
                </pt>
                <pt idx="263">
                  <v>43617</v>
                </pt>
                <pt idx="264">
                  <v>43647</v>
                </pt>
                <pt idx="265">
                  <v>43678</v>
                </pt>
                <pt idx="266">
                  <v>43709</v>
                </pt>
                <pt idx="267">
                  <v>43739</v>
                </pt>
                <pt idx="268">
                  <v>43770</v>
                </pt>
                <pt idx="269">
                  <v>43800</v>
                </pt>
                <pt idx="270">
                  <v>43831</v>
                </pt>
                <pt idx="271">
                  <v>43862</v>
                </pt>
                <pt idx="272">
                  <v>43891</v>
                </pt>
                <pt idx="273">
                  <v>43922</v>
                </pt>
                <pt idx="274">
                  <v>43952</v>
                </pt>
                <pt idx="275">
                  <v>43983</v>
                </pt>
                <pt idx="276">
                  <v>44013</v>
                </pt>
                <pt idx="277">
                  <v>44044</v>
                </pt>
                <pt idx="278">
                  <v>44075</v>
                </pt>
                <pt idx="279">
                  <v>44105</v>
                </pt>
                <pt idx="280">
                  <v>44136</v>
                </pt>
                <pt idx="281">
                  <v>44166</v>
                </pt>
                <pt idx="282">
                  <v>44197</v>
                </pt>
                <pt idx="283">
                  <v>44228</v>
                </pt>
                <pt idx="284">
                  <v>44256</v>
                </pt>
                <pt idx="285">
                  <v>44287</v>
                </pt>
                <pt idx="286">
                  <v>44317</v>
                </pt>
                <pt idx="287">
                  <v>44348</v>
                </pt>
                <pt idx="288">
                  <v>44378</v>
                </pt>
                <pt idx="289">
                  <v>44409</v>
                </pt>
                <pt idx="290">
                  <v>44440</v>
                </pt>
                <pt idx="291">
                  <v>44470</v>
                </pt>
                <pt idx="292">
                  <v>44501</v>
                </pt>
                <pt idx="293">
                  <v>44531</v>
                </pt>
                <pt idx="294">
                  <v>44562</v>
                </pt>
                <pt idx="295">
                  <v>44593</v>
                </pt>
                <pt idx="296">
                  <v>44621</v>
                </pt>
                <pt idx="297">
                  <v>44652</v>
                </pt>
                <pt idx="298">
                  <v>44682</v>
                </pt>
                <pt idx="299">
                  <v>44713</v>
                </pt>
              </numCache>
            </numRef>
          </cat>
          <val>
            <numRef>
              <f>Details!$J$6:$J$307</f>
              <numCache>
                <formatCode>General</formatCode>
                <ptCount val="302"/>
                <pt idx="0">
                  <v>53.8</v>
                </pt>
                <pt idx="1">
                  <v>53.8</v>
                </pt>
                <pt idx="2">
                  <v>53.2</v>
                </pt>
                <pt idx="3">
                  <v>51</v>
                </pt>
                <pt idx="4">
                  <v>56.7</v>
                </pt>
                <pt idx="5">
                  <v>55</v>
                </pt>
                <pt idx="6">
                  <v>55</v>
                </pt>
                <pt idx="7">
                  <v>54.8</v>
                </pt>
                <pt idx="8">
                  <v>54.1</v>
                </pt>
                <pt idx="9">
                  <v>51.6</v>
                </pt>
                <pt idx="10">
                  <v>52.8</v>
                </pt>
                <pt idx="11">
                  <v>52.5</v>
                </pt>
                <pt idx="12">
                  <v>51.9</v>
                </pt>
                <pt idx="13">
                  <v>52.3</v>
                </pt>
                <pt idx="14">
                  <v>53.7</v>
                </pt>
                <pt idx="15">
                  <v>53.1</v>
                </pt>
                <pt idx="16">
                  <v>52.6</v>
                </pt>
                <pt idx="17">
                  <v>50.9</v>
                </pt>
                <pt idx="18">
                  <v>51.4</v>
                </pt>
                <pt idx="19">
                  <v>52.2</v>
                </pt>
                <pt idx="20">
                  <v>51.1</v>
                </pt>
                <pt idx="21">
                  <v>52</v>
                </pt>
                <pt idx="22">
                  <v>52.9</v>
                </pt>
                <pt idx="23">
                  <v>55.3</v>
                </pt>
                <pt idx="24">
                  <v>53.4</v>
                </pt>
                <pt idx="25">
                  <v>52.3</v>
                </pt>
                <pt idx="26">
                  <v>51.4</v>
                </pt>
                <pt idx="27">
                  <v>51.7</v>
                </pt>
                <pt idx="28">
                  <v>50.6</v>
                </pt>
                <pt idx="29">
                  <v>53</v>
                </pt>
                <pt idx="30">
                  <v>52.3</v>
                </pt>
                <pt idx="31">
                  <v>52.8</v>
                </pt>
                <pt idx="32">
                  <v>55</v>
                </pt>
                <pt idx="33">
                  <v>54.4</v>
                </pt>
                <pt idx="34">
                  <v>53.5</v>
                </pt>
                <pt idx="35">
                  <v>54.4</v>
                </pt>
                <pt idx="36">
                  <v>50.5</v>
                </pt>
                <pt idx="37">
                  <v>54.2</v>
                </pt>
                <pt idx="38">
                  <v>53.5</v>
                </pt>
                <pt idx="39">
                  <v>54.5</v>
                </pt>
                <pt idx="40">
                  <v>54.6</v>
                </pt>
                <pt idx="41">
                  <v>52.4</v>
                </pt>
                <pt idx="42">
                  <v>51.7</v>
                </pt>
                <pt idx="43">
                  <v>50.7</v>
                </pt>
                <pt idx="44">
                  <v>49.6</v>
                </pt>
                <pt idx="45">
                  <v>46.5</v>
                </pt>
                <pt idx="46">
                  <v>46.7</v>
                </pt>
                <pt idx="47">
                  <v>45.6</v>
                </pt>
                <pt idx="48">
                  <v>46.4</v>
                </pt>
                <pt idx="49">
                  <v>45.7</v>
                </pt>
                <pt idx="50">
                  <v>46.4</v>
                </pt>
                <pt idx="51">
                  <v>43.9</v>
                </pt>
                <pt idx="52">
                  <v>44.5</v>
                </pt>
                <pt idx="53">
                  <v>44.6</v>
                </pt>
                <pt idx="54">
                  <v>44.3</v>
                </pt>
                <pt idx="55">
                  <v>43.9</v>
                </pt>
                <pt idx="56">
                  <v>45.8</v>
                </pt>
                <pt idx="57">
                  <v>47.8</v>
                </pt>
                <pt idx="58">
                  <v>49.2</v>
                </pt>
                <pt idx="59">
                  <v>44</v>
                </pt>
                <pt idx="60">
                  <v>46.1</v>
                </pt>
                <pt idx="61">
                  <v>47.2</v>
                </pt>
                <pt idx="62">
                  <v>47.1</v>
                </pt>
                <pt idx="63">
                  <v>46.6</v>
                </pt>
                <pt idx="64">
                  <v>46</v>
                </pt>
                <pt idx="65">
                  <v>47</v>
                </pt>
                <pt idx="66">
                  <v>50.5</v>
                </pt>
                <pt idx="67">
                  <v>48.5</v>
                </pt>
                <pt idx="68">
                  <v>48.1</v>
                </pt>
                <pt idx="69">
                  <v>48.7</v>
                </pt>
                <pt idx="70">
                  <v>48.5</v>
                </pt>
                <pt idx="71">
                  <v>49.3</v>
                </pt>
                <pt idx="72">
                  <v>50.5</v>
                </pt>
                <pt idx="73">
                  <v>51.7</v>
                </pt>
                <pt idx="74">
                  <v>50.1</v>
                </pt>
                <pt idx="75">
                  <v>53</v>
                </pt>
                <pt idx="76">
                  <v>54.4</v>
                </pt>
                <pt idx="77">
                  <v>54</v>
                </pt>
                <pt idx="78">
                  <v>55.143160127253</v>
                </pt>
                <pt idx="79">
                  <v>52.904564315353</v>
                </pt>
                <pt idx="80">
                  <v>53.800592300099</v>
                </pt>
                <pt idx="81">
                  <v>54.6875</v>
                </pt>
                <pt idx="82">
                  <v>54.545454545455</v>
                </pt>
                <pt idx="83">
                  <v>55.555555555556</v>
                </pt>
                <pt idx="84">
                  <v>49.665711556829</v>
                </pt>
                <pt idx="85">
                  <v>53.516819571865</v>
                </pt>
                <pt idx="86">
                  <v>55.325749741468</v>
                </pt>
                <pt idx="87">
                  <v>56.476683937824</v>
                </pt>
                <pt idx="88">
                  <v>54.835493519442</v>
                </pt>
                <pt idx="89">
                  <v>54.711246200608</v>
                </pt>
                <pt idx="90">
                  <v>54.6</v>
                </pt>
                <pt idx="91">
                  <v>59.7</v>
                </pt>
                <pt idx="92">
                  <v>57.2</v>
                </pt>
                <pt idx="93">
                  <v>53.3</v>
                </pt>
                <pt idx="94">
                  <v>51.8</v>
                </pt>
                <pt idx="95">
                  <v>55.8</v>
                </pt>
                <pt idx="96">
                  <v>55.1</v>
                </pt>
                <pt idx="97">
                  <v>60.2</v>
                </pt>
                <pt idx="98">
                  <v>55.4</v>
                </pt>
                <pt idx="99">
                  <v>54.2</v>
                </pt>
                <pt idx="100">
                  <v>56.9</v>
                </pt>
                <pt idx="101">
                  <v>56.4</v>
                </pt>
                <pt idx="102">
                  <v>54.5</v>
                </pt>
                <pt idx="103">
                  <v>58.1</v>
                </pt>
                <pt idx="104">
                  <v>55.1</v>
                </pt>
                <pt idx="105">
                  <v>56.5</v>
                </pt>
                <pt idx="106">
                  <v>54.6</v>
                </pt>
                <pt idx="107">
                  <v>51.2</v>
                </pt>
                <pt idx="108">
                  <v>53.6</v>
                </pt>
                <pt idx="109">
                  <v>52.2</v>
                </pt>
                <pt idx="110">
                  <v>52.9</v>
                </pt>
                <pt idx="111">
                  <v>52.9</v>
                </pt>
                <pt idx="112">
                  <v>52.2</v>
                </pt>
                <pt idx="113">
                  <v>52.7</v>
                </pt>
                <pt idx="114">
                  <v>54.8</v>
                </pt>
                <pt idx="115">
                  <v>52.7</v>
                </pt>
                <pt idx="116">
                  <v>51.9</v>
                </pt>
                <pt idx="117">
                  <v>51.1</v>
                </pt>
                <pt idx="118">
                  <v>52.2</v>
                </pt>
                <pt idx="119">
                  <v>53.3</v>
                </pt>
                <pt idx="120">
                  <v>51.1</v>
                </pt>
                <pt idx="121">
                  <v>48.3</v>
                </pt>
                <pt idx="122">
                  <v>52.5</v>
                </pt>
                <pt idx="123">
                  <v>53.6</v>
                </pt>
                <pt idx="124">
                  <v>51.6</v>
                </pt>
                <pt idx="125">
                  <v>51.8</v>
                </pt>
                <pt idx="126">
                  <v>45.7</v>
                </pt>
                <pt idx="127">
                  <v>47.3</v>
                </pt>
                <pt idx="128">
                  <v>47.4</v>
                </pt>
                <pt idx="129">
                  <v>49.7</v>
                </pt>
                <pt idx="130">
                  <v>47.2</v>
                </pt>
                <pt idx="131">
                  <v>43.4</v>
                </pt>
                <pt idx="132">
                  <v>46.3</v>
                </pt>
                <pt idx="133">
                  <v>45.2</v>
                </pt>
                <pt idx="134">
                  <v>44.3</v>
                </pt>
                <pt idx="135">
                  <v>42.8</v>
                </pt>
                <pt idx="136">
                  <v>31.5</v>
                </pt>
                <pt idx="137">
                  <v>34.9</v>
                </pt>
                <pt idx="138">
                  <v>36.2</v>
                </pt>
                <pt idx="139">
                  <v>37</v>
                </pt>
                <pt idx="140">
                  <v>31.9</v>
                </pt>
                <pt idx="141">
                  <v>36.3</v>
                </pt>
                <pt idx="142">
                  <v>37.9</v>
                </pt>
                <pt idx="143">
                  <v>41.5</v>
                </pt>
                <pt idx="144">
                  <v>41.3</v>
                </pt>
                <pt idx="145">
                  <v>43.4</v>
                </pt>
                <pt idx="146">
                  <v>44.7</v>
                </pt>
                <pt idx="147">
                  <v>42.6</v>
                </pt>
                <pt idx="148">
                  <v>42.8</v>
                </pt>
                <pt idx="149">
                  <v>44.6</v>
                </pt>
                <pt idx="150">
                  <v>44.8</v>
                </pt>
                <pt idx="151">
                  <v>46</v>
                </pt>
                <pt idx="152">
                  <v>47.4</v>
                </pt>
                <pt idx="153">
                  <v>49.3</v>
                </pt>
                <pt idx="154">
                  <v>49.6</v>
                </pt>
                <pt idx="155">
                  <v>48.5</v>
                </pt>
                <pt idx="156">
                  <v>50.7</v>
                </pt>
                <pt idx="157">
                  <v>48.9</v>
                </pt>
                <pt idx="158">
                  <v>51.5</v>
                </pt>
                <pt idx="159">
                  <v>52.1</v>
                </pt>
                <pt idx="160">
                  <v>56.6</v>
                </pt>
                <pt idx="161">
                  <v>52.2</v>
                </pt>
                <pt idx="162">
                  <v>52.1</v>
                </pt>
                <pt idx="163">
                  <v>53.6</v>
                </pt>
                <pt idx="164">
                  <v>52.9</v>
                </pt>
                <pt idx="165">
                  <v>53.6</v>
                </pt>
                <pt idx="166">
                  <v>54.4</v>
                </pt>
                <pt idx="167">
                  <v>52.9</v>
                </pt>
                <pt idx="168">
                  <v>53.3</v>
                </pt>
                <pt idx="169">
                  <v>51.9</v>
                </pt>
                <pt idx="170">
                  <v>49.4</v>
                </pt>
                <pt idx="171">
                  <v>52.3</v>
                </pt>
                <pt idx="172">
                  <v>53.1</v>
                </pt>
                <pt idx="173">
                  <v>49</v>
                </pt>
                <pt idx="174">
                  <v>54.9</v>
                </pt>
                <pt idx="175">
                  <v>53.2</v>
                </pt>
                <pt idx="176">
                  <v>55.2</v>
                </pt>
                <pt idx="177">
                  <v>54.5</v>
                </pt>
                <pt idx="178">
                  <v>51.9</v>
                </pt>
                <pt idx="179">
                  <v>52.5</v>
                </pt>
                <pt idx="180">
                  <v>50.3</v>
                </pt>
                <pt idx="181">
                  <v>53.3</v>
                </pt>
                <pt idx="182">
                  <v>53.2</v>
                </pt>
                <pt idx="183">
                  <v>54.7</v>
                </pt>
                <pt idx="184">
                  <v>53.3</v>
                </pt>
                <pt idx="185">
                  <v>55.2</v>
                </pt>
                <pt idx="186">
                  <v>55.6</v>
                </pt>
                <pt idx="187">
                  <v>55.5</v>
                </pt>
                <pt idx="188">
                  <v>53.2</v>
                </pt>
                <pt idx="189">
                  <v>52.6</v>
                </pt>
                <pt idx="190">
                  <v>50.3</v>
                </pt>
                <pt idx="191">
                  <v>54.9</v>
                </pt>
                <pt idx="192">
                  <v>53.9</v>
                </pt>
                <pt idx="193">
                  <v>56.3</v>
                </pt>
                <pt idx="194">
                  <v>54.1</v>
                </pt>
                <pt idx="195">
                  <v>56</v>
                </pt>
                <pt idx="196">
                  <v>54.5</v>
                </pt>
                <pt idx="197">
                  <v>55.6</v>
                </pt>
                <pt idx="198">
                  <v>56.4</v>
                </pt>
                <pt idx="199">
                  <v>47.5</v>
                </pt>
                <pt idx="200">
                  <v>53.6</v>
                </pt>
                <pt idx="201">
                  <v>51.3</v>
                </pt>
                <pt idx="202">
                  <v>52.4</v>
                </pt>
                <pt idx="203">
                  <v>54.4</v>
                </pt>
                <pt idx="204">
                  <v>56</v>
                </pt>
                <pt idx="205">
                  <v>57.1</v>
                </pt>
                <pt idx="206">
                  <v>58.5</v>
                </pt>
                <pt idx="207">
                  <v>59.6</v>
                </pt>
                <pt idx="208">
                  <v>56.7</v>
                </pt>
                <pt idx="209">
                  <v>56</v>
                </pt>
                <pt idx="210">
                  <v>51.6</v>
                </pt>
                <pt idx="211">
                  <v>56.4</v>
                </pt>
                <pt idx="212">
                  <v>56.6</v>
                </pt>
                <pt idx="213">
                  <v>56.7</v>
                </pt>
                <pt idx="214">
                  <v>55.3</v>
                </pt>
                <pt idx="215">
                  <v>52.7</v>
                </pt>
                <pt idx="216">
                  <v>59.6</v>
                </pt>
                <pt idx="217">
                  <v>56</v>
                </pt>
                <pt idx="218">
                  <v>58.3</v>
                </pt>
                <pt idx="219">
                  <v>59.2</v>
                </pt>
                <pt idx="220">
                  <v>55</v>
                </pt>
                <pt idx="221">
                  <v>55.7</v>
                </pt>
                <pt idx="222">
                  <v>52.1</v>
                </pt>
                <pt idx="223">
                  <v>49.7</v>
                </pt>
                <pt idx="224">
                  <v>50.3</v>
                </pt>
                <pt idx="225">
                  <v>53</v>
                </pt>
                <pt idx="226">
                  <v>49.7</v>
                </pt>
                <pt idx="227">
                  <v>52.7</v>
                </pt>
                <pt idx="228">
                  <v>51.4</v>
                </pt>
                <pt idx="229">
                  <v>50.7</v>
                </pt>
                <pt idx="230">
                  <v>57.2</v>
                </pt>
                <pt idx="231">
                  <v>53.1</v>
                </pt>
                <pt idx="232">
                  <v>58.2</v>
                </pt>
                <pt idx="233">
                  <v>53.8</v>
                </pt>
                <pt idx="234">
                  <v>54.7</v>
                </pt>
                <pt idx="235">
                  <v>55.2</v>
                </pt>
                <pt idx="236">
                  <v>51.6</v>
                </pt>
                <pt idx="237">
                  <v>51.4</v>
                </pt>
                <pt idx="238">
                  <v>57.8</v>
                </pt>
                <pt idx="239">
                  <v>55.8</v>
                </pt>
                <pt idx="240">
                  <v>53.6</v>
                </pt>
                <pt idx="241">
                  <v>56.2</v>
                </pt>
                <pt idx="242">
                  <v>56.8</v>
                </pt>
                <pt idx="243">
                  <v>57.5</v>
                </pt>
                <pt idx="244">
                  <v>55.3</v>
                </pt>
                <pt idx="245">
                  <v>56.3</v>
                </pt>
                <pt idx="246">
                  <v>61.6</v>
                </pt>
                <pt idx="247">
                  <v>55</v>
                </pt>
                <pt idx="248">
                  <v>56.6</v>
                </pt>
                <pt idx="249">
                  <v>53.6</v>
                </pt>
                <pt idx="250">
                  <v>54.1</v>
                </pt>
                <pt idx="251">
                  <v>53.6</v>
                </pt>
                <pt idx="252">
                  <v>56.1</v>
                </pt>
                <pt idx="253">
                  <v>56.7</v>
                </pt>
                <pt idx="254">
                  <v>62.4</v>
                </pt>
                <pt idx="255">
                  <v>59.7</v>
                </pt>
                <pt idx="256">
                  <v>58.4</v>
                </pt>
                <pt idx="257">
                  <v>56.3</v>
                </pt>
                <pt idx="258">
                  <v>57.8</v>
                </pt>
                <pt idx="259">
                  <v>55.2</v>
                </pt>
                <pt idx="260">
                  <v>55.9</v>
                </pt>
                <pt idx="261">
                  <v>53.7</v>
                </pt>
                <pt idx="262">
                  <v>58.1</v>
                </pt>
                <pt idx="263">
                  <v>55</v>
                </pt>
                <pt idx="264">
                  <v>56.2</v>
                </pt>
                <pt idx="265">
                  <v>53.1</v>
                </pt>
                <pt idx="266">
                  <v>50.4</v>
                </pt>
                <pt idx="267">
                  <v>53.7</v>
                </pt>
                <pt idx="268">
                  <v>55.5</v>
                </pt>
                <pt idx="269">
                  <v>55.2</v>
                </pt>
                <pt idx="270">
                  <v>53.1</v>
                </pt>
                <pt idx="271">
                  <v>55.6</v>
                </pt>
                <pt idx="272">
                  <v>47</v>
                </pt>
                <pt idx="273">
                  <v>30</v>
                </pt>
                <pt idx="274">
                  <v>31.8</v>
                </pt>
                <pt idx="275">
                  <v>43.1</v>
                </pt>
                <pt idx="276">
                  <v>42.1</v>
                </pt>
                <pt idx="277">
                  <v>47.9</v>
                </pt>
                <pt idx="278">
                  <v>51.8</v>
                </pt>
                <pt idx="279">
                  <v>50.1</v>
                </pt>
                <pt idx="280">
                  <v>51.5</v>
                </pt>
                <pt idx="281">
                  <v>48.2</v>
                </pt>
                <pt idx="282">
                  <v>55.2</v>
                </pt>
                <pt idx="283">
                  <v>52.7</v>
                </pt>
                <pt idx="284">
                  <v>57.2</v>
                </pt>
                <pt idx="285">
                  <v>58.8</v>
                </pt>
                <pt idx="286">
                  <v>55.3</v>
                </pt>
                <pt idx="287">
                  <v>49.3</v>
                </pt>
                <pt idx="288">
                  <v>53.8</v>
                </pt>
                <pt idx="289">
                  <v>53.7</v>
                </pt>
                <pt idx="290">
                  <v>53</v>
                </pt>
                <pt idx="291">
                  <v>51.6</v>
                </pt>
                <pt idx="292">
                  <v>56.5</v>
                </pt>
                <pt idx="293">
                  <v>54.9</v>
                </pt>
                <pt idx="294">
                  <v>52.3</v>
                </pt>
                <pt idx="295">
                  <v>48.5</v>
                </pt>
                <pt idx="296">
                  <v>54</v>
                </pt>
                <pt idx="297">
                  <v>49.5</v>
                </pt>
                <pt idx="298">
                  <v>50.2</v>
                </pt>
                <pt idx="299">
                  <v>47.4</v>
                </pt>
              </numCache>
            </numRef>
          </val>
          <smooth val="0"/>
        </ser>
        <dLbls>
          <showLegendKey val="0"/>
          <showVal val="0"/>
          <showCatName val="0"/>
          <showSerName val="0"/>
          <showPercent val="0"/>
          <showBubbleSize val="0"/>
        </dLbls>
        <smooth val="0"/>
        <axId val="946929536"/>
        <axId val="946929864"/>
      </lineChart>
      <dateAx>
        <axId val="946929536"/>
        <scaling>
          <orientation val="minMax"/>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864"/>
        <crosses val="autoZero"/>
        <lblOffset val="100"/>
        <baseTimeUnit val="months"/>
      </dateAx>
      <valAx>
        <axId val="946929864"/>
        <scaling>
          <orientation val="minMax"/>
          <min val="3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536"/>
        <crosses val="autoZero"/>
        <crossBetween val="between"/>
      </valAx>
    </plotArea>
    <plotVisOnly val="1"/>
    <dispBlanksAs val="gap"/>
  </chart>
</chartSpace>
</file>

<file path=xl/charts/chart74.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Employment</a:t>
            </a:r>
          </a:p>
        </rich>
      </tx>
      <overlay val="0"/>
      <spPr>
        <a:noFill xmlns:a="http://schemas.openxmlformats.org/drawingml/2006/main"/>
        <a:ln xmlns:a="http://schemas.openxmlformats.org/drawingml/2006/main">
          <a:noFill/>
          <a:prstDash val="solid"/>
        </a:ln>
      </spPr>
    </title>
    <plotArea>
      <layout/>
      <lineChart>
        <grouping val="standard"/>
        <varyColors val="0"/>
        <ser>
          <idx val="8"/>
          <order val="0"/>
          <tx>
            <strRef>
              <f>Details!$J$5</f>
              <strCache>
                <ptCount val="1"/>
                <pt idx="0">
                  <v>Employment</v>
                </pt>
              </strCache>
            </strRef>
          </tx>
          <spPr>
            <a:ln xmlns:a="http://schemas.openxmlformats.org/drawingml/2006/main" w="28575" cap="rnd">
              <a:solidFill>
                <a:schemeClr val="accent3">
                  <a:lumMod val="60000"/>
                </a:schemeClr>
              </a:solidFill>
              <a:prstDash val="solid"/>
              <a:round/>
            </a:ln>
          </spPr>
          <marker>
            <symbol val="none"/>
            <spPr>
              <a:ln xmlns:a="http://schemas.openxmlformats.org/drawingml/2006/main">
                <a:prstDash val="solid"/>
              </a:ln>
            </spPr>
          </marker>
          <cat>
            <numRef>
              <f>Details!$A$6:$A$307</f>
              <numCache>
                <formatCode>m/d/yy</formatCode>
                <ptCount val="302"/>
                <pt idx="0">
                  <v>35612</v>
                </pt>
                <pt idx="1">
                  <v>35643</v>
                </pt>
                <pt idx="2">
                  <v>35674</v>
                </pt>
                <pt idx="3">
                  <v>35704</v>
                </pt>
                <pt idx="4">
                  <v>35735</v>
                </pt>
                <pt idx="5">
                  <v>35765</v>
                </pt>
                <pt idx="6">
                  <v>35796</v>
                </pt>
                <pt idx="7">
                  <v>35827</v>
                </pt>
                <pt idx="8">
                  <v>35855</v>
                </pt>
                <pt idx="9">
                  <v>35886</v>
                </pt>
                <pt idx="10">
                  <v>35916</v>
                </pt>
                <pt idx="11">
                  <v>35947</v>
                </pt>
                <pt idx="12">
                  <v>35977</v>
                </pt>
                <pt idx="13">
                  <v>36008</v>
                </pt>
                <pt idx="14">
                  <v>36039</v>
                </pt>
                <pt idx="15">
                  <v>36069</v>
                </pt>
                <pt idx="16">
                  <v>36100</v>
                </pt>
                <pt idx="17">
                  <v>36130</v>
                </pt>
                <pt idx="18">
                  <v>36161</v>
                </pt>
                <pt idx="19">
                  <v>36192</v>
                </pt>
                <pt idx="20">
                  <v>36220</v>
                </pt>
                <pt idx="21">
                  <v>36251</v>
                </pt>
                <pt idx="22">
                  <v>36281</v>
                </pt>
                <pt idx="23">
                  <v>36312</v>
                </pt>
                <pt idx="24">
                  <v>36342</v>
                </pt>
                <pt idx="25">
                  <v>36373</v>
                </pt>
                <pt idx="26">
                  <v>36404</v>
                </pt>
                <pt idx="27">
                  <v>36434</v>
                </pt>
                <pt idx="28">
                  <v>36465</v>
                </pt>
                <pt idx="29">
                  <v>36495</v>
                </pt>
                <pt idx="30">
                  <v>36526</v>
                </pt>
                <pt idx="31">
                  <v>36557</v>
                </pt>
                <pt idx="32">
                  <v>36586</v>
                </pt>
                <pt idx="33">
                  <v>36617</v>
                </pt>
                <pt idx="34">
                  <v>36647</v>
                </pt>
                <pt idx="35">
                  <v>36678</v>
                </pt>
                <pt idx="36">
                  <v>36708</v>
                </pt>
                <pt idx="37">
                  <v>36739</v>
                </pt>
                <pt idx="38">
                  <v>36770</v>
                </pt>
                <pt idx="39">
                  <v>36800</v>
                </pt>
                <pt idx="40">
                  <v>36831</v>
                </pt>
                <pt idx="41">
                  <v>36861</v>
                </pt>
                <pt idx="42">
                  <v>36892</v>
                </pt>
                <pt idx="43">
                  <v>36923</v>
                </pt>
                <pt idx="44">
                  <v>36951</v>
                </pt>
                <pt idx="45">
                  <v>36982</v>
                </pt>
                <pt idx="46">
                  <v>37012</v>
                </pt>
                <pt idx="47">
                  <v>37043</v>
                </pt>
                <pt idx="48">
                  <v>37073</v>
                </pt>
                <pt idx="49">
                  <v>37104</v>
                </pt>
                <pt idx="50">
                  <v>37135</v>
                </pt>
                <pt idx="51">
                  <v>37165</v>
                </pt>
                <pt idx="52">
                  <v>37196</v>
                </pt>
                <pt idx="53">
                  <v>37226</v>
                </pt>
                <pt idx="54">
                  <v>37257</v>
                </pt>
                <pt idx="55">
                  <v>37288</v>
                </pt>
                <pt idx="56">
                  <v>37316</v>
                </pt>
                <pt idx="57">
                  <v>37347</v>
                </pt>
                <pt idx="58">
                  <v>37377</v>
                </pt>
                <pt idx="59">
                  <v>37408</v>
                </pt>
                <pt idx="60">
                  <v>37438</v>
                </pt>
                <pt idx="61">
                  <v>37469</v>
                </pt>
                <pt idx="62">
                  <v>37500</v>
                </pt>
                <pt idx="63">
                  <v>37530</v>
                </pt>
                <pt idx="64">
                  <v>37561</v>
                </pt>
                <pt idx="65">
                  <v>37591</v>
                </pt>
                <pt idx="66">
                  <v>37622</v>
                </pt>
                <pt idx="67">
                  <v>37653</v>
                </pt>
                <pt idx="68">
                  <v>37681</v>
                </pt>
                <pt idx="69">
                  <v>37712</v>
                </pt>
                <pt idx="70">
                  <v>37742</v>
                </pt>
                <pt idx="71">
                  <v>37773</v>
                </pt>
                <pt idx="72">
                  <v>37803</v>
                </pt>
                <pt idx="73">
                  <v>37834</v>
                </pt>
                <pt idx="74">
                  <v>37865</v>
                </pt>
                <pt idx="75">
                  <v>37895</v>
                </pt>
                <pt idx="76">
                  <v>37926</v>
                </pt>
                <pt idx="77">
                  <v>37956</v>
                </pt>
                <pt idx="78">
                  <v>37987</v>
                </pt>
                <pt idx="79">
                  <v>38018</v>
                </pt>
                <pt idx="80">
                  <v>38047</v>
                </pt>
                <pt idx="81">
                  <v>38078</v>
                </pt>
                <pt idx="82">
                  <v>38108</v>
                </pt>
                <pt idx="83">
                  <v>38139</v>
                </pt>
                <pt idx="84">
                  <v>38169</v>
                </pt>
                <pt idx="85">
                  <v>38200</v>
                </pt>
                <pt idx="86">
                  <v>38231</v>
                </pt>
                <pt idx="87">
                  <v>38261</v>
                </pt>
                <pt idx="88">
                  <v>38292</v>
                </pt>
                <pt idx="89">
                  <v>38322</v>
                </pt>
                <pt idx="90">
                  <v>38353</v>
                </pt>
                <pt idx="91">
                  <v>38384</v>
                </pt>
                <pt idx="92">
                  <v>38412</v>
                </pt>
                <pt idx="93">
                  <v>38443</v>
                </pt>
                <pt idx="94">
                  <v>38473</v>
                </pt>
                <pt idx="95">
                  <v>38504</v>
                </pt>
                <pt idx="96">
                  <v>38534</v>
                </pt>
                <pt idx="97">
                  <v>38565</v>
                </pt>
                <pt idx="98">
                  <v>38596</v>
                </pt>
                <pt idx="99">
                  <v>38626</v>
                </pt>
                <pt idx="100">
                  <v>38657</v>
                </pt>
                <pt idx="101">
                  <v>38687</v>
                </pt>
                <pt idx="102">
                  <v>38718</v>
                </pt>
                <pt idx="103">
                  <v>38749</v>
                </pt>
                <pt idx="104">
                  <v>38777</v>
                </pt>
                <pt idx="105">
                  <v>38808</v>
                </pt>
                <pt idx="106">
                  <v>38838</v>
                </pt>
                <pt idx="107">
                  <v>38869</v>
                </pt>
                <pt idx="108">
                  <v>38899</v>
                </pt>
                <pt idx="109">
                  <v>38930</v>
                </pt>
                <pt idx="110">
                  <v>38961</v>
                </pt>
                <pt idx="111">
                  <v>38991</v>
                </pt>
                <pt idx="112">
                  <v>39022</v>
                </pt>
                <pt idx="113">
                  <v>39052</v>
                </pt>
                <pt idx="114">
                  <v>39083</v>
                </pt>
                <pt idx="115">
                  <v>39114</v>
                </pt>
                <pt idx="116">
                  <v>39142</v>
                </pt>
                <pt idx="117">
                  <v>39173</v>
                </pt>
                <pt idx="118">
                  <v>39203</v>
                </pt>
                <pt idx="119">
                  <v>39234</v>
                </pt>
                <pt idx="120">
                  <v>39264</v>
                </pt>
                <pt idx="121">
                  <v>39295</v>
                </pt>
                <pt idx="122">
                  <v>39326</v>
                </pt>
                <pt idx="123">
                  <v>39356</v>
                </pt>
                <pt idx="124">
                  <v>39387</v>
                </pt>
                <pt idx="125">
                  <v>39417</v>
                </pt>
                <pt idx="126">
                  <v>39448</v>
                </pt>
                <pt idx="127">
                  <v>39479</v>
                </pt>
                <pt idx="128">
                  <v>39508</v>
                </pt>
                <pt idx="129">
                  <v>39539</v>
                </pt>
                <pt idx="130">
                  <v>39569</v>
                </pt>
                <pt idx="131">
                  <v>39600</v>
                </pt>
                <pt idx="132">
                  <v>39630</v>
                </pt>
                <pt idx="133">
                  <v>39661</v>
                </pt>
                <pt idx="134">
                  <v>39692</v>
                </pt>
                <pt idx="135">
                  <v>39722</v>
                </pt>
                <pt idx="136">
                  <v>39753</v>
                </pt>
                <pt idx="137">
                  <v>39783</v>
                </pt>
                <pt idx="138">
                  <v>39814</v>
                </pt>
                <pt idx="139">
                  <v>39845</v>
                </pt>
                <pt idx="140">
                  <v>39873</v>
                </pt>
                <pt idx="141">
                  <v>39904</v>
                </pt>
                <pt idx="142">
                  <v>39934</v>
                </pt>
                <pt idx="143">
                  <v>39965</v>
                </pt>
                <pt idx="144">
                  <v>39995</v>
                </pt>
                <pt idx="145">
                  <v>40026</v>
                </pt>
                <pt idx="146">
                  <v>40057</v>
                </pt>
                <pt idx="147">
                  <v>40087</v>
                </pt>
                <pt idx="148">
                  <v>40118</v>
                </pt>
                <pt idx="149">
                  <v>40148</v>
                </pt>
                <pt idx="150">
                  <v>40179</v>
                </pt>
                <pt idx="151">
                  <v>40210</v>
                </pt>
                <pt idx="152">
                  <v>40238</v>
                </pt>
                <pt idx="153">
                  <v>40269</v>
                </pt>
                <pt idx="154">
                  <v>40299</v>
                </pt>
                <pt idx="155">
                  <v>40330</v>
                </pt>
                <pt idx="156">
                  <v>40360</v>
                </pt>
                <pt idx="157">
                  <v>40391</v>
                </pt>
                <pt idx="158">
                  <v>40422</v>
                </pt>
                <pt idx="159">
                  <v>40452</v>
                </pt>
                <pt idx="160">
                  <v>40483</v>
                </pt>
                <pt idx="161">
                  <v>40513</v>
                </pt>
                <pt idx="162">
                  <v>40544</v>
                </pt>
                <pt idx="163">
                  <v>40575</v>
                </pt>
                <pt idx="164">
                  <v>40603</v>
                </pt>
                <pt idx="165">
                  <v>40634</v>
                </pt>
                <pt idx="166">
                  <v>40664</v>
                </pt>
                <pt idx="167">
                  <v>40695</v>
                </pt>
                <pt idx="168">
                  <v>40725</v>
                </pt>
                <pt idx="169">
                  <v>40756</v>
                </pt>
                <pt idx="170">
                  <v>40787</v>
                </pt>
                <pt idx="171">
                  <v>40817</v>
                </pt>
                <pt idx="172">
                  <v>40848</v>
                </pt>
                <pt idx="173">
                  <v>40878</v>
                </pt>
                <pt idx="174">
                  <v>40909</v>
                </pt>
                <pt idx="175">
                  <v>40940</v>
                </pt>
                <pt idx="176">
                  <v>40969</v>
                </pt>
                <pt idx="177">
                  <v>41000</v>
                </pt>
                <pt idx="178">
                  <v>41030</v>
                </pt>
                <pt idx="179">
                  <v>41061</v>
                </pt>
                <pt idx="180">
                  <v>41091</v>
                </pt>
                <pt idx="181">
                  <v>41122</v>
                </pt>
                <pt idx="182">
                  <v>41153</v>
                </pt>
                <pt idx="183">
                  <v>41183</v>
                </pt>
                <pt idx="184">
                  <v>41214</v>
                </pt>
                <pt idx="185">
                  <v>41244</v>
                </pt>
                <pt idx="186">
                  <v>41275</v>
                </pt>
                <pt idx="187">
                  <v>41306</v>
                </pt>
                <pt idx="188">
                  <v>41334</v>
                </pt>
                <pt idx="189">
                  <v>41365</v>
                </pt>
                <pt idx="190">
                  <v>41395</v>
                </pt>
                <pt idx="191">
                  <v>41426</v>
                </pt>
                <pt idx="192">
                  <v>41456</v>
                </pt>
                <pt idx="193">
                  <v>41487</v>
                </pt>
                <pt idx="194">
                  <v>41518</v>
                </pt>
                <pt idx="195">
                  <v>41548</v>
                </pt>
                <pt idx="196">
                  <v>41579</v>
                </pt>
                <pt idx="197">
                  <v>41609</v>
                </pt>
                <pt idx="198">
                  <v>41640</v>
                </pt>
                <pt idx="199">
                  <v>41671</v>
                </pt>
                <pt idx="200">
                  <v>41699</v>
                </pt>
                <pt idx="201">
                  <v>41730</v>
                </pt>
                <pt idx="202">
                  <v>41760</v>
                </pt>
                <pt idx="203">
                  <v>41791</v>
                </pt>
                <pt idx="204">
                  <v>41821</v>
                </pt>
                <pt idx="205">
                  <v>41852</v>
                </pt>
                <pt idx="206">
                  <v>41883</v>
                </pt>
                <pt idx="207">
                  <v>41913</v>
                </pt>
                <pt idx="208">
                  <v>41944</v>
                </pt>
                <pt idx="209">
                  <v>41974</v>
                </pt>
                <pt idx="210">
                  <v>42005</v>
                </pt>
                <pt idx="211">
                  <v>42036</v>
                </pt>
                <pt idx="212">
                  <v>42064</v>
                </pt>
                <pt idx="213">
                  <v>42095</v>
                </pt>
                <pt idx="214">
                  <v>42125</v>
                </pt>
                <pt idx="215">
                  <v>42156</v>
                </pt>
                <pt idx="216">
                  <v>42186</v>
                </pt>
                <pt idx="217">
                  <v>42217</v>
                </pt>
                <pt idx="218">
                  <v>42248</v>
                </pt>
                <pt idx="219">
                  <v>42278</v>
                </pt>
                <pt idx="220">
                  <v>42309</v>
                </pt>
                <pt idx="221">
                  <v>42339</v>
                </pt>
                <pt idx="222">
                  <v>42370</v>
                </pt>
                <pt idx="223">
                  <v>42401</v>
                </pt>
                <pt idx="224">
                  <v>42430</v>
                </pt>
                <pt idx="225">
                  <v>42461</v>
                </pt>
                <pt idx="226">
                  <v>42491</v>
                </pt>
                <pt idx="227">
                  <v>42522</v>
                </pt>
                <pt idx="228">
                  <v>42552</v>
                </pt>
                <pt idx="229">
                  <v>42583</v>
                </pt>
                <pt idx="230">
                  <v>42614</v>
                </pt>
                <pt idx="231">
                  <v>42644</v>
                </pt>
                <pt idx="232">
                  <v>42675</v>
                </pt>
                <pt idx="233">
                  <v>42705</v>
                </pt>
                <pt idx="234">
                  <v>42736</v>
                </pt>
                <pt idx="235">
                  <v>42767</v>
                </pt>
                <pt idx="236">
                  <v>42795</v>
                </pt>
                <pt idx="237">
                  <v>42826</v>
                </pt>
                <pt idx="238">
                  <v>42856</v>
                </pt>
                <pt idx="239">
                  <v>42887</v>
                </pt>
                <pt idx="240">
                  <v>42917</v>
                </pt>
                <pt idx="241">
                  <v>42948</v>
                </pt>
                <pt idx="242">
                  <v>42979</v>
                </pt>
                <pt idx="243">
                  <v>43009</v>
                </pt>
                <pt idx="244">
                  <v>43040</v>
                </pt>
                <pt idx="245">
                  <v>43070</v>
                </pt>
                <pt idx="246">
                  <v>43101</v>
                </pt>
                <pt idx="247">
                  <v>43132</v>
                </pt>
                <pt idx="248">
                  <v>43160</v>
                </pt>
                <pt idx="249">
                  <v>43191</v>
                </pt>
                <pt idx="250">
                  <v>43221</v>
                </pt>
                <pt idx="251">
                  <v>43252</v>
                </pt>
                <pt idx="252">
                  <v>43282</v>
                </pt>
                <pt idx="253">
                  <v>43313</v>
                </pt>
                <pt idx="254">
                  <v>43344</v>
                </pt>
                <pt idx="255">
                  <v>43374</v>
                </pt>
                <pt idx="256">
                  <v>43405</v>
                </pt>
                <pt idx="257">
                  <v>43435</v>
                </pt>
                <pt idx="258">
                  <v>43466</v>
                </pt>
                <pt idx="259">
                  <v>43497</v>
                </pt>
                <pt idx="260">
                  <v>43525</v>
                </pt>
                <pt idx="261">
                  <v>43556</v>
                </pt>
                <pt idx="262">
                  <v>43586</v>
                </pt>
                <pt idx="263">
                  <v>43617</v>
                </pt>
                <pt idx="264">
                  <v>43647</v>
                </pt>
                <pt idx="265">
                  <v>43678</v>
                </pt>
                <pt idx="266">
                  <v>43709</v>
                </pt>
                <pt idx="267">
                  <v>43739</v>
                </pt>
                <pt idx="268">
                  <v>43770</v>
                </pt>
                <pt idx="269">
                  <v>43800</v>
                </pt>
                <pt idx="270">
                  <v>43831</v>
                </pt>
                <pt idx="271">
                  <v>43862</v>
                </pt>
                <pt idx="272">
                  <v>43891</v>
                </pt>
                <pt idx="273">
                  <v>43922</v>
                </pt>
                <pt idx="274">
                  <v>43952</v>
                </pt>
                <pt idx="275">
                  <v>43983</v>
                </pt>
                <pt idx="276">
                  <v>44013</v>
                </pt>
                <pt idx="277">
                  <v>44044</v>
                </pt>
                <pt idx="278">
                  <v>44075</v>
                </pt>
                <pt idx="279">
                  <v>44105</v>
                </pt>
                <pt idx="280">
                  <v>44136</v>
                </pt>
                <pt idx="281">
                  <v>44166</v>
                </pt>
                <pt idx="282">
                  <v>44197</v>
                </pt>
                <pt idx="283">
                  <v>44228</v>
                </pt>
                <pt idx="284">
                  <v>44256</v>
                </pt>
                <pt idx="285">
                  <v>44287</v>
                </pt>
                <pt idx="286">
                  <v>44317</v>
                </pt>
                <pt idx="287">
                  <v>44348</v>
                </pt>
                <pt idx="288">
                  <v>44378</v>
                </pt>
                <pt idx="289">
                  <v>44409</v>
                </pt>
                <pt idx="290">
                  <v>44440</v>
                </pt>
                <pt idx="291">
                  <v>44470</v>
                </pt>
                <pt idx="292">
                  <v>44501</v>
                </pt>
                <pt idx="293">
                  <v>44531</v>
                </pt>
                <pt idx="294">
                  <v>44562</v>
                </pt>
                <pt idx="295">
                  <v>44593</v>
                </pt>
                <pt idx="296">
                  <v>44621</v>
                </pt>
                <pt idx="297">
                  <v>44652</v>
                </pt>
                <pt idx="298">
                  <v>44682</v>
                </pt>
                <pt idx="299">
                  <v>44713</v>
                </pt>
              </numCache>
            </numRef>
          </cat>
          <val>
            <numRef>
              <f>Details!$J$6:$J$307</f>
              <numCache>
                <formatCode>General</formatCode>
                <ptCount val="302"/>
                <pt idx="0">
                  <v>53.8</v>
                </pt>
                <pt idx="1">
                  <v>53.8</v>
                </pt>
                <pt idx="2">
                  <v>53.2</v>
                </pt>
                <pt idx="3">
                  <v>51</v>
                </pt>
                <pt idx="4">
                  <v>56.7</v>
                </pt>
                <pt idx="5">
                  <v>55</v>
                </pt>
                <pt idx="6">
                  <v>55</v>
                </pt>
                <pt idx="7">
                  <v>54.8</v>
                </pt>
                <pt idx="8">
                  <v>54.1</v>
                </pt>
                <pt idx="9">
                  <v>51.6</v>
                </pt>
                <pt idx="10">
                  <v>52.8</v>
                </pt>
                <pt idx="11">
                  <v>52.5</v>
                </pt>
                <pt idx="12">
                  <v>51.9</v>
                </pt>
                <pt idx="13">
                  <v>52.3</v>
                </pt>
                <pt idx="14">
                  <v>53.7</v>
                </pt>
                <pt idx="15">
                  <v>53.1</v>
                </pt>
                <pt idx="16">
                  <v>52.6</v>
                </pt>
                <pt idx="17">
                  <v>50.9</v>
                </pt>
                <pt idx="18">
                  <v>51.4</v>
                </pt>
                <pt idx="19">
                  <v>52.2</v>
                </pt>
                <pt idx="20">
                  <v>51.1</v>
                </pt>
                <pt idx="21">
                  <v>52</v>
                </pt>
                <pt idx="22">
                  <v>52.9</v>
                </pt>
                <pt idx="23">
                  <v>55.3</v>
                </pt>
                <pt idx="24">
                  <v>53.4</v>
                </pt>
                <pt idx="25">
                  <v>52.3</v>
                </pt>
                <pt idx="26">
                  <v>51.4</v>
                </pt>
                <pt idx="27">
                  <v>51.7</v>
                </pt>
                <pt idx="28">
                  <v>50.6</v>
                </pt>
                <pt idx="29">
                  <v>53</v>
                </pt>
                <pt idx="30">
                  <v>52.3</v>
                </pt>
                <pt idx="31">
                  <v>52.8</v>
                </pt>
                <pt idx="32">
                  <v>55</v>
                </pt>
                <pt idx="33">
                  <v>54.4</v>
                </pt>
                <pt idx="34">
                  <v>53.5</v>
                </pt>
                <pt idx="35">
                  <v>54.4</v>
                </pt>
                <pt idx="36">
                  <v>50.5</v>
                </pt>
                <pt idx="37">
                  <v>54.2</v>
                </pt>
                <pt idx="38">
                  <v>53.5</v>
                </pt>
                <pt idx="39">
                  <v>54.5</v>
                </pt>
                <pt idx="40">
                  <v>54.6</v>
                </pt>
                <pt idx="41">
                  <v>52.4</v>
                </pt>
                <pt idx="42">
                  <v>51.7</v>
                </pt>
                <pt idx="43">
                  <v>50.7</v>
                </pt>
                <pt idx="44">
                  <v>49.6</v>
                </pt>
                <pt idx="45">
                  <v>46.5</v>
                </pt>
                <pt idx="46">
                  <v>46.7</v>
                </pt>
                <pt idx="47">
                  <v>45.6</v>
                </pt>
                <pt idx="48">
                  <v>46.4</v>
                </pt>
                <pt idx="49">
                  <v>45.7</v>
                </pt>
                <pt idx="50">
                  <v>46.4</v>
                </pt>
                <pt idx="51">
                  <v>43.9</v>
                </pt>
                <pt idx="52">
                  <v>44.5</v>
                </pt>
                <pt idx="53">
                  <v>44.6</v>
                </pt>
                <pt idx="54">
                  <v>44.3</v>
                </pt>
                <pt idx="55">
                  <v>43.9</v>
                </pt>
                <pt idx="56">
                  <v>45.8</v>
                </pt>
                <pt idx="57">
                  <v>47.8</v>
                </pt>
                <pt idx="58">
                  <v>49.2</v>
                </pt>
                <pt idx="59">
                  <v>44</v>
                </pt>
                <pt idx="60">
                  <v>46.1</v>
                </pt>
                <pt idx="61">
                  <v>47.2</v>
                </pt>
                <pt idx="62">
                  <v>47.1</v>
                </pt>
                <pt idx="63">
                  <v>46.6</v>
                </pt>
                <pt idx="64">
                  <v>46</v>
                </pt>
                <pt idx="65">
                  <v>47</v>
                </pt>
                <pt idx="66">
                  <v>50.5</v>
                </pt>
                <pt idx="67">
                  <v>48.5</v>
                </pt>
                <pt idx="68">
                  <v>48.1</v>
                </pt>
                <pt idx="69">
                  <v>48.7</v>
                </pt>
                <pt idx="70">
                  <v>48.5</v>
                </pt>
                <pt idx="71">
                  <v>49.3</v>
                </pt>
                <pt idx="72">
                  <v>50.5</v>
                </pt>
                <pt idx="73">
                  <v>51.7</v>
                </pt>
                <pt idx="74">
                  <v>50.1</v>
                </pt>
                <pt idx="75">
                  <v>53</v>
                </pt>
                <pt idx="76">
                  <v>54.4</v>
                </pt>
                <pt idx="77">
                  <v>54</v>
                </pt>
                <pt idx="78">
                  <v>55.143160127253</v>
                </pt>
                <pt idx="79">
                  <v>52.904564315353</v>
                </pt>
                <pt idx="80">
                  <v>53.800592300099</v>
                </pt>
                <pt idx="81">
                  <v>54.6875</v>
                </pt>
                <pt idx="82">
                  <v>54.545454545455</v>
                </pt>
                <pt idx="83">
                  <v>55.555555555556</v>
                </pt>
                <pt idx="84">
                  <v>49.665711556829</v>
                </pt>
                <pt idx="85">
                  <v>53.516819571865</v>
                </pt>
                <pt idx="86">
                  <v>55.325749741468</v>
                </pt>
                <pt idx="87">
                  <v>56.476683937824</v>
                </pt>
                <pt idx="88">
                  <v>54.835493519442</v>
                </pt>
                <pt idx="89">
                  <v>54.711246200608</v>
                </pt>
                <pt idx="90">
                  <v>54.6</v>
                </pt>
                <pt idx="91">
                  <v>59.7</v>
                </pt>
                <pt idx="92">
                  <v>57.2</v>
                </pt>
                <pt idx="93">
                  <v>53.3</v>
                </pt>
                <pt idx="94">
                  <v>51.8</v>
                </pt>
                <pt idx="95">
                  <v>55.8</v>
                </pt>
                <pt idx="96">
                  <v>55.1</v>
                </pt>
                <pt idx="97">
                  <v>60.2</v>
                </pt>
                <pt idx="98">
                  <v>55.4</v>
                </pt>
                <pt idx="99">
                  <v>54.2</v>
                </pt>
                <pt idx="100">
                  <v>56.9</v>
                </pt>
                <pt idx="101">
                  <v>56.4</v>
                </pt>
                <pt idx="102">
                  <v>54.5</v>
                </pt>
                <pt idx="103">
                  <v>58.1</v>
                </pt>
                <pt idx="104">
                  <v>55.1</v>
                </pt>
                <pt idx="105">
                  <v>56.5</v>
                </pt>
                <pt idx="106">
                  <v>54.6</v>
                </pt>
                <pt idx="107">
                  <v>51.2</v>
                </pt>
                <pt idx="108">
                  <v>53.6</v>
                </pt>
                <pt idx="109">
                  <v>52.2</v>
                </pt>
                <pt idx="110">
                  <v>52.9</v>
                </pt>
                <pt idx="111">
                  <v>52.9</v>
                </pt>
                <pt idx="112">
                  <v>52.2</v>
                </pt>
                <pt idx="113">
                  <v>52.7</v>
                </pt>
                <pt idx="114">
                  <v>54.8</v>
                </pt>
                <pt idx="115">
                  <v>52.7</v>
                </pt>
                <pt idx="116">
                  <v>51.9</v>
                </pt>
                <pt idx="117">
                  <v>51.1</v>
                </pt>
                <pt idx="118">
                  <v>52.2</v>
                </pt>
                <pt idx="119">
                  <v>53.3</v>
                </pt>
                <pt idx="120">
                  <v>51.1</v>
                </pt>
                <pt idx="121">
                  <v>48.3</v>
                </pt>
                <pt idx="122">
                  <v>52.5</v>
                </pt>
                <pt idx="123">
                  <v>53.6</v>
                </pt>
                <pt idx="124">
                  <v>51.6</v>
                </pt>
                <pt idx="125">
                  <v>51.8</v>
                </pt>
                <pt idx="126">
                  <v>45.7</v>
                </pt>
                <pt idx="127">
                  <v>47.3</v>
                </pt>
                <pt idx="128">
                  <v>47.4</v>
                </pt>
                <pt idx="129">
                  <v>49.7</v>
                </pt>
                <pt idx="130">
                  <v>47.2</v>
                </pt>
                <pt idx="131">
                  <v>43.4</v>
                </pt>
                <pt idx="132">
                  <v>46.3</v>
                </pt>
                <pt idx="133">
                  <v>45.2</v>
                </pt>
                <pt idx="134">
                  <v>44.3</v>
                </pt>
                <pt idx="135">
                  <v>42.8</v>
                </pt>
                <pt idx="136">
                  <v>31.5</v>
                </pt>
                <pt idx="137">
                  <v>34.9</v>
                </pt>
                <pt idx="138">
                  <v>36.2</v>
                </pt>
                <pt idx="139">
                  <v>37</v>
                </pt>
                <pt idx="140">
                  <v>31.9</v>
                </pt>
                <pt idx="141">
                  <v>36.3</v>
                </pt>
                <pt idx="142">
                  <v>37.9</v>
                </pt>
                <pt idx="143">
                  <v>41.5</v>
                </pt>
                <pt idx="144">
                  <v>41.3</v>
                </pt>
                <pt idx="145">
                  <v>43.4</v>
                </pt>
                <pt idx="146">
                  <v>44.7</v>
                </pt>
                <pt idx="147">
                  <v>42.6</v>
                </pt>
                <pt idx="148">
                  <v>42.8</v>
                </pt>
                <pt idx="149">
                  <v>44.6</v>
                </pt>
                <pt idx="150">
                  <v>44.8</v>
                </pt>
                <pt idx="151">
                  <v>46</v>
                </pt>
                <pt idx="152">
                  <v>47.4</v>
                </pt>
                <pt idx="153">
                  <v>49.3</v>
                </pt>
                <pt idx="154">
                  <v>49.6</v>
                </pt>
                <pt idx="155">
                  <v>48.5</v>
                </pt>
                <pt idx="156">
                  <v>50.7</v>
                </pt>
                <pt idx="157">
                  <v>48.9</v>
                </pt>
                <pt idx="158">
                  <v>51.5</v>
                </pt>
                <pt idx="159">
                  <v>52.1</v>
                </pt>
                <pt idx="160">
                  <v>56.6</v>
                </pt>
                <pt idx="161">
                  <v>52.2</v>
                </pt>
                <pt idx="162">
                  <v>52.1</v>
                </pt>
                <pt idx="163">
                  <v>53.6</v>
                </pt>
                <pt idx="164">
                  <v>52.9</v>
                </pt>
                <pt idx="165">
                  <v>53.6</v>
                </pt>
                <pt idx="166">
                  <v>54.4</v>
                </pt>
                <pt idx="167">
                  <v>52.9</v>
                </pt>
                <pt idx="168">
                  <v>53.3</v>
                </pt>
                <pt idx="169">
                  <v>51.9</v>
                </pt>
                <pt idx="170">
                  <v>49.4</v>
                </pt>
                <pt idx="171">
                  <v>52.3</v>
                </pt>
                <pt idx="172">
                  <v>53.1</v>
                </pt>
                <pt idx="173">
                  <v>49</v>
                </pt>
                <pt idx="174">
                  <v>54.9</v>
                </pt>
                <pt idx="175">
                  <v>53.2</v>
                </pt>
                <pt idx="176">
                  <v>55.2</v>
                </pt>
                <pt idx="177">
                  <v>54.5</v>
                </pt>
                <pt idx="178">
                  <v>51.9</v>
                </pt>
                <pt idx="179">
                  <v>52.5</v>
                </pt>
                <pt idx="180">
                  <v>50.3</v>
                </pt>
                <pt idx="181">
                  <v>53.3</v>
                </pt>
                <pt idx="182">
                  <v>53.2</v>
                </pt>
                <pt idx="183">
                  <v>54.7</v>
                </pt>
                <pt idx="184">
                  <v>53.3</v>
                </pt>
                <pt idx="185">
                  <v>55.2</v>
                </pt>
                <pt idx="186">
                  <v>55.6</v>
                </pt>
                <pt idx="187">
                  <v>55.5</v>
                </pt>
                <pt idx="188">
                  <v>53.2</v>
                </pt>
                <pt idx="189">
                  <v>52.6</v>
                </pt>
                <pt idx="190">
                  <v>50.3</v>
                </pt>
                <pt idx="191">
                  <v>54.9</v>
                </pt>
                <pt idx="192">
                  <v>53.9</v>
                </pt>
                <pt idx="193">
                  <v>56.3</v>
                </pt>
                <pt idx="194">
                  <v>54.1</v>
                </pt>
                <pt idx="195">
                  <v>56</v>
                </pt>
                <pt idx="196">
                  <v>54.5</v>
                </pt>
                <pt idx="197">
                  <v>55.6</v>
                </pt>
                <pt idx="198">
                  <v>56.4</v>
                </pt>
                <pt idx="199">
                  <v>47.5</v>
                </pt>
                <pt idx="200">
                  <v>53.6</v>
                </pt>
                <pt idx="201">
                  <v>51.3</v>
                </pt>
                <pt idx="202">
                  <v>52.4</v>
                </pt>
                <pt idx="203">
                  <v>54.4</v>
                </pt>
                <pt idx="204">
                  <v>56</v>
                </pt>
                <pt idx="205">
                  <v>57.1</v>
                </pt>
                <pt idx="206">
                  <v>58.5</v>
                </pt>
                <pt idx="207">
                  <v>59.6</v>
                </pt>
                <pt idx="208">
                  <v>56.7</v>
                </pt>
                <pt idx="209">
                  <v>56</v>
                </pt>
                <pt idx="210">
                  <v>51.6</v>
                </pt>
                <pt idx="211">
                  <v>56.4</v>
                </pt>
                <pt idx="212">
                  <v>56.6</v>
                </pt>
                <pt idx="213">
                  <v>56.7</v>
                </pt>
                <pt idx="214">
                  <v>55.3</v>
                </pt>
                <pt idx="215">
                  <v>52.7</v>
                </pt>
                <pt idx="216">
                  <v>59.6</v>
                </pt>
                <pt idx="217">
                  <v>56</v>
                </pt>
                <pt idx="218">
                  <v>58.3</v>
                </pt>
                <pt idx="219">
                  <v>59.2</v>
                </pt>
                <pt idx="220">
                  <v>55</v>
                </pt>
                <pt idx="221">
                  <v>55.7</v>
                </pt>
                <pt idx="222">
                  <v>52.1</v>
                </pt>
                <pt idx="223">
                  <v>49.7</v>
                </pt>
                <pt idx="224">
                  <v>50.3</v>
                </pt>
                <pt idx="225">
                  <v>53</v>
                </pt>
                <pt idx="226">
                  <v>49.7</v>
                </pt>
                <pt idx="227">
                  <v>52.7</v>
                </pt>
                <pt idx="228">
                  <v>51.4</v>
                </pt>
                <pt idx="229">
                  <v>50.7</v>
                </pt>
                <pt idx="230">
                  <v>57.2</v>
                </pt>
                <pt idx="231">
                  <v>53.1</v>
                </pt>
                <pt idx="232">
                  <v>58.2</v>
                </pt>
                <pt idx="233">
                  <v>53.8</v>
                </pt>
                <pt idx="234">
                  <v>54.7</v>
                </pt>
                <pt idx="235">
                  <v>55.2</v>
                </pt>
                <pt idx="236">
                  <v>51.6</v>
                </pt>
                <pt idx="237">
                  <v>51.4</v>
                </pt>
                <pt idx="238">
                  <v>57.8</v>
                </pt>
                <pt idx="239">
                  <v>55.8</v>
                </pt>
                <pt idx="240">
                  <v>53.6</v>
                </pt>
                <pt idx="241">
                  <v>56.2</v>
                </pt>
                <pt idx="242">
                  <v>56.8</v>
                </pt>
                <pt idx="243">
                  <v>57.5</v>
                </pt>
                <pt idx="244">
                  <v>55.3</v>
                </pt>
                <pt idx="245">
                  <v>56.3</v>
                </pt>
                <pt idx="246">
                  <v>61.6</v>
                </pt>
                <pt idx="247">
                  <v>55</v>
                </pt>
                <pt idx="248">
                  <v>56.6</v>
                </pt>
                <pt idx="249">
                  <v>53.6</v>
                </pt>
                <pt idx="250">
                  <v>54.1</v>
                </pt>
                <pt idx="251">
                  <v>53.6</v>
                </pt>
                <pt idx="252">
                  <v>56.1</v>
                </pt>
                <pt idx="253">
                  <v>56.7</v>
                </pt>
                <pt idx="254">
                  <v>62.4</v>
                </pt>
                <pt idx="255">
                  <v>59.7</v>
                </pt>
                <pt idx="256">
                  <v>58.4</v>
                </pt>
                <pt idx="257">
                  <v>56.3</v>
                </pt>
                <pt idx="258">
                  <v>57.8</v>
                </pt>
                <pt idx="259">
                  <v>55.2</v>
                </pt>
                <pt idx="260">
                  <v>55.9</v>
                </pt>
                <pt idx="261">
                  <v>53.7</v>
                </pt>
                <pt idx="262">
                  <v>58.1</v>
                </pt>
                <pt idx="263">
                  <v>55</v>
                </pt>
                <pt idx="264">
                  <v>56.2</v>
                </pt>
                <pt idx="265">
                  <v>53.1</v>
                </pt>
                <pt idx="266">
                  <v>50.4</v>
                </pt>
                <pt idx="267">
                  <v>53.7</v>
                </pt>
                <pt idx="268">
                  <v>55.5</v>
                </pt>
                <pt idx="269">
                  <v>55.2</v>
                </pt>
                <pt idx="270">
                  <v>53.1</v>
                </pt>
                <pt idx="271">
                  <v>55.6</v>
                </pt>
                <pt idx="272">
                  <v>47</v>
                </pt>
                <pt idx="273">
                  <v>30</v>
                </pt>
                <pt idx="274">
                  <v>31.8</v>
                </pt>
                <pt idx="275">
                  <v>43.1</v>
                </pt>
                <pt idx="276">
                  <v>42.1</v>
                </pt>
                <pt idx="277">
                  <v>47.9</v>
                </pt>
                <pt idx="278">
                  <v>51.8</v>
                </pt>
                <pt idx="279">
                  <v>50.1</v>
                </pt>
                <pt idx="280">
                  <v>51.5</v>
                </pt>
                <pt idx="281">
                  <v>48.2</v>
                </pt>
                <pt idx="282">
                  <v>55.2</v>
                </pt>
                <pt idx="283">
                  <v>52.7</v>
                </pt>
                <pt idx="284">
                  <v>57.2</v>
                </pt>
                <pt idx="285">
                  <v>58.8</v>
                </pt>
                <pt idx="286">
                  <v>55.3</v>
                </pt>
                <pt idx="287">
                  <v>49.3</v>
                </pt>
                <pt idx="288">
                  <v>53.8</v>
                </pt>
                <pt idx="289">
                  <v>53.7</v>
                </pt>
                <pt idx="290">
                  <v>53</v>
                </pt>
                <pt idx="291">
                  <v>51.6</v>
                </pt>
                <pt idx="292">
                  <v>56.5</v>
                </pt>
                <pt idx="293">
                  <v>54.9</v>
                </pt>
                <pt idx="294">
                  <v>52.3</v>
                </pt>
                <pt idx="295">
                  <v>48.5</v>
                </pt>
                <pt idx="296">
                  <v>54</v>
                </pt>
                <pt idx="297">
                  <v>49.5</v>
                </pt>
                <pt idx="298">
                  <v>50.2</v>
                </pt>
                <pt idx="299">
                  <v>47.4</v>
                </pt>
              </numCache>
            </numRef>
          </val>
          <smooth val="0"/>
        </ser>
        <dLbls>
          <showLegendKey val="0"/>
          <showVal val="0"/>
          <showCatName val="0"/>
          <showSerName val="0"/>
          <showPercent val="0"/>
          <showBubbleSize val="0"/>
        </dLbls>
        <smooth val="0"/>
        <axId val="946929536"/>
        <axId val="946929864"/>
      </lineChart>
      <dateAx>
        <axId val="946929536"/>
        <scaling>
          <orientation val="minMax"/>
          <min val="42005"/>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864"/>
        <crosses val="autoZero"/>
        <lblOffset val="100"/>
        <baseTimeUnit val="months"/>
      </dateAx>
      <valAx>
        <axId val="946929864"/>
        <scaling>
          <orientation val="minMax"/>
          <min val="3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536"/>
        <crosses val="autoZero"/>
        <crossBetween val="between"/>
      </valAx>
    </plotArea>
    <plotVisOnly val="1"/>
    <dispBlanksAs val="gap"/>
  </chart>
</chartSpace>
</file>

<file path=xl/charts/chart75.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Exports</a:t>
            </a:r>
          </a:p>
        </rich>
      </tx>
      <overlay val="0"/>
      <spPr>
        <a:noFill xmlns:a="http://schemas.openxmlformats.org/drawingml/2006/main"/>
        <a:ln xmlns:a="http://schemas.openxmlformats.org/drawingml/2006/main">
          <a:noFill/>
          <a:prstDash val="solid"/>
        </a:ln>
      </spPr>
    </title>
    <plotArea>
      <layout/>
      <lineChart>
        <grouping val="standard"/>
        <varyColors val="0"/>
        <ser>
          <idx val="9"/>
          <order val="0"/>
          <tx>
            <strRef>
              <f>Details!$K$5</f>
              <strCache>
                <ptCount val="1"/>
                <pt idx="0">
                  <v>Exports</v>
                </pt>
              </strCache>
            </strRef>
          </tx>
          <spPr>
            <a:ln xmlns:a="http://schemas.openxmlformats.org/drawingml/2006/main" w="28575" cap="rnd">
              <a:solidFill>
                <a:schemeClr val="accent4">
                  <a:lumMod val="60000"/>
                </a:schemeClr>
              </a:solidFill>
              <a:prstDash val="solid"/>
              <a:round/>
            </a:ln>
          </spPr>
          <marker>
            <symbol val="none"/>
            <spPr>
              <a:ln xmlns:a="http://schemas.openxmlformats.org/drawingml/2006/main">
                <a:prstDash val="solid"/>
              </a:ln>
            </spPr>
          </marker>
          <cat>
            <numRef>
              <f>Details!$A$6:$A$307</f>
              <numCache>
                <formatCode>m/d/yy</formatCode>
                <ptCount val="302"/>
                <pt idx="0">
                  <v>35612</v>
                </pt>
                <pt idx="1">
                  <v>35643</v>
                </pt>
                <pt idx="2">
                  <v>35674</v>
                </pt>
                <pt idx="3">
                  <v>35704</v>
                </pt>
                <pt idx="4">
                  <v>35735</v>
                </pt>
                <pt idx="5">
                  <v>35765</v>
                </pt>
                <pt idx="6">
                  <v>35796</v>
                </pt>
                <pt idx="7">
                  <v>35827</v>
                </pt>
                <pt idx="8">
                  <v>35855</v>
                </pt>
                <pt idx="9">
                  <v>35886</v>
                </pt>
                <pt idx="10">
                  <v>35916</v>
                </pt>
                <pt idx="11">
                  <v>35947</v>
                </pt>
                <pt idx="12">
                  <v>35977</v>
                </pt>
                <pt idx="13">
                  <v>36008</v>
                </pt>
                <pt idx="14">
                  <v>36039</v>
                </pt>
                <pt idx="15">
                  <v>36069</v>
                </pt>
                <pt idx="16">
                  <v>36100</v>
                </pt>
                <pt idx="17">
                  <v>36130</v>
                </pt>
                <pt idx="18">
                  <v>36161</v>
                </pt>
                <pt idx="19">
                  <v>36192</v>
                </pt>
                <pt idx="20">
                  <v>36220</v>
                </pt>
                <pt idx="21">
                  <v>36251</v>
                </pt>
                <pt idx="22">
                  <v>36281</v>
                </pt>
                <pt idx="23">
                  <v>36312</v>
                </pt>
                <pt idx="24">
                  <v>36342</v>
                </pt>
                <pt idx="25">
                  <v>36373</v>
                </pt>
                <pt idx="26">
                  <v>36404</v>
                </pt>
                <pt idx="27">
                  <v>36434</v>
                </pt>
                <pt idx="28">
                  <v>36465</v>
                </pt>
                <pt idx="29">
                  <v>36495</v>
                </pt>
                <pt idx="30">
                  <v>36526</v>
                </pt>
                <pt idx="31">
                  <v>36557</v>
                </pt>
                <pt idx="32">
                  <v>36586</v>
                </pt>
                <pt idx="33">
                  <v>36617</v>
                </pt>
                <pt idx="34">
                  <v>36647</v>
                </pt>
                <pt idx="35">
                  <v>36678</v>
                </pt>
                <pt idx="36">
                  <v>36708</v>
                </pt>
                <pt idx="37">
                  <v>36739</v>
                </pt>
                <pt idx="38">
                  <v>36770</v>
                </pt>
                <pt idx="39">
                  <v>36800</v>
                </pt>
                <pt idx="40">
                  <v>36831</v>
                </pt>
                <pt idx="41">
                  <v>36861</v>
                </pt>
                <pt idx="42">
                  <v>36892</v>
                </pt>
                <pt idx="43">
                  <v>36923</v>
                </pt>
                <pt idx="44">
                  <v>36951</v>
                </pt>
                <pt idx="45">
                  <v>36982</v>
                </pt>
                <pt idx="46">
                  <v>37012</v>
                </pt>
                <pt idx="47">
                  <v>37043</v>
                </pt>
                <pt idx="48">
                  <v>37073</v>
                </pt>
                <pt idx="49">
                  <v>37104</v>
                </pt>
                <pt idx="50">
                  <v>37135</v>
                </pt>
                <pt idx="51">
                  <v>37165</v>
                </pt>
                <pt idx="52">
                  <v>37196</v>
                </pt>
                <pt idx="53">
                  <v>37226</v>
                </pt>
                <pt idx="54">
                  <v>37257</v>
                </pt>
                <pt idx="55">
                  <v>37288</v>
                </pt>
                <pt idx="56">
                  <v>37316</v>
                </pt>
                <pt idx="57">
                  <v>37347</v>
                </pt>
                <pt idx="58">
                  <v>37377</v>
                </pt>
                <pt idx="59">
                  <v>37408</v>
                </pt>
                <pt idx="60">
                  <v>37438</v>
                </pt>
                <pt idx="61">
                  <v>37469</v>
                </pt>
                <pt idx="62">
                  <v>37500</v>
                </pt>
                <pt idx="63">
                  <v>37530</v>
                </pt>
                <pt idx="64">
                  <v>37561</v>
                </pt>
                <pt idx="65">
                  <v>37591</v>
                </pt>
                <pt idx="66">
                  <v>37622</v>
                </pt>
                <pt idx="67">
                  <v>37653</v>
                </pt>
                <pt idx="68">
                  <v>37681</v>
                </pt>
                <pt idx="69">
                  <v>37712</v>
                </pt>
                <pt idx="70">
                  <v>37742</v>
                </pt>
                <pt idx="71">
                  <v>37773</v>
                </pt>
                <pt idx="72">
                  <v>37803</v>
                </pt>
                <pt idx="73">
                  <v>37834</v>
                </pt>
                <pt idx="74">
                  <v>37865</v>
                </pt>
                <pt idx="75">
                  <v>37895</v>
                </pt>
                <pt idx="76">
                  <v>37926</v>
                </pt>
                <pt idx="77">
                  <v>37956</v>
                </pt>
                <pt idx="78">
                  <v>37987</v>
                </pt>
                <pt idx="79">
                  <v>38018</v>
                </pt>
                <pt idx="80">
                  <v>38047</v>
                </pt>
                <pt idx="81">
                  <v>38078</v>
                </pt>
                <pt idx="82">
                  <v>38108</v>
                </pt>
                <pt idx="83">
                  <v>38139</v>
                </pt>
                <pt idx="84">
                  <v>38169</v>
                </pt>
                <pt idx="85">
                  <v>38200</v>
                </pt>
                <pt idx="86">
                  <v>38231</v>
                </pt>
                <pt idx="87">
                  <v>38261</v>
                </pt>
                <pt idx="88">
                  <v>38292</v>
                </pt>
                <pt idx="89">
                  <v>38322</v>
                </pt>
                <pt idx="90">
                  <v>38353</v>
                </pt>
                <pt idx="91">
                  <v>38384</v>
                </pt>
                <pt idx="92">
                  <v>38412</v>
                </pt>
                <pt idx="93">
                  <v>38443</v>
                </pt>
                <pt idx="94">
                  <v>38473</v>
                </pt>
                <pt idx="95">
                  <v>38504</v>
                </pt>
                <pt idx="96">
                  <v>38534</v>
                </pt>
                <pt idx="97">
                  <v>38565</v>
                </pt>
                <pt idx="98">
                  <v>38596</v>
                </pt>
                <pt idx="99">
                  <v>38626</v>
                </pt>
                <pt idx="100">
                  <v>38657</v>
                </pt>
                <pt idx="101">
                  <v>38687</v>
                </pt>
                <pt idx="102">
                  <v>38718</v>
                </pt>
                <pt idx="103">
                  <v>38749</v>
                </pt>
                <pt idx="104">
                  <v>38777</v>
                </pt>
                <pt idx="105">
                  <v>38808</v>
                </pt>
                <pt idx="106">
                  <v>38838</v>
                </pt>
                <pt idx="107">
                  <v>38869</v>
                </pt>
                <pt idx="108">
                  <v>38899</v>
                </pt>
                <pt idx="109">
                  <v>38930</v>
                </pt>
                <pt idx="110">
                  <v>38961</v>
                </pt>
                <pt idx="111">
                  <v>38991</v>
                </pt>
                <pt idx="112">
                  <v>39022</v>
                </pt>
                <pt idx="113">
                  <v>39052</v>
                </pt>
                <pt idx="114">
                  <v>39083</v>
                </pt>
                <pt idx="115">
                  <v>39114</v>
                </pt>
                <pt idx="116">
                  <v>39142</v>
                </pt>
                <pt idx="117">
                  <v>39173</v>
                </pt>
                <pt idx="118">
                  <v>39203</v>
                </pt>
                <pt idx="119">
                  <v>39234</v>
                </pt>
                <pt idx="120">
                  <v>39264</v>
                </pt>
                <pt idx="121">
                  <v>39295</v>
                </pt>
                <pt idx="122">
                  <v>39326</v>
                </pt>
                <pt idx="123">
                  <v>39356</v>
                </pt>
                <pt idx="124">
                  <v>39387</v>
                </pt>
                <pt idx="125">
                  <v>39417</v>
                </pt>
                <pt idx="126">
                  <v>39448</v>
                </pt>
                <pt idx="127">
                  <v>39479</v>
                </pt>
                <pt idx="128">
                  <v>39508</v>
                </pt>
                <pt idx="129">
                  <v>39539</v>
                </pt>
                <pt idx="130">
                  <v>39569</v>
                </pt>
                <pt idx="131">
                  <v>39600</v>
                </pt>
                <pt idx="132">
                  <v>39630</v>
                </pt>
                <pt idx="133">
                  <v>39661</v>
                </pt>
                <pt idx="134">
                  <v>39692</v>
                </pt>
                <pt idx="135">
                  <v>39722</v>
                </pt>
                <pt idx="136">
                  <v>39753</v>
                </pt>
                <pt idx="137">
                  <v>39783</v>
                </pt>
                <pt idx="138">
                  <v>39814</v>
                </pt>
                <pt idx="139">
                  <v>39845</v>
                </pt>
                <pt idx="140">
                  <v>39873</v>
                </pt>
                <pt idx="141">
                  <v>39904</v>
                </pt>
                <pt idx="142">
                  <v>39934</v>
                </pt>
                <pt idx="143">
                  <v>39965</v>
                </pt>
                <pt idx="144">
                  <v>39995</v>
                </pt>
                <pt idx="145">
                  <v>40026</v>
                </pt>
                <pt idx="146">
                  <v>40057</v>
                </pt>
                <pt idx="147">
                  <v>40087</v>
                </pt>
                <pt idx="148">
                  <v>40118</v>
                </pt>
                <pt idx="149">
                  <v>40148</v>
                </pt>
                <pt idx="150">
                  <v>40179</v>
                </pt>
                <pt idx="151">
                  <v>40210</v>
                </pt>
                <pt idx="152">
                  <v>40238</v>
                </pt>
                <pt idx="153">
                  <v>40269</v>
                </pt>
                <pt idx="154">
                  <v>40299</v>
                </pt>
                <pt idx="155">
                  <v>40330</v>
                </pt>
                <pt idx="156">
                  <v>40360</v>
                </pt>
                <pt idx="157">
                  <v>40391</v>
                </pt>
                <pt idx="158">
                  <v>40422</v>
                </pt>
                <pt idx="159">
                  <v>40452</v>
                </pt>
                <pt idx="160">
                  <v>40483</v>
                </pt>
                <pt idx="161">
                  <v>40513</v>
                </pt>
                <pt idx="162">
                  <v>40544</v>
                </pt>
                <pt idx="163">
                  <v>40575</v>
                </pt>
                <pt idx="164">
                  <v>40603</v>
                </pt>
                <pt idx="165">
                  <v>40634</v>
                </pt>
                <pt idx="166">
                  <v>40664</v>
                </pt>
                <pt idx="167">
                  <v>40695</v>
                </pt>
                <pt idx="168">
                  <v>40725</v>
                </pt>
                <pt idx="169">
                  <v>40756</v>
                </pt>
                <pt idx="170">
                  <v>40787</v>
                </pt>
                <pt idx="171">
                  <v>40817</v>
                </pt>
                <pt idx="172">
                  <v>40848</v>
                </pt>
                <pt idx="173">
                  <v>40878</v>
                </pt>
                <pt idx="174">
                  <v>40909</v>
                </pt>
                <pt idx="175">
                  <v>40940</v>
                </pt>
                <pt idx="176">
                  <v>40969</v>
                </pt>
                <pt idx="177">
                  <v>41000</v>
                </pt>
                <pt idx="178">
                  <v>41030</v>
                </pt>
                <pt idx="179">
                  <v>41061</v>
                </pt>
                <pt idx="180">
                  <v>41091</v>
                </pt>
                <pt idx="181">
                  <v>41122</v>
                </pt>
                <pt idx="182">
                  <v>41153</v>
                </pt>
                <pt idx="183">
                  <v>41183</v>
                </pt>
                <pt idx="184">
                  <v>41214</v>
                </pt>
                <pt idx="185">
                  <v>41244</v>
                </pt>
                <pt idx="186">
                  <v>41275</v>
                </pt>
                <pt idx="187">
                  <v>41306</v>
                </pt>
                <pt idx="188">
                  <v>41334</v>
                </pt>
                <pt idx="189">
                  <v>41365</v>
                </pt>
                <pt idx="190">
                  <v>41395</v>
                </pt>
                <pt idx="191">
                  <v>41426</v>
                </pt>
                <pt idx="192">
                  <v>41456</v>
                </pt>
                <pt idx="193">
                  <v>41487</v>
                </pt>
                <pt idx="194">
                  <v>41518</v>
                </pt>
                <pt idx="195">
                  <v>41548</v>
                </pt>
                <pt idx="196">
                  <v>41579</v>
                </pt>
                <pt idx="197">
                  <v>41609</v>
                </pt>
                <pt idx="198">
                  <v>41640</v>
                </pt>
                <pt idx="199">
                  <v>41671</v>
                </pt>
                <pt idx="200">
                  <v>41699</v>
                </pt>
                <pt idx="201">
                  <v>41730</v>
                </pt>
                <pt idx="202">
                  <v>41760</v>
                </pt>
                <pt idx="203">
                  <v>41791</v>
                </pt>
                <pt idx="204">
                  <v>41821</v>
                </pt>
                <pt idx="205">
                  <v>41852</v>
                </pt>
                <pt idx="206">
                  <v>41883</v>
                </pt>
                <pt idx="207">
                  <v>41913</v>
                </pt>
                <pt idx="208">
                  <v>41944</v>
                </pt>
                <pt idx="209">
                  <v>41974</v>
                </pt>
                <pt idx="210">
                  <v>42005</v>
                </pt>
                <pt idx="211">
                  <v>42036</v>
                </pt>
                <pt idx="212">
                  <v>42064</v>
                </pt>
                <pt idx="213">
                  <v>42095</v>
                </pt>
                <pt idx="214">
                  <v>42125</v>
                </pt>
                <pt idx="215">
                  <v>42156</v>
                </pt>
                <pt idx="216">
                  <v>42186</v>
                </pt>
                <pt idx="217">
                  <v>42217</v>
                </pt>
                <pt idx="218">
                  <v>42248</v>
                </pt>
                <pt idx="219">
                  <v>42278</v>
                </pt>
                <pt idx="220">
                  <v>42309</v>
                </pt>
                <pt idx="221">
                  <v>42339</v>
                </pt>
                <pt idx="222">
                  <v>42370</v>
                </pt>
                <pt idx="223">
                  <v>42401</v>
                </pt>
                <pt idx="224">
                  <v>42430</v>
                </pt>
                <pt idx="225">
                  <v>42461</v>
                </pt>
                <pt idx="226">
                  <v>42491</v>
                </pt>
                <pt idx="227">
                  <v>42522</v>
                </pt>
                <pt idx="228">
                  <v>42552</v>
                </pt>
                <pt idx="229">
                  <v>42583</v>
                </pt>
                <pt idx="230">
                  <v>42614</v>
                </pt>
                <pt idx="231">
                  <v>42644</v>
                </pt>
                <pt idx="232">
                  <v>42675</v>
                </pt>
                <pt idx="233">
                  <v>42705</v>
                </pt>
                <pt idx="234">
                  <v>42736</v>
                </pt>
                <pt idx="235">
                  <v>42767</v>
                </pt>
                <pt idx="236">
                  <v>42795</v>
                </pt>
                <pt idx="237">
                  <v>42826</v>
                </pt>
                <pt idx="238">
                  <v>42856</v>
                </pt>
                <pt idx="239">
                  <v>42887</v>
                </pt>
                <pt idx="240">
                  <v>42917</v>
                </pt>
                <pt idx="241">
                  <v>42948</v>
                </pt>
                <pt idx="242">
                  <v>42979</v>
                </pt>
                <pt idx="243">
                  <v>43009</v>
                </pt>
                <pt idx="244">
                  <v>43040</v>
                </pt>
                <pt idx="245">
                  <v>43070</v>
                </pt>
                <pt idx="246">
                  <v>43101</v>
                </pt>
                <pt idx="247">
                  <v>43132</v>
                </pt>
                <pt idx="248">
                  <v>43160</v>
                </pt>
                <pt idx="249">
                  <v>43191</v>
                </pt>
                <pt idx="250">
                  <v>43221</v>
                </pt>
                <pt idx="251">
                  <v>43252</v>
                </pt>
                <pt idx="252">
                  <v>43282</v>
                </pt>
                <pt idx="253">
                  <v>43313</v>
                </pt>
                <pt idx="254">
                  <v>43344</v>
                </pt>
                <pt idx="255">
                  <v>43374</v>
                </pt>
                <pt idx="256">
                  <v>43405</v>
                </pt>
                <pt idx="257">
                  <v>43435</v>
                </pt>
                <pt idx="258">
                  <v>43466</v>
                </pt>
                <pt idx="259">
                  <v>43497</v>
                </pt>
                <pt idx="260">
                  <v>43525</v>
                </pt>
                <pt idx="261">
                  <v>43556</v>
                </pt>
                <pt idx="262">
                  <v>43586</v>
                </pt>
                <pt idx="263">
                  <v>43617</v>
                </pt>
                <pt idx="264">
                  <v>43647</v>
                </pt>
                <pt idx="265">
                  <v>43678</v>
                </pt>
                <pt idx="266">
                  <v>43709</v>
                </pt>
                <pt idx="267">
                  <v>43739</v>
                </pt>
                <pt idx="268">
                  <v>43770</v>
                </pt>
                <pt idx="269">
                  <v>43800</v>
                </pt>
                <pt idx="270">
                  <v>43831</v>
                </pt>
                <pt idx="271">
                  <v>43862</v>
                </pt>
                <pt idx="272">
                  <v>43891</v>
                </pt>
                <pt idx="273">
                  <v>43922</v>
                </pt>
                <pt idx="274">
                  <v>43952</v>
                </pt>
                <pt idx="275">
                  <v>43983</v>
                </pt>
                <pt idx="276">
                  <v>44013</v>
                </pt>
                <pt idx="277">
                  <v>44044</v>
                </pt>
                <pt idx="278">
                  <v>44075</v>
                </pt>
                <pt idx="279">
                  <v>44105</v>
                </pt>
                <pt idx="280">
                  <v>44136</v>
                </pt>
                <pt idx="281">
                  <v>44166</v>
                </pt>
                <pt idx="282">
                  <v>44197</v>
                </pt>
                <pt idx="283">
                  <v>44228</v>
                </pt>
                <pt idx="284">
                  <v>44256</v>
                </pt>
                <pt idx="285">
                  <v>44287</v>
                </pt>
                <pt idx="286">
                  <v>44317</v>
                </pt>
                <pt idx="287">
                  <v>44348</v>
                </pt>
                <pt idx="288">
                  <v>44378</v>
                </pt>
                <pt idx="289">
                  <v>44409</v>
                </pt>
                <pt idx="290">
                  <v>44440</v>
                </pt>
                <pt idx="291">
                  <v>44470</v>
                </pt>
                <pt idx="292">
                  <v>44501</v>
                </pt>
                <pt idx="293">
                  <v>44531</v>
                </pt>
                <pt idx="294">
                  <v>44562</v>
                </pt>
                <pt idx="295">
                  <v>44593</v>
                </pt>
                <pt idx="296">
                  <v>44621</v>
                </pt>
                <pt idx="297">
                  <v>44652</v>
                </pt>
                <pt idx="298">
                  <v>44682</v>
                </pt>
                <pt idx="299">
                  <v>44713</v>
                </pt>
              </numCache>
            </numRef>
          </cat>
          <val>
            <numRef>
              <f>Details!$K$6:$K$307</f>
              <numCache>
                <formatCode>General</formatCode>
                <ptCount val="302"/>
                <pt idx="0">
                  <v>62</v>
                </pt>
                <pt idx="1">
                  <v>57.5</v>
                </pt>
                <pt idx="2">
                  <v>49.5</v>
                </pt>
                <pt idx="3">
                  <v>51.5</v>
                </pt>
                <pt idx="4">
                  <v>53.5</v>
                </pt>
                <pt idx="5">
                  <v>48.5</v>
                </pt>
                <pt idx="6">
                  <v>52</v>
                </pt>
                <pt idx="7">
                  <v>51.5</v>
                </pt>
                <pt idx="8">
                  <v>58.5</v>
                </pt>
                <pt idx="9">
                  <v>56.5</v>
                </pt>
                <pt idx="10">
                  <v>48.5</v>
                </pt>
                <pt idx="11">
                  <v>55</v>
                </pt>
                <pt idx="12">
                  <v>51.5</v>
                </pt>
                <pt idx="13">
                  <v>54</v>
                </pt>
                <pt idx="14">
                  <v>54</v>
                </pt>
                <pt idx="15">
                  <v>48.5</v>
                </pt>
                <pt idx="16">
                  <v>45</v>
                </pt>
                <pt idx="17">
                  <v>49</v>
                </pt>
                <pt idx="18">
                  <v>46.5</v>
                </pt>
                <pt idx="19">
                  <v>47.5</v>
                </pt>
                <pt idx="20">
                  <v>58.5</v>
                </pt>
                <pt idx="21">
                  <v>56.5</v>
                </pt>
                <pt idx="22">
                  <v>58.5</v>
                </pt>
                <pt idx="23">
                  <v>53.5</v>
                </pt>
                <pt idx="24">
                  <v>57.5</v>
                </pt>
                <pt idx="25">
                  <v>58</v>
                </pt>
                <pt idx="26">
                  <v>62.5</v>
                </pt>
                <pt idx="27">
                  <v>54</v>
                </pt>
                <pt idx="28">
                  <v>56</v>
                </pt>
                <pt idx="29">
                  <v>58</v>
                </pt>
                <pt idx="30">
                  <v>57.5</v>
                </pt>
                <pt idx="31">
                  <v>47.5</v>
                </pt>
                <pt idx="32">
                  <v>55.5</v>
                </pt>
                <pt idx="33">
                  <v>59</v>
                </pt>
                <pt idx="34">
                  <v>62</v>
                </pt>
                <pt idx="35">
                  <v>57</v>
                </pt>
                <pt idx="36">
                  <v>53</v>
                </pt>
                <pt idx="37">
                  <v>56</v>
                </pt>
                <pt idx="38">
                  <v>51.5</v>
                </pt>
                <pt idx="39">
                  <v>55</v>
                </pt>
                <pt idx="40">
                  <v>55</v>
                </pt>
                <pt idx="41">
                  <v>56.5</v>
                </pt>
                <pt idx="42">
                  <v>55</v>
                </pt>
                <pt idx="43">
                  <v>53.5</v>
                </pt>
                <pt idx="44">
                  <v>49.5</v>
                </pt>
                <pt idx="45">
                  <v>55.5</v>
                </pt>
                <pt idx="46">
                  <v>48.5</v>
                </pt>
                <pt idx="47">
                  <v>49.5</v>
                </pt>
                <pt idx="48">
                  <v>53</v>
                </pt>
                <pt idx="49">
                  <v>47.5</v>
                </pt>
                <pt idx="50">
                  <v>53.5</v>
                </pt>
                <pt idx="51">
                  <v>44.5</v>
                </pt>
                <pt idx="52">
                  <v>48.5</v>
                </pt>
                <pt idx="53">
                  <v>55</v>
                </pt>
                <pt idx="54">
                  <v>56.5</v>
                </pt>
                <pt idx="55">
                  <v>52.5</v>
                </pt>
                <pt idx="56">
                  <v>49.5</v>
                </pt>
                <pt idx="57">
                  <v>52.5</v>
                </pt>
                <pt idx="58">
                  <v>61.5</v>
                </pt>
                <pt idx="59">
                  <v>57.5</v>
                </pt>
                <pt idx="60">
                  <v>59.5</v>
                </pt>
                <pt idx="61">
                  <v>46</v>
                </pt>
                <pt idx="62">
                  <v>57.5</v>
                </pt>
                <pt idx="63">
                  <v>49</v>
                </pt>
                <pt idx="64">
                  <v>58.5</v>
                </pt>
                <pt idx="65">
                  <v>54</v>
                </pt>
                <pt idx="66">
                  <v>53</v>
                </pt>
                <pt idx="67">
                  <v>58.5</v>
                </pt>
                <pt idx="68">
                  <v>48.5</v>
                </pt>
                <pt idx="69">
                  <v>52.5</v>
                </pt>
                <pt idx="70">
                  <v>49</v>
                </pt>
                <pt idx="71">
                  <v>49.5</v>
                </pt>
                <pt idx="72">
                  <v>47.5</v>
                </pt>
                <pt idx="73">
                  <v>58.5</v>
                </pt>
                <pt idx="74">
                  <v>56</v>
                </pt>
                <pt idx="75">
                  <v>58</v>
                </pt>
                <pt idx="76">
                  <v>54.5</v>
                </pt>
                <pt idx="77">
                  <v>57.5</v>
                </pt>
                <pt idx="78">
                  <v>51</v>
                </pt>
                <pt idx="79">
                  <v>55.5</v>
                </pt>
                <pt idx="80">
                  <v>51.5</v>
                </pt>
                <pt idx="81">
                  <v>62</v>
                </pt>
                <pt idx="82">
                  <v>52</v>
                </pt>
                <pt idx="83">
                  <v>59.5</v>
                </pt>
                <pt idx="84">
                  <v>55.5</v>
                </pt>
                <pt idx="85">
                  <v>55</v>
                </pt>
                <pt idx="86">
                  <v>55.5</v>
                </pt>
                <pt idx="87">
                  <v>55</v>
                </pt>
                <pt idx="88">
                  <v>53.5</v>
                </pt>
                <pt idx="89">
                  <v>55.5</v>
                </pt>
                <pt idx="90">
                  <v>52.5</v>
                </pt>
                <pt idx="91">
                  <v>56</v>
                </pt>
                <pt idx="92">
                  <v>51.5</v>
                </pt>
                <pt idx="93">
                  <v>52.5</v>
                </pt>
                <pt idx="94">
                  <v>62</v>
                </pt>
                <pt idx="95">
                  <v>50</v>
                </pt>
                <pt idx="96">
                  <v>53.5</v>
                </pt>
                <pt idx="97">
                  <v>63.5</v>
                </pt>
                <pt idx="98">
                  <v>55</v>
                </pt>
                <pt idx="99">
                  <v>54.5</v>
                </pt>
                <pt idx="100">
                  <v>57</v>
                </pt>
                <pt idx="101">
                  <v>61.5</v>
                </pt>
                <pt idx="102">
                  <v>58</v>
                </pt>
                <pt idx="103">
                  <v>60</v>
                </pt>
                <pt idx="104">
                  <v>63.5</v>
                </pt>
                <pt idx="105">
                  <v>59.5</v>
                </pt>
                <pt idx="106">
                  <v>64</v>
                </pt>
                <pt idx="107">
                  <v>54.5</v>
                </pt>
                <pt idx="108">
                  <v>56</v>
                </pt>
                <pt idx="109">
                  <v>53</v>
                </pt>
                <pt idx="110">
                  <v>59</v>
                </pt>
                <pt idx="111">
                  <v>63.5</v>
                </pt>
                <pt idx="112">
                  <v>58.5</v>
                </pt>
                <pt idx="113">
                  <v>61.5</v>
                </pt>
                <pt idx="114">
                  <v>55</v>
                </pt>
                <pt idx="115">
                  <v>59</v>
                </pt>
                <pt idx="116">
                  <v>48.5</v>
                </pt>
                <pt idx="117">
                  <v>55.5</v>
                </pt>
                <pt idx="118">
                  <v>66</v>
                </pt>
                <pt idx="119">
                  <v>59</v>
                </pt>
                <pt idx="120">
                  <v>52.5</v>
                </pt>
                <pt idx="121">
                  <v>53.5</v>
                </pt>
                <pt idx="122">
                  <v>50</v>
                </pt>
                <pt idx="123">
                  <v>56</v>
                </pt>
                <pt idx="124">
                  <v>55.5</v>
                </pt>
                <pt idx="125">
                  <v>50</v>
                </pt>
                <pt idx="126">
                  <v>52</v>
                </pt>
                <pt idx="127">
                  <v>46.5</v>
                </pt>
                <pt idx="128">
                  <v>55</v>
                </pt>
                <pt idx="129">
                  <v>48.5</v>
                </pt>
                <pt idx="130">
                  <v>54</v>
                </pt>
                <pt idx="131">
                  <v>52</v>
                </pt>
                <pt idx="132">
                  <v>47.5</v>
                </pt>
                <pt idx="133">
                  <v>44.5</v>
                </pt>
                <pt idx="134">
                  <v>50.5</v>
                </pt>
                <pt idx="135">
                  <v>50</v>
                </pt>
                <pt idx="136">
                  <v>34.5</v>
                </pt>
                <pt idx="137">
                  <v>39.5</v>
                </pt>
                <pt idx="138">
                  <v>39</v>
                </pt>
                <pt idx="139">
                  <v>40</v>
                </pt>
                <pt idx="140">
                  <v>39</v>
                </pt>
                <pt idx="141">
                  <v>48.5</v>
                </pt>
                <pt idx="142">
                  <v>47</v>
                </pt>
                <pt idx="143">
                  <v>54.5</v>
                </pt>
                <pt idx="144">
                  <v>47.5</v>
                </pt>
                <pt idx="145">
                  <v>54</v>
                </pt>
                <pt idx="146">
                  <v>48.5</v>
                </pt>
                <pt idx="147">
                  <v>53.5</v>
                </pt>
                <pt idx="148">
                  <v>54.5</v>
                </pt>
                <pt idx="149">
                  <v>46</v>
                </pt>
                <pt idx="150">
                  <v>46</v>
                </pt>
                <pt idx="151">
                  <v>47</v>
                </pt>
                <pt idx="152">
                  <v>57.5</v>
                </pt>
                <pt idx="153">
                  <v>57</v>
                </pt>
                <pt idx="154">
                  <v>53.5</v>
                </pt>
                <pt idx="155">
                  <v>48</v>
                </pt>
                <pt idx="156">
                  <v>52</v>
                </pt>
                <pt idx="157">
                  <v>46.5</v>
                </pt>
                <pt idx="158">
                  <v>58</v>
                </pt>
                <pt idx="159">
                  <v>55.5</v>
                </pt>
                <pt idx="160">
                  <v>59.5</v>
                </pt>
                <pt idx="161">
                  <v>56</v>
                </pt>
                <pt idx="162">
                  <v>53.5</v>
                </pt>
                <pt idx="163">
                  <v>56.5</v>
                </pt>
                <pt idx="164">
                  <v>59</v>
                </pt>
                <pt idx="165">
                  <v>53.5</v>
                </pt>
                <pt idx="166">
                  <v>57</v>
                </pt>
                <pt idx="167">
                  <v>57</v>
                </pt>
                <pt idx="168">
                  <v>49</v>
                </pt>
                <pt idx="169">
                  <v>56.5</v>
                </pt>
                <pt idx="170">
                  <v>52</v>
                </pt>
                <pt idx="171">
                  <v>54</v>
                </pt>
                <pt idx="172">
                  <v>55.5</v>
                </pt>
                <pt idx="173">
                  <v>51</v>
                </pt>
                <pt idx="174">
                  <v>56.5</v>
                </pt>
                <pt idx="175">
                  <v>54.5</v>
                </pt>
                <pt idx="176">
                  <v>52.5</v>
                </pt>
                <pt idx="177">
                  <v>58</v>
                </pt>
                <pt idx="178">
                  <v>53</v>
                </pt>
                <pt idx="179">
                  <v>49.5</v>
                </pt>
                <pt idx="180">
                  <v>51</v>
                </pt>
                <pt idx="181">
                  <v>52</v>
                </pt>
                <pt idx="182">
                  <v>50.5</v>
                </pt>
                <pt idx="183">
                  <v>47.5</v>
                </pt>
                <pt idx="184">
                  <v>48</v>
                </pt>
                <pt idx="185">
                  <v>49.5</v>
                </pt>
                <pt idx="186">
                  <v>55.5</v>
                </pt>
                <pt idx="187">
                  <v>60.5</v>
                </pt>
                <pt idx="188">
                  <v>56.5</v>
                </pt>
                <pt idx="189">
                  <v>53.5</v>
                </pt>
                <pt idx="190">
                  <v>50</v>
                </pt>
                <pt idx="191">
                  <v>47.5</v>
                </pt>
                <pt idx="192">
                  <v>49.5</v>
                </pt>
                <pt idx="193">
                  <v>50.5</v>
                </pt>
                <pt idx="194">
                  <v>57.5</v>
                </pt>
                <pt idx="195">
                  <v>53</v>
                </pt>
                <pt idx="196">
                  <v>58</v>
                </pt>
                <pt idx="197">
                  <v>51.5</v>
                </pt>
                <pt idx="198">
                  <v>49</v>
                </pt>
                <pt idx="199">
                  <v>47.5</v>
                </pt>
                <pt idx="200">
                  <v>49.5</v>
                </pt>
                <pt idx="201">
                  <v>57</v>
                </pt>
                <pt idx="202">
                  <v>53</v>
                </pt>
                <pt idx="203">
                  <v>55</v>
                </pt>
                <pt idx="204">
                  <v>53</v>
                </pt>
                <pt idx="205">
                  <v>52.5</v>
                </pt>
                <pt idx="206">
                  <v>57.5</v>
                </pt>
                <pt idx="207">
                  <v>53.5</v>
                </pt>
                <pt idx="208">
                  <v>57</v>
                </pt>
                <pt idx="209">
                  <v>53.5</v>
                </pt>
                <pt idx="210">
                  <v>52.5</v>
                </pt>
                <pt idx="211">
                  <v>53</v>
                </pt>
                <pt idx="212">
                  <v>59</v>
                </pt>
                <pt idx="213">
                  <v>48.5</v>
                </pt>
                <pt idx="214">
                  <v>55</v>
                </pt>
                <pt idx="215">
                  <v>52</v>
                </pt>
                <pt idx="216">
                  <v>56.5</v>
                </pt>
                <pt idx="217">
                  <v>52</v>
                </pt>
                <pt idx="218">
                  <v>52.5</v>
                </pt>
                <pt idx="219">
                  <v>54.5</v>
                </pt>
                <pt idx="220">
                  <v>49.5</v>
                </pt>
                <pt idx="221">
                  <v>53.5</v>
                </pt>
                <pt idx="222">
                  <v>45.5</v>
                </pt>
                <pt idx="223">
                  <v>53.5</v>
                </pt>
                <pt idx="224">
                  <v>58.5</v>
                </pt>
                <pt idx="225">
                  <v>56.5</v>
                </pt>
                <pt idx="226">
                  <v>49</v>
                </pt>
                <pt idx="227">
                  <v>53</v>
                </pt>
                <pt idx="228">
                  <v>55.5</v>
                </pt>
                <pt idx="229">
                  <v>46.5</v>
                </pt>
                <pt idx="230">
                  <v>56.5</v>
                </pt>
                <pt idx="231">
                  <v>55.5</v>
                </pt>
                <pt idx="232">
                  <v>57</v>
                </pt>
                <pt idx="233">
                  <v>53</v>
                </pt>
                <pt idx="234">
                  <v>48</v>
                </pt>
                <pt idx="235">
                  <v>57</v>
                </pt>
                <pt idx="236">
                  <v>62.5</v>
                </pt>
                <pt idx="237">
                  <v>65.5</v>
                </pt>
                <pt idx="238">
                  <v>54.5</v>
                </pt>
                <pt idx="239">
                  <v>55</v>
                </pt>
                <pt idx="240">
                  <v>53</v>
                </pt>
                <pt idx="241">
                  <v>55</v>
                </pt>
                <pt idx="242">
                  <v>56</v>
                </pt>
                <pt idx="243">
                  <v>60</v>
                </pt>
                <pt idx="244">
                  <v>57</v>
                </pt>
                <pt idx="245">
                  <v>56.5</v>
                </pt>
                <pt idx="246">
                  <v>58</v>
                </pt>
                <pt idx="247">
                  <v>59.5</v>
                </pt>
                <pt idx="248">
                  <v>58</v>
                </pt>
                <pt idx="249">
                  <v>61.5</v>
                </pt>
                <pt idx="250">
                  <v>57.5</v>
                </pt>
                <pt idx="251">
                  <v>60.5</v>
                </pt>
                <pt idx="252">
                  <v>58</v>
                </pt>
                <pt idx="253">
                  <v>60.5</v>
                </pt>
                <pt idx="254">
                  <v>61</v>
                </pt>
                <pt idx="255">
                  <v>61</v>
                </pt>
                <pt idx="256">
                  <v>57.5</v>
                </pt>
                <pt idx="257">
                  <v>59.5</v>
                </pt>
                <pt idx="258">
                  <v>50.5</v>
                </pt>
                <pt idx="259">
                  <v>55</v>
                </pt>
                <pt idx="260">
                  <v>52.5</v>
                </pt>
                <pt idx="261">
                  <v>57</v>
                </pt>
                <pt idx="262">
                  <v>55.5</v>
                </pt>
                <pt idx="263">
                  <v>55.5</v>
                </pt>
                <pt idx="264">
                  <v>53.5</v>
                </pt>
                <pt idx="265">
                  <v>50.5</v>
                </pt>
                <pt idx="266">
                  <v>52</v>
                </pt>
                <pt idx="267">
                  <v>50</v>
                </pt>
                <pt idx="268">
                  <v>52</v>
                </pt>
                <pt idx="269">
                  <v>51</v>
                </pt>
                <pt idx="270">
                  <v>50.1</v>
                </pt>
                <pt idx="271">
                  <v>55.6</v>
                </pt>
                <pt idx="272">
                  <v>45.9</v>
                </pt>
                <pt idx="273">
                  <v>36.3</v>
                </pt>
                <pt idx="274">
                  <v>41.5</v>
                </pt>
                <pt idx="275">
                  <v>58.9</v>
                </pt>
                <pt idx="276">
                  <v>49.3</v>
                </pt>
                <pt idx="277">
                  <v>55.8</v>
                </pt>
                <pt idx="278">
                  <v>52.6</v>
                </pt>
                <pt idx="279">
                  <v>53.7</v>
                </pt>
                <pt idx="280">
                  <v>50.4</v>
                </pt>
                <pt idx="281">
                  <v>57.3</v>
                </pt>
                <pt idx="282">
                  <v>47</v>
                </pt>
                <pt idx="283">
                  <v>57.6</v>
                </pt>
                <pt idx="284">
                  <v>55.5</v>
                </pt>
                <pt idx="285">
                  <v>58.6</v>
                </pt>
                <pt idx="286">
                  <v>60</v>
                </pt>
                <pt idx="287">
                  <v>50.7</v>
                </pt>
                <pt idx="288">
                  <v>65.8</v>
                </pt>
                <pt idx="289">
                  <v>60.6</v>
                </pt>
                <pt idx="290">
                  <v>59.5</v>
                </pt>
                <pt idx="291">
                  <v>62.3</v>
                </pt>
                <pt idx="292">
                  <v>57.9</v>
                </pt>
                <pt idx="293">
                  <v>61.5</v>
                </pt>
                <pt idx="294">
                  <v>45.9</v>
                </pt>
                <pt idx="295">
                  <v>53</v>
                </pt>
                <pt idx="296">
                  <v>61</v>
                </pt>
                <pt idx="297">
                  <v>58.1</v>
                </pt>
                <pt idx="298">
                  <v>60.9</v>
                </pt>
                <pt idx="299">
                  <v>57.5</v>
                </pt>
              </numCache>
            </numRef>
          </val>
          <smooth val="0"/>
        </ser>
        <dLbls>
          <showLegendKey val="0"/>
          <showVal val="0"/>
          <showCatName val="0"/>
          <showSerName val="0"/>
          <showPercent val="0"/>
          <showBubbleSize val="0"/>
        </dLbls>
        <smooth val="0"/>
        <axId val="946929536"/>
        <axId val="946929864"/>
      </lineChart>
      <dateAx>
        <axId val="946929536"/>
        <scaling>
          <orientation val="minMax"/>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864"/>
        <crosses val="autoZero"/>
        <lblOffset val="100"/>
        <baseTimeUnit val="months"/>
      </dateAx>
      <valAx>
        <axId val="946929864"/>
        <scaling>
          <orientation val="minMax"/>
          <min val="3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536"/>
        <crosses val="autoZero"/>
        <crossBetween val="between"/>
      </valAx>
    </plotArea>
    <plotVisOnly val="1"/>
    <dispBlanksAs val="gap"/>
  </chart>
</chartSpace>
</file>

<file path=xl/charts/chart76.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Exports</a:t>
            </a:r>
          </a:p>
        </rich>
      </tx>
      <overlay val="0"/>
      <spPr>
        <a:noFill xmlns:a="http://schemas.openxmlformats.org/drawingml/2006/main"/>
        <a:ln xmlns:a="http://schemas.openxmlformats.org/drawingml/2006/main">
          <a:noFill/>
          <a:prstDash val="solid"/>
        </a:ln>
      </spPr>
    </title>
    <plotArea>
      <layout/>
      <lineChart>
        <grouping val="standard"/>
        <varyColors val="0"/>
        <ser>
          <idx val="9"/>
          <order val="0"/>
          <tx>
            <strRef>
              <f>Details!$K$5</f>
              <strCache>
                <ptCount val="1"/>
                <pt idx="0">
                  <v>Exports</v>
                </pt>
              </strCache>
            </strRef>
          </tx>
          <spPr>
            <a:ln xmlns:a="http://schemas.openxmlformats.org/drawingml/2006/main" w="28575" cap="rnd">
              <a:solidFill>
                <a:schemeClr val="accent4">
                  <a:lumMod val="60000"/>
                </a:schemeClr>
              </a:solidFill>
              <a:prstDash val="solid"/>
              <a:round/>
            </a:ln>
          </spPr>
          <marker>
            <symbol val="none"/>
            <spPr>
              <a:ln xmlns:a="http://schemas.openxmlformats.org/drawingml/2006/main">
                <a:prstDash val="solid"/>
              </a:ln>
            </spPr>
          </marker>
          <cat>
            <numRef>
              <f>Details!$A$6:$A$307</f>
              <numCache>
                <formatCode>m/d/yy</formatCode>
                <ptCount val="302"/>
                <pt idx="0">
                  <v>35612</v>
                </pt>
                <pt idx="1">
                  <v>35643</v>
                </pt>
                <pt idx="2">
                  <v>35674</v>
                </pt>
                <pt idx="3">
                  <v>35704</v>
                </pt>
                <pt idx="4">
                  <v>35735</v>
                </pt>
                <pt idx="5">
                  <v>35765</v>
                </pt>
                <pt idx="6">
                  <v>35796</v>
                </pt>
                <pt idx="7">
                  <v>35827</v>
                </pt>
                <pt idx="8">
                  <v>35855</v>
                </pt>
                <pt idx="9">
                  <v>35886</v>
                </pt>
                <pt idx="10">
                  <v>35916</v>
                </pt>
                <pt idx="11">
                  <v>35947</v>
                </pt>
                <pt idx="12">
                  <v>35977</v>
                </pt>
                <pt idx="13">
                  <v>36008</v>
                </pt>
                <pt idx="14">
                  <v>36039</v>
                </pt>
                <pt idx="15">
                  <v>36069</v>
                </pt>
                <pt idx="16">
                  <v>36100</v>
                </pt>
                <pt idx="17">
                  <v>36130</v>
                </pt>
                <pt idx="18">
                  <v>36161</v>
                </pt>
                <pt idx="19">
                  <v>36192</v>
                </pt>
                <pt idx="20">
                  <v>36220</v>
                </pt>
                <pt idx="21">
                  <v>36251</v>
                </pt>
                <pt idx="22">
                  <v>36281</v>
                </pt>
                <pt idx="23">
                  <v>36312</v>
                </pt>
                <pt idx="24">
                  <v>36342</v>
                </pt>
                <pt idx="25">
                  <v>36373</v>
                </pt>
                <pt idx="26">
                  <v>36404</v>
                </pt>
                <pt idx="27">
                  <v>36434</v>
                </pt>
                <pt idx="28">
                  <v>36465</v>
                </pt>
                <pt idx="29">
                  <v>36495</v>
                </pt>
                <pt idx="30">
                  <v>36526</v>
                </pt>
                <pt idx="31">
                  <v>36557</v>
                </pt>
                <pt idx="32">
                  <v>36586</v>
                </pt>
                <pt idx="33">
                  <v>36617</v>
                </pt>
                <pt idx="34">
                  <v>36647</v>
                </pt>
                <pt idx="35">
                  <v>36678</v>
                </pt>
                <pt idx="36">
                  <v>36708</v>
                </pt>
                <pt idx="37">
                  <v>36739</v>
                </pt>
                <pt idx="38">
                  <v>36770</v>
                </pt>
                <pt idx="39">
                  <v>36800</v>
                </pt>
                <pt idx="40">
                  <v>36831</v>
                </pt>
                <pt idx="41">
                  <v>36861</v>
                </pt>
                <pt idx="42">
                  <v>36892</v>
                </pt>
                <pt idx="43">
                  <v>36923</v>
                </pt>
                <pt idx="44">
                  <v>36951</v>
                </pt>
                <pt idx="45">
                  <v>36982</v>
                </pt>
                <pt idx="46">
                  <v>37012</v>
                </pt>
                <pt idx="47">
                  <v>37043</v>
                </pt>
                <pt idx="48">
                  <v>37073</v>
                </pt>
                <pt idx="49">
                  <v>37104</v>
                </pt>
                <pt idx="50">
                  <v>37135</v>
                </pt>
                <pt idx="51">
                  <v>37165</v>
                </pt>
                <pt idx="52">
                  <v>37196</v>
                </pt>
                <pt idx="53">
                  <v>37226</v>
                </pt>
                <pt idx="54">
                  <v>37257</v>
                </pt>
                <pt idx="55">
                  <v>37288</v>
                </pt>
                <pt idx="56">
                  <v>37316</v>
                </pt>
                <pt idx="57">
                  <v>37347</v>
                </pt>
                <pt idx="58">
                  <v>37377</v>
                </pt>
                <pt idx="59">
                  <v>37408</v>
                </pt>
                <pt idx="60">
                  <v>37438</v>
                </pt>
                <pt idx="61">
                  <v>37469</v>
                </pt>
                <pt idx="62">
                  <v>37500</v>
                </pt>
                <pt idx="63">
                  <v>37530</v>
                </pt>
                <pt idx="64">
                  <v>37561</v>
                </pt>
                <pt idx="65">
                  <v>37591</v>
                </pt>
                <pt idx="66">
                  <v>37622</v>
                </pt>
                <pt idx="67">
                  <v>37653</v>
                </pt>
                <pt idx="68">
                  <v>37681</v>
                </pt>
                <pt idx="69">
                  <v>37712</v>
                </pt>
                <pt idx="70">
                  <v>37742</v>
                </pt>
                <pt idx="71">
                  <v>37773</v>
                </pt>
                <pt idx="72">
                  <v>37803</v>
                </pt>
                <pt idx="73">
                  <v>37834</v>
                </pt>
                <pt idx="74">
                  <v>37865</v>
                </pt>
                <pt idx="75">
                  <v>37895</v>
                </pt>
                <pt idx="76">
                  <v>37926</v>
                </pt>
                <pt idx="77">
                  <v>37956</v>
                </pt>
                <pt idx="78">
                  <v>37987</v>
                </pt>
                <pt idx="79">
                  <v>38018</v>
                </pt>
                <pt idx="80">
                  <v>38047</v>
                </pt>
                <pt idx="81">
                  <v>38078</v>
                </pt>
                <pt idx="82">
                  <v>38108</v>
                </pt>
                <pt idx="83">
                  <v>38139</v>
                </pt>
                <pt idx="84">
                  <v>38169</v>
                </pt>
                <pt idx="85">
                  <v>38200</v>
                </pt>
                <pt idx="86">
                  <v>38231</v>
                </pt>
                <pt idx="87">
                  <v>38261</v>
                </pt>
                <pt idx="88">
                  <v>38292</v>
                </pt>
                <pt idx="89">
                  <v>38322</v>
                </pt>
                <pt idx="90">
                  <v>38353</v>
                </pt>
                <pt idx="91">
                  <v>38384</v>
                </pt>
                <pt idx="92">
                  <v>38412</v>
                </pt>
                <pt idx="93">
                  <v>38443</v>
                </pt>
                <pt idx="94">
                  <v>38473</v>
                </pt>
                <pt idx="95">
                  <v>38504</v>
                </pt>
                <pt idx="96">
                  <v>38534</v>
                </pt>
                <pt idx="97">
                  <v>38565</v>
                </pt>
                <pt idx="98">
                  <v>38596</v>
                </pt>
                <pt idx="99">
                  <v>38626</v>
                </pt>
                <pt idx="100">
                  <v>38657</v>
                </pt>
                <pt idx="101">
                  <v>38687</v>
                </pt>
                <pt idx="102">
                  <v>38718</v>
                </pt>
                <pt idx="103">
                  <v>38749</v>
                </pt>
                <pt idx="104">
                  <v>38777</v>
                </pt>
                <pt idx="105">
                  <v>38808</v>
                </pt>
                <pt idx="106">
                  <v>38838</v>
                </pt>
                <pt idx="107">
                  <v>38869</v>
                </pt>
                <pt idx="108">
                  <v>38899</v>
                </pt>
                <pt idx="109">
                  <v>38930</v>
                </pt>
                <pt idx="110">
                  <v>38961</v>
                </pt>
                <pt idx="111">
                  <v>38991</v>
                </pt>
                <pt idx="112">
                  <v>39022</v>
                </pt>
                <pt idx="113">
                  <v>39052</v>
                </pt>
                <pt idx="114">
                  <v>39083</v>
                </pt>
                <pt idx="115">
                  <v>39114</v>
                </pt>
                <pt idx="116">
                  <v>39142</v>
                </pt>
                <pt idx="117">
                  <v>39173</v>
                </pt>
                <pt idx="118">
                  <v>39203</v>
                </pt>
                <pt idx="119">
                  <v>39234</v>
                </pt>
                <pt idx="120">
                  <v>39264</v>
                </pt>
                <pt idx="121">
                  <v>39295</v>
                </pt>
                <pt idx="122">
                  <v>39326</v>
                </pt>
                <pt idx="123">
                  <v>39356</v>
                </pt>
                <pt idx="124">
                  <v>39387</v>
                </pt>
                <pt idx="125">
                  <v>39417</v>
                </pt>
                <pt idx="126">
                  <v>39448</v>
                </pt>
                <pt idx="127">
                  <v>39479</v>
                </pt>
                <pt idx="128">
                  <v>39508</v>
                </pt>
                <pt idx="129">
                  <v>39539</v>
                </pt>
                <pt idx="130">
                  <v>39569</v>
                </pt>
                <pt idx="131">
                  <v>39600</v>
                </pt>
                <pt idx="132">
                  <v>39630</v>
                </pt>
                <pt idx="133">
                  <v>39661</v>
                </pt>
                <pt idx="134">
                  <v>39692</v>
                </pt>
                <pt idx="135">
                  <v>39722</v>
                </pt>
                <pt idx="136">
                  <v>39753</v>
                </pt>
                <pt idx="137">
                  <v>39783</v>
                </pt>
                <pt idx="138">
                  <v>39814</v>
                </pt>
                <pt idx="139">
                  <v>39845</v>
                </pt>
                <pt idx="140">
                  <v>39873</v>
                </pt>
                <pt idx="141">
                  <v>39904</v>
                </pt>
                <pt idx="142">
                  <v>39934</v>
                </pt>
                <pt idx="143">
                  <v>39965</v>
                </pt>
                <pt idx="144">
                  <v>39995</v>
                </pt>
                <pt idx="145">
                  <v>40026</v>
                </pt>
                <pt idx="146">
                  <v>40057</v>
                </pt>
                <pt idx="147">
                  <v>40087</v>
                </pt>
                <pt idx="148">
                  <v>40118</v>
                </pt>
                <pt idx="149">
                  <v>40148</v>
                </pt>
                <pt idx="150">
                  <v>40179</v>
                </pt>
                <pt idx="151">
                  <v>40210</v>
                </pt>
                <pt idx="152">
                  <v>40238</v>
                </pt>
                <pt idx="153">
                  <v>40269</v>
                </pt>
                <pt idx="154">
                  <v>40299</v>
                </pt>
                <pt idx="155">
                  <v>40330</v>
                </pt>
                <pt idx="156">
                  <v>40360</v>
                </pt>
                <pt idx="157">
                  <v>40391</v>
                </pt>
                <pt idx="158">
                  <v>40422</v>
                </pt>
                <pt idx="159">
                  <v>40452</v>
                </pt>
                <pt idx="160">
                  <v>40483</v>
                </pt>
                <pt idx="161">
                  <v>40513</v>
                </pt>
                <pt idx="162">
                  <v>40544</v>
                </pt>
                <pt idx="163">
                  <v>40575</v>
                </pt>
                <pt idx="164">
                  <v>40603</v>
                </pt>
                <pt idx="165">
                  <v>40634</v>
                </pt>
                <pt idx="166">
                  <v>40664</v>
                </pt>
                <pt idx="167">
                  <v>40695</v>
                </pt>
                <pt idx="168">
                  <v>40725</v>
                </pt>
                <pt idx="169">
                  <v>40756</v>
                </pt>
                <pt idx="170">
                  <v>40787</v>
                </pt>
                <pt idx="171">
                  <v>40817</v>
                </pt>
                <pt idx="172">
                  <v>40848</v>
                </pt>
                <pt idx="173">
                  <v>40878</v>
                </pt>
                <pt idx="174">
                  <v>40909</v>
                </pt>
                <pt idx="175">
                  <v>40940</v>
                </pt>
                <pt idx="176">
                  <v>40969</v>
                </pt>
                <pt idx="177">
                  <v>41000</v>
                </pt>
                <pt idx="178">
                  <v>41030</v>
                </pt>
                <pt idx="179">
                  <v>41061</v>
                </pt>
                <pt idx="180">
                  <v>41091</v>
                </pt>
                <pt idx="181">
                  <v>41122</v>
                </pt>
                <pt idx="182">
                  <v>41153</v>
                </pt>
                <pt idx="183">
                  <v>41183</v>
                </pt>
                <pt idx="184">
                  <v>41214</v>
                </pt>
                <pt idx="185">
                  <v>41244</v>
                </pt>
                <pt idx="186">
                  <v>41275</v>
                </pt>
                <pt idx="187">
                  <v>41306</v>
                </pt>
                <pt idx="188">
                  <v>41334</v>
                </pt>
                <pt idx="189">
                  <v>41365</v>
                </pt>
                <pt idx="190">
                  <v>41395</v>
                </pt>
                <pt idx="191">
                  <v>41426</v>
                </pt>
                <pt idx="192">
                  <v>41456</v>
                </pt>
                <pt idx="193">
                  <v>41487</v>
                </pt>
                <pt idx="194">
                  <v>41518</v>
                </pt>
                <pt idx="195">
                  <v>41548</v>
                </pt>
                <pt idx="196">
                  <v>41579</v>
                </pt>
                <pt idx="197">
                  <v>41609</v>
                </pt>
                <pt idx="198">
                  <v>41640</v>
                </pt>
                <pt idx="199">
                  <v>41671</v>
                </pt>
                <pt idx="200">
                  <v>41699</v>
                </pt>
                <pt idx="201">
                  <v>41730</v>
                </pt>
                <pt idx="202">
                  <v>41760</v>
                </pt>
                <pt idx="203">
                  <v>41791</v>
                </pt>
                <pt idx="204">
                  <v>41821</v>
                </pt>
                <pt idx="205">
                  <v>41852</v>
                </pt>
                <pt idx="206">
                  <v>41883</v>
                </pt>
                <pt idx="207">
                  <v>41913</v>
                </pt>
                <pt idx="208">
                  <v>41944</v>
                </pt>
                <pt idx="209">
                  <v>41974</v>
                </pt>
                <pt idx="210">
                  <v>42005</v>
                </pt>
                <pt idx="211">
                  <v>42036</v>
                </pt>
                <pt idx="212">
                  <v>42064</v>
                </pt>
                <pt idx="213">
                  <v>42095</v>
                </pt>
                <pt idx="214">
                  <v>42125</v>
                </pt>
                <pt idx="215">
                  <v>42156</v>
                </pt>
                <pt idx="216">
                  <v>42186</v>
                </pt>
                <pt idx="217">
                  <v>42217</v>
                </pt>
                <pt idx="218">
                  <v>42248</v>
                </pt>
                <pt idx="219">
                  <v>42278</v>
                </pt>
                <pt idx="220">
                  <v>42309</v>
                </pt>
                <pt idx="221">
                  <v>42339</v>
                </pt>
                <pt idx="222">
                  <v>42370</v>
                </pt>
                <pt idx="223">
                  <v>42401</v>
                </pt>
                <pt idx="224">
                  <v>42430</v>
                </pt>
                <pt idx="225">
                  <v>42461</v>
                </pt>
                <pt idx="226">
                  <v>42491</v>
                </pt>
                <pt idx="227">
                  <v>42522</v>
                </pt>
                <pt idx="228">
                  <v>42552</v>
                </pt>
                <pt idx="229">
                  <v>42583</v>
                </pt>
                <pt idx="230">
                  <v>42614</v>
                </pt>
                <pt idx="231">
                  <v>42644</v>
                </pt>
                <pt idx="232">
                  <v>42675</v>
                </pt>
                <pt idx="233">
                  <v>42705</v>
                </pt>
                <pt idx="234">
                  <v>42736</v>
                </pt>
                <pt idx="235">
                  <v>42767</v>
                </pt>
                <pt idx="236">
                  <v>42795</v>
                </pt>
                <pt idx="237">
                  <v>42826</v>
                </pt>
                <pt idx="238">
                  <v>42856</v>
                </pt>
                <pt idx="239">
                  <v>42887</v>
                </pt>
                <pt idx="240">
                  <v>42917</v>
                </pt>
                <pt idx="241">
                  <v>42948</v>
                </pt>
                <pt idx="242">
                  <v>42979</v>
                </pt>
                <pt idx="243">
                  <v>43009</v>
                </pt>
                <pt idx="244">
                  <v>43040</v>
                </pt>
                <pt idx="245">
                  <v>43070</v>
                </pt>
                <pt idx="246">
                  <v>43101</v>
                </pt>
                <pt idx="247">
                  <v>43132</v>
                </pt>
                <pt idx="248">
                  <v>43160</v>
                </pt>
                <pt idx="249">
                  <v>43191</v>
                </pt>
                <pt idx="250">
                  <v>43221</v>
                </pt>
                <pt idx="251">
                  <v>43252</v>
                </pt>
                <pt idx="252">
                  <v>43282</v>
                </pt>
                <pt idx="253">
                  <v>43313</v>
                </pt>
                <pt idx="254">
                  <v>43344</v>
                </pt>
                <pt idx="255">
                  <v>43374</v>
                </pt>
                <pt idx="256">
                  <v>43405</v>
                </pt>
                <pt idx="257">
                  <v>43435</v>
                </pt>
                <pt idx="258">
                  <v>43466</v>
                </pt>
                <pt idx="259">
                  <v>43497</v>
                </pt>
                <pt idx="260">
                  <v>43525</v>
                </pt>
                <pt idx="261">
                  <v>43556</v>
                </pt>
                <pt idx="262">
                  <v>43586</v>
                </pt>
                <pt idx="263">
                  <v>43617</v>
                </pt>
                <pt idx="264">
                  <v>43647</v>
                </pt>
                <pt idx="265">
                  <v>43678</v>
                </pt>
                <pt idx="266">
                  <v>43709</v>
                </pt>
                <pt idx="267">
                  <v>43739</v>
                </pt>
                <pt idx="268">
                  <v>43770</v>
                </pt>
                <pt idx="269">
                  <v>43800</v>
                </pt>
                <pt idx="270">
                  <v>43831</v>
                </pt>
                <pt idx="271">
                  <v>43862</v>
                </pt>
                <pt idx="272">
                  <v>43891</v>
                </pt>
                <pt idx="273">
                  <v>43922</v>
                </pt>
                <pt idx="274">
                  <v>43952</v>
                </pt>
                <pt idx="275">
                  <v>43983</v>
                </pt>
                <pt idx="276">
                  <v>44013</v>
                </pt>
                <pt idx="277">
                  <v>44044</v>
                </pt>
                <pt idx="278">
                  <v>44075</v>
                </pt>
                <pt idx="279">
                  <v>44105</v>
                </pt>
                <pt idx="280">
                  <v>44136</v>
                </pt>
                <pt idx="281">
                  <v>44166</v>
                </pt>
                <pt idx="282">
                  <v>44197</v>
                </pt>
                <pt idx="283">
                  <v>44228</v>
                </pt>
                <pt idx="284">
                  <v>44256</v>
                </pt>
                <pt idx="285">
                  <v>44287</v>
                </pt>
                <pt idx="286">
                  <v>44317</v>
                </pt>
                <pt idx="287">
                  <v>44348</v>
                </pt>
                <pt idx="288">
                  <v>44378</v>
                </pt>
                <pt idx="289">
                  <v>44409</v>
                </pt>
                <pt idx="290">
                  <v>44440</v>
                </pt>
                <pt idx="291">
                  <v>44470</v>
                </pt>
                <pt idx="292">
                  <v>44501</v>
                </pt>
                <pt idx="293">
                  <v>44531</v>
                </pt>
                <pt idx="294">
                  <v>44562</v>
                </pt>
                <pt idx="295">
                  <v>44593</v>
                </pt>
                <pt idx="296">
                  <v>44621</v>
                </pt>
                <pt idx="297">
                  <v>44652</v>
                </pt>
                <pt idx="298">
                  <v>44682</v>
                </pt>
                <pt idx="299">
                  <v>44713</v>
                </pt>
              </numCache>
            </numRef>
          </cat>
          <val>
            <numRef>
              <f>Details!$K$6:$K$307</f>
              <numCache>
                <formatCode>General</formatCode>
                <ptCount val="302"/>
                <pt idx="0">
                  <v>62</v>
                </pt>
                <pt idx="1">
                  <v>57.5</v>
                </pt>
                <pt idx="2">
                  <v>49.5</v>
                </pt>
                <pt idx="3">
                  <v>51.5</v>
                </pt>
                <pt idx="4">
                  <v>53.5</v>
                </pt>
                <pt idx="5">
                  <v>48.5</v>
                </pt>
                <pt idx="6">
                  <v>52</v>
                </pt>
                <pt idx="7">
                  <v>51.5</v>
                </pt>
                <pt idx="8">
                  <v>58.5</v>
                </pt>
                <pt idx="9">
                  <v>56.5</v>
                </pt>
                <pt idx="10">
                  <v>48.5</v>
                </pt>
                <pt idx="11">
                  <v>55</v>
                </pt>
                <pt idx="12">
                  <v>51.5</v>
                </pt>
                <pt idx="13">
                  <v>54</v>
                </pt>
                <pt idx="14">
                  <v>54</v>
                </pt>
                <pt idx="15">
                  <v>48.5</v>
                </pt>
                <pt idx="16">
                  <v>45</v>
                </pt>
                <pt idx="17">
                  <v>49</v>
                </pt>
                <pt idx="18">
                  <v>46.5</v>
                </pt>
                <pt idx="19">
                  <v>47.5</v>
                </pt>
                <pt idx="20">
                  <v>58.5</v>
                </pt>
                <pt idx="21">
                  <v>56.5</v>
                </pt>
                <pt idx="22">
                  <v>58.5</v>
                </pt>
                <pt idx="23">
                  <v>53.5</v>
                </pt>
                <pt idx="24">
                  <v>57.5</v>
                </pt>
                <pt idx="25">
                  <v>58</v>
                </pt>
                <pt idx="26">
                  <v>62.5</v>
                </pt>
                <pt idx="27">
                  <v>54</v>
                </pt>
                <pt idx="28">
                  <v>56</v>
                </pt>
                <pt idx="29">
                  <v>58</v>
                </pt>
                <pt idx="30">
                  <v>57.5</v>
                </pt>
                <pt idx="31">
                  <v>47.5</v>
                </pt>
                <pt idx="32">
                  <v>55.5</v>
                </pt>
                <pt idx="33">
                  <v>59</v>
                </pt>
                <pt idx="34">
                  <v>62</v>
                </pt>
                <pt idx="35">
                  <v>57</v>
                </pt>
                <pt idx="36">
                  <v>53</v>
                </pt>
                <pt idx="37">
                  <v>56</v>
                </pt>
                <pt idx="38">
                  <v>51.5</v>
                </pt>
                <pt idx="39">
                  <v>55</v>
                </pt>
                <pt idx="40">
                  <v>55</v>
                </pt>
                <pt idx="41">
                  <v>56.5</v>
                </pt>
                <pt idx="42">
                  <v>55</v>
                </pt>
                <pt idx="43">
                  <v>53.5</v>
                </pt>
                <pt idx="44">
                  <v>49.5</v>
                </pt>
                <pt idx="45">
                  <v>55.5</v>
                </pt>
                <pt idx="46">
                  <v>48.5</v>
                </pt>
                <pt idx="47">
                  <v>49.5</v>
                </pt>
                <pt idx="48">
                  <v>53</v>
                </pt>
                <pt idx="49">
                  <v>47.5</v>
                </pt>
                <pt idx="50">
                  <v>53.5</v>
                </pt>
                <pt idx="51">
                  <v>44.5</v>
                </pt>
                <pt idx="52">
                  <v>48.5</v>
                </pt>
                <pt idx="53">
                  <v>55</v>
                </pt>
                <pt idx="54">
                  <v>56.5</v>
                </pt>
                <pt idx="55">
                  <v>52.5</v>
                </pt>
                <pt idx="56">
                  <v>49.5</v>
                </pt>
                <pt idx="57">
                  <v>52.5</v>
                </pt>
                <pt idx="58">
                  <v>61.5</v>
                </pt>
                <pt idx="59">
                  <v>57.5</v>
                </pt>
                <pt idx="60">
                  <v>59.5</v>
                </pt>
                <pt idx="61">
                  <v>46</v>
                </pt>
                <pt idx="62">
                  <v>57.5</v>
                </pt>
                <pt idx="63">
                  <v>49</v>
                </pt>
                <pt idx="64">
                  <v>58.5</v>
                </pt>
                <pt idx="65">
                  <v>54</v>
                </pt>
                <pt idx="66">
                  <v>53</v>
                </pt>
                <pt idx="67">
                  <v>58.5</v>
                </pt>
                <pt idx="68">
                  <v>48.5</v>
                </pt>
                <pt idx="69">
                  <v>52.5</v>
                </pt>
                <pt idx="70">
                  <v>49</v>
                </pt>
                <pt idx="71">
                  <v>49.5</v>
                </pt>
                <pt idx="72">
                  <v>47.5</v>
                </pt>
                <pt idx="73">
                  <v>58.5</v>
                </pt>
                <pt idx="74">
                  <v>56</v>
                </pt>
                <pt idx="75">
                  <v>58</v>
                </pt>
                <pt idx="76">
                  <v>54.5</v>
                </pt>
                <pt idx="77">
                  <v>57.5</v>
                </pt>
                <pt idx="78">
                  <v>51</v>
                </pt>
                <pt idx="79">
                  <v>55.5</v>
                </pt>
                <pt idx="80">
                  <v>51.5</v>
                </pt>
                <pt idx="81">
                  <v>62</v>
                </pt>
                <pt idx="82">
                  <v>52</v>
                </pt>
                <pt idx="83">
                  <v>59.5</v>
                </pt>
                <pt idx="84">
                  <v>55.5</v>
                </pt>
                <pt idx="85">
                  <v>55</v>
                </pt>
                <pt idx="86">
                  <v>55.5</v>
                </pt>
                <pt idx="87">
                  <v>55</v>
                </pt>
                <pt idx="88">
                  <v>53.5</v>
                </pt>
                <pt idx="89">
                  <v>55.5</v>
                </pt>
                <pt idx="90">
                  <v>52.5</v>
                </pt>
                <pt idx="91">
                  <v>56</v>
                </pt>
                <pt idx="92">
                  <v>51.5</v>
                </pt>
                <pt idx="93">
                  <v>52.5</v>
                </pt>
                <pt idx="94">
                  <v>62</v>
                </pt>
                <pt idx="95">
                  <v>50</v>
                </pt>
                <pt idx="96">
                  <v>53.5</v>
                </pt>
                <pt idx="97">
                  <v>63.5</v>
                </pt>
                <pt idx="98">
                  <v>55</v>
                </pt>
                <pt idx="99">
                  <v>54.5</v>
                </pt>
                <pt idx="100">
                  <v>57</v>
                </pt>
                <pt idx="101">
                  <v>61.5</v>
                </pt>
                <pt idx="102">
                  <v>58</v>
                </pt>
                <pt idx="103">
                  <v>60</v>
                </pt>
                <pt idx="104">
                  <v>63.5</v>
                </pt>
                <pt idx="105">
                  <v>59.5</v>
                </pt>
                <pt idx="106">
                  <v>64</v>
                </pt>
                <pt idx="107">
                  <v>54.5</v>
                </pt>
                <pt idx="108">
                  <v>56</v>
                </pt>
                <pt idx="109">
                  <v>53</v>
                </pt>
                <pt idx="110">
                  <v>59</v>
                </pt>
                <pt idx="111">
                  <v>63.5</v>
                </pt>
                <pt idx="112">
                  <v>58.5</v>
                </pt>
                <pt idx="113">
                  <v>61.5</v>
                </pt>
                <pt idx="114">
                  <v>55</v>
                </pt>
                <pt idx="115">
                  <v>59</v>
                </pt>
                <pt idx="116">
                  <v>48.5</v>
                </pt>
                <pt idx="117">
                  <v>55.5</v>
                </pt>
                <pt idx="118">
                  <v>66</v>
                </pt>
                <pt idx="119">
                  <v>59</v>
                </pt>
                <pt idx="120">
                  <v>52.5</v>
                </pt>
                <pt idx="121">
                  <v>53.5</v>
                </pt>
                <pt idx="122">
                  <v>50</v>
                </pt>
                <pt idx="123">
                  <v>56</v>
                </pt>
                <pt idx="124">
                  <v>55.5</v>
                </pt>
                <pt idx="125">
                  <v>50</v>
                </pt>
                <pt idx="126">
                  <v>52</v>
                </pt>
                <pt idx="127">
                  <v>46.5</v>
                </pt>
                <pt idx="128">
                  <v>55</v>
                </pt>
                <pt idx="129">
                  <v>48.5</v>
                </pt>
                <pt idx="130">
                  <v>54</v>
                </pt>
                <pt idx="131">
                  <v>52</v>
                </pt>
                <pt idx="132">
                  <v>47.5</v>
                </pt>
                <pt idx="133">
                  <v>44.5</v>
                </pt>
                <pt idx="134">
                  <v>50.5</v>
                </pt>
                <pt idx="135">
                  <v>50</v>
                </pt>
                <pt idx="136">
                  <v>34.5</v>
                </pt>
                <pt idx="137">
                  <v>39.5</v>
                </pt>
                <pt idx="138">
                  <v>39</v>
                </pt>
                <pt idx="139">
                  <v>40</v>
                </pt>
                <pt idx="140">
                  <v>39</v>
                </pt>
                <pt idx="141">
                  <v>48.5</v>
                </pt>
                <pt idx="142">
                  <v>47</v>
                </pt>
                <pt idx="143">
                  <v>54.5</v>
                </pt>
                <pt idx="144">
                  <v>47.5</v>
                </pt>
                <pt idx="145">
                  <v>54</v>
                </pt>
                <pt idx="146">
                  <v>48.5</v>
                </pt>
                <pt idx="147">
                  <v>53.5</v>
                </pt>
                <pt idx="148">
                  <v>54.5</v>
                </pt>
                <pt idx="149">
                  <v>46</v>
                </pt>
                <pt idx="150">
                  <v>46</v>
                </pt>
                <pt idx="151">
                  <v>47</v>
                </pt>
                <pt idx="152">
                  <v>57.5</v>
                </pt>
                <pt idx="153">
                  <v>57</v>
                </pt>
                <pt idx="154">
                  <v>53.5</v>
                </pt>
                <pt idx="155">
                  <v>48</v>
                </pt>
                <pt idx="156">
                  <v>52</v>
                </pt>
                <pt idx="157">
                  <v>46.5</v>
                </pt>
                <pt idx="158">
                  <v>58</v>
                </pt>
                <pt idx="159">
                  <v>55.5</v>
                </pt>
                <pt idx="160">
                  <v>59.5</v>
                </pt>
                <pt idx="161">
                  <v>56</v>
                </pt>
                <pt idx="162">
                  <v>53.5</v>
                </pt>
                <pt idx="163">
                  <v>56.5</v>
                </pt>
                <pt idx="164">
                  <v>59</v>
                </pt>
                <pt idx="165">
                  <v>53.5</v>
                </pt>
                <pt idx="166">
                  <v>57</v>
                </pt>
                <pt idx="167">
                  <v>57</v>
                </pt>
                <pt idx="168">
                  <v>49</v>
                </pt>
                <pt idx="169">
                  <v>56.5</v>
                </pt>
                <pt idx="170">
                  <v>52</v>
                </pt>
                <pt idx="171">
                  <v>54</v>
                </pt>
                <pt idx="172">
                  <v>55.5</v>
                </pt>
                <pt idx="173">
                  <v>51</v>
                </pt>
                <pt idx="174">
                  <v>56.5</v>
                </pt>
                <pt idx="175">
                  <v>54.5</v>
                </pt>
                <pt idx="176">
                  <v>52.5</v>
                </pt>
                <pt idx="177">
                  <v>58</v>
                </pt>
                <pt idx="178">
                  <v>53</v>
                </pt>
                <pt idx="179">
                  <v>49.5</v>
                </pt>
                <pt idx="180">
                  <v>51</v>
                </pt>
                <pt idx="181">
                  <v>52</v>
                </pt>
                <pt idx="182">
                  <v>50.5</v>
                </pt>
                <pt idx="183">
                  <v>47.5</v>
                </pt>
                <pt idx="184">
                  <v>48</v>
                </pt>
                <pt idx="185">
                  <v>49.5</v>
                </pt>
                <pt idx="186">
                  <v>55.5</v>
                </pt>
                <pt idx="187">
                  <v>60.5</v>
                </pt>
                <pt idx="188">
                  <v>56.5</v>
                </pt>
                <pt idx="189">
                  <v>53.5</v>
                </pt>
                <pt idx="190">
                  <v>50</v>
                </pt>
                <pt idx="191">
                  <v>47.5</v>
                </pt>
                <pt idx="192">
                  <v>49.5</v>
                </pt>
                <pt idx="193">
                  <v>50.5</v>
                </pt>
                <pt idx="194">
                  <v>57.5</v>
                </pt>
                <pt idx="195">
                  <v>53</v>
                </pt>
                <pt idx="196">
                  <v>58</v>
                </pt>
                <pt idx="197">
                  <v>51.5</v>
                </pt>
                <pt idx="198">
                  <v>49</v>
                </pt>
                <pt idx="199">
                  <v>47.5</v>
                </pt>
                <pt idx="200">
                  <v>49.5</v>
                </pt>
                <pt idx="201">
                  <v>57</v>
                </pt>
                <pt idx="202">
                  <v>53</v>
                </pt>
                <pt idx="203">
                  <v>55</v>
                </pt>
                <pt idx="204">
                  <v>53</v>
                </pt>
                <pt idx="205">
                  <v>52.5</v>
                </pt>
                <pt idx="206">
                  <v>57.5</v>
                </pt>
                <pt idx="207">
                  <v>53.5</v>
                </pt>
                <pt idx="208">
                  <v>57</v>
                </pt>
                <pt idx="209">
                  <v>53.5</v>
                </pt>
                <pt idx="210">
                  <v>52.5</v>
                </pt>
                <pt idx="211">
                  <v>53</v>
                </pt>
                <pt idx="212">
                  <v>59</v>
                </pt>
                <pt idx="213">
                  <v>48.5</v>
                </pt>
                <pt idx="214">
                  <v>55</v>
                </pt>
                <pt idx="215">
                  <v>52</v>
                </pt>
                <pt idx="216">
                  <v>56.5</v>
                </pt>
                <pt idx="217">
                  <v>52</v>
                </pt>
                <pt idx="218">
                  <v>52.5</v>
                </pt>
                <pt idx="219">
                  <v>54.5</v>
                </pt>
                <pt idx="220">
                  <v>49.5</v>
                </pt>
                <pt idx="221">
                  <v>53.5</v>
                </pt>
                <pt idx="222">
                  <v>45.5</v>
                </pt>
                <pt idx="223">
                  <v>53.5</v>
                </pt>
                <pt idx="224">
                  <v>58.5</v>
                </pt>
                <pt idx="225">
                  <v>56.5</v>
                </pt>
                <pt idx="226">
                  <v>49</v>
                </pt>
                <pt idx="227">
                  <v>53</v>
                </pt>
                <pt idx="228">
                  <v>55.5</v>
                </pt>
                <pt idx="229">
                  <v>46.5</v>
                </pt>
                <pt idx="230">
                  <v>56.5</v>
                </pt>
                <pt idx="231">
                  <v>55.5</v>
                </pt>
                <pt idx="232">
                  <v>57</v>
                </pt>
                <pt idx="233">
                  <v>53</v>
                </pt>
                <pt idx="234">
                  <v>48</v>
                </pt>
                <pt idx="235">
                  <v>57</v>
                </pt>
                <pt idx="236">
                  <v>62.5</v>
                </pt>
                <pt idx="237">
                  <v>65.5</v>
                </pt>
                <pt idx="238">
                  <v>54.5</v>
                </pt>
                <pt idx="239">
                  <v>55</v>
                </pt>
                <pt idx="240">
                  <v>53</v>
                </pt>
                <pt idx="241">
                  <v>55</v>
                </pt>
                <pt idx="242">
                  <v>56</v>
                </pt>
                <pt idx="243">
                  <v>60</v>
                </pt>
                <pt idx="244">
                  <v>57</v>
                </pt>
                <pt idx="245">
                  <v>56.5</v>
                </pt>
                <pt idx="246">
                  <v>58</v>
                </pt>
                <pt idx="247">
                  <v>59.5</v>
                </pt>
                <pt idx="248">
                  <v>58</v>
                </pt>
                <pt idx="249">
                  <v>61.5</v>
                </pt>
                <pt idx="250">
                  <v>57.5</v>
                </pt>
                <pt idx="251">
                  <v>60.5</v>
                </pt>
                <pt idx="252">
                  <v>58</v>
                </pt>
                <pt idx="253">
                  <v>60.5</v>
                </pt>
                <pt idx="254">
                  <v>61</v>
                </pt>
                <pt idx="255">
                  <v>61</v>
                </pt>
                <pt idx="256">
                  <v>57.5</v>
                </pt>
                <pt idx="257">
                  <v>59.5</v>
                </pt>
                <pt idx="258">
                  <v>50.5</v>
                </pt>
                <pt idx="259">
                  <v>55</v>
                </pt>
                <pt idx="260">
                  <v>52.5</v>
                </pt>
                <pt idx="261">
                  <v>57</v>
                </pt>
                <pt idx="262">
                  <v>55.5</v>
                </pt>
                <pt idx="263">
                  <v>55.5</v>
                </pt>
                <pt idx="264">
                  <v>53.5</v>
                </pt>
                <pt idx="265">
                  <v>50.5</v>
                </pt>
                <pt idx="266">
                  <v>52</v>
                </pt>
                <pt idx="267">
                  <v>50</v>
                </pt>
                <pt idx="268">
                  <v>52</v>
                </pt>
                <pt idx="269">
                  <v>51</v>
                </pt>
                <pt idx="270">
                  <v>50.1</v>
                </pt>
                <pt idx="271">
                  <v>55.6</v>
                </pt>
                <pt idx="272">
                  <v>45.9</v>
                </pt>
                <pt idx="273">
                  <v>36.3</v>
                </pt>
                <pt idx="274">
                  <v>41.5</v>
                </pt>
                <pt idx="275">
                  <v>58.9</v>
                </pt>
                <pt idx="276">
                  <v>49.3</v>
                </pt>
                <pt idx="277">
                  <v>55.8</v>
                </pt>
                <pt idx="278">
                  <v>52.6</v>
                </pt>
                <pt idx="279">
                  <v>53.7</v>
                </pt>
                <pt idx="280">
                  <v>50.4</v>
                </pt>
                <pt idx="281">
                  <v>57.3</v>
                </pt>
                <pt idx="282">
                  <v>47</v>
                </pt>
                <pt idx="283">
                  <v>57.6</v>
                </pt>
                <pt idx="284">
                  <v>55.5</v>
                </pt>
                <pt idx="285">
                  <v>58.6</v>
                </pt>
                <pt idx="286">
                  <v>60</v>
                </pt>
                <pt idx="287">
                  <v>50.7</v>
                </pt>
                <pt idx="288">
                  <v>65.8</v>
                </pt>
                <pt idx="289">
                  <v>60.6</v>
                </pt>
                <pt idx="290">
                  <v>59.5</v>
                </pt>
                <pt idx="291">
                  <v>62.3</v>
                </pt>
                <pt idx="292">
                  <v>57.9</v>
                </pt>
                <pt idx="293">
                  <v>61.5</v>
                </pt>
                <pt idx="294">
                  <v>45.9</v>
                </pt>
                <pt idx="295">
                  <v>53</v>
                </pt>
                <pt idx="296">
                  <v>61</v>
                </pt>
                <pt idx="297">
                  <v>58.1</v>
                </pt>
                <pt idx="298">
                  <v>60.9</v>
                </pt>
                <pt idx="299">
                  <v>57.5</v>
                </pt>
              </numCache>
            </numRef>
          </val>
          <smooth val="0"/>
        </ser>
        <dLbls>
          <showLegendKey val="0"/>
          <showVal val="0"/>
          <showCatName val="0"/>
          <showSerName val="0"/>
          <showPercent val="0"/>
          <showBubbleSize val="0"/>
        </dLbls>
        <smooth val="0"/>
        <axId val="946929536"/>
        <axId val="946929864"/>
      </lineChart>
      <dateAx>
        <axId val="946929536"/>
        <scaling>
          <orientation val="minMax"/>
          <min val="42005"/>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864"/>
        <crosses val="autoZero"/>
        <lblOffset val="100"/>
        <baseTimeUnit val="months"/>
      </dateAx>
      <valAx>
        <axId val="946929864"/>
        <scaling>
          <orientation val="minMax"/>
          <min val="3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536"/>
        <crosses val="autoZero"/>
        <crossBetween val="between"/>
      </valAx>
    </plotArea>
    <plotVisOnly val="1"/>
    <dispBlanksAs val="gap"/>
  </chart>
</chartSpace>
</file>

<file path=xl/charts/chart77.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a:t>ISM Services vs GDP growth yoy %</a:t>
            </a:r>
          </a:p>
        </rich>
      </tx>
      <overlay val="0"/>
      <spPr>
        <a:noFill xmlns:a="http://schemas.openxmlformats.org/drawingml/2006/main"/>
        <a:ln xmlns:a="http://schemas.openxmlformats.org/drawingml/2006/main">
          <a:noFill/>
          <a:prstDash val="solid"/>
        </a:ln>
      </spPr>
    </title>
    <plotArea>
      <layout/>
      <barChart>
        <barDir val="col"/>
        <grouping val="clustered"/>
        <varyColors val="0"/>
        <dLbls>
          <showLegendKey val="0"/>
          <showVal val="0"/>
          <showCatName val="0"/>
          <showSerName val="0"/>
          <showPercent val="0"/>
          <showBubbleSize val="0"/>
        </dLbls>
        <gapWidth val="219"/>
        <axId val="864306016"/>
        <axId val="864312248"/>
      </barChart>
      <barChart>
        <barDir val="col"/>
        <grouping val="clustered"/>
        <varyColors val="0"/>
        <ser>
          <idx val="0"/>
          <order val="0"/>
          <tx>
            <strRef>
              <f>'ISM Services vs GDP'!$C$5</f>
              <strCache>
                <ptCount val="1"/>
                <pt idx="0">
                  <v>GDP growth yoy %</v>
                </pt>
              </strCache>
            </strRef>
          </tx>
          <spPr>
            <a:solidFill xmlns:a="http://schemas.openxmlformats.org/drawingml/2006/main">
              <a:schemeClr val="accent2"/>
            </a:solidFill>
            <a:ln xmlns:a="http://schemas.openxmlformats.org/drawingml/2006/main">
              <a:noFill/>
              <a:prstDash val="solid"/>
            </a:ln>
          </spPr>
          <invertIfNegative val="0"/>
          <cat>
            <numRef>
              <f>'ISM Services vs GDP'!$A$6:$A$305</f>
              <numCache>
                <formatCode>m/d/yy</formatCode>
                <ptCount val="300"/>
                <pt idx="0">
                  <v>35612</v>
                </pt>
                <pt idx="1">
                  <v>35643</v>
                </pt>
                <pt idx="2">
                  <v>35674</v>
                </pt>
                <pt idx="3">
                  <v>35704</v>
                </pt>
                <pt idx="4">
                  <v>35735</v>
                </pt>
                <pt idx="5">
                  <v>35765</v>
                </pt>
                <pt idx="6">
                  <v>35796</v>
                </pt>
                <pt idx="7">
                  <v>35827</v>
                </pt>
                <pt idx="8">
                  <v>35855</v>
                </pt>
                <pt idx="9">
                  <v>35886</v>
                </pt>
                <pt idx="10">
                  <v>35916</v>
                </pt>
                <pt idx="11">
                  <v>35947</v>
                </pt>
                <pt idx="12">
                  <v>35977</v>
                </pt>
                <pt idx="13">
                  <v>36008</v>
                </pt>
                <pt idx="14">
                  <v>36039</v>
                </pt>
                <pt idx="15">
                  <v>36069</v>
                </pt>
                <pt idx="16">
                  <v>36100</v>
                </pt>
                <pt idx="17">
                  <v>36130</v>
                </pt>
                <pt idx="18">
                  <v>36161</v>
                </pt>
                <pt idx="19">
                  <v>36192</v>
                </pt>
                <pt idx="20">
                  <v>36220</v>
                </pt>
                <pt idx="21">
                  <v>36251</v>
                </pt>
                <pt idx="22">
                  <v>36281</v>
                </pt>
                <pt idx="23">
                  <v>36312</v>
                </pt>
                <pt idx="24">
                  <v>36342</v>
                </pt>
                <pt idx="25">
                  <v>36373</v>
                </pt>
                <pt idx="26">
                  <v>36404</v>
                </pt>
                <pt idx="27">
                  <v>36434</v>
                </pt>
                <pt idx="28">
                  <v>36465</v>
                </pt>
                <pt idx="29">
                  <v>36495</v>
                </pt>
                <pt idx="30">
                  <v>36526</v>
                </pt>
                <pt idx="31">
                  <v>36557</v>
                </pt>
                <pt idx="32">
                  <v>36586</v>
                </pt>
                <pt idx="33">
                  <v>36617</v>
                </pt>
                <pt idx="34">
                  <v>36647</v>
                </pt>
                <pt idx="35">
                  <v>36678</v>
                </pt>
                <pt idx="36">
                  <v>36708</v>
                </pt>
                <pt idx="37">
                  <v>36739</v>
                </pt>
                <pt idx="38">
                  <v>36770</v>
                </pt>
                <pt idx="39">
                  <v>36800</v>
                </pt>
                <pt idx="40">
                  <v>36831</v>
                </pt>
                <pt idx="41">
                  <v>36861</v>
                </pt>
                <pt idx="42">
                  <v>36892</v>
                </pt>
                <pt idx="43">
                  <v>36923</v>
                </pt>
                <pt idx="44">
                  <v>36951</v>
                </pt>
                <pt idx="45">
                  <v>36982</v>
                </pt>
                <pt idx="46">
                  <v>37012</v>
                </pt>
                <pt idx="47">
                  <v>37043</v>
                </pt>
                <pt idx="48">
                  <v>37073</v>
                </pt>
                <pt idx="49">
                  <v>37104</v>
                </pt>
                <pt idx="50">
                  <v>37135</v>
                </pt>
                <pt idx="51">
                  <v>37165</v>
                </pt>
                <pt idx="52">
                  <v>37196</v>
                </pt>
                <pt idx="53">
                  <v>37226</v>
                </pt>
                <pt idx="54">
                  <v>37257</v>
                </pt>
                <pt idx="55">
                  <v>37288</v>
                </pt>
                <pt idx="56">
                  <v>37316</v>
                </pt>
                <pt idx="57">
                  <v>37347</v>
                </pt>
                <pt idx="58">
                  <v>37377</v>
                </pt>
                <pt idx="59">
                  <v>37408</v>
                </pt>
                <pt idx="60">
                  <v>37438</v>
                </pt>
                <pt idx="61">
                  <v>37469</v>
                </pt>
                <pt idx="62">
                  <v>37500</v>
                </pt>
                <pt idx="63">
                  <v>37530</v>
                </pt>
                <pt idx="64">
                  <v>37561</v>
                </pt>
                <pt idx="65">
                  <v>37591</v>
                </pt>
                <pt idx="66">
                  <v>37622</v>
                </pt>
                <pt idx="67">
                  <v>37653</v>
                </pt>
                <pt idx="68">
                  <v>37681</v>
                </pt>
                <pt idx="69">
                  <v>37712</v>
                </pt>
                <pt idx="70">
                  <v>37742</v>
                </pt>
                <pt idx="71">
                  <v>37773</v>
                </pt>
                <pt idx="72">
                  <v>37803</v>
                </pt>
                <pt idx="73">
                  <v>37834</v>
                </pt>
                <pt idx="74">
                  <v>37865</v>
                </pt>
                <pt idx="75">
                  <v>37895</v>
                </pt>
                <pt idx="76">
                  <v>37926</v>
                </pt>
                <pt idx="77">
                  <v>37956</v>
                </pt>
                <pt idx="78">
                  <v>37987</v>
                </pt>
                <pt idx="79">
                  <v>38018</v>
                </pt>
                <pt idx="80">
                  <v>38047</v>
                </pt>
                <pt idx="81">
                  <v>38078</v>
                </pt>
                <pt idx="82">
                  <v>38108</v>
                </pt>
                <pt idx="83">
                  <v>38139</v>
                </pt>
                <pt idx="84">
                  <v>38169</v>
                </pt>
                <pt idx="85">
                  <v>38200</v>
                </pt>
                <pt idx="86">
                  <v>38231</v>
                </pt>
                <pt idx="87">
                  <v>38261</v>
                </pt>
                <pt idx="88">
                  <v>38292</v>
                </pt>
                <pt idx="89">
                  <v>38322</v>
                </pt>
                <pt idx="90">
                  <v>38353</v>
                </pt>
                <pt idx="91">
                  <v>38384</v>
                </pt>
                <pt idx="92">
                  <v>38412</v>
                </pt>
                <pt idx="93">
                  <v>38443</v>
                </pt>
                <pt idx="94">
                  <v>38473</v>
                </pt>
                <pt idx="95">
                  <v>38504</v>
                </pt>
                <pt idx="96">
                  <v>38534</v>
                </pt>
                <pt idx="97">
                  <v>38565</v>
                </pt>
                <pt idx="98">
                  <v>38596</v>
                </pt>
                <pt idx="99">
                  <v>38626</v>
                </pt>
                <pt idx="100">
                  <v>38657</v>
                </pt>
                <pt idx="101">
                  <v>38687</v>
                </pt>
                <pt idx="102">
                  <v>38718</v>
                </pt>
                <pt idx="103">
                  <v>38749</v>
                </pt>
                <pt idx="104">
                  <v>38777</v>
                </pt>
                <pt idx="105">
                  <v>38808</v>
                </pt>
                <pt idx="106">
                  <v>38838</v>
                </pt>
                <pt idx="107">
                  <v>38869</v>
                </pt>
                <pt idx="108">
                  <v>38899</v>
                </pt>
                <pt idx="109">
                  <v>38930</v>
                </pt>
                <pt idx="110">
                  <v>38961</v>
                </pt>
                <pt idx="111">
                  <v>38991</v>
                </pt>
                <pt idx="112">
                  <v>39022</v>
                </pt>
                <pt idx="113">
                  <v>39052</v>
                </pt>
                <pt idx="114">
                  <v>39083</v>
                </pt>
                <pt idx="115">
                  <v>39114</v>
                </pt>
                <pt idx="116">
                  <v>39142</v>
                </pt>
                <pt idx="117">
                  <v>39173</v>
                </pt>
                <pt idx="118">
                  <v>39203</v>
                </pt>
                <pt idx="119">
                  <v>39234</v>
                </pt>
                <pt idx="120">
                  <v>39264</v>
                </pt>
                <pt idx="121">
                  <v>39295</v>
                </pt>
                <pt idx="122">
                  <v>39326</v>
                </pt>
                <pt idx="123">
                  <v>39356</v>
                </pt>
                <pt idx="124">
                  <v>39387</v>
                </pt>
                <pt idx="125">
                  <v>39417</v>
                </pt>
                <pt idx="126">
                  <v>39448</v>
                </pt>
                <pt idx="127">
                  <v>39479</v>
                </pt>
                <pt idx="128">
                  <v>39508</v>
                </pt>
                <pt idx="129">
                  <v>39539</v>
                </pt>
                <pt idx="130">
                  <v>39569</v>
                </pt>
                <pt idx="131">
                  <v>39600</v>
                </pt>
                <pt idx="132">
                  <v>39630</v>
                </pt>
                <pt idx="133">
                  <v>39661</v>
                </pt>
                <pt idx="134">
                  <v>39692</v>
                </pt>
                <pt idx="135">
                  <v>39722</v>
                </pt>
                <pt idx="136">
                  <v>39753</v>
                </pt>
                <pt idx="137">
                  <v>39783</v>
                </pt>
                <pt idx="138">
                  <v>39814</v>
                </pt>
                <pt idx="139">
                  <v>39845</v>
                </pt>
                <pt idx="140">
                  <v>39873</v>
                </pt>
                <pt idx="141">
                  <v>39904</v>
                </pt>
                <pt idx="142">
                  <v>39934</v>
                </pt>
                <pt idx="143">
                  <v>39965</v>
                </pt>
                <pt idx="144">
                  <v>39995</v>
                </pt>
                <pt idx="145">
                  <v>40026</v>
                </pt>
                <pt idx="146">
                  <v>40057</v>
                </pt>
                <pt idx="147">
                  <v>40087</v>
                </pt>
                <pt idx="148">
                  <v>40118</v>
                </pt>
                <pt idx="149">
                  <v>40148</v>
                </pt>
                <pt idx="150">
                  <v>40179</v>
                </pt>
                <pt idx="151">
                  <v>40210</v>
                </pt>
                <pt idx="152">
                  <v>40238</v>
                </pt>
                <pt idx="153">
                  <v>40269</v>
                </pt>
                <pt idx="154">
                  <v>40299</v>
                </pt>
                <pt idx="155">
                  <v>40330</v>
                </pt>
                <pt idx="156">
                  <v>40360</v>
                </pt>
                <pt idx="157">
                  <v>40391</v>
                </pt>
                <pt idx="158">
                  <v>40422</v>
                </pt>
                <pt idx="159">
                  <v>40452</v>
                </pt>
                <pt idx="160">
                  <v>40483</v>
                </pt>
                <pt idx="161">
                  <v>40513</v>
                </pt>
                <pt idx="162">
                  <v>40544</v>
                </pt>
                <pt idx="163">
                  <v>40575</v>
                </pt>
                <pt idx="164">
                  <v>40603</v>
                </pt>
                <pt idx="165">
                  <v>40634</v>
                </pt>
                <pt idx="166">
                  <v>40664</v>
                </pt>
                <pt idx="167">
                  <v>40695</v>
                </pt>
                <pt idx="168">
                  <v>40725</v>
                </pt>
                <pt idx="169">
                  <v>40756</v>
                </pt>
                <pt idx="170">
                  <v>40787</v>
                </pt>
                <pt idx="171">
                  <v>40817</v>
                </pt>
                <pt idx="172">
                  <v>40848</v>
                </pt>
                <pt idx="173">
                  <v>40878</v>
                </pt>
                <pt idx="174">
                  <v>40909</v>
                </pt>
                <pt idx="175">
                  <v>40940</v>
                </pt>
                <pt idx="176">
                  <v>40969</v>
                </pt>
                <pt idx="177">
                  <v>41000</v>
                </pt>
                <pt idx="178">
                  <v>41030</v>
                </pt>
                <pt idx="179">
                  <v>41061</v>
                </pt>
                <pt idx="180">
                  <v>41091</v>
                </pt>
                <pt idx="181">
                  <v>41122</v>
                </pt>
                <pt idx="182">
                  <v>41153</v>
                </pt>
                <pt idx="183">
                  <v>41183</v>
                </pt>
                <pt idx="184">
                  <v>41214</v>
                </pt>
                <pt idx="185">
                  <v>41244</v>
                </pt>
                <pt idx="186">
                  <v>41275</v>
                </pt>
                <pt idx="187">
                  <v>41306</v>
                </pt>
                <pt idx="188">
                  <v>41334</v>
                </pt>
                <pt idx="189">
                  <v>41365</v>
                </pt>
                <pt idx="190">
                  <v>41395</v>
                </pt>
                <pt idx="191">
                  <v>41426</v>
                </pt>
                <pt idx="192">
                  <v>41456</v>
                </pt>
                <pt idx="193">
                  <v>41487</v>
                </pt>
                <pt idx="194">
                  <v>41518</v>
                </pt>
                <pt idx="195">
                  <v>41548</v>
                </pt>
                <pt idx="196">
                  <v>41579</v>
                </pt>
                <pt idx="197">
                  <v>41609</v>
                </pt>
                <pt idx="198">
                  <v>41640</v>
                </pt>
                <pt idx="199">
                  <v>41671</v>
                </pt>
                <pt idx="200">
                  <v>41699</v>
                </pt>
                <pt idx="201">
                  <v>41730</v>
                </pt>
                <pt idx="202">
                  <v>41760</v>
                </pt>
                <pt idx="203">
                  <v>41791</v>
                </pt>
                <pt idx="204">
                  <v>41821</v>
                </pt>
                <pt idx="205">
                  <v>41852</v>
                </pt>
                <pt idx="206">
                  <v>41883</v>
                </pt>
                <pt idx="207">
                  <v>41913</v>
                </pt>
                <pt idx="208">
                  <v>41944</v>
                </pt>
                <pt idx="209">
                  <v>41974</v>
                </pt>
                <pt idx="210">
                  <v>42005</v>
                </pt>
                <pt idx="211">
                  <v>42036</v>
                </pt>
                <pt idx="212">
                  <v>42064</v>
                </pt>
                <pt idx="213">
                  <v>42095</v>
                </pt>
                <pt idx="214">
                  <v>42125</v>
                </pt>
                <pt idx="215">
                  <v>42156</v>
                </pt>
                <pt idx="216">
                  <v>42186</v>
                </pt>
                <pt idx="217">
                  <v>42217</v>
                </pt>
                <pt idx="218">
                  <v>42248</v>
                </pt>
                <pt idx="219">
                  <v>42278</v>
                </pt>
                <pt idx="220">
                  <v>42309</v>
                </pt>
                <pt idx="221">
                  <v>42339</v>
                </pt>
                <pt idx="222">
                  <v>42370</v>
                </pt>
                <pt idx="223">
                  <v>42401</v>
                </pt>
                <pt idx="224">
                  <v>42430</v>
                </pt>
                <pt idx="225">
                  <v>42461</v>
                </pt>
                <pt idx="226">
                  <v>42491</v>
                </pt>
                <pt idx="227">
                  <v>42522</v>
                </pt>
                <pt idx="228">
                  <v>42552</v>
                </pt>
                <pt idx="229">
                  <v>42583</v>
                </pt>
                <pt idx="230">
                  <v>42614</v>
                </pt>
                <pt idx="231">
                  <v>42644</v>
                </pt>
                <pt idx="232">
                  <v>42675</v>
                </pt>
                <pt idx="233">
                  <v>42705</v>
                </pt>
                <pt idx="234">
                  <v>42736</v>
                </pt>
                <pt idx="235">
                  <v>42767</v>
                </pt>
                <pt idx="236">
                  <v>42795</v>
                </pt>
                <pt idx="237">
                  <v>42826</v>
                </pt>
                <pt idx="238">
                  <v>42856</v>
                </pt>
                <pt idx="239">
                  <v>42887</v>
                </pt>
                <pt idx="240">
                  <v>42917</v>
                </pt>
                <pt idx="241">
                  <v>42948</v>
                </pt>
                <pt idx="242">
                  <v>42979</v>
                </pt>
                <pt idx="243">
                  <v>43009</v>
                </pt>
                <pt idx="244">
                  <v>43040</v>
                </pt>
                <pt idx="245">
                  <v>43070</v>
                </pt>
                <pt idx="246">
                  <v>43101</v>
                </pt>
                <pt idx="247">
                  <v>43132</v>
                </pt>
                <pt idx="248">
                  <v>43160</v>
                </pt>
                <pt idx="249">
                  <v>43191</v>
                </pt>
                <pt idx="250">
                  <v>43221</v>
                </pt>
                <pt idx="251">
                  <v>43252</v>
                </pt>
                <pt idx="252">
                  <v>43282</v>
                </pt>
                <pt idx="253">
                  <v>43313</v>
                </pt>
                <pt idx="254">
                  <v>43344</v>
                </pt>
                <pt idx="255">
                  <v>43374</v>
                </pt>
                <pt idx="256">
                  <v>43405</v>
                </pt>
                <pt idx="257">
                  <v>43435</v>
                </pt>
                <pt idx="258">
                  <v>43466</v>
                </pt>
                <pt idx="259">
                  <v>43497</v>
                </pt>
                <pt idx="260">
                  <v>43525</v>
                </pt>
                <pt idx="261">
                  <v>43556</v>
                </pt>
                <pt idx="262">
                  <v>43586</v>
                </pt>
                <pt idx="263">
                  <v>43617</v>
                </pt>
                <pt idx="264">
                  <v>43647</v>
                </pt>
                <pt idx="265">
                  <v>43678</v>
                </pt>
                <pt idx="266">
                  <v>43709</v>
                </pt>
                <pt idx="267">
                  <v>43739</v>
                </pt>
                <pt idx="268">
                  <v>43770</v>
                </pt>
                <pt idx="269">
                  <v>43800</v>
                </pt>
                <pt idx="270">
                  <v>43831</v>
                </pt>
                <pt idx="271">
                  <v>43862</v>
                </pt>
                <pt idx="272">
                  <v>43891</v>
                </pt>
                <pt idx="273">
                  <v>43922</v>
                </pt>
                <pt idx="274">
                  <v>43952</v>
                </pt>
                <pt idx="275">
                  <v>43983</v>
                </pt>
                <pt idx="276">
                  <v>44013</v>
                </pt>
                <pt idx="277">
                  <v>44044</v>
                </pt>
                <pt idx="278">
                  <v>44075</v>
                </pt>
                <pt idx="279">
                  <v>44105</v>
                </pt>
                <pt idx="280">
                  <v>44136</v>
                </pt>
                <pt idx="281">
                  <v>44166</v>
                </pt>
                <pt idx="282">
                  <v>44197</v>
                </pt>
                <pt idx="283">
                  <v>44228</v>
                </pt>
                <pt idx="284">
                  <v>44256</v>
                </pt>
                <pt idx="285">
                  <v>44287</v>
                </pt>
                <pt idx="286">
                  <v>44317</v>
                </pt>
                <pt idx="287">
                  <v>44348</v>
                </pt>
                <pt idx="288">
                  <v>44378</v>
                </pt>
                <pt idx="289">
                  <v>44409</v>
                </pt>
                <pt idx="290">
                  <v>44440</v>
                </pt>
                <pt idx="291">
                  <v>44470</v>
                </pt>
                <pt idx="292">
                  <v>44501</v>
                </pt>
                <pt idx="293">
                  <v>44531</v>
                </pt>
                <pt idx="294">
                  <v>44562</v>
                </pt>
                <pt idx="295">
                  <v>44593</v>
                </pt>
                <pt idx="296">
                  <v>44621</v>
                </pt>
                <pt idx="297">
                  <v>44652</v>
                </pt>
                <pt idx="298">
                  <v>44682</v>
                </pt>
                <pt idx="299">
                  <v>44713</v>
                </pt>
              </numCache>
            </numRef>
          </cat>
          <val>
            <numRef>
              <f>'ISM Services vs GDP'!$C$6:$C$305</f>
              <numCache>
                <formatCode>0.00%</formatCode>
                <ptCount val="300"/>
                <pt idx="0">
                  <v>0.04673802575393323</v>
                </pt>
                <pt idx="1">
                  <v>0.04673802575393323</v>
                </pt>
                <pt idx="2">
                  <v>0.04673802575393323</v>
                </pt>
                <pt idx="3">
                  <v>0.04487684457714512</v>
                </pt>
                <pt idx="4">
                  <v>0.04487684457714512</v>
                </pt>
                <pt idx="5">
                  <v>0.04487684457714512</v>
                </pt>
                <pt idx="6">
                  <v>0.04855005882657688</v>
                </pt>
                <pt idx="7">
                  <v>0.04855005882657688</v>
                </pt>
                <pt idx="8">
                  <v>0.04855005882657688</v>
                </pt>
                <pt idx="9">
                  <v>0.04095726841200665</v>
                </pt>
                <pt idx="10">
                  <v>0.04095726841200665</v>
                </pt>
                <pt idx="11">
                  <v>0.04095726841200665</v>
                </pt>
                <pt idx="12">
                  <v>0.04097768622679814</v>
                </pt>
                <pt idx="13">
                  <v>0.04097768622679814</v>
                </pt>
                <pt idx="14">
                  <v>0.04097768622679814</v>
                </pt>
                <pt idx="15">
                  <v>0.04879540775598017</v>
                </pt>
                <pt idx="16">
                  <v>0.04879540775598017</v>
                </pt>
                <pt idx="17">
                  <v>0.04879540775598017</v>
                </pt>
                <pt idx="18">
                  <v>0.0482185793162023</v>
                </pt>
                <pt idx="19">
                  <v>0.0482185793162023</v>
                </pt>
                <pt idx="20">
                  <v>0.0482185793162023</v>
                </pt>
                <pt idx="21">
                  <v>0.04727531513473537</v>
                </pt>
                <pt idx="22">
                  <v>0.04727531513473537</v>
                </pt>
                <pt idx="23">
                  <v>0.04727531513473537</v>
                </pt>
                <pt idx="24">
                  <v>0.04800205236862531</v>
                </pt>
                <pt idx="25">
                  <v>0.04800205236862531</v>
                </pt>
                <pt idx="26">
                  <v>0.04800205236862531</v>
                </pt>
                <pt idx="27">
                  <v>0.04827626650330151</v>
                </pt>
                <pt idx="28">
                  <v>0.04827626650330151</v>
                </pt>
                <pt idx="29">
                  <v>0.04827626650330151</v>
                </pt>
                <pt idx="30">
                  <v>0.04225955858689924</v>
                </pt>
                <pt idx="31">
                  <v>0.04225955858689924</v>
                </pt>
                <pt idx="32">
                  <v>0.04225955858689924</v>
                </pt>
                <pt idx="33">
                  <v>0.05244682768853312</v>
                </pt>
                <pt idx="34">
                  <v>0.05244682768853312</v>
                </pt>
                <pt idx="35">
                  <v>0.05244682768853312</v>
                </pt>
                <pt idx="36">
                  <v>0.03974084495579121</v>
                </pt>
                <pt idx="37">
                  <v>0.03974084495579121</v>
                </pt>
                <pt idx="38">
                  <v>0.03974084495579121</v>
                </pt>
                <pt idx="39">
                  <v>0.0290162047211726</v>
                </pt>
                <pt idx="40">
                  <v>0.0290162047211726</v>
                </pt>
                <pt idx="41">
                  <v>0.0290162047211726</v>
                </pt>
                <pt idx="42">
                  <v>0.02195542846787985</v>
                </pt>
                <pt idx="43">
                  <v>0.02195542846787985</v>
                </pt>
                <pt idx="44">
                  <v>0.02195542846787985</v>
                </pt>
                <pt idx="45">
                  <v>0.009919329568880284</v>
                </pt>
                <pt idx="46">
                  <v>0.009919329568880284</v>
                </pt>
                <pt idx="47">
                  <v>0.009919329568880284</v>
                </pt>
                <pt idx="48">
                  <v>0.004873523671693287</v>
                </pt>
                <pt idx="49">
                  <v>0.004873523671693287</v>
                </pt>
                <pt idx="50">
                  <v>0.004873523671693287</v>
                </pt>
                <pt idx="51">
                  <v>0.001706422364229252</v>
                </pt>
                <pt idx="52">
                  <v>0.001706422364229252</v>
                </pt>
                <pt idx="53">
                  <v>0.001706422364229252</v>
                </pt>
                <pt idx="54">
                  <v>0.0132881204842846</v>
                </pt>
                <pt idx="55">
                  <v>0.0132881204842846</v>
                </pt>
                <pt idx="56">
                  <v>0.0132881204842846</v>
                </pt>
                <pt idx="57">
                  <v>0.01322883902243626</v>
                </pt>
                <pt idx="58">
                  <v>0.01322883902243626</v>
                </pt>
                <pt idx="59">
                  <v>0.01322883902243626</v>
                </pt>
                <pt idx="60">
                  <v>0.02140669989799325</v>
                </pt>
                <pt idx="61">
                  <v>0.02140669989799325</v>
                </pt>
                <pt idx="62">
                  <v>0.02140669989799325</v>
                </pt>
                <pt idx="63">
                  <v>0.01991286184648556</v>
                </pt>
                <pt idx="64">
                  <v>0.01991286184648556</v>
                </pt>
                <pt idx="65">
                  <v>0.01991286184648556</v>
                </pt>
                <pt idx="66">
                  <v>0.01676188940425874</v>
                </pt>
                <pt idx="67">
                  <v>0.01676188940425874</v>
                </pt>
                <pt idx="68">
                  <v>0.01676188940425874</v>
                </pt>
                <pt idx="69">
                  <v>0.01956993641779591</v>
                </pt>
                <pt idx="70">
                  <v>0.01956993641779591</v>
                </pt>
                <pt idx="71">
                  <v>0.01956993641779591</v>
                </pt>
                <pt idx="72">
                  <v>0.03239908301526014</v>
                </pt>
                <pt idx="73">
                  <v>0.03239908301526014</v>
                </pt>
                <pt idx="74">
                  <v>0.03239908301526014</v>
                </pt>
                <pt idx="75">
                  <v>0.04295076520243932</v>
                </pt>
                <pt idx="76">
                  <v>0.04295076520243932</v>
                </pt>
                <pt idx="77">
                  <v>0.04295076520243932</v>
                </pt>
                <pt idx="78">
                  <v>0.04353382086215924</v>
                </pt>
                <pt idx="79">
                  <v>0.04353382086215924</v>
                </pt>
                <pt idx="80">
                  <v>0.04353382086215924</v>
                </pt>
                <pt idx="81">
                  <v>0.04234811649454442</v>
                </pt>
                <pt idx="82">
                  <v>0.04234811649454442</v>
                </pt>
                <pt idx="83">
                  <v>0.04234811649454442</v>
                </pt>
                <pt idx="84">
                  <v>0.03490834068650776</v>
                </pt>
                <pt idx="85">
                  <v>0.03490834068650776</v>
                </pt>
                <pt idx="86">
                  <v>0.03490834068650776</v>
                </pt>
                <pt idx="87">
                  <v>0.03355765916404892</v>
                </pt>
                <pt idx="88">
                  <v>0.03355765916404892</v>
                </pt>
                <pt idx="89">
                  <v>0.03355765916404892</v>
                </pt>
                <pt idx="90">
                  <v>0.03908617440899946</v>
                </pt>
                <pt idx="91">
                  <v>0.03908617440899946</v>
                </pt>
                <pt idx="92">
                  <v>0.03908617440899946</v>
                </pt>
                <pt idx="93">
                  <v>0.03607410366126079</v>
                </pt>
                <pt idx="94">
                  <v>0.03607410366126079</v>
                </pt>
                <pt idx="95">
                  <v>0.03607410366126079</v>
                </pt>
                <pt idx="96">
                  <v>0.03447674589108512</v>
                </pt>
                <pt idx="97">
                  <v>0.03447674589108512</v>
                </pt>
                <pt idx="98">
                  <v>0.03447674589108512</v>
                </pt>
                <pt idx="99">
                  <v>0.02982672051361144</v>
                </pt>
                <pt idx="100">
                  <v>0.02982672051361144</v>
                </pt>
                <pt idx="101">
                  <v>0.02982672051361144</v>
                </pt>
                <pt idx="102">
                  <v>0.03224857572323006</v>
                </pt>
                <pt idx="103">
                  <v>0.03224857572323006</v>
                </pt>
                <pt idx="104">
                  <v>0.03224857572323006</v>
                </pt>
                <pt idx="105">
                  <v>0.02977269025594638</v>
                </pt>
                <pt idx="106">
                  <v>0.02977269025594638</v>
                </pt>
                <pt idx="107">
                  <v>0.02977269025594638</v>
                </pt>
                <pt idx="108">
                  <v>0.02328291151863791</v>
                </pt>
                <pt idx="109">
                  <v>0.02328291151863791</v>
                </pt>
                <pt idx="110">
                  <v>0.02328291151863791</v>
                </pt>
                <pt idx="111">
                  <v>0.02608901983560922</v>
                </pt>
                <pt idx="112">
                  <v>0.02608901983560922</v>
                </pt>
                <pt idx="113">
                  <v>0.02608901983560922</v>
                </pt>
                <pt idx="114">
                  <v>0.01540715325180492</v>
                </pt>
                <pt idx="115">
                  <v>0.01540715325180492</v>
                </pt>
                <pt idx="116">
                  <v>0.01540715325180492</v>
                </pt>
                <pt idx="117">
                  <v>0.01938641594997887</v>
                </pt>
                <pt idx="118">
                  <v>0.01938641594997887</v>
                </pt>
                <pt idx="119">
                  <v>0.01938641594997887</v>
                </pt>
                <pt idx="120">
                  <v>0.02398559850010293</v>
                </pt>
                <pt idx="121">
                  <v>0.02398559850010293</v>
                </pt>
                <pt idx="122">
                  <v>0.02398559850010293</v>
                </pt>
                <pt idx="123">
                  <v>0.02160883208196539</v>
                </pt>
                <pt idx="124">
                  <v>0.02160883208196539</v>
                </pt>
                <pt idx="125">
                  <v>0.02160883208196539</v>
                </pt>
                <pt idx="126">
                  <v>0.01446803001442738</v>
                </pt>
                <pt idx="127">
                  <v>0.01446803001442738</v>
                </pt>
                <pt idx="128">
                  <v>0.01446803001442738</v>
                </pt>
                <pt idx="129">
                  <v>0.01380132559333386</v>
                </pt>
                <pt idx="130">
                  <v>0.01380132559333386</v>
                </pt>
                <pt idx="131">
                  <v>0.01380132559333386</v>
                </pt>
                <pt idx="132">
                  <v>0.002422023781227279</v>
                </pt>
                <pt idx="133">
                  <v>0.002422023781227279</v>
                </pt>
                <pt idx="134">
                  <v>0.002422023781227279</v>
                </pt>
                <pt idx="135">
                  <v>-0.02540339259876205</v>
                </pt>
                <pt idx="136">
                  <v>-0.02540339259876205</v>
                </pt>
                <pt idx="137">
                  <v>-0.02540339259876205</v>
                </pt>
                <pt idx="138">
                  <v>-0.03282392443793528</v>
                </pt>
                <pt idx="139">
                  <v>-0.03282392443793528</v>
                </pt>
                <pt idx="140">
                  <v>-0.03282392443793528</v>
                </pt>
                <pt idx="141">
                  <v>-0.03995504779306322</v>
                </pt>
                <pt idx="142">
                  <v>-0.03995504779306322</v>
                </pt>
                <pt idx="143">
                  <v>-0.03995504779306322</v>
                </pt>
                <pt idx="144">
                  <v>-0.03137675003287801</v>
                </pt>
                <pt idx="145">
                  <v>-0.03137675003287801</v>
                </pt>
                <pt idx="146">
                  <v>-0.03137675003287801</v>
                </pt>
                <pt idx="147">
                  <v>0.0008165758387652319</v>
                </pt>
                <pt idx="148">
                  <v>0.0008165758387652319</v>
                </pt>
                <pt idx="149">
                  <v>0.0008165758387652319</v>
                </pt>
                <pt idx="150">
                  <v>0.01768457232028358</v>
                </pt>
                <pt idx="151">
                  <v>0.01768457232028358</v>
                </pt>
                <pt idx="152">
                  <v>0.01768457232028358</v>
                </pt>
                <pt idx="153">
                  <v>0.02927467844787534</v>
                </pt>
                <pt idx="154">
                  <v>0.02927467844787534</v>
                </pt>
                <pt idx="155">
                  <v>0.02927467844787534</v>
                </pt>
                <pt idx="156">
                  <v>0.03349193813853987</v>
                </pt>
                <pt idx="157">
                  <v>0.03349193813853987</v>
                </pt>
                <pt idx="158">
                  <v>0.03349193813853987</v>
                </pt>
                <pt idx="159">
                  <v>0.02788449690506404</v>
                </pt>
                <pt idx="160">
                  <v>0.02788449690506404</v>
                </pt>
                <pt idx="161">
                  <v>0.02788449690506404</v>
                </pt>
                <pt idx="162">
                  <v>0.02030608190613149</v>
                </pt>
                <pt idx="163">
                  <v>0.02030608190613149</v>
                </pt>
                <pt idx="164">
                  <v>0.02030608190613149</v>
                </pt>
                <pt idx="165">
                  <v>0.01737905068607296</v>
                </pt>
                <pt idx="166">
                  <v>0.01737905068607296</v>
                </pt>
                <pt idx="167">
                  <v>0.01737905068607296</v>
                </pt>
                <pt idx="168">
                  <v>0.009182208483861604</v>
                </pt>
                <pt idx="169">
                  <v>0.009182208483861604</v>
                </pt>
                <pt idx="170">
                  <v>0.009182208483861604</v>
                </pt>
                <pt idx="171">
                  <v>0.0152269152413066</v>
                </pt>
                <pt idx="172">
                  <v>0.0152269152413066</v>
                </pt>
                <pt idx="173">
                  <v>0.0152269152413066</v>
                </pt>
                <pt idx="174">
                  <v>0.02600249297538843</v>
                </pt>
                <pt idx="175">
                  <v>0.02600249297538843</v>
                </pt>
                <pt idx="176">
                  <v>0.02600249297538843</v>
                </pt>
                <pt idx="177">
                  <v>0.02373816349715461</v>
                </pt>
                <pt idx="178">
                  <v>0.02373816349715461</v>
                </pt>
                <pt idx="179">
                  <v>0.02373816349715461</v>
                </pt>
                <pt idx="180">
                  <v>0.02592622977056317</v>
                </pt>
                <pt idx="181">
                  <v>0.02592622977056317</v>
                </pt>
                <pt idx="182">
                  <v>0.02592622977056317</v>
                </pt>
                <pt idx="183">
                  <v>0.0156606434588916</v>
                </pt>
                <pt idx="184">
                  <v>0.0156606434588916</v>
                </pt>
                <pt idx="185">
                  <v>0.0156606434588916</v>
                </pt>
                <pt idx="186">
                  <v>0.01616301095280286</v>
                </pt>
                <pt idx="187">
                  <v>0.01616301095280286</v>
                </pt>
                <pt idx="188">
                  <v>0.01616301095280286</v>
                </pt>
                <pt idx="189">
                  <v>0.01296170490384775</v>
                </pt>
                <pt idx="190">
                  <v>0.01296170490384775</v>
                </pt>
                <pt idx="191">
                  <v>0.01296170490384775</v>
                </pt>
                <pt idx="192">
                  <v>0.01919844620038217</v>
                </pt>
                <pt idx="193">
                  <v>0.01919844620038217</v>
                </pt>
                <pt idx="194">
                  <v>0.01919844620038217</v>
                </pt>
                <pt idx="195">
                  <v>0.02532049777807217</v>
                </pt>
                <pt idx="196">
                  <v>0.02532049777807217</v>
                </pt>
                <pt idx="197">
                  <v>0.02532049777807217</v>
                </pt>
                <pt idx="198">
                  <v>0.01294055859309538</v>
                </pt>
                <pt idx="199">
                  <v>0.01294055859309538</v>
                </pt>
                <pt idx="200">
                  <v>0.01294055859309538</v>
                </pt>
                <pt idx="201">
                  <v>0.0245199916765882</v>
                </pt>
                <pt idx="202">
                  <v>0.0245199916765882</v>
                </pt>
                <pt idx="203">
                  <v>0.0245199916765882</v>
                </pt>
                <pt idx="204">
                  <v>0.02831456925846958</v>
                </pt>
                <pt idx="205">
                  <v>0.02831456925846958</v>
                </pt>
                <pt idx="206">
                  <v>0.02831456925846958</v>
                </pt>
                <pt idx="207">
                  <v>0.02563759666266986</v>
                </pt>
                <pt idx="208">
                  <v>0.02563759666266986</v>
                </pt>
                <pt idx="209">
                  <v>0.02563759666266986</v>
                </pt>
                <pt idx="210">
                  <v>0.03761202773082455</v>
                </pt>
                <pt idx="211">
                  <v>0.03761202773082455</v>
                </pt>
                <pt idx="212">
                  <v>0.03761202773082455</v>
                </pt>
                <pt idx="213">
                  <v>0.03039854674877899</v>
                </pt>
                <pt idx="214">
                  <v>0.03039854674877899</v>
                </pt>
                <pt idx="215">
                  <v>0.03039854674877899</v>
                </pt>
                <pt idx="216">
                  <v>0.02182668511263306</v>
                </pt>
                <pt idx="217">
                  <v>0.02182668511263306</v>
                </pt>
                <pt idx="218">
                  <v>0.02182668511263306</v>
                </pt>
                <pt idx="219">
                  <v>0.01874684058645722</v>
                </pt>
                <pt idx="220">
                  <v>0.01874684058645722</v>
                </pt>
                <pt idx="221">
                  <v>0.01874684058645722</v>
                </pt>
                <pt idx="222">
                  <v>0.01648190603048597</v>
                </pt>
                <pt idx="223">
                  <v>0.01648190603048597</v>
                </pt>
                <pt idx="224">
                  <v>0.01648190603048597</v>
                </pt>
                <pt idx="225">
                  <v>0.01367629650405968</v>
                </pt>
                <pt idx="226">
                  <v>0.01367629650405968</v>
                </pt>
                <pt idx="227">
                  <v>0.01367629650405968</v>
                </pt>
                <pt idx="228">
                  <v>0.01648263356020616</v>
                </pt>
                <pt idx="229">
                  <v>0.01648263356020616</v>
                </pt>
                <pt idx="230">
                  <v>0.01648263356020616</v>
                </pt>
                <pt idx="231">
                  <v>0.0200417704624271</v>
                </pt>
                <pt idx="232">
                  <v>0.0200417704624271</v>
                </pt>
                <pt idx="233">
                  <v>0.0200417704624271</v>
                </pt>
                <pt idx="234">
                  <v>0.01885278869645634</v>
                </pt>
                <pt idx="235">
                  <v>0.01885278869645634</v>
                </pt>
                <pt idx="236">
                  <v>0.01885278869645634</v>
                </pt>
                <pt idx="237">
                  <v>0.02146716582907564</v>
                </pt>
                <pt idx="238">
                  <v>0.02146716582907564</v>
                </pt>
                <pt idx="239">
                  <v>0.02146716582907564</v>
                </pt>
                <pt idx="240">
                  <v>0.02266564638337372</v>
                </pt>
                <pt idx="241">
                  <v>0.02266564638337372</v>
                </pt>
                <pt idx="242">
                  <v>0.02266564638337372</v>
                </pt>
                <pt idx="243">
                  <v>0.02717885581859093</v>
                </pt>
                <pt idx="244">
                  <v>0.02717885581859093</v>
                </pt>
                <pt idx="245">
                  <v>0.02717885581859093</v>
                </pt>
                <pt idx="246">
                  <v>0.03015311883141301</v>
                </pt>
                <pt idx="247">
                  <v>0.03015311883141301</v>
                </pt>
                <pt idx="248">
                  <v>0.03015311883141301</v>
                </pt>
                <pt idx="249">
                  <v>0.03296152283055629</v>
                </pt>
                <pt idx="250">
                  <v>0.03296152283055629</v>
                </pt>
                <pt idx="251">
                  <v>0.03296152283055629</v>
                </pt>
                <pt idx="252">
                  <v>0.03052885912379111</v>
                </pt>
                <pt idx="253">
                  <v>0.03052885912379111</v>
                </pt>
                <pt idx="254">
                  <v>0.03052885912379111</v>
                </pt>
                <pt idx="255">
                  <v>0.02320617095391857</v>
                </pt>
                <pt idx="256">
                  <v>0.02320617095391857</v>
                </pt>
                <pt idx="257">
                  <v>0.02320617095391857</v>
                </pt>
                <pt idx="258">
                  <v>0.0215300151408133</v>
                </pt>
                <pt idx="259">
                  <v>0.0215300151408133</v>
                </pt>
                <pt idx="260">
                  <v>0.0215300151408133</v>
                </pt>
                <pt idx="261">
                  <v>0.02111478835615084</v>
                </pt>
                <pt idx="262">
                  <v>0.02111478835615084</v>
                </pt>
                <pt idx="263">
                  <v>0.02111478835615084</v>
                </pt>
                <pt idx="264">
                  <v>0.02318325998325768</v>
                </pt>
                <pt idx="265">
                  <v>0.02318325998325768</v>
                </pt>
                <pt idx="266">
                  <v>0.02318325998325768</v>
                </pt>
                <pt idx="267">
                  <v>0.02569423534639549</v>
                </pt>
                <pt idx="268">
                  <v>0.02569423534639549</v>
                </pt>
                <pt idx="269">
                  <v>0.02569423534639549</v>
                </pt>
                <pt idx="270">
                  <v>0.006307851641742077</v>
                </pt>
                <pt idx="271">
                  <v>0.006307851641742077</v>
                </pt>
                <pt idx="272">
                  <v>0.006307851641742077</v>
                </pt>
                <pt idx="273">
                  <v>-0.09083737424225038</v>
                </pt>
                <pt idx="274">
                  <v>-0.09083737424225038</v>
                </pt>
                <pt idx="275">
                  <v>-0.09083737424225038</v>
                </pt>
                <pt idx="276">
                  <v>-0.02887505988833666</v>
                </pt>
                <pt idx="277">
                  <v>-0.02887505988833666</v>
                </pt>
                <pt idx="278">
                  <v>-0.02887505988833666</v>
                </pt>
                <pt idx="279">
                  <v>-0.0226291524300984</v>
                </pt>
                <pt idx="280">
                  <v>-0.0226291524300984</v>
                </pt>
                <pt idx="281">
                  <v>-0.0226291524300984</v>
                </pt>
                <pt idx="282">
                  <v>0.005469768032827393</v>
                </pt>
                <pt idx="283">
                  <v>0.005469768032827393</v>
                </pt>
                <pt idx="284">
                  <v>0.005469768032827393</v>
                </pt>
                <pt idx="285">
                  <v>0.12226677108077</v>
                </pt>
                <pt idx="286">
                  <v>0.12226677108077</v>
                </pt>
                <pt idx="287">
                  <v>0.12226677108077</v>
                </pt>
                <pt idx="288">
                  <v>0.04946555569288213</v>
                </pt>
                <pt idx="289">
                  <v>0.04946555569288213</v>
                </pt>
                <pt idx="290">
                  <v>0.04946555569288213</v>
                </pt>
                <pt idx="291">
                  <v>0.05531736362184171</v>
                </pt>
                <pt idx="292">
                  <v>0.05531736362184171</v>
                </pt>
                <pt idx="293">
                  <v>0.05531736362184171</v>
                </pt>
                <pt idx="294">
                  <v>0.05531736362184171</v>
                </pt>
                <pt idx="295">
                  <v>0.05531736362184171</v>
                </pt>
                <pt idx="296">
                  <v>0.05531736362184171</v>
                </pt>
                <pt idx="297">
                  <v>0.05531736362184171</v>
                </pt>
                <pt idx="298">
                  <v>0.05531736362184171</v>
                </pt>
                <pt idx="299">
                  <v>0.05531736362184171</v>
                </pt>
              </numCache>
            </numRef>
          </val>
        </ser>
        <dLbls>
          <showLegendKey val="0"/>
          <showVal val="0"/>
          <showCatName val="0"/>
          <showSerName val="0"/>
          <showPercent val="0"/>
          <showBubbleSize val="0"/>
        </dLbls>
        <gapWidth val="219"/>
        <axId val="1093262496"/>
        <axId val="1093246096"/>
      </barChart>
      <lineChart>
        <grouping val="standard"/>
        <varyColors val="0"/>
        <ser>
          <idx val="1"/>
          <order val="1"/>
          <tx>
            <strRef>
              <f>'ISM Services vs GDP'!$B$5</f>
              <strCache>
                <ptCount val="1"/>
                <pt idx="0">
                  <v>ISM Services</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'ISM Services vs GDP'!$A$6:$A$305</f>
              <numCache>
                <formatCode>m/d/yy</formatCode>
                <ptCount val="300"/>
                <pt idx="0">
                  <v>35612</v>
                </pt>
                <pt idx="1">
                  <v>35643</v>
                </pt>
                <pt idx="2">
                  <v>35674</v>
                </pt>
                <pt idx="3">
                  <v>35704</v>
                </pt>
                <pt idx="4">
                  <v>35735</v>
                </pt>
                <pt idx="5">
                  <v>35765</v>
                </pt>
                <pt idx="6">
                  <v>35796</v>
                </pt>
                <pt idx="7">
                  <v>35827</v>
                </pt>
                <pt idx="8">
                  <v>35855</v>
                </pt>
                <pt idx="9">
                  <v>35886</v>
                </pt>
                <pt idx="10">
                  <v>35916</v>
                </pt>
                <pt idx="11">
                  <v>35947</v>
                </pt>
                <pt idx="12">
                  <v>35977</v>
                </pt>
                <pt idx="13">
                  <v>36008</v>
                </pt>
                <pt idx="14">
                  <v>36039</v>
                </pt>
                <pt idx="15">
                  <v>36069</v>
                </pt>
                <pt idx="16">
                  <v>36100</v>
                </pt>
                <pt idx="17">
                  <v>36130</v>
                </pt>
                <pt idx="18">
                  <v>36161</v>
                </pt>
                <pt idx="19">
                  <v>36192</v>
                </pt>
                <pt idx="20">
                  <v>36220</v>
                </pt>
                <pt idx="21">
                  <v>36251</v>
                </pt>
                <pt idx="22">
                  <v>36281</v>
                </pt>
                <pt idx="23">
                  <v>36312</v>
                </pt>
                <pt idx="24">
                  <v>36342</v>
                </pt>
                <pt idx="25">
                  <v>36373</v>
                </pt>
                <pt idx="26">
                  <v>36404</v>
                </pt>
                <pt idx="27">
                  <v>36434</v>
                </pt>
                <pt idx="28">
                  <v>36465</v>
                </pt>
                <pt idx="29">
                  <v>36495</v>
                </pt>
                <pt idx="30">
                  <v>36526</v>
                </pt>
                <pt idx="31">
                  <v>36557</v>
                </pt>
                <pt idx="32">
                  <v>36586</v>
                </pt>
                <pt idx="33">
                  <v>36617</v>
                </pt>
                <pt idx="34">
                  <v>36647</v>
                </pt>
                <pt idx="35">
                  <v>36678</v>
                </pt>
                <pt idx="36">
                  <v>36708</v>
                </pt>
                <pt idx="37">
                  <v>36739</v>
                </pt>
                <pt idx="38">
                  <v>36770</v>
                </pt>
                <pt idx="39">
                  <v>36800</v>
                </pt>
                <pt idx="40">
                  <v>36831</v>
                </pt>
                <pt idx="41">
                  <v>36861</v>
                </pt>
                <pt idx="42">
                  <v>36892</v>
                </pt>
                <pt idx="43">
                  <v>36923</v>
                </pt>
                <pt idx="44">
                  <v>36951</v>
                </pt>
                <pt idx="45">
                  <v>36982</v>
                </pt>
                <pt idx="46">
                  <v>37012</v>
                </pt>
                <pt idx="47">
                  <v>37043</v>
                </pt>
                <pt idx="48">
                  <v>37073</v>
                </pt>
                <pt idx="49">
                  <v>37104</v>
                </pt>
                <pt idx="50">
                  <v>37135</v>
                </pt>
                <pt idx="51">
                  <v>37165</v>
                </pt>
                <pt idx="52">
                  <v>37196</v>
                </pt>
                <pt idx="53">
                  <v>37226</v>
                </pt>
                <pt idx="54">
                  <v>37257</v>
                </pt>
                <pt idx="55">
                  <v>37288</v>
                </pt>
                <pt idx="56">
                  <v>37316</v>
                </pt>
                <pt idx="57">
                  <v>37347</v>
                </pt>
                <pt idx="58">
                  <v>37377</v>
                </pt>
                <pt idx="59">
                  <v>37408</v>
                </pt>
                <pt idx="60">
                  <v>37438</v>
                </pt>
                <pt idx="61">
                  <v>37469</v>
                </pt>
                <pt idx="62">
                  <v>37500</v>
                </pt>
                <pt idx="63">
                  <v>37530</v>
                </pt>
                <pt idx="64">
                  <v>37561</v>
                </pt>
                <pt idx="65">
                  <v>37591</v>
                </pt>
                <pt idx="66">
                  <v>37622</v>
                </pt>
                <pt idx="67">
                  <v>37653</v>
                </pt>
                <pt idx="68">
                  <v>37681</v>
                </pt>
                <pt idx="69">
                  <v>37712</v>
                </pt>
                <pt idx="70">
                  <v>37742</v>
                </pt>
                <pt idx="71">
                  <v>37773</v>
                </pt>
                <pt idx="72">
                  <v>37803</v>
                </pt>
                <pt idx="73">
                  <v>37834</v>
                </pt>
                <pt idx="74">
                  <v>37865</v>
                </pt>
                <pt idx="75">
                  <v>37895</v>
                </pt>
                <pt idx="76">
                  <v>37926</v>
                </pt>
                <pt idx="77">
                  <v>37956</v>
                </pt>
                <pt idx="78">
                  <v>37987</v>
                </pt>
                <pt idx="79">
                  <v>38018</v>
                </pt>
                <pt idx="80">
                  <v>38047</v>
                </pt>
                <pt idx="81">
                  <v>38078</v>
                </pt>
                <pt idx="82">
                  <v>38108</v>
                </pt>
                <pt idx="83">
                  <v>38139</v>
                </pt>
                <pt idx="84">
                  <v>38169</v>
                </pt>
                <pt idx="85">
                  <v>38200</v>
                </pt>
                <pt idx="86">
                  <v>38231</v>
                </pt>
                <pt idx="87">
                  <v>38261</v>
                </pt>
                <pt idx="88">
                  <v>38292</v>
                </pt>
                <pt idx="89">
                  <v>38322</v>
                </pt>
                <pt idx="90">
                  <v>38353</v>
                </pt>
                <pt idx="91">
                  <v>38384</v>
                </pt>
                <pt idx="92">
                  <v>38412</v>
                </pt>
                <pt idx="93">
                  <v>38443</v>
                </pt>
                <pt idx="94">
                  <v>38473</v>
                </pt>
                <pt idx="95">
                  <v>38504</v>
                </pt>
                <pt idx="96">
                  <v>38534</v>
                </pt>
                <pt idx="97">
                  <v>38565</v>
                </pt>
                <pt idx="98">
                  <v>38596</v>
                </pt>
                <pt idx="99">
                  <v>38626</v>
                </pt>
                <pt idx="100">
                  <v>38657</v>
                </pt>
                <pt idx="101">
                  <v>38687</v>
                </pt>
                <pt idx="102">
                  <v>38718</v>
                </pt>
                <pt idx="103">
                  <v>38749</v>
                </pt>
                <pt idx="104">
                  <v>38777</v>
                </pt>
                <pt idx="105">
                  <v>38808</v>
                </pt>
                <pt idx="106">
                  <v>38838</v>
                </pt>
                <pt idx="107">
                  <v>38869</v>
                </pt>
                <pt idx="108">
                  <v>38899</v>
                </pt>
                <pt idx="109">
                  <v>38930</v>
                </pt>
                <pt idx="110">
                  <v>38961</v>
                </pt>
                <pt idx="111">
                  <v>38991</v>
                </pt>
                <pt idx="112">
                  <v>39022</v>
                </pt>
                <pt idx="113">
                  <v>39052</v>
                </pt>
                <pt idx="114">
                  <v>39083</v>
                </pt>
                <pt idx="115">
                  <v>39114</v>
                </pt>
                <pt idx="116">
                  <v>39142</v>
                </pt>
                <pt idx="117">
                  <v>39173</v>
                </pt>
                <pt idx="118">
                  <v>39203</v>
                </pt>
                <pt idx="119">
                  <v>39234</v>
                </pt>
                <pt idx="120">
                  <v>39264</v>
                </pt>
                <pt idx="121">
                  <v>39295</v>
                </pt>
                <pt idx="122">
                  <v>39326</v>
                </pt>
                <pt idx="123">
                  <v>39356</v>
                </pt>
                <pt idx="124">
                  <v>39387</v>
                </pt>
                <pt idx="125">
                  <v>39417</v>
                </pt>
                <pt idx="126">
                  <v>39448</v>
                </pt>
                <pt idx="127">
                  <v>39479</v>
                </pt>
                <pt idx="128">
                  <v>39508</v>
                </pt>
                <pt idx="129">
                  <v>39539</v>
                </pt>
                <pt idx="130">
                  <v>39569</v>
                </pt>
                <pt idx="131">
                  <v>39600</v>
                </pt>
                <pt idx="132">
                  <v>39630</v>
                </pt>
                <pt idx="133">
                  <v>39661</v>
                </pt>
                <pt idx="134">
                  <v>39692</v>
                </pt>
                <pt idx="135">
                  <v>39722</v>
                </pt>
                <pt idx="136">
                  <v>39753</v>
                </pt>
                <pt idx="137">
                  <v>39783</v>
                </pt>
                <pt idx="138">
                  <v>39814</v>
                </pt>
                <pt idx="139">
                  <v>39845</v>
                </pt>
                <pt idx="140">
                  <v>39873</v>
                </pt>
                <pt idx="141">
                  <v>39904</v>
                </pt>
                <pt idx="142">
                  <v>39934</v>
                </pt>
                <pt idx="143">
                  <v>39965</v>
                </pt>
                <pt idx="144">
                  <v>39995</v>
                </pt>
                <pt idx="145">
                  <v>40026</v>
                </pt>
                <pt idx="146">
                  <v>40057</v>
                </pt>
                <pt idx="147">
                  <v>40087</v>
                </pt>
                <pt idx="148">
                  <v>40118</v>
                </pt>
                <pt idx="149">
                  <v>40148</v>
                </pt>
                <pt idx="150">
                  <v>40179</v>
                </pt>
                <pt idx="151">
                  <v>40210</v>
                </pt>
                <pt idx="152">
                  <v>40238</v>
                </pt>
                <pt idx="153">
                  <v>40269</v>
                </pt>
                <pt idx="154">
                  <v>40299</v>
                </pt>
                <pt idx="155">
                  <v>40330</v>
                </pt>
                <pt idx="156">
                  <v>40360</v>
                </pt>
                <pt idx="157">
                  <v>40391</v>
                </pt>
                <pt idx="158">
                  <v>40422</v>
                </pt>
                <pt idx="159">
                  <v>40452</v>
                </pt>
                <pt idx="160">
                  <v>40483</v>
                </pt>
                <pt idx="161">
                  <v>40513</v>
                </pt>
                <pt idx="162">
                  <v>40544</v>
                </pt>
                <pt idx="163">
                  <v>40575</v>
                </pt>
                <pt idx="164">
                  <v>40603</v>
                </pt>
                <pt idx="165">
                  <v>40634</v>
                </pt>
                <pt idx="166">
                  <v>40664</v>
                </pt>
                <pt idx="167">
                  <v>40695</v>
                </pt>
                <pt idx="168">
                  <v>40725</v>
                </pt>
                <pt idx="169">
                  <v>40756</v>
                </pt>
                <pt idx="170">
                  <v>40787</v>
                </pt>
                <pt idx="171">
                  <v>40817</v>
                </pt>
                <pt idx="172">
                  <v>40848</v>
                </pt>
                <pt idx="173">
                  <v>40878</v>
                </pt>
                <pt idx="174">
                  <v>40909</v>
                </pt>
                <pt idx="175">
                  <v>40940</v>
                </pt>
                <pt idx="176">
                  <v>40969</v>
                </pt>
                <pt idx="177">
                  <v>41000</v>
                </pt>
                <pt idx="178">
                  <v>41030</v>
                </pt>
                <pt idx="179">
                  <v>41061</v>
                </pt>
                <pt idx="180">
                  <v>41091</v>
                </pt>
                <pt idx="181">
                  <v>41122</v>
                </pt>
                <pt idx="182">
                  <v>41153</v>
                </pt>
                <pt idx="183">
                  <v>41183</v>
                </pt>
                <pt idx="184">
                  <v>41214</v>
                </pt>
                <pt idx="185">
                  <v>41244</v>
                </pt>
                <pt idx="186">
                  <v>41275</v>
                </pt>
                <pt idx="187">
                  <v>41306</v>
                </pt>
                <pt idx="188">
                  <v>41334</v>
                </pt>
                <pt idx="189">
                  <v>41365</v>
                </pt>
                <pt idx="190">
                  <v>41395</v>
                </pt>
                <pt idx="191">
                  <v>41426</v>
                </pt>
                <pt idx="192">
                  <v>41456</v>
                </pt>
                <pt idx="193">
                  <v>41487</v>
                </pt>
                <pt idx="194">
                  <v>41518</v>
                </pt>
                <pt idx="195">
                  <v>41548</v>
                </pt>
                <pt idx="196">
                  <v>41579</v>
                </pt>
                <pt idx="197">
                  <v>41609</v>
                </pt>
                <pt idx="198">
                  <v>41640</v>
                </pt>
                <pt idx="199">
                  <v>41671</v>
                </pt>
                <pt idx="200">
                  <v>41699</v>
                </pt>
                <pt idx="201">
                  <v>41730</v>
                </pt>
                <pt idx="202">
                  <v>41760</v>
                </pt>
                <pt idx="203">
                  <v>41791</v>
                </pt>
                <pt idx="204">
                  <v>41821</v>
                </pt>
                <pt idx="205">
                  <v>41852</v>
                </pt>
                <pt idx="206">
                  <v>41883</v>
                </pt>
                <pt idx="207">
                  <v>41913</v>
                </pt>
                <pt idx="208">
                  <v>41944</v>
                </pt>
                <pt idx="209">
                  <v>41974</v>
                </pt>
                <pt idx="210">
                  <v>42005</v>
                </pt>
                <pt idx="211">
                  <v>42036</v>
                </pt>
                <pt idx="212">
                  <v>42064</v>
                </pt>
                <pt idx="213">
                  <v>42095</v>
                </pt>
                <pt idx="214">
                  <v>42125</v>
                </pt>
                <pt idx="215">
                  <v>42156</v>
                </pt>
                <pt idx="216">
                  <v>42186</v>
                </pt>
                <pt idx="217">
                  <v>42217</v>
                </pt>
                <pt idx="218">
                  <v>42248</v>
                </pt>
                <pt idx="219">
                  <v>42278</v>
                </pt>
                <pt idx="220">
                  <v>42309</v>
                </pt>
                <pt idx="221">
                  <v>42339</v>
                </pt>
                <pt idx="222">
                  <v>42370</v>
                </pt>
                <pt idx="223">
                  <v>42401</v>
                </pt>
                <pt idx="224">
                  <v>42430</v>
                </pt>
                <pt idx="225">
                  <v>42461</v>
                </pt>
                <pt idx="226">
                  <v>42491</v>
                </pt>
                <pt idx="227">
                  <v>42522</v>
                </pt>
                <pt idx="228">
                  <v>42552</v>
                </pt>
                <pt idx="229">
                  <v>42583</v>
                </pt>
                <pt idx="230">
                  <v>42614</v>
                </pt>
                <pt idx="231">
                  <v>42644</v>
                </pt>
                <pt idx="232">
                  <v>42675</v>
                </pt>
                <pt idx="233">
                  <v>42705</v>
                </pt>
                <pt idx="234">
                  <v>42736</v>
                </pt>
                <pt idx="235">
                  <v>42767</v>
                </pt>
                <pt idx="236">
                  <v>42795</v>
                </pt>
                <pt idx="237">
                  <v>42826</v>
                </pt>
                <pt idx="238">
                  <v>42856</v>
                </pt>
                <pt idx="239">
                  <v>42887</v>
                </pt>
                <pt idx="240">
                  <v>42917</v>
                </pt>
                <pt idx="241">
                  <v>42948</v>
                </pt>
                <pt idx="242">
                  <v>42979</v>
                </pt>
                <pt idx="243">
                  <v>43009</v>
                </pt>
                <pt idx="244">
                  <v>43040</v>
                </pt>
                <pt idx="245">
                  <v>43070</v>
                </pt>
                <pt idx="246">
                  <v>43101</v>
                </pt>
                <pt idx="247">
                  <v>43132</v>
                </pt>
                <pt idx="248">
                  <v>43160</v>
                </pt>
                <pt idx="249">
                  <v>43191</v>
                </pt>
                <pt idx="250">
                  <v>43221</v>
                </pt>
                <pt idx="251">
                  <v>43252</v>
                </pt>
                <pt idx="252">
                  <v>43282</v>
                </pt>
                <pt idx="253">
                  <v>43313</v>
                </pt>
                <pt idx="254">
                  <v>43344</v>
                </pt>
                <pt idx="255">
                  <v>43374</v>
                </pt>
                <pt idx="256">
                  <v>43405</v>
                </pt>
                <pt idx="257">
                  <v>43435</v>
                </pt>
                <pt idx="258">
                  <v>43466</v>
                </pt>
                <pt idx="259">
                  <v>43497</v>
                </pt>
                <pt idx="260">
                  <v>43525</v>
                </pt>
                <pt idx="261">
                  <v>43556</v>
                </pt>
                <pt idx="262">
                  <v>43586</v>
                </pt>
                <pt idx="263">
                  <v>43617</v>
                </pt>
                <pt idx="264">
                  <v>43647</v>
                </pt>
                <pt idx="265">
                  <v>43678</v>
                </pt>
                <pt idx="266">
                  <v>43709</v>
                </pt>
                <pt idx="267">
                  <v>43739</v>
                </pt>
                <pt idx="268">
                  <v>43770</v>
                </pt>
                <pt idx="269">
                  <v>43800</v>
                </pt>
                <pt idx="270">
                  <v>43831</v>
                </pt>
                <pt idx="271">
                  <v>43862</v>
                </pt>
                <pt idx="272">
                  <v>43891</v>
                </pt>
                <pt idx="273">
                  <v>43922</v>
                </pt>
                <pt idx="274">
                  <v>43952</v>
                </pt>
                <pt idx="275">
                  <v>43983</v>
                </pt>
                <pt idx="276">
                  <v>44013</v>
                </pt>
                <pt idx="277">
                  <v>44044</v>
                </pt>
                <pt idx="278">
                  <v>44075</v>
                </pt>
                <pt idx="279">
                  <v>44105</v>
                </pt>
                <pt idx="280">
                  <v>44136</v>
                </pt>
                <pt idx="281">
                  <v>44166</v>
                </pt>
                <pt idx="282">
                  <v>44197</v>
                </pt>
                <pt idx="283">
                  <v>44228</v>
                </pt>
                <pt idx="284">
                  <v>44256</v>
                </pt>
                <pt idx="285">
                  <v>44287</v>
                </pt>
                <pt idx="286">
                  <v>44317</v>
                </pt>
                <pt idx="287">
                  <v>44348</v>
                </pt>
                <pt idx="288">
                  <v>44378</v>
                </pt>
                <pt idx="289">
                  <v>44409</v>
                </pt>
                <pt idx="290">
                  <v>44440</v>
                </pt>
                <pt idx="291">
                  <v>44470</v>
                </pt>
                <pt idx="292">
                  <v>44501</v>
                </pt>
                <pt idx="293">
                  <v>44531</v>
                </pt>
                <pt idx="294">
                  <v>44562</v>
                </pt>
                <pt idx="295">
                  <v>44593</v>
                </pt>
                <pt idx="296">
                  <v>44621</v>
                </pt>
                <pt idx="297">
                  <v>44652</v>
                </pt>
                <pt idx="298">
                  <v>44682</v>
                </pt>
                <pt idx="299">
                  <v>44713</v>
                </pt>
              </numCache>
            </numRef>
          </cat>
          <val>
            <numRef>
              <f>'ISM Services vs GDP'!$B$6:$B$305</f>
              <numCache>
                <formatCode>0.00</formatCode>
                <ptCount val="300"/>
                <pt idx="0">
                  <v>56.7</v>
                </pt>
                <pt idx="1">
                  <v>62</v>
                </pt>
                <pt idx="2">
                  <v>56.2</v>
                </pt>
                <pt idx="3">
                  <v>56.6</v>
                </pt>
                <pt idx="4">
                  <v>58.5</v>
                </pt>
                <pt idx="5">
                  <v>55.5</v>
                </pt>
                <pt idx="6">
                  <v>57</v>
                </pt>
                <pt idx="7">
                  <v>56.2</v>
                </pt>
                <pt idx="8">
                  <v>54.7</v>
                </pt>
                <pt idx="9">
                  <v>54.9</v>
                </pt>
                <pt idx="10">
                  <v>56.2</v>
                </pt>
                <pt idx="11">
                  <v>55.1</v>
                </pt>
                <pt idx="12">
                  <v>55.8</v>
                </pt>
                <pt idx="13">
                  <v>53.5</v>
                </pt>
                <pt idx="14">
                  <v>55</v>
                </pt>
                <pt idx="15">
                  <v>53.8</v>
                </pt>
                <pt idx="16">
                  <v>52.6</v>
                </pt>
                <pt idx="17">
                  <v>52.9</v>
                </pt>
                <pt idx="18">
                  <v>55.6</v>
                </pt>
                <pt idx="19">
                  <v>54.4</v>
                </pt>
                <pt idx="20">
                  <v>55.3</v>
                </pt>
                <pt idx="21">
                  <v>55.5</v>
                </pt>
                <pt idx="22">
                  <v>55.3</v>
                </pt>
                <pt idx="23">
                  <v>56.7</v>
                </pt>
                <pt idx="24">
                  <v>56.2</v>
                </pt>
                <pt idx="25">
                  <v>56.4</v>
                </pt>
                <pt idx="26">
                  <v>56.2</v>
                </pt>
                <pt idx="27">
                  <v>57.6</v>
                </pt>
                <pt idx="28">
                  <v>54.9</v>
                </pt>
                <pt idx="29">
                  <v>56.9</v>
                </pt>
                <pt idx="30">
                  <v>56.6</v>
                </pt>
                <pt idx="31">
                  <v>56.2</v>
                </pt>
                <pt idx="32">
                  <v>57.4</v>
                </pt>
                <pt idx="33">
                  <v>58</v>
                </pt>
                <pt idx="34">
                  <v>57.7</v>
                </pt>
                <pt idx="35">
                  <v>56.9</v>
                </pt>
                <pt idx="36">
                  <v>55.3</v>
                </pt>
                <pt idx="37">
                  <v>57.6</v>
                </pt>
                <pt idx="38">
                  <v>56.7</v>
                </pt>
                <pt idx="39">
                  <v>56.7</v>
                </pt>
                <pt idx="40">
                  <v>56.2</v>
                </pt>
                <pt idx="41">
                  <v>54</v>
                </pt>
                <pt idx="42">
                  <v>51.6</v>
                </pt>
                <pt idx="43">
                  <v>51.3</v>
                </pt>
                <pt idx="44">
                  <v>50.7</v>
                </pt>
                <pt idx="45">
                  <v>48.3</v>
                </pt>
                <pt idx="46">
                  <v>49</v>
                </pt>
                <pt idx="47">
                  <v>50.1</v>
                </pt>
                <pt idx="48">
                  <v>48.1</v>
                </pt>
                <pt idx="49">
                  <v>46.9</v>
                </pt>
                <pt idx="50">
                  <v>49.5</v>
                </pt>
                <pt idx="51">
                  <v>44.8</v>
                </pt>
                <pt idx="52">
                  <v>48.2</v>
                </pt>
                <pt idx="53">
                  <v>49.7</v>
                </pt>
                <pt idx="54">
                  <v>48.9</v>
                </pt>
                <pt idx="55">
                  <v>52.7</v>
                </pt>
                <pt idx="56">
                  <v>52.8</v>
                </pt>
                <pt idx="57">
                  <v>53.5</v>
                </pt>
                <pt idx="58">
                  <v>54.8</v>
                </pt>
                <pt idx="59">
                  <v>52.5</v>
                </pt>
                <pt idx="60">
                  <v>50.4</v>
                </pt>
                <pt idx="61">
                  <v>50.9</v>
                </pt>
                <pt idx="62">
                  <v>52.3</v>
                </pt>
                <pt idx="63">
                  <v>51.4</v>
                </pt>
                <pt idx="64">
                  <v>52.9</v>
                </pt>
                <pt idx="65">
                  <v>52.3</v>
                </pt>
                <pt idx="66">
                  <v>53.3</v>
                </pt>
                <pt idx="67">
                  <v>52.6</v>
                </pt>
                <pt idx="68">
                  <v>49.1</v>
                </pt>
                <pt idx="69">
                  <v>50.1</v>
                </pt>
                <pt idx="70">
                  <v>52.8</v>
                </pt>
                <pt idx="71">
                  <v>54.3</v>
                </pt>
                <pt idx="72">
                  <v>57.3</v>
                </pt>
                <pt idx="73">
                  <v>59.1</v>
                </pt>
                <pt idx="74">
                  <v>57.6</v>
                </pt>
                <pt idx="75">
                  <v>58.7</v>
                </pt>
                <pt idx="76">
                  <v>57.5</v>
                </pt>
                <pt idx="77">
                  <v>56.8</v>
                </pt>
                <pt idx="78">
                  <v>61.2</v>
                </pt>
                <pt idx="79">
                  <v>58</v>
                </pt>
                <pt idx="80">
                  <v>58.3</v>
                </pt>
                <pt idx="81">
                  <v>59.6</v>
                </pt>
                <pt idx="82">
                  <v>58.5</v>
                </pt>
                <pt idx="83">
                  <v>58.6</v>
                </pt>
                <pt idx="84">
                  <v>58.5</v>
                </pt>
                <pt idx="85">
                  <v>57.3</v>
                </pt>
                <pt idx="86">
                  <v>57.9</v>
                </pt>
                <pt idx="87">
                  <v>58.8</v>
                </pt>
                <pt idx="88">
                  <v>58.4</v>
                </pt>
                <pt idx="89">
                  <v>59.6</v>
                </pt>
                <pt idx="90">
                  <v>58</v>
                </pt>
                <pt idx="91">
                  <v>59.4</v>
                </pt>
                <pt idx="92">
                  <v>58</v>
                </pt>
                <pt idx="93">
                  <v>55.6</v>
                </pt>
                <pt idx="94">
                  <v>55.3</v>
                </pt>
                <pt idx="95">
                  <v>58.1</v>
                </pt>
                <pt idx="96">
                  <v>59.5</v>
                </pt>
                <pt idx="97">
                  <v>61.3</v>
                </pt>
                <pt idx="98">
                  <v>55.7</v>
                </pt>
                <pt idx="99">
                  <v>57.4</v>
                </pt>
                <pt idx="100">
                  <v>59.1</v>
                </pt>
                <pt idx="101">
                  <v>59</v>
                </pt>
                <pt idx="102">
                  <v>56.3</v>
                </pt>
                <pt idx="103">
                  <v>57.6</v>
                </pt>
                <pt idx="104">
                  <v>56.9</v>
                </pt>
                <pt idx="105">
                  <v>58.4</v>
                </pt>
                <pt idx="106">
                  <v>57</v>
                </pt>
                <pt idx="107">
                  <v>55.2</v>
                </pt>
                <pt idx="108">
                  <v>55.6</v>
                </pt>
                <pt idx="109">
                  <v>53.9</v>
                </pt>
                <pt idx="110">
                  <v>54.5</v>
                </pt>
                <pt idx="111">
                  <v>54.9</v>
                </pt>
                <pt idx="112">
                  <v>54.5</v>
                </pt>
                <pt idx="113">
                  <v>53.7</v>
                </pt>
                <pt idx="114">
                  <v>55.4</v>
                </pt>
                <pt idx="115">
                  <v>54.2</v>
                </pt>
                <pt idx="116">
                  <v>52.1</v>
                </pt>
                <pt idx="117">
                  <v>53.4</v>
                </pt>
                <pt idx="118">
                  <v>54.3</v>
                </pt>
                <pt idx="119">
                  <v>54.9</v>
                </pt>
                <pt idx="120">
                  <v>53.6</v>
                </pt>
                <pt idx="121">
                  <v>52.7</v>
                </pt>
                <pt idx="122">
                  <v>52.6</v>
                </pt>
                <pt idx="123">
                  <v>53.6</v>
                </pt>
                <pt idx="124">
                  <v>52.8</v>
                </pt>
                <pt idx="125">
                  <v>52.5</v>
                </pt>
                <pt idx="126">
                  <v>44.8</v>
                </pt>
                <pt idx="127">
                  <v>49.9</v>
                </pt>
                <pt idx="128">
                  <v>49.4</v>
                </pt>
                <pt idx="129">
                  <v>51.9</v>
                </pt>
                <pt idx="130">
                  <v>51.5</v>
                </pt>
                <pt idx="131">
                  <v>48.1</v>
                </pt>
                <pt idx="132">
                  <v>50.1</v>
                </pt>
                <pt idx="133">
                  <v>50.6</v>
                </pt>
                <pt idx="134">
                  <v>49.4</v>
                </pt>
                <pt idx="135">
                  <v>44.7</v>
                </pt>
                <pt idx="136">
                  <v>37.8</v>
                </pt>
                <pt idx="137">
                  <v>40</v>
                </pt>
                <pt idx="138">
                  <v>43</v>
                </pt>
                <pt idx="139">
                  <v>41.6</v>
                </pt>
                <pt idx="140">
                  <v>40.1</v>
                </pt>
                <pt idx="141">
                  <v>43.7</v>
                </pt>
                <pt idx="142">
                  <v>44.4</v>
                </pt>
                <pt idx="143">
                  <v>46.4</v>
                </pt>
                <pt idx="144">
                  <v>47.1</v>
                </pt>
                <pt idx="145">
                  <v>48.9</v>
                </pt>
                <pt idx="146">
                  <v>50.1</v>
                </pt>
                <pt idx="147">
                  <v>51</v>
                </pt>
                <pt idx="148">
                  <v>49.5</v>
                </pt>
                <pt idx="149">
                  <v>49.7</v>
                </pt>
                <pt idx="150">
                  <v>50</v>
                </pt>
                <pt idx="151">
                  <v>51.7</v>
                </pt>
                <pt idx="152">
                  <v>53.3</v>
                </pt>
                <pt idx="153">
                  <v>55.3</v>
                </pt>
                <pt idx="154">
                  <v>55.5</v>
                </pt>
                <pt idx="155">
                  <v>54.4</v>
                </pt>
                <pt idx="156">
                  <v>54.6</v>
                </pt>
                <pt idx="157">
                  <v>52.4</v>
                </pt>
                <pt idx="158">
                  <v>53.3</v>
                </pt>
                <pt idx="159">
                  <v>55.3</v>
                </pt>
                <pt idx="160">
                  <v>56.4</v>
                </pt>
                <pt idx="161">
                  <v>56.9</v>
                </pt>
                <pt idx="162">
                  <v>57.6</v>
                </pt>
                <pt idx="163">
                  <v>58</v>
                </pt>
                <pt idx="164">
                  <v>55.8</v>
                </pt>
                <pt idx="165">
                  <v>55.2</v>
                </pt>
                <pt idx="166">
                  <v>55</v>
                </pt>
                <pt idx="167">
                  <v>54.2</v>
                </pt>
                <pt idx="168">
                  <v>53.5</v>
                </pt>
                <pt idx="169">
                  <v>53.5</v>
                </pt>
                <pt idx="170">
                  <v>52.3</v>
                </pt>
                <pt idx="171">
                  <v>52.8</v>
                </pt>
                <pt idx="172">
                  <v>52.9</v>
                </pt>
                <pt idx="173">
                  <v>52.6</v>
                </pt>
                <pt idx="174">
                  <v>56</v>
                </pt>
                <pt idx="175">
                  <v>56</v>
                </pt>
                <pt idx="176">
                  <v>55.6</v>
                </pt>
                <pt idx="177">
                  <v>54.4</v>
                </pt>
                <pt idx="178">
                  <v>54.5</v>
                </pt>
                <pt idx="179">
                  <v>53.7</v>
                </pt>
                <pt idx="180">
                  <v>52.4</v>
                </pt>
                <pt idx="181">
                  <v>52.9</v>
                </pt>
                <pt idx="182">
                  <v>54.6</v>
                </pt>
                <pt idx="183">
                  <v>54.2</v>
                </pt>
                <pt idx="184">
                  <v>54.8</v>
                </pt>
                <pt idx="185">
                  <v>55.6</v>
                </pt>
                <pt idx="186">
                  <v>55.3</v>
                </pt>
                <pt idx="187">
                  <v>56.1</v>
                </pt>
                <pt idx="188">
                  <v>55.2</v>
                </pt>
                <pt idx="189">
                  <v>53.9</v>
                </pt>
                <pt idx="190">
                  <v>54.4</v>
                </pt>
                <pt idx="191">
                  <v>54.1</v>
                </pt>
                <pt idx="192">
                  <v>54.9</v>
                </pt>
                <pt idx="193">
                  <v>56.6</v>
                </pt>
                <pt idx="194">
                  <v>53.6</v>
                </pt>
                <pt idx="195">
                  <v>54.5</v>
                </pt>
                <pt idx="196">
                  <v>53.8</v>
                </pt>
                <pt idx="197">
                  <v>52.9</v>
                </pt>
                <pt idx="198">
                  <v>54.7</v>
                </pt>
                <pt idx="199">
                  <v>53</v>
                </pt>
                <pt idx="200">
                  <v>54.2</v>
                </pt>
                <pt idx="201">
                  <v>55.2</v>
                </pt>
                <pt idx="202">
                  <v>56.9</v>
                </pt>
                <pt idx="203">
                  <v>56.6</v>
                </pt>
                <pt idx="204">
                  <v>57.1</v>
                </pt>
                <pt idx="205">
                  <v>58</v>
                </pt>
                <pt idx="206">
                  <v>57.4</v>
                </pt>
                <pt idx="207">
                  <v>56</v>
                </pt>
                <pt idx="208">
                  <v>58.7</v>
                </pt>
                <pt idx="209">
                  <v>56.4</v>
                </pt>
                <pt idx="210">
                  <v>57.3</v>
                </pt>
                <pt idx="211">
                  <v>57.6</v>
                </pt>
                <pt idx="212">
                  <v>57.5</v>
                </pt>
                <pt idx="213">
                  <v>57.5</v>
                </pt>
                <pt idx="214">
                  <v>56.8</v>
                </pt>
                <pt idx="215">
                  <v>56</v>
                </pt>
                <pt idx="216">
                  <v>59.3</v>
                </pt>
                <pt idx="217">
                  <v>58.4</v>
                </pt>
                <pt idx="218">
                  <v>56.1</v>
                </pt>
                <pt idx="219">
                  <v>57.9</v>
                </pt>
                <pt idx="220">
                  <v>55.8</v>
                </pt>
                <pt idx="221">
                  <v>55.3</v>
                </pt>
                <pt idx="222">
                  <v>54</v>
                </pt>
                <pt idx="223">
                  <v>54</v>
                </pt>
                <pt idx="224">
                  <v>55.2</v>
                </pt>
                <pt idx="225">
                  <v>55.6</v>
                </pt>
                <pt idx="226">
                  <v>53.8</v>
                </pt>
                <pt idx="227">
                  <v>56</v>
                </pt>
                <pt idx="228">
                  <v>55.2</v>
                </pt>
                <pt idx="229">
                  <v>51.6</v>
                </pt>
                <pt idx="230">
                  <v>56.3</v>
                </pt>
                <pt idx="231">
                  <v>54.4</v>
                </pt>
                <pt idx="232">
                  <v>56.2</v>
                </pt>
                <pt idx="233">
                  <v>56.7</v>
                </pt>
                <pt idx="234">
                  <v>56.8</v>
                </pt>
                <pt idx="235">
                  <v>57.4</v>
                </pt>
                <pt idx="236">
                  <v>55.6</v>
                </pt>
                <pt idx="237">
                  <v>57.3</v>
                </pt>
                <pt idx="238">
                  <v>57.1</v>
                </pt>
                <pt idx="239">
                  <v>57.2</v>
                </pt>
                <pt idx="240">
                  <v>54.3</v>
                </pt>
                <pt idx="241">
                  <v>55.2</v>
                </pt>
                <pt idx="242">
                  <v>59.4</v>
                </pt>
                <pt idx="243">
                  <v>59.8</v>
                </pt>
                <pt idx="244">
                  <v>57.3</v>
                </pt>
                <pt idx="245">
                  <v>56</v>
                </pt>
                <pt idx="246">
                  <v>59.9</v>
                </pt>
                <pt idx="247">
                  <v>59.5</v>
                </pt>
                <pt idx="248">
                  <v>58.8</v>
                </pt>
                <pt idx="249">
                  <v>56.8</v>
                </pt>
                <pt idx="250">
                  <v>58.6</v>
                </pt>
                <pt idx="251">
                  <v>59.1</v>
                </pt>
                <pt idx="252">
                  <v>55.7</v>
                </pt>
                <pt idx="253">
                  <v>58.5</v>
                </pt>
                <pt idx="254">
                  <v>61.6</v>
                </pt>
                <pt idx="255">
                  <v>60.3</v>
                </pt>
                <pt idx="256">
                  <v>60.7</v>
                </pt>
                <pt idx="257">
                  <v>57.6</v>
                </pt>
                <pt idx="258">
                  <v>56.7</v>
                </pt>
                <pt idx="259">
                  <v>59.7</v>
                </pt>
                <pt idx="260">
                  <v>56.1</v>
                </pt>
                <pt idx="261">
                  <v>55.5</v>
                </pt>
                <pt idx="262">
                  <v>56.9</v>
                </pt>
                <pt idx="263">
                  <v>55.1</v>
                </pt>
                <pt idx="264">
                  <v>53.7</v>
                </pt>
                <pt idx="265">
                  <v>56.4</v>
                </pt>
                <pt idx="266">
                  <v>52.6</v>
                </pt>
                <pt idx="267">
                  <v>54.7</v>
                </pt>
                <pt idx="268">
                  <v>53.9</v>
                </pt>
                <pt idx="269">
                  <v>55</v>
                </pt>
                <pt idx="270">
                  <v>55.5</v>
                </pt>
                <pt idx="271">
                  <v>57.3</v>
                </pt>
                <pt idx="272">
                  <v>52.5</v>
                </pt>
                <pt idx="273">
                  <v>41.8</v>
                </pt>
                <pt idx="274">
                  <v>45.4</v>
                </pt>
                <pt idx="275">
                  <v>57.1</v>
                </pt>
                <pt idx="276">
                  <v>58.1</v>
                </pt>
                <pt idx="277">
                  <v>56.9</v>
                </pt>
                <pt idx="278">
                  <v>57.8</v>
                </pt>
                <pt idx="279">
                  <v>56.6</v>
                </pt>
                <pt idx="280">
                  <v>55.9</v>
                </pt>
                <pt idx="281">
                  <v>57.2</v>
                </pt>
                <pt idx="282">
                  <v>58.7</v>
                </pt>
                <pt idx="283">
                  <v>55.3</v>
                </pt>
                <pt idx="284">
                  <v>63.7</v>
                </pt>
                <pt idx="285">
                  <v>62.7</v>
                </pt>
                <pt idx="286">
                  <v>64</v>
                </pt>
                <pt idx="287">
                  <v>60.1</v>
                </pt>
                <pt idx="288">
                  <v>64.09999999999999</v>
                </pt>
                <pt idx="289">
                  <v>61.7</v>
                </pt>
                <pt idx="290">
                  <v>61.9</v>
                </pt>
                <pt idx="291">
                  <v>66.7</v>
                </pt>
                <pt idx="292">
                  <v>69.09999999999999</v>
                </pt>
                <pt idx="293">
                  <v>62</v>
                </pt>
                <pt idx="294">
                  <v>59.9</v>
                </pt>
                <pt idx="295">
                  <v>56.5</v>
                </pt>
                <pt idx="296">
                  <v>58.3</v>
                </pt>
                <pt idx="297">
                  <v>57.1</v>
                </pt>
                <pt idx="298">
                  <v>55.9</v>
                </pt>
                <pt idx="299">
                  <v>55.3</v>
                </pt>
              </numCache>
            </numRef>
          </val>
          <smooth val="0"/>
        </ser>
        <dLbls>
          <showLegendKey val="0"/>
          <showVal val="0"/>
          <showCatName val="0"/>
          <showSerName val="0"/>
          <showPercent val="0"/>
          <showBubbleSize val="0"/>
        </dLbls>
        <marker val="1"/>
        <smooth val="0"/>
        <axId val="864306016"/>
        <axId val="864312248"/>
      </lineChart>
      <dateAx>
        <axId val="864306016"/>
        <scaling>
          <orientation val="minMax"/>
        </scaling>
        <delete val="0"/>
        <axPos val="b"/>
        <numFmt formatCode="m/d/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864312248"/>
        <crosses val="autoZero"/>
        <lblOffset val="100"/>
        <baseTimeUnit val="months"/>
      </dateAx>
      <valAx>
        <axId val="864312248"/>
        <scaling>
          <orientation val="minMax"/>
          <min val="3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0"/>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864306016"/>
        <crosses val="autoZero"/>
        <crossBetween val="between"/>
      </valAx>
      <dateAx>
        <axId val="1093262496"/>
        <scaling>
          <orientation val="minMax"/>
        </scaling>
        <delete val="1"/>
        <axPos val="b"/>
        <numFmt formatCode="m/d/yy" sourceLinked="1"/>
        <majorTickMark val="out"/>
        <minorTickMark val="none"/>
        <tickLblPos val="nextTo"/>
        <crossAx val="1093246096"/>
        <crosses val="autoZero"/>
        <lblOffset val="100"/>
        <baseTimeUnit val="months"/>
        <majorUnit val="1"/>
        <minorUnit val="1"/>
      </dateAx>
      <valAx>
        <axId val="1093246096"/>
        <scaling>
          <orientation val="minMax"/>
        </scaling>
        <delete val="0"/>
        <axPos val="r"/>
        <numFmt formatCode="0.00%" sourceLinked="1"/>
        <majorTickMark val="out"/>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3262496"/>
        <crosses val="max"/>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78.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1" i="0" strike="noStrike" kern="1200" spc="0" baseline="0">
                <a:solidFill>
                  <a:schemeClr val="tx1">
                    <a:lumMod val="65000"/>
                    <a:lumOff val="35000"/>
                  </a:schemeClr>
                </a:solidFill>
                <a:latin typeface="+mn-lt"/>
                <a:ea typeface="+mn-ea"/>
                <a:cs typeface="+mn-cs"/>
              </a:defRPr>
            </a:pPr>
            <a:r>
              <a:rPr lang="en-GB" b="1"/>
              <a:t>ISM Services</a:t>
            </a:r>
            <a:r>
              <a:rPr lang="en-GB" b="1" baseline="0"/>
              <a:t xml:space="preserve"> vs GDP growth qoq annualised %</a:t>
            </a:r>
            <a:endParaRPr lang="en-GB" b="1"/>
          </a:p>
        </rich>
      </tx>
      <overlay val="0"/>
      <spPr>
        <a:noFill xmlns:a="http://schemas.openxmlformats.org/drawingml/2006/main"/>
        <a:ln xmlns:a="http://schemas.openxmlformats.org/drawingml/2006/main">
          <a:noFill/>
          <a:prstDash val="solid"/>
        </a:ln>
      </spPr>
    </title>
    <plotArea>
      <layout/>
      <barChart>
        <barDir val="col"/>
        <grouping val="clustered"/>
        <varyColors val="0"/>
        <ser>
          <idx val="3"/>
          <order val="0"/>
          <tx>
            <strRef>
              <f>'ISM Services vs GDP'!$E$5</f>
              <strCache>
                <ptCount val="1"/>
                <pt idx="0">
                  <v>GDP growth q/q % (annualised)</v>
                </pt>
              </strCache>
            </strRef>
          </tx>
          <spPr>
            <a:solidFill xmlns:a="http://schemas.openxmlformats.org/drawingml/2006/main">
              <a:schemeClr val="accent4"/>
            </a:solidFill>
            <a:ln xmlns:a="http://schemas.openxmlformats.org/drawingml/2006/main">
              <a:noFill/>
              <a:prstDash val="solid"/>
            </a:ln>
          </spPr>
          <invertIfNegative val="0"/>
          <cat>
            <numRef>
              <f>'ISM Services vs GDP'!$A$6:$A$305</f>
              <numCache>
                <formatCode>m/d/yy</formatCode>
                <ptCount val="300"/>
                <pt idx="0">
                  <v>35612</v>
                </pt>
                <pt idx="1">
                  <v>35643</v>
                </pt>
                <pt idx="2">
                  <v>35674</v>
                </pt>
                <pt idx="3">
                  <v>35704</v>
                </pt>
                <pt idx="4">
                  <v>35735</v>
                </pt>
                <pt idx="5">
                  <v>35765</v>
                </pt>
                <pt idx="6">
                  <v>35796</v>
                </pt>
                <pt idx="7">
                  <v>35827</v>
                </pt>
                <pt idx="8">
                  <v>35855</v>
                </pt>
                <pt idx="9">
                  <v>35886</v>
                </pt>
                <pt idx="10">
                  <v>35916</v>
                </pt>
                <pt idx="11">
                  <v>35947</v>
                </pt>
                <pt idx="12">
                  <v>35977</v>
                </pt>
                <pt idx="13">
                  <v>36008</v>
                </pt>
                <pt idx="14">
                  <v>36039</v>
                </pt>
                <pt idx="15">
                  <v>36069</v>
                </pt>
                <pt idx="16">
                  <v>36100</v>
                </pt>
                <pt idx="17">
                  <v>36130</v>
                </pt>
                <pt idx="18">
                  <v>36161</v>
                </pt>
                <pt idx="19">
                  <v>36192</v>
                </pt>
                <pt idx="20">
                  <v>36220</v>
                </pt>
                <pt idx="21">
                  <v>36251</v>
                </pt>
                <pt idx="22">
                  <v>36281</v>
                </pt>
                <pt idx="23">
                  <v>36312</v>
                </pt>
                <pt idx="24">
                  <v>36342</v>
                </pt>
                <pt idx="25">
                  <v>36373</v>
                </pt>
                <pt idx="26">
                  <v>36404</v>
                </pt>
                <pt idx="27">
                  <v>36434</v>
                </pt>
                <pt idx="28">
                  <v>36465</v>
                </pt>
                <pt idx="29">
                  <v>36495</v>
                </pt>
                <pt idx="30">
                  <v>36526</v>
                </pt>
                <pt idx="31">
                  <v>36557</v>
                </pt>
                <pt idx="32">
                  <v>36586</v>
                </pt>
                <pt idx="33">
                  <v>36617</v>
                </pt>
                <pt idx="34">
                  <v>36647</v>
                </pt>
                <pt idx="35">
                  <v>36678</v>
                </pt>
                <pt idx="36">
                  <v>36708</v>
                </pt>
                <pt idx="37">
                  <v>36739</v>
                </pt>
                <pt idx="38">
                  <v>36770</v>
                </pt>
                <pt idx="39">
                  <v>36800</v>
                </pt>
                <pt idx="40">
                  <v>36831</v>
                </pt>
                <pt idx="41">
                  <v>36861</v>
                </pt>
                <pt idx="42">
                  <v>36892</v>
                </pt>
                <pt idx="43">
                  <v>36923</v>
                </pt>
                <pt idx="44">
                  <v>36951</v>
                </pt>
                <pt idx="45">
                  <v>36982</v>
                </pt>
                <pt idx="46">
                  <v>37012</v>
                </pt>
                <pt idx="47">
                  <v>37043</v>
                </pt>
                <pt idx="48">
                  <v>37073</v>
                </pt>
                <pt idx="49">
                  <v>37104</v>
                </pt>
                <pt idx="50">
                  <v>37135</v>
                </pt>
                <pt idx="51">
                  <v>37165</v>
                </pt>
                <pt idx="52">
                  <v>37196</v>
                </pt>
                <pt idx="53">
                  <v>37226</v>
                </pt>
                <pt idx="54">
                  <v>37257</v>
                </pt>
                <pt idx="55">
                  <v>37288</v>
                </pt>
                <pt idx="56">
                  <v>37316</v>
                </pt>
                <pt idx="57">
                  <v>37347</v>
                </pt>
                <pt idx="58">
                  <v>37377</v>
                </pt>
                <pt idx="59">
                  <v>37408</v>
                </pt>
                <pt idx="60">
                  <v>37438</v>
                </pt>
                <pt idx="61">
                  <v>37469</v>
                </pt>
                <pt idx="62">
                  <v>37500</v>
                </pt>
                <pt idx="63">
                  <v>37530</v>
                </pt>
                <pt idx="64">
                  <v>37561</v>
                </pt>
                <pt idx="65">
                  <v>37591</v>
                </pt>
                <pt idx="66">
                  <v>37622</v>
                </pt>
                <pt idx="67">
                  <v>37653</v>
                </pt>
                <pt idx="68">
                  <v>37681</v>
                </pt>
                <pt idx="69">
                  <v>37712</v>
                </pt>
                <pt idx="70">
                  <v>37742</v>
                </pt>
                <pt idx="71">
                  <v>37773</v>
                </pt>
                <pt idx="72">
                  <v>37803</v>
                </pt>
                <pt idx="73">
                  <v>37834</v>
                </pt>
                <pt idx="74">
                  <v>37865</v>
                </pt>
                <pt idx="75">
                  <v>37895</v>
                </pt>
                <pt idx="76">
                  <v>37926</v>
                </pt>
                <pt idx="77">
                  <v>37956</v>
                </pt>
                <pt idx="78">
                  <v>37987</v>
                </pt>
                <pt idx="79">
                  <v>38018</v>
                </pt>
                <pt idx="80">
                  <v>38047</v>
                </pt>
                <pt idx="81">
                  <v>38078</v>
                </pt>
                <pt idx="82">
                  <v>38108</v>
                </pt>
                <pt idx="83">
                  <v>38139</v>
                </pt>
                <pt idx="84">
                  <v>38169</v>
                </pt>
                <pt idx="85">
                  <v>38200</v>
                </pt>
                <pt idx="86">
                  <v>38231</v>
                </pt>
                <pt idx="87">
                  <v>38261</v>
                </pt>
                <pt idx="88">
                  <v>38292</v>
                </pt>
                <pt idx="89">
                  <v>38322</v>
                </pt>
                <pt idx="90">
                  <v>38353</v>
                </pt>
                <pt idx="91">
                  <v>38384</v>
                </pt>
                <pt idx="92">
                  <v>38412</v>
                </pt>
                <pt idx="93">
                  <v>38443</v>
                </pt>
                <pt idx="94">
                  <v>38473</v>
                </pt>
                <pt idx="95">
                  <v>38504</v>
                </pt>
                <pt idx="96">
                  <v>38534</v>
                </pt>
                <pt idx="97">
                  <v>38565</v>
                </pt>
                <pt idx="98">
                  <v>38596</v>
                </pt>
                <pt idx="99">
                  <v>38626</v>
                </pt>
                <pt idx="100">
                  <v>38657</v>
                </pt>
                <pt idx="101">
                  <v>38687</v>
                </pt>
                <pt idx="102">
                  <v>38718</v>
                </pt>
                <pt idx="103">
                  <v>38749</v>
                </pt>
                <pt idx="104">
                  <v>38777</v>
                </pt>
                <pt idx="105">
                  <v>38808</v>
                </pt>
                <pt idx="106">
                  <v>38838</v>
                </pt>
                <pt idx="107">
                  <v>38869</v>
                </pt>
                <pt idx="108">
                  <v>38899</v>
                </pt>
                <pt idx="109">
                  <v>38930</v>
                </pt>
                <pt idx="110">
                  <v>38961</v>
                </pt>
                <pt idx="111">
                  <v>38991</v>
                </pt>
                <pt idx="112">
                  <v>39022</v>
                </pt>
                <pt idx="113">
                  <v>39052</v>
                </pt>
                <pt idx="114">
                  <v>39083</v>
                </pt>
                <pt idx="115">
                  <v>39114</v>
                </pt>
                <pt idx="116">
                  <v>39142</v>
                </pt>
                <pt idx="117">
                  <v>39173</v>
                </pt>
                <pt idx="118">
                  <v>39203</v>
                </pt>
                <pt idx="119">
                  <v>39234</v>
                </pt>
                <pt idx="120">
                  <v>39264</v>
                </pt>
                <pt idx="121">
                  <v>39295</v>
                </pt>
                <pt idx="122">
                  <v>39326</v>
                </pt>
                <pt idx="123">
                  <v>39356</v>
                </pt>
                <pt idx="124">
                  <v>39387</v>
                </pt>
                <pt idx="125">
                  <v>39417</v>
                </pt>
                <pt idx="126">
                  <v>39448</v>
                </pt>
                <pt idx="127">
                  <v>39479</v>
                </pt>
                <pt idx="128">
                  <v>39508</v>
                </pt>
                <pt idx="129">
                  <v>39539</v>
                </pt>
                <pt idx="130">
                  <v>39569</v>
                </pt>
                <pt idx="131">
                  <v>39600</v>
                </pt>
                <pt idx="132">
                  <v>39630</v>
                </pt>
                <pt idx="133">
                  <v>39661</v>
                </pt>
                <pt idx="134">
                  <v>39692</v>
                </pt>
                <pt idx="135">
                  <v>39722</v>
                </pt>
                <pt idx="136">
                  <v>39753</v>
                </pt>
                <pt idx="137">
                  <v>39783</v>
                </pt>
                <pt idx="138">
                  <v>39814</v>
                </pt>
                <pt idx="139">
                  <v>39845</v>
                </pt>
                <pt idx="140">
                  <v>39873</v>
                </pt>
                <pt idx="141">
                  <v>39904</v>
                </pt>
                <pt idx="142">
                  <v>39934</v>
                </pt>
                <pt idx="143">
                  <v>39965</v>
                </pt>
                <pt idx="144">
                  <v>39995</v>
                </pt>
                <pt idx="145">
                  <v>40026</v>
                </pt>
                <pt idx="146">
                  <v>40057</v>
                </pt>
                <pt idx="147">
                  <v>40087</v>
                </pt>
                <pt idx="148">
                  <v>40118</v>
                </pt>
                <pt idx="149">
                  <v>40148</v>
                </pt>
                <pt idx="150">
                  <v>40179</v>
                </pt>
                <pt idx="151">
                  <v>40210</v>
                </pt>
                <pt idx="152">
                  <v>40238</v>
                </pt>
                <pt idx="153">
                  <v>40269</v>
                </pt>
                <pt idx="154">
                  <v>40299</v>
                </pt>
                <pt idx="155">
                  <v>40330</v>
                </pt>
                <pt idx="156">
                  <v>40360</v>
                </pt>
                <pt idx="157">
                  <v>40391</v>
                </pt>
                <pt idx="158">
                  <v>40422</v>
                </pt>
                <pt idx="159">
                  <v>40452</v>
                </pt>
                <pt idx="160">
                  <v>40483</v>
                </pt>
                <pt idx="161">
                  <v>40513</v>
                </pt>
                <pt idx="162">
                  <v>40544</v>
                </pt>
                <pt idx="163">
                  <v>40575</v>
                </pt>
                <pt idx="164">
                  <v>40603</v>
                </pt>
                <pt idx="165">
                  <v>40634</v>
                </pt>
                <pt idx="166">
                  <v>40664</v>
                </pt>
                <pt idx="167">
                  <v>40695</v>
                </pt>
                <pt idx="168">
                  <v>40725</v>
                </pt>
                <pt idx="169">
                  <v>40756</v>
                </pt>
                <pt idx="170">
                  <v>40787</v>
                </pt>
                <pt idx="171">
                  <v>40817</v>
                </pt>
                <pt idx="172">
                  <v>40848</v>
                </pt>
                <pt idx="173">
                  <v>40878</v>
                </pt>
                <pt idx="174">
                  <v>40909</v>
                </pt>
                <pt idx="175">
                  <v>40940</v>
                </pt>
                <pt idx="176">
                  <v>40969</v>
                </pt>
                <pt idx="177">
                  <v>41000</v>
                </pt>
                <pt idx="178">
                  <v>41030</v>
                </pt>
                <pt idx="179">
                  <v>41061</v>
                </pt>
                <pt idx="180">
                  <v>41091</v>
                </pt>
                <pt idx="181">
                  <v>41122</v>
                </pt>
                <pt idx="182">
                  <v>41153</v>
                </pt>
                <pt idx="183">
                  <v>41183</v>
                </pt>
                <pt idx="184">
                  <v>41214</v>
                </pt>
                <pt idx="185">
                  <v>41244</v>
                </pt>
                <pt idx="186">
                  <v>41275</v>
                </pt>
                <pt idx="187">
                  <v>41306</v>
                </pt>
                <pt idx="188">
                  <v>41334</v>
                </pt>
                <pt idx="189">
                  <v>41365</v>
                </pt>
                <pt idx="190">
                  <v>41395</v>
                </pt>
                <pt idx="191">
                  <v>41426</v>
                </pt>
                <pt idx="192">
                  <v>41456</v>
                </pt>
                <pt idx="193">
                  <v>41487</v>
                </pt>
                <pt idx="194">
                  <v>41518</v>
                </pt>
                <pt idx="195">
                  <v>41548</v>
                </pt>
                <pt idx="196">
                  <v>41579</v>
                </pt>
                <pt idx="197">
                  <v>41609</v>
                </pt>
                <pt idx="198">
                  <v>41640</v>
                </pt>
                <pt idx="199">
                  <v>41671</v>
                </pt>
                <pt idx="200">
                  <v>41699</v>
                </pt>
                <pt idx="201">
                  <v>41730</v>
                </pt>
                <pt idx="202">
                  <v>41760</v>
                </pt>
                <pt idx="203">
                  <v>41791</v>
                </pt>
                <pt idx="204">
                  <v>41821</v>
                </pt>
                <pt idx="205">
                  <v>41852</v>
                </pt>
                <pt idx="206">
                  <v>41883</v>
                </pt>
                <pt idx="207">
                  <v>41913</v>
                </pt>
                <pt idx="208">
                  <v>41944</v>
                </pt>
                <pt idx="209">
                  <v>41974</v>
                </pt>
                <pt idx="210">
                  <v>42005</v>
                </pt>
                <pt idx="211">
                  <v>42036</v>
                </pt>
                <pt idx="212">
                  <v>42064</v>
                </pt>
                <pt idx="213">
                  <v>42095</v>
                </pt>
                <pt idx="214">
                  <v>42125</v>
                </pt>
                <pt idx="215">
                  <v>42156</v>
                </pt>
                <pt idx="216">
                  <v>42186</v>
                </pt>
                <pt idx="217">
                  <v>42217</v>
                </pt>
                <pt idx="218">
                  <v>42248</v>
                </pt>
                <pt idx="219">
                  <v>42278</v>
                </pt>
                <pt idx="220">
                  <v>42309</v>
                </pt>
                <pt idx="221">
                  <v>42339</v>
                </pt>
                <pt idx="222">
                  <v>42370</v>
                </pt>
                <pt idx="223">
                  <v>42401</v>
                </pt>
                <pt idx="224">
                  <v>42430</v>
                </pt>
                <pt idx="225">
                  <v>42461</v>
                </pt>
                <pt idx="226">
                  <v>42491</v>
                </pt>
                <pt idx="227">
                  <v>42522</v>
                </pt>
                <pt idx="228">
                  <v>42552</v>
                </pt>
                <pt idx="229">
                  <v>42583</v>
                </pt>
                <pt idx="230">
                  <v>42614</v>
                </pt>
                <pt idx="231">
                  <v>42644</v>
                </pt>
                <pt idx="232">
                  <v>42675</v>
                </pt>
                <pt idx="233">
                  <v>42705</v>
                </pt>
                <pt idx="234">
                  <v>42736</v>
                </pt>
                <pt idx="235">
                  <v>42767</v>
                </pt>
                <pt idx="236">
                  <v>42795</v>
                </pt>
                <pt idx="237">
                  <v>42826</v>
                </pt>
                <pt idx="238">
                  <v>42856</v>
                </pt>
                <pt idx="239">
                  <v>42887</v>
                </pt>
                <pt idx="240">
                  <v>42917</v>
                </pt>
                <pt idx="241">
                  <v>42948</v>
                </pt>
                <pt idx="242">
                  <v>42979</v>
                </pt>
                <pt idx="243">
                  <v>43009</v>
                </pt>
                <pt idx="244">
                  <v>43040</v>
                </pt>
                <pt idx="245">
                  <v>43070</v>
                </pt>
                <pt idx="246">
                  <v>43101</v>
                </pt>
                <pt idx="247">
                  <v>43132</v>
                </pt>
                <pt idx="248">
                  <v>43160</v>
                </pt>
                <pt idx="249">
                  <v>43191</v>
                </pt>
                <pt idx="250">
                  <v>43221</v>
                </pt>
                <pt idx="251">
                  <v>43252</v>
                </pt>
                <pt idx="252">
                  <v>43282</v>
                </pt>
                <pt idx="253">
                  <v>43313</v>
                </pt>
                <pt idx="254">
                  <v>43344</v>
                </pt>
                <pt idx="255">
                  <v>43374</v>
                </pt>
                <pt idx="256">
                  <v>43405</v>
                </pt>
                <pt idx="257">
                  <v>43435</v>
                </pt>
                <pt idx="258">
                  <v>43466</v>
                </pt>
                <pt idx="259">
                  <v>43497</v>
                </pt>
                <pt idx="260">
                  <v>43525</v>
                </pt>
                <pt idx="261">
                  <v>43556</v>
                </pt>
                <pt idx="262">
                  <v>43586</v>
                </pt>
                <pt idx="263">
                  <v>43617</v>
                </pt>
                <pt idx="264">
                  <v>43647</v>
                </pt>
                <pt idx="265">
                  <v>43678</v>
                </pt>
                <pt idx="266">
                  <v>43709</v>
                </pt>
                <pt idx="267">
                  <v>43739</v>
                </pt>
                <pt idx="268">
                  <v>43770</v>
                </pt>
                <pt idx="269">
                  <v>43800</v>
                </pt>
                <pt idx="270">
                  <v>43831</v>
                </pt>
                <pt idx="271">
                  <v>43862</v>
                </pt>
                <pt idx="272">
                  <v>43891</v>
                </pt>
                <pt idx="273">
                  <v>43922</v>
                </pt>
                <pt idx="274">
                  <v>43952</v>
                </pt>
                <pt idx="275">
                  <v>43983</v>
                </pt>
                <pt idx="276">
                  <v>44013</v>
                </pt>
                <pt idx="277">
                  <v>44044</v>
                </pt>
                <pt idx="278">
                  <v>44075</v>
                </pt>
                <pt idx="279">
                  <v>44105</v>
                </pt>
                <pt idx="280">
                  <v>44136</v>
                </pt>
                <pt idx="281">
                  <v>44166</v>
                </pt>
                <pt idx="282">
                  <v>44197</v>
                </pt>
                <pt idx="283">
                  <v>44228</v>
                </pt>
                <pt idx="284">
                  <v>44256</v>
                </pt>
                <pt idx="285">
                  <v>44287</v>
                </pt>
                <pt idx="286">
                  <v>44317</v>
                </pt>
                <pt idx="287">
                  <v>44348</v>
                </pt>
                <pt idx="288">
                  <v>44378</v>
                </pt>
                <pt idx="289">
                  <v>44409</v>
                </pt>
                <pt idx="290">
                  <v>44440</v>
                </pt>
                <pt idx="291">
                  <v>44470</v>
                </pt>
                <pt idx="292">
                  <v>44501</v>
                </pt>
                <pt idx="293">
                  <v>44531</v>
                </pt>
                <pt idx="294">
                  <v>44562</v>
                </pt>
                <pt idx="295">
                  <v>44593</v>
                </pt>
                <pt idx="296">
                  <v>44621</v>
                </pt>
                <pt idx="297">
                  <v>44652</v>
                </pt>
                <pt idx="298">
                  <v>44682</v>
                </pt>
                <pt idx="299">
                  <v>44713</v>
                </pt>
              </numCache>
            </numRef>
          </cat>
          <val>
            <numRef>
              <f>'ISM Services vs GDP'!$E$6:$E$305</f>
              <numCache>
                <formatCode>0.00%</formatCode>
                <ptCount val="300"/>
                <pt idx="0">
                  <v>0.05097766273852433</v>
                </pt>
                <pt idx="1">
                  <v>0.05097766273852433</v>
                </pt>
                <pt idx="2">
                  <v>0.05097766273852433</v>
                </pt>
                <pt idx="3">
                  <v>0.03479474533539229</v>
                </pt>
                <pt idx="4">
                  <v>0.03479474533539229</v>
                </pt>
                <pt idx="5">
                  <v>0.03479474533539229</v>
                </pt>
                <pt idx="6">
                  <v>0.04057826924134789</v>
                </pt>
                <pt idx="7">
                  <v>0.04057826924134789</v>
                </pt>
                <pt idx="8">
                  <v>0.04057826924134789</v>
                </pt>
                <pt idx="9">
                  <v>0.03755028803424176</v>
                </pt>
                <pt idx="10">
                  <v>0.03755028803424176</v>
                </pt>
                <pt idx="11">
                  <v>0.03755028803424176</v>
                </pt>
                <pt idx="12">
                  <v>0.05106012260225734</v>
                </pt>
                <pt idx="13">
                  <v>0.05106012260225734</v>
                </pt>
                <pt idx="14">
                  <v>0.05106012260225734</v>
                </pt>
                <pt idx="15">
                  <v>0.06623182618291334</v>
                </pt>
                <pt idx="16">
                  <v>0.06623182618291334</v>
                </pt>
                <pt idx="17">
                  <v>0.06623182618291334</v>
                </pt>
                <pt idx="18">
                  <v>0.03829092080185514</v>
                </pt>
                <pt idx="19">
                  <v>0.03829092080185514</v>
                </pt>
                <pt idx="20">
                  <v>0.03829092080185514</v>
                </pt>
                <pt idx="21">
                  <v>0.03382066981536092</v>
                </pt>
                <pt idx="22">
                  <v>0.03382066981536092</v>
                </pt>
                <pt idx="23">
                  <v>0.03382066981536092</v>
                </pt>
                <pt idx="24">
                  <v>0.05398061530001885</v>
                </pt>
                <pt idx="25">
                  <v>0.05398061530001885</v>
                </pt>
                <pt idx="26">
                  <v>0.05398061530001885</v>
                </pt>
                <pt idx="27">
                  <v>0.06734820036933864</v>
                </pt>
                <pt idx="28">
                  <v>0.06734820036933864</v>
                </pt>
                <pt idx="29">
                  <v>0.06734820036933864</v>
                </pt>
                <pt idx="30">
                  <v>0.0146577813755211</v>
                </pt>
                <pt idx="31">
                  <v>0.0146577813755211</v>
                </pt>
                <pt idx="32">
                  <v>0.0146577813755211</v>
                </pt>
                <pt idx="33">
                  <v>0.07483628114231911</v>
                </pt>
                <pt idx="34">
                  <v>0.07483628114231911</v>
                </pt>
                <pt idx="35">
                  <v>0.07483628114231911</v>
                </pt>
                <pt idx="36">
                  <v>0.003996942030330519</v>
                </pt>
                <pt idx="37">
                  <v>0.003996942030330519</v>
                </pt>
                <pt idx="38">
                  <v>0.003996942030330519</v>
                </pt>
                <pt idx="39">
                  <v>0.02398727086218799</v>
                </pt>
                <pt idx="40">
                  <v>0.02398727086218799</v>
                </pt>
                <pt idx="41">
                  <v>0.02398727086218799</v>
                </pt>
                <pt idx="42">
                  <v>-0.01290590479056442</v>
                </pt>
                <pt idx="43">
                  <v>-0.01290590479056442</v>
                </pt>
                <pt idx="44">
                  <v>-0.01290590479056442</v>
                </pt>
                <pt idx="45">
                  <v>0.02508820455389205</v>
                </pt>
                <pt idx="46">
                  <v>0.02508820455389205</v>
                </pt>
                <pt idx="47">
                  <v>0.02508820455389205</v>
                </pt>
                <pt idx="48">
                  <v>-0.01591804945502973</v>
                </pt>
                <pt idx="49">
                  <v>-0.01591804945502973</v>
                </pt>
                <pt idx="50">
                  <v>-0.01591804945502973</v>
                </pt>
                <pt idx="51">
                  <v>0.01113880165656167</v>
                </pt>
                <pt idx="52">
                  <v>0.01113880165656167</v>
                </pt>
                <pt idx="53">
                  <v>0.01113880165656167</v>
                </pt>
                <pt idx="54">
                  <v>0.03354294204519781</v>
                </pt>
                <pt idx="55">
                  <v>0.03354294204519781</v>
                </pt>
                <pt idx="56">
                  <v>0.03354294204519781</v>
                </pt>
                <pt idx="57">
                  <v>0.02484833834627009</v>
                </pt>
                <pt idx="58">
                  <v>0.02484833834627009</v>
                </pt>
                <pt idx="59">
                  <v>0.02484833834627009</v>
                </pt>
                <pt idx="60">
                  <v>0.01623911250910082</v>
                </pt>
                <pt idx="61">
                  <v>0.01623911250910082</v>
                </pt>
                <pt idx="62">
                  <v>0.01623911250910082</v>
                </pt>
                <pt idx="63">
                  <v>0.00523648216461936</v>
                </pt>
                <pt idx="64">
                  <v>0.00523648216461936</v>
                </pt>
                <pt idx="65">
                  <v>0.00523648216461936</v>
                </pt>
                <pt idx="66">
                  <v>0.02082968176698108</v>
                </pt>
                <pt idx="67">
                  <v>0.02082968176698108</v>
                </pt>
                <pt idx="68">
                  <v>0.02082968176698108</v>
                </pt>
                <pt idx="69">
                  <v>0.03621684485857446</v>
                </pt>
                <pt idx="70">
                  <v>0.03621684485857446</v>
                </pt>
                <pt idx="71">
                  <v>0.03621684485857446</v>
                </pt>
                <pt idx="72">
                  <v>0.06836158006885595</v>
                </pt>
                <pt idx="73">
                  <v>0.06836158006885595</v>
                </pt>
                <pt idx="74">
                  <v>0.06836158006885595</v>
                </pt>
                <pt idx="75">
                  <v>0.0469670876988979</v>
                </pt>
                <pt idx="76">
                  <v>0.0469670876988979</v>
                </pt>
                <pt idx="77">
                  <v>0.0469670876988979</v>
                </pt>
                <pt idx="78">
                  <v>0.02311435270124318</v>
                </pt>
                <pt idx="79">
                  <v>0.02311435270124318</v>
                </pt>
                <pt idx="80">
                  <v>0.02311435270124318</v>
                </pt>
                <pt idx="81">
                  <v>0.03151530344471909</v>
                </pt>
                <pt idx="82">
                  <v>0.03151530344471909</v>
                </pt>
                <pt idx="83">
                  <v>0.03151530344471909</v>
                </pt>
                <pt idx="84">
                  <v>0.03818480021627169</v>
                </pt>
                <pt idx="85">
                  <v>0.03818480021627169</v>
                </pt>
                <pt idx="86">
                  <v>0.03818480021627169</v>
                </pt>
                <pt idx="87">
                  <v>0.04151209982891446</v>
                </pt>
                <pt idx="88">
                  <v>0.04151209982891446</v>
                </pt>
                <pt idx="89">
                  <v>0.04151209982891446</v>
                </pt>
                <pt idx="90">
                  <v>0.04518123508687388</v>
                </pt>
                <pt idx="91">
                  <v>0.04518123508687388</v>
                </pt>
                <pt idx="92">
                  <v>0.04518123508687388</v>
                </pt>
                <pt idx="93">
                  <v>0.01960671092838173</v>
                </pt>
                <pt idx="94">
                  <v>0.01960671092838173</v>
                </pt>
                <pt idx="95">
                  <v>0.01960671092838173</v>
                </pt>
                <pt idx="96">
                  <v>0.0317971437073068</v>
                </pt>
                <pt idx="97">
                  <v>0.0317971437073068</v>
                </pt>
                <pt idx="98">
                  <v>0.0317971437073068</v>
                </pt>
                <pt idx="99">
                  <v>0.02291138878895116</v>
                </pt>
                <pt idx="100">
                  <v>0.02291138878895116</v>
                </pt>
                <pt idx="101">
                  <v>0.02291138878895116</v>
                </pt>
                <pt idx="102">
                  <v>0.05504783041874162</v>
                </pt>
                <pt idx="103">
                  <v>0.05504783041874162</v>
                </pt>
                <pt idx="104">
                  <v>0.05504783041874162</v>
                </pt>
                <pt idx="105">
                  <v>0.009859595325901749</v>
                </pt>
                <pt idx="106">
                  <v>0.009859595325901749</v>
                </pt>
                <pt idx="107">
                  <v>0.009859595325901749</v>
                </pt>
                <pt idx="108">
                  <v>0.006031843391774094</v>
                </pt>
                <pt idx="109">
                  <v>0.006031843391774094</v>
                </pt>
                <pt idx="110">
                  <v>0.006031843391774094</v>
                </pt>
                <pt idx="111">
                  <v>0.03417798496028124</v>
                </pt>
                <pt idx="112">
                  <v>0.03417798496028124</v>
                </pt>
                <pt idx="113">
                  <v>0.03417798496028124</v>
                </pt>
                <pt idx="114">
                  <v>0.01179577590686653</v>
                </pt>
                <pt idx="115">
                  <v>0.01179577590686653</v>
                </pt>
                <pt idx="116">
                  <v>0.01179577590686653</v>
                </pt>
                <pt idx="117">
                  <v>0.02578298295432346</v>
                </pt>
                <pt idx="118">
                  <v>0.02578298295432346</v>
                </pt>
                <pt idx="119">
                  <v>0.02578298295432346</v>
                </pt>
                <pt idx="120">
                  <v>0.02431080560296794</v>
                </pt>
                <pt idx="121">
                  <v>0.02431080560296794</v>
                </pt>
                <pt idx="122">
                  <v>0.02431080560296794</v>
                </pt>
                <pt idx="123">
                  <v>0.0246096673082743</v>
                </pt>
                <pt idx="124">
                  <v>0.0246096673082743</v>
                </pt>
                <pt idx="125">
                  <v>0.0246096673082743</v>
                </pt>
                <pt idx="126">
                  <v>-0.01619784994668938</v>
                </pt>
                <pt idx="127">
                  <v>-0.01619784994668938</v>
                </pt>
                <pt idx="128">
                  <v>-0.01619784994668938</v>
                </pt>
                <pt idx="129">
                  <v>0.02308907778947789</v>
                </pt>
                <pt idx="130">
                  <v>0.02308907778947789</v>
                </pt>
                <pt idx="131">
                  <v>0.02308907778947789</v>
                </pt>
                <pt idx="132">
                  <v>-0.02090973073554281</v>
                </pt>
                <pt idx="133">
                  <v>-0.02090973073554281</v>
                </pt>
                <pt idx="134">
                  <v>-0.02090973073554281</v>
                </pt>
                <pt idx="135">
                  <v>-0.08450572869534734</v>
                </pt>
                <pt idx="136">
                  <v>-0.08450572869534734</v>
                </pt>
                <pt idx="137">
                  <v>-0.08450572869534734</v>
                </pt>
                <pt idx="138">
                  <v>-0.04581987379316921</v>
                </pt>
                <pt idx="139">
                  <v>-0.04581987379316921</v>
                </pt>
                <pt idx="140">
                  <v>-0.04581987379316921</v>
                </pt>
                <pt idx="141">
                  <v>-0.006752359998762336</v>
                </pt>
                <pt idx="142">
                  <v>-0.006752359998762336</v>
                </pt>
                <pt idx="143">
                  <v>-0.006752359998762336</v>
                </pt>
                <pt idx="144">
                  <v>0.01455598543492087</v>
                </pt>
                <pt idx="145">
                  <v>0.01455598543492087</v>
                </pt>
                <pt idx="146">
                  <v>0.01455598543492087</v>
                </pt>
                <pt idx="147">
                  <v>0.0434076888622974</v>
                </pt>
                <pt idx="148">
                  <v>0.0434076888622974</v>
                </pt>
                <pt idx="149">
                  <v>0.0434076888622974</v>
                </pt>
                <pt idx="150">
                  <v>0.02015267213561023</v>
                </pt>
                <pt idx="151">
                  <v>0.02015267213561023</v>
                </pt>
                <pt idx="152">
                  <v>0.02015267213561023</v>
                </pt>
                <pt idx="153">
                  <v>0.03927369054068341</v>
                </pt>
                <pt idx="154">
                  <v>0.03927369054068341</v>
                </pt>
                <pt idx="155">
                  <v>0.03927369054068341</v>
                </pt>
                <pt idx="156">
                  <v>0.03128626930493783</v>
                </pt>
                <pt idx="157">
                  <v>0.03128626930493783</v>
                </pt>
                <pt idx="158">
                  <v>0.03128626930493783</v>
                </pt>
                <pt idx="159">
                  <v>0.02094635569547498</v>
                </pt>
                <pt idx="160">
                  <v>0.02094635569547498</v>
                </pt>
                <pt idx="161">
                  <v>0.02094635569547498</v>
                </pt>
                <pt idx="162">
                  <v>-0.009601874290937396</v>
                </pt>
                <pt idx="163">
                  <v>-0.009601874290937396</v>
                </pt>
                <pt idx="164">
                  <v>-0.009601874290937396</v>
                </pt>
                <pt idx="165">
                  <v>0.02739913079767153</v>
                </pt>
                <pt idx="166">
                  <v>0.02739913079767153</v>
                </pt>
                <pt idx="167">
                  <v>0.02739913079767153</v>
                </pt>
                <pt idx="168">
                  <v>-0.001549785003588822</v>
                </pt>
                <pt idx="169">
                  <v>-0.001549785003588822</v>
                </pt>
                <pt idx="170">
                  <v>-0.001549785003588822</v>
                </pt>
                <pt idx="171">
                  <v>0.04562768534929051</v>
                </pt>
                <pt idx="172">
                  <v>0.04562768534929051</v>
                </pt>
                <pt idx="173">
                  <v>0.04562768534929051</v>
                </pt>
                <pt idx="174">
                  <v>0.03312050570216907</v>
                </pt>
                <pt idx="175">
                  <v>0.03312050570216907</v>
                </pt>
                <pt idx="176">
                  <v>0.03312050570216907</v>
                </pt>
                <pt idx="177">
                  <v>0.01835946382913334</v>
                </pt>
                <pt idx="178">
                  <v>0.01835946382913334</v>
                </pt>
                <pt idx="179">
                  <v>0.01835946382913334</v>
                </pt>
                <pt idx="180">
                  <v>0.007013690941451989</v>
                </pt>
                <pt idx="181">
                  <v>0.007013690941451989</v>
                </pt>
                <pt idx="182">
                  <v>0.007013690941451989</v>
                </pt>
                <pt idx="183">
                  <v>0.004400766641183385</v>
                </pt>
                <pt idx="184">
                  <v>0.004400766641183385</v>
                </pt>
                <pt idx="185">
                  <v>0.004400766641183385</v>
                </pt>
                <pt idx="186">
                  <v>0.03516603678394103</v>
                </pt>
                <pt idx="187">
                  <v>0.03516603678394103</v>
                </pt>
                <pt idx="188">
                  <v>0.03516603678394103</v>
                </pt>
                <pt idx="189">
                  <v>0.00558707657013402</v>
                </pt>
                <pt idx="190">
                  <v>0.00558707657013402</v>
                </pt>
                <pt idx="191">
                  <v>0.00558707657013402</v>
                </pt>
                <pt idx="192">
                  <v>0.03204415399787042</v>
                </pt>
                <pt idx="193">
                  <v>0.03204415399787042</v>
                </pt>
                <pt idx="194">
                  <v>0.03204415399787042</v>
                </pt>
                <pt idx="195">
                  <v>0.02875173987590807</v>
                </pt>
                <pt idx="196">
                  <v>0.02875173987590807</v>
                </pt>
                <pt idx="197">
                  <v>0.02875173987590807</v>
                </pt>
                <pt idx="198">
                  <v>-0.01393101487505966</v>
                </pt>
                <pt idx="199">
                  <v>-0.01393101487505966</v>
                </pt>
                <pt idx="200">
                  <v>-0.01393101487505966</v>
                </pt>
                <pt idx="201">
                  <v>0.05236304575665218</v>
                </pt>
                <pt idx="202">
                  <v>0.05236304575665218</v>
                </pt>
                <pt idx="203">
                  <v>0.05236304575665218</v>
                </pt>
                <pt idx="204">
                  <v>0.04741908962129937</v>
                </pt>
                <pt idx="205">
                  <v>0.04741908962129937</v>
                </pt>
                <pt idx="206">
                  <v>0.04741908962129937</v>
                </pt>
                <pt idx="207">
                  <v>0.01808105561066875</v>
                </pt>
                <pt idx="208">
                  <v>0.01808105561066875</v>
                </pt>
                <pt idx="209">
                  <v>0.01808105561066875</v>
                </pt>
                <pt idx="210">
                  <v>0.03293158882700409</v>
                </pt>
                <pt idx="211">
                  <v>0.03293158882700409</v>
                </pt>
                <pt idx="212">
                  <v>0.03293158882700409</v>
                </pt>
                <pt idx="213">
                  <v>0.02340267984825029</v>
                </pt>
                <pt idx="214">
                  <v>0.02340267984825029</v>
                </pt>
                <pt idx="215">
                  <v>0.02340267984825029</v>
                </pt>
                <pt idx="216">
                  <v>0.01299778420271624</v>
                </pt>
                <pt idx="217">
                  <v>0.01299778420271624</v>
                </pt>
                <pt idx="218">
                  <v>0.01299778420271624</v>
                </pt>
                <pt idx="219">
                  <v>0.005862217066683106</v>
                </pt>
                <pt idx="220">
                  <v>0.005862217066683106</v>
                </pt>
                <pt idx="221">
                  <v>0.005862217066683106</v>
                </pt>
                <pt idx="222">
                  <v>0.02377629379297197</v>
                </pt>
                <pt idx="223">
                  <v>0.02377629379297197</v>
                </pt>
                <pt idx="224">
                  <v>0.02377629379297197</v>
                </pt>
                <pt idx="225">
                  <v>0.0121505263452657</v>
                </pt>
                <pt idx="226">
                  <v>0.0121505263452657</v>
                </pt>
                <pt idx="227">
                  <v>0.0121505263452657</v>
                </pt>
                <pt idx="228">
                  <v>0.02426228912334993</v>
                </pt>
                <pt idx="229">
                  <v>0.02426228912334993</v>
                </pt>
                <pt idx="230">
                  <v>0.02426228912334993</v>
                </pt>
                <pt idx="231">
                  <v>0.02002418226174996</v>
                </pt>
                <pt idx="232">
                  <v>0.02002418226174996</v>
                </pt>
                <pt idx="233">
                  <v>0.02002418226174996</v>
                </pt>
                <pt idx="234">
                  <v>0.01901129394955658</v>
                </pt>
                <pt idx="235">
                  <v>0.01901129394955658</v>
                </pt>
                <pt idx="236">
                  <v>0.01901129394955658</v>
                </pt>
                <pt idx="237">
                  <v>0.02257929746199983</v>
                </pt>
                <pt idx="238">
                  <v>0.02257929746199983</v>
                </pt>
                <pt idx="239">
                  <v>0.02257929746199983</v>
                </pt>
                <pt idx="240">
                  <v>0.02907779605929184</v>
                </pt>
                <pt idx="241">
                  <v>0.02907779605929184</v>
                </pt>
                <pt idx="242">
                  <v>0.02907779605929184</v>
                </pt>
                <pt idx="243">
                  <v>0.03814993904506303</v>
                </pt>
                <pt idx="244">
                  <v>0.03814993904506303</v>
                </pt>
                <pt idx="245">
                  <v>0.03814993904506303</v>
                </pt>
                <pt idx="246">
                  <v>0.03086510836024359</v>
                </pt>
                <pt idx="247">
                  <v>0.03086510836024359</v>
                </pt>
                <pt idx="248">
                  <v>0.03086510836024359</v>
                </pt>
                <pt idx="249">
                  <v>0.03377600526305358</v>
                </pt>
                <pt idx="250">
                  <v>0.03377600526305358</v>
                </pt>
                <pt idx="251">
                  <v>0.03377600526305358</v>
                </pt>
                <pt idx="252">
                  <v>0.01941791765026113</v>
                </pt>
                <pt idx="253">
                  <v>0.01941791765026113</v>
                </pt>
                <pt idx="254">
                  <v>0.01941791765026113</v>
                </pt>
                <pt idx="255">
                  <v>0.008955593239346138</v>
                </pt>
                <pt idx="256">
                  <v>0.008955593239346138</v>
                </pt>
                <pt idx="257">
                  <v>0.008955593239346138</v>
                </pt>
                <pt idx="258">
                  <v>0.02412687930866952</v>
                </pt>
                <pt idx="259">
                  <v>0.02412687930866952</v>
                </pt>
                <pt idx="260">
                  <v>0.02412687930866952</v>
                </pt>
                <pt idx="261">
                  <v>0.03209621189016532</v>
                </pt>
                <pt idx="262">
                  <v>0.03209621189016532</v>
                </pt>
                <pt idx="263">
                  <v>0.03209621189016532</v>
                </pt>
                <pt idx="264">
                  <v>0.02770318750334555</v>
                </pt>
                <pt idx="265">
                  <v>0.02770318750334555</v>
                </pt>
                <pt idx="266">
                  <v>0.02770318750334555</v>
                </pt>
                <pt idx="267">
                  <v>0.01889634966248899</v>
                </pt>
                <pt idx="268">
                  <v>0.01889634966248899</v>
                </pt>
                <pt idx="269">
                  <v>0.01889634966248899</v>
                </pt>
                <pt idx="270">
                  <v>-0.05113254503727427</v>
                </pt>
                <pt idx="271">
                  <v>-0.05113254503727427</v>
                </pt>
                <pt idx="272">
                  <v>-0.05113254503727427</v>
                </pt>
                <pt idx="273">
                  <v>-0.3123569846108508</v>
                </pt>
                <pt idx="274">
                  <v>-0.3123569846108508</v>
                </pt>
                <pt idx="275">
                  <v>-0.3123569846108508</v>
                </pt>
                <pt idx="276">
                  <v>0.3378327930079323</v>
                </pt>
                <pt idx="277">
                  <v>0.3378327930079323</v>
                </pt>
                <pt idx="278">
                  <v>0.3378327930079323</v>
                </pt>
                <pt idx="279">
                  <v>0.04536294038119415</v>
                </pt>
                <pt idx="280">
                  <v>0.04536294038119415</v>
                </pt>
                <pt idx="281">
                  <v>0.04536294038119415</v>
                </pt>
                <pt idx="282">
                  <v>0.06278176672776592</v>
                </pt>
                <pt idx="283">
                  <v>0.06278176672776592</v>
                </pt>
                <pt idx="284">
                  <v>0.06278176672776592</v>
                </pt>
                <pt idx="285">
                  <v>0.06726283145896073</v>
                </pt>
                <pt idx="286">
                  <v>0.06726283145896073</v>
                </pt>
                <pt idx="287">
                  <v>0.06726283145896073</v>
                </pt>
                <pt idx="288">
                  <v>0.02303425900825307</v>
                </pt>
                <pt idx="289">
                  <v>0.02303425900825307</v>
                </pt>
                <pt idx="290">
                  <v>0.02303425900825307</v>
                </pt>
                <pt idx="291">
                  <v>0.06887440582969107</v>
                </pt>
                <pt idx="292">
                  <v>0.06887440582969107</v>
                </pt>
                <pt idx="293">
                  <v>0.06887440582969107</v>
                </pt>
                <pt idx="294">
                  <v>0.06887440582969107</v>
                </pt>
                <pt idx="295">
                  <v>0.06887440582969107</v>
                </pt>
                <pt idx="296">
                  <v>0.06887440582969107</v>
                </pt>
                <pt idx="297">
                  <v>0.06887440582969107</v>
                </pt>
                <pt idx="298">
                  <v>0.06887440582969107</v>
                </pt>
                <pt idx="299">
                  <v>0.06887440582969107</v>
                </pt>
              </numCache>
            </numRef>
          </val>
        </ser>
        <dLbls>
          <showLegendKey val="0"/>
          <showVal val="0"/>
          <showCatName val="0"/>
          <showSerName val="0"/>
          <showPercent val="0"/>
          <showBubbleSize val="0"/>
        </dLbls>
        <gapWidth val="150"/>
        <axId val="1016699592"/>
        <axId val="1016695328"/>
      </barChart>
      <lineChart>
        <grouping val="standard"/>
        <varyColors val="0"/>
        <ser>
          <idx val="4"/>
          <order val="1"/>
          <tx>
            <strRef>
              <f>'ISM Services vs GDP'!$B$5</f>
              <strCache>
                <ptCount val="1"/>
                <pt idx="0">
                  <v>ISM Services</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'ISM Services vs GDP'!$A$6:$A$305</f>
              <numCache>
                <formatCode>m/d/yy</formatCode>
                <ptCount val="300"/>
                <pt idx="0">
                  <v>35612</v>
                </pt>
                <pt idx="1">
                  <v>35643</v>
                </pt>
                <pt idx="2">
                  <v>35674</v>
                </pt>
                <pt idx="3">
                  <v>35704</v>
                </pt>
                <pt idx="4">
                  <v>35735</v>
                </pt>
                <pt idx="5">
                  <v>35765</v>
                </pt>
                <pt idx="6">
                  <v>35796</v>
                </pt>
                <pt idx="7">
                  <v>35827</v>
                </pt>
                <pt idx="8">
                  <v>35855</v>
                </pt>
                <pt idx="9">
                  <v>35886</v>
                </pt>
                <pt idx="10">
                  <v>35916</v>
                </pt>
                <pt idx="11">
                  <v>35947</v>
                </pt>
                <pt idx="12">
                  <v>35977</v>
                </pt>
                <pt idx="13">
                  <v>36008</v>
                </pt>
                <pt idx="14">
                  <v>36039</v>
                </pt>
                <pt idx="15">
                  <v>36069</v>
                </pt>
                <pt idx="16">
                  <v>36100</v>
                </pt>
                <pt idx="17">
                  <v>36130</v>
                </pt>
                <pt idx="18">
                  <v>36161</v>
                </pt>
                <pt idx="19">
                  <v>36192</v>
                </pt>
                <pt idx="20">
                  <v>36220</v>
                </pt>
                <pt idx="21">
                  <v>36251</v>
                </pt>
                <pt idx="22">
                  <v>36281</v>
                </pt>
                <pt idx="23">
                  <v>36312</v>
                </pt>
                <pt idx="24">
                  <v>36342</v>
                </pt>
                <pt idx="25">
                  <v>36373</v>
                </pt>
                <pt idx="26">
                  <v>36404</v>
                </pt>
                <pt idx="27">
                  <v>36434</v>
                </pt>
                <pt idx="28">
                  <v>36465</v>
                </pt>
                <pt idx="29">
                  <v>36495</v>
                </pt>
                <pt idx="30">
                  <v>36526</v>
                </pt>
                <pt idx="31">
                  <v>36557</v>
                </pt>
                <pt idx="32">
                  <v>36586</v>
                </pt>
                <pt idx="33">
                  <v>36617</v>
                </pt>
                <pt idx="34">
                  <v>36647</v>
                </pt>
                <pt idx="35">
                  <v>36678</v>
                </pt>
                <pt idx="36">
                  <v>36708</v>
                </pt>
                <pt idx="37">
                  <v>36739</v>
                </pt>
                <pt idx="38">
                  <v>36770</v>
                </pt>
                <pt idx="39">
                  <v>36800</v>
                </pt>
                <pt idx="40">
                  <v>36831</v>
                </pt>
                <pt idx="41">
                  <v>36861</v>
                </pt>
                <pt idx="42">
                  <v>36892</v>
                </pt>
                <pt idx="43">
                  <v>36923</v>
                </pt>
                <pt idx="44">
                  <v>36951</v>
                </pt>
                <pt idx="45">
                  <v>36982</v>
                </pt>
                <pt idx="46">
                  <v>37012</v>
                </pt>
                <pt idx="47">
                  <v>37043</v>
                </pt>
                <pt idx="48">
                  <v>37073</v>
                </pt>
                <pt idx="49">
                  <v>37104</v>
                </pt>
                <pt idx="50">
                  <v>37135</v>
                </pt>
                <pt idx="51">
                  <v>37165</v>
                </pt>
                <pt idx="52">
                  <v>37196</v>
                </pt>
                <pt idx="53">
                  <v>37226</v>
                </pt>
                <pt idx="54">
                  <v>37257</v>
                </pt>
                <pt idx="55">
                  <v>37288</v>
                </pt>
                <pt idx="56">
                  <v>37316</v>
                </pt>
                <pt idx="57">
                  <v>37347</v>
                </pt>
                <pt idx="58">
                  <v>37377</v>
                </pt>
                <pt idx="59">
                  <v>37408</v>
                </pt>
                <pt idx="60">
                  <v>37438</v>
                </pt>
                <pt idx="61">
                  <v>37469</v>
                </pt>
                <pt idx="62">
                  <v>37500</v>
                </pt>
                <pt idx="63">
                  <v>37530</v>
                </pt>
                <pt idx="64">
                  <v>37561</v>
                </pt>
                <pt idx="65">
                  <v>37591</v>
                </pt>
                <pt idx="66">
                  <v>37622</v>
                </pt>
                <pt idx="67">
                  <v>37653</v>
                </pt>
                <pt idx="68">
                  <v>37681</v>
                </pt>
                <pt idx="69">
                  <v>37712</v>
                </pt>
                <pt idx="70">
                  <v>37742</v>
                </pt>
                <pt idx="71">
                  <v>37773</v>
                </pt>
                <pt idx="72">
                  <v>37803</v>
                </pt>
                <pt idx="73">
                  <v>37834</v>
                </pt>
                <pt idx="74">
                  <v>37865</v>
                </pt>
                <pt idx="75">
                  <v>37895</v>
                </pt>
                <pt idx="76">
                  <v>37926</v>
                </pt>
                <pt idx="77">
                  <v>37956</v>
                </pt>
                <pt idx="78">
                  <v>37987</v>
                </pt>
                <pt idx="79">
                  <v>38018</v>
                </pt>
                <pt idx="80">
                  <v>38047</v>
                </pt>
                <pt idx="81">
                  <v>38078</v>
                </pt>
                <pt idx="82">
                  <v>38108</v>
                </pt>
                <pt idx="83">
                  <v>38139</v>
                </pt>
                <pt idx="84">
                  <v>38169</v>
                </pt>
                <pt idx="85">
                  <v>38200</v>
                </pt>
                <pt idx="86">
                  <v>38231</v>
                </pt>
                <pt idx="87">
                  <v>38261</v>
                </pt>
                <pt idx="88">
                  <v>38292</v>
                </pt>
                <pt idx="89">
                  <v>38322</v>
                </pt>
                <pt idx="90">
                  <v>38353</v>
                </pt>
                <pt idx="91">
                  <v>38384</v>
                </pt>
                <pt idx="92">
                  <v>38412</v>
                </pt>
                <pt idx="93">
                  <v>38443</v>
                </pt>
                <pt idx="94">
                  <v>38473</v>
                </pt>
                <pt idx="95">
                  <v>38504</v>
                </pt>
                <pt idx="96">
                  <v>38534</v>
                </pt>
                <pt idx="97">
                  <v>38565</v>
                </pt>
                <pt idx="98">
                  <v>38596</v>
                </pt>
                <pt idx="99">
                  <v>38626</v>
                </pt>
                <pt idx="100">
                  <v>38657</v>
                </pt>
                <pt idx="101">
                  <v>38687</v>
                </pt>
                <pt idx="102">
                  <v>38718</v>
                </pt>
                <pt idx="103">
                  <v>38749</v>
                </pt>
                <pt idx="104">
                  <v>38777</v>
                </pt>
                <pt idx="105">
                  <v>38808</v>
                </pt>
                <pt idx="106">
                  <v>38838</v>
                </pt>
                <pt idx="107">
                  <v>38869</v>
                </pt>
                <pt idx="108">
                  <v>38899</v>
                </pt>
                <pt idx="109">
                  <v>38930</v>
                </pt>
                <pt idx="110">
                  <v>38961</v>
                </pt>
                <pt idx="111">
                  <v>38991</v>
                </pt>
                <pt idx="112">
                  <v>39022</v>
                </pt>
                <pt idx="113">
                  <v>39052</v>
                </pt>
                <pt idx="114">
                  <v>39083</v>
                </pt>
                <pt idx="115">
                  <v>39114</v>
                </pt>
                <pt idx="116">
                  <v>39142</v>
                </pt>
                <pt idx="117">
                  <v>39173</v>
                </pt>
                <pt idx="118">
                  <v>39203</v>
                </pt>
                <pt idx="119">
                  <v>39234</v>
                </pt>
                <pt idx="120">
                  <v>39264</v>
                </pt>
                <pt idx="121">
                  <v>39295</v>
                </pt>
                <pt idx="122">
                  <v>39326</v>
                </pt>
                <pt idx="123">
                  <v>39356</v>
                </pt>
                <pt idx="124">
                  <v>39387</v>
                </pt>
                <pt idx="125">
                  <v>39417</v>
                </pt>
                <pt idx="126">
                  <v>39448</v>
                </pt>
                <pt idx="127">
                  <v>39479</v>
                </pt>
                <pt idx="128">
                  <v>39508</v>
                </pt>
                <pt idx="129">
                  <v>39539</v>
                </pt>
                <pt idx="130">
                  <v>39569</v>
                </pt>
                <pt idx="131">
                  <v>39600</v>
                </pt>
                <pt idx="132">
                  <v>39630</v>
                </pt>
                <pt idx="133">
                  <v>39661</v>
                </pt>
                <pt idx="134">
                  <v>39692</v>
                </pt>
                <pt idx="135">
                  <v>39722</v>
                </pt>
                <pt idx="136">
                  <v>39753</v>
                </pt>
                <pt idx="137">
                  <v>39783</v>
                </pt>
                <pt idx="138">
                  <v>39814</v>
                </pt>
                <pt idx="139">
                  <v>39845</v>
                </pt>
                <pt idx="140">
                  <v>39873</v>
                </pt>
                <pt idx="141">
                  <v>39904</v>
                </pt>
                <pt idx="142">
                  <v>39934</v>
                </pt>
                <pt idx="143">
                  <v>39965</v>
                </pt>
                <pt idx="144">
                  <v>39995</v>
                </pt>
                <pt idx="145">
                  <v>40026</v>
                </pt>
                <pt idx="146">
                  <v>40057</v>
                </pt>
                <pt idx="147">
                  <v>40087</v>
                </pt>
                <pt idx="148">
                  <v>40118</v>
                </pt>
                <pt idx="149">
                  <v>40148</v>
                </pt>
                <pt idx="150">
                  <v>40179</v>
                </pt>
                <pt idx="151">
                  <v>40210</v>
                </pt>
                <pt idx="152">
                  <v>40238</v>
                </pt>
                <pt idx="153">
                  <v>40269</v>
                </pt>
                <pt idx="154">
                  <v>40299</v>
                </pt>
                <pt idx="155">
                  <v>40330</v>
                </pt>
                <pt idx="156">
                  <v>40360</v>
                </pt>
                <pt idx="157">
                  <v>40391</v>
                </pt>
                <pt idx="158">
                  <v>40422</v>
                </pt>
                <pt idx="159">
                  <v>40452</v>
                </pt>
                <pt idx="160">
                  <v>40483</v>
                </pt>
                <pt idx="161">
                  <v>40513</v>
                </pt>
                <pt idx="162">
                  <v>40544</v>
                </pt>
                <pt idx="163">
                  <v>40575</v>
                </pt>
                <pt idx="164">
                  <v>40603</v>
                </pt>
                <pt idx="165">
                  <v>40634</v>
                </pt>
                <pt idx="166">
                  <v>40664</v>
                </pt>
                <pt idx="167">
                  <v>40695</v>
                </pt>
                <pt idx="168">
                  <v>40725</v>
                </pt>
                <pt idx="169">
                  <v>40756</v>
                </pt>
                <pt idx="170">
                  <v>40787</v>
                </pt>
                <pt idx="171">
                  <v>40817</v>
                </pt>
                <pt idx="172">
                  <v>40848</v>
                </pt>
                <pt idx="173">
                  <v>40878</v>
                </pt>
                <pt idx="174">
                  <v>40909</v>
                </pt>
                <pt idx="175">
                  <v>40940</v>
                </pt>
                <pt idx="176">
                  <v>40969</v>
                </pt>
                <pt idx="177">
                  <v>41000</v>
                </pt>
                <pt idx="178">
                  <v>41030</v>
                </pt>
                <pt idx="179">
                  <v>41061</v>
                </pt>
                <pt idx="180">
                  <v>41091</v>
                </pt>
                <pt idx="181">
                  <v>41122</v>
                </pt>
                <pt idx="182">
                  <v>41153</v>
                </pt>
                <pt idx="183">
                  <v>41183</v>
                </pt>
                <pt idx="184">
                  <v>41214</v>
                </pt>
                <pt idx="185">
                  <v>41244</v>
                </pt>
                <pt idx="186">
                  <v>41275</v>
                </pt>
                <pt idx="187">
                  <v>41306</v>
                </pt>
                <pt idx="188">
                  <v>41334</v>
                </pt>
                <pt idx="189">
                  <v>41365</v>
                </pt>
                <pt idx="190">
                  <v>41395</v>
                </pt>
                <pt idx="191">
                  <v>41426</v>
                </pt>
                <pt idx="192">
                  <v>41456</v>
                </pt>
                <pt idx="193">
                  <v>41487</v>
                </pt>
                <pt idx="194">
                  <v>41518</v>
                </pt>
                <pt idx="195">
                  <v>41548</v>
                </pt>
                <pt idx="196">
                  <v>41579</v>
                </pt>
                <pt idx="197">
                  <v>41609</v>
                </pt>
                <pt idx="198">
                  <v>41640</v>
                </pt>
                <pt idx="199">
                  <v>41671</v>
                </pt>
                <pt idx="200">
                  <v>41699</v>
                </pt>
                <pt idx="201">
                  <v>41730</v>
                </pt>
                <pt idx="202">
                  <v>41760</v>
                </pt>
                <pt idx="203">
                  <v>41791</v>
                </pt>
                <pt idx="204">
                  <v>41821</v>
                </pt>
                <pt idx="205">
                  <v>41852</v>
                </pt>
                <pt idx="206">
                  <v>41883</v>
                </pt>
                <pt idx="207">
                  <v>41913</v>
                </pt>
                <pt idx="208">
                  <v>41944</v>
                </pt>
                <pt idx="209">
                  <v>41974</v>
                </pt>
                <pt idx="210">
                  <v>42005</v>
                </pt>
                <pt idx="211">
                  <v>42036</v>
                </pt>
                <pt idx="212">
                  <v>42064</v>
                </pt>
                <pt idx="213">
                  <v>42095</v>
                </pt>
                <pt idx="214">
                  <v>42125</v>
                </pt>
                <pt idx="215">
                  <v>42156</v>
                </pt>
                <pt idx="216">
                  <v>42186</v>
                </pt>
                <pt idx="217">
                  <v>42217</v>
                </pt>
                <pt idx="218">
                  <v>42248</v>
                </pt>
                <pt idx="219">
                  <v>42278</v>
                </pt>
                <pt idx="220">
                  <v>42309</v>
                </pt>
                <pt idx="221">
                  <v>42339</v>
                </pt>
                <pt idx="222">
                  <v>42370</v>
                </pt>
                <pt idx="223">
                  <v>42401</v>
                </pt>
                <pt idx="224">
                  <v>42430</v>
                </pt>
                <pt idx="225">
                  <v>42461</v>
                </pt>
                <pt idx="226">
                  <v>42491</v>
                </pt>
                <pt idx="227">
                  <v>42522</v>
                </pt>
                <pt idx="228">
                  <v>42552</v>
                </pt>
                <pt idx="229">
                  <v>42583</v>
                </pt>
                <pt idx="230">
                  <v>42614</v>
                </pt>
                <pt idx="231">
                  <v>42644</v>
                </pt>
                <pt idx="232">
                  <v>42675</v>
                </pt>
                <pt idx="233">
                  <v>42705</v>
                </pt>
                <pt idx="234">
                  <v>42736</v>
                </pt>
                <pt idx="235">
                  <v>42767</v>
                </pt>
                <pt idx="236">
                  <v>42795</v>
                </pt>
                <pt idx="237">
                  <v>42826</v>
                </pt>
                <pt idx="238">
                  <v>42856</v>
                </pt>
                <pt idx="239">
                  <v>42887</v>
                </pt>
                <pt idx="240">
                  <v>42917</v>
                </pt>
                <pt idx="241">
                  <v>42948</v>
                </pt>
                <pt idx="242">
                  <v>42979</v>
                </pt>
                <pt idx="243">
                  <v>43009</v>
                </pt>
                <pt idx="244">
                  <v>43040</v>
                </pt>
                <pt idx="245">
                  <v>43070</v>
                </pt>
                <pt idx="246">
                  <v>43101</v>
                </pt>
                <pt idx="247">
                  <v>43132</v>
                </pt>
                <pt idx="248">
                  <v>43160</v>
                </pt>
                <pt idx="249">
                  <v>43191</v>
                </pt>
                <pt idx="250">
                  <v>43221</v>
                </pt>
                <pt idx="251">
                  <v>43252</v>
                </pt>
                <pt idx="252">
                  <v>43282</v>
                </pt>
                <pt idx="253">
                  <v>43313</v>
                </pt>
                <pt idx="254">
                  <v>43344</v>
                </pt>
                <pt idx="255">
                  <v>43374</v>
                </pt>
                <pt idx="256">
                  <v>43405</v>
                </pt>
                <pt idx="257">
                  <v>43435</v>
                </pt>
                <pt idx="258">
                  <v>43466</v>
                </pt>
                <pt idx="259">
                  <v>43497</v>
                </pt>
                <pt idx="260">
                  <v>43525</v>
                </pt>
                <pt idx="261">
                  <v>43556</v>
                </pt>
                <pt idx="262">
                  <v>43586</v>
                </pt>
                <pt idx="263">
                  <v>43617</v>
                </pt>
                <pt idx="264">
                  <v>43647</v>
                </pt>
                <pt idx="265">
                  <v>43678</v>
                </pt>
                <pt idx="266">
                  <v>43709</v>
                </pt>
                <pt idx="267">
                  <v>43739</v>
                </pt>
                <pt idx="268">
                  <v>43770</v>
                </pt>
                <pt idx="269">
                  <v>43800</v>
                </pt>
                <pt idx="270">
                  <v>43831</v>
                </pt>
                <pt idx="271">
                  <v>43862</v>
                </pt>
                <pt idx="272">
                  <v>43891</v>
                </pt>
                <pt idx="273">
                  <v>43922</v>
                </pt>
                <pt idx="274">
                  <v>43952</v>
                </pt>
                <pt idx="275">
                  <v>43983</v>
                </pt>
                <pt idx="276">
                  <v>44013</v>
                </pt>
                <pt idx="277">
                  <v>44044</v>
                </pt>
                <pt idx="278">
                  <v>44075</v>
                </pt>
                <pt idx="279">
                  <v>44105</v>
                </pt>
                <pt idx="280">
                  <v>44136</v>
                </pt>
                <pt idx="281">
                  <v>44166</v>
                </pt>
                <pt idx="282">
                  <v>44197</v>
                </pt>
                <pt idx="283">
                  <v>44228</v>
                </pt>
                <pt idx="284">
                  <v>44256</v>
                </pt>
                <pt idx="285">
                  <v>44287</v>
                </pt>
                <pt idx="286">
                  <v>44317</v>
                </pt>
                <pt idx="287">
                  <v>44348</v>
                </pt>
                <pt idx="288">
                  <v>44378</v>
                </pt>
                <pt idx="289">
                  <v>44409</v>
                </pt>
                <pt idx="290">
                  <v>44440</v>
                </pt>
                <pt idx="291">
                  <v>44470</v>
                </pt>
                <pt idx="292">
                  <v>44501</v>
                </pt>
                <pt idx="293">
                  <v>44531</v>
                </pt>
                <pt idx="294">
                  <v>44562</v>
                </pt>
                <pt idx="295">
                  <v>44593</v>
                </pt>
                <pt idx="296">
                  <v>44621</v>
                </pt>
                <pt idx="297">
                  <v>44652</v>
                </pt>
                <pt idx="298">
                  <v>44682</v>
                </pt>
                <pt idx="299">
                  <v>44713</v>
                </pt>
              </numCache>
            </numRef>
          </cat>
          <val>
            <numRef>
              <f>'ISM Services vs GDP'!$B$6:$B$305</f>
              <numCache>
                <formatCode>0.00</formatCode>
                <ptCount val="300"/>
                <pt idx="0">
                  <v>56.7</v>
                </pt>
                <pt idx="1">
                  <v>62</v>
                </pt>
                <pt idx="2">
                  <v>56.2</v>
                </pt>
                <pt idx="3">
                  <v>56.6</v>
                </pt>
                <pt idx="4">
                  <v>58.5</v>
                </pt>
                <pt idx="5">
                  <v>55.5</v>
                </pt>
                <pt idx="6">
                  <v>57</v>
                </pt>
                <pt idx="7">
                  <v>56.2</v>
                </pt>
                <pt idx="8">
                  <v>54.7</v>
                </pt>
                <pt idx="9">
                  <v>54.9</v>
                </pt>
                <pt idx="10">
                  <v>56.2</v>
                </pt>
                <pt idx="11">
                  <v>55.1</v>
                </pt>
                <pt idx="12">
                  <v>55.8</v>
                </pt>
                <pt idx="13">
                  <v>53.5</v>
                </pt>
                <pt idx="14">
                  <v>55</v>
                </pt>
                <pt idx="15">
                  <v>53.8</v>
                </pt>
                <pt idx="16">
                  <v>52.6</v>
                </pt>
                <pt idx="17">
                  <v>52.9</v>
                </pt>
                <pt idx="18">
                  <v>55.6</v>
                </pt>
                <pt idx="19">
                  <v>54.4</v>
                </pt>
                <pt idx="20">
                  <v>55.3</v>
                </pt>
                <pt idx="21">
                  <v>55.5</v>
                </pt>
                <pt idx="22">
                  <v>55.3</v>
                </pt>
                <pt idx="23">
                  <v>56.7</v>
                </pt>
                <pt idx="24">
                  <v>56.2</v>
                </pt>
                <pt idx="25">
                  <v>56.4</v>
                </pt>
                <pt idx="26">
                  <v>56.2</v>
                </pt>
                <pt idx="27">
                  <v>57.6</v>
                </pt>
                <pt idx="28">
                  <v>54.9</v>
                </pt>
                <pt idx="29">
                  <v>56.9</v>
                </pt>
                <pt idx="30">
                  <v>56.6</v>
                </pt>
                <pt idx="31">
                  <v>56.2</v>
                </pt>
                <pt idx="32">
                  <v>57.4</v>
                </pt>
                <pt idx="33">
                  <v>58</v>
                </pt>
                <pt idx="34">
                  <v>57.7</v>
                </pt>
                <pt idx="35">
                  <v>56.9</v>
                </pt>
                <pt idx="36">
                  <v>55.3</v>
                </pt>
                <pt idx="37">
                  <v>57.6</v>
                </pt>
                <pt idx="38">
                  <v>56.7</v>
                </pt>
                <pt idx="39">
                  <v>56.7</v>
                </pt>
                <pt idx="40">
                  <v>56.2</v>
                </pt>
                <pt idx="41">
                  <v>54</v>
                </pt>
                <pt idx="42">
                  <v>51.6</v>
                </pt>
                <pt idx="43">
                  <v>51.3</v>
                </pt>
                <pt idx="44">
                  <v>50.7</v>
                </pt>
                <pt idx="45">
                  <v>48.3</v>
                </pt>
                <pt idx="46">
                  <v>49</v>
                </pt>
                <pt idx="47">
                  <v>50.1</v>
                </pt>
                <pt idx="48">
                  <v>48.1</v>
                </pt>
                <pt idx="49">
                  <v>46.9</v>
                </pt>
                <pt idx="50">
                  <v>49.5</v>
                </pt>
                <pt idx="51">
                  <v>44.8</v>
                </pt>
                <pt idx="52">
                  <v>48.2</v>
                </pt>
                <pt idx="53">
                  <v>49.7</v>
                </pt>
                <pt idx="54">
                  <v>48.9</v>
                </pt>
                <pt idx="55">
                  <v>52.7</v>
                </pt>
                <pt idx="56">
                  <v>52.8</v>
                </pt>
                <pt idx="57">
                  <v>53.5</v>
                </pt>
                <pt idx="58">
                  <v>54.8</v>
                </pt>
                <pt idx="59">
                  <v>52.5</v>
                </pt>
                <pt idx="60">
                  <v>50.4</v>
                </pt>
                <pt idx="61">
                  <v>50.9</v>
                </pt>
                <pt idx="62">
                  <v>52.3</v>
                </pt>
                <pt idx="63">
                  <v>51.4</v>
                </pt>
                <pt idx="64">
                  <v>52.9</v>
                </pt>
                <pt idx="65">
                  <v>52.3</v>
                </pt>
                <pt idx="66">
                  <v>53.3</v>
                </pt>
                <pt idx="67">
                  <v>52.6</v>
                </pt>
                <pt idx="68">
                  <v>49.1</v>
                </pt>
                <pt idx="69">
                  <v>50.1</v>
                </pt>
                <pt idx="70">
                  <v>52.8</v>
                </pt>
                <pt idx="71">
                  <v>54.3</v>
                </pt>
                <pt idx="72">
                  <v>57.3</v>
                </pt>
                <pt idx="73">
                  <v>59.1</v>
                </pt>
                <pt idx="74">
                  <v>57.6</v>
                </pt>
                <pt idx="75">
                  <v>58.7</v>
                </pt>
                <pt idx="76">
                  <v>57.5</v>
                </pt>
                <pt idx="77">
                  <v>56.8</v>
                </pt>
                <pt idx="78">
                  <v>61.2</v>
                </pt>
                <pt idx="79">
                  <v>58</v>
                </pt>
                <pt idx="80">
                  <v>58.3</v>
                </pt>
                <pt idx="81">
                  <v>59.6</v>
                </pt>
                <pt idx="82">
                  <v>58.5</v>
                </pt>
                <pt idx="83">
                  <v>58.6</v>
                </pt>
                <pt idx="84">
                  <v>58.5</v>
                </pt>
                <pt idx="85">
                  <v>57.3</v>
                </pt>
                <pt idx="86">
                  <v>57.9</v>
                </pt>
                <pt idx="87">
                  <v>58.8</v>
                </pt>
                <pt idx="88">
                  <v>58.4</v>
                </pt>
                <pt idx="89">
                  <v>59.6</v>
                </pt>
                <pt idx="90">
                  <v>58</v>
                </pt>
                <pt idx="91">
                  <v>59.4</v>
                </pt>
                <pt idx="92">
                  <v>58</v>
                </pt>
                <pt idx="93">
                  <v>55.6</v>
                </pt>
                <pt idx="94">
                  <v>55.3</v>
                </pt>
                <pt idx="95">
                  <v>58.1</v>
                </pt>
                <pt idx="96">
                  <v>59.5</v>
                </pt>
                <pt idx="97">
                  <v>61.3</v>
                </pt>
                <pt idx="98">
                  <v>55.7</v>
                </pt>
                <pt idx="99">
                  <v>57.4</v>
                </pt>
                <pt idx="100">
                  <v>59.1</v>
                </pt>
                <pt idx="101">
                  <v>59</v>
                </pt>
                <pt idx="102">
                  <v>56.3</v>
                </pt>
                <pt idx="103">
                  <v>57.6</v>
                </pt>
                <pt idx="104">
                  <v>56.9</v>
                </pt>
                <pt idx="105">
                  <v>58.4</v>
                </pt>
                <pt idx="106">
                  <v>57</v>
                </pt>
                <pt idx="107">
                  <v>55.2</v>
                </pt>
                <pt idx="108">
                  <v>55.6</v>
                </pt>
                <pt idx="109">
                  <v>53.9</v>
                </pt>
                <pt idx="110">
                  <v>54.5</v>
                </pt>
                <pt idx="111">
                  <v>54.9</v>
                </pt>
                <pt idx="112">
                  <v>54.5</v>
                </pt>
                <pt idx="113">
                  <v>53.7</v>
                </pt>
                <pt idx="114">
                  <v>55.4</v>
                </pt>
                <pt idx="115">
                  <v>54.2</v>
                </pt>
                <pt idx="116">
                  <v>52.1</v>
                </pt>
                <pt idx="117">
                  <v>53.4</v>
                </pt>
                <pt idx="118">
                  <v>54.3</v>
                </pt>
                <pt idx="119">
                  <v>54.9</v>
                </pt>
                <pt idx="120">
                  <v>53.6</v>
                </pt>
                <pt idx="121">
                  <v>52.7</v>
                </pt>
                <pt idx="122">
                  <v>52.6</v>
                </pt>
                <pt idx="123">
                  <v>53.6</v>
                </pt>
                <pt idx="124">
                  <v>52.8</v>
                </pt>
                <pt idx="125">
                  <v>52.5</v>
                </pt>
                <pt idx="126">
                  <v>44.8</v>
                </pt>
                <pt idx="127">
                  <v>49.9</v>
                </pt>
                <pt idx="128">
                  <v>49.4</v>
                </pt>
                <pt idx="129">
                  <v>51.9</v>
                </pt>
                <pt idx="130">
                  <v>51.5</v>
                </pt>
                <pt idx="131">
                  <v>48.1</v>
                </pt>
                <pt idx="132">
                  <v>50.1</v>
                </pt>
                <pt idx="133">
                  <v>50.6</v>
                </pt>
                <pt idx="134">
                  <v>49.4</v>
                </pt>
                <pt idx="135">
                  <v>44.7</v>
                </pt>
                <pt idx="136">
                  <v>37.8</v>
                </pt>
                <pt idx="137">
                  <v>40</v>
                </pt>
                <pt idx="138">
                  <v>43</v>
                </pt>
                <pt idx="139">
                  <v>41.6</v>
                </pt>
                <pt idx="140">
                  <v>40.1</v>
                </pt>
                <pt idx="141">
                  <v>43.7</v>
                </pt>
                <pt idx="142">
                  <v>44.4</v>
                </pt>
                <pt idx="143">
                  <v>46.4</v>
                </pt>
                <pt idx="144">
                  <v>47.1</v>
                </pt>
                <pt idx="145">
                  <v>48.9</v>
                </pt>
                <pt idx="146">
                  <v>50.1</v>
                </pt>
                <pt idx="147">
                  <v>51</v>
                </pt>
                <pt idx="148">
                  <v>49.5</v>
                </pt>
                <pt idx="149">
                  <v>49.7</v>
                </pt>
                <pt idx="150">
                  <v>50</v>
                </pt>
                <pt idx="151">
                  <v>51.7</v>
                </pt>
                <pt idx="152">
                  <v>53.3</v>
                </pt>
                <pt idx="153">
                  <v>55.3</v>
                </pt>
                <pt idx="154">
                  <v>55.5</v>
                </pt>
                <pt idx="155">
                  <v>54.4</v>
                </pt>
                <pt idx="156">
                  <v>54.6</v>
                </pt>
                <pt idx="157">
                  <v>52.4</v>
                </pt>
                <pt idx="158">
                  <v>53.3</v>
                </pt>
                <pt idx="159">
                  <v>55.3</v>
                </pt>
                <pt idx="160">
                  <v>56.4</v>
                </pt>
                <pt idx="161">
                  <v>56.9</v>
                </pt>
                <pt idx="162">
                  <v>57.6</v>
                </pt>
                <pt idx="163">
                  <v>58</v>
                </pt>
                <pt idx="164">
                  <v>55.8</v>
                </pt>
                <pt idx="165">
                  <v>55.2</v>
                </pt>
                <pt idx="166">
                  <v>55</v>
                </pt>
                <pt idx="167">
                  <v>54.2</v>
                </pt>
                <pt idx="168">
                  <v>53.5</v>
                </pt>
                <pt idx="169">
                  <v>53.5</v>
                </pt>
                <pt idx="170">
                  <v>52.3</v>
                </pt>
                <pt idx="171">
                  <v>52.8</v>
                </pt>
                <pt idx="172">
                  <v>52.9</v>
                </pt>
                <pt idx="173">
                  <v>52.6</v>
                </pt>
                <pt idx="174">
                  <v>56</v>
                </pt>
                <pt idx="175">
                  <v>56</v>
                </pt>
                <pt idx="176">
                  <v>55.6</v>
                </pt>
                <pt idx="177">
                  <v>54.4</v>
                </pt>
                <pt idx="178">
                  <v>54.5</v>
                </pt>
                <pt idx="179">
                  <v>53.7</v>
                </pt>
                <pt idx="180">
                  <v>52.4</v>
                </pt>
                <pt idx="181">
                  <v>52.9</v>
                </pt>
                <pt idx="182">
                  <v>54.6</v>
                </pt>
                <pt idx="183">
                  <v>54.2</v>
                </pt>
                <pt idx="184">
                  <v>54.8</v>
                </pt>
                <pt idx="185">
                  <v>55.6</v>
                </pt>
                <pt idx="186">
                  <v>55.3</v>
                </pt>
                <pt idx="187">
                  <v>56.1</v>
                </pt>
                <pt idx="188">
                  <v>55.2</v>
                </pt>
                <pt idx="189">
                  <v>53.9</v>
                </pt>
                <pt idx="190">
                  <v>54.4</v>
                </pt>
                <pt idx="191">
                  <v>54.1</v>
                </pt>
                <pt idx="192">
                  <v>54.9</v>
                </pt>
                <pt idx="193">
                  <v>56.6</v>
                </pt>
                <pt idx="194">
                  <v>53.6</v>
                </pt>
                <pt idx="195">
                  <v>54.5</v>
                </pt>
                <pt idx="196">
                  <v>53.8</v>
                </pt>
                <pt idx="197">
                  <v>52.9</v>
                </pt>
                <pt idx="198">
                  <v>54.7</v>
                </pt>
                <pt idx="199">
                  <v>53</v>
                </pt>
                <pt idx="200">
                  <v>54.2</v>
                </pt>
                <pt idx="201">
                  <v>55.2</v>
                </pt>
                <pt idx="202">
                  <v>56.9</v>
                </pt>
                <pt idx="203">
                  <v>56.6</v>
                </pt>
                <pt idx="204">
                  <v>57.1</v>
                </pt>
                <pt idx="205">
                  <v>58</v>
                </pt>
                <pt idx="206">
                  <v>57.4</v>
                </pt>
                <pt idx="207">
                  <v>56</v>
                </pt>
                <pt idx="208">
                  <v>58.7</v>
                </pt>
                <pt idx="209">
                  <v>56.4</v>
                </pt>
                <pt idx="210">
                  <v>57.3</v>
                </pt>
                <pt idx="211">
                  <v>57.6</v>
                </pt>
                <pt idx="212">
                  <v>57.5</v>
                </pt>
                <pt idx="213">
                  <v>57.5</v>
                </pt>
                <pt idx="214">
                  <v>56.8</v>
                </pt>
                <pt idx="215">
                  <v>56</v>
                </pt>
                <pt idx="216">
                  <v>59.3</v>
                </pt>
                <pt idx="217">
                  <v>58.4</v>
                </pt>
                <pt idx="218">
                  <v>56.1</v>
                </pt>
                <pt idx="219">
                  <v>57.9</v>
                </pt>
                <pt idx="220">
                  <v>55.8</v>
                </pt>
                <pt idx="221">
                  <v>55.3</v>
                </pt>
                <pt idx="222">
                  <v>54</v>
                </pt>
                <pt idx="223">
                  <v>54</v>
                </pt>
                <pt idx="224">
                  <v>55.2</v>
                </pt>
                <pt idx="225">
                  <v>55.6</v>
                </pt>
                <pt idx="226">
                  <v>53.8</v>
                </pt>
                <pt idx="227">
                  <v>56</v>
                </pt>
                <pt idx="228">
                  <v>55.2</v>
                </pt>
                <pt idx="229">
                  <v>51.6</v>
                </pt>
                <pt idx="230">
                  <v>56.3</v>
                </pt>
                <pt idx="231">
                  <v>54.4</v>
                </pt>
                <pt idx="232">
                  <v>56.2</v>
                </pt>
                <pt idx="233">
                  <v>56.7</v>
                </pt>
                <pt idx="234">
                  <v>56.8</v>
                </pt>
                <pt idx="235">
                  <v>57.4</v>
                </pt>
                <pt idx="236">
                  <v>55.6</v>
                </pt>
                <pt idx="237">
                  <v>57.3</v>
                </pt>
                <pt idx="238">
                  <v>57.1</v>
                </pt>
                <pt idx="239">
                  <v>57.2</v>
                </pt>
                <pt idx="240">
                  <v>54.3</v>
                </pt>
                <pt idx="241">
                  <v>55.2</v>
                </pt>
                <pt idx="242">
                  <v>59.4</v>
                </pt>
                <pt idx="243">
                  <v>59.8</v>
                </pt>
                <pt idx="244">
                  <v>57.3</v>
                </pt>
                <pt idx="245">
                  <v>56</v>
                </pt>
                <pt idx="246">
                  <v>59.9</v>
                </pt>
                <pt idx="247">
                  <v>59.5</v>
                </pt>
                <pt idx="248">
                  <v>58.8</v>
                </pt>
                <pt idx="249">
                  <v>56.8</v>
                </pt>
                <pt idx="250">
                  <v>58.6</v>
                </pt>
                <pt idx="251">
                  <v>59.1</v>
                </pt>
                <pt idx="252">
                  <v>55.7</v>
                </pt>
                <pt idx="253">
                  <v>58.5</v>
                </pt>
                <pt idx="254">
                  <v>61.6</v>
                </pt>
                <pt idx="255">
                  <v>60.3</v>
                </pt>
                <pt idx="256">
                  <v>60.7</v>
                </pt>
                <pt idx="257">
                  <v>57.6</v>
                </pt>
                <pt idx="258">
                  <v>56.7</v>
                </pt>
                <pt idx="259">
                  <v>59.7</v>
                </pt>
                <pt idx="260">
                  <v>56.1</v>
                </pt>
                <pt idx="261">
                  <v>55.5</v>
                </pt>
                <pt idx="262">
                  <v>56.9</v>
                </pt>
                <pt idx="263">
                  <v>55.1</v>
                </pt>
                <pt idx="264">
                  <v>53.7</v>
                </pt>
                <pt idx="265">
                  <v>56.4</v>
                </pt>
                <pt idx="266">
                  <v>52.6</v>
                </pt>
                <pt idx="267">
                  <v>54.7</v>
                </pt>
                <pt idx="268">
                  <v>53.9</v>
                </pt>
                <pt idx="269">
                  <v>55</v>
                </pt>
                <pt idx="270">
                  <v>55.5</v>
                </pt>
                <pt idx="271">
                  <v>57.3</v>
                </pt>
                <pt idx="272">
                  <v>52.5</v>
                </pt>
                <pt idx="273">
                  <v>41.8</v>
                </pt>
                <pt idx="274">
                  <v>45.4</v>
                </pt>
                <pt idx="275">
                  <v>57.1</v>
                </pt>
                <pt idx="276">
                  <v>58.1</v>
                </pt>
                <pt idx="277">
                  <v>56.9</v>
                </pt>
                <pt idx="278">
                  <v>57.8</v>
                </pt>
                <pt idx="279">
                  <v>56.6</v>
                </pt>
                <pt idx="280">
                  <v>55.9</v>
                </pt>
                <pt idx="281">
                  <v>57.2</v>
                </pt>
                <pt idx="282">
                  <v>58.7</v>
                </pt>
                <pt idx="283">
                  <v>55.3</v>
                </pt>
                <pt idx="284">
                  <v>63.7</v>
                </pt>
                <pt idx="285">
                  <v>62.7</v>
                </pt>
                <pt idx="286">
                  <v>64</v>
                </pt>
                <pt idx="287">
                  <v>60.1</v>
                </pt>
                <pt idx="288">
                  <v>64.09999999999999</v>
                </pt>
                <pt idx="289">
                  <v>61.7</v>
                </pt>
                <pt idx="290">
                  <v>61.9</v>
                </pt>
                <pt idx="291">
                  <v>66.7</v>
                </pt>
                <pt idx="292">
                  <v>69.09999999999999</v>
                </pt>
                <pt idx="293">
                  <v>62</v>
                </pt>
                <pt idx="294">
                  <v>59.9</v>
                </pt>
                <pt idx="295">
                  <v>56.5</v>
                </pt>
                <pt idx="296">
                  <v>58.3</v>
                </pt>
                <pt idx="297">
                  <v>57.1</v>
                </pt>
                <pt idx="298">
                  <v>55.9</v>
                </pt>
                <pt idx="299">
                  <v>55.3</v>
                </pt>
              </numCache>
            </numRef>
          </val>
          <smooth val="0"/>
        </ser>
        <dLbls>
          <showLegendKey val="0"/>
          <showVal val="0"/>
          <showCatName val="0"/>
          <showSerName val="0"/>
          <showPercent val="0"/>
          <showBubbleSize val="0"/>
        </dLbls>
        <marker val="1"/>
        <smooth val="0"/>
        <axId val="864306016"/>
        <axId val="864312248"/>
      </lineChart>
      <dateAx>
        <axId val="1016699592"/>
        <scaling>
          <orientation val="minMax"/>
        </scaling>
        <delete val="1"/>
        <axPos val="b"/>
        <numFmt formatCode="m/d/yy" sourceLinked="1"/>
        <majorTickMark val="out"/>
        <minorTickMark val="none"/>
        <tickLblPos val="nextTo"/>
        <crossAx val="1016695328"/>
        <crosses val="autoZero"/>
        <lblOffset val="100"/>
        <baseTimeUnit val="months"/>
        <majorUnit val="1"/>
        <minorUnit val="1"/>
      </dateAx>
      <valAx>
        <axId val="1016695328"/>
        <scaling>
          <orientation val="minMax"/>
        </scaling>
        <delete val="0"/>
        <axPos val="r"/>
        <numFmt formatCode="0.00%" sourceLinked="1"/>
        <majorTickMark val="out"/>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16699592"/>
        <crosses val="max"/>
        <crossBetween val="between"/>
      </valAx>
      <dateAx>
        <axId val="864306016"/>
        <scaling>
          <orientation val="minMax"/>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864312248"/>
        <crosses val="autoZero"/>
        <lblOffset val="100"/>
        <baseTimeUnit val="months"/>
      </dateAx>
      <valAx>
        <axId val="864312248"/>
        <scaling>
          <orientation val="minMax"/>
          <min val="3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864306016"/>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79.xml><?xml version="1.0" encoding="utf-8"?>
<chartSpace xmlns="http://schemas.openxmlformats.org/drawingml/2006/chart">
  <chart>
    <title>
      <tx>
        <strRef>
          <f>Table9[[#Headers],[ISM Services]]</f>
          <strCache>
            <ptCount val="1"/>
            <pt idx="0">
              <v>ISM Services</v>
            </pt>
          </strCache>
        </strRef>
      </tx>
      <overlay val="0"/>
      <spPr>
        <a:noFill xmlns:a="http://schemas.openxmlformats.org/drawingml/2006/main"/>
        <a:ln xmlns:a="http://schemas.openxmlformats.org/drawingml/2006/main">
          <a:noFill/>
          <a:prstDash val="solid"/>
        </a:ln>
      </spPr>
    </title>
    <plotArea>
      <layout/>
      <lineChart>
        <grouping val="standard"/>
        <varyColors val="0"/>
        <ser>
          <idx val="0"/>
          <order val="0"/>
          <tx>
            <strRef>
              <f>'ISM Services'!$B$5</f>
              <strCache>
                <ptCount val="1"/>
                <pt idx="0">
                  <v>ISM Services</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'ISM Services'!$A$6:$A$305</f>
              <numCache>
                <formatCode>m/d/yy</formatCode>
                <ptCount val="300"/>
                <pt idx="0">
                  <v>35612</v>
                </pt>
                <pt idx="1">
                  <v>35643</v>
                </pt>
                <pt idx="2">
                  <v>35674</v>
                </pt>
                <pt idx="3">
                  <v>35704</v>
                </pt>
                <pt idx="4">
                  <v>35735</v>
                </pt>
                <pt idx="5">
                  <v>35765</v>
                </pt>
                <pt idx="6">
                  <v>35796</v>
                </pt>
                <pt idx="7">
                  <v>35827</v>
                </pt>
                <pt idx="8">
                  <v>35855</v>
                </pt>
                <pt idx="9">
                  <v>35886</v>
                </pt>
                <pt idx="10">
                  <v>35916</v>
                </pt>
                <pt idx="11">
                  <v>35947</v>
                </pt>
                <pt idx="12">
                  <v>35977</v>
                </pt>
                <pt idx="13">
                  <v>36008</v>
                </pt>
                <pt idx="14">
                  <v>36039</v>
                </pt>
                <pt idx="15">
                  <v>36069</v>
                </pt>
                <pt idx="16">
                  <v>36100</v>
                </pt>
                <pt idx="17">
                  <v>36130</v>
                </pt>
                <pt idx="18">
                  <v>36161</v>
                </pt>
                <pt idx="19">
                  <v>36192</v>
                </pt>
                <pt idx="20">
                  <v>36220</v>
                </pt>
                <pt idx="21">
                  <v>36251</v>
                </pt>
                <pt idx="22">
                  <v>36281</v>
                </pt>
                <pt idx="23">
                  <v>36312</v>
                </pt>
                <pt idx="24">
                  <v>36342</v>
                </pt>
                <pt idx="25">
                  <v>36373</v>
                </pt>
                <pt idx="26">
                  <v>36404</v>
                </pt>
                <pt idx="27">
                  <v>36434</v>
                </pt>
                <pt idx="28">
                  <v>36465</v>
                </pt>
                <pt idx="29">
                  <v>36495</v>
                </pt>
                <pt idx="30">
                  <v>36526</v>
                </pt>
                <pt idx="31">
                  <v>36557</v>
                </pt>
                <pt idx="32">
                  <v>36586</v>
                </pt>
                <pt idx="33">
                  <v>36617</v>
                </pt>
                <pt idx="34">
                  <v>36647</v>
                </pt>
                <pt idx="35">
                  <v>36678</v>
                </pt>
                <pt idx="36">
                  <v>36708</v>
                </pt>
                <pt idx="37">
                  <v>36739</v>
                </pt>
                <pt idx="38">
                  <v>36770</v>
                </pt>
                <pt idx="39">
                  <v>36800</v>
                </pt>
                <pt idx="40">
                  <v>36831</v>
                </pt>
                <pt idx="41">
                  <v>36861</v>
                </pt>
                <pt idx="42">
                  <v>36892</v>
                </pt>
                <pt idx="43">
                  <v>36923</v>
                </pt>
                <pt idx="44">
                  <v>36951</v>
                </pt>
                <pt idx="45">
                  <v>36982</v>
                </pt>
                <pt idx="46">
                  <v>37012</v>
                </pt>
                <pt idx="47">
                  <v>37043</v>
                </pt>
                <pt idx="48">
                  <v>37073</v>
                </pt>
                <pt idx="49">
                  <v>37104</v>
                </pt>
                <pt idx="50">
                  <v>37135</v>
                </pt>
                <pt idx="51">
                  <v>37165</v>
                </pt>
                <pt idx="52">
                  <v>37196</v>
                </pt>
                <pt idx="53">
                  <v>37226</v>
                </pt>
                <pt idx="54">
                  <v>37257</v>
                </pt>
                <pt idx="55">
                  <v>37288</v>
                </pt>
                <pt idx="56">
                  <v>37316</v>
                </pt>
                <pt idx="57">
                  <v>37347</v>
                </pt>
                <pt idx="58">
                  <v>37377</v>
                </pt>
                <pt idx="59">
                  <v>37408</v>
                </pt>
                <pt idx="60">
                  <v>37438</v>
                </pt>
                <pt idx="61">
                  <v>37469</v>
                </pt>
                <pt idx="62">
                  <v>37500</v>
                </pt>
                <pt idx="63">
                  <v>37530</v>
                </pt>
                <pt idx="64">
                  <v>37561</v>
                </pt>
                <pt idx="65">
                  <v>37591</v>
                </pt>
                <pt idx="66">
                  <v>37622</v>
                </pt>
                <pt idx="67">
                  <v>37653</v>
                </pt>
                <pt idx="68">
                  <v>37681</v>
                </pt>
                <pt idx="69">
                  <v>37712</v>
                </pt>
                <pt idx="70">
                  <v>37742</v>
                </pt>
                <pt idx="71">
                  <v>37773</v>
                </pt>
                <pt idx="72">
                  <v>37803</v>
                </pt>
                <pt idx="73">
                  <v>37834</v>
                </pt>
                <pt idx="74">
                  <v>37865</v>
                </pt>
                <pt idx="75">
                  <v>37895</v>
                </pt>
                <pt idx="76">
                  <v>37926</v>
                </pt>
                <pt idx="77">
                  <v>37956</v>
                </pt>
                <pt idx="78">
                  <v>37987</v>
                </pt>
                <pt idx="79">
                  <v>38018</v>
                </pt>
                <pt idx="80">
                  <v>38047</v>
                </pt>
                <pt idx="81">
                  <v>38078</v>
                </pt>
                <pt idx="82">
                  <v>38108</v>
                </pt>
                <pt idx="83">
                  <v>38139</v>
                </pt>
                <pt idx="84">
                  <v>38169</v>
                </pt>
                <pt idx="85">
                  <v>38200</v>
                </pt>
                <pt idx="86">
                  <v>38231</v>
                </pt>
                <pt idx="87">
                  <v>38261</v>
                </pt>
                <pt idx="88">
                  <v>38292</v>
                </pt>
                <pt idx="89">
                  <v>38322</v>
                </pt>
                <pt idx="90">
                  <v>38353</v>
                </pt>
                <pt idx="91">
                  <v>38384</v>
                </pt>
                <pt idx="92">
                  <v>38412</v>
                </pt>
                <pt idx="93">
                  <v>38443</v>
                </pt>
                <pt idx="94">
                  <v>38473</v>
                </pt>
                <pt idx="95">
                  <v>38504</v>
                </pt>
                <pt idx="96">
                  <v>38534</v>
                </pt>
                <pt idx="97">
                  <v>38565</v>
                </pt>
                <pt idx="98">
                  <v>38596</v>
                </pt>
                <pt idx="99">
                  <v>38626</v>
                </pt>
                <pt idx="100">
                  <v>38657</v>
                </pt>
                <pt idx="101">
                  <v>38687</v>
                </pt>
                <pt idx="102">
                  <v>38718</v>
                </pt>
                <pt idx="103">
                  <v>38749</v>
                </pt>
                <pt idx="104">
                  <v>38777</v>
                </pt>
                <pt idx="105">
                  <v>38808</v>
                </pt>
                <pt idx="106">
                  <v>38838</v>
                </pt>
                <pt idx="107">
                  <v>38869</v>
                </pt>
                <pt idx="108">
                  <v>38899</v>
                </pt>
                <pt idx="109">
                  <v>38930</v>
                </pt>
                <pt idx="110">
                  <v>38961</v>
                </pt>
                <pt idx="111">
                  <v>38991</v>
                </pt>
                <pt idx="112">
                  <v>39022</v>
                </pt>
                <pt idx="113">
                  <v>39052</v>
                </pt>
                <pt idx="114">
                  <v>39083</v>
                </pt>
                <pt idx="115">
                  <v>39114</v>
                </pt>
                <pt idx="116">
                  <v>39142</v>
                </pt>
                <pt idx="117">
                  <v>39173</v>
                </pt>
                <pt idx="118">
                  <v>39203</v>
                </pt>
                <pt idx="119">
                  <v>39234</v>
                </pt>
                <pt idx="120">
                  <v>39264</v>
                </pt>
                <pt idx="121">
                  <v>39295</v>
                </pt>
                <pt idx="122">
                  <v>39326</v>
                </pt>
                <pt idx="123">
                  <v>39356</v>
                </pt>
                <pt idx="124">
                  <v>39387</v>
                </pt>
                <pt idx="125">
                  <v>39417</v>
                </pt>
                <pt idx="126">
                  <v>39448</v>
                </pt>
                <pt idx="127">
                  <v>39479</v>
                </pt>
                <pt idx="128">
                  <v>39508</v>
                </pt>
                <pt idx="129">
                  <v>39539</v>
                </pt>
                <pt idx="130">
                  <v>39569</v>
                </pt>
                <pt idx="131">
                  <v>39600</v>
                </pt>
                <pt idx="132">
                  <v>39630</v>
                </pt>
                <pt idx="133">
                  <v>39661</v>
                </pt>
                <pt idx="134">
                  <v>39692</v>
                </pt>
                <pt idx="135">
                  <v>39722</v>
                </pt>
                <pt idx="136">
                  <v>39753</v>
                </pt>
                <pt idx="137">
                  <v>39783</v>
                </pt>
                <pt idx="138">
                  <v>39814</v>
                </pt>
                <pt idx="139">
                  <v>39845</v>
                </pt>
                <pt idx="140">
                  <v>39873</v>
                </pt>
                <pt idx="141">
                  <v>39904</v>
                </pt>
                <pt idx="142">
                  <v>39934</v>
                </pt>
                <pt idx="143">
                  <v>39965</v>
                </pt>
                <pt idx="144">
                  <v>39995</v>
                </pt>
                <pt idx="145">
                  <v>40026</v>
                </pt>
                <pt idx="146">
                  <v>40057</v>
                </pt>
                <pt idx="147">
                  <v>40087</v>
                </pt>
                <pt idx="148">
                  <v>40118</v>
                </pt>
                <pt idx="149">
                  <v>40148</v>
                </pt>
                <pt idx="150">
                  <v>40179</v>
                </pt>
                <pt idx="151">
                  <v>40210</v>
                </pt>
                <pt idx="152">
                  <v>40238</v>
                </pt>
                <pt idx="153">
                  <v>40269</v>
                </pt>
                <pt idx="154">
                  <v>40299</v>
                </pt>
                <pt idx="155">
                  <v>40330</v>
                </pt>
                <pt idx="156">
                  <v>40360</v>
                </pt>
                <pt idx="157">
                  <v>40391</v>
                </pt>
                <pt idx="158">
                  <v>40422</v>
                </pt>
                <pt idx="159">
                  <v>40452</v>
                </pt>
                <pt idx="160">
                  <v>40483</v>
                </pt>
                <pt idx="161">
                  <v>40513</v>
                </pt>
                <pt idx="162">
                  <v>40544</v>
                </pt>
                <pt idx="163">
                  <v>40575</v>
                </pt>
                <pt idx="164">
                  <v>40603</v>
                </pt>
                <pt idx="165">
                  <v>40634</v>
                </pt>
                <pt idx="166">
                  <v>40664</v>
                </pt>
                <pt idx="167">
                  <v>40695</v>
                </pt>
                <pt idx="168">
                  <v>40725</v>
                </pt>
                <pt idx="169">
                  <v>40756</v>
                </pt>
                <pt idx="170">
                  <v>40787</v>
                </pt>
                <pt idx="171">
                  <v>40817</v>
                </pt>
                <pt idx="172">
                  <v>40848</v>
                </pt>
                <pt idx="173">
                  <v>40878</v>
                </pt>
                <pt idx="174">
                  <v>40909</v>
                </pt>
                <pt idx="175">
                  <v>40940</v>
                </pt>
                <pt idx="176">
                  <v>40969</v>
                </pt>
                <pt idx="177">
                  <v>41000</v>
                </pt>
                <pt idx="178">
                  <v>41030</v>
                </pt>
                <pt idx="179">
                  <v>41061</v>
                </pt>
                <pt idx="180">
                  <v>41091</v>
                </pt>
                <pt idx="181">
                  <v>41122</v>
                </pt>
                <pt idx="182">
                  <v>41153</v>
                </pt>
                <pt idx="183">
                  <v>41183</v>
                </pt>
                <pt idx="184">
                  <v>41214</v>
                </pt>
                <pt idx="185">
                  <v>41244</v>
                </pt>
                <pt idx="186">
                  <v>41275</v>
                </pt>
                <pt idx="187">
                  <v>41306</v>
                </pt>
                <pt idx="188">
                  <v>41334</v>
                </pt>
                <pt idx="189">
                  <v>41365</v>
                </pt>
                <pt idx="190">
                  <v>41395</v>
                </pt>
                <pt idx="191">
                  <v>41426</v>
                </pt>
                <pt idx="192">
                  <v>41456</v>
                </pt>
                <pt idx="193">
                  <v>41487</v>
                </pt>
                <pt idx="194">
                  <v>41518</v>
                </pt>
                <pt idx="195">
                  <v>41548</v>
                </pt>
                <pt idx="196">
                  <v>41579</v>
                </pt>
                <pt idx="197">
                  <v>41609</v>
                </pt>
                <pt idx="198">
                  <v>41640</v>
                </pt>
                <pt idx="199">
                  <v>41671</v>
                </pt>
                <pt idx="200">
                  <v>41699</v>
                </pt>
                <pt idx="201">
                  <v>41730</v>
                </pt>
                <pt idx="202">
                  <v>41760</v>
                </pt>
                <pt idx="203">
                  <v>41791</v>
                </pt>
                <pt idx="204">
                  <v>41821</v>
                </pt>
                <pt idx="205">
                  <v>41852</v>
                </pt>
                <pt idx="206">
                  <v>41883</v>
                </pt>
                <pt idx="207">
                  <v>41913</v>
                </pt>
                <pt idx="208">
                  <v>41944</v>
                </pt>
                <pt idx="209">
                  <v>41974</v>
                </pt>
                <pt idx="210">
                  <v>42005</v>
                </pt>
                <pt idx="211">
                  <v>42036</v>
                </pt>
                <pt idx="212">
                  <v>42064</v>
                </pt>
                <pt idx="213">
                  <v>42095</v>
                </pt>
                <pt idx="214">
                  <v>42125</v>
                </pt>
                <pt idx="215">
                  <v>42156</v>
                </pt>
                <pt idx="216">
                  <v>42186</v>
                </pt>
                <pt idx="217">
                  <v>42217</v>
                </pt>
                <pt idx="218">
                  <v>42248</v>
                </pt>
                <pt idx="219">
                  <v>42278</v>
                </pt>
                <pt idx="220">
                  <v>42309</v>
                </pt>
                <pt idx="221">
                  <v>42339</v>
                </pt>
                <pt idx="222">
                  <v>42370</v>
                </pt>
                <pt idx="223">
                  <v>42401</v>
                </pt>
                <pt idx="224">
                  <v>42430</v>
                </pt>
                <pt idx="225">
                  <v>42461</v>
                </pt>
                <pt idx="226">
                  <v>42491</v>
                </pt>
                <pt idx="227">
                  <v>42522</v>
                </pt>
                <pt idx="228">
                  <v>42552</v>
                </pt>
                <pt idx="229">
                  <v>42583</v>
                </pt>
                <pt idx="230">
                  <v>42614</v>
                </pt>
                <pt idx="231">
                  <v>42644</v>
                </pt>
                <pt idx="232">
                  <v>42675</v>
                </pt>
                <pt idx="233">
                  <v>42705</v>
                </pt>
                <pt idx="234">
                  <v>42736</v>
                </pt>
                <pt idx="235">
                  <v>42767</v>
                </pt>
                <pt idx="236">
                  <v>42795</v>
                </pt>
                <pt idx="237">
                  <v>42826</v>
                </pt>
                <pt idx="238">
                  <v>42856</v>
                </pt>
                <pt idx="239">
                  <v>42887</v>
                </pt>
                <pt idx="240">
                  <v>42917</v>
                </pt>
                <pt idx="241">
                  <v>42948</v>
                </pt>
                <pt idx="242">
                  <v>42979</v>
                </pt>
                <pt idx="243">
                  <v>43009</v>
                </pt>
                <pt idx="244">
                  <v>43040</v>
                </pt>
                <pt idx="245">
                  <v>43070</v>
                </pt>
                <pt idx="246">
                  <v>43101</v>
                </pt>
                <pt idx="247">
                  <v>43132</v>
                </pt>
                <pt idx="248">
                  <v>43160</v>
                </pt>
                <pt idx="249">
                  <v>43191</v>
                </pt>
                <pt idx="250">
                  <v>43221</v>
                </pt>
                <pt idx="251">
                  <v>43252</v>
                </pt>
                <pt idx="252">
                  <v>43282</v>
                </pt>
                <pt idx="253">
                  <v>43313</v>
                </pt>
                <pt idx="254">
                  <v>43344</v>
                </pt>
                <pt idx="255">
                  <v>43374</v>
                </pt>
                <pt idx="256">
                  <v>43405</v>
                </pt>
                <pt idx="257">
                  <v>43435</v>
                </pt>
                <pt idx="258">
                  <v>43466</v>
                </pt>
                <pt idx="259">
                  <v>43497</v>
                </pt>
                <pt idx="260">
                  <v>43525</v>
                </pt>
                <pt idx="261">
                  <v>43556</v>
                </pt>
                <pt idx="262">
                  <v>43586</v>
                </pt>
                <pt idx="263">
                  <v>43617</v>
                </pt>
                <pt idx="264">
                  <v>43647</v>
                </pt>
                <pt idx="265">
                  <v>43678</v>
                </pt>
                <pt idx="266">
                  <v>43709</v>
                </pt>
                <pt idx="267">
                  <v>43739</v>
                </pt>
                <pt idx="268">
                  <v>43770</v>
                </pt>
                <pt idx="269">
                  <v>43800</v>
                </pt>
                <pt idx="270">
                  <v>43831</v>
                </pt>
                <pt idx="271">
                  <v>43862</v>
                </pt>
                <pt idx="272">
                  <v>43891</v>
                </pt>
                <pt idx="273">
                  <v>43922</v>
                </pt>
                <pt idx="274">
                  <v>43952</v>
                </pt>
                <pt idx="275">
                  <v>43983</v>
                </pt>
                <pt idx="276">
                  <v>44013</v>
                </pt>
                <pt idx="277">
                  <v>44044</v>
                </pt>
                <pt idx="278">
                  <v>44075</v>
                </pt>
                <pt idx="279">
                  <v>44105</v>
                </pt>
                <pt idx="280">
                  <v>44136</v>
                </pt>
                <pt idx="281">
                  <v>44166</v>
                </pt>
                <pt idx="282">
                  <v>44197</v>
                </pt>
                <pt idx="283">
                  <v>44228</v>
                </pt>
                <pt idx="284">
                  <v>44256</v>
                </pt>
                <pt idx="285">
                  <v>44287</v>
                </pt>
                <pt idx="286">
                  <v>44317</v>
                </pt>
                <pt idx="287">
                  <v>44348</v>
                </pt>
                <pt idx="288">
                  <v>44378</v>
                </pt>
                <pt idx="289">
                  <v>44409</v>
                </pt>
                <pt idx="290">
                  <v>44440</v>
                </pt>
                <pt idx="291">
                  <v>44470</v>
                </pt>
                <pt idx="292">
                  <v>44501</v>
                </pt>
                <pt idx="293">
                  <v>44531</v>
                </pt>
                <pt idx="294">
                  <v>44562</v>
                </pt>
                <pt idx="295">
                  <v>44593</v>
                </pt>
                <pt idx="296">
                  <v>44621</v>
                </pt>
                <pt idx="297">
                  <v>44652</v>
                </pt>
                <pt idx="298">
                  <v>44682</v>
                </pt>
                <pt idx="299">
                  <v>44713</v>
                </pt>
              </numCache>
            </numRef>
          </cat>
          <val>
            <numRef>
              <f>'ISM Services'!$B$6:$B$305</f>
              <numCache>
                <formatCode>General</formatCode>
                <ptCount val="300"/>
                <pt idx="0">
                  <v>56.7</v>
                </pt>
                <pt idx="1">
                  <v>62</v>
                </pt>
                <pt idx="2">
                  <v>56.2</v>
                </pt>
                <pt idx="3">
                  <v>56.6</v>
                </pt>
                <pt idx="4">
                  <v>58.5</v>
                </pt>
                <pt idx="5">
                  <v>55.5</v>
                </pt>
                <pt idx="6">
                  <v>57</v>
                </pt>
                <pt idx="7">
                  <v>56.2</v>
                </pt>
                <pt idx="8">
                  <v>54.7</v>
                </pt>
                <pt idx="9">
                  <v>54.9</v>
                </pt>
                <pt idx="10">
                  <v>56.2</v>
                </pt>
                <pt idx="11">
                  <v>55.1</v>
                </pt>
                <pt idx="12">
                  <v>55.8</v>
                </pt>
                <pt idx="13">
                  <v>53.5</v>
                </pt>
                <pt idx="14">
                  <v>55</v>
                </pt>
                <pt idx="15">
                  <v>53.8</v>
                </pt>
                <pt idx="16">
                  <v>52.6</v>
                </pt>
                <pt idx="17">
                  <v>52.9</v>
                </pt>
                <pt idx="18">
                  <v>55.6</v>
                </pt>
                <pt idx="19">
                  <v>54.4</v>
                </pt>
                <pt idx="20">
                  <v>55.3</v>
                </pt>
                <pt idx="21">
                  <v>55.5</v>
                </pt>
                <pt idx="22">
                  <v>55.3</v>
                </pt>
                <pt idx="23">
                  <v>56.7</v>
                </pt>
                <pt idx="24">
                  <v>56.2</v>
                </pt>
                <pt idx="25">
                  <v>56.4</v>
                </pt>
                <pt idx="26">
                  <v>56.2</v>
                </pt>
                <pt idx="27">
                  <v>57.6</v>
                </pt>
                <pt idx="28">
                  <v>54.9</v>
                </pt>
                <pt idx="29">
                  <v>56.9</v>
                </pt>
                <pt idx="30">
                  <v>56.6</v>
                </pt>
                <pt idx="31">
                  <v>56.2</v>
                </pt>
                <pt idx="32">
                  <v>57.4</v>
                </pt>
                <pt idx="33">
                  <v>58</v>
                </pt>
                <pt idx="34">
                  <v>57.7</v>
                </pt>
                <pt idx="35">
                  <v>56.9</v>
                </pt>
                <pt idx="36">
                  <v>55.3</v>
                </pt>
                <pt idx="37">
                  <v>57.6</v>
                </pt>
                <pt idx="38">
                  <v>56.7</v>
                </pt>
                <pt idx="39">
                  <v>56.7</v>
                </pt>
                <pt idx="40">
                  <v>56.2</v>
                </pt>
                <pt idx="41">
                  <v>54</v>
                </pt>
                <pt idx="42">
                  <v>51.6</v>
                </pt>
                <pt idx="43">
                  <v>51.3</v>
                </pt>
                <pt idx="44">
                  <v>50.7</v>
                </pt>
                <pt idx="45">
                  <v>48.3</v>
                </pt>
                <pt idx="46">
                  <v>49</v>
                </pt>
                <pt idx="47">
                  <v>50.1</v>
                </pt>
                <pt idx="48">
                  <v>48.1</v>
                </pt>
                <pt idx="49">
                  <v>46.9</v>
                </pt>
                <pt idx="50">
                  <v>49.5</v>
                </pt>
                <pt idx="51">
                  <v>44.8</v>
                </pt>
                <pt idx="52">
                  <v>48.2</v>
                </pt>
                <pt idx="53">
                  <v>49.7</v>
                </pt>
                <pt idx="54">
                  <v>48.9</v>
                </pt>
                <pt idx="55">
                  <v>52.7</v>
                </pt>
                <pt idx="56">
                  <v>52.8</v>
                </pt>
                <pt idx="57">
                  <v>53.5</v>
                </pt>
                <pt idx="58">
                  <v>54.8</v>
                </pt>
                <pt idx="59">
                  <v>52.5</v>
                </pt>
                <pt idx="60">
                  <v>50.4</v>
                </pt>
                <pt idx="61">
                  <v>50.9</v>
                </pt>
                <pt idx="62">
                  <v>52.3</v>
                </pt>
                <pt idx="63">
                  <v>51.4</v>
                </pt>
                <pt idx="64">
                  <v>52.9</v>
                </pt>
                <pt idx="65">
                  <v>52.3</v>
                </pt>
                <pt idx="66">
                  <v>53.3</v>
                </pt>
                <pt idx="67">
                  <v>52.6</v>
                </pt>
                <pt idx="68">
                  <v>49.1</v>
                </pt>
                <pt idx="69">
                  <v>50.1</v>
                </pt>
                <pt idx="70">
                  <v>52.8</v>
                </pt>
                <pt idx="71">
                  <v>54.3</v>
                </pt>
                <pt idx="72">
                  <v>57.3</v>
                </pt>
                <pt idx="73">
                  <v>59.1</v>
                </pt>
                <pt idx="74">
                  <v>57.6</v>
                </pt>
                <pt idx="75">
                  <v>58.7</v>
                </pt>
                <pt idx="76">
                  <v>57.5</v>
                </pt>
                <pt idx="77">
                  <v>56.8</v>
                </pt>
                <pt idx="78">
                  <v>61.2</v>
                </pt>
                <pt idx="79">
                  <v>58</v>
                </pt>
                <pt idx="80">
                  <v>58.3</v>
                </pt>
                <pt idx="81">
                  <v>59.6</v>
                </pt>
                <pt idx="82">
                  <v>58.5</v>
                </pt>
                <pt idx="83">
                  <v>58.6</v>
                </pt>
                <pt idx="84">
                  <v>58.5</v>
                </pt>
                <pt idx="85">
                  <v>57.3</v>
                </pt>
                <pt idx="86">
                  <v>57.9</v>
                </pt>
                <pt idx="87">
                  <v>58.8</v>
                </pt>
                <pt idx="88">
                  <v>58.4</v>
                </pt>
                <pt idx="89">
                  <v>59.6</v>
                </pt>
                <pt idx="90">
                  <v>58</v>
                </pt>
                <pt idx="91">
                  <v>59.4</v>
                </pt>
                <pt idx="92">
                  <v>58</v>
                </pt>
                <pt idx="93">
                  <v>55.6</v>
                </pt>
                <pt idx="94">
                  <v>55.3</v>
                </pt>
                <pt idx="95">
                  <v>58.1</v>
                </pt>
                <pt idx="96">
                  <v>59.5</v>
                </pt>
                <pt idx="97">
                  <v>61.3</v>
                </pt>
                <pt idx="98">
                  <v>55.7</v>
                </pt>
                <pt idx="99">
                  <v>57.4</v>
                </pt>
                <pt idx="100">
                  <v>59.1</v>
                </pt>
                <pt idx="101">
                  <v>59</v>
                </pt>
                <pt idx="102">
                  <v>56.3</v>
                </pt>
                <pt idx="103">
                  <v>57.6</v>
                </pt>
                <pt idx="104">
                  <v>56.9</v>
                </pt>
                <pt idx="105">
                  <v>58.4</v>
                </pt>
                <pt idx="106">
                  <v>57</v>
                </pt>
                <pt idx="107">
                  <v>55.2</v>
                </pt>
                <pt idx="108">
                  <v>55.6</v>
                </pt>
                <pt idx="109">
                  <v>53.9</v>
                </pt>
                <pt idx="110">
                  <v>54.5</v>
                </pt>
                <pt idx="111">
                  <v>54.9</v>
                </pt>
                <pt idx="112">
                  <v>54.5</v>
                </pt>
                <pt idx="113">
                  <v>53.7</v>
                </pt>
                <pt idx="114">
                  <v>55.4</v>
                </pt>
                <pt idx="115">
                  <v>54.2</v>
                </pt>
                <pt idx="116">
                  <v>52.1</v>
                </pt>
                <pt idx="117">
                  <v>53.4</v>
                </pt>
                <pt idx="118">
                  <v>54.3</v>
                </pt>
                <pt idx="119">
                  <v>54.9</v>
                </pt>
                <pt idx="120">
                  <v>53.6</v>
                </pt>
                <pt idx="121">
                  <v>52.7</v>
                </pt>
                <pt idx="122">
                  <v>52.6</v>
                </pt>
                <pt idx="123">
                  <v>53.6</v>
                </pt>
                <pt idx="124">
                  <v>52.8</v>
                </pt>
                <pt idx="125">
                  <v>52.5</v>
                </pt>
                <pt idx="126">
                  <v>44.8</v>
                </pt>
                <pt idx="127">
                  <v>49.9</v>
                </pt>
                <pt idx="128">
                  <v>49.4</v>
                </pt>
                <pt idx="129">
                  <v>51.9</v>
                </pt>
                <pt idx="130">
                  <v>51.5</v>
                </pt>
                <pt idx="131">
                  <v>48.1</v>
                </pt>
                <pt idx="132">
                  <v>50.1</v>
                </pt>
                <pt idx="133">
                  <v>50.6</v>
                </pt>
                <pt idx="134">
                  <v>49.4</v>
                </pt>
                <pt idx="135">
                  <v>44.7</v>
                </pt>
                <pt idx="136">
                  <v>37.8</v>
                </pt>
                <pt idx="137">
                  <v>40</v>
                </pt>
                <pt idx="138">
                  <v>43</v>
                </pt>
                <pt idx="139">
                  <v>41.6</v>
                </pt>
                <pt idx="140">
                  <v>40.1</v>
                </pt>
                <pt idx="141">
                  <v>43.7</v>
                </pt>
                <pt idx="142">
                  <v>44.4</v>
                </pt>
                <pt idx="143">
                  <v>46.4</v>
                </pt>
                <pt idx="144">
                  <v>47.1</v>
                </pt>
                <pt idx="145">
                  <v>48.9</v>
                </pt>
                <pt idx="146">
                  <v>50.1</v>
                </pt>
                <pt idx="147">
                  <v>51</v>
                </pt>
                <pt idx="148">
                  <v>49.5</v>
                </pt>
                <pt idx="149">
                  <v>49.7</v>
                </pt>
                <pt idx="150">
                  <v>50</v>
                </pt>
                <pt idx="151">
                  <v>51.7</v>
                </pt>
                <pt idx="152">
                  <v>53.3</v>
                </pt>
                <pt idx="153">
                  <v>55.3</v>
                </pt>
                <pt idx="154">
                  <v>55.5</v>
                </pt>
                <pt idx="155">
                  <v>54.4</v>
                </pt>
                <pt idx="156">
                  <v>54.6</v>
                </pt>
                <pt idx="157">
                  <v>52.4</v>
                </pt>
                <pt idx="158">
                  <v>53.3</v>
                </pt>
                <pt idx="159">
                  <v>55.3</v>
                </pt>
                <pt idx="160">
                  <v>56.4</v>
                </pt>
                <pt idx="161">
                  <v>56.9</v>
                </pt>
                <pt idx="162">
                  <v>57.6</v>
                </pt>
                <pt idx="163">
                  <v>58</v>
                </pt>
                <pt idx="164">
                  <v>55.8</v>
                </pt>
                <pt idx="165">
                  <v>55.2</v>
                </pt>
                <pt idx="166">
                  <v>55</v>
                </pt>
                <pt idx="167">
                  <v>54.2</v>
                </pt>
                <pt idx="168">
                  <v>53.5</v>
                </pt>
                <pt idx="169">
                  <v>53.5</v>
                </pt>
                <pt idx="170">
                  <v>52.3</v>
                </pt>
                <pt idx="171">
                  <v>52.8</v>
                </pt>
                <pt idx="172">
                  <v>52.9</v>
                </pt>
                <pt idx="173">
                  <v>52.6</v>
                </pt>
                <pt idx="174">
                  <v>56</v>
                </pt>
                <pt idx="175">
                  <v>56</v>
                </pt>
                <pt idx="176">
                  <v>55.6</v>
                </pt>
                <pt idx="177">
                  <v>54.4</v>
                </pt>
                <pt idx="178">
                  <v>54.5</v>
                </pt>
                <pt idx="179">
                  <v>53.7</v>
                </pt>
                <pt idx="180">
                  <v>52.4</v>
                </pt>
                <pt idx="181">
                  <v>52.9</v>
                </pt>
                <pt idx="182">
                  <v>54.6</v>
                </pt>
                <pt idx="183">
                  <v>54.2</v>
                </pt>
                <pt idx="184">
                  <v>54.8</v>
                </pt>
                <pt idx="185">
                  <v>55.6</v>
                </pt>
                <pt idx="186">
                  <v>55.3</v>
                </pt>
                <pt idx="187">
                  <v>56.1</v>
                </pt>
                <pt idx="188">
                  <v>55.2</v>
                </pt>
                <pt idx="189">
                  <v>53.9</v>
                </pt>
                <pt idx="190">
                  <v>54.4</v>
                </pt>
                <pt idx="191">
                  <v>54.1</v>
                </pt>
                <pt idx="192">
                  <v>54.9</v>
                </pt>
                <pt idx="193">
                  <v>56.6</v>
                </pt>
                <pt idx="194">
                  <v>53.6</v>
                </pt>
                <pt idx="195">
                  <v>54.5</v>
                </pt>
                <pt idx="196">
                  <v>53.8</v>
                </pt>
                <pt idx="197">
                  <v>52.9</v>
                </pt>
                <pt idx="198">
                  <v>54.7</v>
                </pt>
                <pt idx="199">
                  <v>53</v>
                </pt>
                <pt idx="200">
                  <v>54.2</v>
                </pt>
                <pt idx="201">
                  <v>55.2</v>
                </pt>
                <pt idx="202">
                  <v>56.9</v>
                </pt>
                <pt idx="203">
                  <v>56.6</v>
                </pt>
                <pt idx="204">
                  <v>57.1</v>
                </pt>
                <pt idx="205">
                  <v>58</v>
                </pt>
                <pt idx="206">
                  <v>57.4</v>
                </pt>
                <pt idx="207">
                  <v>56</v>
                </pt>
                <pt idx="208">
                  <v>58.7</v>
                </pt>
                <pt idx="209">
                  <v>56.4</v>
                </pt>
                <pt idx="210">
                  <v>57.3</v>
                </pt>
                <pt idx="211">
                  <v>57.6</v>
                </pt>
                <pt idx="212">
                  <v>57.5</v>
                </pt>
                <pt idx="213">
                  <v>57.5</v>
                </pt>
                <pt idx="214">
                  <v>56.8</v>
                </pt>
                <pt idx="215">
                  <v>56</v>
                </pt>
                <pt idx="216">
                  <v>59.3</v>
                </pt>
                <pt idx="217">
                  <v>58.4</v>
                </pt>
                <pt idx="218">
                  <v>56.1</v>
                </pt>
                <pt idx="219">
                  <v>57.9</v>
                </pt>
                <pt idx="220">
                  <v>55.8</v>
                </pt>
                <pt idx="221">
                  <v>55.3</v>
                </pt>
                <pt idx="222">
                  <v>54</v>
                </pt>
                <pt idx="223">
                  <v>54</v>
                </pt>
                <pt idx="224">
                  <v>55.2</v>
                </pt>
                <pt idx="225">
                  <v>55.6</v>
                </pt>
                <pt idx="226">
                  <v>53.8</v>
                </pt>
                <pt idx="227">
                  <v>56</v>
                </pt>
                <pt idx="228">
                  <v>55.2</v>
                </pt>
                <pt idx="229">
                  <v>51.6</v>
                </pt>
                <pt idx="230">
                  <v>56.3</v>
                </pt>
                <pt idx="231">
                  <v>54.4</v>
                </pt>
                <pt idx="232">
                  <v>56.2</v>
                </pt>
                <pt idx="233">
                  <v>56.7</v>
                </pt>
                <pt idx="234">
                  <v>56.8</v>
                </pt>
                <pt idx="235">
                  <v>57.4</v>
                </pt>
                <pt idx="236">
                  <v>55.6</v>
                </pt>
                <pt idx="237">
                  <v>57.3</v>
                </pt>
                <pt idx="238">
                  <v>57.1</v>
                </pt>
                <pt idx="239">
                  <v>57.2</v>
                </pt>
                <pt idx="240">
                  <v>54.3</v>
                </pt>
                <pt idx="241">
                  <v>55.2</v>
                </pt>
                <pt idx="242">
                  <v>59.4</v>
                </pt>
                <pt idx="243">
                  <v>59.8</v>
                </pt>
                <pt idx="244">
                  <v>57.3</v>
                </pt>
                <pt idx="245">
                  <v>56</v>
                </pt>
                <pt idx="246">
                  <v>59.9</v>
                </pt>
                <pt idx="247">
                  <v>59.5</v>
                </pt>
                <pt idx="248">
                  <v>58.8</v>
                </pt>
                <pt idx="249">
                  <v>56.8</v>
                </pt>
                <pt idx="250">
                  <v>58.6</v>
                </pt>
                <pt idx="251">
                  <v>59.1</v>
                </pt>
                <pt idx="252">
                  <v>55.7</v>
                </pt>
                <pt idx="253">
                  <v>58.5</v>
                </pt>
                <pt idx="254">
                  <v>61.6</v>
                </pt>
                <pt idx="255">
                  <v>60.3</v>
                </pt>
                <pt idx="256">
                  <v>60.7</v>
                </pt>
                <pt idx="257">
                  <v>57.6</v>
                </pt>
                <pt idx="258">
                  <v>56.7</v>
                </pt>
                <pt idx="259">
                  <v>59.7</v>
                </pt>
                <pt idx="260">
                  <v>56.1</v>
                </pt>
                <pt idx="261">
                  <v>55.5</v>
                </pt>
                <pt idx="262">
                  <v>56.9</v>
                </pt>
                <pt idx="263">
                  <v>55.1</v>
                </pt>
                <pt idx="264">
                  <v>53.7</v>
                </pt>
                <pt idx="265">
                  <v>56.4</v>
                </pt>
                <pt idx="266">
                  <v>52.6</v>
                </pt>
                <pt idx="267">
                  <v>54.7</v>
                </pt>
                <pt idx="268">
                  <v>53.9</v>
                </pt>
                <pt idx="269">
                  <v>55</v>
                </pt>
                <pt idx="270">
                  <v>55.5</v>
                </pt>
                <pt idx="271">
                  <v>57.3</v>
                </pt>
                <pt idx="272">
                  <v>52.5</v>
                </pt>
                <pt idx="273">
                  <v>41.8</v>
                </pt>
                <pt idx="274">
                  <v>45.4</v>
                </pt>
                <pt idx="275">
                  <v>57.1</v>
                </pt>
                <pt idx="276">
                  <v>58.1</v>
                </pt>
                <pt idx="277">
                  <v>56.9</v>
                </pt>
                <pt idx="278">
                  <v>57.8</v>
                </pt>
                <pt idx="279">
                  <v>56.6</v>
                </pt>
                <pt idx="280">
                  <v>55.9</v>
                </pt>
                <pt idx="281">
                  <v>57.2</v>
                </pt>
                <pt idx="282">
                  <v>58.7</v>
                </pt>
                <pt idx="283">
                  <v>55.3</v>
                </pt>
                <pt idx="284">
                  <v>63.7</v>
                </pt>
                <pt idx="285">
                  <v>62.7</v>
                </pt>
                <pt idx="286">
                  <v>64</v>
                </pt>
                <pt idx="287">
                  <v>60.1</v>
                </pt>
                <pt idx="288">
                  <v>64.09999999999999</v>
                </pt>
                <pt idx="289">
                  <v>61.7</v>
                </pt>
                <pt idx="290">
                  <v>61.9</v>
                </pt>
                <pt idx="291">
                  <v>66.7</v>
                </pt>
                <pt idx="292">
                  <v>69.09999999999999</v>
                </pt>
                <pt idx="293">
                  <v>62</v>
                </pt>
                <pt idx="294">
                  <v>59.9</v>
                </pt>
                <pt idx="295">
                  <v>56.5</v>
                </pt>
                <pt idx="296">
                  <v>58.3</v>
                </pt>
                <pt idx="297">
                  <v>57.1</v>
                </pt>
                <pt idx="298">
                  <v>55.9</v>
                </pt>
                <pt idx="299">
                  <v>55.3</v>
                </pt>
              </numCache>
            </numRef>
          </val>
          <smooth val="0"/>
        </ser>
        <dLbls>
          <showLegendKey val="0"/>
          <showVal val="0"/>
          <showCatName val="0"/>
          <showSerName val="0"/>
          <showPercent val="0"/>
          <showBubbleSize val="0"/>
        </dLbls>
        <smooth val="0"/>
        <axId val="1016688440"/>
        <axId val="1016689424"/>
      </lineChart>
      <dateAx>
        <axId val="1016688440"/>
        <scaling>
          <orientation val="minMax"/>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16689424"/>
        <crosses val="autoZero"/>
        <lblOffset val="100"/>
        <baseTimeUnit val="months"/>
      </dateAx>
      <valAx>
        <axId val="1016689424"/>
        <scaling>
          <orientation val="minMax"/>
          <min val="3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16688440"/>
        <crosses val="autoZero"/>
        <crossBetween val="between"/>
      </valAx>
    </plotArea>
    <plotVisOnly val="1"/>
    <dispBlanksAs val="gap"/>
  </chart>
</chartSpace>
</file>

<file path=xl/drawings/_rels/drawing1.xml.rels><Relationships xmlns="http://schemas.openxmlformats.org/package/2006/relationships"><Relationship Type="http://schemas.openxmlformats.org/officeDocument/2006/relationships/chart" Target="/xl/charts/chart1.xml" Id="rId1"/><Relationship Type="http://schemas.openxmlformats.org/officeDocument/2006/relationships/chart" Target="/xl/charts/chart2.xml" Id="rId2"/></Relationships>
</file>

<file path=xl/drawings/_rels/drawing2.xml.rels><Relationships xmlns="http://schemas.openxmlformats.org/package/2006/relationships"><Relationship Type="http://schemas.openxmlformats.org/officeDocument/2006/relationships/chart" Target="/xl/charts/chart3.xml" Id="rId1"/><Relationship Type="http://schemas.openxmlformats.org/officeDocument/2006/relationships/chart" Target="/xl/charts/chart4.xml" Id="rId2"/><Relationship Type="http://schemas.openxmlformats.org/officeDocument/2006/relationships/chart" Target="/xl/charts/chart5.xml" Id="rId3"/><Relationship Type="http://schemas.openxmlformats.org/officeDocument/2006/relationships/chart" Target="/xl/charts/chart6.xml" Id="rId4"/><Relationship Type="http://schemas.openxmlformats.org/officeDocument/2006/relationships/chart" Target="/xl/charts/chart7.xml" Id="rId5"/><Relationship Type="http://schemas.openxmlformats.org/officeDocument/2006/relationships/chart" Target="/xl/charts/chart8.xml" Id="rId6"/><Relationship Type="http://schemas.openxmlformats.org/officeDocument/2006/relationships/chart" Target="/xl/charts/chart9.xml" Id="rId7"/><Relationship Type="http://schemas.openxmlformats.org/officeDocument/2006/relationships/chart" Target="/xl/charts/chart10.xml" Id="rId8"/><Relationship Type="http://schemas.openxmlformats.org/officeDocument/2006/relationships/chart" Target="/xl/charts/chart11.xml" Id="rId9"/><Relationship Type="http://schemas.openxmlformats.org/officeDocument/2006/relationships/chart" Target="/xl/charts/chart12.xml" Id="rId10"/><Relationship Type="http://schemas.openxmlformats.org/officeDocument/2006/relationships/chart" Target="/xl/charts/chart13.xml" Id="rId11"/><Relationship Type="http://schemas.openxmlformats.org/officeDocument/2006/relationships/chart" Target="/xl/charts/chart14.xml" Id="rId12"/><Relationship Type="http://schemas.openxmlformats.org/officeDocument/2006/relationships/chart" Target="/xl/charts/chart15.xml" Id="rId13"/><Relationship Type="http://schemas.openxmlformats.org/officeDocument/2006/relationships/chart" Target="/xl/charts/chart16.xml" Id="rId14"/><Relationship Type="http://schemas.openxmlformats.org/officeDocument/2006/relationships/chart" Target="/xl/charts/chart17.xml" Id="rId15"/><Relationship Type="http://schemas.openxmlformats.org/officeDocument/2006/relationships/chart" Target="/xl/charts/chart18.xml" Id="rId16"/><Relationship Type="http://schemas.openxmlformats.org/officeDocument/2006/relationships/chart" Target="/xl/charts/chart19.xml" Id="rId17"/><Relationship Type="http://schemas.openxmlformats.org/officeDocument/2006/relationships/chart" Target="/xl/charts/chart20.xml" Id="rId18"/></Relationships>
</file>

<file path=xl/drawings/_rels/drawing3.xml.rels><Relationships xmlns="http://schemas.openxmlformats.org/package/2006/relationships"><Relationship Type="http://schemas.openxmlformats.org/officeDocument/2006/relationships/chart" Target="/xl/charts/chart21.xml" Id="rId1"/><Relationship Type="http://schemas.openxmlformats.org/officeDocument/2006/relationships/chart" Target="/xl/charts/chart22.xml" Id="rId2"/><Relationship Type="http://schemas.openxmlformats.org/officeDocument/2006/relationships/chart" Target="/xl/charts/chart23.xml" Id="rId3"/><Relationship Type="http://schemas.openxmlformats.org/officeDocument/2006/relationships/chart" Target="/xl/charts/chart24.xml" Id="rId4"/><Relationship Type="http://schemas.openxmlformats.org/officeDocument/2006/relationships/chart" Target="/xl/charts/chart25.xml" Id="rId5"/><Relationship Type="http://schemas.openxmlformats.org/officeDocument/2006/relationships/chart" Target="/xl/charts/chart26.xml" Id="rId6"/><Relationship Type="http://schemas.openxmlformats.org/officeDocument/2006/relationships/chart" Target="/xl/charts/chart27.xml" Id="rId7"/><Relationship Type="http://schemas.openxmlformats.org/officeDocument/2006/relationships/chart" Target="/xl/charts/chart28.xml" Id="rId8"/><Relationship Type="http://schemas.openxmlformats.org/officeDocument/2006/relationships/chart" Target="/xl/charts/chart29.xml" Id="rId9"/><Relationship Type="http://schemas.openxmlformats.org/officeDocument/2006/relationships/chart" Target="/xl/charts/chart30.xml" Id="rId10"/><Relationship Type="http://schemas.openxmlformats.org/officeDocument/2006/relationships/chart" Target="/xl/charts/chart31.xml" Id="rId11"/><Relationship Type="http://schemas.openxmlformats.org/officeDocument/2006/relationships/chart" Target="/xl/charts/chart32.xml" Id="rId12"/><Relationship Type="http://schemas.openxmlformats.org/officeDocument/2006/relationships/chart" Target="/xl/charts/chart33.xml" Id="rId13"/><Relationship Type="http://schemas.openxmlformats.org/officeDocument/2006/relationships/chart" Target="/xl/charts/chart34.xml" Id="rId14"/><Relationship Type="http://schemas.openxmlformats.org/officeDocument/2006/relationships/chart" Target="/xl/charts/chart35.xml" Id="rId15"/><Relationship Type="http://schemas.openxmlformats.org/officeDocument/2006/relationships/chart" Target="/xl/charts/chart36.xml" Id="rId16"/><Relationship Type="http://schemas.openxmlformats.org/officeDocument/2006/relationships/chart" Target="/xl/charts/chart37.xml" Id="rId17"/><Relationship Type="http://schemas.openxmlformats.org/officeDocument/2006/relationships/chart" Target="/xl/charts/chart38.xml" Id="rId18"/></Relationships>
</file>

<file path=xl/drawings/_rels/drawing4.xml.rels><Relationships xmlns="http://schemas.openxmlformats.org/package/2006/relationships"><Relationship Type="http://schemas.openxmlformats.org/officeDocument/2006/relationships/chart" Target="/xl/charts/chart39.xml" Id="rId1"/><Relationship Type="http://schemas.openxmlformats.org/officeDocument/2006/relationships/chart" Target="/xl/charts/chart40.xml" Id="rId2"/><Relationship Type="http://schemas.openxmlformats.org/officeDocument/2006/relationships/chart" Target="/xl/charts/chart41.xml" Id="rId3"/><Relationship Type="http://schemas.openxmlformats.org/officeDocument/2006/relationships/chart" Target="/xl/charts/chart42.xml" Id="rId4"/><Relationship Type="http://schemas.openxmlformats.org/officeDocument/2006/relationships/chart" Target="/xl/charts/chart43.xml" Id="rId5"/><Relationship Type="http://schemas.openxmlformats.org/officeDocument/2006/relationships/chart" Target="/xl/charts/chart44.xml" Id="rId6"/><Relationship Type="http://schemas.openxmlformats.org/officeDocument/2006/relationships/chart" Target="/xl/charts/chart45.xml" Id="rId7"/><Relationship Type="http://schemas.openxmlformats.org/officeDocument/2006/relationships/chart" Target="/xl/charts/chart46.xml" Id="rId8"/><Relationship Type="http://schemas.openxmlformats.org/officeDocument/2006/relationships/chart" Target="/xl/charts/chart47.xml" Id="rId9"/><Relationship Type="http://schemas.openxmlformats.org/officeDocument/2006/relationships/chart" Target="/xl/charts/chart48.xml" Id="rId10"/><Relationship Type="http://schemas.openxmlformats.org/officeDocument/2006/relationships/chart" Target="/xl/charts/chart49.xml" Id="rId11"/><Relationship Type="http://schemas.openxmlformats.org/officeDocument/2006/relationships/chart" Target="/xl/charts/chart50.xml" Id="rId12"/><Relationship Type="http://schemas.openxmlformats.org/officeDocument/2006/relationships/chart" Target="/xl/charts/chart51.xml" Id="rId13"/><Relationship Type="http://schemas.openxmlformats.org/officeDocument/2006/relationships/chart" Target="/xl/charts/chart52.xml" Id="rId14"/><Relationship Type="http://schemas.openxmlformats.org/officeDocument/2006/relationships/chart" Target="/xl/charts/chart53.xml" Id="rId15"/><Relationship Type="http://schemas.openxmlformats.org/officeDocument/2006/relationships/chart" Target="/xl/charts/chart54.xml" Id="rId16"/><Relationship Type="http://schemas.openxmlformats.org/officeDocument/2006/relationships/chart" Target="/xl/charts/chart55.xml" Id="rId17"/><Relationship Type="http://schemas.openxmlformats.org/officeDocument/2006/relationships/chart" Target="/xl/charts/chart56.xml" Id="rId18"/></Relationships>
</file>

<file path=xl/drawings/_rels/drawing5.xml.rels><Relationships xmlns="http://schemas.openxmlformats.org/package/2006/relationships"><Relationship Type="http://schemas.openxmlformats.org/officeDocument/2006/relationships/chart" Target="/xl/charts/chart57.xml" Id="rId1"/><Relationship Type="http://schemas.openxmlformats.org/officeDocument/2006/relationships/chart" Target="/xl/charts/chart58.xml" Id="rId2"/><Relationship Type="http://schemas.openxmlformats.org/officeDocument/2006/relationships/chart" Target="/xl/charts/chart59.xml" Id="rId3"/><Relationship Type="http://schemas.openxmlformats.org/officeDocument/2006/relationships/chart" Target="/xl/charts/chart60.xml" Id="rId4"/><Relationship Type="http://schemas.openxmlformats.org/officeDocument/2006/relationships/chart" Target="/xl/charts/chart61.xml" Id="rId5"/><Relationship Type="http://schemas.openxmlformats.org/officeDocument/2006/relationships/chart" Target="/xl/charts/chart62.xml" Id="rId6"/><Relationship Type="http://schemas.openxmlformats.org/officeDocument/2006/relationships/chart" Target="/xl/charts/chart63.xml" Id="rId7"/><Relationship Type="http://schemas.openxmlformats.org/officeDocument/2006/relationships/chart" Target="/xl/charts/chart64.xml" Id="rId8"/><Relationship Type="http://schemas.openxmlformats.org/officeDocument/2006/relationships/chart" Target="/xl/charts/chart65.xml" Id="rId9"/><Relationship Type="http://schemas.openxmlformats.org/officeDocument/2006/relationships/chart" Target="/xl/charts/chart66.xml" Id="rId10"/><Relationship Type="http://schemas.openxmlformats.org/officeDocument/2006/relationships/chart" Target="/xl/charts/chart67.xml" Id="rId11"/><Relationship Type="http://schemas.openxmlformats.org/officeDocument/2006/relationships/chart" Target="/xl/charts/chart68.xml" Id="rId12"/><Relationship Type="http://schemas.openxmlformats.org/officeDocument/2006/relationships/chart" Target="/xl/charts/chart69.xml" Id="rId13"/><Relationship Type="http://schemas.openxmlformats.org/officeDocument/2006/relationships/chart" Target="/xl/charts/chart70.xml" Id="rId14"/><Relationship Type="http://schemas.openxmlformats.org/officeDocument/2006/relationships/chart" Target="/xl/charts/chart71.xml" Id="rId15"/><Relationship Type="http://schemas.openxmlformats.org/officeDocument/2006/relationships/chart" Target="/xl/charts/chart72.xml" Id="rId16"/><Relationship Type="http://schemas.openxmlformats.org/officeDocument/2006/relationships/chart" Target="/xl/charts/chart73.xml" Id="rId17"/><Relationship Type="http://schemas.openxmlformats.org/officeDocument/2006/relationships/chart" Target="/xl/charts/chart74.xml" Id="rId18"/><Relationship Type="http://schemas.openxmlformats.org/officeDocument/2006/relationships/chart" Target="/xl/charts/chart75.xml" Id="rId19"/><Relationship Type="http://schemas.openxmlformats.org/officeDocument/2006/relationships/chart" Target="/xl/charts/chart76.xml" Id="rId20"/></Relationships>
</file>

<file path=xl/drawings/_rels/drawing6.xml.rels><Relationships xmlns="http://schemas.openxmlformats.org/package/2006/relationships"><Relationship Type="http://schemas.openxmlformats.org/officeDocument/2006/relationships/chart" Target="/xl/charts/chart77.xml" Id="rId1"/><Relationship Type="http://schemas.openxmlformats.org/officeDocument/2006/relationships/chart" Target="/xl/charts/chart78.xml" Id="rId2"/></Relationships>
</file>

<file path=xl/drawings/_rels/drawing7.xml.rels><Relationships xmlns="http://schemas.openxmlformats.org/package/2006/relationships"><Relationship Type="http://schemas.openxmlformats.org/officeDocument/2006/relationships/chart" Target="/xl/charts/chart79.xml" Id="rId1"/></Relationships>
</file>

<file path=xl/drawings/drawing1.xml><?xml version="1.0" encoding="utf-8"?>
<wsDr xmlns="http://schemas.openxmlformats.org/drawingml/2006/spreadsheetDrawing">
  <twoCellAnchor>
    <from>
      <col>12</col>
      <colOff>85725</colOff>
      <row>2</row>
      <rowOff>0</rowOff>
    </from>
    <to>
      <col>16</col>
      <colOff>723900</colOff>
      <row>7</row>
      <rowOff>76200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16</col>
      <colOff>714375</colOff>
      <row>2</row>
      <rowOff>9525</rowOff>
    </from>
    <to>
      <col>21</col>
      <colOff>38101</colOff>
      <row>7</row>
      <rowOff>66675</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drawings/drawing2.xml><?xml version="1.0" encoding="utf-8"?>
<wsDr xmlns="http://schemas.openxmlformats.org/drawingml/2006/spreadsheetDrawing">
  <twoCellAnchor>
    <from>
      <col>0</col>
      <colOff>130968</colOff>
      <row>12</row>
      <rowOff>161925</rowOff>
    </from>
    <to>
      <col>4</col>
      <colOff>45243</colOff>
      <row>21</row>
      <rowOff>171450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4</col>
      <colOff>178593</colOff>
      <row>12</row>
      <rowOff>171450</rowOff>
    </from>
    <to>
      <col>8</col>
      <colOff>150018</colOff>
      <row>21</row>
      <rowOff>180975</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8</col>
      <colOff>378618</colOff>
      <row>13</row>
      <rowOff>0</rowOff>
    </from>
    <to>
      <col>12</col>
      <colOff>350043</colOff>
      <row>22</row>
      <rowOff>9525</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twoCellAnchor>
    <from>
      <col>13</col>
      <colOff>35718</colOff>
      <row>13</row>
      <rowOff>0</rowOff>
    </from>
    <to>
      <col>17</col>
      <colOff>2380</colOff>
      <row>22</row>
      <rowOff>9525</rowOff>
    </to>
    <graphicFrame>
      <nvGraphicFramePr>
        <cNvPr id="4" name="Chart 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4"/>
        </a:graphicData>
      </a:graphic>
    </graphicFrame>
    <clientData/>
  </twoCellAnchor>
  <twoCellAnchor>
    <from>
      <col>17</col>
      <colOff>169068</colOff>
      <row>13</row>
      <rowOff>0</rowOff>
    </from>
    <to>
      <col>21</col>
      <colOff>121443</colOff>
      <row>22</row>
      <rowOff>9525</rowOff>
    </to>
    <graphicFrame>
      <nvGraphicFramePr>
        <cNvPr id="5" name="Chart 5"/>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5"/>
        </a:graphicData>
      </a:graphic>
    </graphicFrame>
    <clientData/>
  </twoCellAnchor>
  <twoCellAnchor>
    <from>
      <col>21</col>
      <colOff>264318</colOff>
      <row>12</row>
      <rowOff>171450</rowOff>
    </from>
    <to>
      <col>25</col>
      <colOff>159543</colOff>
      <row>21</row>
      <rowOff>180975</rowOff>
    </to>
    <graphicFrame>
      <nvGraphicFramePr>
        <cNvPr id="6" name="Chart 6"/>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6"/>
        </a:graphicData>
      </a:graphic>
    </graphicFrame>
    <clientData/>
  </twoCellAnchor>
  <twoCellAnchor>
    <from>
      <col>0</col>
      <colOff>130968</colOff>
      <row>22</row>
      <rowOff>152400</rowOff>
    </from>
    <to>
      <col>4</col>
      <colOff>45243</colOff>
      <row>31</row>
      <rowOff>161925</rowOff>
    </to>
    <graphicFrame>
      <nvGraphicFramePr>
        <cNvPr id="7" name="Chart 7"/>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7"/>
        </a:graphicData>
      </a:graphic>
    </graphicFrame>
    <clientData/>
  </twoCellAnchor>
  <twoCellAnchor>
    <from>
      <col>4</col>
      <colOff>178593</colOff>
      <row>22</row>
      <rowOff>171450</rowOff>
    </from>
    <to>
      <col>8</col>
      <colOff>150018</colOff>
      <row>31</row>
      <rowOff>180975</rowOff>
    </to>
    <graphicFrame>
      <nvGraphicFramePr>
        <cNvPr id="8" name="Chart 8"/>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8"/>
        </a:graphicData>
      </a:graphic>
    </graphicFrame>
    <clientData/>
  </twoCellAnchor>
  <twoCellAnchor>
    <from>
      <col>8</col>
      <colOff>359568</colOff>
      <row>23</row>
      <rowOff>0</rowOff>
    </from>
    <to>
      <col>12</col>
      <colOff>330993</colOff>
      <row>32</row>
      <rowOff>9525</rowOff>
    </to>
    <graphicFrame>
      <nvGraphicFramePr>
        <cNvPr id="9" name="Chart 9"/>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9"/>
        </a:graphicData>
      </a:graphic>
    </graphicFrame>
    <clientData/>
  </twoCellAnchor>
  <twoCellAnchor>
    <from>
      <col>13</col>
      <colOff>35718</colOff>
      <row>23</row>
      <rowOff>0</rowOff>
    </from>
    <to>
      <col>17</col>
      <colOff>2380</colOff>
      <row>32</row>
      <rowOff>9525</rowOff>
    </to>
    <graphicFrame>
      <nvGraphicFramePr>
        <cNvPr id="10" name="Chart 10"/>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0"/>
        </a:graphicData>
      </a:graphic>
    </graphicFrame>
    <clientData/>
  </twoCellAnchor>
  <twoCellAnchor>
    <from>
      <col>17</col>
      <colOff>207168</colOff>
      <row>23</row>
      <rowOff>9525</rowOff>
    </from>
    <to>
      <col>21</col>
      <colOff>159543</colOff>
      <row>32</row>
      <rowOff>19050</rowOff>
    </to>
    <graphicFrame>
      <nvGraphicFramePr>
        <cNvPr id="11" name="Chart 1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1"/>
        </a:graphicData>
      </a:graphic>
    </graphicFrame>
    <clientData/>
  </twoCellAnchor>
  <twoCellAnchor>
    <from>
      <col>21</col>
      <colOff>247650</colOff>
      <row>23</row>
      <rowOff>0</rowOff>
    </from>
    <to>
      <col>25</col>
      <colOff>142875</colOff>
      <row>32</row>
      <rowOff>9525</rowOff>
    </to>
    <graphicFrame>
      <nvGraphicFramePr>
        <cNvPr id="12" name="Chart 1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2"/>
        </a:graphicData>
      </a:graphic>
    </graphicFrame>
    <clientData/>
  </twoCellAnchor>
  <twoCellAnchor>
    <from>
      <col>0</col>
      <colOff>104775</colOff>
      <row>33</row>
      <rowOff>0</rowOff>
    </from>
    <to>
      <col>4</col>
      <colOff>19050</colOff>
      <row>42</row>
      <rowOff>9525</rowOff>
    </to>
    <graphicFrame>
      <nvGraphicFramePr>
        <cNvPr id="13" name="Chart 1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3"/>
        </a:graphicData>
      </a:graphic>
    </graphicFrame>
    <clientData/>
  </twoCellAnchor>
  <twoCellAnchor>
    <from>
      <col>4</col>
      <colOff>123825</colOff>
      <row>33</row>
      <rowOff>0</rowOff>
    </from>
    <to>
      <col>8</col>
      <colOff>95250</colOff>
      <row>42</row>
      <rowOff>9525</rowOff>
    </to>
    <graphicFrame>
      <nvGraphicFramePr>
        <cNvPr id="14" name="Chart 1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4"/>
        </a:graphicData>
      </a:graphic>
    </graphicFrame>
    <clientData/>
  </twoCellAnchor>
  <twoCellAnchor>
    <from>
      <col>8</col>
      <colOff>333375</colOff>
      <row>33</row>
      <rowOff>9525</rowOff>
    </from>
    <to>
      <col>12</col>
      <colOff>304800</colOff>
      <row>42</row>
      <rowOff>19050</rowOff>
    </to>
    <graphicFrame>
      <nvGraphicFramePr>
        <cNvPr id="15" name="Chart 15"/>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5"/>
        </a:graphicData>
      </a:graphic>
    </graphicFrame>
    <clientData/>
  </twoCellAnchor>
  <twoCellAnchor>
    <from>
      <col>13</col>
      <colOff>0</colOff>
      <row>33</row>
      <rowOff>0</rowOff>
    </from>
    <to>
      <col>16</col>
      <colOff>561975</colOff>
      <row>42</row>
      <rowOff>9525</rowOff>
    </to>
    <graphicFrame>
      <nvGraphicFramePr>
        <cNvPr id="16" name="Chart 16"/>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6"/>
        </a:graphicData>
      </a:graphic>
    </graphicFrame>
    <clientData/>
  </twoCellAnchor>
  <twoCellAnchor>
    <from>
      <col>17</col>
      <colOff>161925</colOff>
      <row>33</row>
      <rowOff>9525</rowOff>
    </from>
    <to>
      <col>21</col>
      <colOff>114300</colOff>
      <row>42</row>
      <rowOff>19050</rowOff>
    </to>
    <graphicFrame>
      <nvGraphicFramePr>
        <cNvPr id="17" name="Chart 17"/>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7"/>
        </a:graphicData>
      </a:graphic>
    </graphicFrame>
    <clientData/>
  </twoCellAnchor>
  <twoCellAnchor>
    <from>
      <col>21</col>
      <colOff>285750</colOff>
      <row>33</row>
      <rowOff>9525</rowOff>
    </from>
    <to>
      <col>25</col>
      <colOff>180975</colOff>
      <row>42</row>
      <rowOff>19050</rowOff>
    </to>
    <graphicFrame>
      <nvGraphicFramePr>
        <cNvPr id="18" name="Chart 18"/>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8"/>
        </a:graphicData>
      </a:graphic>
    </graphicFrame>
    <clientData/>
  </twoCellAnchor>
</wsDr>
</file>

<file path=xl/drawings/drawing3.xml><?xml version="1.0" encoding="utf-8"?>
<wsDr xmlns="http://schemas.openxmlformats.org/drawingml/2006/spreadsheetDrawing">
  <twoCellAnchor>
    <from>
      <col>0</col>
      <colOff>95250</colOff>
      <row>12</row>
      <rowOff>161925</rowOff>
    </from>
    <to>
      <col>4</col>
      <colOff>9525</colOff>
      <row>21</row>
      <rowOff>171450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4</col>
      <colOff>142875</colOff>
      <row>12</row>
      <rowOff>171450</rowOff>
    </from>
    <to>
      <col>8</col>
      <colOff>114300</colOff>
      <row>21</row>
      <rowOff>180975</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8</col>
      <colOff>342900</colOff>
      <row>13</row>
      <rowOff>0</rowOff>
    </from>
    <to>
      <col>12</col>
      <colOff>314325</colOff>
      <row>22</row>
      <rowOff>9525</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twoCellAnchor>
    <from>
      <col>13</col>
      <colOff>0</colOff>
      <row>13</row>
      <rowOff>0</rowOff>
    </from>
    <to>
      <col>16</col>
      <colOff>561975</colOff>
      <row>22</row>
      <rowOff>9525</rowOff>
    </to>
    <graphicFrame>
      <nvGraphicFramePr>
        <cNvPr id="4" name="Chart 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4"/>
        </a:graphicData>
      </a:graphic>
    </graphicFrame>
    <clientData/>
  </twoCellAnchor>
  <twoCellAnchor>
    <from>
      <col>17</col>
      <colOff>133350</colOff>
      <row>13</row>
      <rowOff>0</rowOff>
    </from>
    <to>
      <col>21</col>
      <colOff>85725</colOff>
      <row>22</row>
      <rowOff>9525</rowOff>
    </to>
    <graphicFrame>
      <nvGraphicFramePr>
        <cNvPr id="5" name="Chart 5"/>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5"/>
        </a:graphicData>
      </a:graphic>
    </graphicFrame>
    <clientData/>
  </twoCellAnchor>
  <twoCellAnchor>
    <from>
      <col>21</col>
      <colOff>228600</colOff>
      <row>12</row>
      <rowOff>171450</rowOff>
    </from>
    <to>
      <col>25</col>
      <colOff>123825</colOff>
      <row>21</row>
      <rowOff>180975</rowOff>
    </to>
    <graphicFrame>
      <nvGraphicFramePr>
        <cNvPr id="6" name="Chart 6"/>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6"/>
        </a:graphicData>
      </a:graphic>
    </graphicFrame>
    <clientData/>
  </twoCellAnchor>
  <twoCellAnchor>
    <from>
      <col>0</col>
      <colOff>95250</colOff>
      <row>22</row>
      <rowOff>152400</rowOff>
    </from>
    <to>
      <col>4</col>
      <colOff>9525</colOff>
      <row>31</row>
      <rowOff>161925</rowOff>
    </to>
    <graphicFrame>
      <nvGraphicFramePr>
        <cNvPr id="7" name="Chart 7"/>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7"/>
        </a:graphicData>
      </a:graphic>
    </graphicFrame>
    <clientData/>
  </twoCellAnchor>
  <twoCellAnchor>
    <from>
      <col>4</col>
      <colOff>142875</colOff>
      <row>22</row>
      <rowOff>171450</rowOff>
    </from>
    <to>
      <col>8</col>
      <colOff>114300</colOff>
      <row>31</row>
      <rowOff>180975</rowOff>
    </to>
    <graphicFrame>
      <nvGraphicFramePr>
        <cNvPr id="8" name="Chart 8"/>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8"/>
        </a:graphicData>
      </a:graphic>
    </graphicFrame>
    <clientData/>
  </twoCellAnchor>
  <twoCellAnchor>
    <from>
      <col>8</col>
      <colOff>323850</colOff>
      <row>23</row>
      <rowOff>0</rowOff>
    </from>
    <to>
      <col>12</col>
      <colOff>295275</colOff>
      <row>32</row>
      <rowOff>9525</rowOff>
    </to>
    <graphicFrame>
      <nvGraphicFramePr>
        <cNvPr id="9" name="Chart 9"/>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9"/>
        </a:graphicData>
      </a:graphic>
    </graphicFrame>
    <clientData/>
  </twoCellAnchor>
  <twoCellAnchor>
    <from>
      <col>13</col>
      <colOff>0</colOff>
      <row>23</row>
      <rowOff>0</rowOff>
    </from>
    <to>
      <col>16</col>
      <colOff>561975</colOff>
      <row>32</row>
      <rowOff>9525</rowOff>
    </to>
    <graphicFrame>
      <nvGraphicFramePr>
        <cNvPr id="10" name="Chart 10"/>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0"/>
        </a:graphicData>
      </a:graphic>
    </graphicFrame>
    <clientData/>
  </twoCellAnchor>
  <twoCellAnchor>
    <from>
      <col>17</col>
      <colOff>171450</colOff>
      <row>23</row>
      <rowOff>9525</rowOff>
    </from>
    <to>
      <col>21</col>
      <colOff>123825</colOff>
      <row>32</row>
      <rowOff>19050</rowOff>
    </to>
    <graphicFrame>
      <nvGraphicFramePr>
        <cNvPr id="11" name="Chart 1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1"/>
        </a:graphicData>
      </a:graphic>
    </graphicFrame>
    <clientData/>
  </twoCellAnchor>
  <twoCellAnchor>
    <from>
      <col>21</col>
      <colOff>247650</colOff>
      <row>23</row>
      <rowOff>0</rowOff>
    </from>
    <to>
      <col>25</col>
      <colOff>142875</colOff>
      <row>32</row>
      <rowOff>9525</rowOff>
    </to>
    <graphicFrame>
      <nvGraphicFramePr>
        <cNvPr id="12" name="Chart 1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2"/>
        </a:graphicData>
      </a:graphic>
    </graphicFrame>
    <clientData/>
  </twoCellAnchor>
  <twoCellAnchor>
    <from>
      <col>0</col>
      <colOff>104775</colOff>
      <row>33</row>
      <rowOff>0</rowOff>
    </from>
    <to>
      <col>4</col>
      <colOff>19050</colOff>
      <row>42</row>
      <rowOff>9525</rowOff>
    </to>
    <graphicFrame>
      <nvGraphicFramePr>
        <cNvPr id="13" name="Chart 1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3"/>
        </a:graphicData>
      </a:graphic>
    </graphicFrame>
    <clientData/>
  </twoCellAnchor>
  <twoCellAnchor>
    <from>
      <col>4</col>
      <colOff>123825</colOff>
      <row>33</row>
      <rowOff>0</rowOff>
    </from>
    <to>
      <col>8</col>
      <colOff>95250</colOff>
      <row>42</row>
      <rowOff>9525</rowOff>
    </to>
    <graphicFrame>
      <nvGraphicFramePr>
        <cNvPr id="14" name="Chart 1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4"/>
        </a:graphicData>
      </a:graphic>
    </graphicFrame>
    <clientData/>
  </twoCellAnchor>
  <twoCellAnchor>
    <from>
      <col>8</col>
      <colOff>333375</colOff>
      <row>33</row>
      <rowOff>9525</rowOff>
    </from>
    <to>
      <col>12</col>
      <colOff>304800</colOff>
      <row>42</row>
      <rowOff>19050</rowOff>
    </to>
    <graphicFrame>
      <nvGraphicFramePr>
        <cNvPr id="15" name="Chart 15"/>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5"/>
        </a:graphicData>
      </a:graphic>
    </graphicFrame>
    <clientData/>
  </twoCellAnchor>
  <twoCellAnchor>
    <from>
      <col>13</col>
      <colOff>0</colOff>
      <row>33</row>
      <rowOff>0</rowOff>
    </from>
    <to>
      <col>16</col>
      <colOff>561975</colOff>
      <row>42</row>
      <rowOff>9525</rowOff>
    </to>
    <graphicFrame>
      <nvGraphicFramePr>
        <cNvPr id="16" name="Chart 16"/>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6"/>
        </a:graphicData>
      </a:graphic>
    </graphicFrame>
    <clientData/>
  </twoCellAnchor>
  <twoCellAnchor>
    <from>
      <col>17</col>
      <colOff>161925</colOff>
      <row>33</row>
      <rowOff>9525</rowOff>
    </from>
    <to>
      <col>21</col>
      <colOff>114300</colOff>
      <row>42</row>
      <rowOff>19050</rowOff>
    </to>
    <graphicFrame>
      <nvGraphicFramePr>
        <cNvPr id="17" name="Chart 17"/>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7"/>
        </a:graphicData>
      </a:graphic>
    </graphicFrame>
    <clientData/>
  </twoCellAnchor>
  <twoCellAnchor>
    <from>
      <col>21</col>
      <colOff>285750</colOff>
      <row>33</row>
      <rowOff>47625</rowOff>
    </from>
    <to>
      <col>25</col>
      <colOff>559593</colOff>
      <row>42</row>
      <rowOff>107156</rowOff>
    </to>
    <graphicFrame>
      <nvGraphicFramePr>
        <cNvPr id="18" name="Chart 18"/>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8"/>
        </a:graphicData>
      </a:graphic>
    </graphicFrame>
    <clientData/>
  </twoCellAnchor>
</wsDr>
</file>

<file path=xl/drawings/drawing4.xml><?xml version="1.0" encoding="utf-8"?>
<wsDr xmlns="http://schemas.openxmlformats.org/drawingml/2006/spreadsheetDrawing">
  <twoCellAnchor>
    <from>
      <col>0</col>
      <colOff>19050</colOff>
      <row>12</row>
      <rowOff>76200</rowOff>
    </from>
    <to>
      <col>3</col>
      <colOff>577684</colOff>
      <row>20</row>
      <rowOff>167340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4</col>
      <colOff>66675</colOff>
      <row>12</row>
      <rowOff>85725</rowOff>
    </from>
    <to>
      <col>8</col>
      <colOff>44273</colOff>
      <row>20</row>
      <rowOff>176865</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8</col>
      <colOff>266700</colOff>
      <row>12</row>
      <rowOff>95250</rowOff>
    </from>
    <to>
      <col>12</col>
      <colOff>244298</colOff>
      <row>21</row>
      <rowOff>5415</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twoCellAnchor>
    <from>
      <col>12</col>
      <colOff>561975</colOff>
      <row>12</row>
      <rowOff>95250</rowOff>
    </from>
    <to>
      <col>16</col>
      <colOff>491831</colOff>
      <row>21</row>
      <rowOff>5415</rowOff>
    </to>
    <graphicFrame>
      <nvGraphicFramePr>
        <cNvPr id="4" name="Chart 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4"/>
        </a:graphicData>
      </a:graphic>
    </graphicFrame>
    <clientData/>
  </twoCellAnchor>
  <twoCellAnchor>
    <from>
      <col>17</col>
      <colOff>57150</colOff>
      <row>12</row>
      <rowOff>95250</rowOff>
    </from>
    <to>
      <col>21</col>
      <colOff>15709</colOff>
      <row>21</row>
      <rowOff>5415</rowOff>
    </to>
    <graphicFrame>
      <nvGraphicFramePr>
        <cNvPr id="5" name="Chart 5"/>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5"/>
        </a:graphicData>
      </a:graphic>
    </graphicFrame>
    <clientData/>
  </twoCellAnchor>
  <twoCellAnchor>
    <from>
      <col>21</col>
      <colOff>152400</colOff>
      <row>12</row>
      <rowOff>85725</rowOff>
    </from>
    <to>
      <col>25</col>
      <colOff>53844</colOff>
      <row>20</row>
      <rowOff>176865</rowOff>
    </to>
    <graphicFrame>
      <nvGraphicFramePr>
        <cNvPr id="6" name="Chart 6"/>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6"/>
        </a:graphicData>
      </a:graphic>
    </graphicFrame>
    <clientData/>
  </twoCellAnchor>
  <twoCellAnchor>
    <from>
      <col>0</col>
      <colOff>19050</colOff>
      <row>22</row>
      <rowOff>66675</rowOff>
    </from>
    <to>
      <col>3</col>
      <colOff>577684</colOff>
      <row>30</row>
      <rowOff>157815</rowOff>
    </to>
    <graphicFrame>
      <nvGraphicFramePr>
        <cNvPr id="7" name="Chart 7"/>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7"/>
        </a:graphicData>
      </a:graphic>
    </graphicFrame>
    <clientData/>
  </twoCellAnchor>
  <twoCellAnchor>
    <from>
      <col>4</col>
      <colOff>66675</colOff>
      <row>22</row>
      <rowOff>85725</rowOff>
    </from>
    <to>
      <col>8</col>
      <colOff>44273</colOff>
      <row>30</row>
      <rowOff>176865</rowOff>
    </to>
    <graphicFrame>
      <nvGraphicFramePr>
        <cNvPr id="8" name="Chart 8"/>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8"/>
        </a:graphicData>
      </a:graphic>
    </graphicFrame>
    <clientData/>
  </twoCellAnchor>
  <twoCellAnchor>
    <from>
      <col>8</col>
      <colOff>247650</colOff>
      <row>22</row>
      <rowOff>95250</rowOff>
    </from>
    <to>
      <col>12</col>
      <colOff>225248</colOff>
      <row>31</row>
      <rowOff>5415</rowOff>
    </to>
    <graphicFrame>
      <nvGraphicFramePr>
        <cNvPr id="9" name="Chart 9"/>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9"/>
        </a:graphicData>
      </a:graphic>
    </graphicFrame>
    <clientData/>
  </twoCellAnchor>
  <twoCellAnchor>
    <from>
      <col>12</col>
      <colOff>561975</colOff>
      <row>22</row>
      <rowOff>95250</rowOff>
    </from>
    <to>
      <col>16</col>
      <colOff>491831</colOff>
      <row>31</row>
      <rowOff>5415</rowOff>
    </to>
    <graphicFrame>
      <nvGraphicFramePr>
        <cNvPr id="10" name="Chart 10"/>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0"/>
        </a:graphicData>
      </a:graphic>
    </graphicFrame>
    <clientData/>
  </twoCellAnchor>
  <twoCellAnchor>
    <from>
      <col>17</col>
      <colOff>95250</colOff>
      <row>22</row>
      <rowOff>104775</rowOff>
    </from>
    <to>
      <col>21</col>
      <colOff>53809</colOff>
      <row>31</row>
      <rowOff>14940</rowOff>
    </to>
    <graphicFrame>
      <nvGraphicFramePr>
        <cNvPr id="11" name="Chart 1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1"/>
        </a:graphicData>
      </a:graphic>
    </graphicFrame>
    <clientData/>
  </twoCellAnchor>
  <twoCellAnchor>
    <from>
      <col>21</col>
      <colOff>171450</colOff>
      <row>22</row>
      <rowOff>95250</rowOff>
    </from>
    <to>
      <col>25</col>
      <colOff>72894</colOff>
      <row>31</row>
      <rowOff>5415</rowOff>
    </to>
    <graphicFrame>
      <nvGraphicFramePr>
        <cNvPr id="12" name="Chart 1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2"/>
        </a:graphicData>
      </a:graphic>
    </graphicFrame>
    <clientData/>
  </twoCellAnchor>
  <twoCellAnchor>
    <from>
      <col>0</col>
      <colOff>28575</colOff>
      <row>32</row>
      <rowOff>95250</rowOff>
    </from>
    <to>
      <col>3</col>
      <colOff>587209</colOff>
      <row>41</row>
      <rowOff>5415</rowOff>
    </to>
    <graphicFrame>
      <nvGraphicFramePr>
        <cNvPr id="13" name="Chart 1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3"/>
        </a:graphicData>
      </a:graphic>
    </graphicFrame>
    <clientData/>
  </twoCellAnchor>
  <twoCellAnchor>
    <from>
      <col>4</col>
      <colOff>47625</colOff>
      <row>32</row>
      <rowOff>95250</rowOff>
    </from>
    <to>
      <col>8</col>
      <colOff>25223</colOff>
      <row>41</row>
      <rowOff>5415</rowOff>
    </to>
    <graphicFrame>
      <nvGraphicFramePr>
        <cNvPr id="14" name="Chart 1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4"/>
        </a:graphicData>
      </a:graphic>
    </graphicFrame>
    <clientData/>
  </twoCellAnchor>
  <twoCellAnchor>
    <from>
      <col>8</col>
      <colOff>257175</colOff>
      <row>32</row>
      <rowOff>104775</rowOff>
    </from>
    <to>
      <col>12</col>
      <colOff>234773</colOff>
      <row>41</row>
      <rowOff>14940</rowOff>
    </to>
    <graphicFrame>
      <nvGraphicFramePr>
        <cNvPr id="15" name="Chart 15"/>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5"/>
        </a:graphicData>
      </a:graphic>
    </graphicFrame>
    <clientData/>
  </twoCellAnchor>
  <twoCellAnchor>
    <from>
      <col>12</col>
      <colOff>561975</colOff>
      <row>32</row>
      <rowOff>95250</rowOff>
    </from>
    <to>
      <col>16</col>
      <colOff>491831</colOff>
      <row>41</row>
      <rowOff>5415</rowOff>
    </to>
    <graphicFrame>
      <nvGraphicFramePr>
        <cNvPr id="16" name="Chart 16"/>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6"/>
        </a:graphicData>
      </a:graphic>
    </graphicFrame>
    <clientData/>
  </twoCellAnchor>
  <twoCellAnchor>
    <from>
      <col>17</col>
      <colOff>85725</colOff>
      <row>32</row>
      <rowOff>104775</rowOff>
    </from>
    <to>
      <col>21</col>
      <colOff>44284</colOff>
      <row>41</row>
      <rowOff>14940</rowOff>
    </to>
    <graphicFrame>
      <nvGraphicFramePr>
        <cNvPr id="17" name="Chart 17"/>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7"/>
        </a:graphicData>
      </a:graphic>
    </graphicFrame>
    <clientData/>
  </twoCellAnchor>
  <twoCellAnchor>
    <from>
      <col>21</col>
      <colOff>209550</colOff>
      <row>32</row>
      <rowOff>142875</rowOff>
    </from>
    <to>
      <col>25</col>
      <colOff>490538</colOff>
      <row>41</row>
      <rowOff>100013</rowOff>
    </to>
    <graphicFrame>
      <nvGraphicFramePr>
        <cNvPr id="18" name="Chart 18"/>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8"/>
        </a:graphicData>
      </a:graphic>
    </graphicFrame>
    <clientData/>
  </twoCellAnchor>
</wsDr>
</file>

<file path=xl/drawings/drawing5.xml><?xml version="1.0" encoding="utf-8"?>
<wsDr xmlns="http://schemas.openxmlformats.org/drawingml/2006/spreadsheetDrawing">
  <twoCellAnchor>
    <from>
      <col>0</col>
      <colOff>81643</colOff>
      <row>1</row>
      <rowOff>40821</rowOff>
    </from>
    <to>
      <col>5</col>
      <colOff>533400</colOff>
      <row>15</row>
      <rowOff>28575</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5</col>
      <colOff>542925</colOff>
      <row>1</row>
      <rowOff>38100</rowOff>
    </from>
    <to>
      <col>11</col>
      <colOff>385082</colOff>
      <row>15</row>
      <rowOff>25854</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12</col>
      <colOff>66675</colOff>
      <row>1</row>
      <rowOff>50346</rowOff>
    </from>
    <to>
      <col>17</col>
      <colOff>518432</colOff>
      <row>15</row>
      <rowOff>38100</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twoCellAnchor>
    <from>
      <col>17</col>
      <colOff>527957</colOff>
      <row>1</row>
      <rowOff>47625</rowOff>
    </from>
    <to>
      <col>23</col>
      <colOff>370114</colOff>
      <row>15</row>
      <rowOff>35379</rowOff>
    </to>
    <graphicFrame>
      <nvGraphicFramePr>
        <cNvPr id="4" name="Chart 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4"/>
        </a:graphicData>
      </a:graphic>
    </graphicFrame>
    <clientData/>
  </twoCellAnchor>
  <twoCellAnchor>
    <from>
      <col>0</col>
      <colOff>76200</colOff>
      <row>16</row>
      <rowOff>2721</rowOff>
    </from>
    <to>
      <col>5</col>
      <colOff>527957</colOff>
      <row>29</row>
      <rowOff>180975</rowOff>
    </to>
    <graphicFrame>
      <nvGraphicFramePr>
        <cNvPr id="5" name="Chart 5"/>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5"/>
        </a:graphicData>
      </a:graphic>
    </graphicFrame>
    <clientData/>
  </twoCellAnchor>
  <twoCellAnchor>
    <from>
      <col>5</col>
      <colOff>537482</colOff>
      <row>16</row>
      <rowOff>0</rowOff>
    </from>
    <to>
      <col>11</col>
      <colOff>379639</colOff>
      <row>29</row>
      <rowOff>178254</rowOff>
    </to>
    <graphicFrame>
      <nvGraphicFramePr>
        <cNvPr id="6" name="Chart 6"/>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6"/>
        </a:graphicData>
      </a:graphic>
    </graphicFrame>
    <clientData/>
  </twoCellAnchor>
  <twoCellAnchor>
    <from>
      <col>12</col>
      <colOff>61232</colOff>
      <row>16</row>
      <rowOff>12246</rowOff>
    </from>
    <to>
      <col>17</col>
      <colOff>512989</colOff>
      <row>30</row>
      <rowOff>0</rowOff>
    </to>
    <graphicFrame>
      <nvGraphicFramePr>
        <cNvPr id="7" name="Chart 7"/>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7"/>
        </a:graphicData>
      </a:graphic>
    </graphicFrame>
    <clientData/>
  </twoCellAnchor>
  <twoCellAnchor>
    <from>
      <col>17</col>
      <colOff>522514</colOff>
      <row>16</row>
      <rowOff>9525</rowOff>
    </from>
    <to>
      <col>23</col>
      <colOff>364671</colOff>
      <row>29</row>
      <rowOff>187779</rowOff>
    </to>
    <graphicFrame>
      <nvGraphicFramePr>
        <cNvPr id="8" name="Chart 8"/>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8"/>
        </a:graphicData>
      </a:graphic>
    </graphicFrame>
    <clientData/>
  </twoCellAnchor>
  <twoCellAnchor>
    <from>
      <col>0</col>
      <colOff>76200</colOff>
      <row>30</row>
      <rowOff>145596</rowOff>
    </from>
    <to>
      <col>5</col>
      <colOff>527957</colOff>
      <row>44</row>
      <rowOff>133350</rowOff>
    </to>
    <graphicFrame>
      <nvGraphicFramePr>
        <cNvPr id="9" name="Chart 9"/>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9"/>
        </a:graphicData>
      </a:graphic>
    </graphicFrame>
    <clientData/>
  </twoCellAnchor>
  <twoCellAnchor>
    <from>
      <col>5</col>
      <colOff>537482</colOff>
      <row>30</row>
      <rowOff>142875</rowOff>
    </from>
    <to>
      <col>11</col>
      <colOff>379639</colOff>
      <row>44</row>
      <rowOff>130629</rowOff>
    </to>
    <graphicFrame>
      <nvGraphicFramePr>
        <cNvPr id="10" name="Chart 10"/>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0"/>
        </a:graphicData>
      </a:graphic>
    </graphicFrame>
    <clientData/>
  </twoCellAnchor>
  <twoCellAnchor>
    <from>
      <col>12</col>
      <colOff>61232</colOff>
      <row>30</row>
      <rowOff>155121</rowOff>
    </from>
    <to>
      <col>17</col>
      <colOff>512989</colOff>
      <row>44</row>
      <rowOff>142875</rowOff>
    </to>
    <graphicFrame>
      <nvGraphicFramePr>
        <cNvPr id="11" name="Chart 1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1"/>
        </a:graphicData>
      </a:graphic>
    </graphicFrame>
    <clientData/>
  </twoCellAnchor>
  <twoCellAnchor>
    <from>
      <col>17</col>
      <colOff>522514</colOff>
      <row>30</row>
      <rowOff>152400</rowOff>
    </from>
    <to>
      <col>23</col>
      <colOff>364671</colOff>
      <row>44</row>
      <rowOff>140154</rowOff>
    </to>
    <graphicFrame>
      <nvGraphicFramePr>
        <cNvPr id="12" name="Chart 1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2"/>
        </a:graphicData>
      </a:graphic>
    </graphicFrame>
    <clientData/>
  </twoCellAnchor>
  <twoCellAnchor>
    <from>
      <col>0</col>
      <colOff>66675</colOff>
      <row>45</row>
      <rowOff>88446</rowOff>
    </from>
    <to>
      <col>5</col>
      <colOff>518432</colOff>
      <row>59</row>
      <rowOff>76200</rowOff>
    </to>
    <graphicFrame>
      <nvGraphicFramePr>
        <cNvPr id="13" name="Chart 1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3"/>
        </a:graphicData>
      </a:graphic>
    </graphicFrame>
    <clientData/>
  </twoCellAnchor>
  <twoCellAnchor>
    <from>
      <col>5</col>
      <colOff>527957</colOff>
      <row>45</row>
      <rowOff>85725</rowOff>
    </from>
    <to>
      <col>11</col>
      <colOff>370114</colOff>
      <row>59</row>
      <rowOff>73479</rowOff>
    </to>
    <graphicFrame>
      <nvGraphicFramePr>
        <cNvPr id="14" name="Chart 1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4"/>
        </a:graphicData>
      </a:graphic>
    </graphicFrame>
    <clientData/>
  </twoCellAnchor>
  <twoCellAnchor>
    <from>
      <col>12</col>
      <colOff>51707</colOff>
      <row>45</row>
      <rowOff>97971</rowOff>
    </from>
    <to>
      <col>17</col>
      <colOff>503464</colOff>
      <row>59</row>
      <rowOff>85725</rowOff>
    </to>
    <graphicFrame>
      <nvGraphicFramePr>
        <cNvPr id="15" name="Chart 15"/>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5"/>
        </a:graphicData>
      </a:graphic>
    </graphicFrame>
    <clientData/>
  </twoCellAnchor>
  <twoCellAnchor>
    <from>
      <col>17</col>
      <colOff>512989</colOff>
      <row>45</row>
      <rowOff>95250</rowOff>
    </from>
    <to>
      <col>23</col>
      <colOff>355146</colOff>
      <row>59</row>
      <rowOff>83004</rowOff>
    </to>
    <graphicFrame>
      <nvGraphicFramePr>
        <cNvPr id="16" name="Chart 16"/>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6"/>
        </a:graphicData>
      </a:graphic>
    </graphicFrame>
    <clientData/>
  </twoCellAnchor>
  <twoCellAnchor>
    <from>
      <col>0</col>
      <colOff>57150</colOff>
      <row>60</row>
      <rowOff>69396</rowOff>
    </from>
    <to>
      <col>5</col>
      <colOff>508907</colOff>
      <row>74</row>
      <rowOff>57150</rowOff>
    </to>
    <graphicFrame>
      <nvGraphicFramePr>
        <cNvPr id="17" name="Chart 17"/>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7"/>
        </a:graphicData>
      </a:graphic>
    </graphicFrame>
    <clientData/>
  </twoCellAnchor>
  <twoCellAnchor>
    <from>
      <col>5</col>
      <colOff>518432</colOff>
      <row>60</row>
      <rowOff>66675</rowOff>
    </from>
    <to>
      <col>11</col>
      <colOff>360589</colOff>
      <row>74</row>
      <rowOff>54429</rowOff>
    </to>
    <graphicFrame>
      <nvGraphicFramePr>
        <cNvPr id="18" name="Chart 18"/>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8"/>
        </a:graphicData>
      </a:graphic>
    </graphicFrame>
    <clientData/>
  </twoCellAnchor>
  <twoCellAnchor>
    <from>
      <col>12</col>
      <colOff>42182</colOff>
      <row>60</row>
      <rowOff>78921</rowOff>
    </from>
    <to>
      <col>17</col>
      <colOff>493939</colOff>
      <row>74</row>
      <rowOff>66675</rowOff>
    </to>
    <graphicFrame>
      <nvGraphicFramePr>
        <cNvPr id="19" name="Chart 19"/>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9"/>
        </a:graphicData>
      </a:graphic>
    </graphicFrame>
    <clientData/>
  </twoCellAnchor>
  <twoCellAnchor>
    <from>
      <col>17</col>
      <colOff>503464</colOff>
      <row>60</row>
      <rowOff>76200</rowOff>
    </from>
    <to>
      <col>23</col>
      <colOff>345621</colOff>
      <row>74</row>
      <rowOff>63954</rowOff>
    </to>
    <graphicFrame>
      <nvGraphicFramePr>
        <cNvPr id="20" name="Chart 20"/>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0"/>
        </a:graphicData>
      </a:graphic>
    </graphicFrame>
    <clientData/>
  </twoCellAnchor>
</wsDr>
</file>

<file path=xl/drawings/drawing6.xml><?xml version="1.0" encoding="utf-8"?>
<wsDr xmlns="http://schemas.openxmlformats.org/drawingml/2006/spreadsheetDrawing">
  <twoCellAnchor>
    <from>
      <col>5</col>
      <colOff>597460</colOff>
      <row>274</row>
      <rowOff>119530</rowOff>
    </from>
    <to>
      <col>15</col>
      <colOff>104588</colOff>
      <row>294</row>
      <rowOff>140635</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5</col>
      <colOff>600634</colOff>
      <row>295</row>
      <rowOff>24467</rowOff>
    </from>
    <to>
      <col>15</col>
      <colOff>104588</colOff>
      <row>314</row>
      <rowOff>164353</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drawings/drawing7.xml><?xml version="1.0" encoding="utf-8"?>
<wsDr xmlns="http://schemas.openxmlformats.org/drawingml/2006/spreadsheetDrawing">
  <twoCellAnchor>
    <from>
      <col>3</col>
      <colOff>154238</colOff>
      <row>278</row>
      <rowOff>13370</rowOff>
    </from>
    <to>
      <col>10</col>
      <colOff>327526</colOff>
      <row>299</row>
      <rowOff>20721</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tables/table1.xml><?xml version="1.0" encoding="utf-8"?>
<table xmlns="http://schemas.openxmlformats.org/spreadsheetml/2006/main" id="1" name="Table91213" displayName="Table91213" ref="A5:L305" headerRowCount="1" totalsRowShown="0" headerRowDxfId="134" dataDxfId="132" headerRowBorderDxfId="133">
  <autoFilter ref="A5:L305"/>
  <tableColumns count="12">
    <tableColumn id="1" name="Date" dataDxfId="131"/>
    <tableColumn id="5" name="New Orders" dataDxfId="130">
      <calculatedColumnFormula>IF(VLOOKUP(Table91213[[#This Row],[Date]],'DB Details'!$A:$Q,2)=0,"",VLOOKUP(Table91213[[#This Row],[Date]],'DB Details'!$A:$Q,2))</calculatedColumnFormula>
    </tableColumn>
    <tableColumn id="3" name="Imports" dataDxfId="129">
      <calculatedColumnFormula>IF(VLOOKUP(Table91213[[#This Row],[Date]],'DB Details'!$A:$Q,3)=0,"",VLOOKUP(Table91213[[#This Row],[Date]],'DB Details'!$A:$Q,3))</calculatedColumnFormula>
    </tableColumn>
    <tableColumn id="2" name="Backlog Of Orders" dataDxfId="128">
      <calculatedColumnFormula>IF(VLOOKUP(Table91213[[#This Row],[Date]],'DB Details'!$A:$Q,4)=0,"",VLOOKUP(Table91213[[#This Row],[Date]],'DB Details'!$A:$Q,4))</calculatedColumnFormula>
    </tableColumn>
    <tableColumn id="4" name="Prices" dataDxfId="127">
      <calculatedColumnFormula>IF(VLOOKUP(Table91213[[#This Row],[Date]],'DB Details'!$A:$Q,5)=0,"",VLOOKUP(Table91213[[#This Row],[Date]],'DB Details'!$A:$Q,5))</calculatedColumnFormula>
    </tableColumn>
    <tableColumn id="6" name="Business Activity" dataDxfId="126">
      <calculatedColumnFormula>IF(VLOOKUP(Table91213[[#This Row],[Date]],'DB Details'!$A:$Q,6)=0,"",VLOOKUP(Table91213[[#This Row],[Date]],'DB Details'!$A:$Q,6))</calculatedColumnFormula>
    </tableColumn>
    <tableColumn id="7" name="Inventory Sentiment" dataDxfId="125">
      <calculatedColumnFormula>IF(VLOOKUP(Table91213[[#This Row],[Date]],'DB Details'!$A:$Q,7)=0,"",VLOOKUP(Table91213[[#This Row],[Date]],'DB Details'!$A:$Q,7))</calculatedColumnFormula>
    </tableColumn>
    <tableColumn id="8" name="Inventories" dataDxfId="124">
      <calculatedColumnFormula>IF(VLOOKUP(Table91213[[#This Row],[Date]],'DB Details'!$A:$Q,8)=0,"",VLOOKUP(Table91213[[#This Row],[Date]],'DB Details'!$A:$Q,8))</calculatedColumnFormula>
    </tableColumn>
    <tableColumn id="9" name="Deliveries" dataDxfId="123">
      <calculatedColumnFormula>IF(VLOOKUP(Table91213[[#This Row],[Date]],'DB Details'!$A:$Q,9)=0,"",VLOOKUP(Table91213[[#This Row],[Date]],'DB Details'!$A:$Q,9))</calculatedColumnFormula>
    </tableColumn>
    <tableColumn id="10" name="Employment" dataDxfId="122">
      <calculatedColumnFormula>IF(VLOOKUP(Table91213[[#This Row],[Date]],'DB Details'!$A:$Q,10)=0,"",VLOOKUP(Table91213[[#This Row],[Date]],'DB Details'!$A:$Q,10))</calculatedColumnFormula>
    </tableColumn>
    <tableColumn id="11" name="Exports" dataDxfId="121">
      <calculatedColumnFormula>IF(VLOOKUP(Table91213[[#This Row],[Date]],'DB Details'!$A:$Q,11)=0,"",VLOOKUP(Table91213[[#This Row],[Date]],'DB Details'!$A:$Q,11))</calculatedColumnFormula>
    </tableColumn>
    <tableColumn id="13" name="ISM Services" dataDxfId="120">
      <calculatedColumnFormula>IF(VLOOKUP(Table91213[[#This Row],[Date]],'DB Details'!$A:$Q,12)=0,"",VLOOKUP(Table91213[[#This Row],[Date]],'DB Details'!$A:$Q,12))</calculatedColumnFormula>
    </tableColumn>
  </tableColumns>
  <tableStyleInfo name="TableStyleMedium2" showFirstColumn="0" showLastColumn="0" showRowStripes="1" showColumnStripes="0"/>
</table>
</file>

<file path=xl/tables/table2.xml><?xml version="1.0" encoding="utf-8"?>
<table xmlns="http://schemas.openxmlformats.org/spreadsheetml/2006/main" id="2" name="Table311" displayName="Table311" ref="A5:E305" headerRowCount="1" totalsRowShown="0" headerRowDxfId="119" dataDxfId="117" headerRowBorderDxfId="118" tableBorderDxfId="116" totalsRowBorderDxfId="115">
  <autoFilter ref="A5:E305"/>
  <tableColumns count="5">
    <tableColumn id="1" name="Date" dataDxfId="114"/>
    <tableColumn id="2" name="ISM Services" dataDxfId="113">
      <calculatedColumnFormula>IF(VLOOKUP(Table311[[#This Row],[Date]],'DB Details'!$A:$Q,12)=0,"",VLOOKUP(Table311[[#This Row],[Date]],'DB Details'!$A:$Q,12))</calculatedColumnFormula>
    </tableColumn>
    <tableColumn id="6" name="GDP growth yoy %" dataDxfId="112">
      <calculatedColumnFormula>IF(VLOOKUP(Table311[[#This Row],[Date]],'DB Details'!$A:$Q,16)=0,"",VLOOKUP(Table311[[#This Row],[Date]],'DB Details'!$A:$Q,16))</calculatedColumnFormula>
    </tableColumn>
    <tableColumn id="5" name="GDP growth qoq %" dataDxfId="111">
      <calculatedColumnFormula>IF(VLOOKUP(Table311[[#This Row],[Date]],'DB Details'!$A:$Q,15)=0,"",VLOOKUP(Table311[[#This Row],[Date]],'DB Details'!$A:$Q,15))</calculatedColumnFormula>
    </tableColumn>
    <tableColumn id="4" name="GDP growth q/q % (annualised)" dataDxfId="110">
      <calculatedColumnFormula>IF(VLOOKUP(Table311[[#This Row],[Date]],'DB Details'!$A:$Q,17)=0,"",VLOOKUP(Table311[[#This Row],[Date]],'DB Details'!$A:$Q,17))</calculatedColumnFormula>
    </tableColumn>
  </tableColumns>
  <tableStyleInfo name="TableStyleMedium9" showFirstColumn="0" showLastColumn="0" showRowStripes="1" showColumnStripes="0"/>
</table>
</file>

<file path=xl/tables/table3.xml><?xml version="1.0" encoding="utf-8"?>
<table xmlns="http://schemas.openxmlformats.org/spreadsheetml/2006/main" id="3" name="Table9" displayName="Table9" ref="A5:C305" headerRowCount="1" totalsRowShown="0" headerRowDxfId="5" dataDxfId="4" headerRowBorderDxfId="3">
  <autoFilter ref="A5:C305"/>
  <tableColumns count="3">
    <tableColumn id="1" name="Date" dataDxfId="2"/>
    <tableColumn id="3" name="ISM Services" dataDxfId="1">
      <calculatedColumnFormula>IF(VLOOKUP(Table9[[#This Row],[Date]],'DB Details'!$A:$Q,12)=0,"",VLOOKUP(Table9[[#This Row],[Date]],'DB Details'!$A:$Q,12))</calculatedColumnFormula>
    </tableColumn>
    <tableColumn id="2" name="Change"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Relationships xmlns="http://schemas.openxmlformats.org/package/2006/relationships"><Relationship Type="http://schemas.openxmlformats.org/officeDocument/2006/relationships/hyperlink" Target="https://www.ismworld.org/" TargetMode="External" Id="rId1"/><Relationship Type="http://schemas.openxmlformats.org/officeDocument/2006/relationships/hyperlink" Target="https://www.prnewswire.com/news/institute-for-supply-management/" TargetMode="External" Id="rId2"/><Relationship Type="http://schemas.openxmlformats.org/officeDocument/2006/relationships/drawing" Target="/xl/drawings/drawing1.xml" Id="rId3"/></Relationships>
</file>

<file path=xl/worksheets/_rels/sheet6.xml.rels><Relationships xmlns="http://schemas.openxmlformats.org/package/2006/relationships"><Relationship Type="http://schemas.openxmlformats.org/officeDocument/2006/relationships/drawing" Target="/xl/drawings/drawing2.xml" Id="rId1"/></Relationships>
</file>

<file path=xl/worksheets/_rels/sheet7.xml.rels><Relationships xmlns="http://schemas.openxmlformats.org/package/2006/relationships"><Relationship Type="http://schemas.openxmlformats.org/officeDocument/2006/relationships/drawing" Target="/xl/drawings/drawing3.xml" Id="rId1"/></Relationships>
</file>

<file path=xl/worksheets/_rels/sheet8.xml.rels><Relationships xmlns="http://schemas.openxmlformats.org/package/2006/relationships"><Relationship Type="http://schemas.openxmlformats.org/officeDocument/2006/relationships/drawing" Target="/xl/drawings/drawing4.xml" Id="rId1"/></Relationships>
</file>

<file path=xl/worksheets/_rels/sheet10.xml.rels><Relationships xmlns="http://schemas.openxmlformats.org/package/2006/relationships"><Relationship Type="http://schemas.openxmlformats.org/officeDocument/2006/relationships/table" Target="/xl/tables/table1.xml" Id="rId1"/></Relationships>
</file>

<file path=xl/worksheets/_rels/sheet11.xml.rels><Relationships xmlns="http://schemas.openxmlformats.org/package/2006/relationships"><Relationship Type="http://schemas.openxmlformats.org/officeDocument/2006/relationships/drawing" Target="/xl/drawings/drawing5.xml" Id="rId1"/></Relationships>
</file>

<file path=xl/worksheets/_rels/sheet12.xml.rels><Relationships xmlns="http://schemas.openxmlformats.org/package/2006/relationships"><Relationship Type="http://schemas.openxmlformats.org/officeDocument/2006/relationships/drawing" Target="/xl/drawings/drawing6.xml" Id="rId1"/><Relationship Type="http://schemas.openxmlformats.org/officeDocument/2006/relationships/table" Target="/xl/tables/table2.xml" Id="rId2"/></Relationships>
</file>

<file path=xl/worksheets/_rels/sheet13.xml.rels><Relationships xmlns="http://schemas.openxmlformats.org/package/2006/relationships"><Relationship Type="http://schemas.openxmlformats.org/officeDocument/2006/relationships/drawing" Target="/xl/drawings/drawing7.xml" Id="rId1"/><Relationship Type="http://schemas.openxmlformats.org/officeDocument/2006/relationships/table" Target="/xl/tables/table3.xml" Id="rId2"/></Relationships>
</file>

<file path=xl/worksheets/sheet1.xml><?xml version="1.0" encoding="utf-8"?>
<worksheet xmlns="http://schemas.openxmlformats.org/spreadsheetml/2006/main">
  <sheetPr>
    <tabColor rgb="FFFFFF00"/>
    <outlinePr summaryBelow="1" summaryRight="1"/>
    <pageSetUpPr/>
  </sheetPr>
  <dimension ref="B1:U28"/>
  <sheetViews>
    <sheetView tabSelected="1" zoomScale="150" zoomScaleNormal="150" workbookViewId="0">
      <selection activeCell="Y7" sqref="Y7"/>
    </sheetView>
  </sheetViews>
  <sheetFormatPr baseColWidth="10" defaultColWidth="9.1640625" defaultRowHeight="15"/>
  <cols>
    <col width="15.6640625" customWidth="1" style="70" min="1" max="1"/>
    <col width="12.83203125" customWidth="1" style="70" min="2" max="5"/>
    <col width="13.6640625" customWidth="1" style="70" min="6" max="6"/>
    <col width="12.83203125" customWidth="1" style="70" min="7" max="10"/>
    <col width="2" customWidth="1" style="70" min="11" max="13"/>
    <col width="9.1640625" customWidth="1" style="70" min="14" max="14"/>
    <col width="15.5" customWidth="1" style="70" min="15" max="15"/>
    <col width="12.6640625" customWidth="1" style="70" min="16" max="18"/>
    <col width="5.5" customWidth="1" style="70" min="19" max="19"/>
    <col width="16.6640625" customWidth="1" style="70" min="20" max="20"/>
    <col width="9.1640625" customWidth="1" style="70" min="21" max="35"/>
    <col width="9.1640625" customWidth="1" style="70" min="36" max="16384"/>
  </cols>
  <sheetData>
    <row r="1" ht="16" customHeight="1" s="65" thickBot="1">
      <c r="B1" s="78" t="n"/>
      <c r="C1" s="79" t="n"/>
      <c r="D1" s="79" t="n"/>
      <c r="E1" s="79" t="n"/>
      <c r="F1" s="79" t="n"/>
      <c r="G1" s="79" t="n"/>
      <c r="H1" s="79" t="n"/>
      <c r="I1" s="79" t="n"/>
      <c r="J1" s="79" t="n"/>
    </row>
    <row r="3" ht="227.25" customHeight="1" s="65">
      <c r="B3" s="80" t="inlineStr">
        <is>
          <t>The Institute of Supply and Management Non-Manufacturing or Services provides a detailed picture of the U.S. economy from a services standpoint.
The ISM Services is a monthly survey sent to more than 375 purchasing executives working in the non-manufacturing industries across the country.
It is released on the third business day of every month and started in June 1998.
The Purchasing Manager Index is a composite index based on the diffusion indexes for the following four indicators at equal weights:
Business Activity (seasonally adjusted)	25%
New Orders (seasonally adjusted)		25%
Employment (seasonally adjusted)		25%
Supplier Deliveries (seasonally adjusted)	25%</t>
        </is>
      </c>
    </row>
    <row r="4" ht="24" customHeight="1" s="65">
      <c r="B4" s="9" t="inlineStr">
        <is>
          <t>https://www.ismworld.org/</t>
        </is>
      </c>
      <c r="C4" s="83" t="n"/>
      <c r="D4" s="83" t="n"/>
      <c r="E4" s="83" t="n"/>
      <c r="F4" s="83" t="n"/>
      <c r="G4" s="83" t="n"/>
      <c r="H4" s="83" t="n"/>
      <c r="I4" s="83" t="n"/>
      <c r="J4" s="83" t="n"/>
    </row>
    <row r="5" ht="24" customHeight="1" s="65">
      <c r="B5" s="9" t="inlineStr">
        <is>
          <t>https://www.prnewswire.com/news/institute-for-supply-management/</t>
        </is>
      </c>
      <c r="C5" s="83" t="n"/>
      <c r="D5" s="83" t="n"/>
      <c r="E5" s="83" t="n"/>
      <c r="F5" s="83" t="n"/>
      <c r="G5" s="83" t="n"/>
      <c r="H5" s="83" t="n"/>
      <c r="I5" s="83" t="n"/>
      <c r="J5" s="83" t="n"/>
    </row>
    <row r="6" ht="16" customHeight="1" s="65" thickBot="1">
      <c r="B6" s="12" t="n"/>
      <c r="C6" s="13" t="n"/>
      <c r="D6" s="13" t="n"/>
      <c r="E6" s="13" t="n"/>
    </row>
    <row r="7" ht="16" customHeight="1" s="65" thickBot="1">
      <c r="B7" s="81" t="inlineStr">
        <is>
          <t>Process / TO DO LIST</t>
        </is>
      </c>
      <c r="C7" s="82" t="n"/>
      <c r="D7" s="82" t="n"/>
      <c r="E7" s="82" t="n"/>
      <c r="F7" s="82" t="n"/>
      <c r="G7" s="82" t="n"/>
      <c r="H7" s="82" t="n"/>
      <c r="I7" s="82" t="n"/>
      <c r="J7" s="72" t="n"/>
      <c r="N7" s="75" t="inlineStr">
        <is>
          <t>Summary</t>
        </is>
      </c>
      <c r="O7" s="76" t="n"/>
      <c r="P7" s="76" t="n"/>
      <c r="Q7" s="76" t="n"/>
      <c r="R7" s="76" t="n"/>
      <c r="S7" s="76" t="n"/>
      <c r="T7" s="76" t="n"/>
      <c r="U7" s="77" t="n"/>
    </row>
    <row r="8">
      <c r="N8" s="14" t="inlineStr">
        <is>
          <t>* input new month</t>
        </is>
      </c>
      <c r="T8" s="14" t="inlineStr">
        <is>
          <t>Modify new month</t>
        </is>
      </c>
    </row>
    <row r="9" ht="16" customHeight="1" s="65" thickBot="1">
      <c r="B9" s="81" t="inlineStr">
        <is>
          <t>TO DO LIST</t>
        </is>
      </c>
      <c r="C9" s="82" t="n"/>
      <c r="D9" s="82" t="n"/>
      <c r="E9" s="82" t="n"/>
      <c r="F9" s="72" t="n"/>
      <c r="G9" s="81" t="inlineStr">
        <is>
          <t>Comments</t>
        </is>
      </c>
      <c r="H9" s="82" t="n"/>
      <c r="I9" s="82" t="n"/>
      <c r="J9" s="72" t="n"/>
    </row>
    <row r="10">
      <c r="P10" s="15" t="n">
        <v>44713</v>
      </c>
      <c r="Q10" s="16">
        <f>DATE(YEAR(P10),MONTH(P10)-1,DAY(P10))</f>
        <v/>
      </c>
      <c r="R10" s="17" t="n"/>
      <c r="T10" s="18" t="inlineStr">
        <is>
          <t>Sector</t>
        </is>
      </c>
      <c r="U10" s="18" t="inlineStr">
        <is>
          <t>Ranking</t>
        </is>
      </c>
    </row>
    <row r="11" ht="16" customHeight="1" s="65" thickBot="1">
      <c r="B11" s="70" t="inlineStr">
        <is>
          <t>Update data in Sectors Trends</t>
        </is>
      </c>
      <c r="G11" s="70" t="inlineStr">
        <is>
          <t>Add new column for new month</t>
        </is>
      </c>
      <c r="P11" s="19" t="inlineStr">
        <is>
          <t>ISM</t>
        </is>
      </c>
      <c r="Q11" s="19" t="inlineStr">
        <is>
          <t>ISM</t>
        </is>
      </c>
      <c r="R11" s="20" t="inlineStr">
        <is>
          <t>Change %</t>
        </is>
      </c>
      <c r="T11" s="21" t="inlineStr">
        <is>
          <t>Accommodation &amp; Food Services</t>
        </is>
      </c>
      <c r="U11" s="22" t="n">
        <v>18</v>
      </c>
    </row>
    <row r="12" ht="30.75" customHeight="1" s="65">
      <c r="G12" s="83" t="inlineStr">
        <is>
          <t>Modify month and change number in Sectors - Look at trends for ISM index, new order, business activity</t>
        </is>
      </c>
      <c r="N12" s="84" t="inlineStr">
        <is>
          <t>ISM Services</t>
        </is>
      </c>
      <c r="O12" s="85" t="n"/>
      <c r="P12" s="23">
        <f>VLOOKUP($P$10,Details!$A:$L,MATCH(Note!N12,Table91213[#Headers],),)</f>
        <v/>
      </c>
      <c r="Q12" s="23">
        <f>VLOOKUP($Q$10,Details!$A:$L,MATCH(Note!N12,Table91213[#Headers],),)</f>
        <v/>
      </c>
      <c r="R12" s="24">
        <f>P12-Q12</f>
        <v/>
      </c>
      <c r="T12" s="21" t="inlineStr">
        <is>
          <t>Mining</t>
        </is>
      </c>
      <c r="U12" s="22" t="n">
        <v>17</v>
      </c>
    </row>
    <row r="13" ht="15" customHeight="1" s="65">
      <c r="B13" s="83" t="inlineStr">
        <is>
          <t>Update month + Number Sectors</t>
        </is>
      </c>
      <c r="G13" s="70" t="n"/>
      <c r="N13" s="71" t="inlineStr">
        <is>
          <t>New Orders</t>
        </is>
      </c>
      <c r="O13" s="72" t="n"/>
      <c r="P13" s="91">
        <f>VLOOKUP($P$10,Details!$A:$L,MATCH(Note!N13,Table91213[#Headers],),)</f>
        <v/>
      </c>
      <c r="Q13" s="91">
        <f>VLOOKUP($Q$10,Details!$A:$L,MATCH(Note!N13,Table91213[#Headers],),)</f>
        <v/>
      </c>
      <c r="R13" s="25">
        <f>P13-Q13</f>
        <v/>
      </c>
      <c r="T13" s="21" t="inlineStr">
        <is>
          <t>Management of Companies &amp; Support Services</t>
        </is>
      </c>
      <c r="U13" s="22" t="n">
        <v>16</v>
      </c>
    </row>
    <row r="14">
      <c r="B14" s="70" t="inlineStr">
        <is>
          <t>Update Industry Comments</t>
        </is>
      </c>
      <c r="N14" s="71" t="inlineStr">
        <is>
          <t>Imports</t>
        </is>
      </c>
      <c r="O14" s="72" t="n"/>
      <c r="P14" s="91">
        <f>VLOOKUP($P$10,Details!$A:$L,MATCH(Note!N14,Table91213[#Headers],),)</f>
        <v/>
      </c>
      <c r="Q14" s="91">
        <f>VLOOKUP($Q$10,Details!$A:$L,MATCH(Note!N14,Table91213[#Headers],),)</f>
        <v/>
      </c>
      <c r="R14" s="25">
        <f>P14-Q14</f>
        <v/>
      </c>
      <c r="T14" s="21" t="inlineStr">
        <is>
          <t>Other Services</t>
        </is>
      </c>
      <c r="U14" s="22" t="n">
        <v>15</v>
      </c>
    </row>
    <row r="15">
      <c r="B15" s="70" t="inlineStr">
        <is>
          <t>Update data in different ISM and Details</t>
        </is>
      </c>
      <c r="N15" s="71" t="inlineStr">
        <is>
          <t>Backlog Of Orders</t>
        </is>
      </c>
      <c r="O15" s="72" t="n"/>
      <c r="P15" s="91">
        <f>VLOOKUP($P$10,Details!$A:$L,MATCH(Note!N15,Table91213[#Headers],),)</f>
        <v/>
      </c>
      <c r="Q15" s="91">
        <f>VLOOKUP($Q$10,Details!$A:$L,MATCH(Note!N15,Table91213[#Headers],),)</f>
        <v/>
      </c>
      <c r="R15" s="25">
        <f>P15-Q15</f>
        <v/>
      </c>
      <c r="T15" s="21" t="inlineStr">
        <is>
          <t>Wholesale Trade</t>
        </is>
      </c>
      <c r="U15" s="22" t="n">
        <v>14</v>
      </c>
    </row>
    <row r="16">
      <c r="N16" s="71" t="inlineStr">
        <is>
          <t>Prices</t>
        </is>
      </c>
      <c r="O16" s="72" t="n"/>
      <c r="P16" s="91">
        <f>VLOOKUP($P$10,Details!$A:$L,MATCH(Note!N16,Table91213[#Headers],),)</f>
        <v/>
      </c>
      <c r="Q16" s="91">
        <f>VLOOKUP($Q$10,Details!$A:$L,MATCH(Note!N16,Table91213[#Headers],),)</f>
        <v/>
      </c>
      <c r="R16" s="25">
        <f>P16-Q16</f>
        <v/>
      </c>
      <c r="T16" s="21" t="inlineStr">
        <is>
          <t>Utilities</t>
        </is>
      </c>
      <c r="U16" s="22" t="n">
        <v>13</v>
      </c>
    </row>
    <row r="17">
      <c r="B17" s="70" t="n"/>
      <c r="G17" s="70" t="n"/>
      <c r="N17" s="71" t="inlineStr">
        <is>
          <t>Business Activity</t>
        </is>
      </c>
      <c r="O17" s="72" t="n"/>
      <c r="P17" s="91">
        <f>VLOOKUP($P$10,Details!$A:$L,MATCH(Note!N17,Table91213[#Headers],),)</f>
        <v/>
      </c>
      <c r="Q17" s="91">
        <f>VLOOKUP($Q$10,Details!$A:$L,MATCH(Note!N17,Table91213[#Headers],),)</f>
        <v/>
      </c>
      <c r="R17" s="25">
        <f>P17-Q17</f>
        <v/>
      </c>
      <c r="T17" s="21" t="inlineStr">
        <is>
          <t>Arts, Entertainment &amp; Reaction</t>
        </is>
      </c>
      <c r="U17" s="22" t="n">
        <v>12</v>
      </c>
    </row>
    <row r="18">
      <c r="B18" s="70" t="n"/>
      <c r="G18" s="70" t="n"/>
      <c r="N18" s="71" t="inlineStr">
        <is>
          <t>Inventory Sentiment</t>
        </is>
      </c>
      <c r="O18" s="72" t="n"/>
      <c r="P18" s="91">
        <f>VLOOKUP($P$10,Details!$A:$L,MATCH(Note!N18,Table91213[#Headers],),)</f>
        <v/>
      </c>
      <c r="Q18" s="91">
        <f>VLOOKUP($Q$10,Details!$A:$L,MATCH(Note!N18,Table91213[#Headers],),)</f>
        <v/>
      </c>
      <c r="R18" s="25">
        <f>P18-Q18</f>
        <v/>
      </c>
      <c r="T18" s="21" t="inlineStr">
        <is>
          <t>Construction</t>
        </is>
      </c>
      <c r="U18" s="22" t="n">
        <v>11</v>
      </c>
    </row>
    <row r="19">
      <c r="B19" s="70" t="n"/>
      <c r="G19" s="70" t="n"/>
      <c r="N19" s="71" t="inlineStr">
        <is>
          <t>Inventories</t>
        </is>
      </c>
      <c r="O19" s="72" t="n"/>
      <c r="P19" s="91">
        <f>VLOOKUP($P$10,Details!$A:$L,MATCH(Note!N19,Table91213[#Headers],),)</f>
        <v/>
      </c>
      <c r="Q19" s="91">
        <f>VLOOKUP($Q$10,Details!$A:$L,MATCH(Note!N19,Table91213[#Headers],),)</f>
        <v/>
      </c>
      <c r="R19" s="25">
        <f>P19-Q19</f>
        <v/>
      </c>
      <c r="T19" s="21" t="inlineStr">
        <is>
          <t>Educational Services</t>
        </is>
      </c>
      <c r="U19" s="22" t="n">
        <v>10</v>
      </c>
    </row>
    <row r="20">
      <c r="B20" s="70" t="n"/>
      <c r="N20" s="71" t="inlineStr">
        <is>
          <t>Deliveries</t>
        </is>
      </c>
      <c r="O20" s="72" t="n"/>
      <c r="P20" s="91">
        <f>VLOOKUP($P$10,Details!$A:$L,MATCH(Note!N20,Table91213[#Headers],),)</f>
        <v/>
      </c>
      <c r="Q20" s="91">
        <f>VLOOKUP($Q$10,Details!$A:$L,MATCH(Note!N20,Table91213[#Headers],),)</f>
        <v/>
      </c>
      <c r="R20" s="25">
        <f>P20-Q20</f>
        <v/>
      </c>
      <c r="T20" s="21" t="inlineStr">
        <is>
          <t>Information</t>
        </is>
      </c>
      <c r="U20" s="22" t="n">
        <v>9</v>
      </c>
    </row>
    <row r="21">
      <c r="B21" s="70" t="n"/>
      <c r="N21" s="71" t="inlineStr">
        <is>
          <t>Employment</t>
        </is>
      </c>
      <c r="O21" s="72" t="n"/>
      <c r="P21" s="91">
        <f>VLOOKUP($P$10,Details!$A:$L,MATCH(Note!N21,Table91213[#Headers],),)</f>
        <v/>
      </c>
      <c r="Q21" s="91">
        <f>VLOOKUP($Q$10,Details!$A:$L,MATCH(Note!N21,Table91213[#Headers],),)</f>
        <v/>
      </c>
      <c r="R21" s="25">
        <f>P21-Q21</f>
        <v/>
      </c>
      <c r="T21" s="21" t="inlineStr">
        <is>
          <t>Transportation &amp; Warehousing</t>
        </is>
      </c>
      <c r="U21" s="22" t="n">
        <v>8</v>
      </c>
    </row>
    <row r="22" ht="16" customHeight="1" s="65" thickBot="1">
      <c r="N22" s="73" t="inlineStr">
        <is>
          <t>Exports</t>
        </is>
      </c>
      <c r="O22" s="74" t="n"/>
      <c r="P22" s="26">
        <f>VLOOKUP($P$10,Details!$A:$L,MATCH(Note!N22,Table91213[#Headers],),)</f>
        <v/>
      </c>
      <c r="Q22" s="26">
        <f>VLOOKUP($Q$10,Details!$A:$L,MATCH(Note!N22,Table91213[#Headers],),)</f>
        <v/>
      </c>
      <c r="R22" s="27">
        <f>P22-Q22</f>
        <v/>
      </c>
      <c r="T22" s="21" t="inlineStr">
        <is>
          <t>Public Administration</t>
        </is>
      </c>
      <c r="U22" s="22" t="n">
        <v>7</v>
      </c>
    </row>
    <row r="23">
      <c r="T23" s="21" t="inlineStr">
        <is>
          <t>Real Estate, Rental &amp; Leasing</t>
        </is>
      </c>
      <c r="U23" s="22" t="n">
        <v>6</v>
      </c>
    </row>
    <row r="24">
      <c r="T24" s="21" t="inlineStr">
        <is>
          <t>Retail Trade</t>
        </is>
      </c>
      <c r="U24" s="22" t="n">
        <v>5</v>
      </c>
    </row>
    <row r="25">
      <c r="T25" s="21" t="inlineStr">
        <is>
          <t>Finance &amp; Insurance</t>
        </is>
      </c>
      <c r="U25" s="22" t="n">
        <v>4</v>
      </c>
    </row>
    <row r="26">
      <c r="T26" s="21" t="inlineStr">
        <is>
          <t>Health Care &amp; Social Assistance</t>
        </is>
      </c>
      <c r="U26" s="22" t="n">
        <v>3</v>
      </c>
    </row>
    <row r="27">
      <c r="T27" s="21" t="inlineStr">
        <is>
          <t>Professional, Scientific &amp; Technical Services</t>
        </is>
      </c>
      <c r="U27" s="22" t="n">
        <v>2</v>
      </c>
    </row>
    <row r="28" ht="30" customHeight="1" s="65">
      <c r="T28" s="21" t="inlineStr">
        <is>
          <t>Agriculture, Forestry, Fishing &amp; Hunting</t>
        </is>
      </c>
      <c r="U28" s="22" t="n">
        <v>1</v>
      </c>
    </row>
  </sheetData>
  <mergeCells count="32">
    <mergeCell ref="N7:U7"/>
    <mergeCell ref="B1:J1"/>
    <mergeCell ref="B3:J3"/>
    <mergeCell ref="B7:J7"/>
    <mergeCell ref="B15:F15"/>
    <mergeCell ref="N15:O15"/>
    <mergeCell ref="B9:F9"/>
    <mergeCell ref="G9:J9"/>
    <mergeCell ref="B11:F11"/>
    <mergeCell ref="G11:J11"/>
    <mergeCell ref="G12:J12"/>
    <mergeCell ref="N12:O12"/>
    <mergeCell ref="B13:F13"/>
    <mergeCell ref="G13:J13"/>
    <mergeCell ref="N13:O13"/>
    <mergeCell ref="B14:F14"/>
    <mergeCell ref="N14:O14"/>
    <mergeCell ref="N16:O16"/>
    <mergeCell ref="B17:F17"/>
    <mergeCell ref="G17:J17"/>
    <mergeCell ref="N17:O17"/>
    <mergeCell ref="B18:F18"/>
    <mergeCell ref="G18:J18"/>
    <mergeCell ref="N18:O18"/>
    <mergeCell ref="N22:O22"/>
    <mergeCell ref="B19:F19"/>
    <mergeCell ref="G19:J19"/>
    <mergeCell ref="N19:O19"/>
    <mergeCell ref="B20:F20"/>
    <mergeCell ref="N20:O20"/>
    <mergeCell ref="B21:F21"/>
    <mergeCell ref="N21:O21"/>
  </mergeCells>
  <conditionalFormatting sqref="R12:R22">
    <cfRule type="cellIs" priority="6" operator="lessThan" dxfId="109">
      <formula>0</formula>
    </cfRule>
    <cfRule type="cellIs" priority="7" operator="greaterThan" dxfId="108">
      <formula>0</formula>
    </cfRule>
  </conditionalFormatting>
  <conditionalFormatting sqref="U11:U28">
    <cfRule type="cellIs" priority="1" operator="equal" dxfId="6">
      <formula>0</formula>
    </cfRule>
    <cfRule type="cellIs" priority="2" operator="lessThan" dxfId="7">
      <formula>0</formula>
    </cfRule>
    <cfRule type="cellIs" priority="3" operator="greaterThan" dxfId="6">
      <formula>0</formula>
    </cfRule>
    <cfRule type="colorScale" priority="4">
      <colorScale>
        <cfvo type="min"/>
        <cfvo type="percentile" val="50"/>
        <cfvo type="max"/>
        <color rgb="FFF8696B"/>
        <color rgb="FFFFEB84"/>
        <color rgb="FF63BE7B"/>
      </colorScale>
    </cfRule>
    <cfRule type="colorScale" priority="5">
      <colorScale>
        <cfvo type="min"/>
        <cfvo type="percentile" val="50"/>
        <cfvo type="max"/>
        <color rgb="FFF8696B"/>
        <color rgb="FFFFEB84"/>
        <color rgb="FF63BE7B"/>
      </colorScale>
    </cfRule>
  </conditionalFormatting>
  <hyperlinks>
    <hyperlink xmlns:r="http://schemas.openxmlformats.org/officeDocument/2006/relationships" ref="B4" r:id="rId1"/>
    <hyperlink xmlns:r="http://schemas.openxmlformats.org/officeDocument/2006/relationships" ref="B5" r:id="rId2"/>
  </hyperlinks>
  <pageMargins left="0.7" right="0.7" top="0.75" bottom="0.75" header="0.3" footer="0.3"/>
  <drawing xmlns:r="http://schemas.openxmlformats.org/officeDocument/2006/relationships" r:id="rId3"/>
</worksheet>
</file>

<file path=xl/worksheets/sheet2.xml><?xml version="1.0" encoding="utf-8"?>
<worksheet xmlns="http://schemas.openxmlformats.org/spreadsheetml/2006/main">
  <sheetPr>
    <tabColor theme="6"/>
    <outlinePr summaryBelow="1" summaryRight="1"/>
    <pageSetUpPr/>
  </sheetPr>
  <dimension ref="A1:S31"/>
  <sheetViews>
    <sheetView zoomScale="150" zoomScaleNormal="150" workbookViewId="0">
      <selection activeCell="K38" sqref="K38"/>
    </sheetView>
  </sheetViews>
  <sheetFormatPr baseColWidth="10" defaultRowHeight="15"/>
  <cols>
    <col width="25.1640625" customWidth="1" style="65" min="1" max="1"/>
  </cols>
  <sheetData>
    <row r="1">
      <c r="A1" t="inlineStr">
        <is>
          <t>DATE</t>
        </is>
      </c>
      <c r="B1" t="inlineStr">
        <is>
          <t>Arts, Entertainment &amp; Recreation</t>
        </is>
      </c>
      <c r="C1" t="inlineStr">
        <is>
          <t>Other Services</t>
        </is>
      </c>
      <c r="D1" t="inlineStr">
        <is>
          <t>Health Care &amp; Social Assistance</t>
        </is>
      </c>
      <c r="E1" t="inlineStr">
        <is>
          <t>Accommodation &amp; Food Services</t>
        </is>
      </c>
      <c r="F1" t="inlineStr">
        <is>
          <t>Finance &amp; Insurance</t>
        </is>
      </c>
      <c r="G1" t="inlineStr">
        <is>
          <t>Real Estate, Rental &amp; Leasing</t>
        </is>
      </c>
      <c r="H1" t="inlineStr">
        <is>
          <t>Transportation &amp; Warehousing</t>
        </is>
      </c>
      <c r="I1" t="inlineStr">
        <is>
          <t>Mining</t>
        </is>
      </c>
      <c r="J1" t="inlineStr">
        <is>
          <t>Construction</t>
        </is>
      </c>
      <c r="K1" t="inlineStr">
        <is>
          <t>Wholesale Trade</t>
        </is>
      </c>
      <c r="L1" t="inlineStr">
        <is>
          <t>Public Administration</t>
        </is>
      </c>
      <c r="M1" t="inlineStr">
        <is>
          <t>Professional, Scientific &amp; Technical Services</t>
        </is>
      </c>
      <c r="N1" t="inlineStr">
        <is>
          <t>Agriculture, Forestry, Fishing &amp; Hunting</t>
        </is>
      </c>
      <c r="O1" t="inlineStr">
        <is>
          <t>Information</t>
        </is>
      </c>
      <c r="P1" t="inlineStr">
        <is>
          <t>Educational Services</t>
        </is>
      </c>
      <c r="Q1" t="inlineStr">
        <is>
          <t>Management of Companies &amp; Support Services</t>
        </is>
      </c>
      <c r="R1" t="inlineStr">
        <is>
          <t>Retail Trade</t>
        </is>
      </c>
      <c r="S1" t="inlineStr">
        <is>
          <t>Utilities</t>
        </is>
      </c>
    </row>
    <row r="2">
      <c r="A2" s="93" t="n">
        <v>43831</v>
      </c>
      <c r="B2" t="n">
        <v>-3</v>
      </c>
      <c r="C2" t="n">
        <v>-4</v>
      </c>
      <c r="D2" t="n">
        <v>10</v>
      </c>
      <c r="E2" t="n">
        <v>7</v>
      </c>
      <c r="F2" t="n">
        <v>6</v>
      </c>
      <c r="G2" t="n">
        <v>-1</v>
      </c>
      <c r="H2" t="n">
        <v>-6</v>
      </c>
      <c r="I2" t="n">
        <v>-2</v>
      </c>
      <c r="J2" t="n">
        <v>4</v>
      </c>
      <c r="K2" t="n">
        <v>-5</v>
      </c>
      <c r="L2" t="n">
        <v>3</v>
      </c>
      <c r="M2" t="n">
        <v>1</v>
      </c>
      <c r="N2" t="n">
        <v>12</v>
      </c>
      <c r="O2" t="n">
        <v>2</v>
      </c>
      <c r="P2" t="n">
        <v>9</v>
      </c>
      <c r="Q2" t="n">
        <v>11</v>
      </c>
      <c r="R2" t="n">
        <v>5</v>
      </c>
      <c r="S2" t="n">
        <v>8</v>
      </c>
    </row>
    <row r="3">
      <c r="A3" s="93" t="n">
        <v>43862</v>
      </c>
      <c r="B3" t="n">
        <v>-2</v>
      </c>
      <c r="C3" t="n">
        <v>11</v>
      </c>
      <c r="D3" t="n">
        <v>9</v>
      </c>
      <c r="E3" t="n">
        <v>16</v>
      </c>
      <c r="F3" t="n">
        <v>13</v>
      </c>
      <c r="G3" t="n">
        <v>12</v>
      </c>
      <c r="H3" t="n">
        <v>6</v>
      </c>
      <c r="I3" t="n">
        <v>14</v>
      </c>
      <c r="J3" t="n">
        <v>10</v>
      </c>
      <c r="K3" t="n">
        <v>7</v>
      </c>
      <c r="L3" t="n">
        <v>8</v>
      </c>
      <c r="M3" t="n">
        <v>4</v>
      </c>
      <c r="N3" t="n">
        <v>-1</v>
      </c>
      <c r="O3" t="n">
        <v>2</v>
      </c>
      <c r="P3" t="n">
        <v>5</v>
      </c>
      <c r="Q3" t="n">
        <v>15</v>
      </c>
      <c r="R3" t="n">
        <v>1</v>
      </c>
      <c r="S3" t="n">
        <v>3</v>
      </c>
    </row>
    <row r="4">
      <c r="A4" s="93" t="n">
        <v>43891</v>
      </c>
      <c r="B4" t="n">
        <v>-7</v>
      </c>
      <c r="C4" t="n">
        <v>-3</v>
      </c>
      <c r="D4" t="n">
        <v>9</v>
      </c>
      <c r="E4" t="n">
        <v>0</v>
      </c>
      <c r="F4" t="n">
        <v>5</v>
      </c>
      <c r="G4" t="n">
        <v>8</v>
      </c>
      <c r="H4" t="n">
        <v>-6</v>
      </c>
      <c r="I4" t="n">
        <v>-4</v>
      </c>
      <c r="J4" t="n">
        <v>4</v>
      </c>
      <c r="K4" t="n">
        <v>2</v>
      </c>
      <c r="L4" t="n">
        <v>7</v>
      </c>
      <c r="M4" t="n">
        <v>-5</v>
      </c>
      <c r="N4" t="n">
        <v>0</v>
      </c>
      <c r="O4" t="n">
        <v>1</v>
      </c>
      <c r="P4" t="n">
        <v>-1</v>
      </c>
      <c r="Q4" t="n">
        <v>3</v>
      </c>
      <c r="R4" t="n">
        <v>-2</v>
      </c>
      <c r="S4" t="n">
        <v>6</v>
      </c>
    </row>
    <row r="5">
      <c r="A5" s="93" t="n">
        <v>43922</v>
      </c>
      <c r="B5" t="n">
        <v>-16</v>
      </c>
      <c r="C5" t="n">
        <v>-13</v>
      </c>
      <c r="D5" t="n">
        <v>-1</v>
      </c>
      <c r="E5" t="n">
        <v>-6</v>
      </c>
      <c r="F5" t="n">
        <v>0</v>
      </c>
      <c r="G5" t="n">
        <v>-3</v>
      </c>
      <c r="H5" t="n">
        <v>-10</v>
      </c>
      <c r="I5" t="n">
        <v>-9</v>
      </c>
      <c r="J5" t="n">
        <v>-11</v>
      </c>
      <c r="K5" t="n">
        <v>-12</v>
      </c>
      <c r="L5" t="n">
        <v>2</v>
      </c>
      <c r="M5" t="n">
        <v>-8</v>
      </c>
      <c r="N5" t="n">
        <v>-15</v>
      </c>
      <c r="O5" t="n">
        <v>-7</v>
      </c>
      <c r="P5" t="n">
        <v>-4</v>
      </c>
      <c r="Q5" t="n">
        <v>-5</v>
      </c>
      <c r="R5" t="n">
        <v>-14</v>
      </c>
      <c r="S5" t="n">
        <v>-2</v>
      </c>
    </row>
    <row r="6">
      <c r="A6" s="93" t="n">
        <v>43952</v>
      </c>
      <c r="B6" t="n">
        <v>-13</v>
      </c>
      <c r="C6" t="n">
        <v>-12</v>
      </c>
      <c r="D6" t="n">
        <v>-2</v>
      </c>
      <c r="E6" t="n">
        <v>-6</v>
      </c>
      <c r="F6" t="n">
        <v>3</v>
      </c>
      <c r="G6" t="n">
        <v>-4</v>
      </c>
      <c r="H6" t="n">
        <v>-3</v>
      </c>
      <c r="I6" t="n">
        <v>-14</v>
      </c>
      <c r="J6" t="n">
        <v>-11</v>
      </c>
      <c r="K6" t="n">
        <v>-7</v>
      </c>
      <c r="L6" t="n">
        <v>2</v>
      </c>
      <c r="M6" t="n">
        <v>-9</v>
      </c>
      <c r="N6" t="n">
        <v>4</v>
      </c>
      <c r="O6" t="n">
        <v>1</v>
      </c>
      <c r="P6" t="n">
        <v>-10</v>
      </c>
      <c r="Q6" t="n">
        <v>-5</v>
      </c>
      <c r="R6" t="n">
        <v>-1</v>
      </c>
      <c r="S6" t="n">
        <v>-8</v>
      </c>
    </row>
    <row r="7">
      <c r="A7" s="93" t="n">
        <v>43983</v>
      </c>
      <c r="B7" t="n">
        <v>5</v>
      </c>
      <c r="C7" t="n">
        <v>-2</v>
      </c>
      <c r="D7" t="n">
        <v>10</v>
      </c>
      <c r="E7" t="n">
        <v>0</v>
      </c>
      <c r="F7" t="n">
        <v>3</v>
      </c>
      <c r="G7" t="n">
        <v>11</v>
      </c>
      <c r="H7" t="n">
        <v>6</v>
      </c>
      <c r="I7" t="n">
        <v>-3</v>
      </c>
      <c r="J7" t="n">
        <v>9</v>
      </c>
      <c r="K7" t="n">
        <v>12</v>
      </c>
      <c r="L7" t="n">
        <v>2</v>
      </c>
      <c r="M7" t="n">
        <v>1</v>
      </c>
      <c r="N7" t="n">
        <v>14</v>
      </c>
      <c r="O7" t="n">
        <v>4</v>
      </c>
      <c r="P7" t="n">
        <v>0</v>
      </c>
      <c r="Q7" t="n">
        <v>-1</v>
      </c>
      <c r="R7" t="n">
        <v>8</v>
      </c>
      <c r="S7" t="n">
        <v>7</v>
      </c>
    </row>
    <row r="8">
      <c r="A8" s="93" t="n">
        <v>44013</v>
      </c>
      <c r="B8" t="n">
        <v>15</v>
      </c>
      <c r="C8" t="n">
        <v>-3</v>
      </c>
      <c r="D8" t="n">
        <v>14</v>
      </c>
      <c r="E8" t="n">
        <v>2</v>
      </c>
      <c r="F8" t="n">
        <v>6</v>
      </c>
      <c r="G8" t="n">
        <v>4</v>
      </c>
      <c r="H8" t="n">
        <v>12</v>
      </c>
      <c r="I8" t="n">
        <v>-2</v>
      </c>
      <c r="J8" t="n">
        <v>9</v>
      </c>
      <c r="K8" t="n">
        <v>11</v>
      </c>
      <c r="L8" t="n">
        <v>7</v>
      </c>
      <c r="M8" t="n">
        <v>-1</v>
      </c>
      <c r="N8" t="n">
        <v>3</v>
      </c>
      <c r="O8" t="n">
        <v>1</v>
      </c>
      <c r="P8" t="n">
        <v>10</v>
      </c>
      <c r="Q8" t="n">
        <v>5</v>
      </c>
      <c r="R8" t="n">
        <v>13</v>
      </c>
      <c r="S8" t="n">
        <v>8</v>
      </c>
    </row>
    <row r="9">
      <c r="A9" s="93" t="n">
        <v>44044</v>
      </c>
      <c r="B9" t="n">
        <v>15</v>
      </c>
      <c r="C9" t="n">
        <v>-1</v>
      </c>
      <c r="D9" t="n">
        <v>14</v>
      </c>
      <c r="E9" t="n">
        <v>12</v>
      </c>
      <c r="F9" t="n">
        <v>5</v>
      </c>
      <c r="G9" t="n">
        <v>2</v>
      </c>
      <c r="H9" t="n">
        <v>11</v>
      </c>
      <c r="I9" t="n">
        <v>-3</v>
      </c>
      <c r="J9" t="n">
        <v>9</v>
      </c>
      <c r="K9" t="n">
        <v>10</v>
      </c>
      <c r="L9" t="n">
        <v>6</v>
      </c>
      <c r="M9" t="n">
        <v>1</v>
      </c>
      <c r="N9" t="n">
        <v>3</v>
      </c>
      <c r="O9" t="n">
        <v>-2</v>
      </c>
      <c r="P9" t="n">
        <v>4</v>
      </c>
      <c r="Q9" t="n">
        <v>7</v>
      </c>
      <c r="R9" t="n">
        <v>8</v>
      </c>
      <c r="S9" t="n">
        <v>13</v>
      </c>
    </row>
    <row r="10">
      <c r="A10" s="93" t="n">
        <v>44075</v>
      </c>
      <c r="B10" t="n">
        <v>16</v>
      </c>
      <c r="C10" t="n">
        <v>1</v>
      </c>
      <c r="D10" t="n">
        <v>12</v>
      </c>
      <c r="E10" t="n">
        <v>9</v>
      </c>
      <c r="F10" t="n">
        <v>4</v>
      </c>
      <c r="G10" t="n">
        <v>10</v>
      </c>
      <c r="H10" t="n">
        <v>13</v>
      </c>
      <c r="I10" t="n">
        <v>0</v>
      </c>
      <c r="J10" t="n">
        <v>8</v>
      </c>
      <c r="K10" t="n">
        <v>11</v>
      </c>
      <c r="L10" t="n">
        <v>7</v>
      </c>
      <c r="M10" t="n">
        <v>-1</v>
      </c>
      <c r="N10" t="n">
        <v>5</v>
      </c>
      <c r="O10" t="n">
        <v>2</v>
      </c>
      <c r="P10" t="n">
        <v>6</v>
      </c>
      <c r="Q10" t="n">
        <v>14</v>
      </c>
      <c r="R10" t="n">
        <v>3</v>
      </c>
      <c r="S10" t="n">
        <v>15</v>
      </c>
    </row>
    <row r="11">
      <c r="A11" s="93" t="n">
        <v>44105</v>
      </c>
      <c r="B11" t="n">
        <v>-2</v>
      </c>
      <c r="C11" t="n">
        <v>1</v>
      </c>
      <c r="D11" t="n">
        <v>13</v>
      </c>
      <c r="E11" t="n">
        <v>14</v>
      </c>
      <c r="F11" t="n">
        <v>10</v>
      </c>
      <c r="G11" t="n">
        <v>3</v>
      </c>
      <c r="H11" t="n">
        <v>16</v>
      </c>
      <c r="I11" t="n">
        <v>7</v>
      </c>
      <c r="J11" t="n">
        <v>15</v>
      </c>
      <c r="K11" t="n">
        <v>8</v>
      </c>
      <c r="L11" t="n">
        <v>-1</v>
      </c>
      <c r="M11" t="n">
        <v>6</v>
      </c>
      <c r="N11" t="n">
        <v>12</v>
      </c>
      <c r="O11" t="n">
        <v>2</v>
      </c>
      <c r="P11" t="n">
        <v>11</v>
      </c>
      <c r="Q11" t="n">
        <v>9</v>
      </c>
      <c r="R11" t="n">
        <v>4</v>
      </c>
      <c r="S11" t="n">
        <v>5</v>
      </c>
    </row>
    <row r="12">
      <c r="A12" s="93" t="n">
        <v>44136</v>
      </c>
      <c r="B12" t="n">
        <v>-4</v>
      </c>
      <c r="C12" t="n">
        <v>-3</v>
      </c>
      <c r="D12" t="n">
        <v>12</v>
      </c>
      <c r="E12" t="n">
        <v>10</v>
      </c>
      <c r="F12" t="n">
        <v>5</v>
      </c>
      <c r="G12" t="n">
        <v>-2</v>
      </c>
      <c r="H12" t="n">
        <v>14</v>
      </c>
      <c r="I12" t="n">
        <v>3</v>
      </c>
      <c r="J12" t="n">
        <v>9</v>
      </c>
      <c r="K12" t="n">
        <v>7</v>
      </c>
      <c r="L12" t="n">
        <v>2</v>
      </c>
      <c r="M12" t="n">
        <v>6</v>
      </c>
      <c r="N12" t="n">
        <v>4</v>
      </c>
      <c r="O12" t="n">
        <v>1</v>
      </c>
      <c r="P12" t="n">
        <v>-1</v>
      </c>
      <c r="Q12" t="n">
        <v>13</v>
      </c>
      <c r="R12" t="n">
        <v>8</v>
      </c>
      <c r="S12" t="n">
        <v>11</v>
      </c>
    </row>
    <row r="13">
      <c r="A13" s="93" t="n">
        <v>44166</v>
      </c>
      <c r="B13" t="n">
        <v>-4</v>
      </c>
      <c r="C13" t="n">
        <v>-2</v>
      </c>
      <c r="D13" t="n">
        <v>11</v>
      </c>
      <c r="E13" t="n">
        <v>-3</v>
      </c>
      <c r="F13" t="n">
        <v>9</v>
      </c>
      <c r="G13" t="n">
        <v>-1</v>
      </c>
      <c r="H13" t="n">
        <v>10</v>
      </c>
      <c r="I13" t="n">
        <v>4</v>
      </c>
      <c r="J13" t="n">
        <v>2</v>
      </c>
      <c r="K13" t="n">
        <v>13</v>
      </c>
      <c r="L13" t="n">
        <v>3</v>
      </c>
      <c r="M13" t="n">
        <v>5</v>
      </c>
      <c r="N13" t="n">
        <v>7</v>
      </c>
      <c r="O13" t="n">
        <v>6</v>
      </c>
      <c r="P13" t="n">
        <v>1</v>
      </c>
      <c r="Q13" t="n">
        <v>14</v>
      </c>
      <c r="R13" t="n">
        <v>12</v>
      </c>
      <c r="S13" t="n">
        <v>8</v>
      </c>
    </row>
    <row r="14">
      <c r="A14" s="93" t="n">
        <v>44197</v>
      </c>
      <c r="B14" t="n">
        <v>-4</v>
      </c>
      <c r="C14" t="n">
        <v>5</v>
      </c>
      <c r="D14" t="n">
        <v>9</v>
      </c>
      <c r="E14" t="n">
        <v>6</v>
      </c>
      <c r="F14" t="n">
        <v>11</v>
      </c>
      <c r="G14" t="n">
        <v>14</v>
      </c>
      <c r="H14" t="n">
        <v>10</v>
      </c>
      <c r="I14" t="n">
        <v>4</v>
      </c>
      <c r="J14" t="n">
        <v>13</v>
      </c>
      <c r="K14" t="n">
        <v>12</v>
      </c>
      <c r="L14" t="n">
        <v>2</v>
      </c>
      <c r="M14" t="n">
        <v>3</v>
      </c>
      <c r="N14" t="n">
        <v>7</v>
      </c>
      <c r="O14" t="n">
        <v>1</v>
      </c>
      <c r="P14" t="n">
        <v>-3</v>
      </c>
      <c r="Q14" t="n">
        <v>8</v>
      </c>
      <c r="R14" t="n">
        <v>-2</v>
      </c>
      <c r="S14" t="n">
        <v>-1</v>
      </c>
    </row>
    <row r="15">
      <c r="A15" s="93" t="n">
        <v>44228</v>
      </c>
      <c r="B15" t="n">
        <v>13</v>
      </c>
      <c r="C15" t="n">
        <v>2</v>
      </c>
      <c r="D15" t="n">
        <v>10</v>
      </c>
      <c r="E15" t="n">
        <v>17</v>
      </c>
      <c r="F15" t="n">
        <v>7</v>
      </c>
      <c r="G15" t="n">
        <v>-1</v>
      </c>
      <c r="H15" t="n">
        <v>15</v>
      </c>
      <c r="I15" t="n">
        <v>1</v>
      </c>
      <c r="J15" t="n">
        <v>14</v>
      </c>
      <c r="K15" t="n">
        <v>16</v>
      </c>
      <c r="L15" t="n">
        <v>12</v>
      </c>
      <c r="M15" t="n">
        <v>8</v>
      </c>
      <c r="N15" t="n">
        <v>4</v>
      </c>
      <c r="O15" t="n">
        <v>5</v>
      </c>
      <c r="P15" t="n">
        <v>3</v>
      </c>
      <c r="Q15" t="n">
        <v>6</v>
      </c>
      <c r="R15" t="n">
        <v>9</v>
      </c>
      <c r="S15" t="n">
        <v>11</v>
      </c>
    </row>
    <row r="16">
      <c r="A16" s="93" t="n">
        <v>44256</v>
      </c>
      <c r="B16" t="n">
        <v>18</v>
      </c>
      <c r="C16" t="n">
        <v>1</v>
      </c>
      <c r="D16" t="n">
        <v>6</v>
      </c>
      <c r="E16" t="n">
        <v>12</v>
      </c>
      <c r="F16" t="n">
        <v>8</v>
      </c>
      <c r="G16" t="n">
        <v>11</v>
      </c>
      <c r="H16" t="n">
        <v>10</v>
      </c>
      <c r="I16" t="n">
        <v>16</v>
      </c>
      <c r="J16" t="n">
        <v>14</v>
      </c>
      <c r="K16" t="n">
        <v>17</v>
      </c>
      <c r="L16" t="n">
        <v>9</v>
      </c>
      <c r="M16" t="n">
        <v>5</v>
      </c>
      <c r="N16" t="n">
        <v>13</v>
      </c>
      <c r="O16" t="n">
        <v>4</v>
      </c>
      <c r="P16" t="n">
        <v>2</v>
      </c>
      <c r="Q16" t="n">
        <v>15</v>
      </c>
      <c r="R16" t="n">
        <v>3</v>
      </c>
      <c r="S16" t="n">
        <v>7</v>
      </c>
    </row>
    <row r="17">
      <c r="A17" s="93" t="n">
        <v>44287</v>
      </c>
      <c r="B17" t="n">
        <v>17</v>
      </c>
      <c r="C17" t="n">
        <v>8</v>
      </c>
      <c r="D17" t="n">
        <v>5</v>
      </c>
      <c r="E17" t="n">
        <v>1</v>
      </c>
      <c r="F17" t="n">
        <v>7</v>
      </c>
      <c r="G17" t="n">
        <v>13</v>
      </c>
      <c r="H17" t="n">
        <v>10</v>
      </c>
      <c r="I17" t="n">
        <v>6</v>
      </c>
      <c r="J17" t="n">
        <v>14</v>
      </c>
      <c r="K17" t="n">
        <v>16</v>
      </c>
      <c r="L17" t="n">
        <v>11</v>
      </c>
      <c r="M17" t="n">
        <v>4</v>
      </c>
      <c r="N17" t="n">
        <v>-1</v>
      </c>
      <c r="O17" t="n">
        <v>2</v>
      </c>
      <c r="P17" t="n">
        <v>3</v>
      </c>
      <c r="Q17" t="n">
        <v>15</v>
      </c>
      <c r="R17" t="n">
        <v>9</v>
      </c>
      <c r="S17" t="n">
        <v>12</v>
      </c>
    </row>
    <row r="18">
      <c r="A18" s="93" t="n">
        <v>44317</v>
      </c>
      <c r="B18" t="n">
        <v>15</v>
      </c>
      <c r="C18" t="n">
        <v>8</v>
      </c>
      <c r="D18" t="n">
        <v>5</v>
      </c>
      <c r="E18" t="n">
        <v>6</v>
      </c>
      <c r="F18" t="n">
        <v>11</v>
      </c>
      <c r="G18" t="n">
        <v>13</v>
      </c>
      <c r="H18" t="n">
        <v>14</v>
      </c>
      <c r="I18" t="n">
        <v>12</v>
      </c>
      <c r="J18" t="n">
        <v>16</v>
      </c>
      <c r="K18" t="n">
        <v>17</v>
      </c>
      <c r="L18" t="n">
        <v>3</v>
      </c>
      <c r="M18" t="n">
        <v>2</v>
      </c>
      <c r="N18" t="n">
        <v>4</v>
      </c>
      <c r="O18" t="n">
        <v>7</v>
      </c>
      <c r="P18" t="n">
        <v>1</v>
      </c>
      <c r="Q18" t="n">
        <v>10</v>
      </c>
      <c r="R18" t="n">
        <v>18</v>
      </c>
      <c r="S18" t="n">
        <v>9</v>
      </c>
    </row>
    <row r="19">
      <c r="A19" s="93" t="n">
        <v>44348</v>
      </c>
      <c r="B19" t="n">
        <v>16</v>
      </c>
      <c r="C19" t="n">
        <v>15</v>
      </c>
      <c r="D19" t="n">
        <v>6</v>
      </c>
      <c r="E19" t="n">
        <v>10</v>
      </c>
      <c r="F19" t="n">
        <v>3</v>
      </c>
      <c r="G19" t="n">
        <v>-2</v>
      </c>
      <c r="H19" t="n">
        <v>14</v>
      </c>
      <c r="I19" t="n">
        <v>8</v>
      </c>
      <c r="J19" t="n">
        <v>7</v>
      </c>
      <c r="K19" t="n">
        <v>13</v>
      </c>
      <c r="L19" t="n">
        <v>5</v>
      </c>
      <c r="M19" t="n">
        <v>1</v>
      </c>
      <c r="N19" t="n">
        <v>-1</v>
      </c>
      <c r="O19" t="n">
        <v>4</v>
      </c>
      <c r="P19" t="n">
        <v>2</v>
      </c>
      <c r="Q19" t="n">
        <v>11</v>
      </c>
      <c r="R19" t="n">
        <v>12</v>
      </c>
      <c r="S19" t="n">
        <v>9</v>
      </c>
    </row>
    <row r="20">
      <c r="A20" s="93" t="n">
        <v>44378</v>
      </c>
      <c r="B20" t="n">
        <v>17</v>
      </c>
      <c r="C20" t="n">
        <v>9</v>
      </c>
      <c r="D20" t="n">
        <v>6</v>
      </c>
      <c r="E20" t="n">
        <v>15</v>
      </c>
      <c r="F20" t="n">
        <v>2</v>
      </c>
      <c r="G20" t="n">
        <v>12</v>
      </c>
      <c r="H20" t="n">
        <v>11</v>
      </c>
      <c r="I20" t="n">
        <v>1</v>
      </c>
      <c r="J20" t="n">
        <v>7</v>
      </c>
      <c r="K20" t="n">
        <v>16</v>
      </c>
      <c r="L20" t="n">
        <v>8</v>
      </c>
      <c r="M20" t="n">
        <v>4</v>
      </c>
      <c r="N20" t="n">
        <v>0</v>
      </c>
      <c r="O20" t="n">
        <v>10</v>
      </c>
      <c r="P20" t="n">
        <v>3</v>
      </c>
      <c r="Q20" t="n">
        <v>14</v>
      </c>
      <c r="R20" t="n">
        <v>13</v>
      </c>
      <c r="S20" t="n">
        <v>5</v>
      </c>
    </row>
    <row r="21">
      <c r="A21" s="93" t="n">
        <v>44409</v>
      </c>
      <c r="B21" t="n">
        <v>-1</v>
      </c>
      <c r="C21" t="n">
        <v>11</v>
      </c>
      <c r="D21" t="n">
        <v>7</v>
      </c>
      <c r="E21" t="n">
        <v>17</v>
      </c>
      <c r="F21" t="n">
        <v>3</v>
      </c>
      <c r="G21" t="n">
        <v>2</v>
      </c>
      <c r="H21" t="n">
        <v>8</v>
      </c>
      <c r="I21" t="n">
        <v>12</v>
      </c>
      <c r="J21" t="n">
        <v>15</v>
      </c>
      <c r="K21" t="n">
        <v>6</v>
      </c>
      <c r="L21" t="n">
        <v>9</v>
      </c>
      <c r="M21" t="n">
        <v>1</v>
      </c>
      <c r="N21" t="n">
        <v>4</v>
      </c>
      <c r="O21" t="n">
        <v>13</v>
      </c>
      <c r="P21" t="n">
        <v>14</v>
      </c>
      <c r="Q21" t="n">
        <v>5</v>
      </c>
      <c r="R21" t="n">
        <v>16</v>
      </c>
      <c r="S21" t="n">
        <v>10</v>
      </c>
    </row>
    <row r="22">
      <c r="A22" s="93" t="n">
        <v>44440</v>
      </c>
      <c r="B22" t="n">
        <v>16</v>
      </c>
      <c r="C22" t="n">
        <v>7</v>
      </c>
      <c r="D22" t="n">
        <v>5</v>
      </c>
      <c r="E22" t="n">
        <v>11</v>
      </c>
      <c r="F22" t="n">
        <v>1</v>
      </c>
      <c r="G22" t="n">
        <v>12</v>
      </c>
      <c r="H22" t="n">
        <v>13</v>
      </c>
      <c r="I22" t="n">
        <v>9</v>
      </c>
      <c r="J22" t="n">
        <v>10</v>
      </c>
      <c r="K22" t="n">
        <v>2</v>
      </c>
      <c r="L22" t="n">
        <v>3</v>
      </c>
      <c r="M22" t="n">
        <v>8</v>
      </c>
      <c r="N22" t="n">
        <v>-1</v>
      </c>
      <c r="O22" t="n">
        <v>6</v>
      </c>
      <c r="P22" t="n">
        <v>14</v>
      </c>
      <c r="Q22" t="n">
        <v>15</v>
      </c>
      <c r="R22" t="n">
        <v>17</v>
      </c>
      <c r="S22" t="n">
        <v>4</v>
      </c>
    </row>
    <row r="23">
      <c r="A23" s="93" t="n">
        <v>44470</v>
      </c>
      <c r="B23" t="n">
        <v>15</v>
      </c>
      <c r="C23" t="n">
        <v>14</v>
      </c>
      <c r="D23" t="n">
        <v>7</v>
      </c>
      <c r="E23" t="n">
        <v>8</v>
      </c>
      <c r="F23" t="n">
        <v>4</v>
      </c>
      <c r="G23" t="n">
        <v>16</v>
      </c>
      <c r="H23" t="n">
        <v>17</v>
      </c>
      <c r="I23" t="n">
        <v>1</v>
      </c>
      <c r="J23" t="n">
        <v>12</v>
      </c>
      <c r="K23" t="n">
        <v>9</v>
      </c>
      <c r="L23" t="n">
        <v>2</v>
      </c>
      <c r="M23" t="n">
        <v>3</v>
      </c>
      <c r="N23" t="n">
        <v>6</v>
      </c>
      <c r="O23" t="n">
        <v>11</v>
      </c>
      <c r="P23" t="n">
        <v>10</v>
      </c>
      <c r="Q23" t="n">
        <v>5</v>
      </c>
      <c r="R23" t="n">
        <v>18</v>
      </c>
      <c r="S23" t="n">
        <v>13</v>
      </c>
    </row>
    <row r="24">
      <c r="A24" s="93" t="n">
        <v>44501</v>
      </c>
      <c r="B24" t="n">
        <v>7</v>
      </c>
      <c r="C24" t="n">
        <v>6</v>
      </c>
      <c r="D24" t="n">
        <v>8</v>
      </c>
      <c r="E24" t="n">
        <v>1</v>
      </c>
      <c r="F24" t="n">
        <v>4</v>
      </c>
      <c r="G24" t="n">
        <v>18</v>
      </c>
      <c r="H24" t="n">
        <v>17</v>
      </c>
      <c r="I24" t="n">
        <v>11</v>
      </c>
      <c r="J24" t="n">
        <v>9</v>
      </c>
      <c r="K24" t="n">
        <v>12</v>
      </c>
      <c r="L24" t="n">
        <v>10</v>
      </c>
      <c r="M24" t="n">
        <v>5</v>
      </c>
      <c r="N24" t="n">
        <v>15</v>
      </c>
      <c r="O24" t="n">
        <v>3</v>
      </c>
      <c r="P24" t="n">
        <v>2</v>
      </c>
      <c r="Q24" t="n">
        <v>14</v>
      </c>
      <c r="R24" t="n">
        <v>16</v>
      </c>
      <c r="S24" t="n">
        <v>13</v>
      </c>
    </row>
    <row r="25">
      <c r="A25" s="93" t="n">
        <v>44531</v>
      </c>
      <c r="B25" t="n">
        <v>12</v>
      </c>
      <c r="C25" t="n">
        <v>15</v>
      </c>
      <c r="D25" t="n">
        <v>3</v>
      </c>
      <c r="E25" t="n">
        <v>18</v>
      </c>
      <c r="F25" t="n">
        <v>4</v>
      </c>
      <c r="G25" t="n">
        <v>6</v>
      </c>
      <c r="H25" t="n">
        <v>8</v>
      </c>
      <c r="I25" t="n">
        <v>17</v>
      </c>
      <c r="J25" t="n">
        <v>11</v>
      </c>
      <c r="K25" t="n">
        <v>14</v>
      </c>
      <c r="L25" t="n">
        <v>7</v>
      </c>
      <c r="M25" t="n">
        <v>2</v>
      </c>
      <c r="N25" t="n">
        <v>1</v>
      </c>
      <c r="O25" t="n">
        <v>9</v>
      </c>
      <c r="P25" t="n">
        <v>10</v>
      </c>
      <c r="Q25" t="n">
        <v>16</v>
      </c>
      <c r="R25" t="n">
        <v>5</v>
      </c>
      <c r="S25" t="n">
        <v>13</v>
      </c>
    </row>
    <row r="26">
      <c r="A26" s="93" t="n">
        <v>44562</v>
      </c>
      <c r="B26" t="n">
        <v>17</v>
      </c>
      <c r="C26" t="n">
        <v>1</v>
      </c>
      <c r="D26" t="n">
        <v>5</v>
      </c>
      <c r="E26" t="n">
        <v>14</v>
      </c>
      <c r="F26" t="n">
        <v>6</v>
      </c>
      <c r="G26" t="n">
        <v>3</v>
      </c>
      <c r="H26" t="n">
        <v>12</v>
      </c>
      <c r="I26" t="n">
        <v>9</v>
      </c>
      <c r="J26" t="n">
        <v>16</v>
      </c>
      <c r="K26" t="n">
        <v>11</v>
      </c>
      <c r="L26" t="n">
        <v>7</v>
      </c>
      <c r="M26" t="n">
        <v>8</v>
      </c>
      <c r="N26" t="n">
        <v>18</v>
      </c>
      <c r="O26" t="n">
        <v>4</v>
      </c>
      <c r="P26" t="n">
        <v>2</v>
      </c>
      <c r="Q26" t="n">
        <v>15</v>
      </c>
      <c r="R26" t="n">
        <v>13</v>
      </c>
      <c r="S26" t="n">
        <v>10</v>
      </c>
    </row>
    <row r="27">
      <c r="A27" s="93" t="n">
        <v>44593</v>
      </c>
      <c r="B27" t="n">
        <v>11</v>
      </c>
      <c r="C27" t="n">
        <v>5</v>
      </c>
      <c r="D27" t="n">
        <v>3</v>
      </c>
      <c r="E27" t="n">
        <v>2</v>
      </c>
      <c r="F27" t="n">
        <v>7</v>
      </c>
      <c r="G27" t="n">
        <v>6</v>
      </c>
      <c r="H27" t="n">
        <v>9</v>
      </c>
      <c r="I27" t="n">
        <v>10</v>
      </c>
      <c r="J27" t="n">
        <v>18</v>
      </c>
      <c r="K27" t="n">
        <v>17</v>
      </c>
      <c r="L27" t="n">
        <v>13</v>
      </c>
      <c r="M27" t="n">
        <v>4</v>
      </c>
      <c r="N27" t="n">
        <v>12</v>
      </c>
      <c r="O27" t="n">
        <v>8</v>
      </c>
      <c r="P27" t="n">
        <v>15</v>
      </c>
      <c r="Q27" t="n">
        <v>16</v>
      </c>
      <c r="R27" t="n">
        <v>1</v>
      </c>
      <c r="S27" t="n">
        <v>14</v>
      </c>
    </row>
    <row r="28">
      <c r="A28" s="93" t="n">
        <v>44621</v>
      </c>
      <c r="B28" t="n">
        <v>9</v>
      </c>
      <c r="C28" t="n">
        <v>6</v>
      </c>
      <c r="D28" t="n">
        <v>2</v>
      </c>
      <c r="E28" t="n">
        <v>3</v>
      </c>
      <c r="F28" t="n">
        <v>1</v>
      </c>
      <c r="G28" t="n">
        <v>12</v>
      </c>
      <c r="H28" t="n">
        <v>15</v>
      </c>
      <c r="I28" t="n">
        <v>16</v>
      </c>
      <c r="J28" t="n">
        <v>18</v>
      </c>
      <c r="K28" t="n">
        <v>10</v>
      </c>
      <c r="L28" t="n">
        <v>7</v>
      </c>
      <c r="M28" t="n">
        <v>4</v>
      </c>
      <c r="N28" t="n">
        <v>13</v>
      </c>
      <c r="O28" t="n">
        <v>11</v>
      </c>
      <c r="P28" t="n">
        <v>8</v>
      </c>
      <c r="Q28" t="n">
        <v>17</v>
      </c>
      <c r="R28" t="n">
        <v>5</v>
      </c>
      <c r="S28" t="n">
        <v>14</v>
      </c>
    </row>
    <row r="29">
      <c r="A29" s="93" t="n">
        <v>44652</v>
      </c>
      <c r="B29" t="n">
        <v>18</v>
      </c>
      <c r="C29" t="n">
        <v>2</v>
      </c>
      <c r="D29" t="n">
        <v>4</v>
      </c>
      <c r="E29" t="n">
        <v>13</v>
      </c>
      <c r="F29" t="n">
        <v>10</v>
      </c>
      <c r="G29" t="n">
        <v>16</v>
      </c>
      <c r="H29" t="n">
        <v>6</v>
      </c>
      <c r="I29" t="n">
        <v>17</v>
      </c>
      <c r="J29" t="n">
        <v>14</v>
      </c>
      <c r="K29" t="n">
        <v>15</v>
      </c>
      <c r="L29" t="n">
        <v>9</v>
      </c>
      <c r="M29" t="n">
        <v>5</v>
      </c>
      <c r="N29" t="n">
        <v>1</v>
      </c>
      <c r="O29" t="n">
        <v>7</v>
      </c>
      <c r="P29" t="n">
        <v>11</v>
      </c>
      <c r="Q29" t="n">
        <v>12</v>
      </c>
      <c r="R29" t="n">
        <v>3</v>
      </c>
      <c r="S29" t="n">
        <v>8</v>
      </c>
    </row>
    <row r="30">
      <c r="A30" s="93" t="n">
        <v>44682</v>
      </c>
      <c r="B30" t="n">
        <v>18</v>
      </c>
      <c r="C30" t="n">
        <v>10</v>
      </c>
      <c r="D30" t="n">
        <v>3</v>
      </c>
      <c r="E30" t="n">
        <v>14</v>
      </c>
      <c r="F30" t="n">
        <v>7</v>
      </c>
      <c r="G30" t="n">
        <v>12</v>
      </c>
      <c r="H30" t="n">
        <v>13</v>
      </c>
      <c r="I30" t="n">
        <v>17</v>
      </c>
      <c r="J30" t="n">
        <v>16</v>
      </c>
      <c r="K30" t="n">
        <v>11</v>
      </c>
      <c r="L30" t="n">
        <v>9</v>
      </c>
      <c r="M30" t="n">
        <v>4</v>
      </c>
      <c r="N30" t="n">
        <v>1</v>
      </c>
      <c r="O30" t="n">
        <v>5</v>
      </c>
      <c r="P30" t="n">
        <v>8</v>
      </c>
      <c r="Q30" t="n">
        <v>15</v>
      </c>
      <c r="R30" t="n">
        <v>6</v>
      </c>
      <c r="S30" t="n">
        <v>2</v>
      </c>
    </row>
    <row r="31">
      <c r="A31" s="93" t="n">
        <v>44713</v>
      </c>
      <c r="B31" t="n">
        <v>18</v>
      </c>
      <c r="C31" t="n">
        <v>2</v>
      </c>
      <c r="D31" t="n">
        <v>4</v>
      </c>
      <c r="E31" t="n">
        <v>13</v>
      </c>
      <c r="F31" t="n">
        <v>7</v>
      </c>
      <c r="G31" t="n">
        <v>8</v>
      </c>
      <c r="H31" t="n">
        <v>16</v>
      </c>
      <c r="I31" t="n">
        <v>17</v>
      </c>
      <c r="J31" t="n">
        <v>6</v>
      </c>
      <c r="K31" t="n">
        <v>11</v>
      </c>
      <c r="L31" t="n">
        <v>15</v>
      </c>
      <c r="M31" t="n">
        <v>9</v>
      </c>
      <c r="N31" t="n">
        <v>1</v>
      </c>
      <c r="O31" t="n">
        <v>10</v>
      </c>
      <c r="P31" t="n">
        <v>12</v>
      </c>
      <c r="Q31" t="n">
        <v>3</v>
      </c>
      <c r="R31" t="n">
        <v>14</v>
      </c>
      <c r="S31" t="n">
        <v>5</v>
      </c>
    </row>
  </sheetData>
  <pageMargins left="0.7" right="0.7" top="0.75" bottom="0.75" header="0.3" footer="0.3"/>
</worksheet>
</file>

<file path=xl/worksheets/sheet3.xml><?xml version="1.0" encoding="utf-8"?>
<worksheet xmlns="http://schemas.openxmlformats.org/spreadsheetml/2006/main">
  <sheetPr>
    <tabColor theme="6"/>
    <outlinePr summaryBelow="1" summaryRight="1"/>
    <pageSetUpPr/>
  </sheetPr>
  <dimension ref="A1:S31"/>
  <sheetViews>
    <sheetView zoomScale="150" zoomScaleNormal="150" workbookViewId="0">
      <selection activeCell="J58" sqref="J58"/>
    </sheetView>
  </sheetViews>
  <sheetFormatPr baseColWidth="10" defaultRowHeight="15"/>
  <sheetData>
    <row r="1">
      <c r="A1" t="inlineStr">
        <is>
          <t>DATE</t>
        </is>
      </c>
      <c r="B1" t="inlineStr">
        <is>
          <t>Arts, Entertainment &amp; Recreation</t>
        </is>
      </c>
      <c r="C1" t="inlineStr">
        <is>
          <t>Other Services</t>
        </is>
      </c>
      <c r="D1" t="inlineStr">
        <is>
          <t>Health Care &amp; Social Assistance</t>
        </is>
      </c>
      <c r="E1" t="inlineStr">
        <is>
          <t>Accommodation &amp; Food Services</t>
        </is>
      </c>
      <c r="F1" t="inlineStr">
        <is>
          <t>Finance &amp; Insurance</t>
        </is>
      </c>
      <c r="G1" t="inlineStr">
        <is>
          <t>Real Estate, Rental &amp; Leasing</t>
        </is>
      </c>
      <c r="H1" t="inlineStr">
        <is>
          <t>Transportation &amp; Warehousing</t>
        </is>
      </c>
      <c r="I1" t="inlineStr">
        <is>
          <t>Mining</t>
        </is>
      </c>
      <c r="J1" t="inlineStr">
        <is>
          <t>Construction</t>
        </is>
      </c>
      <c r="K1" t="inlineStr">
        <is>
          <t>Wholesale Trade</t>
        </is>
      </c>
      <c r="L1" t="inlineStr">
        <is>
          <t>Public Administration</t>
        </is>
      </c>
      <c r="M1" t="inlineStr">
        <is>
          <t>Professional, Scientific &amp; Technical Services</t>
        </is>
      </c>
      <c r="N1" t="inlineStr">
        <is>
          <t>Agriculture, Forestry, Fishing &amp; Hunting</t>
        </is>
      </c>
      <c r="O1" t="inlineStr">
        <is>
          <t>Information</t>
        </is>
      </c>
      <c r="P1" t="inlineStr">
        <is>
          <t>Educational Services</t>
        </is>
      </c>
      <c r="Q1" t="inlineStr">
        <is>
          <t>Management of Companies &amp; Support Services</t>
        </is>
      </c>
      <c r="R1" t="inlineStr">
        <is>
          <t>Retail Trade</t>
        </is>
      </c>
      <c r="S1" t="inlineStr">
        <is>
          <t>Utilities</t>
        </is>
      </c>
    </row>
    <row r="2">
      <c r="A2" s="93" t="n">
        <v>43831</v>
      </c>
      <c r="B2" t="n">
        <v>-3</v>
      </c>
      <c r="C2" t="n">
        <v>-1</v>
      </c>
      <c r="D2" t="n">
        <v>10</v>
      </c>
      <c r="E2" t="n">
        <v>5</v>
      </c>
      <c r="F2" t="n">
        <v>7</v>
      </c>
      <c r="G2" t="n">
        <v>0</v>
      </c>
      <c r="H2" t="n">
        <v>9</v>
      </c>
      <c r="I2" t="n">
        <v>-4</v>
      </c>
      <c r="J2" t="n">
        <v>6</v>
      </c>
      <c r="K2" t="n">
        <v>-2</v>
      </c>
      <c r="L2" t="n">
        <v>8</v>
      </c>
      <c r="M2" t="n">
        <v>1</v>
      </c>
      <c r="N2" t="n">
        <v>12</v>
      </c>
      <c r="O2" t="n">
        <v>3</v>
      </c>
      <c r="P2" t="n">
        <v>2</v>
      </c>
      <c r="Q2" t="n">
        <v>11</v>
      </c>
      <c r="R2" t="n">
        <v>0</v>
      </c>
      <c r="S2" t="n">
        <v>4</v>
      </c>
    </row>
    <row r="3">
      <c r="A3" s="93" t="n">
        <v>43862</v>
      </c>
      <c r="B3" t="n">
        <v>-3</v>
      </c>
      <c r="C3" t="n">
        <v>1</v>
      </c>
      <c r="D3" t="n">
        <v>6</v>
      </c>
      <c r="E3" t="n">
        <v>13</v>
      </c>
      <c r="F3" t="n">
        <v>9</v>
      </c>
      <c r="G3" t="n">
        <v>10</v>
      </c>
      <c r="H3" t="n">
        <v>7</v>
      </c>
      <c r="I3" t="n">
        <v>11</v>
      </c>
      <c r="J3" t="n">
        <v>4</v>
      </c>
      <c r="K3" t="n">
        <v>3</v>
      </c>
      <c r="L3" t="n">
        <v>8</v>
      </c>
      <c r="M3" t="n">
        <v>2</v>
      </c>
      <c r="N3" t="n">
        <v>0</v>
      </c>
      <c r="O3" t="n">
        <v>-2</v>
      </c>
      <c r="P3" t="n">
        <v>5</v>
      </c>
      <c r="Q3" t="n">
        <v>12</v>
      </c>
      <c r="R3" t="n">
        <v>0</v>
      </c>
      <c r="S3" t="n">
        <v>-1</v>
      </c>
    </row>
    <row r="4">
      <c r="A4" s="93" t="n">
        <v>43891</v>
      </c>
      <c r="B4" t="n">
        <v>-9</v>
      </c>
      <c r="C4" t="n">
        <v>-7</v>
      </c>
      <c r="D4" t="n">
        <v>5</v>
      </c>
      <c r="E4" t="n">
        <v>4</v>
      </c>
      <c r="F4" t="n">
        <v>1</v>
      </c>
      <c r="G4" t="n">
        <v>0</v>
      </c>
      <c r="H4" t="n">
        <v>-3</v>
      </c>
      <c r="I4" t="n">
        <v>-8</v>
      </c>
      <c r="J4" t="n">
        <v>3</v>
      </c>
      <c r="K4" t="n">
        <v>-2</v>
      </c>
      <c r="L4" t="n">
        <v>2</v>
      </c>
      <c r="M4" t="n">
        <v>-4</v>
      </c>
      <c r="N4" t="n">
        <v>0</v>
      </c>
      <c r="O4" t="n">
        <v>-1</v>
      </c>
      <c r="P4" t="n">
        <v>-6</v>
      </c>
      <c r="Q4" t="n">
        <v>0</v>
      </c>
      <c r="R4" t="n">
        <v>-5</v>
      </c>
      <c r="S4" t="n">
        <v>0</v>
      </c>
    </row>
    <row r="5">
      <c r="A5" s="93" t="n">
        <v>43922</v>
      </c>
      <c r="B5" t="n">
        <v>-17</v>
      </c>
      <c r="C5" t="n">
        <v>-13</v>
      </c>
      <c r="D5" t="n">
        <v>-4</v>
      </c>
      <c r="E5" t="n">
        <v>-2</v>
      </c>
      <c r="F5" t="n">
        <v>0</v>
      </c>
      <c r="G5" t="n">
        <v>-12</v>
      </c>
      <c r="H5" t="n">
        <v>-15</v>
      </c>
      <c r="I5" t="n">
        <v>-5</v>
      </c>
      <c r="J5" t="n">
        <v>-7</v>
      </c>
      <c r="K5" t="n">
        <v>-8</v>
      </c>
      <c r="L5" t="n">
        <v>-1</v>
      </c>
      <c r="M5" t="n">
        <v>-11</v>
      </c>
      <c r="N5" t="n">
        <v>-16</v>
      </c>
      <c r="O5" t="n">
        <v>-3</v>
      </c>
      <c r="P5" t="n">
        <v>-10</v>
      </c>
      <c r="Q5" t="n">
        <v>-9</v>
      </c>
      <c r="R5" t="n">
        <v>-14</v>
      </c>
      <c r="S5" t="n">
        <v>-6</v>
      </c>
    </row>
    <row r="6">
      <c r="A6" s="93" t="n">
        <v>43952</v>
      </c>
      <c r="B6" t="n">
        <v>-8</v>
      </c>
      <c r="C6" t="n">
        <v>-10</v>
      </c>
      <c r="D6" t="n">
        <v>-6</v>
      </c>
      <c r="E6" t="n">
        <v>-5</v>
      </c>
      <c r="F6" t="n">
        <v>2</v>
      </c>
      <c r="G6" t="n">
        <v>0</v>
      </c>
      <c r="H6" t="n">
        <v>-2</v>
      </c>
      <c r="I6" t="n">
        <v>-13</v>
      </c>
      <c r="J6" t="n">
        <v>-11</v>
      </c>
      <c r="K6" t="n">
        <v>-4</v>
      </c>
      <c r="L6" t="n">
        <v>0</v>
      </c>
      <c r="M6" t="n">
        <v>-7</v>
      </c>
      <c r="N6" t="n">
        <v>3</v>
      </c>
      <c r="O6" t="n">
        <v>-1</v>
      </c>
      <c r="P6" t="n">
        <v>-12</v>
      </c>
      <c r="Q6" t="n">
        <v>-3</v>
      </c>
      <c r="R6" t="n">
        <v>1</v>
      </c>
      <c r="S6" t="n">
        <v>-9</v>
      </c>
    </row>
    <row r="7">
      <c r="A7" s="93" t="n">
        <v>43983</v>
      </c>
      <c r="B7" t="n">
        <v>0</v>
      </c>
      <c r="C7" t="n">
        <v>-1</v>
      </c>
      <c r="D7" t="n">
        <v>11</v>
      </c>
      <c r="E7" t="n">
        <v>14</v>
      </c>
      <c r="F7" t="n">
        <v>13</v>
      </c>
      <c r="G7" t="n">
        <v>7</v>
      </c>
      <c r="H7" t="n">
        <v>5</v>
      </c>
      <c r="I7" t="n">
        <v>2</v>
      </c>
      <c r="J7" t="n">
        <v>12</v>
      </c>
      <c r="K7" t="n">
        <v>4</v>
      </c>
      <c r="L7" t="n">
        <v>0</v>
      </c>
      <c r="M7" t="n">
        <v>1</v>
      </c>
      <c r="N7" t="n">
        <v>8</v>
      </c>
      <c r="O7" t="n">
        <v>3</v>
      </c>
      <c r="P7" t="n">
        <v>6</v>
      </c>
      <c r="Q7" t="n">
        <v>15</v>
      </c>
      <c r="R7" t="n">
        <v>9</v>
      </c>
      <c r="S7" t="n">
        <v>10</v>
      </c>
    </row>
    <row r="8">
      <c r="A8" s="93" t="n">
        <v>44013</v>
      </c>
      <c r="B8" t="n">
        <v>11</v>
      </c>
      <c r="C8" t="n">
        <v>-2</v>
      </c>
      <c r="D8" t="n">
        <v>9</v>
      </c>
      <c r="E8" t="n">
        <v>5</v>
      </c>
      <c r="F8" t="n">
        <v>2</v>
      </c>
      <c r="G8" t="n">
        <v>8</v>
      </c>
      <c r="H8" t="n">
        <v>14</v>
      </c>
      <c r="I8" t="n">
        <v>-3</v>
      </c>
      <c r="J8" t="n">
        <v>4</v>
      </c>
      <c r="K8" t="n">
        <v>10</v>
      </c>
      <c r="L8" t="n">
        <v>7</v>
      </c>
      <c r="M8" t="n">
        <v>0</v>
      </c>
      <c r="N8" t="n">
        <v>6</v>
      </c>
      <c r="O8" t="n">
        <v>-1</v>
      </c>
      <c r="P8" t="n">
        <v>12</v>
      </c>
      <c r="Q8" t="n">
        <v>3</v>
      </c>
      <c r="R8" t="n">
        <v>13</v>
      </c>
      <c r="S8" t="n">
        <v>1</v>
      </c>
    </row>
    <row r="9">
      <c r="A9" s="93" t="n">
        <v>44044</v>
      </c>
      <c r="B9" t="n">
        <v>13</v>
      </c>
      <c r="C9" t="n">
        <v>0</v>
      </c>
      <c r="D9" t="n">
        <v>9</v>
      </c>
      <c r="E9" t="n">
        <v>2</v>
      </c>
      <c r="F9" t="n">
        <v>4</v>
      </c>
      <c r="G9" t="n">
        <v>10</v>
      </c>
      <c r="H9" t="n">
        <v>5</v>
      </c>
      <c r="I9" t="n">
        <v>-1</v>
      </c>
      <c r="J9" t="n">
        <v>6</v>
      </c>
      <c r="K9" t="n">
        <v>8</v>
      </c>
      <c r="L9" t="n">
        <v>7</v>
      </c>
      <c r="M9" t="n">
        <v>0</v>
      </c>
      <c r="N9" t="n">
        <v>-3</v>
      </c>
      <c r="O9" t="n">
        <v>-2</v>
      </c>
      <c r="P9" t="n">
        <v>3</v>
      </c>
      <c r="Q9" t="n">
        <v>11</v>
      </c>
      <c r="R9" t="n">
        <v>1</v>
      </c>
      <c r="S9" t="n">
        <v>12</v>
      </c>
    </row>
    <row r="10">
      <c r="A10" s="93" t="n">
        <v>44075</v>
      </c>
      <c r="B10" t="n">
        <v>16</v>
      </c>
      <c r="C10" t="n">
        <v>2</v>
      </c>
      <c r="D10" t="n">
        <v>9</v>
      </c>
      <c r="E10" t="n">
        <v>13</v>
      </c>
      <c r="F10" t="n">
        <v>7</v>
      </c>
      <c r="G10" t="n">
        <v>15</v>
      </c>
      <c r="H10" t="n">
        <v>11</v>
      </c>
      <c r="I10" t="n">
        <v>5</v>
      </c>
      <c r="J10" t="n">
        <v>4</v>
      </c>
      <c r="K10" t="n">
        <v>10</v>
      </c>
      <c r="L10" t="n">
        <v>6</v>
      </c>
      <c r="M10" t="n">
        <v>1</v>
      </c>
      <c r="N10" t="n">
        <v>-1</v>
      </c>
      <c r="O10" t="n">
        <v>3</v>
      </c>
      <c r="P10" t="n">
        <v>8</v>
      </c>
      <c r="Q10" t="n">
        <v>12</v>
      </c>
      <c r="R10" t="n">
        <v>0</v>
      </c>
      <c r="S10" t="n">
        <v>14</v>
      </c>
    </row>
    <row r="11">
      <c r="A11" s="93" t="n">
        <v>44105</v>
      </c>
      <c r="B11" t="n">
        <v>0</v>
      </c>
      <c r="C11" t="n">
        <v>5</v>
      </c>
      <c r="D11" t="n">
        <v>11</v>
      </c>
      <c r="E11" t="n">
        <v>15</v>
      </c>
      <c r="F11" t="n">
        <v>8</v>
      </c>
      <c r="G11" t="n">
        <v>13</v>
      </c>
      <c r="H11" t="n">
        <v>16</v>
      </c>
      <c r="I11" t="n">
        <v>14</v>
      </c>
      <c r="J11" t="n">
        <v>10</v>
      </c>
      <c r="K11" t="n">
        <v>3</v>
      </c>
      <c r="L11" t="n">
        <v>-1</v>
      </c>
      <c r="M11" t="n">
        <v>4</v>
      </c>
      <c r="N11" t="n">
        <v>12</v>
      </c>
      <c r="O11" t="n">
        <v>2</v>
      </c>
      <c r="P11" t="n">
        <v>7</v>
      </c>
      <c r="Q11" t="n">
        <v>9</v>
      </c>
      <c r="R11" t="n">
        <v>1</v>
      </c>
      <c r="S11" t="n">
        <v>6</v>
      </c>
    </row>
    <row r="12">
      <c r="A12" s="93" t="n">
        <v>44136</v>
      </c>
      <c r="B12" t="n">
        <v>-4</v>
      </c>
      <c r="C12" t="n">
        <v>-2</v>
      </c>
      <c r="D12" t="n">
        <v>12</v>
      </c>
      <c r="E12" t="n">
        <v>10</v>
      </c>
      <c r="F12" t="n">
        <v>9</v>
      </c>
      <c r="G12" t="n">
        <v>-3</v>
      </c>
      <c r="H12" t="n">
        <v>14</v>
      </c>
      <c r="I12" t="n">
        <v>6</v>
      </c>
      <c r="J12" t="n">
        <v>5</v>
      </c>
      <c r="K12" t="n">
        <v>4</v>
      </c>
      <c r="L12" t="n">
        <v>3</v>
      </c>
      <c r="M12" t="n">
        <v>8</v>
      </c>
      <c r="N12" t="n">
        <v>-1</v>
      </c>
      <c r="O12" t="n">
        <v>2</v>
      </c>
      <c r="P12" t="n">
        <v>1</v>
      </c>
      <c r="Q12" t="n">
        <v>13</v>
      </c>
      <c r="R12" t="n">
        <v>7</v>
      </c>
      <c r="S12" t="n">
        <v>11</v>
      </c>
    </row>
    <row r="13">
      <c r="A13" s="93" t="n">
        <v>44166</v>
      </c>
      <c r="B13" t="n">
        <v>0</v>
      </c>
      <c r="C13" t="n">
        <v>-5</v>
      </c>
      <c r="D13" t="n">
        <v>10</v>
      </c>
      <c r="E13" t="n">
        <v>-4</v>
      </c>
      <c r="F13" t="n">
        <v>3</v>
      </c>
      <c r="G13" t="n">
        <v>-3</v>
      </c>
      <c r="H13" t="n">
        <v>9</v>
      </c>
      <c r="I13" t="n">
        <v>5</v>
      </c>
      <c r="J13" t="n">
        <v>-2</v>
      </c>
      <c r="K13" t="n">
        <v>4</v>
      </c>
      <c r="L13" t="n">
        <v>0</v>
      </c>
      <c r="M13" t="n">
        <v>2</v>
      </c>
      <c r="N13" t="n">
        <v>6</v>
      </c>
      <c r="O13" t="n">
        <v>8</v>
      </c>
      <c r="P13" t="n">
        <v>-1</v>
      </c>
      <c r="Q13" t="n">
        <v>11</v>
      </c>
      <c r="R13" t="n">
        <v>7</v>
      </c>
      <c r="S13" t="n">
        <v>1</v>
      </c>
    </row>
    <row r="14">
      <c r="A14" s="93" t="n">
        <v>44197</v>
      </c>
      <c r="B14" t="n">
        <v>0</v>
      </c>
      <c r="C14" t="n">
        <v>0</v>
      </c>
      <c r="D14" t="n">
        <v>5</v>
      </c>
      <c r="E14" t="n">
        <v>6</v>
      </c>
      <c r="F14" t="n">
        <v>0</v>
      </c>
      <c r="G14" t="n">
        <v>8</v>
      </c>
      <c r="H14" t="n">
        <v>0</v>
      </c>
      <c r="I14" t="n">
        <v>0</v>
      </c>
      <c r="J14" t="n">
        <v>10</v>
      </c>
      <c r="K14" t="n">
        <v>7</v>
      </c>
      <c r="L14" t="n">
        <v>3</v>
      </c>
      <c r="M14" t="n">
        <v>4</v>
      </c>
      <c r="N14" t="n">
        <v>0</v>
      </c>
      <c r="O14" t="n">
        <v>1</v>
      </c>
      <c r="P14" t="n">
        <v>0</v>
      </c>
      <c r="Q14" t="n">
        <v>0</v>
      </c>
      <c r="R14" t="n">
        <v>-2</v>
      </c>
      <c r="S14" t="n">
        <v>2</v>
      </c>
    </row>
    <row r="15">
      <c r="A15" s="93" t="n">
        <v>44228</v>
      </c>
      <c r="B15" t="n">
        <v>13</v>
      </c>
      <c r="C15" t="n">
        <v>-1</v>
      </c>
      <c r="D15" t="n">
        <v>3</v>
      </c>
      <c r="E15" t="n">
        <v>14</v>
      </c>
      <c r="F15" t="n">
        <v>4</v>
      </c>
      <c r="G15" t="n">
        <v>-3</v>
      </c>
      <c r="H15" t="n">
        <v>11</v>
      </c>
      <c r="I15" t="n">
        <v>5</v>
      </c>
      <c r="J15" t="n">
        <v>6</v>
      </c>
      <c r="K15" t="n">
        <v>12</v>
      </c>
      <c r="L15" t="n">
        <v>10</v>
      </c>
      <c r="M15" t="n">
        <v>1</v>
      </c>
      <c r="N15" t="n">
        <v>-2</v>
      </c>
      <c r="O15" t="n">
        <v>2</v>
      </c>
      <c r="P15" t="n">
        <v>8</v>
      </c>
      <c r="Q15" t="n">
        <v>7</v>
      </c>
      <c r="R15" t="n">
        <v>0</v>
      </c>
      <c r="S15" t="n">
        <v>9</v>
      </c>
    </row>
    <row r="16">
      <c r="A16" s="93" t="n">
        <v>44256</v>
      </c>
      <c r="B16" t="n">
        <v>17</v>
      </c>
      <c r="C16" t="n">
        <v>-1</v>
      </c>
      <c r="D16" t="n">
        <v>6</v>
      </c>
      <c r="E16" t="n">
        <v>14</v>
      </c>
      <c r="F16" t="n">
        <v>9</v>
      </c>
      <c r="G16" t="n">
        <v>11</v>
      </c>
      <c r="H16" t="n">
        <v>7</v>
      </c>
      <c r="I16" t="n">
        <v>16</v>
      </c>
      <c r="J16" t="n">
        <v>5</v>
      </c>
      <c r="K16" t="n">
        <v>13</v>
      </c>
      <c r="L16" t="n">
        <v>8</v>
      </c>
      <c r="M16" t="n">
        <v>1</v>
      </c>
      <c r="N16" t="n">
        <v>12</v>
      </c>
      <c r="O16" t="n">
        <v>4</v>
      </c>
      <c r="P16" t="n">
        <v>2</v>
      </c>
      <c r="Q16" t="n">
        <v>15</v>
      </c>
      <c r="R16" t="n">
        <v>3</v>
      </c>
      <c r="S16" t="n">
        <v>10</v>
      </c>
    </row>
    <row r="17">
      <c r="A17" s="93" t="n">
        <v>44287</v>
      </c>
      <c r="B17" t="n">
        <v>17</v>
      </c>
      <c r="C17" t="n">
        <v>3</v>
      </c>
      <c r="D17" t="n">
        <v>6</v>
      </c>
      <c r="E17" t="n">
        <v>10</v>
      </c>
      <c r="F17" t="n">
        <v>7</v>
      </c>
      <c r="G17" t="n">
        <v>1</v>
      </c>
      <c r="H17" t="n">
        <v>5</v>
      </c>
      <c r="I17" t="n">
        <v>12</v>
      </c>
      <c r="J17" t="n">
        <v>8</v>
      </c>
      <c r="K17" t="n">
        <v>16</v>
      </c>
      <c r="L17" t="n">
        <v>14</v>
      </c>
      <c r="M17" t="n">
        <v>4</v>
      </c>
      <c r="N17" t="n">
        <v>-1</v>
      </c>
      <c r="O17" t="n">
        <v>2</v>
      </c>
      <c r="P17" t="n">
        <v>9</v>
      </c>
      <c r="Q17" t="n">
        <v>15</v>
      </c>
      <c r="R17" t="n">
        <v>11</v>
      </c>
      <c r="S17" t="n">
        <v>13</v>
      </c>
    </row>
    <row r="18">
      <c r="A18" s="93" t="n">
        <v>44317</v>
      </c>
      <c r="B18" t="n">
        <v>17</v>
      </c>
      <c r="C18" t="n">
        <v>6</v>
      </c>
      <c r="D18" t="n">
        <v>8</v>
      </c>
      <c r="E18" t="n">
        <v>4</v>
      </c>
      <c r="F18" t="n">
        <v>15</v>
      </c>
      <c r="G18" t="n">
        <v>12</v>
      </c>
      <c r="H18" t="n">
        <v>10</v>
      </c>
      <c r="I18" t="n">
        <v>14</v>
      </c>
      <c r="J18" t="n">
        <v>13</v>
      </c>
      <c r="K18" t="n">
        <v>16</v>
      </c>
      <c r="L18" t="n">
        <v>1</v>
      </c>
      <c r="M18" t="n">
        <v>2</v>
      </c>
      <c r="N18" t="n">
        <v>3</v>
      </c>
      <c r="O18" t="n">
        <v>9</v>
      </c>
      <c r="P18" t="n">
        <v>5</v>
      </c>
      <c r="Q18" t="n">
        <v>7</v>
      </c>
      <c r="R18" t="n">
        <v>18</v>
      </c>
      <c r="S18" t="n">
        <v>11</v>
      </c>
    </row>
    <row r="19">
      <c r="A19" s="93" t="n">
        <v>44348</v>
      </c>
      <c r="B19" t="n">
        <v>16</v>
      </c>
      <c r="C19" t="n">
        <v>15</v>
      </c>
      <c r="D19" t="n">
        <v>6</v>
      </c>
      <c r="E19" t="n">
        <v>4</v>
      </c>
      <c r="F19" t="n">
        <v>5</v>
      </c>
      <c r="G19" t="n">
        <v>-2</v>
      </c>
      <c r="H19" t="n">
        <v>11</v>
      </c>
      <c r="I19" t="n">
        <v>3</v>
      </c>
      <c r="J19" t="n">
        <v>8</v>
      </c>
      <c r="K19" t="n">
        <v>12</v>
      </c>
      <c r="L19" t="n">
        <v>7</v>
      </c>
      <c r="M19" t="n">
        <v>1</v>
      </c>
      <c r="N19" t="n">
        <v>-1</v>
      </c>
      <c r="O19" t="n">
        <v>10</v>
      </c>
      <c r="P19" t="n">
        <v>2</v>
      </c>
      <c r="Q19" t="n">
        <v>14</v>
      </c>
      <c r="R19" t="n">
        <v>9</v>
      </c>
      <c r="S19" t="n">
        <v>13</v>
      </c>
    </row>
    <row r="20">
      <c r="A20" s="93" t="n">
        <v>44378</v>
      </c>
      <c r="B20" t="n">
        <v>17</v>
      </c>
      <c r="C20" t="n">
        <v>6</v>
      </c>
      <c r="D20" t="n">
        <v>10</v>
      </c>
      <c r="E20" t="n">
        <v>12</v>
      </c>
      <c r="F20" t="n">
        <v>3</v>
      </c>
      <c r="G20" t="n">
        <v>13</v>
      </c>
      <c r="H20" t="n">
        <v>9</v>
      </c>
      <c r="I20" t="n">
        <v>1</v>
      </c>
      <c r="J20" t="n">
        <v>5</v>
      </c>
      <c r="K20" t="n">
        <v>15</v>
      </c>
      <c r="L20" t="n">
        <v>8</v>
      </c>
      <c r="M20" t="n">
        <v>4</v>
      </c>
      <c r="N20" t="n">
        <v>0</v>
      </c>
      <c r="O20" t="n">
        <v>11</v>
      </c>
      <c r="P20" t="n">
        <v>2</v>
      </c>
      <c r="Q20" t="n">
        <v>16</v>
      </c>
      <c r="R20" t="n">
        <v>14</v>
      </c>
      <c r="S20" t="n">
        <v>7</v>
      </c>
    </row>
    <row r="21">
      <c r="A21" s="93" t="n">
        <v>44409</v>
      </c>
      <c r="B21" t="n">
        <v>-2</v>
      </c>
      <c r="C21" t="n">
        <v>12</v>
      </c>
      <c r="D21" t="n">
        <v>10</v>
      </c>
      <c r="E21" t="n">
        <v>14</v>
      </c>
      <c r="F21" t="n">
        <v>5</v>
      </c>
      <c r="G21" t="n">
        <v>-1</v>
      </c>
      <c r="H21" t="n">
        <v>4</v>
      </c>
      <c r="I21" t="n">
        <v>3</v>
      </c>
      <c r="J21" t="n">
        <v>8</v>
      </c>
      <c r="K21" t="n">
        <v>2</v>
      </c>
      <c r="L21" t="n">
        <v>15</v>
      </c>
      <c r="M21" t="n">
        <v>1</v>
      </c>
      <c r="N21" t="n">
        <v>6</v>
      </c>
      <c r="O21" t="n">
        <v>7</v>
      </c>
      <c r="P21" t="n">
        <v>13</v>
      </c>
      <c r="Q21" t="n">
        <v>0</v>
      </c>
      <c r="R21" t="n">
        <v>11</v>
      </c>
      <c r="S21" t="n">
        <v>9</v>
      </c>
    </row>
    <row r="22">
      <c r="A22" s="93" t="n">
        <v>44440</v>
      </c>
      <c r="B22" t="n">
        <v>16</v>
      </c>
      <c r="C22" t="n">
        <v>4</v>
      </c>
      <c r="D22" t="n">
        <v>13</v>
      </c>
      <c r="E22" t="n">
        <v>6</v>
      </c>
      <c r="F22" t="n">
        <v>8</v>
      </c>
      <c r="G22" t="n">
        <v>14</v>
      </c>
      <c r="H22" t="n">
        <v>1</v>
      </c>
      <c r="I22" t="n">
        <v>2</v>
      </c>
      <c r="J22" t="n">
        <v>3</v>
      </c>
      <c r="K22" t="n">
        <v>7</v>
      </c>
      <c r="L22" t="n">
        <v>5</v>
      </c>
      <c r="M22" t="n">
        <v>11</v>
      </c>
      <c r="N22" t="n">
        <v>-1</v>
      </c>
      <c r="O22" t="n">
        <v>10</v>
      </c>
      <c r="P22" t="n">
        <v>15</v>
      </c>
      <c r="Q22" t="n">
        <v>12</v>
      </c>
      <c r="R22" t="n">
        <v>17</v>
      </c>
      <c r="S22" t="n">
        <v>9</v>
      </c>
    </row>
    <row r="23">
      <c r="A23" s="93" t="n">
        <v>44470</v>
      </c>
      <c r="B23" t="n">
        <v>10</v>
      </c>
      <c r="C23" t="n">
        <v>5</v>
      </c>
      <c r="D23" t="n">
        <v>11</v>
      </c>
      <c r="E23" t="n">
        <v>3</v>
      </c>
      <c r="F23" t="n">
        <v>7</v>
      </c>
      <c r="G23" t="n">
        <v>17</v>
      </c>
      <c r="H23" t="n">
        <v>14</v>
      </c>
      <c r="I23" t="n">
        <v>9</v>
      </c>
      <c r="J23" t="n">
        <v>4</v>
      </c>
      <c r="K23" t="n">
        <v>8</v>
      </c>
      <c r="L23" t="n">
        <v>1</v>
      </c>
      <c r="M23" t="n">
        <v>2</v>
      </c>
      <c r="N23" t="n">
        <v>-1</v>
      </c>
      <c r="O23" t="n">
        <v>15</v>
      </c>
      <c r="P23" t="n">
        <v>13</v>
      </c>
      <c r="Q23" t="n">
        <v>6</v>
      </c>
      <c r="R23" t="n">
        <v>16</v>
      </c>
      <c r="S23" t="n">
        <v>12</v>
      </c>
    </row>
    <row r="24">
      <c r="A24" s="93" t="n">
        <v>44501</v>
      </c>
      <c r="B24" t="n">
        <v>0</v>
      </c>
      <c r="C24" t="n">
        <v>7</v>
      </c>
      <c r="D24" t="n">
        <v>11</v>
      </c>
      <c r="E24" t="n">
        <v>0</v>
      </c>
      <c r="F24" t="n">
        <v>5</v>
      </c>
      <c r="G24" t="n">
        <v>14</v>
      </c>
      <c r="H24" t="n">
        <v>13</v>
      </c>
      <c r="I24" t="n">
        <v>3</v>
      </c>
      <c r="J24" t="n">
        <v>6</v>
      </c>
      <c r="K24" t="n">
        <v>12</v>
      </c>
      <c r="L24" t="n">
        <v>9</v>
      </c>
      <c r="M24" t="n">
        <v>2</v>
      </c>
      <c r="N24" t="n">
        <v>8</v>
      </c>
      <c r="O24" t="n">
        <v>4</v>
      </c>
      <c r="P24" t="n">
        <v>1</v>
      </c>
      <c r="Q24" t="n">
        <v>16</v>
      </c>
      <c r="R24" t="n">
        <v>15</v>
      </c>
      <c r="S24" t="n">
        <v>10</v>
      </c>
    </row>
    <row r="25">
      <c r="A25" s="93" t="n">
        <v>44531</v>
      </c>
      <c r="B25" t="n">
        <v>9</v>
      </c>
      <c r="C25" t="n">
        <v>7</v>
      </c>
      <c r="D25" t="n">
        <v>11</v>
      </c>
      <c r="E25" t="n">
        <v>15</v>
      </c>
      <c r="F25" t="n">
        <v>6</v>
      </c>
      <c r="G25" t="n">
        <v>5</v>
      </c>
      <c r="H25" t="n">
        <v>14</v>
      </c>
      <c r="I25" t="n">
        <v>-3</v>
      </c>
      <c r="J25" t="n">
        <v>8</v>
      </c>
      <c r="K25" t="n">
        <v>12</v>
      </c>
      <c r="L25" t="n">
        <v>1</v>
      </c>
      <c r="M25" t="n">
        <v>2</v>
      </c>
      <c r="N25" t="n">
        <v>-2</v>
      </c>
      <c r="O25" t="n">
        <v>3</v>
      </c>
      <c r="P25" t="n">
        <v>-1</v>
      </c>
      <c r="Q25" t="n">
        <v>10</v>
      </c>
      <c r="R25" t="n">
        <v>13</v>
      </c>
      <c r="S25" t="n">
        <v>4</v>
      </c>
    </row>
    <row r="26">
      <c r="A26" s="93" t="n">
        <v>44562</v>
      </c>
      <c r="B26" t="n">
        <v>-7</v>
      </c>
      <c r="C26" t="n">
        <v>0</v>
      </c>
      <c r="D26" t="n">
        <v>7</v>
      </c>
      <c r="E26" t="n">
        <v>-4</v>
      </c>
      <c r="F26" t="n">
        <v>2</v>
      </c>
      <c r="G26" t="n">
        <v>-2</v>
      </c>
      <c r="H26" t="n">
        <v>-3</v>
      </c>
      <c r="I26" t="n">
        <v>0</v>
      </c>
      <c r="J26" t="n">
        <v>6</v>
      </c>
      <c r="K26" t="n">
        <v>0</v>
      </c>
      <c r="L26" t="n">
        <v>5</v>
      </c>
      <c r="M26" t="n">
        <v>3</v>
      </c>
      <c r="N26" t="n">
        <v>-6</v>
      </c>
      <c r="O26" t="n">
        <v>-5</v>
      </c>
      <c r="P26" t="n">
        <v>-1</v>
      </c>
      <c r="Q26" t="n">
        <v>1</v>
      </c>
      <c r="R26" t="n">
        <v>8</v>
      </c>
      <c r="S26" t="n">
        <v>4</v>
      </c>
    </row>
    <row r="27">
      <c r="A27" s="93" t="n">
        <v>44593</v>
      </c>
      <c r="B27" t="n">
        <v>-3</v>
      </c>
      <c r="C27" t="n">
        <v>3</v>
      </c>
      <c r="D27" t="n">
        <v>1</v>
      </c>
      <c r="E27" t="n">
        <v>-1</v>
      </c>
      <c r="F27" t="n">
        <v>8</v>
      </c>
      <c r="G27" t="n">
        <v>-4</v>
      </c>
      <c r="H27" t="n">
        <v>11</v>
      </c>
      <c r="I27" t="n">
        <v>10</v>
      </c>
      <c r="J27" t="n">
        <v>7</v>
      </c>
      <c r="K27" t="n">
        <v>9</v>
      </c>
      <c r="L27" t="n">
        <v>6</v>
      </c>
      <c r="M27" t="n">
        <v>4</v>
      </c>
      <c r="N27" t="n">
        <v>-2</v>
      </c>
      <c r="O27" t="n">
        <v>0</v>
      </c>
      <c r="P27" t="n">
        <v>12</v>
      </c>
      <c r="Q27" t="n">
        <v>13</v>
      </c>
      <c r="R27" t="n">
        <v>2</v>
      </c>
      <c r="S27" t="n">
        <v>5</v>
      </c>
    </row>
    <row r="28">
      <c r="A28" s="93" t="n">
        <v>44621</v>
      </c>
      <c r="B28" t="n">
        <v>13</v>
      </c>
      <c r="C28" t="n">
        <v>10</v>
      </c>
      <c r="D28" t="n">
        <v>-1</v>
      </c>
      <c r="E28" t="n">
        <v>8</v>
      </c>
      <c r="F28" t="n">
        <v>3</v>
      </c>
      <c r="G28" t="n">
        <v>0</v>
      </c>
      <c r="H28" t="n">
        <v>4</v>
      </c>
      <c r="I28" t="n">
        <v>0</v>
      </c>
      <c r="J28" t="n">
        <v>6</v>
      </c>
      <c r="K28" t="n">
        <v>11</v>
      </c>
      <c r="L28" t="n">
        <v>5</v>
      </c>
      <c r="M28" t="n">
        <v>1</v>
      </c>
      <c r="N28" t="n">
        <v>-2</v>
      </c>
      <c r="O28" t="n">
        <v>7</v>
      </c>
      <c r="P28" t="n">
        <v>12</v>
      </c>
      <c r="Q28" t="n">
        <v>2</v>
      </c>
      <c r="R28" t="n">
        <v>0</v>
      </c>
      <c r="S28" t="n">
        <v>9</v>
      </c>
    </row>
    <row r="29">
      <c r="A29" s="93" t="n">
        <v>44652</v>
      </c>
      <c r="B29" t="n">
        <v>0</v>
      </c>
      <c r="C29" t="n">
        <v>2</v>
      </c>
      <c r="D29" t="n">
        <v>4</v>
      </c>
      <c r="E29" t="n">
        <v>13</v>
      </c>
      <c r="F29" t="n">
        <v>1</v>
      </c>
      <c r="G29" t="n">
        <v>14</v>
      </c>
      <c r="H29" t="n">
        <v>8</v>
      </c>
      <c r="I29" t="n">
        <v>11</v>
      </c>
      <c r="J29" t="n">
        <v>6</v>
      </c>
      <c r="K29" t="n">
        <v>3</v>
      </c>
      <c r="L29" t="n">
        <v>10</v>
      </c>
      <c r="M29" t="n">
        <v>7</v>
      </c>
      <c r="N29" t="n">
        <v>0</v>
      </c>
      <c r="O29" t="n">
        <v>0</v>
      </c>
      <c r="P29" t="n">
        <v>12</v>
      </c>
      <c r="Q29" t="n">
        <v>5</v>
      </c>
      <c r="R29" t="n">
        <v>0</v>
      </c>
      <c r="S29" t="n">
        <v>9</v>
      </c>
    </row>
    <row r="30">
      <c r="A30" s="93" t="n">
        <v>44682</v>
      </c>
      <c r="B30" t="n">
        <v>10</v>
      </c>
      <c r="C30" t="n">
        <v>0</v>
      </c>
      <c r="D30" t="n">
        <v>1</v>
      </c>
      <c r="E30" t="n">
        <v>5</v>
      </c>
      <c r="F30" t="n">
        <v>0</v>
      </c>
      <c r="G30" t="n">
        <v>8</v>
      </c>
      <c r="H30" t="n">
        <v>2</v>
      </c>
      <c r="I30" t="n">
        <v>13</v>
      </c>
      <c r="J30" t="n">
        <v>12</v>
      </c>
      <c r="K30" t="n">
        <v>4</v>
      </c>
      <c r="L30" t="n">
        <v>3</v>
      </c>
      <c r="M30" t="n">
        <v>6</v>
      </c>
      <c r="N30" t="n">
        <v>-3</v>
      </c>
      <c r="O30" t="n">
        <v>-1</v>
      </c>
      <c r="P30" t="n">
        <v>11</v>
      </c>
      <c r="Q30" t="n">
        <v>9</v>
      </c>
      <c r="R30" t="n">
        <v>-2</v>
      </c>
      <c r="S30" t="n">
        <v>7</v>
      </c>
    </row>
    <row r="31">
      <c r="A31" s="93" t="n">
        <v>44713</v>
      </c>
      <c r="B31" t="n">
        <v>11</v>
      </c>
      <c r="C31" t="n">
        <v>13</v>
      </c>
      <c r="D31" t="n">
        <v>4</v>
      </c>
      <c r="E31" t="n">
        <v>12</v>
      </c>
      <c r="F31" t="n">
        <v>7</v>
      </c>
      <c r="G31" t="n">
        <v>0</v>
      </c>
      <c r="H31" t="n">
        <v>2</v>
      </c>
      <c r="I31" t="n">
        <v>10</v>
      </c>
      <c r="J31" t="n">
        <v>14</v>
      </c>
      <c r="K31" t="n">
        <v>6</v>
      </c>
      <c r="L31" t="n">
        <v>1</v>
      </c>
      <c r="M31" t="n">
        <v>9</v>
      </c>
      <c r="N31" t="n">
        <v>0</v>
      </c>
      <c r="O31" t="n">
        <v>3</v>
      </c>
      <c r="P31" t="n">
        <v>5</v>
      </c>
      <c r="Q31" t="n">
        <v>15</v>
      </c>
      <c r="R31" t="n">
        <v>0</v>
      </c>
      <c r="S31" t="n">
        <v>8</v>
      </c>
    </row>
  </sheetData>
  <pageMargins left="0.7" right="0.7" top="0.75" bottom="0.75" header="0.3" footer="0.3"/>
</worksheet>
</file>

<file path=xl/worksheets/sheet4.xml><?xml version="1.0" encoding="utf-8"?>
<worksheet xmlns="http://schemas.openxmlformats.org/spreadsheetml/2006/main">
  <sheetPr>
    <tabColor theme="6"/>
    <outlinePr summaryBelow="1" summaryRight="1"/>
    <pageSetUpPr/>
  </sheetPr>
  <dimension ref="A1:S31"/>
  <sheetViews>
    <sheetView zoomScale="150" zoomScaleNormal="150" workbookViewId="0">
      <selection activeCell="K38" sqref="K38"/>
    </sheetView>
  </sheetViews>
  <sheetFormatPr baseColWidth="10" defaultRowHeight="15"/>
  <sheetData>
    <row r="1">
      <c r="A1" t="inlineStr">
        <is>
          <t>DATE</t>
        </is>
      </c>
      <c r="B1" t="inlineStr">
        <is>
          <t>Arts, Entertainment &amp; Recreation</t>
        </is>
      </c>
      <c r="C1" t="inlineStr">
        <is>
          <t>Other Services</t>
        </is>
      </c>
      <c r="D1" t="inlineStr">
        <is>
          <t>Health Care &amp; Social Assistance</t>
        </is>
      </c>
      <c r="E1" t="inlineStr">
        <is>
          <t>Accommodation &amp; Food Services</t>
        </is>
      </c>
      <c r="F1" t="inlineStr">
        <is>
          <t>Finance &amp; Insurance</t>
        </is>
      </c>
      <c r="G1" t="inlineStr">
        <is>
          <t>Real Estate, Rental &amp; Leasing</t>
        </is>
      </c>
      <c r="H1" t="inlineStr">
        <is>
          <t>Transportation &amp; Warehousing</t>
        </is>
      </c>
      <c r="I1" t="inlineStr">
        <is>
          <t>Mining</t>
        </is>
      </c>
      <c r="J1" t="inlineStr">
        <is>
          <t>Construction</t>
        </is>
      </c>
      <c r="K1" t="inlineStr">
        <is>
          <t>Wholesale Trade</t>
        </is>
      </c>
      <c r="L1" t="inlineStr">
        <is>
          <t>Public Administration</t>
        </is>
      </c>
      <c r="M1" t="inlineStr">
        <is>
          <t>Professional, Scientific &amp; Technical Services</t>
        </is>
      </c>
      <c r="N1" t="inlineStr">
        <is>
          <t>Agriculture, Forestry, Fishing &amp; Hunting</t>
        </is>
      </c>
      <c r="O1" t="inlineStr">
        <is>
          <t>Information</t>
        </is>
      </c>
      <c r="P1" t="inlineStr">
        <is>
          <t>Educational Services</t>
        </is>
      </c>
      <c r="Q1" t="inlineStr">
        <is>
          <t>Management of Companies &amp; Support Services</t>
        </is>
      </c>
      <c r="R1" t="inlineStr">
        <is>
          <t>Retail Trade</t>
        </is>
      </c>
      <c r="S1" t="inlineStr">
        <is>
          <t>Utilities</t>
        </is>
      </c>
    </row>
    <row r="2">
      <c r="A2" s="93" t="n">
        <v>43831</v>
      </c>
      <c r="B2" t="n">
        <v>0</v>
      </c>
      <c r="C2" t="n">
        <v>-2</v>
      </c>
      <c r="D2" t="n">
        <v>5</v>
      </c>
      <c r="E2" t="n">
        <v>8</v>
      </c>
      <c r="F2" t="n">
        <v>6</v>
      </c>
      <c r="G2" t="n">
        <v>-4</v>
      </c>
      <c r="H2" t="n">
        <v>0</v>
      </c>
      <c r="I2" t="n">
        <v>0</v>
      </c>
      <c r="J2" t="n">
        <v>2</v>
      </c>
      <c r="K2" t="n">
        <v>1</v>
      </c>
      <c r="L2" t="n">
        <v>7</v>
      </c>
      <c r="M2" t="n">
        <v>-1</v>
      </c>
      <c r="N2" t="n">
        <v>10</v>
      </c>
      <c r="O2" t="n">
        <v>0</v>
      </c>
      <c r="P2" t="n">
        <v>3</v>
      </c>
      <c r="Q2" t="n">
        <v>9</v>
      </c>
      <c r="R2" t="n">
        <v>-3</v>
      </c>
      <c r="S2" t="n">
        <v>4</v>
      </c>
    </row>
    <row r="3">
      <c r="A3" s="93" t="n">
        <v>43862</v>
      </c>
      <c r="B3" t="n">
        <v>-1</v>
      </c>
      <c r="C3" t="n">
        <v>6</v>
      </c>
      <c r="D3" t="n">
        <v>5</v>
      </c>
      <c r="E3" t="n">
        <v>16</v>
      </c>
      <c r="F3" t="n">
        <v>10</v>
      </c>
      <c r="G3" t="n">
        <v>0</v>
      </c>
      <c r="H3" t="n">
        <v>11</v>
      </c>
      <c r="I3" t="n">
        <v>13</v>
      </c>
      <c r="J3" t="n">
        <v>12</v>
      </c>
      <c r="K3" t="n">
        <v>7</v>
      </c>
      <c r="L3" t="n">
        <v>8</v>
      </c>
      <c r="M3" t="n">
        <v>3</v>
      </c>
      <c r="N3" t="n">
        <v>9</v>
      </c>
      <c r="O3" t="n">
        <v>2</v>
      </c>
      <c r="P3" t="n">
        <v>4</v>
      </c>
      <c r="Q3" t="n">
        <v>14</v>
      </c>
      <c r="R3" t="n">
        <v>0</v>
      </c>
      <c r="S3" t="n">
        <v>1</v>
      </c>
    </row>
    <row r="4">
      <c r="A4" s="93" t="n">
        <v>43891</v>
      </c>
      <c r="B4" t="n">
        <v>-8</v>
      </c>
      <c r="C4" t="n">
        <v>-9</v>
      </c>
      <c r="D4" t="n">
        <v>4</v>
      </c>
      <c r="E4" t="n">
        <v>3</v>
      </c>
      <c r="F4" t="n">
        <v>0</v>
      </c>
      <c r="G4" t="n">
        <v>5</v>
      </c>
      <c r="H4" t="n">
        <v>0</v>
      </c>
      <c r="I4" t="n">
        <v>-3</v>
      </c>
      <c r="J4" t="n">
        <v>1</v>
      </c>
      <c r="K4" t="n">
        <v>-4</v>
      </c>
      <c r="L4" t="n">
        <v>2</v>
      </c>
      <c r="M4" t="n">
        <v>-5</v>
      </c>
      <c r="N4" t="n">
        <v>0</v>
      </c>
      <c r="O4" t="n">
        <v>-1</v>
      </c>
      <c r="P4" t="n">
        <v>-6</v>
      </c>
      <c r="Q4" t="n">
        <v>-2</v>
      </c>
      <c r="R4" t="n">
        <v>-7</v>
      </c>
      <c r="S4" t="n">
        <v>0</v>
      </c>
    </row>
    <row r="5">
      <c r="A5" s="93" t="n">
        <v>43922</v>
      </c>
      <c r="B5" t="n">
        <v>-16</v>
      </c>
      <c r="C5" t="n">
        <v>-8</v>
      </c>
      <c r="D5" t="n">
        <v>-1</v>
      </c>
      <c r="E5" t="n">
        <v>-2</v>
      </c>
      <c r="F5" t="n">
        <v>1</v>
      </c>
      <c r="G5" t="n">
        <v>-6</v>
      </c>
      <c r="H5" t="n">
        <v>-4</v>
      </c>
      <c r="I5" t="n">
        <v>-13</v>
      </c>
      <c r="J5" t="n">
        <v>-7</v>
      </c>
      <c r="K5" t="n">
        <v>-11</v>
      </c>
      <c r="L5" t="n">
        <v>2</v>
      </c>
      <c r="M5" t="n">
        <v>-10</v>
      </c>
      <c r="N5" t="n">
        <v>-15</v>
      </c>
      <c r="O5" t="n">
        <v>-5</v>
      </c>
      <c r="P5" t="n">
        <v>-9</v>
      </c>
      <c r="Q5" t="n">
        <v>-3</v>
      </c>
      <c r="R5" t="n">
        <v>-14</v>
      </c>
      <c r="S5" t="n">
        <v>-12</v>
      </c>
    </row>
    <row r="6">
      <c r="A6" s="93" t="n">
        <v>43952</v>
      </c>
      <c r="B6" t="n">
        <v>-9</v>
      </c>
      <c r="C6" t="n">
        <v>-13</v>
      </c>
      <c r="D6" t="n">
        <v>-3</v>
      </c>
      <c r="E6" t="n">
        <v>-5</v>
      </c>
      <c r="F6" t="n">
        <v>0</v>
      </c>
      <c r="G6" t="n">
        <v>0</v>
      </c>
      <c r="H6" t="n">
        <v>-4</v>
      </c>
      <c r="I6" t="n">
        <v>-14</v>
      </c>
      <c r="J6" t="n">
        <v>-8</v>
      </c>
      <c r="K6" t="n">
        <v>-6</v>
      </c>
      <c r="L6" t="n">
        <v>-1</v>
      </c>
      <c r="M6" t="n">
        <v>-7</v>
      </c>
      <c r="N6" t="n">
        <v>0</v>
      </c>
      <c r="O6" t="n">
        <v>0</v>
      </c>
      <c r="P6" t="n">
        <v>-12</v>
      </c>
      <c r="Q6" t="n">
        <v>-11</v>
      </c>
      <c r="R6" t="n">
        <v>-2</v>
      </c>
      <c r="S6" t="n">
        <v>-10</v>
      </c>
    </row>
    <row r="7">
      <c r="A7" s="93" t="n">
        <v>43983</v>
      </c>
      <c r="B7" t="n">
        <v>7</v>
      </c>
      <c r="C7" t="n">
        <v>10</v>
      </c>
      <c r="D7" t="n">
        <v>11</v>
      </c>
      <c r="E7" t="n">
        <v>13</v>
      </c>
      <c r="F7" t="n">
        <v>8</v>
      </c>
      <c r="G7" t="n">
        <v>14</v>
      </c>
      <c r="H7" t="n">
        <v>2</v>
      </c>
      <c r="I7" t="n">
        <v>12</v>
      </c>
      <c r="J7" t="n">
        <v>6</v>
      </c>
      <c r="K7" t="n">
        <v>5</v>
      </c>
      <c r="L7" t="n">
        <v>0</v>
      </c>
      <c r="M7" t="n">
        <v>1</v>
      </c>
      <c r="N7" t="n">
        <v>0</v>
      </c>
      <c r="O7" t="n">
        <v>4</v>
      </c>
      <c r="P7" t="n">
        <v>3</v>
      </c>
      <c r="Q7" t="n">
        <v>0</v>
      </c>
      <c r="R7" t="n">
        <v>9</v>
      </c>
      <c r="S7" t="n">
        <v>-1</v>
      </c>
    </row>
    <row r="8">
      <c r="A8" s="93" t="n">
        <v>44013</v>
      </c>
      <c r="B8" t="n">
        <v>9</v>
      </c>
      <c r="C8" t="n">
        <v>0</v>
      </c>
      <c r="D8" t="n">
        <v>11</v>
      </c>
      <c r="E8" t="n">
        <v>0</v>
      </c>
      <c r="F8" t="n">
        <v>2</v>
      </c>
      <c r="G8" t="n">
        <v>7</v>
      </c>
      <c r="H8" t="n">
        <v>3</v>
      </c>
      <c r="I8" t="n">
        <v>-2</v>
      </c>
      <c r="J8" t="n">
        <v>5</v>
      </c>
      <c r="K8" t="n">
        <v>10</v>
      </c>
      <c r="L8" t="n">
        <v>6</v>
      </c>
      <c r="M8" t="n">
        <v>-1</v>
      </c>
      <c r="N8" t="n">
        <v>0</v>
      </c>
      <c r="O8" t="n">
        <v>0</v>
      </c>
      <c r="P8" t="n">
        <v>8</v>
      </c>
      <c r="Q8" t="n">
        <v>4</v>
      </c>
      <c r="R8" t="n">
        <v>12</v>
      </c>
      <c r="S8" t="n">
        <v>1</v>
      </c>
    </row>
    <row r="9">
      <c r="A9" s="93" t="n">
        <v>44044</v>
      </c>
      <c r="B9" t="n">
        <v>12</v>
      </c>
      <c r="C9" t="n">
        <v>0</v>
      </c>
      <c r="D9" t="n">
        <v>8</v>
      </c>
      <c r="E9" t="n">
        <v>9</v>
      </c>
      <c r="F9" t="n">
        <v>4</v>
      </c>
      <c r="G9" t="n">
        <v>-3</v>
      </c>
      <c r="H9" t="n">
        <v>2</v>
      </c>
      <c r="I9" t="n">
        <v>-5</v>
      </c>
      <c r="J9" t="n">
        <v>1</v>
      </c>
      <c r="K9" t="n">
        <v>5</v>
      </c>
      <c r="L9" t="n">
        <v>10</v>
      </c>
      <c r="M9" t="n">
        <v>-1</v>
      </c>
      <c r="N9" t="n">
        <v>-4</v>
      </c>
      <c r="O9" t="n">
        <v>-2</v>
      </c>
      <c r="P9" t="n">
        <v>7</v>
      </c>
      <c r="Q9" t="n">
        <v>6</v>
      </c>
      <c r="R9" t="n">
        <v>3</v>
      </c>
      <c r="S9" t="n">
        <v>11</v>
      </c>
    </row>
    <row r="10">
      <c r="A10" s="93" t="n">
        <v>44075</v>
      </c>
      <c r="B10" t="n">
        <v>14</v>
      </c>
      <c r="C10" t="n">
        <v>7</v>
      </c>
      <c r="D10" t="n">
        <v>11</v>
      </c>
      <c r="E10" t="n">
        <v>5</v>
      </c>
      <c r="F10" t="n">
        <v>2</v>
      </c>
      <c r="G10" t="n">
        <v>13</v>
      </c>
      <c r="H10" t="n">
        <v>6</v>
      </c>
      <c r="I10" t="n">
        <v>4</v>
      </c>
      <c r="J10" t="n">
        <v>0</v>
      </c>
      <c r="K10" t="n">
        <v>10</v>
      </c>
      <c r="L10" t="n">
        <v>3</v>
      </c>
      <c r="M10" t="n">
        <v>0</v>
      </c>
      <c r="N10" t="n">
        <v>-2</v>
      </c>
      <c r="O10" t="n">
        <v>1</v>
      </c>
      <c r="P10" t="n">
        <v>9</v>
      </c>
      <c r="Q10" t="n">
        <v>8</v>
      </c>
      <c r="R10" t="n">
        <v>-1</v>
      </c>
      <c r="S10" t="n">
        <v>12</v>
      </c>
    </row>
    <row r="11">
      <c r="A11" s="93" t="n">
        <v>44105</v>
      </c>
      <c r="B11" t="n">
        <v>0</v>
      </c>
      <c r="C11" t="n">
        <v>5</v>
      </c>
      <c r="D11" t="n">
        <v>13</v>
      </c>
      <c r="E11" t="n">
        <v>12</v>
      </c>
      <c r="F11" t="n">
        <v>9</v>
      </c>
      <c r="G11" t="n">
        <v>0</v>
      </c>
      <c r="H11" t="n">
        <v>15</v>
      </c>
      <c r="I11" t="n">
        <v>7</v>
      </c>
      <c r="J11" t="n">
        <v>14</v>
      </c>
      <c r="K11" t="n">
        <v>3</v>
      </c>
      <c r="L11" t="n">
        <v>-1</v>
      </c>
      <c r="M11" t="n">
        <v>6</v>
      </c>
      <c r="N11" t="n">
        <v>8</v>
      </c>
      <c r="O11" t="n">
        <v>1</v>
      </c>
      <c r="P11" t="n">
        <v>10</v>
      </c>
      <c r="Q11" t="n">
        <v>11</v>
      </c>
      <c r="R11" t="n">
        <v>4</v>
      </c>
      <c r="S11" t="n">
        <v>2</v>
      </c>
    </row>
    <row r="12">
      <c r="A12" s="93" t="n">
        <v>44136</v>
      </c>
      <c r="B12" t="n">
        <v>-3</v>
      </c>
      <c r="C12" t="n">
        <v>-2</v>
      </c>
      <c r="D12" t="n">
        <v>10</v>
      </c>
      <c r="E12" t="n">
        <v>4</v>
      </c>
      <c r="F12" t="n">
        <v>9</v>
      </c>
      <c r="G12" t="n">
        <v>0</v>
      </c>
      <c r="H12" t="n">
        <v>13</v>
      </c>
      <c r="I12" t="n">
        <v>11</v>
      </c>
      <c r="J12" t="n">
        <v>7</v>
      </c>
      <c r="K12" t="n">
        <v>2</v>
      </c>
      <c r="L12" t="n">
        <v>1</v>
      </c>
      <c r="M12" t="n">
        <v>8</v>
      </c>
      <c r="N12" t="n">
        <v>0</v>
      </c>
      <c r="O12" t="n">
        <v>-1</v>
      </c>
      <c r="P12" t="n">
        <v>3</v>
      </c>
      <c r="Q12" t="n">
        <v>12</v>
      </c>
      <c r="R12" t="n">
        <v>6</v>
      </c>
      <c r="S12" t="n">
        <v>5</v>
      </c>
    </row>
    <row r="13">
      <c r="A13" s="93" t="n">
        <v>44166</v>
      </c>
      <c r="B13" t="n">
        <v>-5</v>
      </c>
      <c r="C13" t="n">
        <v>-1</v>
      </c>
      <c r="D13" t="n">
        <v>8</v>
      </c>
      <c r="E13" t="n">
        <v>-2</v>
      </c>
      <c r="F13" t="n">
        <v>5</v>
      </c>
      <c r="G13" t="n">
        <v>-4</v>
      </c>
      <c r="H13" t="n">
        <v>7</v>
      </c>
      <c r="I13" t="n">
        <v>0</v>
      </c>
      <c r="J13" t="n">
        <v>3</v>
      </c>
      <c r="K13" t="n">
        <v>6</v>
      </c>
      <c r="L13" t="n">
        <v>2</v>
      </c>
      <c r="M13" t="n">
        <v>1</v>
      </c>
      <c r="N13" t="n">
        <v>-3</v>
      </c>
      <c r="O13" t="n">
        <v>4</v>
      </c>
      <c r="P13" t="n">
        <v>0</v>
      </c>
      <c r="Q13" t="n">
        <v>10</v>
      </c>
      <c r="R13" t="n">
        <v>9</v>
      </c>
      <c r="S13" t="n">
        <v>0</v>
      </c>
    </row>
    <row r="14">
      <c r="A14" s="93" t="n">
        <v>44197</v>
      </c>
      <c r="B14" t="n">
        <v>-3</v>
      </c>
      <c r="C14" t="n">
        <v>0</v>
      </c>
      <c r="D14" t="n">
        <v>0</v>
      </c>
      <c r="E14" t="n">
        <v>-2</v>
      </c>
      <c r="F14" t="n">
        <v>7</v>
      </c>
      <c r="G14" t="n">
        <v>8</v>
      </c>
      <c r="H14" t="n">
        <v>3</v>
      </c>
      <c r="I14" t="n">
        <v>0</v>
      </c>
      <c r="J14" t="n">
        <v>4</v>
      </c>
      <c r="K14" t="n">
        <v>5</v>
      </c>
      <c r="L14" t="n">
        <v>0</v>
      </c>
      <c r="M14" t="n">
        <v>1</v>
      </c>
      <c r="N14" t="n">
        <v>6</v>
      </c>
      <c r="O14" t="n">
        <v>2</v>
      </c>
      <c r="P14" t="n">
        <v>-1</v>
      </c>
      <c r="Q14" t="n">
        <v>0</v>
      </c>
      <c r="R14" t="n">
        <v>0</v>
      </c>
      <c r="S14" t="n">
        <v>0</v>
      </c>
    </row>
    <row r="15">
      <c r="A15" s="93" t="n">
        <v>44228</v>
      </c>
      <c r="B15" t="n">
        <v>0</v>
      </c>
      <c r="C15" t="n">
        <v>-1</v>
      </c>
      <c r="D15" t="n">
        <v>1</v>
      </c>
      <c r="E15" t="n">
        <v>10</v>
      </c>
      <c r="F15" t="n">
        <v>2</v>
      </c>
      <c r="G15" t="n">
        <v>-2</v>
      </c>
      <c r="H15" t="n">
        <v>7</v>
      </c>
      <c r="I15" t="n">
        <v>0</v>
      </c>
      <c r="J15" t="n">
        <v>9</v>
      </c>
      <c r="K15" t="n">
        <v>11</v>
      </c>
      <c r="L15" t="n">
        <v>8</v>
      </c>
      <c r="M15" t="n">
        <v>6</v>
      </c>
      <c r="N15" t="n">
        <v>0</v>
      </c>
      <c r="O15" t="n">
        <v>0</v>
      </c>
      <c r="P15" t="n">
        <v>3</v>
      </c>
      <c r="Q15" t="n">
        <v>5</v>
      </c>
      <c r="R15" t="n">
        <v>0</v>
      </c>
      <c r="S15" t="n">
        <v>4</v>
      </c>
    </row>
    <row r="16">
      <c r="A16" s="93" t="n">
        <v>44256</v>
      </c>
      <c r="B16" t="n">
        <v>17</v>
      </c>
      <c r="C16" t="n">
        <v>0</v>
      </c>
      <c r="D16" t="n">
        <v>10</v>
      </c>
      <c r="E16" t="n">
        <v>13</v>
      </c>
      <c r="F16" t="n">
        <v>4</v>
      </c>
      <c r="G16" t="n">
        <v>5</v>
      </c>
      <c r="H16" t="n">
        <v>7</v>
      </c>
      <c r="I16" t="n">
        <v>16</v>
      </c>
      <c r="J16" t="n">
        <v>3</v>
      </c>
      <c r="K16" t="n">
        <v>14</v>
      </c>
      <c r="L16" t="n">
        <v>11</v>
      </c>
      <c r="M16" t="n">
        <v>9</v>
      </c>
      <c r="N16" t="n">
        <v>6</v>
      </c>
      <c r="O16" t="n">
        <v>2</v>
      </c>
      <c r="P16" t="n">
        <v>1</v>
      </c>
      <c r="Q16" t="n">
        <v>15</v>
      </c>
      <c r="R16" t="n">
        <v>8</v>
      </c>
      <c r="S16" t="n">
        <v>12</v>
      </c>
    </row>
    <row r="17">
      <c r="A17" s="93" t="n">
        <v>44287</v>
      </c>
      <c r="B17" t="n">
        <v>17</v>
      </c>
      <c r="C17" t="n">
        <v>14</v>
      </c>
      <c r="D17" t="n">
        <v>5</v>
      </c>
      <c r="E17" t="n">
        <v>1</v>
      </c>
      <c r="F17" t="n">
        <v>4</v>
      </c>
      <c r="G17" t="n">
        <v>10</v>
      </c>
      <c r="H17" t="n">
        <v>9</v>
      </c>
      <c r="I17" t="n">
        <v>8</v>
      </c>
      <c r="J17" t="n">
        <v>7</v>
      </c>
      <c r="K17" t="n">
        <v>16</v>
      </c>
      <c r="L17" t="n">
        <v>11</v>
      </c>
      <c r="M17" t="n">
        <v>3</v>
      </c>
      <c r="N17" t="n">
        <v>-1</v>
      </c>
      <c r="O17" t="n">
        <v>2</v>
      </c>
      <c r="P17" t="n">
        <v>6</v>
      </c>
      <c r="Q17" t="n">
        <v>15</v>
      </c>
      <c r="R17" t="n">
        <v>12</v>
      </c>
      <c r="S17" t="n">
        <v>13</v>
      </c>
    </row>
    <row r="18">
      <c r="A18" s="93" t="n">
        <v>44317</v>
      </c>
      <c r="B18" t="n">
        <v>11</v>
      </c>
      <c r="C18" t="n">
        <v>8</v>
      </c>
      <c r="D18" t="n">
        <v>12</v>
      </c>
      <c r="E18" t="n">
        <v>3</v>
      </c>
      <c r="F18" t="n">
        <v>16</v>
      </c>
      <c r="G18" t="n">
        <v>4</v>
      </c>
      <c r="H18" t="n">
        <v>15</v>
      </c>
      <c r="I18" t="n">
        <v>14</v>
      </c>
      <c r="J18" t="n">
        <v>13</v>
      </c>
      <c r="K18" t="n">
        <v>17</v>
      </c>
      <c r="L18" t="n">
        <v>1</v>
      </c>
      <c r="M18" t="n">
        <v>2</v>
      </c>
      <c r="N18" t="n">
        <v>5</v>
      </c>
      <c r="O18" t="n">
        <v>10</v>
      </c>
      <c r="P18" t="n">
        <v>7</v>
      </c>
      <c r="Q18" t="n">
        <v>9</v>
      </c>
      <c r="R18" t="n">
        <v>18</v>
      </c>
      <c r="S18" t="n">
        <v>6</v>
      </c>
    </row>
    <row r="19">
      <c r="A19" s="93" t="n">
        <v>44348</v>
      </c>
      <c r="B19" t="n">
        <v>16</v>
      </c>
      <c r="C19" t="n">
        <v>13</v>
      </c>
      <c r="D19" t="n">
        <v>7</v>
      </c>
      <c r="E19" t="n">
        <v>10</v>
      </c>
      <c r="F19" t="n">
        <v>5</v>
      </c>
      <c r="G19" t="n">
        <v>0</v>
      </c>
      <c r="H19" t="n">
        <v>14</v>
      </c>
      <c r="I19" t="n">
        <v>9</v>
      </c>
      <c r="J19" t="n">
        <v>1</v>
      </c>
      <c r="K19" t="n">
        <v>12</v>
      </c>
      <c r="L19" t="n">
        <v>4</v>
      </c>
      <c r="M19" t="n">
        <v>2</v>
      </c>
      <c r="N19" t="n">
        <v>0</v>
      </c>
      <c r="O19" t="n">
        <v>6</v>
      </c>
      <c r="P19" t="n">
        <v>3</v>
      </c>
      <c r="Q19" t="n">
        <v>15</v>
      </c>
      <c r="R19" t="n">
        <v>11</v>
      </c>
      <c r="S19" t="n">
        <v>8</v>
      </c>
    </row>
    <row r="20">
      <c r="A20" s="93" t="n">
        <v>44378</v>
      </c>
      <c r="B20" t="n">
        <v>16</v>
      </c>
      <c r="C20" t="n">
        <v>12</v>
      </c>
      <c r="D20" t="n">
        <v>9</v>
      </c>
      <c r="E20" t="n">
        <v>10</v>
      </c>
      <c r="F20" t="n">
        <v>5</v>
      </c>
      <c r="G20" t="n">
        <v>13</v>
      </c>
      <c r="H20" t="n">
        <v>6</v>
      </c>
      <c r="I20" t="n">
        <v>-1</v>
      </c>
      <c r="J20" t="n">
        <v>1</v>
      </c>
      <c r="K20" t="n">
        <v>15</v>
      </c>
      <c r="L20" t="n">
        <v>11</v>
      </c>
      <c r="M20" t="n">
        <v>2</v>
      </c>
      <c r="N20" t="n">
        <v>0</v>
      </c>
      <c r="O20" t="n">
        <v>3</v>
      </c>
      <c r="P20" t="n">
        <v>4</v>
      </c>
      <c r="Q20" t="n">
        <v>14</v>
      </c>
      <c r="R20" t="n">
        <v>7</v>
      </c>
      <c r="S20" t="n">
        <v>8</v>
      </c>
    </row>
    <row r="21">
      <c r="A21" s="93" t="n">
        <v>44409</v>
      </c>
      <c r="B21" t="n">
        <v>-3</v>
      </c>
      <c r="C21" t="n">
        <v>8</v>
      </c>
      <c r="D21" t="n">
        <v>6</v>
      </c>
      <c r="E21" t="n">
        <v>12</v>
      </c>
      <c r="F21" t="n">
        <v>5</v>
      </c>
      <c r="G21" t="n">
        <v>-2</v>
      </c>
      <c r="H21" t="n">
        <v>2</v>
      </c>
      <c r="I21" t="n">
        <v>7</v>
      </c>
      <c r="J21" t="n">
        <v>9</v>
      </c>
      <c r="K21" t="n">
        <v>-1</v>
      </c>
      <c r="L21" t="n">
        <v>4</v>
      </c>
      <c r="M21" t="n">
        <v>1</v>
      </c>
      <c r="N21" t="n">
        <v>0</v>
      </c>
      <c r="O21" t="n">
        <v>13</v>
      </c>
      <c r="P21" t="n">
        <v>10</v>
      </c>
      <c r="Q21" t="n">
        <v>0</v>
      </c>
      <c r="R21" t="n">
        <v>11</v>
      </c>
      <c r="S21" t="n">
        <v>3</v>
      </c>
    </row>
    <row r="22">
      <c r="A22" s="93" t="n">
        <v>44440</v>
      </c>
      <c r="B22" t="n">
        <v>16</v>
      </c>
      <c r="C22" t="n">
        <v>15</v>
      </c>
      <c r="D22" t="n">
        <v>5</v>
      </c>
      <c r="E22" t="n">
        <v>2</v>
      </c>
      <c r="F22" t="n">
        <v>3</v>
      </c>
      <c r="G22" t="n">
        <v>14</v>
      </c>
      <c r="H22" t="n">
        <v>10</v>
      </c>
      <c r="I22" t="n">
        <v>11</v>
      </c>
      <c r="J22" t="n">
        <v>8</v>
      </c>
      <c r="K22" t="n">
        <v>1</v>
      </c>
      <c r="L22" t="n">
        <v>9</v>
      </c>
      <c r="M22" t="n">
        <v>12</v>
      </c>
      <c r="N22" t="n">
        <v>-1</v>
      </c>
      <c r="O22" t="n">
        <v>4</v>
      </c>
      <c r="P22" t="n">
        <v>13</v>
      </c>
      <c r="Q22" t="n">
        <v>7</v>
      </c>
      <c r="R22" t="n">
        <v>17</v>
      </c>
      <c r="S22" t="n">
        <v>6</v>
      </c>
    </row>
    <row r="23">
      <c r="A23" s="93" t="n">
        <v>44470</v>
      </c>
      <c r="B23" t="n">
        <v>8</v>
      </c>
      <c r="C23" t="n">
        <v>14</v>
      </c>
      <c r="D23" t="n">
        <v>7</v>
      </c>
      <c r="E23" t="n">
        <v>9</v>
      </c>
      <c r="F23" t="n">
        <v>3</v>
      </c>
      <c r="G23" t="n">
        <v>13</v>
      </c>
      <c r="H23" t="n">
        <v>15</v>
      </c>
      <c r="I23" t="n">
        <v>0</v>
      </c>
      <c r="J23" t="n">
        <v>5</v>
      </c>
      <c r="K23" t="n">
        <v>6</v>
      </c>
      <c r="L23" t="n">
        <v>1</v>
      </c>
      <c r="M23" t="n">
        <v>2</v>
      </c>
      <c r="N23" t="n">
        <v>0</v>
      </c>
      <c r="O23" t="n">
        <v>11</v>
      </c>
      <c r="P23" t="n">
        <v>4</v>
      </c>
      <c r="Q23" t="n">
        <v>10</v>
      </c>
      <c r="R23" t="n">
        <v>16</v>
      </c>
      <c r="S23" t="n">
        <v>12</v>
      </c>
    </row>
    <row r="24">
      <c r="A24" s="93" t="n">
        <v>44501</v>
      </c>
      <c r="B24" t="n">
        <v>9</v>
      </c>
      <c r="C24" t="n">
        <v>8</v>
      </c>
      <c r="D24" t="n">
        <v>12</v>
      </c>
      <c r="E24" t="n">
        <v>3</v>
      </c>
      <c r="F24" t="n">
        <v>5</v>
      </c>
      <c r="G24" t="n">
        <v>7</v>
      </c>
      <c r="H24" t="n">
        <v>18</v>
      </c>
      <c r="I24" t="n">
        <v>13</v>
      </c>
      <c r="J24" t="n">
        <v>15</v>
      </c>
      <c r="K24" t="n">
        <v>14</v>
      </c>
      <c r="L24" t="n">
        <v>11</v>
      </c>
      <c r="M24" t="n">
        <v>4</v>
      </c>
      <c r="N24" t="n">
        <v>10</v>
      </c>
      <c r="O24" t="n">
        <v>2</v>
      </c>
      <c r="P24" t="n">
        <v>1</v>
      </c>
      <c r="Q24" t="n">
        <v>16</v>
      </c>
      <c r="R24" t="n">
        <v>17</v>
      </c>
      <c r="S24" t="n">
        <v>6</v>
      </c>
    </row>
    <row r="25">
      <c r="A25" s="93" t="n">
        <v>44531</v>
      </c>
      <c r="B25" t="n">
        <v>8</v>
      </c>
      <c r="C25" t="n">
        <v>7</v>
      </c>
      <c r="D25" t="n">
        <v>5</v>
      </c>
      <c r="E25" t="n">
        <v>12</v>
      </c>
      <c r="F25" t="n">
        <v>4</v>
      </c>
      <c r="G25" t="n">
        <v>0</v>
      </c>
      <c r="H25" t="n">
        <v>10</v>
      </c>
      <c r="I25" t="n">
        <v>-3</v>
      </c>
      <c r="J25" t="n">
        <v>13</v>
      </c>
      <c r="K25" t="n">
        <v>11</v>
      </c>
      <c r="L25" t="n">
        <v>1</v>
      </c>
      <c r="M25" t="n">
        <v>3</v>
      </c>
      <c r="N25" t="n">
        <v>-2</v>
      </c>
      <c r="O25" t="n">
        <v>0</v>
      </c>
      <c r="P25" t="n">
        <v>-1</v>
      </c>
      <c r="Q25" t="n">
        <v>9</v>
      </c>
      <c r="R25" t="n">
        <v>6</v>
      </c>
      <c r="S25" t="n">
        <v>2</v>
      </c>
    </row>
    <row r="26">
      <c r="A26" s="93" t="n">
        <v>44562</v>
      </c>
      <c r="B26" t="n">
        <v>-4</v>
      </c>
      <c r="C26" t="n">
        <v>0</v>
      </c>
      <c r="D26" t="n">
        <v>7</v>
      </c>
      <c r="E26" t="n">
        <v>-3</v>
      </c>
      <c r="F26" t="n">
        <v>3</v>
      </c>
      <c r="G26" t="n">
        <v>0</v>
      </c>
      <c r="H26" t="n">
        <v>2</v>
      </c>
      <c r="I26" t="n">
        <v>0</v>
      </c>
      <c r="J26" t="n">
        <v>9</v>
      </c>
      <c r="K26" t="n">
        <v>-1</v>
      </c>
      <c r="L26" t="n">
        <v>8</v>
      </c>
      <c r="M26" t="n">
        <v>4</v>
      </c>
      <c r="N26" t="n">
        <v>0</v>
      </c>
      <c r="O26" t="n">
        <v>-2</v>
      </c>
      <c r="P26" t="n">
        <v>1</v>
      </c>
      <c r="Q26" t="n">
        <v>6</v>
      </c>
      <c r="R26" t="n">
        <v>10</v>
      </c>
      <c r="S26" t="n">
        <v>5</v>
      </c>
    </row>
    <row r="27">
      <c r="A27" s="93" t="n">
        <v>44593</v>
      </c>
      <c r="B27" t="n">
        <v>-2</v>
      </c>
      <c r="C27" t="n">
        <v>0</v>
      </c>
      <c r="D27" t="n">
        <v>0</v>
      </c>
      <c r="E27" t="n">
        <v>-3</v>
      </c>
      <c r="F27" t="n">
        <v>5</v>
      </c>
      <c r="G27" t="n">
        <v>0</v>
      </c>
      <c r="H27" t="n">
        <v>6</v>
      </c>
      <c r="I27" t="n">
        <v>7</v>
      </c>
      <c r="J27" t="n">
        <v>10</v>
      </c>
      <c r="K27" t="n">
        <v>3</v>
      </c>
      <c r="L27" t="n">
        <v>4</v>
      </c>
      <c r="M27" t="n">
        <v>2</v>
      </c>
      <c r="N27" t="n">
        <v>0</v>
      </c>
      <c r="O27" t="n">
        <v>-1</v>
      </c>
      <c r="P27" t="n">
        <v>9</v>
      </c>
      <c r="Q27" t="n">
        <v>11</v>
      </c>
      <c r="R27" t="n">
        <v>1</v>
      </c>
      <c r="S27" t="n">
        <v>8</v>
      </c>
    </row>
    <row r="28">
      <c r="A28" s="93" t="n">
        <v>44621</v>
      </c>
      <c r="B28" t="n">
        <v>15</v>
      </c>
      <c r="C28" t="n">
        <v>8</v>
      </c>
      <c r="D28" t="n">
        <v>-1</v>
      </c>
      <c r="E28" t="n">
        <v>5</v>
      </c>
      <c r="F28" t="n">
        <v>3</v>
      </c>
      <c r="G28" t="n">
        <v>11</v>
      </c>
      <c r="H28" t="n">
        <v>1</v>
      </c>
      <c r="I28" t="n">
        <v>9</v>
      </c>
      <c r="J28" t="n">
        <v>7</v>
      </c>
      <c r="K28" t="n">
        <v>13</v>
      </c>
      <c r="L28" t="n">
        <v>2</v>
      </c>
      <c r="M28" t="n">
        <v>4</v>
      </c>
      <c r="N28" t="n">
        <v>-2</v>
      </c>
      <c r="O28" t="n">
        <v>6</v>
      </c>
      <c r="P28" t="n">
        <v>14</v>
      </c>
      <c r="Q28" t="n">
        <v>12</v>
      </c>
      <c r="R28" t="n">
        <v>0</v>
      </c>
      <c r="S28" t="n">
        <v>10</v>
      </c>
    </row>
    <row r="29">
      <c r="A29" s="93" t="n">
        <v>44652</v>
      </c>
      <c r="B29" t="n">
        <v>0</v>
      </c>
      <c r="C29" t="n">
        <v>2</v>
      </c>
      <c r="D29" t="n">
        <v>3</v>
      </c>
      <c r="E29" t="n">
        <v>10</v>
      </c>
      <c r="F29" t="n">
        <v>1</v>
      </c>
      <c r="G29" t="n">
        <v>11</v>
      </c>
      <c r="H29" t="n">
        <v>8</v>
      </c>
      <c r="I29" t="n">
        <v>0</v>
      </c>
      <c r="J29" t="n">
        <v>5</v>
      </c>
      <c r="K29" t="n">
        <v>4</v>
      </c>
      <c r="L29" t="n">
        <v>6</v>
      </c>
      <c r="M29" t="n">
        <v>7</v>
      </c>
      <c r="N29" t="n">
        <v>0</v>
      </c>
      <c r="O29" t="n">
        <v>0</v>
      </c>
      <c r="P29" t="n">
        <v>9</v>
      </c>
      <c r="Q29" t="n">
        <v>12</v>
      </c>
      <c r="R29" t="n">
        <v>0</v>
      </c>
      <c r="S29" t="n">
        <v>13</v>
      </c>
    </row>
    <row r="30">
      <c r="A30" s="93" t="n">
        <v>44682</v>
      </c>
      <c r="B30" t="n">
        <v>14</v>
      </c>
      <c r="C30" t="n">
        <v>3</v>
      </c>
      <c r="D30" t="n">
        <v>2</v>
      </c>
      <c r="E30" t="n">
        <v>5</v>
      </c>
      <c r="F30" t="n">
        <v>4</v>
      </c>
      <c r="G30" t="n">
        <v>10</v>
      </c>
      <c r="H30" t="n">
        <v>6</v>
      </c>
      <c r="I30" t="n">
        <v>12</v>
      </c>
      <c r="J30" t="n">
        <v>15</v>
      </c>
      <c r="K30" t="n">
        <v>7</v>
      </c>
      <c r="L30" t="n">
        <v>1</v>
      </c>
      <c r="M30" t="n">
        <v>8</v>
      </c>
      <c r="N30" t="n">
        <v>-2</v>
      </c>
      <c r="O30" t="n">
        <v>-1</v>
      </c>
      <c r="P30" t="n">
        <v>13</v>
      </c>
      <c r="Q30" t="n">
        <v>11</v>
      </c>
      <c r="R30" t="n">
        <v>0</v>
      </c>
      <c r="S30" t="n">
        <v>9</v>
      </c>
    </row>
    <row r="31">
      <c r="A31" s="93" t="n">
        <v>44713</v>
      </c>
      <c r="B31" t="n">
        <v>9</v>
      </c>
      <c r="C31" t="n">
        <v>10</v>
      </c>
      <c r="D31" t="n">
        <v>5</v>
      </c>
      <c r="E31" t="n">
        <v>13</v>
      </c>
      <c r="F31" t="n">
        <v>3</v>
      </c>
      <c r="G31" t="n">
        <v>7</v>
      </c>
      <c r="H31" t="n">
        <v>8</v>
      </c>
      <c r="I31" t="n">
        <v>12</v>
      </c>
      <c r="J31" t="n">
        <v>-2</v>
      </c>
      <c r="K31" t="n">
        <v>4</v>
      </c>
      <c r="L31" t="n">
        <v>1</v>
      </c>
      <c r="M31" t="n">
        <v>2</v>
      </c>
      <c r="N31" t="n">
        <v>0</v>
      </c>
      <c r="O31" t="n">
        <v>0</v>
      </c>
      <c r="P31" t="n">
        <v>-1</v>
      </c>
      <c r="Q31" t="n">
        <v>11</v>
      </c>
      <c r="R31" t="n">
        <v>0</v>
      </c>
      <c r="S31" t="n">
        <v>6</v>
      </c>
    </row>
  </sheetData>
  <pageMargins left="0.7" right="0.7" top="0.75" bottom="0.75" header="0.3" footer="0.3"/>
</worksheet>
</file>

<file path=xl/worksheets/sheet5.xml><?xml version="1.0" encoding="utf-8"?>
<worksheet xmlns="http://schemas.openxmlformats.org/spreadsheetml/2006/main">
  <sheetPr>
    <tabColor theme="6"/>
    <outlinePr summaryBelow="1" summaryRight="1"/>
    <pageSetUpPr/>
  </sheetPr>
  <dimension ref="A1:T603"/>
  <sheetViews>
    <sheetView zoomScale="150" zoomScaleNormal="150" workbookViewId="0">
      <pane ySplit="1" topLeftCell="A563" activePane="bottomLeft" state="frozen"/>
      <selection pane="bottomLeft" activeCell="U396" sqref="U396"/>
    </sheetView>
  </sheetViews>
  <sheetFormatPr baseColWidth="10" defaultRowHeight="15"/>
  <sheetData>
    <row r="1">
      <c r="A1" t="inlineStr">
        <is>
          <t>DATE</t>
        </is>
      </c>
      <c r="B1" t="inlineStr">
        <is>
          <t>NEW_ORDERS</t>
        </is>
      </c>
      <c r="C1" t="inlineStr">
        <is>
          <t>IMPORTS</t>
        </is>
      </c>
      <c r="D1" t="inlineStr">
        <is>
          <t>BACKLOG_OF_ORDERS</t>
        </is>
      </c>
      <c r="E1" t="inlineStr">
        <is>
          <t>PRICES</t>
        </is>
      </c>
      <c r="F1" t="inlineStr">
        <is>
          <t>BUSINESS_ACTIVITY</t>
        </is>
      </c>
      <c r="G1" t="inlineStr">
        <is>
          <t>INVENTORY_SENTIMENT</t>
        </is>
      </c>
      <c r="H1" t="inlineStr">
        <is>
          <t>INVENTORIES</t>
        </is>
      </c>
      <c r="I1" t="inlineStr">
        <is>
          <t>DELIVERIES</t>
        </is>
      </c>
      <c r="J1" t="inlineStr">
        <is>
          <t>EMPLOYMENT</t>
        </is>
      </c>
      <c r="K1" t="inlineStr">
        <is>
          <t>EXPORTS</t>
        </is>
      </c>
      <c r="L1" t="inlineStr">
        <is>
          <t>ISM_SERVICES</t>
        </is>
      </c>
      <c r="M1" t="inlineStr">
        <is>
          <t>SP500</t>
        </is>
      </c>
      <c r="N1" t="inlineStr">
        <is>
          <t>GDPC1</t>
        </is>
      </c>
      <c r="O1" t="inlineStr">
        <is>
          <t>GDPQoQ</t>
        </is>
      </c>
      <c r="P1" t="inlineStr">
        <is>
          <t>GDPYoY</t>
        </is>
      </c>
      <c r="Q1" t="inlineStr">
        <is>
          <t>GDPQoQ_ANNUALIZED</t>
        </is>
      </c>
      <c r="R1" t="inlineStr">
        <is>
          <t>GDPC1_QoQ</t>
        </is>
      </c>
      <c r="S1" t="inlineStr">
        <is>
          <t>GDPC1_QoQ_ANNUALIZED</t>
        </is>
      </c>
      <c r="T1" t="inlineStr">
        <is>
          <t>GDPC1_YoY</t>
        </is>
      </c>
    </row>
    <row r="2">
      <c r="A2" s="93" t="n">
        <v>17168</v>
      </c>
      <c r="N2" t="n">
        <v>2034.45</v>
      </c>
    </row>
    <row r="3">
      <c r="A3" s="93" t="n">
        <v>17258</v>
      </c>
      <c r="N3" t="n">
        <v>2029.024</v>
      </c>
      <c r="O3" t="n">
        <v>-0.002667059893337343</v>
      </c>
      <c r="Q3" t="n">
        <v>-0.01062563615731604</v>
      </c>
      <c r="R3" t="n">
        <v>-0.002667059893337343</v>
      </c>
      <c r="S3" t="n">
        <v>-0.01062563615731604</v>
      </c>
    </row>
    <row r="4">
      <c r="A4" s="93" t="n">
        <v>17349</v>
      </c>
      <c r="N4" t="n">
        <v>2024.834</v>
      </c>
      <c r="O4" t="n">
        <v>-0.002065032251959478</v>
      </c>
      <c r="Q4" t="n">
        <v>-0.00823457806459249</v>
      </c>
      <c r="R4" t="n">
        <v>-0.002065032251959478</v>
      </c>
      <c r="S4" t="n">
        <v>-0.00823457806459249</v>
      </c>
    </row>
    <row r="5">
      <c r="A5" s="93" t="n">
        <v>17441</v>
      </c>
      <c r="N5" t="n">
        <v>2056.508</v>
      </c>
      <c r="O5" t="n">
        <v>0.01564276380187203</v>
      </c>
      <c r="Q5" t="n">
        <v>0.06405460233045623</v>
      </c>
      <c r="R5" t="n">
        <v>0.01564276380187203</v>
      </c>
      <c r="S5" t="n">
        <v>0.06405460233045623</v>
      </c>
    </row>
    <row r="6">
      <c r="A6" s="93" t="n">
        <v>17533</v>
      </c>
      <c r="N6" t="n">
        <v>2087.442</v>
      </c>
      <c r="O6" t="n">
        <v>0.01504200324044458</v>
      </c>
      <c r="P6" t="n">
        <v>0.02604733466047333</v>
      </c>
      <c r="Q6" t="n">
        <v>0.06153924905173613</v>
      </c>
      <c r="R6" t="n">
        <v>0.01504200324044458</v>
      </c>
      <c r="S6" t="n">
        <v>0.06153924905173613</v>
      </c>
      <c r="T6" t="n">
        <v>0.02604733466047333</v>
      </c>
    </row>
    <row r="7">
      <c r="A7" s="93" t="n">
        <v>17624</v>
      </c>
      <c r="N7" t="n">
        <v>2121.899</v>
      </c>
      <c r="O7" t="n">
        <v>0.01650680593760204</v>
      </c>
      <c r="P7" t="n">
        <v>0.04577323875912755</v>
      </c>
      <c r="Q7" t="n">
        <v>0.06768013659057992</v>
      </c>
      <c r="R7" t="n">
        <v>0.01650680593760204</v>
      </c>
      <c r="S7" t="n">
        <v>0.06768013659057992</v>
      </c>
      <c r="T7" t="n">
        <v>0.04577323875912755</v>
      </c>
    </row>
    <row r="8">
      <c r="A8" s="93" t="n">
        <v>17715</v>
      </c>
      <c r="N8" t="n">
        <v>2134.056</v>
      </c>
      <c r="O8" t="n">
        <v>0.0057293019130506</v>
      </c>
      <c r="P8" t="n">
        <v>0.05394121197095662</v>
      </c>
      <c r="Q8" t="n">
        <v>0.02311491038720082</v>
      </c>
      <c r="R8" t="n">
        <v>0.0057293019130506</v>
      </c>
      <c r="S8" t="n">
        <v>0.02311491038720082</v>
      </c>
      <c r="T8" t="n">
        <v>0.05394121197095662</v>
      </c>
    </row>
    <row r="9">
      <c r="A9" s="93" t="n">
        <v>17807</v>
      </c>
      <c r="N9" t="n">
        <v>2136.44</v>
      </c>
      <c r="O9" t="n">
        <v>0.001117121575066453</v>
      </c>
      <c r="P9" t="n">
        <v>0.03886782837703537</v>
      </c>
      <c r="Q9" t="n">
        <v>0.004475979641999084</v>
      </c>
      <c r="R9" t="n">
        <v>0.001117121575066453</v>
      </c>
      <c r="S9" t="n">
        <v>0.004475979641999084</v>
      </c>
      <c r="T9" t="n">
        <v>0.03886782837703537</v>
      </c>
    </row>
    <row r="10">
      <c r="A10" s="93" t="n">
        <v>17899</v>
      </c>
      <c r="N10" t="n">
        <v>2107.001</v>
      </c>
      <c r="O10" t="n">
        <v>-0.01377946490423314</v>
      </c>
      <c r="P10" t="n">
        <v>0.009369841174030318</v>
      </c>
      <c r="Q10" t="n">
        <v>-0.05398904707599994</v>
      </c>
      <c r="R10" t="n">
        <v>-0.01377946490423314</v>
      </c>
      <c r="S10" t="n">
        <v>-0.05398904707599994</v>
      </c>
      <c r="T10" t="n">
        <v>0.009369841174030318</v>
      </c>
    </row>
    <row r="11">
      <c r="A11" s="93" t="n">
        <v>17989</v>
      </c>
      <c r="N11" t="n">
        <v>2099.814</v>
      </c>
      <c r="O11" t="n">
        <v>-0.003411009297100643</v>
      </c>
      <c r="P11" t="n">
        <v>-0.01040812969891594</v>
      </c>
      <c r="Q11" t="n">
        <v>-0.01357438589464066</v>
      </c>
      <c r="R11" t="n">
        <v>-0.003411009297100643</v>
      </c>
      <c r="S11" t="n">
        <v>-0.01357438589464066</v>
      </c>
      <c r="T11" t="n">
        <v>-0.01040812969891594</v>
      </c>
    </row>
    <row r="12">
      <c r="A12" s="93" t="n">
        <v>18080</v>
      </c>
      <c r="N12" t="n">
        <v>2121.493</v>
      </c>
      <c r="O12" t="n">
        <v>0.010324247766707</v>
      </c>
      <c r="P12" t="n">
        <v>-0.005886912058540217</v>
      </c>
      <c r="Q12" t="n">
        <v>0.04194094483004052</v>
      </c>
      <c r="R12" t="n">
        <v>0.010324247766707</v>
      </c>
      <c r="S12" t="n">
        <v>0.04194094483004052</v>
      </c>
      <c r="T12" t="n">
        <v>-0.005886912058540217</v>
      </c>
    </row>
    <row r="13">
      <c r="A13" s="93" t="n">
        <v>18172</v>
      </c>
      <c r="N13" t="n">
        <v>2103.688</v>
      </c>
      <c r="O13" t="n">
        <v>-0.008392674404299159</v>
      </c>
      <c r="P13" t="n">
        <v>-0.01533017543202709</v>
      </c>
      <c r="Q13" t="n">
        <v>-0.03315043537256779</v>
      </c>
      <c r="R13" t="n">
        <v>-0.008392674404299159</v>
      </c>
      <c r="S13" t="n">
        <v>-0.03315043537256779</v>
      </c>
      <c r="T13" t="n">
        <v>-0.01533017543202709</v>
      </c>
    </row>
    <row r="14">
      <c r="A14" s="93" t="n">
        <v>18264</v>
      </c>
      <c r="N14" t="n">
        <v>2186.365</v>
      </c>
      <c r="O14" t="n">
        <v>0.03930097999323078</v>
      </c>
      <c r="P14" t="n">
        <v>0.03766680699249766</v>
      </c>
      <c r="Q14" t="n">
        <v>0.1667165198223277</v>
      </c>
      <c r="R14" t="n">
        <v>0.03930097999323078</v>
      </c>
      <c r="S14" t="n">
        <v>0.1667165198223277</v>
      </c>
      <c r="T14" t="n">
        <v>0.03766680699249766</v>
      </c>
    </row>
    <row r="15">
      <c r="A15" s="93" t="n">
        <v>18354</v>
      </c>
      <c r="N15" t="n">
        <v>2253.045</v>
      </c>
      <c r="O15" t="n">
        <v>0.03049810987643888</v>
      </c>
      <c r="P15" t="n">
        <v>0.0729736062336951</v>
      </c>
      <c r="Q15" t="n">
        <v>0.1276875822943975</v>
      </c>
      <c r="R15" t="n">
        <v>0.03049810987643888</v>
      </c>
      <c r="S15" t="n">
        <v>0.1276875822943975</v>
      </c>
      <c r="T15" t="n">
        <v>0.0729736062336951</v>
      </c>
    </row>
    <row r="16">
      <c r="A16" s="93" t="n">
        <v>18445</v>
      </c>
      <c r="N16" t="n">
        <v>2340.112</v>
      </c>
      <c r="O16" t="n">
        <v>0.03864414603347914</v>
      </c>
      <c r="P16" t="n">
        <v>0.1030495976182812</v>
      </c>
      <c r="Q16" t="n">
        <v>0.1637698744608329</v>
      </c>
      <c r="R16" t="n">
        <v>0.03864414603347914</v>
      </c>
      <c r="S16" t="n">
        <v>0.1637698744608329</v>
      </c>
      <c r="T16" t="n">
        <v>0.1030495976182812</v>
      </c>
    </row>
    <row r="17">
      <c r="A17" s="93" t="n">
        <v>18537</v>
      </c>
      <c r="N17" t="n">
        <v>2384.92</v>
      </c>
      <c r="O17" t="n">
        <v>0.01914780147275002</v>
      </c>
      <c r="P17" t="n">
        <v>0.1336852232840611</v>
      </c>
      <c r="Q17" t="n">
        <v>0.07881925139170076</v>
      </c>
      <c r="R17" t="n">
        <v>0.01914780147275002</v>
      </c>
      <c r="S17" t="n">
        <v>0.07881925139170076</v>
      </c>
      <c r="T17" t="n">
        <v>0.1336852232840611</v>
      </c>
    </row>
    <row r="18">
      <c r="A18" s="93" t="n">
        <v>18629</v>
      </c>
      <c r="N18" t="n">
        <v>2417.311</v>
      </c>
      <c r="O18" t="n">
        <v>0.01358158764235281</v>
      </c>
      <c r="P18" t="n">
        <v>0.1056301212286148</v>
      </c>
      <c r="Q18" t="n">
        <v>0.05544316274475469</v>
      </c>
      <c r="R18" t="n">
        <v>0.01358158764235281</v>
      </c>
      <c r="S18" t="n">
        <v>0.05544316274475469</v>
      </c>
      <c r="T18" t="n">
        <v>0.1056301212286148</v>
      </c>
    </row>
    <row r="19">
      <c r="A19" s="93" t="n">
        <v>18719</v>
      </c>
      <c r="N19" t="n">
        <v>2459.196</v>
      </c>
      <c r="O19" t="n">
        <v>0.01732710437341317</v>
      </c>
      <c r="P19" t="n">
        <v>0.09149883823891659</v>
      </c>
      <c r="Q19" t="n">
        <v>0.07113068727204253</v>
      </c>
      <c r="R19" t="n">
        <v>0.01732710437341317</v>
      </c>
      <c r="S19" t="n">
        <v>0.07113068727204253</v>
      </c>
      <c r="T19" t="n">
        <v>0.09149883823891659</v>
      </c>
    </row>
    <row r="20">
      <c r="A20" s="93" t="n">
        <v>18810</v>
      </c>
      <c r="N20" t="n">
        <v>2509.88</v>
      </c>
      <c r="O20" t="n">
        <v>0.02060998797981137</v>
      </c>
      <c r="P20" t="n">
        <v>0.07254695501753763</v>
      </c>
      <c r="Q20" t="n">
        <v>0.08502378012798339</v>
      </c>
      <c r="R20" t="n">
        <v>0.02060998797981137</v>
      </c>
      <c r="S20" t="n">
        <v>0.08502378012798339</v>
      </c>
      <c r="T20" t="n">
        <v>0.07254695501753763</v>
      </c>
    </row>
    <row r="21">
      <c r="A21" s="93" t="n">
        <v>18902</v>
      </c>
      <c r="N21" t="n">
        <v>2515.408</v>
      </c>
      <c r="O21" t="n">
        <v>0.002202495736847894</v>
      </c>
      <c r="P21" t="n">
        <v>0.05471378494876131</v>
      </c>
      <c r="Q21" t="n">
        <v>0.008839131632865316</v>
      </c>
      <c r="R21" t="n">
        <v>0.002202495736847894</v>
      </c>
      <c r="S21" t="n">
        <v>0.008839131632865316</v>
      </c>
      <c r="T21" t="n">
        <v>0.05471378494876131</v>
      </c>
    </row>
    <row r="22">
      <c r="A22" s="93" t="n">
        <v>18994</v>
      </c>
      <c r="N22" t="n">
        <v>2542.286</v>
      </c>
      <c r="O22" t="n">
        <v>0.01068534408732109</v>
      </c>
      <c r="P22" t="n">
        <v>0.05170000881144375</v>
      </c>
      <c r="Q22" t="n">
        <v>0.04343132891926405</v>
      </c>
      <c r="R22" t="n">
        <v>0.01068534408732109</v>
      </c>
      <c r="S22" t="n">
        <v>0.04343132891926405</v>
      </c>
      <c r="T22" t="n">
        <v>0.05170000881144375</v>
      </c>
    </row>
    <row r="23">
      <c r="A23" s="93" t="n">
        <v>19085</v>
      </c>
      <c r="N23" t="n">
        <v>2547.762</v>
      </c>
      <c r="O23" t="n">
        <v>0.002153966941563661</v>
      </c>
      <c r="P23" t="n">
        <v>0.03601420952213661</v>
      </c>
      <c r="Q23" t="n">
        <v>0.008643745203244402</v>
      </c>
      <c r="R23" t="n">
        <v>0.002153966941563661</v>
      </c>
      <c r="S23" t="n">
        <v>0.008643745203244402</v>
      </c>
      <c r="T23" t="n">
        <v>0.03601420952213661</v>
      </c>
    </row>
    <row r="24">
      <c r="A24" s="93" t="n">
        <v>19176</v>
      </c>
      <c r="N24" t="n">
        <v>2566.153</v>
      </c>
      <c r="O24" t="n">
        <v>0.007218492151150547</v>
      </c>
      <c r="P24" t="n">
        <v>0.02242059381324991</v>
      </c>
      <c r="Q24" t="n">
        <v>0.02918811561848789</v>
      </c>
      <c r="R24" t="n">
        <v>0.007218492151150547</v>
      </c>
      <c r="S24" t="n">
        <v>0.02918811561848789</v>
      </c>
      <c r="T24" t="n">
        <v>0.02242059381324991</v>
      </c>
    </row>
    <row r="25">
      <c r="A25" s="93" t="n">
        <v>19268</v>
      </c>
      <c r="N25" t="n">
        <v>2650.431</v>
      </c>
      <c r="O25" t="n">
        <v>0.03284215711222217</v>
      </c>
      <c r="P25" t="n">
        <v>0.05367836947326245</v>
      </c>
      <c r="Q25" t="n">
        <v>0.1379831307047703</v>
      </c>
      <c r="R25" t="n">
        <v>0.03284215711222217</v>
      </c>
      <c r="S25" t="n">
        <v>0.1379831307047703</v>
      </c>
      <c r="T25" t="n">
        <v>0.05367836947326245</v>
      </c>
    </row>
    <row r="26">
      <c r="A26" s="93" t="n">
        <v>19360</v>
      </c>
      <c r="N26" t="n">
        <v>2699.699</v>
      </c>
      <c r="O26" t="n">
        <v>0.01858867482307595</v>
      </c>
      <c r="P26" t="n">
        <v>0.06191789594089729</v>
      </c>
      <c r="Q26" t="n">
        <v>0.07645374411537942</v>
      </c>
      <c r="R26" t="n">
        <v>0.01858867482307595</v>
      </c>
      <c r="S26" t="n">
        <v>0.07645374411537942</v>
      </c>
      <c r="T26" t="n">
        <v>0.06191789594089729</v>
      </c>
    </row>
    <row r="27">
      <c r="A27" s="93" t="n">
        <v>19450</v>
      </c>
      <c r="N27" t="n">
        <v>2720.566</v>
      </c>
      <c r="O27" t="n">
        <v>0.007729380201274192</v>
      </c>
      <c r="P27" t="n">
        <v>0.0678258016251124</v>
      </c>
      <c r="Q27" t="n">
        <v>0.03127783139942197</v>
      </c>
      <c r="R27" t="n">
        <v>0.007729380201274192</v>
      </c>
      <c r="S27" t="n">
        <v>0.03127783139942197</v>
      </c>
      <c r="T27" t="n">
        <v>0.0678258016251124</v>
      </c>
    </row>
    <row r="28">
      <c r="A28" s="93" t="n">
        <v>19541</v>
      </c>
      <c r="N28" t="n">
        <v>2705.258</v>
      </c>
      <c r="O28" t="n">
        <v>-0.005626770311766005</v>
      </c>
      <c r="P28" t="n">
        <v>0.05420760180706296</v>
      </c>
      <c r="Q28" t="n">
        <v>-0.02231782956626527</v>
      </c>
      <c r="R28" t="n">
        <v>-0.005626770311766005</v>
      </c>
      <c r="S28" t="n">
        <v>-0.02231782956626527</v>
      </c>
      <c r="T28" t="n">
        <v>0.05420760180706296</v>
      </c>
    </row>
    <row r="29">
      <c r="A29" s="93" t="n">
        <v>19633</v>
      </c>
      <c r="N29" t="n">
        <v>2664.302</v>
      </c>
      <c r="O29" t="n">
        <v>-0.01513940629692239</v>
      </c>
      <c r="P29" t="n">
        <v>0.005233488440182029</v>
      </c>
      <c r="Q29" t="n">
        <v>-0.05919624282214508</v>
      </c>
      <c r="R29" t="n">
        <v>-0.01513940629692239</v>
      </c>
      <c r="S29" t="n">
        <v>-0.05919624282214508</v>
      </c>
      <c r="T29" t="n">
        <v>0.005233488440182029</v>
      </c>
    </row>
    <row r="30">
      <c r="A30" s="93" t="n">
        <v>19725</v>
      </c>
      <c r="N30" t="n">
        <v>2651.566</v>
      </c>
      <c r="O30" t="n">
        <v>-0.004780238876824148</v>
      </c>
      <c r="P30" t="n">
        <v>-0.01782902464311772</v>
      </c>
      <c r="Q30" t="n">
        <v>-0.01898428780973238</v>
      </c>
      <c r="R30" t="n">
        <v>-0.004780238876824148</v>
      </c>
      <c r="S30" t="n">
        <v>-0.01898428780973238</v>
      </c>
      <c r="T30" t="n">
        <v>-0.01782902464311772</v>
      </c>
    </row>
    <row r="31">
      <c r="A31" s="93" t="n">
        <v>19815</v>
      </c>
      <c r="N31" t="n">
        <v>2654.456</v>
      </c>
      <c r="O31" t="n">
        <v>0.001089921955553936</v>
      </c>
      <c r="P31" t="n">
        <v>-0.02430009049587464</v>
      </c>
      <c r="Q31" t="n">
        <v>0.004366820581845898</v>
      </c>
      <c r="R31" t="n">
        <v>0.001089921955553936</v>
      </c>
      <c r="S31" t="n">
        <v>0.004366820581845898</v>
      </c>
      <c r="T31" t="n">
        <v>-0.02430009049587464</v>
      </c>
    </row>
    <row r="32">
      <c r="A32" s="93" t="n">
        <v>19906</v>
      </c>
      <c r="N32" t="n">
        <v>2684.434</v>
      </c>
      <c r="O32" t="n">
        <v>0.01129346276600556</v>
      </c>
      <c r="P32" t="n">
        <v>-0.007697602225000209</v>
      </c>
      <c r="Q32" t="n">
        <v>0.04594488271546449</v>
      </c>
      <c r="R32" t="n">
        <v>0.01129346276600556</v>
      </c>
      <c r="S32" t="n">
        <v>0.04594488271546449</v>
      </c>
      <c r="T32" t="n">
        <v>-0.007697602225000209</v>
      </c>
    </row>
    <row r="33">
      <c r="A33" s="93" t="n">
        <v>19998</v>
      </c>
      <c r="N33" t="n">
        <v>2736.96</v>
      </c>
      <c r="O33" t="n">
        <v>0.01956688076518173</v>
      </c>
      <c r="P33" t="n">
        <v>0.0272709324993938</v>
      </c>
      <c r="Q33" t="n">
        <v>0.08059481230675947</v>
      </c>
      <c r="R33" t="n">
        <v>0.01956688076518173</v>
      </c>
      <c r="S33" t="n">
        <v>0.08059481230675947</v>
      </c>
      <c r="T33" t="n">
        <v>0.0272709324993938</v>
      </c>
    </row>
    <row r="34">
      <c r="A34" s="93" t="n">
        <v>20090</v>
      </c>
      <c r="N34" t="n">
        <v>2815.134</v>
      </c>
      <c r="O34" t="n">
        <v>0.0285623465450719</v>
      </c>
      <c r="P34" t="n">
        <v>0.06168731987059731</v>
      </c>
      <c r="Q34" t="n">
        <v>0.1192381030854879</v>
      </c>
      <c r="R34" t="n">
        <v>0.0285623465450719</v>
      </c>
      <c r="S34" t="n">
        <v>0.1192381030854879</v>
      </c>
      <c r="T34" t="n">
        <v>0.06168731987059731</v>
      </c>
    </row>
    <row r="35">
      <c r="A35" s="93" t="n">
        <v>20180</v>
      </c>
      <c r="N35" t="n">
        <v>2860.942</v>
      </c>
      <c r="O35" t="n">
        <v>0.016272049572063</v>
      </c>
      <c r="P35" t="n">
        <v>0.07778844328178726</v>
      </c>
      <c r="Q35" t="n">
        <v>0.06669418000707128</v>
      </c>
      <c r="R35" t="n">
        <v>0.016272049572063</v>
      </c>
      <c r="S35" t="n">
        <v>0.06669418000707128</v>
      </c>
      <c r="T35" t="n">
        <v>0.07778844328178726</v>
      </c>
    </row>
    <row r="36">
      <c r="A36" s="93" t="n">
        <v>20271</v>
      </c>
      <c r="N36" t="n">
        <v>2899.578</v>
      </c>
      <c r="O36" t="n">
        <v>0.01350464287636728</v>
      </c>
      <c r="P36" t="n">
        <v>0.08014501380924238</v>
      </c>
      <c r="Q36" t="n">
        <v>0.05512270869902025</v>
      </c>
      <c r="R36" t="n">
        <v>0.01350464287636728</v>
      </c>
      <c r="S36" t="n">
        <v>0.05512270869902025</v>
      </c>
      <c r="T36" t="n">
        <v>0.08014501380924238</v>
      </c>
    </row>
    <row r="37">
      <c r="A37" s="93" t="n">
        <v>20363</v>
      </c>
      <c r="N37" t="n">
        <v>2916.985</v>
      </c>
      <c r="O37" t="n">
        <v>0.006003287374921507</v>
      </c>
      <c r="P37" t="n">
        <v>0.06577553197708409</v>
      </c>
      <c r="Q37" t="n">
        <v>0.0242302529752878</v>
      </c>
      <c r="R37" t="n">
        <v>0.006003287374921507</v>
      </c>
      <c r="S37" t="n">
        <v>0.0242302529752878</v>
      </c>
      <c r="T37" t="n">
        <v>0.06577553197708409</v>
      </c>
    </row>
    <row r="38">
      <c r="A38" s="93" t="n">
        <v>20455</v>
      </c>
      <c r="N38" t="n">
        <v>2905.656</v>
      </c>
      <c r="O38" t="n">
        <v>-0.003883804681889066</v>
      </c>
      <c r="P38" t="n">
        <v>0.03215548531615189</v>
      </c>
      <c r="Q38" t="n">
        <v>-0.01544494919947736</v>
      </c>
      <c r="R38" t="n">
        <v>-0.003883804681889066</v>
      </c>
      <c r="S38" t="n">
        <v>-0.01544494919947736</v>
      </c>
      <c r="T38" t="n">
        <v>0.03215548531615189</v>
      </c>
    </row>
    <row r="39">
      <c r="A39" s="93" t="n">
        <v>20546</v>
      </c>
      <c r="N39" t="n">
        <v>2929.666</v>
      </c>
      <c r="O39" t="n">
        <v>0.0082631942666304</v>
      </c>
      <c r="P39" t="n">
        <v>0.02402145866641133</v>
      </c>
      <c r="Q39" t="n">
        <v>0.03346472086182173</v>
      </c>
      <c r="R39" t="n">
        <v>0.0082631942666304</v>
      </c>
      <c r="S39" t="n">
        <v>0.03346472086182173</v>
      </c>
      <c r="T39" t="n">
        <v>0.02402145866641133</v>
      </c>
    </row>
    <row r="40">
      <c r="A40" s="93" t="n">
        <v>20637</v>
      </c>
      <c r="N40" t="n">
        <v>2927.034</v>
      </c>
      <c r="O40" t="n">
        <v>-0.0008983959263615927</v>
      </c>
      <c r="P40" t="n">
        <v>0.009468964104431793</v>
      </c>
      <c r="Q40" t="n">
        <v>-0.003588743913787829</v>
      </c>
      <c r="R40" t="n">
        <v>-0.0008983959263615927</v>
      </c>
      <c r="S40" t="n">
        <v>-0.003588743913787829</v>
      </c>
      <c r="T40" t="n">
        <v>0.009468964104431793</v>
      </c>
    </row>
    <row r="41">
      <c r="A41" s="93" t="n">
        <v>20729</v>
      </c>
      <c r="N41" t="n">
        <v>2975.209</v>
      </c>
      <c r="O41" t="n">
        <v>0.01645864038477166</v>
      </c>
      <c r="P41" t="n">
        <v>0.01996033575764006</v>
      </c>
      <c r="Q41" t="n">
        <v>0.06747778969521656</v>
      </c>
      <c r="R41" t="n">
        <v>0.01645864038477166</v>
      </c>
      <c r="S41" t="n">
        <v>0.06747778969521656</v>
      </c>
      <c r="T41" t="n">
        <v>0.01996033575764006</v>
      </c>
    </row>
    <row r="42">
      <c r="A42" s="93" t="n">
        <v>20821</v>
      </c>
      <c r="N42" t="n">
        <v>2994.259</v>
      </c>
      <c r="O42" t="n">
        <v>0.006402911526551642</v>
      </c>
      <c r="P42" t="n">
        <v>0.03049328619767793</v>
      </c>
      <c r="Q42" t="n">
        <v>0.02585868145080883</v>
      </c>
      <c r="R42" t="n">
        <v>0.006402911526551642</v>
      </c>
      <c r="S42" t="n">
        <v>0.02585868145080883</v>
      </c>
      <c r="T42" t="n">
        <v>0.03049328619767793</v>
      </c>
    </row>
    <row r="43">
      <c r="A43" s="93" t="n">
        <v>20911</v>
      </c>
      <c r="N43" t="n">
        <v>2987.699</v>
      </c>
      <c r="O43" t="n">
        <v>-0.002190859240967446</v>
      </c>
      <c r="P43" t="n">
        <v>0.01980874270309308</v>
      </c>
      <c r="Q43" t="n">
        <v>-0.008734679818856006</v>
      </c>
      <c r="R43" t="n">
        <v>-0.002190859240967446</v>
      </c>
      <c r="S43" t="n">
        <v>-0.008734679818856006</v>
      </c>
      <c r="T43" t="n">
        <v>0.01980874270309308</v>
      </c>
    </row>
    <row r="44">
      <c r="A44" s="93" t="n">
        <v>21002</v>
      </c>
      <c r="N44" t="n">
        <v>3016.979</v>
      </c>
      <c r="O44" t="n">
        <v>0.009800184021214903</v>
      </c>
      <c r="P44" t="n">
        <v>0.03072905883566768</v>
      </c>
      <c r="Q44" t="n">
        <v>0.03978077193041707</v>
      </c>
      <c r="R44" t="n">
        <v>0.009800184021214903</v>
      </c>
      <c r="S44" t="n">
        <v>0.03978077193041707</v>
      </c>
      <c r="T44" t="n">
        <v>0.03072905883566768</v>
      </c>
    </row>
    <row r="45">
      <c r="A45" s="93" t="n">
        <v>21094</v>
      </c>
      <c r="N45" t="n">
        <v>2985.775</v>
      </c>
      <c r="O45" t="n">
        <v>-0.01034279655244525</v>
      </c>
      <c r="P45" t="n">
        <v>0.003551347149057514</v>
      </c>
      <c r="Q45" t="n">
        <v>-0.04073375974144</v>
      </c>
      <c r="R45" t="n">
        <v>-0.01034279655244525</v>
      </c>
      <c r="S45" t="n">
        <v>-0.04073375974144</v>
      </c>
      <c r="T45" t="n">
        <v>0.003551347149057514</v>
      </c>
    </row>
    <row r="46">
      <c r="A46" s="93" t="n">
        <v>21186</v>
      </c>
      <c r="N46" t="n">
        <v>2908.281</v>
      </c>
      <c r="O46" t="n">
        <v>-0.02595440044879475</v>
      </c>
      <c r="P46" t="n">
        <v>-0.02871428289937513</v>
      </c>
      <c r="Q46" t="n">
        <v>-0.09984529734545633</v>
      </c>
      <c r="R46" t="n">
        <v>-0.02595440044879475</v>
      </c>
      <c r="S46" t="n">
        <v>-0.09984529734545633</v>
      </c>
      <c r="T46" t="n">
        <v>-0.02871428289937513</v>
      </c>
    </row>
    <row r="47">
      <c r="A47" s="93" t="n">
        <v>21276</v>
      </c>
      <c r="N47" t="n">
        <v>2927.395</v>
      </c>
      <c r="O47" t="n">
        <v>0.006572267260281944</v>
      </c>
      <c r="P47" t="n">
        <v>-0.02018409485025101</v>
      </c>
      <c r="Q47" t="n">
        <v>0.02654937463692297</v>
      </c>
      <c r="R47" t="n">
        <v>0.006572267260281944</v>
      </c>
      <c r="S47" t="n">
        <v>0.02654937463692297</v>
      </c>
      <c r="T47" t="n">
        <v>-0.02018409485025101</v>
      </c>
    </row>
    <row r="48">
      <c r="A48" s="93" t="n">
        <v>21367</v>
      </c>
      <c r="N48" t="n">
        <v>2995.112</v>
      </c>
      <c r="O48" t="n">
        <v>0.02313217041089436</v>
      </c>
      <c r="P48" t="n">
        <v>-0.007247978855669773</v>
      </c>
      <c r="Q48" t="n">
        <v>0.09578906366867135</v>
      </c>
      <c r="R48" t="n">
        <v>0.02313217041089436</v>
      </c>
      <c r="S48" t="n">
        <v>0.09578906366867135</v>
      </c>
      <c r="T48" t="n">
        <v>-0.007247978855669773</v>
      </c>
    </row>
    <row r="49">
      <c r="A49" s="93" t="n">
        <v>21459</v>
      </c>
      <c r="N49" t="n">
        <v>3065.141</v>
      </c>
      <c r="O49" t="n">
        <v>0.02338109559842837</v>
      </c>
      <c r="P49" t="n">
        <v>0.02658137334527886</v>
      </c>
      <c r="Q49" t="n">
        <v>0.09685586253705125</v>
      </c>
      <c r="R49" t="n">
        <v>0.02338109559842837</v>
      </c>
      <c r="S49" t="n">
        <v>0.09685586253705125</v>
      </c>
      <c r="T49" t="n">
        <v>0.02658137334527886</v>
      </c>
    </row>
    <row r="50">
      <c r="A50" s="93" t="n">
        <v>21551</v>
      </c>
      <c r="N50" t="n">
        <v>3123.978</v>
      </c>
      <c r="O50" t="n">
        <v>0.0191955280360675</v>
      </c>
      <c r="P50" t="n">
        <v>0.07416649216495934</v>
      </c>
      <c r="Q50" t="n">
        <v>0.07902134946672668</v>
      </c>
      <c r="R50" t="n">
        <v>0.0191955280360675</v>
      </c>
      <c r="S50" t="n">
        <v>0.07902134946672668</v>
      </c>
      <c r="T50" t="n">
        <v>0.07416649216495934</v>
      </c>
    </row>
    <row r="51">
      <c r="A51" s="93" t="n">
        <v>21641</v>
      </c>
      <c r="N51" t="n">
        <v>3194.429</v>
      </c>
      <c r="O51" t="n">
        <v>0.02255169530643302</v>
      </c>
      <c r="P51" t="n">
        <v>0.09121898479706364</v>
      </c>
      <c r="Q51" t="n">
        <v>0.09330439091654563</v>
      </c>
      <c r="R51" t="n">
        <v>0.02255169530643302</v>
      </c>
      <c r="S51" t="n">
        <v>0.09330439091654563</v>
      </c>
      <c r="T51" t="n">
        <v>0.09121898479706364</v>
      </c>
    </row>
    <row r="52">
      <c r="A52" s="93" t="n">
        <v>21732</v>
      </c>
      <c r="N52" t="n">
        <v>3196.683</v>
      </c>
      <c r="O52" t="n">
        <v>0.0007056034114390727</v>
      </c>
      <c r="P52" t="n">
        <v>0.06729998744621234</v>
      </c>
      <c r="Q52" t="n">
        <v>0.002825402308261671</v>
      </c>
      <c r="R52" t="n">
        <v>0.0007056034114390727</v>
      </c>
      <c r="S52" t="n">
        <v>0.002825402308261671</v>
      </c>
      <c r="T52" t="n">
        <v>0.06729998744621234</v>
      </c>
    </row>
    <row r="53">
      <c r="A53" s="93" t="n">
        <v>21824</v>
      </c>
      <c r="N53" t="n">
        <v>3205.79</v>
      </c>
      <c r="O53" t="n">
        <v>0.002848890553113953</v>
      </c>
      <c r="P53" t="n">
        <v>0.04588663294771754</v>
      </c>
      <c r="Q53" t="n">
        <v>0.01144435183103387</v>
      </c>
      <c r="R53" t="n">
        <v>0.002848890553113953</v>
      </c>
      <c r="S53" t="n">
        <v>0.01144435183103387</v>
      </c>
      <c r="T53" t="n">
        <v>0.04588663294771754</v>
      </c>
    </row>
    <row r="54">
      <c r="A54" s="93" t="n">
        <v>21916</v>
      </c>
      <c r="N54" t="n">
        <v>3277.847</v>
      </c>
      <c r="O54" t="n">
        <v>0.02247714291953005</v>
      </c>
      <c r="P54" t="n">
        <v>0.04925418808967289</v>
      </c>
      <c r="Q54" t="n">
        <v>0.09298558243454158</v>
      </c>
      <c r="R54" t="n">
        <v>0.02247714291953005</v>
      </c>
      <c r="S54" t="n">
        <v>0.09298558243454158</v>
      </c>
      <c r="T54" t="n">
        <v>0.04925418808967289</v>
      </c>
    </row>
    <row r="55">
      <c r="A55" s="93" t="n">
        <v>22007</v>
      </c>
      <c r="N55" t="n">
        <v>3260.177</v>
      </c>
      <c r="O55" t="n">
        <v>-0.005390733612642711</v>
      </c>
      <c r="P55" t="n">
        <v>0.02058208211858835</v>
      </c>
      <c r="Q55" t="n">
        <v>-0.02138920017185875</v>
      </c>
      <c r="R55" t="n">
        <v>-0.005390733612642711</v>
      </c>
      <c r="S55" t="n">
        <v>-0.02138920017185875</v>
      </c>
      <c r="T55" t="n">
        <v>0.02058208211858835</v>
      </c>
    </row>
    <row r="56">
      <c r="A56" s="93" t="n">
        <v>22098</v>
      </c>
      <c r="N56" t="n">
        <v>3276.133</v>
      </c>
      <c r="O56" t="n">
        <v>0.004894212798875544</v>
      </c>
      <c r="P56" t="n">
        <v>0.02485388760787348</v>
      </c>
      <c r="Q56" t="n">
        <v>0.01972104061334812</v>
      </c>
      <c r="R56" t="n">
        <v>0.004894212798875544</v>
      </c>
      <c r="S56" t="n">
        <v>0.01972104061334812</v>
      </c>
      <c r="T56" t="n">
        <v>0.02485388760787348</v>
      </c>
    </row>
    <row r="57">
      <c r="A57" s="93" t="n">
        <v>22190</v>
      </c>
      <c r="N57" t="n">
        <v>3234.087</v>
      </c>
      <c r="O57" t="n">
        <v>-0.01283403329474103</v>
      </c>
      <c r="P57" t="n">
        <v>0.008826841433780762</v>
      </c>
      <c r="Q57" t="n">
        <v>-0.05035628728337038</v>
      </c>
      <c r="R57" t="n">
        <v>-0.01283403329474103</v>
      </c>
      <c r="S57" t="n">
        <v>-0.05035628728337038</v>
      </c>
      <c r="T57" t="n">
        <v>0.008826841433780762</v>
      </c>
    </row>
    <row r="58">
      <c r="A58" s="93" t="n">
        <v>22282</v>
      </c>
      <c r="N58" t="n">
        <v>3255.914</v>
      </c>
      <c r="O58" t="n">
        <v>0.006749045402922131</v>
      </c>
      <c r="P58" t="n">
        <v>-0.006691282418001814</v>
      </c>
      <c r="Q58" t="n">
        <v>0.02727071103520817</v>
      </c>
      <c r="R58" t="n">
        <v>0.006749045402922131</v>
      </c>
      <c r="S58" t="n">
        <v>0.02727071103520817</v>
      </c>
      <c r="T58" t="n">
        <v>-0.006691282418001814</v>
      </c>
    </row>
    <row r="59">
      <c r="A59" s="93" t="n">
        <v>22372</v>
      </c>
      <c r="N59" t="n">
        <v>3311.181</v>
      </c>
      <c r="O59" t="n">
        <v>0.01697434268841248</v>
      </c>
      <c r="P59" t="n">
        <v>0.01564454936035679</v>
      </c>
      <c r="Q59" t="n">
        <v>0.06964578678446376</v>
      </c>
      <c r="R59" t="n">
        <v>0.01697434268841248</v>
      </c>
      <c r="S59" t="n">
        <v>0.06964578678446376</v>
      </c>
      <c r="T59" t="n">
        <v>0.01564454936035679</v>
      </c>
    </row>
    <row r="60">
      <c r="A60" s="93" t="n">
        <v>22463</v>
      </c>
      <c r="N60" t="n">
        <v>3374.742</v>
      </c>
      <c r="O60" t="n">
        <v>0.01919586999321395</v>
      </c>
      <c r="P60" t="n">
        <v>0.03009920537414091</v>
      </c>
      <c r="Q60" t="n">
        <v>0.07902279758629582</v>
      </c>
      <c r="R60" t="n">
        <v>0.01919586999321395</v>
      </c>
      <c r="S60" t="n">
        <v>0.07902279758629582</v>
      </c>
      <c r="T60" t="n">
        <v>0.03009920537414091</v>
      </c>
    </row>
    <row r="61">
      <c r="A61" s="93" t="n">
        <v>22555</v>
      </c>
      <c r="N61" t="n">
        <v>3440.924</v>
      </c>
      <c r="O61" t="n">
        <v>0.01961098063200084</v>
      </c>
      <c r="P61" t="n">
        <v>0.06395529866698081</v>
      </c>
      <c r="Q61" t="n">
        <v>0.08078178259819491</v>
      </c>
      <c r="R61" t="n">
        <v>0.01961098063200084</v>
      </c>
      <c r="S61" t="n">
        <v>0.08078178259819491</v>
      </c>
      <c r="T61" t="n">
        <v>0.06395529866698081</v>
      </c>
    </row>
    <row r="62">
      <c r="A62" s="93" t="n">
        <v>22647</v>
      </c>
      <c r="N62" t="n">
        <v>3502.298</v>
      </c>
      <c r="O62" t="n">
        <v>0.01783648810610167</v>
      </c>
      <c r="P62" t="n">
        <v>0.07567276039846248</v>
      </c>
      <c r="Q62" t="n">
        <v>0.07327759350869312</v>
      </c>
      <c r="R62" t="n">
        <v>0.01783648810610167</v>
      </c>
      <c r="S62" t="n">
        <v>0.07327759350869312</v>
      </c>
      <c r="T62" t="n">
        <v>0.07567276039846248</v>
      </c>
    </row>
    <row r="63">
      <c r="A63" s="93" t="n">
        <v>22737</v>
      </c>
      <c r="N63" t="n">
        <v>3533.947</v>
      </c>
      <c r="O63" t="n">
        <v>0.009036638230099307</v>
      </c>
      <c r="P63" t="n">
        <v>0.06727690210834143</v>
      </c>
      <c r="Q63" t="n">
        <v>0.03663947632942977</v>
      </c>
      <c r="R63" t="n">
        <v>0.009036638230099307</v>
      </c>
      <c r="S63" t="n">
        <v>0.03663947632942977</v>
      </c>
      <c r="T63" t="n">
        <v>0.06727690210834143</v>
      </c>
    </row>
    <row r="64">
      <c r="A64" s="93" t="n">
        <v>22828</v>
      </c>
      <c r="N64" t="n">
        <v>3577.362</v>
      </c>
      <c r="O64" t="n">
        <v>0.01228513047875363</v>
      </c>
      <c r="P64" t="n">
        <v>0.06004014529110666</v>
      </c>
      <c r="Q64" t="n">
        <v>0.05005350778378181</v>
      </c>
      <c r="R64" t="n">
        <v>0.01228513047875363</v>
      </c>
      <c r="S64" t="n">
        <v>0.05005350778378181</v>
      </c>
      <c r="T64" t="n">
        <v>0.06004014529110666</v>
      </c>
    </row>
    <row r="65">
      <c r="A65" s="93" t="n">
        <v>22920</v>
      </c>
      <c r="N65" t="n">
        <v>3589.128</v>
      </c>
      <c r="O65" t="n">
        <v>0.003289015760775699</v>
      </c>
      <c r="P65" t="n">
        <v>0.04307098907154014</v>
      </c>
      <c r="Q65" t="n">
        <v>0.01322111122552361</v>
      </c>
      <c r="R65" t="n">
        <v>0.003289015760775699</v>
      </c>
      <c r="S65" t="n">
        <v>0.01322111122552361</v>
      </c>
      <c r="T65" t="n">
        <v>0.04307098907154014</v>
      </c>
    </row>
    <row r="66">
      <c r="A66" s="93" t="n">
        <v>23012</v>
      </c>
      <c r="N66" t="n">
        <v>3628.306</v>
      </c>
      <c r="O66" t="n">
        <v>0.01091574332261203</v>
      </c>
      <c r="P66" t="n">
        <v>0.03597866315202198</v>
      </c>
      <c r="Q66" t="n">
        <v>0.04438311079570934</v>
      </c>
      <c r="R66" t="n">
        <v>0.01091574332261203</v>
      </c>
      <c r="S66" t="n">
        <v>0.04438311079570934</v>
      </c>
      <c r="T66" t="n">
        <v>0.03597866315202198</v>
      </c>
    </row>
    <row r="67">
      <c r="A67" s="93" t="n">
        <v>23102</v>
      </c>
      <c r="N67" t="n">
        <v>3669.02</v>
      </c>
      <c r="O67" t="n">
        <v>0.01122121452821232</v>
      </c>
      <c r="P67" t="n">
        <v>0.03822156925386823</v>
      </c>
      <c r="Q67" t="n">
        <v>0.04564601960686088</v>
      </c>
      <c r="R67" t="n">
        <v>0.01122121452821232</v>
      </c>
      <c r="S67" t="n">
        <v>0.04564601960686088</v>
      </c>
      <c r="T67" t="n">
        <v>0.03822156925386823</v>
      </c>
    </row>
    <row r="68">
      <c r="A68" s="93" t="n">
        <v>23193</v>
      </c>
      <c r="N68" t="n">
        <v>3749.681</v>
      </c>
      <c r="O68" t="n">
        <v>0.02198434459337918</v>
      </c>
      <c r="P68" t="n">
        <v>0.04816929346261294</v>
      </c>
      <c r="Q68" t="n">
        <v>0.09087998154472277</v>
      </c>
      <c r="R68" t="n">
        <v>0.02198434459337918</v>
      </c>
      <c r="S68" t="n">
        <v>0.09087998154472277</v>
      </c>
      <c r="T68" t="n">
        <v>0.04816929346261294</v>
      </c>
    </row>
    <row r="69">
      <c r="A69" s="93" t="n">
        <v>23285</v>
      </c>
      <c r="N69" t="n">
        <v>3774.264</v>
      </c>
      <c r="O69" t="n">
        <v>0.006556024365806074</v>
      </c>
      <c r="P69" t="n">
        <v>0.05158244565253732</v>
      </c>
      <c r="Q69" t="n">
        <v>0.02648311519341773</v>
      </c>
      <c r="R69" t="n">
        <v>0.006556024365806074</v>
      </c>
      <c r="S69" t="n">
        <v>0.02648311519341773</v>
      </c>
      <c r="T69" t="n">
        <v>0.05158244565253732</v>
      </c>
    </row>
    <row r="70">
      <c r="A70" s="93" t="n">
        <v>23377</v>
      </c>
      <c r="N70" t="n">
        <v>3853.835</v>
      </c>
      <c r="O70" t="n">
        <v>0.0210825209895227</v>
      </c>
      <c r="P70" t="n">
        <v>0.06215820826578574</v>
      </c>
      <c r="Q70" t="n">
        <v>0.08703460008107822</v>
      </c>
      <c r="R70" t="n">
        <v>0.0210825209895227</v>
      </c>
      <c r="S70" t="n">
        <v>0.08703460008107822</v>
      </c>
      <c r="T70" t="n">
        <v>0.06215820826578574</v>
      </c>
    </row>
    <row r="71">
      <c r="A71" s="93" t="n">
        <v>23468</v>
      </c>
      <c r="N71" t="n">
        <v>3895.793</v>
      </c>
      <c r="O71" t="n">
        <v>0.01088733689947807</v>
      </c>
      <c r="P71" t="n">
        <v>0.06180751263280117</v>
      </c>
      <c r="Q71" t="n">
        <v>0.04426572835975362</v>
      </c>
      <c r="R71" t="n">
        <v>0.01088733689947807</v>
      </c>
      <c r="S71" t="n">
        <v>0.04426572835975362</v>
      </c>
      <c r="T71" t="n">
        <v>0.06180751263280117</v>
      </c>
    </row>
    <row r="72">
      <c r="A72" s="93" t="n">
        <v>23559</v>
      </c>
      <c r="N72" t="n">
        <v>3956.657</v>
      </c>
      <c r="O72" t="n">
        <v>0.01562300666385509</v>
      </c>
      <c r="P72" t="n">
        <v>0.05519829553500687</v>
      </c>
      <c r="Q72" t="n">
        <v>0.06397180920292422</v>
      </c>
      <c r="R72" t="n">
        <v>0.01562300666385509</v>
      </c>
      <c r="S72" t="n">
        <v>0.06397180920292422</v>
      </c>
      <c r="T72" t="n">
        <v>0.05519829553500687</v>
      </c>
    </row>
    <row r="73">
      <c r="A73" s="93" t="n">
        <v>23651</v>
      </c>
      <c r="N73" t="n">
        <v>3968.878</v>
      </c>
      <c r="O73" t="n">
        <v>0.003088718582379014</v>
      </c>
      <c r="P73" t="n">
        <v>0.05156343064502113</v>
      </c>
      <c r="Q73" t="n">
        <v>0.0124122333831731</v>
      </c>
      <c r="R73" t="n">
        <v>0.003088718582379014</v>
      </c>
      <c r="S73" t="n">
        <v>0.0124122333831731</v>
      </c>
      <c r="T73" t="n">
        <v>0.05156343064502113</v>
      </c>
    </row>
    <row r="74">
      <c r="A74" s="93" t="n">
        <v>23743</v>
      </c>
      <c r="N74" t="n">
        <v>4064.915</v>
      </c>
      <c r="O74" t="n">
        <v>0.02419751879498433</v>
      </c>
      <c r="P74" t="n">
        <v>0.0547714160050962</v>
      </c>
      <c r="Q74" t="n">
        <v>0.1003602100251837</v>
      </c>
      <c r="R74" t="n">
        <v>0.02419751879498433</v>
      </c>
      <c r="S74" t="n">
        <v>0.1003602100251837</v>
      </c>
      <c r="T74" t="n">
        <v>0.0547714160050962</v>
      </c>
    </row>
    <row r="75">
      <c r="A75" s="93" t="n">
        <v>23833</v>
      </c>
      <c r="N75" t="n">
        <v>4116.267</v>
      </c>
      <c r="O75" t="n">
        <v>0.01263298248548859</v>
      </c>
      <c r="P75" t="n">
        <v>0.05659284258686221</v>
      </c>
      <c r="Q75" t="n">
        <v>0.05149757339472938</v>
      </c>
      <c r="R75" t="n">
        <v>0.01263298248548859</v>
      </c>
      <c r="S75" t="n">
        <v>0.05149757339472938</v>
      </c>
      <c r="T75" t="n">
        <v>0.05659284258686221</v>
      </c>
    </row>
    <row r="76">
      <c r="A76" s="93" t="n">
        <v>23924</v>
      </c>
      <c r="N76" t="n">
        <v>4207.782</v>
      </c>
      <c r="O76" t="n">
        <v>0.02223252281739749</v>
      </c>
      <c r="P76" t="n">
        <v>0.06346898404385318</v>
      </c>
      <c r="Q76" t="n">
        <v>0.09194000282873915</v>
      </c>
      <c r="R76" t="n">
        <v>0.02223252281739749</v>
      </c>
      <c r="S76" t="n">
        <v>0.09194000282873915</v>
      </c>
      <c r="T76" t="n">
        <v>0.06346898404385318</v>
      </c>
    </row>
    <row r="77">
      <c r="A77" s="93" t="n">
        <v>24016</v>
      </c>
      <c r="N77" t="n">
        <v>4304.731</v>
      </c>
      <c r="O77" t="n">
        <v>0.02304040465974701</v>
      </c>
      <c r="P77" t="n">
        <v>0.08462164873800596</v>
      </c>
      <c r="Q77" t="n">
        <v>0.09539598687252315</v>
      </c>
      <c r="R77" t="n">
        <v>0.02304040465974701</v>
      </c>
      <c r="S77" t="n">
        <v>0.09539598687252315</v>
      </c>
      <c r="T77" t="n">
        <v>0.08462164873800596</v>
      </c>
    </row>
    <row r="78">
      <c r="A78" s="93" t="n">
        <v>24108</v>
      </c>
      <c r="N78" t="n">
        <v>4409.518</v>
      </c>
      <c r="O78" t="n">
        <v>0.0243422875900957</v>
      </c>
      <c r="P78" t="n">
        <v>0.08477495839396397</v>
      </c>
      <c r="Q78" t="n">
        <v>0.100982479057544</v>
      </c>
      <c r="R78" t="n">
        <v>0.0243422875900957</v>
      </c>
      <c r="S78" t="n">
        <v>0.100982479057544</v>
      </c>
      <c r="T78" t="n">
        <v>0.08477495839396397</v>
      </c>
    </row>
    <row r="79">
      <c r="A79" s="93" t="n">
        <v>24198</v>
      </c>
      <c r="N79" t="n">
        <v>4424.581</v>
      </c>
      <c r="O79" t="n">
        <v>0.003416019619377923</v>
      </c>
      <c r="P79" t="n">
        <v>0.07490136086896218</v>
      </c>
      <c r="Q79" t="n">
        <v>0.01373425320265032</v>
      </c>
      <c r="R79" t="n">
        <v>0.003416019619377923</v>
      </c>
      <c r="S79" t="n">
        <v>0.01373425320265032</v>
      </c>
      <c r="T79" t="n">
        <v>0.07490136086896218</v>
      </c>
    </row>
    <row r="80">
      <c r="A80" s="93" t="n">
        <v>24289</v>
      </c>
      <c r="N80" t="n">
        <v>4462.053</v>
      </c>
      <c r="O80" t="n">
        <v>0.008469050515743695</v>
      </c>
      <c r="P80" t="n">
        <v>0.06042874844751932</v>
      </c>
      <c r="Q80" t="n">
        <v>0.03430898587163456</v>
      </c>
      <c r="R80" t="n">
        <v>0.008469050515743695</v>
      </c>
      <c r="S80" t="n">
        <v>0.03430898587163456</v>
      </c>
      <c r="T80" t="n">
        <v>0.06042874844751932</v>
      </c>
    </row>
    <row r="81">
      <c r="A81" s="93" t="n">
        <v>24381</v>
      </c>
      <c r="N81" t="n">
        <v>4498.66</v>
      </c>
      <c r="O81" t="n">
        <v>0.008204071085663924</v>
      </c>
      <c r="P81" t="n">
        <v>0.04505020174315192</v>
      </c>
      <c r="Q81" t="n">
        <v>0.03322233832563914</v>
      </c>
      <c r="R81" t="n">
        <v>0.008204071085663924</v>
      </c>
      <c r="S81" t="n">
        <v>0.03322233832563914</v>
      </c>
      <c r="T81" t="n">
        <v>0.04505020174315192</v>
      </c>
    </row>
    <row r="82">
      <c r="A82" s="93" t="n">
        <v>24473</v>
      </c>
      <c r="N82" t="n">
        <v>4538.498</v>
      </c>
      <c r="O82" t="n">
        <v>0.008855525867702769</v>
      </c>
      <c r="P82" t="n">
        <v>0.02925036251127664</v>
      </c>
      <c r="Q82" t="n">
        <v>0.03589540946426273</v>
      </c>
      <c r="R82" t="n">
        <v>0.008855525867702769</v>
      </c>
      <c r="S82" t="n">
        <v>0.03589540946426273</v>
      </c>
      <c r="T82" t="n">
        <v>0.02925036251127664</v>
      </c>
    </row>
    <row r="83">
      <c r="A83" s="93" t="n">
        <v>24563</v>
      </c>
      <c r="N83" t="n">
        <v>4541.28</v>
      </c>
      <c r="O83" t="n">
        <v>0.0006129781262435619</v>
      </c>
      <c r="P83" t="n">
        <v>0.02637515281107965</v>
      </c>
      <c r="Q83" t="n">
        <v>0.002454167879502034</v>
      </c>
      <c r="R83" t="n">
        <v>0.0006129781262435619</v>
      </c>
      <c r="S83" t="n">
        <v>0.002454167879502034</v>
      </c>
      <c r="T83" t="n">
        <v>0.02637515281107965</v>
      </c>
    </row>
    <row r="84">
      <c r="A84" s="93" t="n">
        <v>24654</v>
      </c>
      <c r="N84" t="n">
        <v>4584.246</v>
      </c>
      <c r="O84" t="n">
        <v>0.009461209174505944</v>
      </c>
      <c r="P84" t="n">
        <v>0.02738492796925546</v>
      </c>
      <c r="Q84" t="n">
        <v>0.03838531924596955</v>
      </c>
      <c r="R84" t="n">
        <v>0.009461209174505944</v>
      </c>
      <c r="S84" t="n">
        <v>0.03838531924596955</v>
      </c>
      <c r="T84" t="n">
        <v>0.02738492796925546</v>
      </c>
    </row>
    <row r="85">
      <c r="A85" s="93" t="n">
        <v>24746</v>
      </c>
      <c r="N85" t="n">
        <v>4618.812</v>
      </c>
      <c r="O85" t="n">
        <v>0.007540171273531089</v>
      </c>
      <c r="P85" t="n">
        <v>0.02670839761173328</v>
      </c>
      <c r="Q85" t="n">
        <v>0.03050352818463198</v>
      </c>
      <c r="R85" t="n">
        <v>0.007540171273531089</v>
      </c>
      <c r="S85" t="n">
        <v>0.03050352818463198</v>
      </c>
      <c r="T85" t="n">
        <v>0.02670839761173328</v>
      </c>
    </row>
    <row r="86">
      <c r="A86" s="93" t="n">
        <v>24838</v>
      </c>
      <c r="N86" t="n">
        <v>4713.013</v>
      </c>
      <c r="O86" t="n">
        <v>0.02039507128672915</v>
      </c>
      <c r="P86" t="n">
        <v>0.0384521487064664</v>
      </c>
      <c r="Q86" t="n">
        <v>0.08411014581384135</v>
      </c>
      <c r="R86" t="n">
        <v>0.02039507128672915</v>
      </c>
      <c r="S86" t="n">
        <v>0.08411014581384135</v>
      </c>
      <c r="T86" t="n">
        <v>0.0384521487064664</v>
      </c>
    </row>
    <row r="87">
      <c r="A87" s="93" t="n">
        <v>24929</v>
      </c>
      <c r="N87" t="n">
        <v>4791.758</v>
      </c>
      <c r="O87" t="n">
        <v>0.01670799550096719</v>
      </c>
      <c r="P87" t="n">
        <v>0.0551558151005884</v>
      </c>
      <c r="Q87" t="n">
        <v>0.06852565923772147</v>
      </c>
      <c r="R87" t="n">
        <v>0.01670799550096719</v>
      </c>
      <c r="S87" t="n">
        <v>0.06852565923772147</v>
      </c>
      <c r="T87" t="n">
        <v>0.0551558151005884</v>
      </c>
    </row>
    <row r="88">
      <c r="A88" s="93" t="n">
        <v>25020</v>
      </c>
      <c r="N88" t="n">
        <v>4828.892</v>
      </c>
      <c r="O88" t="n">
        <v>0.007749556634537891</v>
      </c>
      <c r="P88" t="n">
        <v>0.05336668232900235</v>
      </c>
      <c r="Q88" t="n">
        <v>0.03136042553098384</v>
      </c>
      <c r="R88" t="n">
        <v>0.007749556634537891</v>
      </c>
      <c r="S88" t="n">
        <v>0.03136042553098384</v>
      </c>
      <c r="T88" t="n">
        <v>0.05336668232900235</v>
      </c>
    </row>
    <row r="89">
      <c r="A89" s="93" t="n">
        <v>25112</v>
      </c>
      <c r="N89" t="n">
        <v>4847.885</v>
      </c>
      <c r="O89" t="n">
        <v>0.003933200411191717</v>
      </c>
      <c r="P89" t="n">
        <v>0.04959565360096933</v>
      </c>
      <c r="Q89" t="n">
        <v>0.01582586566440858</v>
      </c>
      <c r="R89" t="n">
        <v>0.003933200411191717</v>
      </c>
      <c r="S89" t="n">
        <v>0.01582586566440858</v>
      </c>
      <c r="T89" t="n">
        <v>0.04959565360096933</v>
      </c>
    </row>
    <row r="90">
      <c r="A90" s="93" t="n">
        <v>25204</v>
      </c>
      <c r="N90" t="n">
        <v>4923.76</v>
      </c>
      <c r="O90" t="n">
        <v>0.01565115509134396</v>
      </c>
      <c r="P90" t="n">
        <v>0.04471598105076313</v>
      </c>
      <c r="Q90" t="n">
        <v>0.06408976784792308</v>
      </c>
      <c r="R90" t="n">
        <v>0.01565115509134396</v>
      </c>
      <c r="S90" t="n">
        <v>0.06408976784792308</v>
      </c>
      <c r="T90" t="n">
        <v>0.04471598105076313</v>
      </c>
    </row>
    <row r="91">
      <c r="A91" s="93" t="n">
        <v>25294</v>
      </c>
      <c r="N91" t="n">
        <v>4938.728</v>
      </c>
      <c r="O91" t="n">
        <v>0.003039953206492568</v>
      </c>
      <c r="P91" t="n">
        <v>0.03067141537615219</v>
      </c>
      <c r="Q91" t="n">
        <v>0.01221537317702515</v>
      </c>
      <c r="R91" t="n">
        <v>0.003039953206492568</v>
      </c>
      <c r="S91" t="n">
        <v>0.01221537317702515</v>
      </c>
      <c r="T91" t="n">
        <v>0.03067141537615219</v>
      </c>
    </row>
    <row r="92">
      <c r="A92" s="93" t="n">
        <v>25385</v>
      </c>
      <c r="N92" t="n">
        <v>4971.349</v>
      </c>
      <c r="O92" t="n">
        <v>0.006605142052771502</v>
      </c>
      <c r="P92" t="n">
        <v>0.02950097040894688</v>
      </c>
      <c r="Q92" t="n">
        <v>0.02668349019765204</v>
      </c>
      <c r="R92" t="n">
        <v>0.006605142052771502</v>
      </c>
      <c r="S92" t="n">
        <v>0.02668349019765204</v>
      </c>
      <c r="T92" t="n">
        <v>0.02950097040894688</v>
      </c>
    </row>
    <row r="93">
      <c r="A93" s="93" t="n">
        <v>25477</v>
      </c>
      <c r="N93" t="n">
        <v>4947.104</v>
      </c>
      <c r="O93" t="n">
        <v>-0.004876945875254361</v>
      </c>
      <c r="P93" t="n">
        <v>0.02046645083371409</v>
      </c>
      <c r="Q93" t="n">
        <v>-0.01936553931373741</v>
      </c>
      <c r="R93" t="n">
        <v>-0.004876945875254361</v>
      </c>
      <c r="S93" t="n">
        <v>-0.01936553931373741</v>
      </c>
      <c r="T93" t="n">
        <v>0.02046645083371409</v>
      </c>
    </row>
    <row r="94">
      <c r="A94" s="93" t="n">
        <v>25569</v>
      </c>
      <c r="N94" t="n">
        <v>4939.759</v>
      </c>
      <c r="O94" t="n">
        <v>-0.001484707012425907</v>
      </c>
      <c r="P94" t="n">
        <v>0.003249346028238541</v>
      </c>
      <c r="Q94" t="n">
        <v>-0.005925615006652563</v>
      </c>
      <c r="R94" t="n">
        <v>-0.001484707012425907</v>
      </c>
      <c r="S94" t="n">
        <v>-0.005925615006652563</v>
      </c>
      <c r="T94" t="n">
        <v>0.003249346028238541</v>
      </c>
    </row>
    <row r="95">
      <c r="A95" s="93" t="n">
        <v>25659</v>
      </c>
      <c r="N95" t="n">
        <v>4946.77</v>
      </c>
      <c r="O95" t="n">
        <v>0.001419300010385208</v>
      </c>
      <c r="P95" t="n">
        <v>0.001628354507476494</v>
      </c>
      <c r="Q95" t="n">
        <v>0.00568929795693851</v>
      </c>
      <c r="R95" t="n">
        <v>0.001419300010385208</v>
      </c>
      <c r="S95" t="n">
        <v>0.00568929795693851</v>
      </c>
      <c r="T95" t="n">
        <v>0.001628354507476494</v>
      </c>
    </row>
    <row r="96">
      <c r="A96" s="93" t="n">
        <v>25750</v>
      </c>
      <c r="N96" t="n">
        <v>4992.357</v>
      </c>
      <c r="O96" t="n">
        <v>0.009215508301376359</v>
      </c>
      <c r="P96" t="n">
        <v>0.004225814763759255</v>
      </c>
      <c r="Q96" t="n">
        <v>0.03737472450741652</v>
      </c>
      <c r="R96" t="n">
        <v>0.009215508301376359</v>
      </c>
      <c r="S96" t="n">
        <v>0.03737472450741652</v>
      </c>
      <c r="T96" t="n">
        <v>0.004225814763759255</v>
      </c>
    </row>
    <row r="97">
      <c r="A97" s="93" t="n">
        <v>25842</v>
      </c>
      <c r="N97" t="n">
        <v>4938.857</v>
      </c>
      <c r="O97" t="n">
        <v>-0.01071638106008845</v>
      </c>
      <c r="P97" t="n">
        <v>-0.001667035906259561</v>
      </c>
      <c r="Q97" t="n">
        <v>-0.04218138882587208</v>
      </c>
      <c r="R97" t="n">
        <v>-0.01071638106008845</v>
      </c>
      <c r="S97" t="n">
        <v>-0.04218138882587208</v>
      </c>
      <c r="T97" t="n">
        <v>-0.001667035906259561</v>
      </c>
    </row>
    <row r="98">
      <c r="A98" s="93" t="n">
        <v>25934</v>
      </c>
      <c r="N98" t="n">
        <v>5072.996</v>
      </c>
      <c r="O98" t="n">
        <v>0.02715992789424762</v>
      </c>
      <c r="P98" t="n">
        <v>0.02697236849004174</v>
      </c>
      <c r="Q98" t="n">
        <v>0.1131463651735802</v>
      </c>
      <c r="R98" t="n">
        <v>0.02715992789424762</v>
      </c>
      <c r="S98" t="n">
        <v>0.1131463651735802</v>
      </c>
      <c r="T98" t="n">
        <v>0.02697236849004174</v>
      </c>
    </row>
    <row r="99">
      <c r="A99" s="93" t="n">
        <v>26024</v>
      </c>
      <c r="N99" t="n">
        <v>5100.447</v>
      </c>
      <c r="O99" t="n">
        <v>0.005411200797319773</v>
      </c>
      <c r="P99" t="n">
        <v>0.03106613002019493</v>
      </c>
      <c r="Q99" t="n">
        <v>0.02182112439459316</v>
      </c>
      <c r="R99" t="n">
        <v>0.005411200797319773</v>
      </c>
      <c r="S99" t="n">
        <v>0.02182112439459316</v>
      </c>
      <c r="T99" t="n">
        <v>0.03106613002019493</v>
      </c>
    </row>
    <row r="100">
      <c r="A100" s="93" t="n">
        <v>26115</v>
      </c>
      <c r="N100" t="n">
        <v>5142.422</v>
      </c>
      <c r="O100" t="n">
        <v>0.008229670850417514</v>
      </c>
      <c r="P100" t="n">
        <v>0.03005894810807793</v>
      </c>
      <c r="Q100" t="n">
        <v>0.03332728238206673</v>
      </c>
      <c r="R100" t="n">
        <v>0.008229670850417514</v>
      </c>
      <c r="S100" t="n">
        <v>0.03332728238206673</v>
      </c>
      <c r="T100" t="n">
        <v>0.03005894810807793</v>
      </c>
    </row>
    <row r="101">
      <c r="A101" s="93" t="n">
        <v>26207</v>
      </c>
      <c r="N101" t="n">
        <v>5154.547</v>
      </c>
      <c r="O101" t="n">
        <v>0.002357838388214737</v>
      </c>
      <c r="P101" t="n">
        <v>0.04367204800624914</v>
      </c>
      <c r="Q101" t="n">
        <v>0.009464762427640272</v>
      </c>
      <c r="R101" t="n">
        <v>0.002357838388214737</v>
      </c>
      <c r="S101" t="n">
        <v>0.009464762427640272</v>
      </c>
      <c r="T101" t="n">
        <v>0.04367204800624914</v>
      </c>
    </row>
    <row r="102">
      <c r="A102" s="93" t="n">
        <v>26299</v>
      </c>
      <c r="N102" t="n">
        <v>5249.337</v>
      </c>
      <c r="O102" t="n">
        <v>0.01838958884262785</v>
      </c>
      <c r="P102" t="n">
        <v>0.03476072127791947</v>
      </c>
      <c r="Q102" t="n">
        <v>0.075612407343296</v>
      </c>
      <c r="R102" t="n">
        <v>0.01838958884262785</v>
      </c>
      <c r="S102" t="n">
        <v>0.075612407343296</v>
      </c>
      <c r="T102" t="n">
        <v>0.03476072127791947</v>
      </c>
    </row>
    <row r="103">
      <c r="A103" s="93" t="n">
        <v>26390</v>
      </c>
      <c r="N103" t="n">
        <v>5368.485</v>
      </c>
      <c r="O103" t="n">
        <v>0.02269772354108704</v>
      </c>
      <c r="P103" t="n">
        <v>0.05255186457186979</v>
      </c>
      <c r="Q103" t="n">
        <v>0.09392905376229566</v>
      </c>
      <c r="R103" t="n">
        <v>0.02269772354108704</v>
      </c>
      <c r="S103" t="n">
        <v>0.09392905376229566</v>
      </c>
      <c r="T103" t="n">
        <v>0.05255186457186979</v>
      </c>
    </row>
    <row r="104">
      <c r="A104" s="93" t="n">
        <v>26481</v>
      </c>
      <c r="N104" t="n">
        <v>5419.184</v>
      </c>
      <c r="O104" t="n">
        <v>0.009443818880000693</v>
      </c>
      <c r="P104" t="n">
        <v>0.05381938705147121</v>
      </c>
      <c r="Q104" t="n">
        <v>0.03831376677928255</v>
      </c>
      <c r="R104" t="n">
        <v>0.009443818880000693</v>
      </c>
      <c r="S104" t="n">
        <v>0.03831376677928255</v>
      </c>
      <c r="T104" t="n">
        <v>0.05381938705147121</v>
      </c>
    </row>
    <row r="105">
      <c r="A105" s="93" t="n">
        <v>26573</v>
      </c>
      <c r="N105" t="n">
        <v>5509.926</v>
      </c>
      <c r="O105" t="n">
        <v>0.01674458737699258</v>
      </c>
      <c r="P105" t="n">
        <v>0.06894475887017829</v>
      </c>
      <c r="Q105" t="n">
        <v>0.06867949483058555</v>
      </c>
      <c r="R105" t="n">
        <v>0.01674458737699258</v>
      </c>
      <c r="S105" t="n">
        <v>0.06867949483058555</v>
      </c>
      <c r="T105" t="n">
        <v>0.06894475887017829</v>
      </c>
    </row>
    <row r="106">
      <c r="A106" s="93" t="n">
        <v>26665</v>
      </c>
      <c r="N106" t="n">
        <v>5646.286</v>
      </c>
      <c r="O106" t="n">
        <v>0.02474806376709953</v>
      </c>
      <c r="P106" t="n">
        <v>0.07561888291797604</v>
      </c>
      <c r="Q106" t="n">
        <v>0.1027280596009803</v>
      </c>
      <c r="R106" t="n">
        <v>0.02474806376709953</v>
      </c>
      <c r="S106" t="n">
        <v>0.1027280596009803</v>
      </c>
      <c r="T106" t="n">
        <v>0.07561888291797604</v>
      </c>
    </row>
    <row r="107">
      <c r="A107" s="93" t="n">
        <v>26755</v>
      </c>
      <c r="N107" t="n">
        <v>5707.755</v>
      </c>
      <c r="O107" t="n">
        <v>0.01088662529669947</v>
      </c>
      <c r="P107" t="n">
        <v>0.06319660015814527</v>
      </c>
      <c r="Q107" t="n">
        <v>0.04426278796636973</v>
      </c>
      <c r="R107" t="n">
        <v>0.01088662529669947</v>
      </c>
      <c r="S107" t="n">
        <v>0.04426278796636973</v>
      </c>
      <c r="T107" t="n">
        <v>0.06319660015814527</v>
      </c>
    </row>
    <row r="108">
      <c r="A108" s="93" t="n">
        <v>26846</v>
      </c>
      <c r="N108" t="n">
        <v>5677.738</v>
      </c>
      <c r="O108" t="n">
        <v>-0.005258985362896589</v>
      </c>
      <c r="P108" t="n">
        <v>0.04771087307609412</v>
      </c>
      <c r="Q108" t="n">
        <v>-0.02087058091389593</v>
      </c>
      <c r="R108" t="n">
        <v>-0.005258985362896589</v>
      </c>
      <c r="S108" t="n">
        <v>-0.02087058091389593</v>
      </c>
      <c r="T108" t="n">
        <v>0.04771087307609412</v>
      </c>
    </row>
    <row r="109">
      <c r="A109" s="93" t="n">
        <v>26938</v>
      </c>
      <c r="N109" t="n">
        <v>5731.632</v>
      </c>
      <c r="O109" t="n">
        <v>0.009492160434313687</v>
      </c>
      <c r="P109" t="n">
        <v>0.0402375639890625</v>
      </c>
      <c r="Q109" t="n">
        <v>0.03851267753048382</v>
      </c>
      <c r="R109" t="n">
        <v>0.009492160434313687</v>
      </c>
      <c r="S109" t="n">
        <v>0.03851267753048382</v>
      </c>
      <c r="T109" t="n">
        <v>0.0402375639890625</v>
      </c>
    </row>
    <row r="110">
      <c r="A110" s="93" t="n">
        <v>27030</v>
      </c>
      <c r="N110" t="n">
        <v>5682.353</v>
      </c>
      <c r="O110" t="n">
        <v>-0.008597725743732246</v>
      </c>
      <c r="P110" t="n">
        <v>0.006387738771999861</v>
      </c>
      <c r="Q110" t="n">
        <v>-0.03394991438893069</v>
      </c>
      <c r="R110" t="n">
        <v>-0.008597725743732246</v>
      </c>
      <c r="S110" t="n">
        <v>-0.03394991438893069</v>
      </c>
      <c r="T110" t="n">
        <v>0.006387738771999861</v>
      </c>
    </row>
    <row r="111">
      <c r="A111" s="93" t="n">
        <v>27120</v>
      </c>
      <c r="N111" t="n">
        <v>5695.859</v>
      </c>
      <c r="O111" t="n">
        <v>0.002376832273531812</v>
      </c>
      <c r="P111" t="n">
        <v>-0.002084181959456867</v>
      </c>
      <c r="Q111" t="n">
        <v>0.009541278826036503</v>
      </c>
      <c r="R111" t="n">
        <v>0.002376832273531812</v>
      </c>
      <c r="S111" t="n">
        <v>0.009541278826036503</v>
      </c>
      <c r="T111" t="n">
        <v>-0.002084181959456867</v>
      </c>
    </row>
    <row r="112">
      <c r="A112" s="93" t="n">
        <v>27211</v>
      </c>
      <c r="N112" t="n">
        <v>5642.025</v>
      </c>
      <c r="O112" t="n">
        <v>-0.009451427782885907</v>
      </c>
      <c r="P112" t="n">
        <v>-0.006290004928018983</v>
      </c>
      <c r="Q112" t="n">
        <v>-0.03727310339376178</v>
      </c>
      <c r="R112" t="n">
        <v>-0.009451427782885907</v>
      </c>
      <c r="S112" t="n">
        <v>-0.03727310339376178</v>
      </c>
      <c r="T112" t="n">
        <v>-0.006290004928018983</v>
      </c>
    </row>
    <row r="113">
      <c r="A113" s="93" t="n">
        <v>27303</v>
      </c>
      <c r="N113" t="n">
        <v>5620.126</v>
      </c>
      <c r="O113" t="n">
        <v>-0.003881407827863123</v>
      </c>
      <c r="P113" t="n">
        <v>-0.01945449393820109</v>
      </c>
      <c r="Q113" t="n">
        <v>-0.01543547302283976</v>
      </c>
      <c r="R113" t="n">
        <v>-0.003881407827863123</v>
      </c>
      <c r="S113" t="n">
        <v>-0.01543547302283976</v>
      </c>
      <c r="T113" t="n">
        <v>-0.01945449393820109</v>
      </c>
    </row>
    <row r="114">
      <c r="A114" s="93" t="n">
        <v>27395</v>
      </c>
      <c r="N114" t="n">
        <v>5551.713</v>
      </c>
      <c r="O114" t="n">
        <v>-0.01217285875797099</v>
      </c>
      <c r="P114" t="n">
        <v>-0.0229904759524796</v>
      </c>
      <c r="Q114" t="n">
        <v>-0.04780955715630564</v>
      </c>
      <c r="R114" t="n">
        <v>-0.01217285875797099</v>
      </c>
      <c r="S114" t="n">
        <v>-0.04780955715630564</v>
      </c>
      <c r="T114" t="n">
        <v>-0.0229904759524796</v>
      </c>
    </row>
    <row r="115">
      <c r="A115" s="93" t="n">
        <v>27485</v>
      </c>
      <c r="N115" t="n">
        <v>5591.382</v>
      </c>
      <c r="O115" t="n">
        <v>0.007145362161192387</v>
      </c>
      <c r="P115" t="n">
        <v>-0.01834262400105072</v>
      </c>
      <c r="Q115" t="n">
        <v>0.02888924771416268</v>
      </c>
      <c r="R115" t="n">
        <v>0.007145362161192387</v>
      </c>
      <c r="S115" t="n">
        <v>0.02888924771416268</v>
      </c>
      <c r="T115" t="n">
        <v>-0.01834262400105072</v>
      </c>
    </row>
    <row r="116">
      <c r="A116" s="93" t="n">
        <v>27576</v>
      </c>
      <c r="N116" t="n">
        <v>5687.087</v>
      </c>
      <c r="O116" t="n">
        <v>0.0171165196725963</v>
      </c>
      <c r="P116" t="n">
        <v>0.007986848693510009</v>
      </c>
      <c r="Q116" t="n">
        <v>0.07024407486532014</v>
      </c>
      <c r="R116" t="n">
        <v>0.0171165196725963</v>
      </c>
      <c r="S116" t="n">
        <v>0.07024407486532014</v>
      </c>
      <c r="T116" t="n">
        <v>0.007986848693510009</v>
      </c>
    </row>
    <row r="117">
      <c r="A117" s="93" t="n">
        <v>27668</v>
      </c>
      <c r="N117" t="n">
        <v>5763.665</v>
      </c>
      <c r="O117" t="n">
        <v>0.01346524151995556</v>
      </c>
      <c r="P117" t="n">
        <v>0.02554017472206135</v>
      </c>
      <c r="Q117" t="n">
        <v>0.05495864100802961</v>
      </c>
      <c r="R117" t="n">
        <v>0.01346524151995556</v>
      </c>
      <c r="S117" t="n">
        <v>0.05495864100802961</v>
      </c>
      <c r="T117" t="n">
        <v>0.02554017472206135</v>
      </c>
    </row>
    <row r="118">
      <c r="A118" s="93" t="n">
        <v>27760</v>
      </c>
      <c r="N118" t="n">
        <v>5893.276</v>
      </c>
      <c r="O118" t="n">
        <v>0.02248760120513595</v>
      </c>
      <c r="P118" t="n">
        <v>0.06152389361625864</v>
      </c>
      <c r="Q118" t="n">
        <v>0.09303030101174148</v>
      </c>
      <c r="R118" t="n">
        <v>0.02248760120513595</v>
      </c>
      <c r="S118" t="n">
        <v>0.09303030101174148</v>
      </c>
      <c r="T118" t="n">
        <v>0.06152389361625864</v>
      </c>
    </row>
    <row r="119">
      <c r="A119" s="93" t="n">
        <v>27851</v>
      </c>
      <c r="N119" t="n">
        <v>5936.515</v>
      </c>
      <c r="O119" t="n">
        <v>0.00733700576725076</v>
      </c>
      <c r="P119" t="n">
        <v>0.06172588458452682</v>
      </c>
      <c r="Q119" t="n">
        <v>0.02967259574123471</v>
      </c>
      <c r="R119" t="n">
        <v>0.00733700576725076</v>
      </c>
      <c r="S119" t="n">
        <v>0.02967259574123471</v>
      </c>
      <c r="T119" t="n">
        <v>0.06172588458452682</v>
      </c>
    </row>
    <row r="120">
      <c r="A120" s="93" t="n">
        <v>27942</v>
      </c>
      <c r="N120" t="n">
        <v>5969.089</v>
      </c>
      <c r="O120" t="n">
        <v>0.005487057642404611</v>
      </c>
      <c r="P120" t="n">
        <v>0.04958636996409576</v>
      </c>
      <c r="Q120" t="n">
        <v>0.02212953909849547</v>
      </c>
      <c r="R120" t="n">
        <v>0.005487057642404611</v>
      </c>
      <c r="S120" t="n">
        <v>0.02212953909849547</v>
      </c>
      <c r="T120" t="n">
        <v>0.04958636996409576</v>
      </c>
    </row>
    <row r="121">
      <c r="A121" s="93" t="n">
        <v>28034</v>
      </c>
      <c r="N121" t="n">
        <v>6012.356</v>
      </c>
      <c r="O121" t="n">
        <v>0.007248509780973248</v>
      </c>
      <c r="P121" t="n">
        <v>0.04314806637790361</v>
      </c>
      <c r="Q121" t="n">
        <v>0.02931081062144569</v>
      </c>
      <c r="R121" t="n">
        <v>0.007248509780973248</v>
      </c>
      <c r="S121" t="n">
        <v>0.02931081062144569</v>
      </c>
      <c r="T121" t="n">
        <v>0.04314806637790361</v>
      </c>
    </row>
    <row r="122">
      <c r="A122" s="93" t="n">
        <v>28126</v>
      </c>
      <c r="N122" t="n">
        <v>6083.391</v>
      </c>
      <c r="O122" t="n">
        <v>0.01181483598110289</v>
      </c>
      <c r="P122" t="n">
        <v>0.03225964641737461</v>
      </c>
      <c r="Q122" t="n">
        <v>0.04810350245376394</v>
      </c>
      <c r="R122" t="n">
        <v>0.01181483598110289</v>
      </c>
      <c r="S122" t="n">
        <v>0.04810350245376394</v>
      </c>
      <c r="T122" t="n">
        <v>0.03225964641737461</v>
      </c>
    </row>
    <row r="123">
      <c r="A123" s="93" t="n">
        <v>28216</v>
      </c>
      <c r="N123" t="n">
        <v>6201.659</v>
      </c>
      <c r="O123" t="n">
        <v>0.01944113077722606</v>
      </c>
      <c r="P123" t="n">
        <v>0.04466324097555541</v>
      </c>
      <c r="Q123" t="n">
        <v>0.08006180304607624</v>
      </c>
      <c r="R123" t="n">
        <v>0.01944113077722606</v>
      </c>
      <c r="S123" t="n">
        <v>0.08006180304607624</v>
      </c>
      <c r="T123" t="n">
        <v>0.04466324097555541</v>
      </c>
    </row>
    <row r="124">
      <c r="A124" s="93" t="n">
        <v>28307</v>
      </c>
      <c r="N124" t="n">
        <v>6313.559</v>
      </c>
      <c r="O124" t="n">
        <v>0.01804355898961884</v>
      </c>
      <c r="P124" t="n">
        <v>0.05770897368090847</v>
      </c>
      <c r="Q124" t="n">
        <v>0.07415125984790261</v>
      </c>
      <c r="R124" t="n">
        <v>0.01804355898961884</v>
      </c>
      <c r="S124" t="n">
        <v>0.07415125984790261</v>
      </c>
      <c r="T124" t="n">
        <v>0.05770897368090847</v>
      </c>
    </row>
    <row r="125">
      <c r="A125" s="93" t="n">
        <v>28399</v>
      </c>
      <c r="N125" t="n">
        <v>6313.697</v>
      </c>
      <c r="O125" t="n">
        <v>2.185771923568307e-05</v>
      </c>
      <c r="P125" t="n">
        <v>0.05012028562513603</v>
      </c>
      <c r="Q125" t="n">
        <v>8.743374354391875e-05</v>
      </c>
      <c r="R125" t="n">
        <v>2.185771923568307e-05</v>
      </c>
      <c r="S125" t="n">
        <v>8.743374354391875e-05</v>
      </c>
      <c r="T125" t="n">
        <v>0.05012028562513603</v>
      </c>
    </row>
    <row r="126">
      <c r="A126" s="93" t="n">
        <v>28491</v>
      </c>
      <c r="N126" t="n">
        <v>6333.848</v>
      </c>
      <c r="O126" t="n">
        <v>0.003191632414415807</v>
      </c>
      <c r="P126" t="n">
        <v>0.04117062342367939</v>
      </c>
      <c r="Q126" t="n">
        <v>0.01282777891271847</v>
      </c>
      <c r="R126" t="n">
        <v>0.003191632414415807</v>
      </c>
      <c r="S126" t="n">
        <v>0.01282777891271847</v>
      </c>
      <c r="T126" t="n">
        <v>0.04117062342367939</v>
      </c>
    </row>
    <row r="127">
      <c r="A127" s="93" t="n">
        <v>28581</v>
      </c>
      <c r="N127" t="n">
        <v>6578.605</v>
      </c>
      <c r="O127" t="n">
        <v>0.03864270187727897</v>
      </c>
      <c r="P127" t="n">
        <v>0.06078147798838987</v>
      </c>
      <c r="Q127" t="n">
        <v>0.1637634019380503</v>
      </c>
      <c r="R127" t="n">
        <v>0.03864270187727897</v>
      </c>
      <c r="S127" t="n">
        <v>0.1637634019380503</v>
      </c>
      <c r="T127" t="n">
        <v>0.06078147798838987</v>
      </c>
    </row>
    <row r="128">
      <c r="A128" s="93" t="n">
        <v>28672</v>
      </c>
      <c r="N128" t="n">
        <v>6644.754</v>
      </c>
      <c r="O128" t="n">
        <v>0.010055171271113</v>
      </c>
      <c r="P128" t="n">
        <v>0.05245773421932062</v>
      </c>
      <c r="Q128" t="n">
        <v>0.0408314006941799</v>
      </c>
      <c r="R128" t="n">
        <v>0.010055171271113</v>
      </c>
      <c r="S128" t="n">
        <v>0.0408314006941799</v>
      </c>
      <c r="T128" t="n">
        <v>0.05245773421932062</v>
      </c>
    </row>
    <row r="129">
      <c r="A129" s="93" t="n">
        <v>28764</v>
      </c>
      <c r="N129" t="n">
        <v>6734.069</v>
      </c>
      <c r="O129" t="n">
        <v>0.01344143063836532</v>
      </c>
      <c r="P129" t="n">
        <v>0.06658095882650059</v>
      </c>
      <c r="Q129" t="n">
        <v>0.05485950150521157</v>
      </c>
      <c r="R129" t="n">
        <v>0.01344143063836532</v>
      </c>
      <c r="S129" t="n">
        <v>0.05485950150521157</v>
      </c>
      <c r="T129" t="n">
        <v>0.06658095882650059</v>
      </c>
    </row>
    <row r="130">
      <c r="A130" s="93" t="n">
        <v>28856</v>
      </c>
      <c r="N130" t="n">
        <v>6746.176</v>
      </c>
      <c r="O130" t="n">
        <v>0.001797872875968448</v>
      </c>
      <c r="P130" t="n">
        <v>0.06509913089167918</v>
      </c>
      <c r="Q130" t="n">
        <v>0.007210908840985741</v>
      </c>
      <c r="R130" t="n">
        <v>0.001797872875968448</v>
      </c>
      <c r="S130" t="n">
        <v>0.007210908840985741</v>
      </c>
      <c r="T130" t="n">
        <v>0.06509913089167918</v>
      </c>
    </row>
    <row r="131">
      <c r="A131" s="93" t="n">
        <v>28946</v>
      </c>
      <c r="N131" t="n">
        <v>6753.389</v>
      </c>
      <c r="O131" t="n">
        <v>0.001069198313236971</v>
      </c>
      <c r="P131" t="n">
        <v>0.02656855062737474</v>
      </c>
      <c r="Q131" t="n">
        <v>0.0042836572536189</v>
      </c>
      <c r="R131" t="n">
        <v>0.001069198313236971</v>
      </c>
      <c r="S131" t="n">
        <v>0.0042836572536189</v>
      </c>
      <c r="T131" t="n">
        <v>0.02656855062737474</v>
      </c>
    </row>
    <row r="132">
      <c r="A132" s="93" t="n">
        <v>29037</v>
      </c>
      <c r="N132" t="n">
        <v>6803.558</v>
      </c>
      <c r="O132" t="n">
        <v>0.007428714679400205</v>
      </c>
      <c r="P132" t="n">
        <v>0.02389915412970895</v>
      </c>
      <c r="Q132" t="n">
        <v>0.03004761641210396</v>
      </c>
      <c r="R132" t="n">
        <v>0.007428714679400205</v>
      </c>
      <c r="S132" t="n">
        <v>0.03004761641210396</v>
      </c>
      <c r="T132" t="n">
        <v>0.02389915412970895</v>
      </c>
    </row>
    <row r="133">
      <c r="A133" s="93" t="n">
        <v>29129</v>
      </c>
      <c r="N133" t="n">
        <v>6820.572</v>
      </c>
      <c r="O133" t="n">
        <v>0.002500750342688359</v>
      </c>
      <c r="P133" t="n">
        <v>0.01284557672337478</v>
      </c>
      <c r="Q133" t="n">
        <v>0.01004058647981432</v>
      </c>
      <c r="R133" t="n">
        <v>0.002500750342688359</v>
      </c>
      <c r="S133" t="n">
        <v>0.01004058647981432</v>
      </c>
      <c r="T133" t="n">
        <v>0.01284557672337478</v>
      </c>
    </row>
    <row r="134">
      <c r="A134" s="93" t="n">
        <v>29221</v>
      </c>
      <c r="N134" t="n">
        <v>6842.024</v>
      </c>
      <c r="O134" t="n">
        <v>0.003145190755262202</v>
      </c>
      <c r="P134" t="n">
        <v>0.01420775265869138</v>
      </c>
      <c r="Q134" t="n">
        <v>0.01264024091996396</v>
      </c>
      <c r="R134" t="n">
        <v>0.003145190755262202</v>
      </c>
      <c r="S134" t="n">
        <v>0.01264024091996396</v>
      </c>
      <c r="T134" t="n">
        <v>0.01420775265869138</v>
      </c>
    </row>
    <row r="135">
      <c r="A135" s="93" t="n">
        <v>29312</v>
      </c>
      <c r="N135" t="n">
        <v>6701.046</v>
      </c>
      <c r="O135" t="n">
        <v>-0.02060472164377091</v>
      </c>
      <c r="P135" t="n">
        <v>-0.007750627129578919</v>
      </c>
      <c r="Q135" t="n">
        <v>-0.07990637031804315</v>
      </c>
      <c r="R135" t="n">
        <v>-0.02060472164377091</v>
      </c>
      <c r="S135" t="n">
        <v>-0.07990637031804315</v>
      </c>
      <c r="T135" t="n">
        <v>-0.007750627129578919</v>
      </c>
    </row>
    <row r="136">
      <c r="A136" s="93" t="n">
        <v>29403</v>
      </c>
      <c r="N136" t="n">
        <v>6693.082</v>
      </c>
      <c r="O136" t="n">
        <v>-0.001188471173007907</v>
      </c>
      <c r="P136" t="n">
        <v>-0.01623797430697286</v>
      </c>
      <c r="Q136" t="n">
        <v>-0.004745416622351839</v>
      </c>
      <c r="R136" t="n">
        <v>-0.001188471173007907</v>
      </c>
      <c r="S136" t="n">
        <v>-0.004745416622351839</v>
      </c>
      <c r="T136" t="n">
        <v>-0.01623797430697286</v>
      </c>
    </row>
    <row r="137">
      <c r="A137" s="93" t="n">
        <v>29495</v>
      </c>
      <c r="N137" t="n">
        <v>6817.903</v>
      </c>
      <c r="O137" t="n">
        <v>0.01864925605274221</v>
      </c>
      <c r="P137" t="n">
        <v>-0.0003913161535425283</v>
      </c>
      <c r="Q137" t="n">
        <v>0.07670985813356723</v>
      </c>
      <c r="R137" t="n">
        <v>0.01864925605274221</v>
      </c>
      <c r="S137" t="n">
        <v>0.07670985813356723</v>
      </c>
      <c r="T137" t="n">
        <v>-0.0003913161535425283</v>
      </c>
    </row>
    <row r="138">
      <c r="A138" s="93" t="n">
        <v>29587</v>
      </c>
      <c r="N138" t="n">
        <v>6951.495</v>
      </c>
      <c r="O138" t="n">
        <v>0.01959429460935417</v>
      </c>
      <c r="P138" t="n">
        <v>0.0159997977206744</v>
      </c>
      <c r="Q138" t="n">
        <v>0.08071103598225138</v>
      </c>
      <c r="R138" t="n">
        <v>0.01959429460935417</v>
      </c>
      <c r="S138" t="n">
        <v>0.08071103598225138</v>
      </c>
      <c r="T138" t="n">
        <v>0.0159997977206744</v>
      </c>
    </row>
    <row r="139">
      <c r="A139" s="93" t="n">
        <v>29677</v>
      </c>
      <c r="N139" t="n">
        <v>6899.98</v>
      </c>
      <c r="O139" t="n">
        <v>-0.00741063612935064</v>
      </c>
      <c r="P139" t="n">
        <v>0.02968700707322398</v>
      </c>
      <c r="Q139" t="n">
        <v>-0.02931466422968176</v>
      </c>
      <c r="R139" t="n">
        <v>-0.00741063612935064</v>
      </c>
      <c r="S139" t="n">
        <v>-0.02931466422968176</v>
      </c>
      <c r="T139" t="n">
        <v>0.02968700707322398</v>
      </c>
    </row>
    <row r="140">
      <c r="A140" s="93" t="n">
        <v>29768</v>
      </c>
      <c r="N140" t="n">
        <v>6982.609</v>
      </c>
      <c r="O140" t="n">
        <v>0.01197525210218013</v>
      </c>
      <c r="P140" t="n">
        <v>0.04325765021256277</v>
      </c>
      <c r="Q140" t="n">
        <v>0.04876833827542182</v>
      </c>
      <c r="R140" t="n">
        <v>0.01197525210218013</v>
      </c>
      <c r="S140" t="n">
        <v>0.04876833827542182</v>
      </c>
      <c r="T140" t="n">
        <v>0.04325765021256277</v>
      </c>
    </row>
    <row r="141">
      <c r="A141" s="93" t="n">
        <v>29860</v>
      </c>
      <c r="N141" t="n">
        <v>6906.529</v>
      </c>
      <c r="O141" t="n">
        <v>-0.010895640870053</v>
      </c>
      <c r="P141" t="n">
        <v>0.01299901157291328</v>
      </c>
      <c r="Q141" t="n">
        <v>-0.04287543335073463</v>
      </c>
      <c r="R141" t="n">
        <v>-0.010895640870053</v>
      </c>
      <c r="S141" t="n">
        <v>-0.04287543335073463</v>
      </c>
      <c r="T141" t="n">
        <v>0.01299901157291328</v>
      </c>
    </row>
    <row r="142">
      <c r="A142" s="93" t="n">
        <v>29952</v>
      </c>
      <c r="N142" t="n">
        <v>6799.233</v>
      </c>
      <c r="O142" t="n">
        <v>-0.01553544479433885</v>
      </c>
      <c r="P142" t="n">
        <v>-0.02190348982485059</v>
      </c>
      <c r="Q142" t="n">
        <v>-0.06070861857896181</v>
      </c>
      <c r="R142" t="n">
        <v>-0.01553544479433885</v>
      </c>
      <c r="S142" t="n">
        <v>-0.06070861857896181</v>
      </c>
      <c r="T142" t="n">
        <v>-0.02190348982485059</v>
      </c>
    </row>
    <row r="143">
      <c r="A143" s="93" t="n">
        <v>30042</v>
      </c>
      <c r="N143" t="n">
        <v>6830.251</v>
      </c>
      <c r="O143" t="n">
        <v>0.004561985153325386</v>
      </c>
      <c r="P143" t="n">
        <v>-0.01010568146574329</v>
      </c>
      <c r="Q143" t="n">
        <v>0.01837319106848523</v>
      </c>
      <c r="R143" t="n">
        <v>0.004561985153325386</v>
      </c>
      <c r="S143" t="n">
        <v>0.01837319106848523</v>
      </c>
      <c r="T143" t="n">
        <v>-0.01010568146574329</v>
      </c>
    </row>
    <row r="144">
      <c r="A144" s="93" t="n">
        <v>30133</v>
      </c>
      <c r="N144" t="n">
        <v>6804.139</v>
      </c>
      <c r="O144" t="n">
        <v>-0.00382299274214082</v>
      </c>
      <c r="P144" t="n">
        <v>-0.02555921432805421</v>
      </c>
      <c r="Q144" t="n">
        <v>-0.01520450261025641</v>
      </c>
      <c r="R144" t="n">
        <v>-0.00382299274214082</v>
      </c>
      <c r="S144" t="n">
        <v>-0.01520450261025641</v>
      </c>
      <c r="T144" t="n">
        <v>-0.02555921432805421</v>
      </c>
    </row>
    <row r="145">
      <c r="A145" s="93" t="n">
        <v>30225</v>
      </c>
      <c r="N145" t="n">
        <v>6806.857</v>
      </c>
      <c r="O145" t="n">
        <v>0.0003994627387829448</v>
      </c>
      <c r="P145" t="n">
        <v>-0.01443156178740442</v>
      </c>
      <c r="Q145" t="n">
        <v>0.001598808633004989</v>
      </c>
      <c r="R145" t="n">
        <v>0.0003994627387829448</v>
      </c>
      <c r="S145" t="n">
        <v>0.001598808633004989</v>
      </c>
      <c r="T145" t="n">
        <v>-0.01443156178740442</v>
      </c>
    </row>
    <row r="146">
      <c r="A146" s="93" t="n">
        <v>30317</v>
      </c>
      <c r="N146" t="n">
        <v>6896.561</v>
      </c>
      <c r="O146" t="n">
        <v>0.01317847576348375</v>
      </c>
      <c r="P146" t="n">
        <v>0.01431455577415857</v>
      </c>
      <c r="Q146" t="n">
        <v>0.05376512149741908</v>
      </c>
      <c r="R146" t="n">
        <v>0.01317847576348375</v>
      </c>
      <c r="S146" t="n">
        <v>0.05376512149741908</v>
      </c>
      <c r="T146" t="n">
        <v>0.01431455577415857</v>
      </c>
    </row>
    <row r="147">
      <c r="A147" s="93" t="n">
        <v>30407</v>
      </c>
      <c r="N147" t="n">
        <v>7053.5</v>
      </c>
      <c r="O147" t="n">
        <v>0.02275612439301274</v>
      </c>
      <c r="P147" t="n">
        <v>0.03268532884077024</v>
      </c>
      <c r="Q147" t="n">
        <v>0.09417894915071301</v>
      </c>
      <c r="R147" t="n">
        <v>0.02275612439301274</v>
      </c>
      <c r="S147" t="n">
        <v>0.09417894915071301</v>
      </c>
      <c r="T147" t="n">
        <v>0.03268532884077024</v>
      </c>
    </row>
    <row r="148">
      <c r="A148" s="93" t="n">
        <v>30498</v>
      </c>
      <c r="N148" t="n">
        <v>7194.504</v>
      </c>
      <c r="O148" t="n">
        <v>0.01999064294321967</v>
      </c>
      <c r="P148" t="n">
        <v>0.05737169684511145</v>
      </c>
      <c r="Q148" t="n">
        <v>0.08239244141250013</v>
      </c>
      <c r="R148" t="n">
        <v>0.01999064294321967</v>
      </c>
      <c r="S148" t="n">
        <v>0.08239244141250013</v>
      </c>
      <c r="T148" t="n">
        <v>0.05737169684511145</v>
      </c>
    </row>
    <row r="149">
      <c r="A149" s="93" t="n">
        <v>30590</v>
      </c>
      <c r="N149" t="n">
        <v>7344.597</v>
      </c>
      <c r="O149" t="n">
        <v>0.02086217479342563</v>
      </c>
      <c r="P149" t="n">
        <v>0.07899974981110956</v>
      </c>
      <c r="Q149" t="n">
        <v>0.08609659002729053</v>
      </c>
      <c r="R149" t="n">
        <v>0.02086217479342563</v>
      </c>
      <c r="S149" t="n">
        <v>0.08609659002729053</v>
      </c>
      <c r="T149" t="n">
        <v>0.07899974981110956</v>
      </c>
    </row>
    <row r="150">
      <c r="A150" s="93" t="n">
        <v>30682</v>
      </c>
      <c r="N150" t="n">
        <v>7488.167</v>
      </c>
      <c r="O150" t="n">
        <v>0.01954770288962085</v>
      </c>
      <c r="P150" t="n">
        <v>0.08578275462219513</v>
      </c>
      <c r="Q150" t="n">
        <v>0.08051351139935758</v>
      </c>
      <c r="R150" t="n">
        <v>0.01954770288962085</v>
      </c>
      <c r="S150" t="n">
        <v>0.08051351139935758</v>
      </c>
      <c r="T150" t="n">
        <v>0.08578275462219513</v>
      </c>
    </row>
    <row r="151">
      <c r="A151" s="93" t="n">
        <v>30773</v>
      </c>
      <c r="N151" t="n">
        <v>7617.547</v>
      </c>
      <c r="O151" t="n">
        <v>0.01727792662743756</v>
      </c>
      <c r="P151" t="n">
        <v>0.07996696675409365</v>
      </c>
      <c r="Q151" t="n">
        <v>0.0709235878122596</v>
      </c>
      <c r="R151" t="n">
        <v>0.01727792662743756</v>
      </c>
      <c r="S151" t="n">
        <v>0.0709235878122596</v>
      </c>
      <c r="T151" t="n">
        <v>0.07996696675409365</v>
      </c>
    </row>
    <row r="152">
      <c r="A152" s="93" t="n">
        <v>30864</v>
      </c>
      <c r="N152" t="n">
        <v>7690.985</v>
      </c>
      <c r="O152" t="n">
        <v>0.00964063628357004</v>
      </c>
      <c r="P152" t="n">
        <v>0.06900837083418117</v>
      </c>
      <c r="Q152" t="n">
        <v>0.03912378905516167</v>
      </c>
      <c r="R152" t="n">
        <v>0.00964063628357004</v>
      </c>
      <c r="S152" t="n">
        <v>0.03912378905516167</v>
      </c>
      <c r="T152" t="n">
        <v>0.06900837083418117</v>
      </c>
    </row>
    <row r="153">
      <c r="A153" s="93" t="n">
        <v>30956</v>
      </c>
      <c r="N153" t="n">
        <v>7754.117</v>
      </c>
      <c r="O153" t="n">
        <v>0.008208571463863279</v>
      </c>
      <c r="P153" t="n">
        <v>0.05575799461835693</v>
      </c>
      <c r="Q153" t="n">
        <v>0.03324078666384356</v>
      </c>
      <c r="R153" t="n">
        <v>0.008208571463863279</v>
      </c>
      <c r="S153" t="n">
        <v>0.03324078666384356</v>
      </c>
      <c r="T153" t="n">
        <v>0.05575799461835693</v>
      </c>
    </row>
    <row r="154">
      <c r="A154" s="93" t="n">
        <v>31048</v>
      </c>
      <c r="M154" t="n">
        <v>179.6300048828125</v>
      </c>
      <c r="N154" t="n">
        <v>7829.26</v>
      </c>
      <c r="O154" t="n">
        <v>0.00969072300559819</v>
      </c>
      <c r="P154" t="n">
        <v>0.04555093389343478</v>
      </c>
      <c r="Q154" t="n">
        <v>0.03933000174327517</v>
      </c>
      <c r="R154" t="n">
        <v>0.00969072300559819</v>
      </c>
      <c r="S154" t="n">
        <v>0.03933000174327517</v>
      </c>
      <c r="T154" t="n">
        <v>0.04555093389343478</v>
      </c>
    </row>
    <row r="155">
      <c r="A155" s="93" t="n">
        <v>31079</v>
      </c>
      <c r="M155" t="n">
        <v>181.1799926757812</v>
      </c>
      <c r="O155" t="n">
        <v>0.00969072300559819</v>
      </c>
      <c r="P155" t="n">
        <v>0.04555093389343478</v>
      </c>
      <c r="Q155" t="n">
        <v>0.03933000174327517</v>
      </c>
    </row>
    <row r="156">
      <c r="A156" s="93" t="n">
        <v>31107</v>
      </c>
      <c r="M156" t="n">
        <v>180.6600036621094</v>
      </c>
      <c r="O156" t="n">
        <v>0.00969072300559819</v>
      </c>
      <c r="P156" t="n">
        <v>0.04555093389343478</v>
      </c>
      <c r="Q156" t="n">
        <v>0.03933000174327517</v>
      </c>
    </row>
    <row r="157">
      <c r="A157" s="93" t="n">
        <v>31138</v>
      </c>
      <c r="M157" t="n">
        <v>179.8300018310547</v>
      </c>
      <c r="N157" t="n">
        <v>7898.194</v>
      </c>
      <c r="O157" t="n">
        <v>0.008804663531419342</v>
      </c>
      <c r="P157" t="n">
        <v>0.03684217504663914</v>
      </c>
      <c r="Q157" t="n">
        <v>0.03568652295878616</v>
      </c>
      <c r="R157" t="n">
        <v>0.008804663531419342</v>
      </c>
      <c r="S157" t="n">
        <v>0.03568652295878616</v>
      </c>
      <c r="T157" t="n">
        <v>0.03684217504663914</v>
      </c>
    </row>
    <row r="158">
      <c r="A158" s="93" t="n">
        <v>31168</v>
      </c>
      <c r="M158" t="n">
        <v>189.5500030517578</v>
      </c>
      <c r="O158" t="n">
        <v>0.008804663531419342</v>
      </c>
      <c r="P158" t="n">
        <v>0.03684217504663914</v>
      </c>
      <c r="Q158" t="n">
        <v>0.03568652295878616</v>
      </c>
    </row>
    <row r="159">
      <c r="A159" s="93" t="n">
        <v>31199</v>
      </c>
      <c r="M159" t="n">
        <v>191.8500061035156</v>
      </c>
      <c r="O159" t="n">
        <v>0.008804663531419342</v>
      </c>
      <c r="P159" t="n">
        <v>0.03684217504663914</v>
      </c>
      <c r="Q159" t="n">
        <v>0.03568652295878616</v>
      </c>
    </row>
    <row r="160">
      <c r="A160" s="93" t="n">
        <v>31229</v>
      </c>
      <c r="M160" t="n">
        <v>190.9199981689453</v>
      </c>
      <c r="N160" t="n">
        <v>8018.809</v>
      </c>
      <c r="O160" t="n">
        <v>0.01527121263417938</v>
      </c>
      <c r="P160" t="n">
        <v>0.04262444927405274</v>
      </c>
      <c r="Q160" t="n">
        <v>0.06249841012954405</v>
      </c>
      <c r="R160" t="n">
        <v>0.01527121263417938</v>
      </c>
      <c r="S160" t="n">
        <v>0.06249841012954405</v>
      </c>
      <c r="T160" t="n">
        <v>0.04262444927405274</v>
      </c>
    </row>
    <row r="161">
      <c r="A161" s="93" t="n">
        <v>31260</v>
      </c>
      <c r="M161" t="n">
        <v>188.6300048828125</v>
      </c>
      <c r="O161" t="n">
        <v>0.01527121263417938</v>
      </c>
      <c r="P161" t="n">
        <v>0.04262444927405274</v>
      </c>
      <c r="Q161" t="n">
        <v>0.06249841012954405</v>
      </c>
    </row>
    <row r="162">
      <c r="A162" s="93" t="n">
        <v>31291</v>
      </c>
      <c r="M162" t="n">
        <v>182.0800018310547</v>
      </c>
      <c r="O162" t="n">
        <v>0.01527121263417938</v>
      </c>
      <c r="P162" t="n">
        <v>0.04262444927405274</v>
      </c>
      <c r="Q162" t="n">
        <v>0.06249841012954405</v>
      </c>
    </row>
    <row r="163">
      <c r="A163" s="93" t="n">
        <v>31321</v>
      </c>
      <c r="M163" t="n">
        <v>189.8200073242188</v>
      </c>
      <c r="N163" t="n">
        <v>8078.415</v>
      </c>
      <c r="O163" t="n">
        <v>0.007433273444971662</v>
      </c>
      <c r="P163" t="n">
        <v>0.04182268593574223</v>
      </c>
      <c r="Q163" t="n">
        <v>0.03006626101659382</v>
      </c>
      <c r="R163" t="n">
        <v>0.007433273444971662</v>
      </c>
      <c r="S163" t="n">
        <v>0.03006626101659382</v>
      </c>
      <c r="T163" t="n">
        <v>0.04182268593574223</v>
      </c>
    </row>
    <row r="164">
      <c r="A164" s="93" t="n">
        <v>31352</v>
      </c>
      <c r="M164" t="n">
        <v>202.1699981689453</v>
      </c>
      <c r="O164" t="n">
        <v>0.007433273444971662</v>
      </c>
      <c r="P164" t="n">
        <v>0.04182268593574223</v>
      </c>
      <c r="Q164" t="n">
        <v>0.03006626101659382</v>
      </c>
    </row>
    <row r="165">
      <c r="A165" s="93" t="n">
        <v>31382</v>
      </c>
      <c r="M165" t="n">
        <v>211.2799987792969</v>
      </c>
      <c r="O165" t="n">
        <v>0.007433273444971662</v>
      </c>
      <c r="P165" t="n">
        <v>0.04182268593574223</v>
      </c>
      <c r="Q165" t="n">
        <v>0.03006626101659382</v>
      </c>
    </row>
    <row r="166">
      <c r="A166" s="93" t="n">
        <v>31413</v>
      </c>
      <c r="M166" t="n">
        <v>211.7799987792969</v>
      </c>
      <c r="N166" t="n">
        <v>8153.829</v>
      </c>
      <c r="O166" t="n">
        <v>0.009335247075075961</v>
      </c>
      <c r="P166" t="n">
        <v>0.04145589749222781</v>
      </c>
      <c r="Q166" t="n">
        <v>0.0378671310716483</v>
      </c>
      <c r="R166" t="n">
        <v>0.009335247075075961</v>
      </c>
      <c r="S166" t="n">
        <v>0.0378671310716483</v>
      </c>
      <c r="T166" t="n">
        <v>0.04145589749222781</v>
      </c>
    </row>
    <row r="167">
      <c r="A167" s="93" t="n">
        <v>31444</v>
      </c>
      <c r="M167" t="n">
        <v>226.9199981689453</v>
      </c>
      <c r="O167" t="n">
        <v>0.009335247075075961</v>
      </c>
      <c r="P167" t="n">
        <v>0.04145589749222781</v>
      </c>
      <c r="Q167" t="n">
        <v>0.0378671310716483</v>
      </c>
    </row>
    <row r="168">
      <c r="A168" s="93" t="n">
        <v>31472</v>
      </c>
      <c r="M168" t="n">
        <v>238.8999938964844</v>
      </c>
      <c r="O168" t="n">
        <v>0.009335247075075961</v>
      </c>
      <c r="P168" t="n">
        <v>0.04145589749222781</v>
      </c>
      <c r="Q168" t="n">
        <v>0.0378671310716483</v>
      </c>
    </row>
    <row r="169">
      <c r="A169" s="93" t="n">
        <v>31503</v>
      </c>
      <c r="M169" t="n">
        <v>235.5200042724609</v>
      </c>
      <c r="N169" t="n">
        <v>8190.552</v>
      </c>
      <c r="O169" t="n">
        <v>0.004503773625863378</v>
      </c>
      <c r="P169" t="n">
        <v>0.03701580386604827</v>
      </c>
      <c r="Q169" t="n">
        <v>0.01813716419389122</v>
      </c>
      <c r="R169" t="n">
        <v>0.004503773625863378</v>
      </c>
      <c r="S169" t="n">
        <v>0.01813716419389122</v>
      </c>
      <c r="T169" t="n">
        <v>0.03701580386604827</v>
      </c>
    </row>
    <row r="170">
      <c r="A170" s="93" t="n">
        <v>31533</v>
      </c>
      <c r="M170" t="n">
        <v>247.3500061035156</v>
      </c>
      <c r="O170" t="n">
        <v>0.004503773625863378</v>
      </c>
      <c r="P170" t="n">
        <v>0.03701580386604827</v>
      </c>
      <c r="Q170" t="n">
        <v>0.01813716419389122</v>
      </c>
    </row>
    <row r="171">
      <c r="A171" s="93" t="n">
        <v>31564</v>
      </c>
      <c r="M171" t="n">
        <v>250.8399963378906</v>
      </c>
      <c r="O171" t="n">
        <v>0.004503773625863378</v>
      </c>
      <c r="P171" t="n">
        <v>0.03701580386604827</v>
      </c>
      <c r="Q171" t="n">
        <v>0.01813716419389122</v>
      </c>
    </row>
    <row r="172">
      <c r="A172" s="93" t="n">
        <v>31594</v>
      </c>
      <c r="M172" t="n">
        <v>236.1199951171875</v>
      </c>
      <c r="N172" t="n">
        <v>8268.934999999999</v>
      </c>
      <c r="O172" t="n">
        <v>0.009569928864379325</v>
      </c>
      <c r="P172" t="n">
        <v>0.03119241273859987</v>
      </c>
      <c r="Q172" t="n">
        <v>0.03883273086767081</v>
      </c>
      <c r="R172" t="n">
        <v>0.009569928864379325</v>
      </c>
      <c r="S172" t="n">
        <v>0.03883273086767081</v>
      </c>
      <c r="T172" t="n">
        <v>0.03119241273859987</v>
      </c>
    </row>
    <row r="173">
      <c r="A173" s="93" t="n">
        <v>31625</v>
      </c>
      <c r="M173" t="n">
        <v>252.9299926757812</v>
      </c>
      <c r="O173" t="n">
        <v>0.009569928864379325</v>
      </c>
      <c r="P173" t="n">
        <v>0.03119241273859987</v>
      </c>
      <c r="Q173" t="n">
        <v>0.03883273086767081</v>
      </c>
    </row>
    <row r="174">
      <c r="A174" s="93" t="n">
        <v>31656</v>
      </c>
      <c r="M174" t="n">
        <v>231.3200073242188</v>
      </c>
      <c r="O174" t="n">
        <v>0.009569928864379325</v>
      </c>
      <c r="P174" t="n">
        <v>0.03119241273859987</v>
      </c>
      <c r="Q174" t="n">
        <v>0.03883273086767081</v>
      </c>
    </row>
    <row r="175">
      <c r="A175" s="93" t="n">
        <v>31686</v>
      </c>
      <c r="M175" t="n">
        <v>243.9799957275391</v>
      </c>
      <c r="N175" t="n">
        <v>8313.338</v>
      </c>
      <c r="O175" t="n">
        <v>0.005369857182333668</v>
      </c>
      <c r="P175" t="n">
        <v>0.02908033320892772</v>
      </c>
      <c r="Q175" t="n">
        <v>0.02165306112495746</v>
      </c>
      <c r="R175" t="n">
        <v>0.005369857182333668</v>
      </c>
      <c r="S175" t="n">
        <v>0.02165306112495746</v>
      </c>
      <c r="T175" t="n">
        <v>0.02908033320892772</v>
      </c>
    </row>
    <row r="176">
      <c r="A176" s="93" t="n">
        <v>31717</v>
      </c>
      <c r="M176" t="n">
        <v>249.2200012207031</v>
      </c>
      <c r="O176" t="n">
        <v>0.005369857182333668</v>
      </c>
      <c r="P176" t="n">
        <v>0.02908033320892772</v>
      </c>
      <c r="Q176" t="n">
        <v>0.02165306112495746</v>
      </c>
    </row>
    <row r="177">
      <c r="A177" s="93" t="n">
        <v>31747</v>
      </c>
      <c r="M177" t="n">
        <v>242.1699981689453</v>
      </c>
      <c r="O177" t="n">
        <v>0.005369857182333668</v>
      </c>
      <c r="P177" t="n">
        <v>0.02908033320892772</v>
      </c>
      <c r="Q177" t="n">
        <v>0.02165306112495746</v>
      </c>
    </row>
    <row r="178">
      <c r="A178" s="93" t="n">
        <v>31778</v>
      </c>
      <c r="M178" t="n">
        <v>274.0799865722656</v>
      </c>
      <c r="N178" t="n">
        <v>8375.273999999999</v>
      </c>
      <c r="O178" t="n">
        <v>0.007450196299007655</v>
      </c>
      <c r="P178" t="n">
        <v>0.02715840619174129</v>
      </c>
      <c r="Q178" t="n">
        <v>0.03013547493148994</v>
      </c>
      <c r="R178" t="n">
        <v>0.007450196299007655</v>
      </c>
      <c r="S178" t="n">
        <v>0.03013547493148994</v>
      </c>
      <c r="T178" t="n">
        <v>0.02715840619174129</v>
      </c>
    </row>
    <row r="179">
      <c r="A179" s="93" t="n">
        <v>31809</v>
      </c>
      <c r="M179" t="n">
        <v>284.2000122070312</v>
      </c>
      <c r="O179" t="n">
        <v>0.007450196299007655</v>
      </c>
      <c r="P179" t="n">
        <v>0.02715840619174129</v>
      </c>
      <c r="Q179" t="n">
        <v>0.03013547493148994</v>
      </c>
    </row>
    <row r="180">
      <c r="A180" s="93" t="n">
        <v>31837</v>
      </c>
      <c r="M180" t="n">
        <v>291.7000122070312</v>
      </c>
      <c r="O180" t="n">
        <v>0.007450196299007655</v>
      </c>
      <c r="P180" t="n">
        <v>0.02715840619174129</v>
      </c>
      <c r="Q180" t="n">
        <v>0.03013547493148994</v>
      </c>
    </row>
    <row r="181">
      <c r="A181" s="93" t="n">
        <v>31868</v>
      </c>
      <c r="M181" t="n">
        <v>288.3599853515625</v>
      </c>
      <c r="N181" t="n">
        <v>8465.629999999999</v>
      </c>
      <c r="O181" t="n">
        <v>0.01078842316084223</v>
      </c>
      <c r="P181" t="n">
        <v>0.03358479379655969</v>
      </c>
      <c r="Q181" t="n">
        <v>0.04385706929729549</v>
      </c>
      <c r="R181" t="n">
        <v>0.01078842316084223</v>
      </c>
      <c r="S181" t="n">
        <v>0.04385706929729549</v>
      </c>
      <c r="T181" t="n">
        <v>0.03358479379655969</v>
      </c>
    </row>
    <row r="182">
      <c r="A182" s="93" t="n">
        <v>31898</v>
      </c>
      <c r="M182" t="n">
        <v>290.1000061035156</v>
      </c>
      <c r="O182" t="n">
        <v>0.01078842316084223</v>
      </c>
      <c r="P182" t="n">
        <v>0.03358479379655969</v>
      </c>
      <c r="Q182" t="n">
        <v>0.04385706929729549</v>
      </c>
    </row>
    <row r="183">
      <c r="A183" s="93" t="n">
        <v>31929</v>
      </c>
      <c r="M183" t="n">
        <v>304</v>
      </c>
      <c r="O183" t="n">
        <v>0.01078842316084223</v>
      </c>
      <c r="P183" t="n">
        <v>0.03358479379655969</v>
      </c>
      <c r="Q183" t="n">
        <v>0.04385706929729549</v>
      </c>
    </row>
    <row r="184">
      <c r="A184" s="93" t="n">
        <v>31959</v>
      </c>
      <c r="M184" t="n">
        <v>318.6600036621094</v>
      </c>
      <c r="N184" t="n">
        <v>8539.075000000001</v>
      </c>
      <c r="O184" t="n">
        <v>0.008675668556268291</v>
      </c>
      <c r="P184" t="n">
        <v>0.03266926151916798</v>
      </c>
      <c r="Q184" t="n">
        <v>0.03515689521360321</v>
      </c>
      <c r="R184" t="n">
        <v>0.008675668556268291</v>
      </c>
      <c r="S184" t="n">
        <v>0.03515689521360321</v>
      </c>
      <c r="T184" t="n">
        <v>0.03266926151916798</v>
      </c>
    </row>
    <row r="185">
      <c r="A185" s="93" t="n">
        <v>31990</v>
      </c>
      <c r="M185" t="n">
        <v>329.7999877929688</v>
      </c>
      <c r="O185" t="n">
        <v>0.008675668556268291</v>
      </c>
      <c r="P185" t="n">
        <v>0.03266926151916798</v>
      </c>
      <c r="Q185" t="n">
        <v>0.03515689521360321</v>
      </c>
    </row>
    <row r="186">
      <c r="A186" s="93" t="n">
        <v>32021</v>
      </c>
      <c r="M186" t="n">
        <v>321.8299865722656</v>
      </c>
      <c r="O186" t="n">
        <v>0.008675668556268291</v>
      </c>
      <c r="P186" t="n">
        <v>0.03266926151916798</v>
      </c>
      <c r="Q186" t="n">
        <v>0.03515689521360321</v>
      </c>
    </row>
    <row r="187">
      <c r="A187" s="93" t="n">
        <v>32051</v>
      </c>
      <c r="M187" t="n">
        <v>251.7899932861328</v>
      </c>
      <c r="N187" t="n">
        <v>8685.694</v>
      </c>
      <c r="O187" t="n">
        <v>0.01717036095830037</v>
      </c>
      <c r="P187" t="n">
        <v>0.04479019137679711</v>
      </c>
      <c r="Q187" t="n">
        <v>0.07047070727767069</v>
      </c>
      <c r="R187" t="n">
        <v>0.01717036095830037</v>
      </c>
      <c r="S187" t="n">
        <v>0.07047070727767069</v>
      </c>
      <c r="T187" t="n">
        <v>0.04479019137679711</v>
      </c>
    </row>
    <row r="188">
      <c r="A188" s="93" t="n">
        <v>32082</v>
      </c>
      <c r="M188" t="n">
        <v>230.3000030517578</v>
      </c>
      <c r="O188" t="n">
        <v>0.01717036095830037</v>
      </c>
      <c r="P188" t="n">
        <v>0.04479019137679711</v>
      </c>
      <c r="Q188" t="n">
        <v>0.07047070727767069</v>
      </c>
    </row>
    <row r="189">
      <c r="A189" s="93" t="n">
        <v>32112</v>
      </c>
      <c r="M189" t="n">
        <v>247.0800018310547</v>
      </c>
      <c r="O189" t="n">
        <v>0.01717036095830037</v>
      </c>
      <c r="P189" t="n">
        <v>0.04479019137679711</v>
      </c>
      <c r="Q189" t="n">
        <v>0.07047070727767069</v>
      </c>
    </row>
    <row r="190">
      <c r="A190" s="93" t="n">
        <v>32143</v>
      </c>
      <c r="M190" t="n">
        <v>257.0700073242188</v>
      </c>
      <c r="N190" t="n">
        <v>8730.569</v>
      </c>
      <c r="O190" t="n">
        <v>0.005166541671857194</v>
      </c>
      <c r="P190" t="n">
        <v>0.04242189568962163</v>
      </c>
      <c r="Q190" t="n">
        <v>0.02082687796218141</v>
      </c>
      <c r="R190" t="n">
        <v>0.005166541671857194</v>
      </c>
      <c r="S190" t="n">
        <v>0.02082687796218141</v>
      </c>
      <c r="T190" t="n">
        <v>0.04242189568962163</v>
      </c>
    </row>
    <row r="191">
      <c r="A191" s="93" t="n">
        <v>32174</v>
      </c>
      <c r="M191" t="n">
        <v>267.8200073242188</v>
      </c>
      <c r="O191" t="n">
        <v>0.005166541671857194</v>
      </c>
      <c r="P191" t="n">
        <v>0.04242189568962163</v>
      </c>
      <c r="Q191" t="n">
        <v>0.02082687796218141</v>
      </c>
    </row>
    <row r="192">
      <c r="A192" s="93" t="n">
        <v>32203</v>
      </c>
      <c r="M192" t="n">
        <v>258.8900146484375</v>
      </c>
      <c r="O192" t="n">
        <v>0.005166541671857194</v>
      </c>
      <c r="P192" t="n">
        <v>0.04242189568962163</v>
      </c>
      <c r="Q192" t="n">
        <v>0.02082687796218141</v>
      </c>
    </row>
    <row r="193">
      <c r="A193" s="93" t="n">
        <v>32234</v>
      </c>
      <c r="M193" t="n">
        <v>261.3299865722656</v>
      </c>
      <c r="N193" t="n">
        <v>8845.280000000001</v>
      </c>
      <c r="O193" t="n">
        <v>0.01313900617474086</v>
      </c>
      <c r="P193" t="n">
        <v>0.0448460421728804</v>
      </c>
      <c r="Q193" t="n">
        <v>0.0536009283304526</v>
      </c>
      <c r="R193" t="n">
        <v>0.01313900617474086</v>
      </c>
      <c r="S193" t="n">
        <v>0.0536009283304526</v>
      </c>
      <c r="T193" t="n">
        <v>0.0448460421728804</v>
      </c>
    </row>
    <row r="194">
      <c r="A194" s="93" t="n">
        <v>32264</v>
      </c>
      <c r="M194" t="n">
        <v>262.1600036621094</v>
      </c>
      <c r="O194" t="n">
        <v>0.01313900617474086</v>
      </c>
      <c r="P194" t="n">
        <v>0.0448460421728804</v>
      </c>
      <c r="Q194" t="n">
        <v>0.0536009283304526</v>
      </c>
    </row>
    <row r="195">
      <c r="A195" s="93" t="n">
        <v>32295</v>
      </c>
      <c r="M195" t="n">
        <v>273.5</v>
      </c>
      <c r="O195" t="n">
        <v>0.01313900617474086</v>
      </c>
      <c r="P195" t="n">
        <v>0.0448460421728804</v>
      </c>
      <c r="Q195" t="n">
        <v>0.0536009283304526</v>
      </c>
    </row>
    <row r="196">
      <c r="A196" s="93" t="n">
        <v>32325</v>
      </c>
      <c r="M196" t="n">
        <v>272.0199890136719</v>
      </c>
      <c r="N196" t="n">
        <v>8897.107</v>
      </c>
      <c r="O196" t="n">
        <v>0.005859283143099971</v>
      </c>
      <c r="P196" t="n">
        <v>0.04192866323342976</v>
      </c>
      <c r="Q196" t="n">
        <v>0.02364392556959816</v>
      </c>
      <c r="R196" t="n">
        <v>0.005859283143099971</v>
      </c>
      <c r="S196" t="n">
        <v>0.02364392556959816</v>
      </c>
      <c r="T196" t="n">
        <v>0.04192866323342976</v>
      </c>
    </row>
    <row r="197">
      <c r="A197" s="93" t="n">
        <v>32356</v>
      </c>
      <c r="M197" t="n">
        <v>261.5199890136719</v>
      </c>
      <c r="O197" t="n">
        <v>0.005859283143099971</v>
      </c>
      <c r="P197" t="n">
        <v>0.04192866323342976</v>
      </c>
      <c r="Q197" t="n">
        <v>0.02364392556959816</v>
      </c>
    </row>
    <row r="198">
      <c r="A198" s="93" t="n">
        <v>32387</v>
      </c>
      <c r="M198" t="n">
        <v>271.9100036621094</v>
      </c>
      <c r="O198" t="n">
        <v>0.005859283143099971</v>
      </c>
      <c r="P198" t="n">
        <v>0.04192866323342976</v>
      </c>
      <c r="Q198" t="n">
        <v>0.02364392556959816</v>
      </c>
    </row>
    <row r="199">
      <c r="A199" s="93" t="n">
        <v>32417</v>
      </c>
      <c r="M199" t="n">
        <v>278.9700012207031</v>
      </c>
      <c r="N199" t="n">
        <v>9015.661</v>
      </c>
      <c r="O199" t="n">
        <v>0.01332500553269732</v>
      </c>
      <c r="P199" t="n">
        <v>0.03798971043649484</v>
      </c>
      <c r="Q199" t="n">
        <v>0.05437485201812042</v>
      </c>
      <c r="R199" t="n">
        <v>0.01332500553269732</v>
      </c>
      <c r="S199" t="n">
        <v>0.05437485201812042</v>
      </c>
      <c r="T199" t="n">
        <v>0.03798971043649484</v>
      </c>
    </row>
    <row r="200">
      <c r="A200" s="93" t="n">
        <v>32448</v>
      </c>
      <c r="M200" t="n">
        <v>273.7000122070312</v>
      </c>
      <c r="O200" t="n">
        <v>0.01332500553269732</v>
      </c>
      <c r="P200" t="n">
        <v>0.03798971043649484</v>
      </c>
      <c r="Q200" t="n">
        <v>0.05437485201812042</v>
      </c>
    </row>
    <row r="201">
      <c r="A201" s="93" t="n">
        <v>32478</v>
      </c>
      <c r="M201" t="n">
        <v>277.7200012207031</v>
      </c>
      <c r="O201" t="n">
        <v>0.01332500553269732</v>
      </c>
      <c r="P201" t="n">
        <v>0.03798971043649484</v>
      </c>
      <c r="Q201" t="n">
        <v>0.05437485201812042</v>
      </c>
    </row>
    <row r="202">
      <c r="A202" s="93" t="n">
        <v>32509</v>
      </c>
      <c r="M202" t="n">
        <v>297.4700012207031</v>
      </c>
      <c r="N202" t="n">
        <v>9107.314</v>
      </c>
      <c r="O202" t="n">
        <v>0.01016597673759032</v>
      </c>
      <c r="P202" t="n">
        <v>0.04315239934533486</v>
      </c>
      <c r="Q202" t="n">
        <v>0.04128820262532429</v>
      </c>
      <c r="R202" t="n">
        <v>0.01016597673759032</v>
      </c>
      <c r="S202" t="n">
        <v>0.04128820262532429</v>
      </c>
      <c r="T202" t="n">
        <v>0.04315239934533486</v>
      </c>
    </row>
    <row r="203">
      <c r="A203" s="93" t="n">
        <v>32540</v>
      </c>
      <c r="M203" t="n">
        <v>288.8599853515625</v>
      </c>
      <c r="O203" t="n">
        <v>0.01016597673759032</v>
      </c>
      <c r="P203" t="n">
        <v>0.04315239934533486</v>
      </c>
      <c r="Q203" t="n">
        <v>0.04128820262532429</v>
      </c>
    </row>
    <row r="204">
      <c r="A204" s="93" t="n">
        <v>32568</v>
      </c>
      <c r="M204" t="n">
        <v>294.8699951171875</v>
      </c>
      <c r="O204" t="n">
        <v>0.01016597673759032</v>
      </c>
      <c r="P204" t="n">
        <v>0.04315239934533486</v>
      </c>
      <c r="Q204" t="n">
        <v>0.04128820262532429</v>
      </c>
    </row>
    <row r="205">
      <c r="A205" s="93" t="n">
        <v>32599</v>
      </c>
      <c r="M205" t="n">
        <v>309.6400146484375</v>
      </c>
      <c r="N205" t="n">
        <v>9176.826999999999</v>
      </c>
      <c r="O205" t="n">
        <v>0.007632656565920425</v>
      </c>
      <c r="P205" t="n">
        <v>0.03748292874843969</v>
      </c>
      <c r="Q205" t="n">
        <v>0.03088195297144991</v>
      </c>
      <c r="R205" t="n">
        <v>0.007632656565920425</v>
      </c>
      <c r="S205" t="n">
        <v>0.03088195297144991</v>
      </c>
      <c r="T205" t="n">
        <v>0.03748292874843969</v>
      </c>
    </row>
    <row r="206">
      <c r="A206" s="93" t="n">
        <v>32629</v>
      </c>
      <c r="M206" t="n">
        <v>320.5199890136719</v>
      </c>
      <c r="O206" t="n">
        <v>0.007632656565920425</v>
      </c>
      <c r="P206" t="n">
        <v>0.03748292874843969</v>
      </c>
      <c r="Q206" t="n">
        <v>0.03088195297144991</v>
      </c>
    </row>
    <row r="207">
      <c r="A207" s="93" t="n">
        <v>32660</v>
      </c>
      <c r="M207" t="n">
        <v>317.9800109863281</v>
      </c>
      <c r="O207" t="n">
        <v>0.007632656565920425</v>
      </c>
      <c r="P207" t="n">
        <v>0.03748292874843969</v>
      </c>
      <c r="Q207" t="n">
        <v>0.03088195297144991</v>
      </c>
    </row>
    <row r="208">
      <c r="A208" s="93" t="n">
        <v>32690</v>
      </c>
      <c r="M208" t="n">
        <v>346.0799865722656</v>
      </c>
      <c r="N208" t="n">
        <v>9244.816000000001</v>
      </c>
      <c r="O208" t="n">
        <v>0.007408769937583154</v>
      </c>
      <c r="P208" t="n">
        <v>0.03908113052928337</v>
      </c>
      <c r="Q208" t="n">
        <v>0.02996604866089259</v>
      </c>
      <c r="R208" t="n">
        <v>0.007408769937583154</v>
      </c>
      <c r="S208" t="n">
        <v>0.02996604866089259</v>
      </c>
      <c r="T208" t="n">
        <v>0.03908113052928337</v>
      </c>
    </row>
    <row r="209">
      <c r="A209" s="93" t="n">
        <v>32721</v>
      </c>
      <c r="M209" t="n">
        <v>351.4500122070312</v>
      </c>
      <c r="O209" t="n">
        <v>0.007408769937583154</v>
      </c>
      <c r="P209" t="n">
        <v>0.03908113052928337</v>
      </c>
      <c r="Q209" t="n">
        <v>0.02996604866089259</v>
      </c>
    </row>
    <row r="210">
      <c r="A210" s="93" t="n">
        <v>32752</v>
      </c>
      <c r="M210" t="n">
        <v>349.1499938964844</v>
      </c>
      <c r="O210" t="n">
        <v>0.007408769937583154</v>
      </c>
      <c r="P210" t="n">
        <v>0.03908113052928337</v>
      </c>
      <c r="Q210" t="n">
        <v>0.02996604866089259</v>
      </c>
    </row>
    <row r="211">
      <c r="A211" s="93" t="n">
        <v>32782</v>
      </c>
      <c r="M211" t="n">
        <v>340.3599853515625</v>
      </c>
      <c r="N211" t="n">
        <v>9263.032999999999</v>
      </c>
      <c r="O211" t="n">
        <v>0.001970509742973655</v>
      </c>
      <c r="P211" t="n">
        <v>0.02743803255246614</v>
      </c>
      <c r="Q211" t="n">
        <v>0.007905367044091838</v>
      </c>
      <c r="R211" t="n">
        <v>0.001970509742973655</v>
      </c>
      <c r="S211" t="n">
        <v>0.007905367044091838</v>
      </c>
      <c r="T211" t="n">
        <v>0.02743803255246614</v>
      </c>
    </row>
    <row r="212">
      <c r="A212" s="93" t="n">
        <v>32813</v>
      </c>
      <c r="M212" t="n">
        <v>345.989990234375</v>
      </c>
      <c r="O212" t="n">
        <v>0.001970509742973655</v>
      </c>
      <c r="P212" t="n">
        <v>0.02743803255246614</v>
      </c>
      <c r="Q212" t="n">
        <v>0.007905367044091838</v>
      </c>
    </row>
    <row r="213">
      <c r="A213" s="93" t="n">
        <v>32843</v>
      </c>
      <c r="M213" t="n">
        <v>353.3999938964844</v>
      </c>
      <c r="O213" t="n">
        <v>0.001970509742973655</v>
      </c>
      <c r="P213" t="n">
        <v>0.02743803255246614</v>
      </c>
      <c r="Q213" t="n">
        <v>0.007905367044091838</v>
      </c>
    </row>
    <row r="214">
      <c r="A214" s="93" t="n">
        <v>32874</v>
      </c>
      <c r="M214" t="n">
        <v>329.0799865722656</v>
      </c>
      <c r="N214" t="n">
        <v>9364.259</v>
      </c>
      <c r="O214" t="n">
        <v>0.01092795415929108</v>
      </c>
      <c r="P214" t="n">
        <v>0.02821303844360694</v>
      </c>
      <c r="Q214" t="n">
        <v>0.04443357206409249</v>
      </c>
      <c r="R214" t="n">
        <v>0.01092795415929108</v>
      </c>
      <c r="S214" t="n">
        <v>0.04443357206409249</v>
      </c>
      <c r="T214" t="n">
        <v>0.02821303844360694</v>
      </c>
    </row>
    <row r="215">
      <c r="A215" s="93" t="n">
        <v>32905</v>
      </c>
      <c r="M215" t="n">
        <v>331.8900146484375</v>
      </c>
      <c r="O215" t="n">
        <v>0.01092795415929108</v>
      </c>
      <c r="P215" t="n">
        <v>0.02821303844360694</v>
      </c>
      <c r="Q215" t="n">
        <v>0.04443357206409249</v>
      </c>
    </row>
    <row r="216">
      <c r="A216" s="93" t="n">
        <v>32933</v>
      </c>
      <c r="M216" t="n">
        <v>339.9400024414062</v>
      </c>
      <c r="O216" t="n">
        <v>0.01092795415929108</v>
      </c>
      <c r="P216" t="n">
        <v>0.02821303844360694</v>
      </c>
      <c r="Q216" t="n">
        <v>0.04443357206409249</v>
      </c>
    </row>
    <row r="217">
      <c r="A217" s="93" t="n">
        <v>32964</v>
      </c>
      <c r="M217" t="n">
        <v>330.7999877929688</v>
      </c>
      <c r="N217" t="n">
        <v>9398.243</v>
      </c>
      <c r="O217" t="n">
        <v>0.003629117904577434</v>
      </c>
      <c r="P217" t="n">
        <v>0.02412772955183759</v>
      </c>
      <c r="Q217" t="n">
        <v>0.01459568596150662</v>
      </c>
      <c r="R217" t="n">
        <v>0.003629117904577434</v>
      </c>
      <c r="S217" t="n">
        <v>0.01459568596150662</v>
      </c>
      <c r="T217" t="n">
        <v>0.02412772955183759</v>
      </c>
    </row>
    <row r="218">
      <c r="A218" s="93" t="n">
        <v>32994</v>
      </c>
      <c r="M218" t="n">
        <v>361.2300109863281</v>
      </c>
      <c r="O218" t="n">
        <v>0.003629117904577434</v>
      </c>
      <c r="P218" t="n">
        <v>0.02412772955183759</v>
      </c>
      <c r="Q218" t="n">
        <v>0.01459568596150662</v>
      </c>
    </row>
    <row r="219">
      <c r="A219" s="93" t="n">
        <v>33025</v>
      </c>
      <c r="M219" t="n">
        <v>358.0199890136719</v>
      </c>
      <c r="O219" t="n">
        <v>0.003629117904577434</v>
      </c>
      <c r="P219" t="n">
        <v>0.02412772955183759</v>
      </c>
      <c r="Q219" t="n">
        <v>0.01459568596150662</v>
      </c>
    </row>
    <row r="220">
      <c r="A220" s="93" t="n">
        <v>33055</v>
      </c>
      <c r="M220" t="n">
        <v>356.1499938964844</v>
      </c>
      <c r="N220" t="n">
        <v>9404.494000000001</v>
      </c>
      <c r="O220" t="n">
        <v>0.0006651243216418434</v>
      </c>
      <c r="P220" t="n">
        <v>0.01727216636869786</v>
      </c>
      <c r="Q220" t="n">
        <v>0.002663152805920666</v>
      </c>
      <c r="R220" t="n">
        <v>0.0006651243216418434</v>
      </c>
      <c r="S220" t="n">
        <v>0.002663152805920666</v>
      </c>
      <c r="T220" t="n">
        <v>0.01727216636869786</v>
      </c>
    </row>
    <row r="221">
      <c r="A221" s="93" t="n">
        <v>33086</v>
      </c>
      <c r="M221" t="n">
        <v>322.5599975585938</v>
      </c>
      <c r="O221" t="n">
        <v>0.0006651243216418434</v>
      </c>
      <c r="P221" t="n">
        <v>0.01727216636869786</v>
      </c>
      <c r="Q221" t="n">
        <v>0.002663152805920666</v>
      </c>
    </row>
    <row r="222">
      <c r="A222" s="93" t="n">
        <v>33117</v>
      </c>
      <c r="M222" t="n">
        <v>306.0499877929688</v>
      </c>
      <c r="O222" t="n">
        <v>0.0006651243216418434</v>
      </c>
      <c r="P222" t="n">
        <v>0.01727216636869786</v>
      </c>
      <c r="Q222" t="n">
        <v>0.002663152805920666</v>
      </c>
    </row>
    <row r="223">
      <c r="A223" s="93" t="n">
        <v>33147</v>
      </c>
      <c r="M223" t="n">
        <v>304</v>
      </c>
      <c r="N223" t="n">
        <v>9318.876</v>
      </c>
      <c r="O223" t="n">
        <v>-0.009103945411629843</v>
      </c>
      <c r="P223" t="n">
        <v>0.006028586964982286</v>
      </c>
      <c r="Q223" t="n">
        <v>-0.03592150205110989</v>
      </c>
      <c r="R223" t="n">
        <v>-0.009103945411629843</v>
      </c>
      <c r="S223" t="n">
        <v>-0.03592150205110989</v>
      </c>
      <c r="T223" t="n">
        <v>0.006028586964982286</v>
      </c>
    </row>
    <row r="224">
      <c r="A224" s="93" t="n">
        <v>33178</v>
      </c>
      <c r="M224" t="n">
        <v>322.2200012207031</v>
      </c>
      <c r="O224" t="n">
        <v>-0.009103945411629843</v>
      </c>
      <c r="P224" t="n">
        <v>0.006028586964982286</v>
      </c>
      <c r="Q224" t="n">
        <v>-0.03592150205110989</v>
      </c>
    </row>
    <row r="225">
      <c r="A225" s="93" t="n">
        <v>33208</v>
      </c>
      <c r="M225" t="n">
        <v>330.2200012207031</v>
      </c>
      <c r="O225" t="n">
        <v>-0.009103945411629843</v>
      </c>
      <c r="P225" t="n">
        <v>0.006028586964982286</v>
      </c>
      <c r="Q225" t="n">
        <v>-0.03592150205110989</v>
      </c>
    </row>
    <row r="226">
      <c r="A226" s="93" t="n">
        <v>33239</v>
      </c>
      <c r="M226" t="n">
        <v>343.9299926757812</v>
      </c>
      <c r="N226" t="n">
        <v>9275.276</v>
      </c>
      <c r="O226" t="n">
        <v>-0.004678675840305243</v>
      </c>
      <c r="P226" t="n">
        <v>-0.009502406971016092</v>
      </c>
      <c r="Q226" t="n">
        <v>-0.01858377250133569</v>
      </c>
      <c r="R226" t="n">
        <v>-0.004678675840305243</v>
      </c>
      <c r="S226" t="n">
        <v>-0.01858377250133569</v>
      </c>
      <c r="T226" t="n">
        <v>-0.009502406971016092</v>
      </c>
    </row>
    <row r="227">
      <c r="A227" s="93" t="n">
        <v>33270</v>
      </c>
      <c r="M227" t="n">
        <v>367.0700073242188</v>
      </c>
      <c r="O227" t="n">
        <v>-0.004678675840305243</v>
      </c>
      <c r="P227" t="n">
        <v>-0.009502406971016092</v>
      </c>
      <c r="Q227" t="n">
        <v>-0.01858377250133569</v>
      </c>
    </row>
    <row r="228">
      <c r="A228" s="93" t="n">
        <v>33298</v>
      </c>
      <c r="M228" t="n">
        <v>375.2200012207031</v>
      </c>
      <c r="O228" t="n">
        <v>-0.004678675840305243</v>
      </c>
      <c r="P228" t="n">
        <v>-0.009502406971016092</v>
      </c>
      <c r="Q228" t="n">
        <v>-0.01858377250133569</v>
      </c>
    </row>
    <row r="229">
      <c r="A229" s="93" t="n">
        <v>33329</v>
      </c>
      <c r="M229" t="n">
        <v>375.3399963378906</v>
      </c>
      <c r="N229" t="n">
        <v>9347.597</v>
      </c>
      <c r="O229" t="n">
        <v>0.007797180375009856</v>
      </c>
      <c r="P229" t="n">
        <v>-0.005388879602283176</v>
      </c>
      <c r="Q229" t="n">
        <v>0.03155539747719072</v>
      </c>
      <c r="R229" t="n">
        <v>0.007797180375009856</v>
      </c>
      <c r="S229" t="n">
        <v>0.03155539747719072</v>
      </c>
      <c r="T229" t="n">
        <v>-0.005388879602283176</v>
      </c>
    </row>
    <row r="230">
      <c r="A230" s="93" t="n">
        <v>33359</v>
      </c>
      <c r="M230" t="n">
        <v>389.8299865722656</v>
      </c>
      <c r="O230" t="n">
        <v>0.007797180375009856</v>
      </c>
      <c r="P230" t="n">
        <v>-0.005388879602283176</v>
      </c>
      <c r="Q230" t="n">
        <v>0.03155539747719072</v>
      </c>
    </row>
    <row r="231">
      <c r="A231" s="93" t="n">
        <v>33390</v>
      </c>
      <c r="M231" t="n">
        <v>371.1600036621094</v>
      </c>
      <c r="O231" t="n">
        <v>0.007797180375009856</v>
      </c>
      <c r="P231" t="n">
        <v>-0.005388879602283176</v>
      </c>
      <c r="Q231" t="n">
        <v>0.03155539747719072</v>
      </c>
    </row>
    <row r="232">
      <c r="A232" s="93" t="n">
        <v>33420</v>
      </c>
      <c r="M232" t="n">
        <v>387.8099975585938</v>
      </c>
      <c r="N232" t="n">
        <v>9394.834000000001</v>
      </c>
      <c r="O232" t="n">
        <v>0.005053384308288108</v>
      </c>
      <c r="P232" t="n">
        <v>-0.001027168500506232</v>
      </c>
      <c r="Q232" t="n">
        <v>0.02036727422997253</v>
      </c>
      <c r="R232" t="n">
        <v>0.005053384308288108</v>
      </c>
      <c r="S232" t="n">
        <v>0.02036727422997253</v>
      </c>
      <c r="T232" t="n">
        <v>-0.001027168500506232</v>
      </c>
    </row>
    <row r="233">
      <c r="A233" s="93" t="n">
        <v>33451</v>
      </c>
      <c r="M233" t="n">
        <v>395.4299926757812</v>
      </c>
      <c r="O233" t="n">
        <v>0.005053384308288108</v>
      </c>
      <c r="P233" t="n">
        <v>-0.001027168500506232</v>
      </c>
      <c r="Q233" t="n">
        <v>0.02036727422997253</v>
      </c>
    </row>
    <row r="234">
      <c r="A234" s="93" t="n">
        <v>33482</v>
      </c>
      <c r="M234" t="n">
        <v>387.8599853515625</v>
      </c>
      <c r="O234" t="n">
        <v>0.005053384308288108</v>
      </c>
      <c r="P234" t="n">
        <v>-0.001027168500506232</v>
      </c>
      <c r="Q234" t="n">
        <v>0.02036727422997253</v>
      </c>
    </row>
    <row r="235">
      <c r="A235" s="93" t="n">
        <v>33512</v>
      </c>
      <c r="M235" t="n">
        <v>392.4500122070312</v>
      </c>
      <c r="N235" t="n">
        <v>9427.581</v>
      </c>
      <c r="O235" t="n">
        <v>0.003485639022466963</v>
      </c>
      <c r="P235" t="n">
        <v>0.01166503342248571</v>
      </c>
      <c r="Q235" t="n">
        <v>0.01401562371143839</v>
      </c>
      <c r="R235" t="n">
        <v>0.003485639022466963</v>
      </c>
      <c r="S235" t="n">
        <v>0.01401562371143839</v>
      </c>
      <c r="T235" t="n">
        <v>0.01166503342248571</v>
      </c>
    </row>
    <row r="236">
      <c r="A236" s="93" t="n">
        <v>33543</v>
      </c>
      <c r="M236" t="n">
        <v>375.2200012207031</v>
      </c>
      <c r="O236" t="n">
        <v>0.003485639022466963</v>
      </c>
      <c r="P236" t="n">
        <v>0.01166503342248571</v>
      </c>
      <c r="Q236" t="n">
        <v>0.01401562371143839</v>
      </c>
    </row>
    <row r="237">
      <c r="A237" s="93" t="n">
        <v>33573</v>
      </c>
      <c r="M237" t="n">
        <v>417.0899963378906</v>
      </c>
      <c r="O237" t="n">
        <v>0.003485639022466963</v>
      </c>
      <c r="P237" t="n">
        <v>0.01166503342248571</v>
      </c>
      <c r="Q237" t="n">
        <v>0.01401562371143839</v>
      </c>
    </row>
    <row r="238">
      <c r="A238" s="93" t="n">
        <v>33604</v>
      </c>
      <c r="M238" t="n">
        <v>408.7799987792969</v>
      </c>
      <c r="N238" t="n">
        <v>9540.444</v>
      </c>
      <c r="O238" t="n">
        <v>0.0119715757414335</v>
      </c>
      <c r="P238" t="n">
        <v>0.02858869105350608</v>
      </c>
      <c r="Q238" t="n">
        <v>0.04875309825949259</v>
      </c>
      <c r="R238" t="n">
        <v>0.0119715757414335</v>
      </c>
      <c r="S238" t="n">
        <v>0.04875309825949259</v>
      </c>
      <c r="T238" t="n">
        <v>0.02858869105350608</v>
      </c>
    </row>
    <row r="239">
      <c r="A239" s="93" t="n">
        <v>33635</v>
      </c>
      <c r="M239" t="n">
        <v>412.7000122070312</v>
      </c>
      <c r="O239" t="n">
        <v>0.0119715757414335</v>
      </c>
      <c r="P239" t="n">
        <v>0.02858869105350608</v>
      </c>
      <c r="Q239" t="n">
        <v>0.04875309825949259</v>
      </c>
    </row>
    <row r="240">
      <c r="A240" s="93" t="n">
        <v>33664</v>
      </c>
      <c r="M240" t="n">
        <v>403.6900024414062</v>
      </c>
      <c r="O240" t="n">
        <v>0.0119715757414335</v>
      </c>
      <c r="P240" t="n">
        <v>0.02858869105350608</v>
      </c>
      <c r="Q240" t="n">
        <v>0.04875309825949259</v>
      </c>
    </row>
    <row r="241">
      <c r="A241" s="93" t="n">
        <v>33695</v>
      </c>
      <c r="M241" t="n">
        <v>414.9500122070312</v>
      </c>
      <c r="N241" t="n">
        <v>9643.893</v>
      </c>
      <c r="O241" t="n">
        <v>0.0108432060394674</v>
      </c>
      <c r="P241" t="n">
        <v>0.03169755820667069</v>
      </c>
      <c r="Q241" t="n">
        <v>0.04408338824994829</v>
      </c>
      <c r="R241" t="n">
        <v>0.0108432060394674</v>
      </c>
      <c r="S241" t="n">
        <v>0.04408338824994829</v>
      </c>
      <c r="T241" t="n">
        <v>0.03169755820667069</v>
      </c>
    </row>
    <row r="242">
      <c r="A242" s="93" t="n">
        <v>33725</v>
      </c>
      <c r="M242" t="n">
        <v>415.3500061035156</v>
      </c>
      <c r="O242" t="n">
        <v>0.0108432060394674</v>
      </c>
      <c r="P242" t="n">
        <v>0.03169755820667069</v>
      </c>
      <c r="Q242" t="n">
        <v>0.04408338824994829</v>
      </c>
    </row>
    <row r="243">
      <c r="A243" s="93" t="n">
        <v>33756</v>
      </c>
      <c r="M243" t="n">
        <v>408.1400146484375</v>
      </c>
      <c r="O243" t="n">
        <v>0.0108432060394674</v>
      </c>
      <c r="P243" t="n">
        <v>0.03169755820667069</v>
      </c>
      <c r="Q243" t="n">
        <v>0.04408338824994829</v>
      </c>
    </row>
    <row r="244">
      <c r="A244" s="93" t="n">
        <v>33786</v>
      </c>
      <c r="M244" t="n">
        <v>424.2099914550781</v>
      </c>
      <c r="N244" t="n">
        <v>9739.184999999999</v>
      </c>
      <c r="O244" t="n">
        <v>0.009881071886633277</v>
      </c>
      <c r="P244" t="n">
        <v>0.03665322878509601</v>
      </c>
      <c r="Q244" t="n">
        <v>0.04011396954581614</v>
      </c>
      <c r="R244" t="n">
        <v>0.009881071886633277</v>
      </c>
      <c r="S244" t="n">
        <v>0.04011396954581614</v>
      </c>
      <c r="T244" t="n">
        <v>0.03665322878509601</v>
      </c>
    </row>
    <row r="245">
      <c r="A245" s="93" t="n">
        <v>33817</v>
      </c>
      <c r="M245" t="n">
        <v>414.0299987792969</v>
      </c>
      <c r="O245" t="n">
        <v>0.009881071886633277</v>
      </c>
      <c r="P245" t="n">
        <v>0.03665322878509601</v>
      </c>
      <c r="Q245" t="n">
        <v>0.04011396954581614</v>
      </c>
    </row>
    <row r="246">
      <c r="A246" s="93" t="n">
        <v>33848</v>
      </c>
      <c r="M246" t="n">
        <v>417.7999877929688</v>
      </c>
      <c r="O246" t="n">
        <v>0.009881071886633277</v>
      </c>
      <c r="P246" t="n">
        <v>0.03665322878509601</v>
      </c>
      <c r="Q246" t="n">
        <v>0.04011396954581614</v>
      </c>
    </row>
    <row r="247">
      <c r="A247" s="93" t="n">
        <v>33878</v>
      </c>
      <c r="M247" t="n">
        <v>418.6799926757812</v>
      </c>
      <c r="N247" t="n">
        <v>9840.753000000001</v>
      </c>
      <c r="O247" t="n">
        <v>0.01042879871365018</v>
      </c>
      <c r="P247" t="n">
        <v>0.04382587643638389</v>
      </c>
      <c r="Q247" t="n">
        <v>0.04237230267698999</v>
      </c>
      <c r="R247" t="n">
        <v>0.01042879871365018</v>
      </c>
      <c r="S247" t="n">
        <v>0.04237230267698999</v>
      </c>
      <c r="T247" t="n">
        <v>0.04382587643638389</v>
      </c>
    </row>
    <row r="248">
      <c r="A248" s="93" t="n">
        <v>33909</v>
      </c>
      <c r="M248" t="n">
        <v>431.3500061035156</v>
      </c>
      <c r="O248" t="n">
        <v>0.01042879871365018</v>
      </c>
      <c r="P248" t="n">
        <v>0.04382587643638389</v>
      </c>
      <c r="Q248" t="n">
        <v>0.04237230267698999</v>
      </c>
    </row>
    <row r="249">
      <c r="A249" s="93" t="n">
        <v>33939</v>
      </c>
      <c r="M249" t="n">
        <v>435.7099914550781</v>
      </c>
      <c r="O249" t="n">
        <v>0.01042879871365018</v>
      </c>
      <c r="P249" t="n">
        <v>0.04382587643638389</v>
      </c>
      <c r="Q249" t="n">
        <v>0.04237230267698999</v>
      </c>
    </row>
    <row r="250">
      <c r="A250" s="93" t="n">
        <v>33970</v>
      </c>
      <c r="M250" t="n">
        <v>438.7799987792969</v>
      </c>
      <c r="N250" t="n">
        <v>9857.184999999999</v>
      </c>
      <c r="O250" t="n">
        <v>0.001669790919454932</v>
      </c>
      <c r="P250" t="n">
        <v>0.03319981753469755</v>
      </c>
      <c r="Q250" t="n">
        <v>0.006695911518737718</v>
      </c>
      <c r="R250" t="n">
        <v>0.001669790919454932</v>
      </c>
      <c r="S250" t="n">
        <v>0.006695911518737718</v>
      </c>
      <c r="T250" t="n">
        <v>0.03319981753469755</v>
      </c>
    </row>
    <row r="251">
      <c r="A251" s="93" t="n">
        <v>34001</v>
      </c>
      <c r="M251" t="n">
        <v>443.3800048828125</v>
      </c>
      <c r="O251" t="n">
        <v>0.001669790919454932</v>
      </c>
      <c r="P251" t="n">
        <v>0.03319981753469755</v>
      </c>
      <c r="Q251" t="n">
        <v>0.006695911518737718</v>
      </c>
    </row>
    <row r="252">
      <c r="A252" s="93" t="n">
        <v>34029</v>
      </c>
      <c r="M252" t="n">
        <v>451.6700134277344</v>
      </c>
      <c r="O252" t="n">
        <v>0.001669790919454932</v>
      </c>
      <c r="P252" t="n">
        <v>0.03319981753469755</v>
      </c>
      <c r="Q252" t="n">
        <v>0.006695911518737718</v>
      </c>
    </row>
    <row r="253">
      <c r="A253" s="93" t="n">
        <v>34060</v>
      </c>
      <c r="M253" t="n">
        <v>440.1900024414062</v>
      </c>
      <c r="N253" t="n">
        <v>9914.565000000001</v>
      </c>
      <c r="O253" t="n">
        <v>0.005821134532830724</v>
      </c>
      <c r="P253" t="n">
        <v>0.02806667390440774</v>
      </c>
      <c r="Q253" t="n">
        <v>0.02348864193376721</v>
      </c>
      <c r="R253" t="n">
        <v>0.005821134532830724</v>
      </c>
      <c r="S253" t="n">
        <v>0.02348864193376721</v>
      </c>
      <c r="T253" t="n">
        <v>0.02806667390440774</v>
      </c>
    </row>
    <row r="254">
      <c r="A254" s="93" t="n">
        <v>34090</v>
      </c>
      <c r="M254" t="n">
        <v>450.1900024414062</v>
      </c>
      <c r="O254" t="n">
        <v>0.005821134532830724</v>
      </c>
      <c r="P254" t="n">
        <v>0.02806667390440774</v>
      </c>
      <c r="Q254" t="n">
        <v>0.02348864193376721</v>
      </c>
    </row>
    <row r="255">
      <c r="A255" s="93" t="n">
        <v>34121</v>
      </c>
      <c r="M255" t="n">
        <v>450.5299987792969</v>
      </c>
      <c r="O255" t="n">
        <v>0.005821134532830724</v>
      </c>
      <c r="P255" t="n">
        <v>0.02806667390440774</v>
      </c>
      <c r="Q255" t="n">
        <v>0.02348864193376721</v>
      </c>
    </row>
    <row r="256">
      <c r="A256" s="93" t="n">
        <v>34151</v>
      </c>
      <c r="M256" t="n">
        <v>448.1300048828125</v>
      </c>
      <c r="N256" t="n">
        <v>9961.873</v>
      </c>
      <c r="O256" t="n">
        <v>0.004771565873036193</v>
      </c>
      <c r="P256" t="n">
        <v>0.02286515760815716</v>
      </c>
      <c r="Q256" t="n">
        <v>0.01922330560881425</v>
      </c>
      <c r="R256" t="n">
        <v>0.004771565873036193</v>
      </c>
      <c r="S256" t="n">
        <v>0.01922330560881425</v>
      </c>
      <c r="T256" t="n">
        <v>0.02286515760815716</v>
      </c>
    </row>
    <row r="257">
      <c r="A257" s="93" t="n">
        <v>34182</v>
      </c>
      <c r="M257" t="n">
        <v>463.5599975585938</v>
      </c>
      <c r="O257" t="n">
        <v>0.004771565873036193</v>
      </c>
      <c r="P257" t="n">
        <v>0.02286515760815716</v>
      </c>
      <c r="Q257" t="n">
        <v>0.01922330560881425</v>
      </c>
    </row>
    <row r="258">
      <c r="A258" s="93" t="n">
        <v>34213</v>
      </c>
      <c r="M258" t="n">
        <v>458.9299926757812</v>
      </c>
      <c r="O258" t="n">
        <v>0.004771565873036193</v>
      </c>
      <c r="P258" t="n">
        <v>0.02286515760815716</v>
      </c>
      <c r="Q258" t="n">
        <v>0.01922330560881425</v>
      </c>
    </row>
    <row r="259">
      <c r="A259" s="93" t="n">
        <v>34243</v>
      </c>
      <c r="M259" t="n">
        <v>467.8299865722656</v>
      </c>
      <c r="N259" t="n">
        <v>10097.362</v>
      </c>
      <c r="O259" t="n">
        <v>0.01360075560087943</v>
      </c>
      <c r="P259" t="n">
        <v>0.02607615494464687</v>
      </c>
      <c r="Q259" t="n">
        <v>0.05552300343997651</v>
      </c>
      <c r="R259" t="n">
        <v>0.01360075560087943</v>
      </c>
      <c r="S259" t="n">
        <v>0.05552300343997651</v>
      </c>
      <c r="T259" t="n">
        <v>0.02607615494464687</v>
      </c>
    </row>
    <row r="260">
      <c r="A260" s="93" t="n">
        <v>34274</v>
      </c>
      <c r="M260" t="n">
        <v>461.7900085449219</v>
      </c>
      <c r="O260" t="n">
        <v>0.01360075560087943</v>
      </c>
      <c r="P260" t="n">
        <v>0.02607615494464687</v>
      </c>
      <c r="Q260" t="n">
        <v>0.05552300343997651</v>
      </c>
    </row>
    <row r="261">
      <c r="A261" s="93" t="n">
        <v>34304</v>
      </c>
      <c r="M261" t="n">
        <v>466.4500122070312</v>
      </c>
      <c r="O261" t="n">
        <v>0.01360075560087943</v>
      </c>
      <c r="P261" t="n">
        <v>0.02607615494464687</v>
      </c>
      <c r="Q261" t="n">
        <v>0.05552300343997651</v>
      </c>
    </row>
    <row r="262">
      <c r="A262" s="93" t="n">
        <v>34335</v>
      </c>
      <c r="M262" t="n">
        <v>481.6099853515625</v>
      </c>
      <c r="N262" t="n">
        <v>10195.338</v>
      </c>
      <c r="O262" t="n">
        <v>0.009703128401259713</v>
      </c>
      <c r="P262" t="n">
        <v>0.03430523014430593</v>
      </c>
      <c r="Q262" t="n">
        <v>0.03938108089937553</v>
      </c>
      <c r="R262" t="n">
        <v>0.009703128401259713</v>
      </c>
      <c r="S262" t="n">
        <v>0.03938108089937553</v>
      </c>
      <c r="T262" t="n">
        <v>0.03430523014430593</v>
      </c>
    </row>
    <row r="263">
      <c r="A263" s="93" t="n">
        <v>34366</v>
      </c>
      <c r="M263" t="n">
        <v>467.1400146484375</v>
      </c>
      <c r="O263" t="n">
        <v>0.009703128401259713</v>
      </c>
      <c r="P263" t="n">
        <v>0.03430523014430593</v>
      </c>
      <c r="Q263" t="n">
        <v>0.03938108089937553</v>
      </c>
    </row>
    <row r="264">
      <c r="A264" s="93" t="n">
        <v>34394</v>
      </c>
      <c r="M264" t="n">
        <v>445.7699890136719</v>
      </c>
      <c r="O264" t="n">
        <v>0.009703128401259713</v>
      </c>
      <c r="P264" t="n">
        <v>0.03430523014430593</v>
      </c>
      <c r="Q264" t="n">
        <v>0.03938108089937553</v>
      </c>
    </row>
    <row r="265">
      <c r="A265" s="93" t="n">
        <v>34425</v>
      </c>
      <c r="M265" t="n">
        <v>450.9100036621094</v>
      </c>
      <c r="N265" t="n">
        <v>10333.495</v>
      </c>
      <c r="O265" t="n">
        <v>0.01355099752455496</v>
      </c>
      <c r="P265" t="n">
        <v>0.0422539970235709</v>
      </c>
      <c r="Q265" t="n">
        <v>0.05531575447492609</v>
      </c>
      <c r="R265" t="n">
        <v>0.01355099752455496</v>
      </c>
      <c r="S265" t="n">
        <v>0.05531575447492609</v>
      </c>
      <c r="T265" t="n">
        <v>0.0422539970235709</v>
      </c>
    </row>
    <row r="266">
      <c r="A266" s="93" t="n">
        <v>34455</v>
      </c>
      <c r="M266" t="n">
        <v>456.5</v>
      </c>
      <c r="O266" t="n">
        <v>0.01355099752455496</v>
      </c>
      <c r="P266" t="n">
        <v>0.0422539970235709</v>
      </c>
      <c r="Q266" t="n">
        <v>0.05531575447492609</v>
      </c>
    </row>
    <row r="267">
      <c r="A267" s="93" t="n">
        <v>34486</v>
      </c>
      <c r="M267" t="n">
        <v>444.2699890136719</v>
      </c>
      <c r="O267" t="n">
        <v>0.01355099752455496</v>
      </c>
      <c r="P267" t="n">
        <v>0.0422539970235709</v>
      </c>
      <c r="Q267" t="n">
        <v>0.05531575447492609</v>
      </c>
    </row>
    <row r="268">
      <c r="A268" s="93" t="n">
        <v>34516</v>
      </c>
      <c r="M268" t="n">
        <v>458.260009765625</v>
      </c>
      <c r="N268" t="n">
        <v>10393.898</v>
      </c>
      <c r="O268" t="n">
        <v>0.005845360161300549</v>
      </c>
      <c r="P268" t="n">
        <v>0.04336784859634325</v>
      </c>
      <c r="Q268" t="n">
        <v>0.02358725012773033</v>
      </c>
      <c r="R268" t="n">
        <v>0.005845360161300549</v>
      </c>
      <c r="S268" t="n">
        <v>0.02358725012773033</v>
      </c>
      <c r="T268" t="n">
        <v>0.04336784859634325</v>
      </c>
    </row>
    <row r="269">
      <c r="A269" s="93" t="n">
        <v>34547</v>
      </c>
      <c r="M269" t="n">
        <v>475.489990234375</v>
      </c>
      <c r="O269" t="n">
        <v>0.005845360161300549</v>
      </c>
      <c r="P269" t="n">
        <v>0.04336784859634325</v>
      </c>
      <c r="Q269" t="n">
        <v>0.02358725012773033</v>
      </c>
    </row>
    <row r="270">
      <c r="A270" s="93" t="n">
        <v>34578</v>
      </c>
      <c r="M270" t="n">
        <v>462.7099914550781</v>
      </c>
      <c r="O270" t="n">
        <v>0.005845360161300549</v>
      </c>
      <c r="P270" t="n">
        <v>0.04336784859634325</v>
      </c>
      <c r="Q270" t="n">
        <v>0.02358725012773033</v>
      </c>
    </row>
    <row r="271">
      <c r="A271" s="93" t="n">
        <v>34608</v>
      </c>
      <c r="M271" t="n">
        <v>472.3500061035156</v>
      </c>
      <c r="N271" t="n">
        <v>10512.962</v>
      </c>
      <c r="O271" t="n">
        <v>0.01145518264658748</v>
      </c>
      <c r="P271" t="n">
        <v>0.04115926516252467</v>
      </c>
      <c r="Q271" t="n">
        <v>0.04661408771384168</v>
      </c>
      <c r="R271" t="n">
        <v>0.01145518264658748</v>
      </c>
      <c r="S271" t="n">
        <v>0.04661408771384168</v>
      </c>
      <c r="T271" t="n">
        <v>0.04115926516252467</v>
      </c>
    </row>
    <row r="272">
      <c r="A272" s="93" t="n">
        <v>34639</v>
      </c>
      <c r="M272" t="n">
        <v>453.6900024414062</v>
      </c>
      <c r="O272" t="n">
        <v>0.01145518264658748</v>
      </c>
      <c r="P272" t="n">
        <v>0.04115926516252467</v>
      </c>
      <c r="Q272" t="n">
        <v>0.04661408771384168</v>
      </c>
    </row>
    <row r="273">
      <c r="A273" s="93" t="n">
        <v>34669</v>
      </c>
      <c r="M273" t="n">
        <v>459.2699890136719</v>
      </c>
      <c r="O273" t="n">
        <v>0.01145518264658748</v>
      </c>
      <c r="P273" t="n">
        <v>0.04115926516252467</v>
      </c>
      <c r="Q273" t="n">
        <v>0.04661408771384168</v>
      </c>
    </row>
    <row r="274">
      <c r="A274" s="93" t="n">
        <v>34700</v>
      </c>
      <c r="M274" t="n">
        <v>470.4200134277344</v>
      </c>
      <c r="N274" t="n">
        <v>10550.251</v>
      </c>
      <c r="O274" t="n">
        <v>0.003546954702204828</v>
      </c>
      <c r="P274" t="n">
        <v>0.0348113029700438</v>
      </c>
      <c r="Q274" t="n">
        <v>0.01426348278840983</v>
      </c>
      <c r="R274" t="n">
        <v>0.003546954702204828</v>
      </c>
      <c r="S274" t="n">
        <v>0.01426348278840983</v>
      </c>
      <c r="T274" t="n">
        <v>0.0348113029700438</v>
      </c>
    </row>
    <row r="275">
      <c r="A275" s="93" t="n">
        <v>34731</v>
      </c>
      <c r="M275" t="n">
        <v>487.3900146484375</v>
      </c>
      <c r="O275" t="n">
        <v>0.003546954702204828</v>
      </c>
      <c r="P275" t="n">
        <v>0.0348113029700438</v>
      </c>
      <c r="Q275" t="n">
        <v>0.01426348278840983</v>
      </c>
    </row>
    <row r="276">
      <c r="A276" s="93" t="n">
        <v>34759</v>
      </c>
      <c r="M276" t="n">
        <v>500.7099914550781</v>
      </c>
      <c r="O276" t="n">
        <v>0.003546954702204828</v>
      </c>
      <c r="P276" t="n">
        <v>0.0348113029700438</v>
      </c>
      <c r="Q276" t="n">
        <v>0.01426348278840983</v>
      </c>
    </row>
    <row r="277">
      <c r="A277" s="93" t="n">
        <v>34790</v>
      </c>
      <c r="M277" t="n">
        <v>514.7100219726562</v>
      </c>
      <c r="N277" t="n">
        <v>10581.723</v>
      </c>
      <c r="O277" t="n">
        <v>0.002983056990776784</v>
      </c>
      <c r="P277" t="n">
        <v>0.02402168869293488</v>
      </c>
      <c r="Q277" t="n">
        <v>0.01198572599682368</v>
      </c>
      <c r="R277" t="n">
        <v>0.002983056990776784</v>
      </c>
      <c r="S277" t="n">
        <v>0.01198572599682368</v>
      </c>
      <c r="T277" t="n">
        <v>0.02402168869293488</v>
      </c>
    </row>
    <row r="278">
      <c r="A278" s="93" t="n">
        <v>34820</v>
      </c>
      <c r="M278" t="n">
        <v>533.4000244140625</v>
      </c>
      <c r="O278" t="n">
        <v>0.002983056990776784</v>
      </c>
      <c r="P278" t="n">
        <v>0.02402168869293488</v>
      </c>
      <c r="Q278" t="n">
        <v>0.01198572599682368</v>
      </c>
    </row>
    <row r="279">
      <c r="A279" s="93" t="n">
        <v>34851</v>
      </c>
      <c r="M279" t="n">
        <v>544.75</v>
      </c>
      <c r="O279" t="n">
        <v>0.002983056990776784</v>
      </c>
      <c r="P279" t="n">
        <v>0.02402168869293488</v>
      </c>
      <c r="Q279" t="n">
        <v>0.01198572599682368</v>
      </c>
    </row>
    <row r="280">
      <c r="A280" s="93" t="n">
        <v>34881</v>
      </c>
      <c r="M280" t="n">
        <v>562.0599975585938</v>
      </c>
      <c r="N280" t="n">
        <v>10671.738</v>
      </c>
      <c r="O280" t="n">
        <v>0.008506648680937822</v>
      </c>
      <c r="P280" t="n">
        <v>0.02673106855580074</v>
      </c>
      <c r="Q280" t="n">
        <v>0.03446324065976714</v>
      </c>
      <c r="R280" t="n">
        <v>0.008506648680937822</v>
      </c>
      <c r="S280" t="n">
        <v>0.03446324065976714</v>
      </c>
      <c r="T280" t="n">
        <v>0.02673106855580074</v>
      </c>
    </row>
    <row r="281">
      <c r="A281" s="93" t="n">
        <v>34912</v>
      </c>
      <c r="M281" t="n">
        <v>561.8800048828125</v>
      </c>
      <c r="O281" t="n">
        <v>0.008506648680937822</v>
      </c>
      <c r="P281" t="n">
        <v>0.02673106855580074</v>
      </c>
      <c r="Q281" t="n">
        <v>0.03446324065976714</v>
      </c>
    </row>
    <row r="282">
      <c r="A282" s="93" t="n">
        <v>34943</v>
      </c>
      <c r="M282" t="n">
        <v>584.4099731445312</v>
      </c>
      <c r="O282" t="n">
        <v>0.008506648680937822</v>
      </c>
      <c r="P282" t="n">
        <v>0.02673106855580074</v>
      </c>
      <c r="Q282" t="n">
        <v>0.03446324065976714</v>
      </c>
    </row>
    <row r="283">
      <c r="A283" s="93" t="n">
        <v>34973</v>
      </c>
      <c r="M283" t="n">
        <v>581.5</v>
      </c>
      <c r="N283" t="n">
        <v>10744.203</v>
      </c>
      <c r="O283" t="n">
        <v>0.006790365355671227</v>
      </c>
      <c r="P283" t="n">
        <v>0.02199579909068443</v>
      </c>
      <c r="Q283" t="n">
        <v>0.02743937030821075</v>
      </c>
      <c r="R283" t="n">
        <v>0.006790365355671227</v>
      </c>
      <c r="S283" t="n">
        <v>0.02743937030821075</v>
      </c>
      <c r="T283" t="n">
        <v>0.02199579909068443</v>
      </c>
    </row>
    <row r="284">
      <c r="A284" s="93" t="n">
        <v>35004</v>
      </c>
      <c r="M284" t="n">
        <v>605.3699951171875</v>
      </c>
      <c r="O284" t="n">
        <v>0.006790365355671227</v>
      </c>
      <c r="P284" t="n">
        <v>0.02199579909068443</v>
      </c>
      <c r="Q284" t="n">
        <v>0.02743937030821075</v>
      </c>
    </row>
    <row r="285">
      <c r="A285" s="93" t="n">
        <v>35034</v>
      </c>
      <c r="M285" t="n">
        <v>615.9299926757812</v>
      </c>
      <c r="O285" t="n">
        <v>0.006790365355671227</v>
      </c>
      <c r="P285" t="n">
        <v>0.02199579909068443</v>
      </c>
      <c r="Q285" t="n">
        <v>0.02743937030821075</v>
      </c>
    </row>
    <row r="286">
      <c r="A286" s="93" t="n">
        <v>35065</v>
      </c>
      <c r="M286" t="n">
        <v>636.02001953125</v>
      </c>
      <c r="N286" t="n">
        <v>10824.674</v>
      </c>
      <c r="O286" t="n">
        <v>0.007489713290041279</v>
      </c>
      <c r="P286" t="n">
        <v>0.02601103992691744</v>
      </c>
      <c r="Q286" t="n">
        <v>0.03029711170389682</v>
      </c>
      <c r="R286" t="n">
        <v>0.007489713290041279</v>
      </c>
      <c r="S286" t="n">
        <v>0.03029711170389682</v>
      </c>
      <c r="T286" t="n">
        <v>0.02601103992691744</v>
      </c>
    </row>
    <row r="287">
      <c r="A287" s="93" t="n">
        <v>35096</v>
      </c>
      <c r="M287" t="n">
        <v>640.4299926757812</v>
      </c>
      <c r="O287" t="n">
        <v>0.007489713290041279</v>
      </c>
      <c r="P287" t="n">
        <v>0.02601103992691744</v>
      </c>
      <c r="Q287" t="n">
        <v>0.03029711170389682</v>
      </c>
    </row>
    <row r="288">
      <c r="A288" s="93" t="n">
        <v>35125</v>
      </c>
      <c r="M288" t="n">
        <v>645.5</v>
      </c>
      <c r="O288" t="n">
        <v>0.007489713290041279</v>
      </c>
      <c r="P288" t="n">
        <v>0.02601103992691744</v>
      </c>
      <c r="Q288" t="n">
        <v>0.03029711170389682</v>
      </c>
    </row>
    <row r="289">
      <c r="A289" s="93" t="n">
        <v>35156</v>
      </c>
      <c r="M289" t="n">
        <v>654.1699829101562</v>
      </c>
      <c r="N289" t="n">
        <v>11005.217</v>
      </c>
      <c r="O289" t="n">
        <v>0.0166788394735952</v>
      </c>
      <c r="P289" t="n">
        <v>0.04002127063806155</v>
      </c>
      <c r="Q289" t="n">
        <v>0.06840309652184429</v>
      </c>
      <c r="R289" t="n">
        <v>0.0166788394735952</v>
      </c>
      <c r="S289" t="n">
        <v>0.06840309652184429</v>
      </c>
      <c r="T289" t="n">
        <v>0.04002127063806155</v>
      </c>
    </row>
    <row r="290">
      <c r="A290" s="93" t="n">
        <v>35186</v>
      </c>
      <c r="M290" t="n">
        <v>669.1199951171875</v>
      </c>
      <c r="O290" t="n">
        <v>0.0166788394735952</v>
      </c>
      <c r="P290" t="n">
        <v>0.04002127063806155</v>
      </c>
      <c r="Q290" t="n">
        <v>0.06840309652184429</v>
      </c>
    </row>
    <row r="291">
      <c r="A291" s="93" t="n">
        <v>35217</v>
      </c>
      <c r="M291" t="n">
        <v>670.6300048828125</v>
      </c>
      <c r="O291" t="n">
        <v>0.0166788394735952</v>
      </c>
      <c r="P291" t="n">
        <v>0.04002127063806155</v>
      </c>
      <c r="Q291" t="n">
        <v>0.06840309652184429</v>
      </c>
    </row>
    <row r="292">
      <c r="A292" s="93" t="n">
        <v>35247</v>
      </c>
      <c r="M292" t="n">
        <v>639.9500122070312</v>
      </c>
      <c r="N292" t="n">
        <v>11103.935</v>
      </c>
      <c r="O292" t="n">
        <v>0.008970109358134323</v>
      </c>
      <c r="P292" t="n">
        <v>0.04049921390498906</v>
      </c>
      <c r="Q292" t="n">
        <v>0.03636610812087238</v>
      </c>
      <c r="R292" t="n">
        <v>0.008970109358134323</v>
      </c>
      <c r="S292" t="n">
        <v>0.03636610812087238</v>
      </c>
      <c r="T292" t="n">
        <v>0.04049921390498906</v>
      </c>
    </row>
    <row r="293">
      <c r="A293" s="93" t="n">
        <v>35278</v>
      </c>
      <c r="M293" t="n">
        <v>651.989990234375</v>
      </c>
      <c r="O293" t="n">
        <v>0.008970109358134323</v>
      </c>
      <c r="P293" t="n">
        <v>0.04049921390498906</v>
      </c>
      <c r="Q293" t="n">
        <v>0.03636610812087238</v>
      </c>
    </row>
    <row r="294">
      <c r="A294" s="93" t="n">
        <v>35309</v>
      </c>
      <c r="M294" t="n">
        <v>687.3300170898438</v>
      </c>
      <c r="O294" t="n">
        <v>0.008970109358134323</v>
      </c>
      <c r="P294" t="n">
        <v>0.04049921390498906</v>
      </c>
      <c r="Q294" t="n">
        <v>0.03636610812087238</v>
      </c>
    </row>
    <row r="295">
      <c r="A295" s="93" t="n">
        <v>35339</v>
      </c>
      <c r="M295" t="n">
        <v>705.27001953125</v>
      </c>
      <c r="N295" t="n">
        <v>11219.238</v>
      </c>
      <c r="O295" t="n">
        <v>0.01038397649121684</v>
      </c>
      <c r="P295" t="n">
        <v>0.0442131445208174</v>
      </c>
      <c r="Q295" t="n">
        <v>0.04218735808893692</v>
      </c>
      <c r="R295" t="n">
        <v>0.01038397649121684</v>
      </c>
      <c r="S295" t="n">
        <v>0.04218735808893692</v>
      </c>
      <c r="T295" t="n">
        <v>0.0442131445208174</v>
      </c>
    </row>
    <row r="296">
      <c r="A296" s="93" t="n">
        <v>35370</v>
      </c>
      <c r="M296" t="n">
        <v>757.02001953125</v>
      </c>
      <c r="O296" t="n">
        <v>0.01038397649121684</v>
      </c>
      <c r="P296" t="n">
        <v>0.0442131445208174</v>
      </c>
      <c r="Q296" t="n">
        <v>0.04218735808893692</v>
      </c>
    </row>
    <row r="297">
      <c r="A297" s="93" t="n">
        <v>35400</v>
      </c>
      <c r="M297" t="n">
        <v>740.739990234375</v>
      </c>
      <c r="O297" t="n">
        <v>0.01038397649121684</v>
      </c>
      <c r="P297" t="n">
        <v>0.0442131445208174</v>
      </c>
      <c r="Q297" t="n">
        <v>0.04218735808893692</v>
      </c>
    </row>
    <row r="298">
      <c r="A298" s="93" t="n">
        <v>35431</v>
      </c>
      <c r="M298" t="n">
        <v>786.1599731445312</v>
      </c>
      <c r="N298" t="n">
        <v>11291.665</v>
      </c>
      <c r="O298" t="n">
        <v>0.006455607769440447</v>
      </c>
      <c r="P298" t="n">
        <v>0.04314134541141839</v>
      </c>
      <c r="Q298" t="n">
        <v>0.02607355819109536</v>
      </c>
      <c r="R298" t="n">
        <v>0.006455607769440447</v>
      </c>
      <c r="S298" t="n">
        <v>0.02607355819109536</v>
      </c>
      <c r="T298" t="n">
        <v>0.04314134541141839</v>
      </c>
    </row>
    <row r="299">
      <c r="A299" s="93" t="n">
        <v>35462</v>
      </c>
      <c r="M299" t="n">
        <v>790.8200073242188</v>
      </c>
      <c r="O299" t="n">
        <v>0.006455607769440447</v>
      </c>
      <c r="P299" t="n">
        <v>0.04314134541141839</v>
      </c>
      <c r="Q299" t="n">
        <v>0.02607355819109536</v>
      </c>
    </row>
    <row r="300">
      <c r="A300" s="93" t="n">
        <v>35490</v>
      </c>
      <c r="M300" t="n">
        <v>757.1199951171875</v>
      </c>
      <c r="O300" t="n">
        <v>0.006455607769440447</v>
      </c>
      <c r="P300" t="n">
        <v>0.04314134541141839</v>
      </c>
      <c r="Q300" t="n">
        <v>0.02607355819109536</v>
      </c>
    </row>
    <row r="301">
      <c r="A301" s="93" t="n">
        <v>35521</v>
      </c>
      <c r="M301" t="n">
        <v>801.3400268554688</v>
      </c>
      <c r="N301" t="n">
        <v>11479.33</v>
      </c>
      <c r="O301" t="n">
        <v>0.01661978105089011</v>
      </c>
      <c r="P301" t="n">
        <v>0.04308074979348425</v>
      </c>
      <c r="Q301" t="n">
        <v>0.06815486590490871</v>
      </c>
      <c r="R301" t="n">
        <v>0.01661978105089011</v>
      </c>
      <c r="S301" t="n">
        <v>0.06815486590490871</v>
      </c>
      <c r="T301" t="n">
        <v>0.04308074979348425</v>
      </c>
    </row>
    <row r="302">
      <c r="A302" s="93" t="n">
        <v>35551</v>
      </c>
      <c r="M302" t="n">
        <v>848.280029296875</v>
      </c>
      <c r="O302" t="n">
        <v>0.01661978105089011</v>
      </c>
      <c r="P302" t="n">
        <v>0.04308074979348425</v>
      </c>
      <c r="Q302" t="n">
        <v>0.06815486590490871</v>
      </c>
    </row>
    <row r="303">
      <c r="A303" s="93" t="n">
        <v>35582</v>
      </c>
      <c r="M303" t="n">
        <v>885.1400146484375</v>
      </c>
      <c r="O303" t="n">
        <v>0.01661978105089011</v>
      </c>
      <c r="P303" t="n">
        <v>0.04308074979348425</v>
      </c>
      <c r="Q303" t="n">
        <v>0.06815486590490871</v>
      </c>
    </row>
    <row r="304">
      <c r="A304" s="93" t="n">
        <v>35612</v>
      </c>
      <c r="C304" t="n">
        <v>55.6</v>
      </c>
      <c r="D304" t="n">
        <v>49</v>
      </c>
      <c r="E304" t="n">
        <v>50.9</v>
      </c>
      <c r="F304" t="n">
        <v>58.6</v>
      </c>
      <c r="H304" t="n">
        <v>51</v>
      </c>
      <c r="J304" t="n">
        <v>53.8</v>
      </c>
      <c r="K304" t="n">
        <v>62</v>
      </c>
      <c r="L304" t="n">
        <v>56.7</v>
      </c>
      <c r="M304" t="n">
        <v>954.3099975585938</v>
      </c>
      <c r="N304" t="n">
        <v>11622.911</v>
      </c>
      <c r="O304" t="n">
        <v>0.01250778573313949</v>
      </c>
      <c r="P304" t="n">
        <v>0.04673802575393323</v>
      </c>
      <c r="Q304" t="n">
        <v>0.05097766273852433</v>
      </c>
      <c r="R304" t="n">
        <v>0.01250778573313949</v>
      </c>
      <c r="S304" t="n">
        <v>0.05097766273852433</v>
      </c>
      <c r="T304" t="n">
        <v>0.04673802575393323</v>
      </c>
    </row>
    <row r="305">
      <c r="A305" s="93" t="n">
        <v>35643</v>
      </c>
      <c r="C305" t="n">
        <v>48.4</v>
      </c>
      <c r="D305" t="n">
        <v>56.5</v>
      </c>
      <c r="E305" t="n">
        <v>53.3</v>
      </c>
      <c r="F305" t="n">
        <v>62.6</v>
      </c>
      <c r="G305" t="n">
        <v>62</v>
      </c>
      <c r="H305" t="n">
        <v>48.5</v>
      </c>
      <c r="J305" t="n">
        <v>53.8</v>
      </c>
      <c r="K305" t="n">
        <v>57.5</v>
      </c>
      <c r="L305" t="n">
        <v>62</v>
      </c>
      <c r="M305" t="n">
        <v>899.469970703125</v>
      </c>
      <c r="O305" t="n">
        <v>0.01250778573313949</v>
      </c>
      <c r="P305" t="n">
        <v>0.04673802575393323</v>
      </c>
      <c r="Q305" t="n">
        <v>0.05097766273852433</v>
      </c>
    </row>
    <row r="306">
      <c r="A306" s="93" t="n">
        <v>35674</v>
      </c>
      <c r="C306" t="n">
        <v>47.5</v>
      </c>
      <c r="D306" t="n">
        <v>49.5</v>
      </c>
      <c r="E306" t="n">
        <v>53.1</v>
      </c>
      <c r="F306" t="n">
        <v>59.1</v>
      </c>
      <c r="G306" t="n">
        <v>63</v>
      </c>
      <c r="H306" t="n">
        <v>54</v>
      </c>
      <c r="J306" t="n">
        <v>53.2</v>
      </c>
      <c r="K306" t="n">
        <v>49.5</v>
      </c>
      <c r="L306" t="n">
        <v>56.2</v>
      </c>
      <c r="M306" t="n">
        <v>947.280029296875</v>
      </c>
      <c r="O306" t="n">
        <v>0.01250778573313949</v>
      </c>
      <c r="P306" t="n">
        <v>0.04673802575393323</v>
      </c>
      <c r="Q306" t="n">
        <v>0.05097766273852433</v>
      </c>
    </row>
    <row r="307">
      <c r="A307" s="93" t="n">
        <v>35704</v>
      </c>
      <c r="C307" t="n">
        <v>50.7</v>
      </c>
      <c r="D307" t="n">
        <v>52</v>
      </c>
      <c r="E307" t="n">
        <v>53.1</v>
      </c>
      <c r="F307" t="n">
        <v>62.6</v>
      </c>
      <c r="G307" t="n">
        <v>66</v>
      </c>
      <c r="H307" t="n">
        <v>46.5</v>
      </c>
      <c r="J307" t="n">
        <v>51</v>
      </c>
      <c r="K307" t="n">
        <v>51.5</v>
      </c>
      <c r="L307" t="n">
        <v>56.6</v>
      </c>
      <c r="M307" t="n">
        <v>914.6199951171875</v>
      </c>
      <c r="N307" t="n">
        <v>11722.722</v>
      </c>
      <c r="O307" t="n">
        <v>0.008587435626066455</v>
      </c>
      <c r="P307" t="n">
        <v>0.04487684457714512</v>
      </c>
      <c r="Q307" t="n">
        <v>0.03479474533539229</v>
      </c>
      <c r="R307" t="n">
        <v>0.008587435626066455</v>
      </c>
      <c r="S307" t="n">
        <v>0.03479474533539229</v>
      </c>
      <c r="T307" t="n">
        <v>0.04487684457714512</v>
      </c>
    </row>
    <row r="308">
      <c r="A308" s="93" t="n">
        <v>35735</v>
      </c>
      <c r="C308" t="n">
        <v>50.3</v>
      </c>
      <c r="D308" t="n">
        <v>56</v>
      </c>
      <c r="E308" t="n">
        <v>54.3</v>
      </c>
      <c r="F308" t="n">
        <v>61.9</v>
      </c>
      <c r="G308" t="n">
        <v>64.5</v>
      </c>
      <c r="H308" t="n">
        <v>51</v>
      </c>
      <c r="J308" t="n">
        <v>56.7</v>
      </c>
      <c r="K308" t="n">
        <v>53.5</v>
      </c>
      <c r="L308" t="n">
        <v>58.5</v>
      </c>
      <c r="M308" t="n">
        <v>955.4000244140625</v>
      </c>
      <c r="O308" t="n">
        <v>0.008587435626066455</v>
      </c>
      <c r="P308" t="n">
        <v>0.04487684457714512</v>
      </c>
      <c r="Q308" t="n">
        <v>0.03479474533539229</v>
      </c>
    </row>
    <row r="309">
      <c r="A309" s="93" t="n">
        <v>35765</v>
      </c>
      <c r="C309" t="n">
        <v>52.2</v>
      </c>
      <c r="D309" t="n">
        <v>49</v>
      </c>
      <c r="E309" t="n">
        <v>54.9</v>
      </c>
      <c r="F309" t="n">
        <v>56.5</v>
      </c>
      <c r="G309" t="n">
        <v>67</v>
      </c>
      <c r="H309" t="n">
        <v>49</v>
      </c>
      <c r="J309" t="n">
        <v>55</v>
      </c>
      <c r="K309" t="n">
        <v>48.5</v>
      </c>
      <c r="L309" t="n">
        <v>55.5</v>
      </c>
      <c r="M309" t="n">
        <v>970.4299926757812</v>
      </c>
      <c r="O309" t="n">
        <v>0.008587435626066455</v>
      </c>
      <c r="P309" t="n">
        <v>0.04487684457714512</v>
      </c>
      <c r="Q309" t="n">
        <v>0.03479474533539229</v>
      </c>
    </row>
    <row r="310">
      <c r="A310" s="93" t="n">
        <v>35796</v>
      </c>
      <c r="B310" t="n">
        <v>57.4</v>
      </c>
      <c r="C310" t="n">
        <v>51.5</v>
      </c>
      <c r="D310" t="n">
        <v>49</v>
      </c>
      <c r="E310" t="n">
        <v>52.7</v>
      </c>
      <c r="F310" t="n">
        <v>61.4</v>
      </c>
      <c r="G310" t="n">
        <v>61.5</v>
      </c>
      <c r="H310" t="n">
        <v>48.5</v>
      </c>
      <c r="I310" t="n">
        <v>54</v>
      </c>
      <c r="J310" t="n">
        <v>55</v>
      </c>
      <c r="K310" t="n">
        <v>52</v>
      </c>
      <c r="L310" t="n">
        <v>57</v>
      </c>
      <c r="M310" t="n">
        <v>980.280029296875</v>
      </c>
      <c r="N310" t="n">
        <v>11839.876</v>
      </c>
      <c r="O310" t="n">
        <v>0.009993754010374081</v>
      </c>
      <c r="P310" t="n">
        <v>0.04855005882657688</v>
      </c>
      <c r="Q310" t="n">
        <v>0.04057826924134789</v>
      </c>
      <c r="R310" t="n">
        <v>0.009993754010374081</v>
      </c>
      <c r="S310" t="n">
        <v>0.04057826924134789</v>
      </c>
      <c r="T310" t="n">
        <v>0.04855005882657688</v>
      </c>
    </row>
    <row r="311">
      <c r="A311" s="93" t="n">
        <v>35827</v>
      </c>
      <c r="B311" t="n">
        <v>59.1</v>
      </c>
      <c r="C311" t="n">
        <v>52.6</v>
      </c>
      <c r="D311" t="n">
        <v>51.5</v>
      </c>
      <c r="E311" t="n">
        <v>51.6</v>
      </c>
      <c r="F311" t="n">
        <v>58.9</v>
      </c>
      <c r="G311" t="n">
        <v>59.5</v>
      </c>
      <c r="H311" t="n">
        <v>50.5</v>
      </c>
      <c r="I311" t="n">
        <v>52</v>
      </c>
      <c r="J311" t="n">
        <v>54.8</v>
      </c>
      <c r="K311" t="n">
        <v>51.5</v>
      </c>
      <c r="L311" t="n">
        <v>56.2</v>
      </c>
      <c r="M311" t="n">
        <v>1049.339965820312</v>
      </c>
      <c r="O311" t="n">
        <v>0.009993754010374081</v>
      </c>
      <c r="P311" t="n">
        <v>0.04855005882657688</v>
      </c>
      <c r="Q311" t="n">
        <v>0.04057826924134789</v>
      </c>
    </row>
    <row r="312">
      <c r="A312" s="93" t="n">
        <v>35855</v>
      </c>
      <c r="B312" t="n">
        <v>55.1</v>
      </c>
      <c r="C312" t="n">
        <v>50</v>
      </c>
      <c r="D312" t="n">
        <v>51.5</v>
      </c>
      <c r="E312" t="n">
        <v>47.9</v>
      </c>
      <c r="F312" t="n">
        <v>57</v>
      </c>
      <c r="G312" t="n">
        <v>64</v>
      </c>
      <c r="H312" t="n">
        <v>52.5</v>
      </c>
      <c r="I312" t="n">
        <v>52.5</v>
      </c>
      <c r="J312" t="n">
        <v>54.1</v>
      </c>
      <c r="K312" t="n">
        <v>58.5</v>
      </c>
      <c r="L312" t="n">
        <v>54.7</v>
      </c>
      <c r="M312" t="n">
        <v>1101.75</v>
      </c>
      <c r="O312" t="n">
        <v>0.009993754010374081</v>
      </c>
      <c r="P312" t="n">
        <v>0.04855005882657688</v>
      </c>
      <c r="Q312" t="n">
        <v>0.04057826924134789</v>
      </c>
    </row>
    <row r="313">
      <c r="A313" s="93" t="n">
        <v>35886</v>
      </c>
      <c r="B313" t="n">
        <v>57.5</v>
      </c>
      <c r="C313" t="n">
        <v>52.1</v>
      </c>
      <c r="D313" t="n">
        <v>51</v>
      </c>
      <c r="E313" t="n">
        <v>46.8</v>
      </c>
      <c r="F313" t="n">
        <v>58.6</v>
      </c>
      <c r="G313" t="n">
        <v>66.5</v>
      </c>
      <c r="H313" t="n">
        <v>52.5</v>
      </c>
      <c r="I313" t="n">
        <v>52</v>
      </c>
      <c r="J313" t="n">
        <v>51.6</v>
      </c>
      <c r="K313" t="n">
        <v>56.5</v>
      </c>
      <c r="L313" t="n">
        <v>54.9</v>
      </c>
      <c r="M313" t="n">
        <v>1111.75</v>
      </c>
      <c r="N313" t="n">
        <v>11949.492</v>
      </c>
      <c r="O313" t="n">
        <v>0.009258205069039573</v>
      </c>
      <c r="P313" t="n">
        <v>0.04095726841200665</v>
      </c>
      <c r="Q313" t="n">
        <v>0.03755028803424176</v>
      </c>
      <c r="R313" t="n">
        <v>0.009258205069039573</v>
      </c>
      <c r="S313" t="n">
        <v>0.03755028803424176</v>
      </c>
      <c r="T313" t="n">
        <v>0.04095726841200665</v>
      </c>
    </row>
    <row r="314">
      <c r="A314" s="93" t="n">
        <v>35916</v>
      </c>
      <c r="B314" t="n">
        <v>60.2</v>
      </c>
      <c r="C314" t="n">
        <v>52.8</v>
      </c>
      <c r="D314" t="n">
        <v>53</v>
      </c>
      <c r="E314" t="n">
        <v>47.2</v>
      </c>
      <c r="F314" t="n">
        <v>61.2</v>
      </c>
      <c r="G314" t="n">
        <v>63.5</v>
      </c>
      <c r="H314" t="n">
        <v>50</v>
      </c>
      <c r="I314" t="n">
        <v>50.5</v>
      </c>
      <c r="J314" t="n">
        <v>52.8</v>
      </c>
      <c r="K314" t="n">
        <v>48.5</v>
      </c>
      <c r="L314" t="n">
        <v>56.2</v>
      </c>
      <c r="M314" t="n">
        <v>1090.819946289062</v>
      </c>
      <c r="O314" t="n">
        <v>0.009258205069039573</v>
      </c>
      <c r="P314" t="n">
        <v>0.04095726841200665</v>
      </c>
      <c r="Q314" t="n">
        <v>0.03755028803424176</v>
      </c>
    </row>
    <row r="315">
      <c r="A315" s="93" t="n">
        <v>35947</v>
      </c>
      <c r="B315" t="n">
        <v>55.8</v>
      </c>
      <c r="C315" t="n">
        <v>54.5</v>
      </c>
      <c r="D315" t="n">
        <v>50</v>
      </c>
      <c r="E315" t="n">
        <v>45.5</v>
      </c>
      <c r="F315" t="n">
        <v>58.7</v>
      </c>
      <c r="G315" t="n">
        <v>69</v>
      </c>
      <c r="H315" t="n">
        <v>49.5</v>
      </c>
      <c r="I315" t="n">
        <v>53.5</v>
      </c>
      <c r="J315" t="n">
        <v>52.5</v>
      </c>
      <c r="K315" t="n">
        <v>55</v>
      </c>
      <c r="L315" t="n">
        <v>55.1</v>
      </c>
      <c r="M315" t="n">
        <v>1133.839965820312</v>
      </c>
      <c r="O315" t="n">
        <v>0.009258205069039573</v>
      </c>
      <c r="P315" t="n">
        <v>0.04095726841200665</v>
      </c>
      <c r="Q315" t="n">
        <v>0.03755028803424176</v>
      </c>
    </row>
    <row r="316">
      <c r="A316" s="93" t="n">
        <v>35977</v>
      </c>
      <c r="B316" t="n">
        <v>58.2</v>
      </c>
      <c r="C316" t="n">
        <v>50.9</v>
      </c>
      <c r="D316" t="n">
        <v>52</v>
      </c>
      <c r="E316" t="n">
        <v>47</v>
      </c>
      <c r="F316" t="n">
        <v>58.6</v>
      </c>
      <c r="G316" t="n">
        <v>60.5</v>
      </c>
      <c r="H316" t="n">
        <v>48</v>
      </c>
      <c r="I316" t="n">
        <v>54.5</v>
      </c>
      <c r="J316" t="n">
        <v>51.9</v>
      </c>
      <c r="K316" t="n">
        <v>51.5</v>
      </c>
      <c r="L316" t="n">
        <v>55.8</v>
      </c>
      <c r="M316" t="n">
        <v>1120.670043945312</v>
      </c>
      <c r="N316" t="n">
        <v>12099.191</v>
      </c>
      <c r="O316" t="n">
        <v>0.01252764552668854</v>
      </c>
      <c r="P316" t="n">
        <v>0.04097768622679814</v>
      </c>
      <c r="Q316" t="n">
        <v>0.05106012260225734</v>
      </c>
      <c r="R316" t="n">
        <v>0.01252764552668854</v>
      </c>
      <c r="S316" t="n">
        <v>0.05106012260225734</v>
      </c>
      <c r="T316" t="n">
        <v>0.04097768622679814</v>
      </c>
    </row>
    <row r="317">
      <c r="A317" s="93" t="n">
        <v>36008</v>
      </c>
      <c r="B317" t="n">
        <v>55.3</v>
      </c>
      <c r="C317" t="n">
        <v>55.2</v>
      </c>
      <c r="D317" t="n">
        <v>56.5</v>
      </c>
      <c r="E317" t="n">
        <v>47.9</v>
      </c>
      <c r="F317" t="n">
        <v>52.2</v>
      </c>
      <c r="G317" t="n">
        <v>62.5</v>
      </c>
      <c r="H317" t="n">
        <v>48</v>
      </c>
      <c r="I317" t="n">
        <v>54</v>
      </c>
      <c r="J317" t="n">
        <v>52.3</v>
      </c>
      <c r="K317" t="n">
        <v>54</v>
      </c>
      <c r="L317" t="n">
        <v>53.5</v>
      </c>
      <c r="M317" t="n">
        <v>957.280029296875</v>
      </c>
      <c r="O317" t="n">
        <v>0.01252764552668854</v>
      </c>
      <c r="P317" t="n">
        <v>0.04097768622679814</v>
      </c>
      <c r="Q317" t="n">
        <v>0.05106012260225734</v>
      </c>
    </row>
    <row r="318">
      <c r="A318" s="93" t="n">
        <v>36039</v>
      </c>
      <c r="B318" t="n">
        <v>55.9</v>
      </c>
      <c r="C318" t="n">
        <v>52</v>
      </c>
      <c r="D318" t="n">
        <v>54</v>
      </c>
      <c r="E318" t="n">
        <v>46.2</v>
      </c>
      <c r="F318" t="n">
        <v>57.4</v>
      </c>
      <c r="G318" t="n">
        <v>65</v>
      </c>
      <c r="H318" t="n">
        <v>50.5</v>
      </c>
      <c r="I318" t="n">
        <v>53</v>
      </c>
      <c r="J318" t="n">
        <v>53.7</v>
      </c>
      <c r="K318" t="n">
        <v>54</v>
      </c>
      <c r="L318" t="n">
        <v>55</v>
      </c>
      <c r="M318" t="n">
        <v>1017.010009765625</v>
      </c>
      <c r="O318" t="n">
        <v>0.01252764552668854</v>
      </c>
      <c r="P318" t="n">
        <v>0.04097768622679814</v>
      </c>
      <c r="Q318" t="n">
        <v>0.05106012260225734</v>
      </c>
    </row>
    <row r="319">
      <c r="A319" s="93" t="n">
        <v>36069</v>
      </c>
      <c r="B319" t="n">
        <v>54.7</v>
      </c>
      <c r="C319" t="n">
        <v>48.8</v>
      </c>
      <c r="D319" t="n">
        <v>49</v>
      </c>
      <c r="E319" t="n">
        <v>49.3</v>
      </c>
      <c r="F319" t="n">
        <v>54</v>
      </c>
      <c r="G319" t="n">
        <v>65.5</v>
      </c>
      <c r="H319" t="n">
        <v>48.5</v>
      </c>
      <c r="I319" t="n">
        <v>53.5</v>
      </c>
      <c r="J319" t="n">
        <v>53.1</v>
      </c>
      <c r="K319" t="n">
        <v>48.5</v>
      </c>
      <c r="L319" t="n">
        <v>53.8</v>
      </c>
      <c r="M319" t="n">
        <v>1098.670043945312</v>
      </c>
      <c r="N319" t="n">
        <v>12294.737</v>
      </c>
      <c r="O319" t="n">
        <v>0.01616190702337028</v>
      </c>
      <c r="P319" t="n">
        <v>0.04879540775598017</v>
      </c>
      <c r="Q319" t="n">
        <v>0.06623182618291334</v>
      </c>
      <c r="R319" t="n">
        <v>0.01616190702337028</v>
      </c>
      <c r="S319" t="n">
        <v>0.06623182618291334</v>
      </c>
      <c r="T319" t="n">
        <v>0.04879540775598017</v>
      </c>
    </row>
    <row r="320">
      <c r="A320" s="93" t="n">
        <v>36100</v>
      </c>
      <c r="B320" t="n">
        <v>52.7</v>
      </c>
      <c r="C320" t="n">
        <v>50.7</v>
      </c>
      <c r="D320" t="n">
        <v>46.5</v>
      </c>
      <c r="E320" t="n">
        <v>47.3</v>
      </c>
      <c r="F320" t="n">
        <v>54.9</v>
      </c>
      <c r="G320" t="n">
        <v>63</v>
      </c>
      <c r="H320" t="n">
        <v>50</v>
      </c>
      <c r="I320" t="n">
        <v>50</v>
      </c>
      <c r="J320" t="n">
        <v>52.6</v>
      </c>
      <c r="K320" t="n">
        <v>45</v>
      </c>
      <c r="L320" t="n">
        <v>52.6</v>
      </c>
      <c r="M320" t="n">
        <v>1163.630004882812</v>
      </c>
      <c r="O320" t="n">
        <v>0.01616190702337028</v>
      </c>
      <c r="P320" t="n">
        <v>0.04879540775598017</v>
      </c>
      <c r="Q320" t="n">
        <v>0.06623182618291334</v>
      </c>
    </row>
    <row r="321">
      <c r="A321" s="93" t="n">
        <v>36130</v>
      </c>
      <c r="B321" t="n">
        <v>53.5</v>
      </c>
      <c r="C321" t="n">
        <v>50.3</v>
      </c>
      <c r="D321" t="n">
        <v>47</v>
      </c>
      <c r="E321" t="n">
        <v>48.5</v>
      </c>
      <c r="F321" t="n">
        <v>54.2</v>
      </c>
      <c r="G321" t="n">
        <v>64.5</v>
      </c>
      <c r="H321" t="n">
        <v>50.5</v>
      </c>
      <c r="I321" t="n">
        <v>53</v>
      </c>
      <c r="J321" t="n">
        <v>50.9</v>
      </c>
      <c r="K321" t="n">
        <v>49</v>
      </c>
      <c r="L321" t="n">
        <v>52.9</v>
      </c>
      <c r="M321" t="n">
        <v>1229.22998046875</v>
      </c>
      <c r="O321" t="n">
        <v>0.01616190702337028</v>
      </c>
      <c r="P321" t="n">
        <v>0.04879540775598017</v>
      </c>
      <c r="Q321" t="n">
        <v>0.06623182618291334</v>
      </c>
    </row>
    <row r="322">
      <c r="A322" s="93" t="n">
        <v>36161</v>
      </c>
      <c r="B322" t="n">
        <v>57.5</v>
      </c>
      <c r="C322" t="n">
        <v>53.1</v>
      </c>
      <c r="D322" t="n">
        <v>49</v>
      </c>
      <c r="E322" t="n">
        <v>47</v>
      </c>
      <c r="F322" t="n">
        <v>58.8</v>
      </c>
      <c r="G322" t="n">
        <v>61</v>
      </c>
      <c r="H322" t="n">
        <v>47</v>
      </c>
      <c r="I322" t="n">
        <v>54.5</v>
      </c>
      <c r="J322" t="n">
        <v>51.4</v>
      </c>
      <c r="K322" t="n">
        <v>46.5</v>
      </c>
      <c r="L322" t="n">
        <v>55.6</v>
      </c>
      <c r="M322" t="n">
        <v>1279.640014648438</v>
      </c>
      <c r="N322" t="n">
        <v>12410.778</v>
      </c>
      <c r="O322" t="n">
        <v>0.009438266145912767</v>
      </c>
      <c r="P322" t="n">
        <v>0.0482185793162023</v>
      </c>
      <c r="Q322" t="n">
        <v>0.03829092080185514</v>
      </c>
      <c r="R322" t="n">
        <v>0.009438266145912767</v>
      </c>
      <c r="S322" t="n">
        <v>0.03829092080185514</v>
      </c>
      <c r="T322" t="n">
        <v>0.0482185793162023</v>
      </c>
    </row>
    <row r="323">
      <c r="A323" s="93" t="n">
        <v>36192</v>
      </c>
      <c r="B323" t="n">
        <v>56.6</v>
      </c>
      <c r="C323" t="n">
        <v>52.7</v>
      </c>
      <c r="D323" t="n">
        <v>51.5</v>
      </c>
      <c r="E323" t="n">
        <v>45.5</v>
      </c>
      <c r="F323" t="n">
        <v>57.3</v>
      </c>
      <c r="G323" t="n">
        <v>60.5</v>
      </c>
      <c r="H323" t="n">
        <v>49.5</v>
      </c>
      <c r="I323" t="n">
        <v>51.5</v>
      </c>
      <c r="J323" t="n">
        <v>52.2</v>
      </c>
      <c r="K323" t="n">
        <v>47.5</v>
      </c>
      <c r="L323" t="n">
        <v>54.4</v>
      </c>
      <c r="M323" t="n">
        <v>1238.329956054688</v>
      </c>
      <c r="O323" t="n">
        <v>0.009438266145912767</v>
      </c>
      <c r="P323" t="n">
        <v>0.0482185793162023</v>
      </c>
      <c r="Q323" t="n">
        <v>0.03829092080185514</v>
      </c>
    </row>
    <row r="324">
      <c r="A324" s="93" t="n">
        <v>36220</v>
      </c>
      <c r="B324" t="n">
        <v>58.1</v>
      </c>
      <c r="C324" t="n">
        <v>55.3</v>
      </c>
      <c r="D324" t="n">
        <v>55.5</v>
      </c>
      <c r="E324" t="n">
        <v>48.9</v>
      </c>
      <c r="F324" t="n">
        <v>59.5</v>
      </c>
      <c r="G324" t="n">
        <v>61.5</v>
      </c>
      <c r="H324" t="n">
        <v>47.5</v>
      </c>
      <c r="I324" t="n">
        <v>52.5</v>
      </c>
      <c r="J324" t="n">
        <v>51.1</v>
      </c>
      <c r="K324" t="n">
        <v>58.5</v>
      </c>
      <c r="L324" t="n">
        <v>55.3</v>
      </c>
      <c r="M324" t="n">
        <v>1286.369995117188</v>
      </c>
      <c r="O324" t="n">
        <v>0.009438266145912767</v>
      </c>
      <c r="P324" t="n">
        <v>0.0482185793162023</v>
      </c>
      <c r="Q324" t="n">
        <v>0.03829092080185514</v>
      </c>
    </row>
    <row r="325">
      <c r="A325" s="93" t="n">
        <v>36251</v>
      </c>
      <c r="B325" t="n">
        <v>58.6</v>
      </c>
      <c r="C325" t="n">
        <v>52.6</v>
      </c>
      <c r="D325" t="n">
        <v>51</v>
      </c>
      <c r="E325" t="n">
        <v>51.4</v>
      </c>
      <c r="F325" t="n">
        <v>59.8</v>
      </c>
      <c r="G325" t="n">
        <v>63</v>
      </c>
      <c r="H325" t="n">
        <v>48.5</v>
      </c>
      <c r="I325" t="n">
        <v>51.5</v>
      </c>
      <c r="J325" t="n">
        <v>52</v>
      </c>
      <c r="K325" t="n">
        <v>56.5</v>
      </c>
      <c r="L325" t="n">
        <v>55.5</v>
      </c>
      <c r="M325" t="n">
        <v>1335.180053710938</v>
      </c>
      <c r="N325" t="n">
        <v>12514.408</v>
      </c>
      <c r="O325" t="n">
        <v>0.008350000298127901</v>
      </c>
      <c r="P325" t="n">
        <v>0.04727531513473537</v>
      </c>
      <c r="Q325" t="n">
        <v>0.03382066981536092</v>
      </c>
      <c r="R325" t="n">
        <v>0.008350000298127901</v>
      </c>
      <c r="S325" t="n">
        <v>0.03382066981536092</v>
      </c>
      <c r="T325" t="n">
        <v>0.04727531513473537</v>
      </c>
    </row>
    <row r="326">
      <c r="A326" s="93" t="n">
        <v>36281</v>
      </c>
      <c r="B326" t="n">
        <v>56.4</v>
      </c>
      <c r="C326" t="n">
        <v>54.4</v>
      </c>
      <c r="D326" t="n">
        <v>50.5</v>
      </c>
      <c r="E326" t="n">
        <v>52.9</v>
      </c>
      <c r="F326" t="n">
        <v>57.7</v>
      </c>
      <c r="G326" t="n">
        <v>61</v>
      </c>
      <c r="H326" t="n">
        <v>51.5</v>
      </c>
      <c r="I326" t="n">
        <v>54</v>
      </c>
      <c r="J326" t="n">
        <v>52.9</v>
      </c>
      <c r="K326" t="n">
        <v>58.5</v>
      </c>
      <c r="L326" t="n">
        <v>55.3</v>
      </c>
      <c r="M326" t="n">
        <v>1301.839965820312</v>
      </c>
      <c r="O326" t="n">
        <v>0.008350000298127901</v>
      </c>
      <c r="P326" t="n">
        <v>0.04727531513473537</v>
      </c>
      <c r="Q326" t="n">
        <v>0.03382066981536092</v>
      </c>
    </row>
    <row r="327">
      <c r="A327" s="93" t="n">
        <v>36312</v>
      </c>
      <c r="B327" t="n">
        <v>59.7</v>
      </c>
      <c r="C327" t="n">
        <v>51.9</v>
      </c>
      <c r="D327" t="n">
        <v>52</v>
      </c>
      <c r="E327" t="n">
        <v>53.2</v>
      </c>
      <c r="F327" t="n">
        <v>57.9</v>
      </c>
      <c r="G327" t="n">
        <v>61</v>
      </c>
      <c r="H327" t="n">
        <v>49.5</v>
      </c>
      <c r="I327" t="n">
        <v>54</v>
      </c>
      <c r="J327" t="n">
        <v>55.3</v>
      </c>
      <c r="K327" t="n">
        <v>53.5</v>
      </c>
      <c r="L327" t="n">
        <v>56.7</v>
      </c>
      <c r="M327" t="n">
        <v>1372.7099609375</v>
      </c>
      <c r="O327" t="n">
        <v>0.008350000298127901</v>
      </c>
      <c r="P327" t="n">
        <v>0.04727531513473537</v>
      </c>
      <c r="Q327" t="n">
        <v>0.03382066981536092</v>
      </c>
    </row>
    <row r="328">
      <c r="A328" s="93" t="n">
        <v>36342</v>
      </c>
      <c r="B328" t="n">
        <v>58.1</v>
      </c>
      <c r="C328" t="n">
        <v>55.9</v>
      </c>
      <c r="D328" t="n">
        <v>50</v>
      </c>
      <c r="E328" t="n">
        <v>57.7</v>
      </c>
      <c r="F328" t="n">
        <v>60.7</v>
      </c>
      <c r="G328" t="n">
        <v>61</v>
      </c>
      <c r="H328" t="n">
        <v>49.5</v>
      </c>
      <c r="I328" t="n">
        <v>52.5</v>
      </c>
      <c r="J328" t="n">
        <v>53.4</v>
      </c>
      <c r="K328" t="n">
        <v>57.5</v>
      </c>
      <c r="L328" t="n">
        <v>56.2</v>
      </c>
      <c r="M328" t="n">
        <v>1328.719970703125</v>
      </c>
      <c r="N328" t="n">
        <v>12679.977</v>
      </c>
      <c r="O328" t="n">
        <v>0.01323027026128614</v>
      </c>
      <c r="P328" t="n">
        <v>0.04800205236862531</v>
      </c>
      <c r="Q328" t="n">
        <v>0.05398061530001885</v>
      </c>
      <c r="R328" t="n">
        <v>0.01323027026128614</v>
      </c>
      <c r="S328" t="n">
        <v>0.05398061530001885</v>
      </c>
      <c r="T328" t="n">
        <v>0.04800205236862531</v>
      </c>
    </row>
    <row r="329">
      <c r="A329" s="93" t="n">
        <v>36373</v>
      </c>
      <c r="B329" t="n">
        <v>59.6</v>
      </c>
      <c r="C329" t="n">
        <v>52.3</v>
      </c>
      <c r="D329" t="n">
        <v>51.5</v>
      </c>
      <c r="E329" t="n">
        <v>58.9</v>
      </c>
      <c r="F329" t="n">
        <v>60.3</v>
      </c>
      <c r="G329" t="n">
        <v>63</v>
      </c>
      <c r="H329" t="n">
        <v>52</v>
      </c>
      <c r="I329" t="n">
        <v>53.5</v>
      </c>
      <c r="J329" t="n">
        <v>52.3</v>
      </c>
      <c r="K329" t="n">
        <v>58</v>
      </c>
      <c r="L329" t="n">
        <v>56.4</v>
      </c>
      <c r="M329" t="n">
        <v>1320.410034179688</v>
      </c>
      <c r="O329" t="n">
        <v>0.01323027026128614</v>
      </c>
      <c r="P329" t="n">
        <v>0.04800205236862531</v>
      </c>
      <c r="Q329" t="n">
        <v>0.05398061530001885</v>
      </c>
    </row>
    <row r="330">
      <c r="A330" s="93" t="n">
        <v>36404</v>
      </c>
      <c r="B330" t="n">
        <v>60.1</v>
      </c>
      <c r="C330" t="n">
        <v>55.5</v>
      </c>
      <c r="D330" t="n">
        <v>52.5</v>
      </c>
      <c r="E330" t="n">
        <v>64.2</v>
      </c>
      <c r="F330" t="n">
        <v>59.1</v>
      </c>
      <c r="G330" t="n">
        <v>61.5</v>
      </c>
      <c r="H330" t="n">
        <v>52</v>
      </c>
      <c r="I330" t="n">
        <v>54</v>
      </c>
      <c r="J330" t="n">
        <v>51.4</v>
      </c>
      <c r="K330" t="n">
        <v>62.5</v>
      </c>
      <c r="L330" t="n">
        <v>56.2</v>
      </c>
      <c r="M330" t="n">
        <v>1282.7099609375</v>
      </c>
      <c r="O330" t="n">
        <v>0.01323027026128614</v>
      </c>
      <c r="P330" t="n">
        <v>0.04800205236862531</v>
      </c>
      <c r="Q330" t="n">
        <v>0.05398061530001885</v>
      </c>
    </row>
    <row r="331">
      <c r="A331" s="93" t="n">
        <v>36434</v>
      </c>
      <c r="B331" t="n">
        <v>62</v>
      </c>
      <c r="C331" t="n">
        <v>55.7</v>
      </c>
      <c r="D331" t="n">
        <v>52</v>
      </c>
      <c r="E331" t="n">
        <v>58.9</v>
      </c>
      <c r="F331" t="n">
        <v>60.7</v>
      </c>
      <c r="G331" t="n">
        <v>58</v>
      </c>
      <c r="H331" t="n">
        <v>47.5</v>
      </c>
      <c r="I331" t="n">
        <v>56</v>
      </c>
      <c r="J331" t="n">
        <v>51.7</v>
      </c>
      <c r="K331" t="n">
        <v>54</v>
      </c>
      <c r="L331" t="n">
        <v>57.6</v>
      </c>
      <c r="M331" t="n">
        <v>1362.930053710938</v>
      </c>
      <c r="N331" t="n">
        <v>12888.281</v>
      </c>
      <c r="O331" t="n">
        <v>0.01642779005040782</v>
      </c>
      <c r="P331" t="n">
        <v>0.04827626650330151</v>
      </c>
      <c r="Q331" t="n">
        <v>0.06734820036933864</v>
      </c>
      <c r="R331" t="n">
        <v>0.01642779005040782</v>
      </c>
      <c r="S331" t="n">
        <v>0.06734820036933864</v>
      </c>
      <c r="T331" t="n">
        <v>0.04827626650330151</v>
      </c>
    </row>
    <row r="332">
      <c r="A332" s="93" t="n">
        <v>36465</v>
      </c>
      <c r="B332" t="n">
        <v>55.5</v>
      </c>
      <c r="C332" t="n">
        <v>53.8</v>
      </c>
      <c r="D332" t="n">
        <v>49</v>
      </c>
      <c r="E332" t="n">
        <v>61</v>
      </c>
      <c r="F332" t="n">
        <v>57</v>
      </c>
      <c r="G332" t="n">
        <v>62.5</v>
      </c>
      <c r="H332" t="n">
        <v>52.5</v>
      </c>
      <c r="I332" t="n">
        <v>56.5</v>
      </c>
      <c r="J332" t="n">
        <v>50.6</v>
      </c>
      <c r="K332" t="n">
        <v>56</v>
      </c>
      <c r="L332" t="n">
        <v>54.9</v>
      </c>
      <c r="M332" t="n">
        <v>1388.910034179688</v>
      </c>
      <c r="O332" t="n">
        <v>0.01642779005040782</v>
      </c>
      <c r="P332" t="n">
        <v>0.04827626650330151</v>
      </c>
      <c r="Q332" t="n">
        <v>0.06734820036933864</v>
      </c>
    </row>
    <row r="333">
      <c r="A333" s="93" t="n">
        <v>36495</v>
      </c>
      <c r="B333" t="n">
        <v>61.1</v>
      </c>
      <c r="C333" t="n">
        <v>50.8</v>
      </c>
      <c r="D333" t="n">
        <v>49</v>
      </c>
      <c r="E333" t="n">
        <v>60.5</v>
      </c>
      <c r="F333" t="n">
        <v>60.4</v>
      </c>
      <c r="G333" t="n">
        <v>61.5</v>
      </c>
      <c r="H333" t="n">
        <v>50</v>
      </c>
      <c r="I333" t="n">
        <v>53</v>
      </c>
      <c r="J333" t="n">
        <v>53</v>
      </c>
      <c r="K333" t="n">
        <v>58</v>
      </c>
      <c r="L333" t="n">
        <v>56.9</v>
      </c>
      <c r="M333" t="n">
        <v>1469.25</v>
      </c>
      <c r="O333" t="n">
        <v>0.01642779005040782</v>
      </c>
      <c r="P333" t="n">
        <v>0.04827626650330151</v>
      </c>
      <c r="Q333" t="n">
        <v>0.06734820036933864</v>
      </c>
    </row>
    <row r="334">
      <c r="A334" s="93" t="n">
        <v>36526</v>
      </c>
      <c r="B334" t="n">
        <v>60.8</v>
      </c>
      <c r="C334" t="n">
        <v>54.9</v>
      </c>
      <c r="D334" t="n">
        <v>48.5</v>
      </c>
      <c r="E334" t="n">
        <v>61.4</v>
      </c>
      <c r="F334" t="n">
        <v>57.7</v>
      </c>
      <c r="G334" t="n">
        <v>67</v>
      </c>
      <c r="H334" t="n">
        <v>49.5</v>
      </c>
      <c r="I334" t="n">
        <v>55.5</v>
      </c>
      <c r="J334" t="n">
        <v>52.3</v>
      </c>
      <c r="K334" t="n">
        <v>57.5</v>
      </c>
      <c r="L334" t="n">
        <v>56.6</v>
      </c>
      <c r="M334" t="n">
        <v>1394.4599609375</v>
      </c>
      <c r="N334" t="n">
        <v>12935.252</v>
      </c>
      <c r="O334" t="n">
        <v>0.003644473611337272</v>
      </c>
      <c r="P334" t="n">
        <v>0.04225955858689924</v>
      </c>
      <c r="Q334" t="n">
        <v>0.0146577813755211</v>
      </c>
      <c r="R334" t="n">
        <v>0.003644473611337272</v>
      </c>
      <c r="S334" t="n">
        <v>0.0146577813755211</v>
      </c>
      <c r="T334" t="n">
        <v>0.04225955858689924</v>
      </c>
    </row>
    <row r="335">
      <c r="A335" s="93" t="n">
        <v>36557</v>
      </c>
      <c r="B335" t="n">
        <v>58.9</v>
      </c>
      <c r="C335" t="n">
        <v>51.9</v>
      </c>
      <c r="D335" t="n">
        <v>52</v>
      </c>
      <c r="E335" t="n">
        <v>66.5</v>
      </c>
      <c r="F335" t="n">
        <v>58.2</v>
      </c>
      <c r="G335" t="n">
        <v>66.5</v>
      </c>
      <c r="H335" t="n">
        <v>49.5</v>
      </c>
      <c r="I335" t="n">
        <v>55</v>
      </c>
      <c r="J335" t="n">
        <v>52.8</v>
      </c>
      <c r="K335" t="n">
        <v>47.5</v>
      </c>
      <c r="L335" t="n">
        <v>56.2</v>
      </c>
      <c r="M335" t="n">
        <v>1366.420043945312</v>
      </c>
      <c r="O335" t="n">
        <v>0.003644473611337272</v>
      </c>
      <c r="P335" t="n">
        <v>0.04225955858689924</v>
      </c>
      <c r="Q335" t="n">
        <v>0.0146577813755211</v>
      </c>
    </row>
    <row r="336">
      <c r="A336" s="93" t="n">
        <v>36586</v>
      </c>
      <c r="B336" t="n">
        <v>61.7</v>
      </c>
      <c r="C336" t="n">
        <v>54.7</v>
      </c>
      <c r="D336" t="n">
        <v>53</v>
      </c>
      <c r="E336" t="n">
        <v>68.59999999999999</v>
      </c>
      <c r="F336" t="n">
        <v>60.5</v>
      </c>
      <c r="G336" t="n">
        <v>60.5</v>
      </c>
      <c r="H336" t="n">
        <v>51.5</v>
      </c>
      <c r="I336" t="n">
        <v>52.5</v>
      </c>
      <c r="J336" t="n">
        <v>55</v>
      </c>
      <c r="K336" t="n">
        <v>55.5</v>
      </c>
      <c r="L336" t="n">
        <v>57.4</v>
      </c>
      <c r="M336" t="n">
        <v>1498.579956054688</v>
      </c>
      <c r="O336" t="n">
        <v>0.003644473611337272</v>
      </c>
      <c r="P336" t="n">
        <v>0.04225955858689924</v>
      </c>
      <c r="Q336" t="n">
        <v>0.0146577813755211</v>
      </c>
    </row>
    <row r="337">
      <c r="A337" s="93" t="n">
        <v>36617</v>
      </c>
      <c r="B337" t="n">
        <v>61.5</v>
      </c>
      <c r="C337" t="n">
        <v>54.6</v>
      </c>
      <c r="D337" t="n">
        <v>55.5</v>
      </c>
      <c r="E337" t="n">
        <v>65</v>
      </c>
      <c r="F337" t="n">
        <v>61.1</v>
      </c>
      <c r="G337" t="n">
        <v>64</v>
      </c>
      <c r="H337" t="n">
        <v>53.5</v>
      </c>
      <c r="I337" t="n">
        <v>55</v>
      </c>
      <c r="J337" t="n">
        <v>54.4</v>
      </c>
      <c r="K337" t="n">
        <v>59</v>
      </c>
      <c r="L337" t="n">
        <v>58</v>
      </c>
      <c r="M337" t="n">
        <v>1452.430053710938</v>
      </c>
      <c r="N337" t="n">
        <v>13170.749</v>
      </c>
      <c r="O337" t="n">
        <v>0.01820583008355766</v>
      </c>
      <c r="P337" t="n">
        <v>0.05244682768853312</v>
      </c>
      <c r="Q337" t="n">
        <v>0.07483628114231911</v>
      </c>
      <c r="R337" t="n">
        <v>0.01820583008355766</v>
      </c>
      <c r="S337" t="n">
        <v>0.07483628114231911</v>
      </c>
      <c r="T337" t="n">
        <v>0.05244682768853312</v>
      </c>
    </row>
    <row r="338">
      <c r="A338" s="93" t="n">
        <v>36647</v>
      </c>
      <c r="B338" t="n">
        <v>60.5</v>
      </c>
      <c r="C338" t="n">
        <v>54.7</v>
      </c>
      <c r="D338" t="n">
        <v>53.5</v>
      </c>
      <c r="E338" t="n">
        <v>64.2</v>
      </c>
      <c r="F338" t="n">
        <v>59.8</v>
      </c>
      <c r="G338" t="n">
        <v>63</v>
      </c>
      <c r="H338" t="n">
        <v>49.5</v>
      </c>
      <c r="I338" t="n">
        <v>57</v>
      </c>
      <c r="J338" t="n">
        <v>53.5</v>
      </c>
      <c r="K338" t="n">
        <v>62</v>
      </c>
      <c r="L338" t="n">
        <v>57.7</v>
      </c>
      <c r="M338" t="n">
        <v>1420.599975585938</v>
      </c>
      <c r="O338" t="n">
        <v>0.01820583008355766</v>
      </c>
      <c r="P338" t="n">
        <v>0.05244682768853312</v>
      </c>
      <c r="Q338" t="n">
        <v>0.07483628114231911</v>
      </c>
    </row>
    <row r="339">
      <c r="A339" s="93" t="n">
        <v>36678</v>
      </c>
      <c r="B339" t="n">
        <v>59.4</v>
      </c>
      <c r="C339" t="n">
        <v>52.6</v>
      </c>
      <c r="D339" t="n">
        <v>56.5</v>
      </c>
      <c r="E339" t="n">
        <v>65</v>
      </c>
      <c r="F339" t="n">
        <v>60.3</v>
      </c>
      <c r="G339" t="n">
        <v>66.5</v>
      </c>
      <c r="H339" t="n">
        <v>54</v>
      </c>
      <c r="I339" t="n">
        <v>53.5</v>
      </c>
      <c r="J339" t="n">
        <v>54.4</v>
      </c>
      <c r="K339" t="n">
        <v>57</v>
      </c>
      <c r="L339" t="n">
        <v>56.9</v>
      </c>
      <c r="M339" t="n">
        <v>1454.599975585938</v>
      </c>
      <c r="O339" t="n">
        <v>0.01820583008355766</v>
      </c>
      <c r="P339" t="n">
        <v>0.05244682768853312</v>
      </c>
      <c r="Q339" t="n">
        <v>0.07483628114231911</v>
      </c>
    </row>
    <row r="340">
      <c r="A340" s="93" t="n">
        <v>36708</v>
      </c>
      <c r="B340" t="n">
        <v>59.7</v>
      </c>
      <c r="C340" t="n">
        <v>53.1</v>
      </c>
      <c r="D340" t="n">
        <v>50.5</v>
      </c>
      <c r="E340" t="n">
        <v>62.1</v>
      </c>
      <c r="F340" t="n">
        <v>56.5</v>
      </c>
      <c r="G340" t="n">
        <v>68</v>
      </c>
      <c r="H340" t="n">
        <v>51</v>
      </c>
      <c r="I340" t="n">
        <v>54.5</v>
      </c>
      <c r="J340" t="n">
        <v>50.5</v>
      </c>
      <c r="K340" t="n">
        <v>53</v>
      </c>
      <c r="L340" t="n">
        <v>55.3</v>
      </c>
      <c r="M340" t="n">
        <v>1430.829956054688</v>
      </c>
      <c r="N340" t="n">
        <v>13183.89</v>
      </c>
      <c r="O340" t="n">
        <v>0.0009977412825952132</v>
      </c>
      <c r="P340" t="n">
        <v>0.03974084495579121</v>
      </c>
      <c r="Q340" t="n">
        <v>0.003996942030330519</v>
      </c>
      <c r="R340" t="n">
        <v>0.0009977412825952132</v>
      </c>
      <c r="S340" t="n">
        <v>0.003996942030330519</v>
      </c>
      <c r="T340" t="n">
        <v>0.03974084495579121</v>
      </c>
    </row>
    <row r="341">
      <c r="A341" s="93" t="n">
        <v>36739</v>
      </c>
      <c r="B341" t="n">
        <v>59.8</v>
      </c>
      <c r="C341" t="n">
        <v>53.9</v>
      </c>
      <c r="D341" t="n">
        <v>52</v>
      </c>
      <c r="E341" t="n">
        <v>59.2</v>
      </c>
      <c r="F341" t="n">
        <v>61.3</v>
      </c>
      <c r="G341" t="n">
        <v>61.5</v>
      </c>
      <c r="H341" t="n">
        <v>51</v>
      </c>
      <c r="I341" t="n">
        <v>55</v>
      </c>
      <c r="J341" t="n">
        <v>54.2</v>
      </c>
      <c r="K341" t="n">
        <v>56</v>
      </c>
      <c r="L341" t="n">
        <v>57.6</v>
      </c>
      <c r="M341" t="n">
        <v>1517.680053710938</v>
      </c>
      <c r="O341" t="n">
        <v>0.0009977412825952132</v>
      </c>
      <c r="P341" t="n">
        <v>0.03974084495579121</v>
      </c>
      <c r="Q341" t="n">
        <v>0.003996942030330519</v>
      </c>
    </row>
    <row r="342">
      <c r="A342" s="93" t="n">
        <v>36770</v>
      </c>
      <c r="B342" t="n">
        <v>60.4</v>
      </c>
      <c r="C342" t="n">
        <v>46</v>
      </c>
      <c r="D342" t="n">
        <v>56.5</v>
      </c>
      <c r="E342" t="n">
        <v>62.1</v>
      </c>
      <c r="F342" t="n">
        <v>59.8</v>
      </c>
      <c r="G342" t="n">
        <v>65</v>
      </c>
      <c r="H342" t="n">
        <v>53.5</v>
      </c>
      <c r="I342" t="n">
        <v>53</v>
      </c>
      <c r="J342" t="n">
        <v>53.5</v>
      </c>
      <c r="K342" t="n">
        <v>51.5</v>
      </c>
      <c r="L342" t="n">
        <v>56.7</v>
      </c>
      <c r="M342" t="n">
        <v>1436.510009765625</v>
      </c>
      <c r="O342" t="n">
        <v>0.0009977412825952132</v>
      </c>
      <c r="P342" t="n">
        <v>0.03974084495579121</v>
      </c>
      <c r="Q342" t="n">
        <v>0.003996942030330519</v>
      </c>
    </row>
    <row r="343">
      <c r="A343" s="93" t="n">
        <v>36800</v>
      </c>
      <c r="B343" t="n">
        <v>59.2</v>
      </c>
      <c r="C343" t="n">
        <v>58.9</v>
      </c>
      <c r="D343" t="n">
        <v>53.5</v>
      </c>
      <c r="E343" t="n">
        <v>63.7</v>
      </c>
      <c r="F343" t="n">
        <v>58.6</v>
      </c>
      <c r="G343" t="n">
        <v>67.5</v>
      </c>
      <c r="H343" t="n">
        <v>55</v>
      </c>
      <c r="I343" t="n">
        <v>54.5</v>
      </c>
      <c r="J343" t="n">
        <v>54.5</v>
      </c>
      <c r="K343" t="n">
        <v>55</v>
      </c>
      <c r="L343" t="n">
        <v>56.7</v>
      </c>
      <c r="M343" t="n">
        <v>1429.400024414062</v>
      </c>
      <c r="N343" t="n">
        <v>13262.25</v>
      </c>
      <c r="O343" t="n">
        <v>0.005943617551420755</v>
      </c>
      <c r="P343" t="n">
        <v>0.0290162047211726</v>
      </c>
      <c r="Q343" t="n">
        <v>0.02398727086218799</v>
      </c>
      <c r="R343" t="n">
        <v>0.005943617551420755</v>
      </c>
      <c r="S343" t="n">
        <v>0.02398727086218799</v>
      </c>
      <c r="T343" t="n">
        <v>0.0290162047211726</v>
      </c>
    </row>
    <row r="344">
      <c r="A344" s="93" t="n">
        <v>36831</v>
      </c>
      <c r="B344" t="n">
        <v>56.4</v>
      </c>
      <c r="C344" t="n">
        <v>54.7</v>
      </c>
      <c r="D344" t="n">
        <v>49.5</v>
      </c>
      <c r="E344" t="n">
        <v>60.9</v>
      </c>
      <c r="F344" t="n">
        <v>59.7</v>
      </c>
      <c r="G344" t="n">
        <v>66</v>
      </c>
      <c r="H344" t="n">
        <v>49.5</v>
      </c>
      <c r="I344" t="n">
        <v>54</v>
      </c>
      <c r="J344" t="n">
        <v>54.6</v>
      </c>
      <c r="K344" t="n">
        <v>55</v>
      </c>
      <c r="L344" t="n">
        <v>56.2</v>
      </c>
      <c r="M344" t="n">
        <v>1314.949951171875</v>
      </c>
      <c r="O344" t="n">
        <v>0.005943617551420755</v>
      </c>
      <c r="P344" t="n">
        <v>0.0290162047211726</v>
      </c>
      <c r="Q344" t="n">
        <v>0.02398727086218799</v>
      </c>
    </row>
    <row r="345">
      <c r="A345" s="93" t="n">
        <v>36861</v>
      </c>
      <c r="B345" t="n">
        <v>54.9</v>
      </c>
      <c r="C345" t="n">
        <v>53.4</v>
      </c>
      <c r="D345" t="n">
        <v>50.5</v>
      </c>
      <c r="E345" t="n">
        <v>63.5</v>
      </c>
      <c r="F345" t="n">
        <v>57.5</v>
      </c>
      <c r="G345" t="n">
        <v>65</v>
      </c>
      <c r="H345" t="n">
        <v>48.5</v>
      </c>
      <c r="I345" t="n">
        <v>51</v>
      </c>
      <c r="J345" t="n">
        <v>52.4</v>
      </c>
      <c r="K345" t="n">
        <v>56.5</v>
      </c>
      <c r="L345" t="n">
        <v>54</v>
      </c>
      <c r="M345" t="n">
        <v>1320.280029296875</v>
      </c>
      <c r="O345" t="n">
        <v>0.005943617551420755</v>
      </c>
      <c r="P345" t="n">
        <v>0.0290162047211726</v>
      </c>
      <c r="Q345" t="n">
        <v>0.02398727086218799</v>
      </c>
    </row>
    <row r="346">
      <c r="A346" s="93" t="n">
        <v>36892</v>
      </c>
      <c r="B346" t="n">
        <v>50.8</v>
      </c>
      <c r="C346" t="n">
        <v>49.8</v>
      </c>
      <c r="D346" t="n">
        <v>42.5</v>
      </c>
      <c r="E346" t="n">
        <v>61.8</v>
      </c>
      <c r="F346" t="n">
        <v>52.5</v>
      </c>
      <c r="G346" t="n">
        <v>67.5</v>
      </c>
      <c r="H346" t="n">
        <v>45.5</v>
      </c>
      <c r="I346" t="n">
        <v>51.5</v>
      </c>
      <c r="J346" t="n">
        <v>51.7</v>
      </c>
      <c r="K346" t="n">
        <v>55</v>
      </c>
      <c r="L346" t="n">
        <v>51.6</v>
      </c>
      <c r="M346" t="n">
        <v>1366.010009765625</v>
      </c>
      <c r="N346" t="n">
        <v>13219.251</v>
      </c>
      <c r="O346" t="n">
        <v>-0.003242210032234334</v>
      </c>
      <c r="P346" t="n">
        <v>0.02195542846787985</v>
      </c>
      <c r="Q346" t="n">
        <v>-0.01290590479056442</v>
      </c>
      <c r="R346" t="n">
        <v>-0.003242210032234334</v>
      </c>
      <c r="S346" t="n">
        <v>-0.01290590479056442</v>
      </c>
      <c r="T346" t="n">
        <v>0.02195542846787985</v>
      </c>
    </row>
    <row r="347">
      <c r="A347" s="93" t="n">
        <v>36923</v>
      </c>
      <c r="B347" t="n">
        <v>51.4</v>
      </c>
      <c r="C347" t="n">
        <v>48.7</v>
      </c>
      <c r="D347" t="n">
        <v>45.5</v>
      </c>
      <c r="E347" t="n">
        <v>58.1</v>
      </c>
      <c r="F347" t="n">
        <v>51.5</v>
      </c>
      <c r="G347" t="n">
        <v>65</v>
      </c>
      <c r="H347" t="n">
        <v>47</v>
      </c>
      <c r="I347" t="n">
        <v>51.5</v>
      </c>
      <c r="J347" t="n">
        <v>50.7</v>
      </c>
      <c r="K347" t="n">
        <v>53.5</v>
      </c>
      <c r="L347" t="n">
        <v>51.3</v>
      </c>
      <c r="M347" t="n">
        <v>1239.93994140625</v>
      </c>
      <c r="O347" t="n">
        <v>-0.003242210032234334</v>
      </c>
      <c r="P347" t="n">
        <v>0.02195542846787985</v>
      </c>
      <c r="Q347" t="n">
        <v>-0.01290590479056442</v>
      </c>
    </row>
    <row r="348">
      <c r="A348" s="93" t="n">
        <v>36951</v>
      </c>
      <c r="B348" t="n">
        <v>52.6</v>
      </c>
      <c r="C348" t="n">
        <v>48.4</v>
      </c>
      <c r="D348" t="n">
        <v>47.5</v>
      </c>
      <c r="E348" t="n">
        <v>55.8</v>
      </c>
      <c r="F348" t="n">
        <v>50</v>
      </c>
      <c r="G348" t="n">
        <v>69</v>
      </c>
      <c r="H348" t="n">
        <v>49</v>
      </c>
      <c r="I348" t="n">
        <v>50.5</v>
      </c>
      <c r="J348" t="n">
        <v>49.6</v>
      </c>
      <c r="K348" t="n">
        <v>49.5</v>
      </c>
      <c r="L348" t="n">
        <v>50.7</v>
      </c>
      <c r="M348" t="n">
        <v>1160.329956054688</v>
      </c>
      <c r="O348" t="n">
        <v>-0.003242210032234334</v>
      </c>
      <c r="P348" t="n">
        <v>0.02195542846787985</v>
      </c>
      <c r="Q348" t="n">
        <v>-0.01290590479056442</v>
      </c>
    </row>
    <row r="349">
      <c r="A349" s="93" t="n">
        <v>36982</v>
      </c>
      <c r="B349" t="n">
        <v>47.2</v>
      </c>
      <c r="C349" t="n">
        <v>49.8</v>
      </c>
      <c r="D349" t="n">
        <v>44</v>
      </c>
      <c r="E349" t="n">
        <v>53.8</v>
      </c>
      <c r="F349" t="n">
        <v>48.3</v>
      </c>
      <c r="G349" t="n">
        <v>64</v>
      </c>
      <c r="H349" t="n">
        <v>45.5</v>
      </c>
      <c r="I349" t="n">
        <v>51</v>
      </c>
      <c r="J349" t="n">
        <v>46.5</v>
      </c>
      <c r="K349" t="n">
        <v>55.5</v>
      </c>
      <c r="L349" t="n">
        <v>48.3</v>
      </c>
      <c r="M349" t="n">
        <v>1249.4599609375</v>
      </c>
      <c r="N349" t="n">
        <v>13301.394</v>
      </c>
      <c r="O349" t="n">
        <v>0.00621389214865502</v>
      </c>
      <c r="P349" t="n">
        <v>0.009919329568880284</v>
      </c>
      <c r="Q349" t="n">
        <v>0.02508820455389205</v>
      </c>
      <c r="R349" t="n">
        <v>0.00621389214865502</v>
      </c>
      <c r="S349" t="n">
        <v>0.02508820455389205</v>
      </c>
      <c r="T349" t="n">
        <v>0.009919329568880284</v>
      </c>
    </row>
    <row r="350">
      <c r="A350" s="93" t="n">
        <v>37012</v>
      </c>
      <c r="B350" t="n">
        <v>49.3</v>
      </c>
      <c r="C350" t="n">
        <v>48.7</v>
      </c>
      <c r="D350" t="n">
        <v>46.5</v>
      </c>
      <c r="E350" t="n">
        <v>58.5</v>
      </c>
      <c r="F350" t="n">
        <v>47.9</v>
      </c>
      <c r="G350" t="n">
        <v>63.5</v>
      </c>
      <c r="H350" t="n">
        <v>47.5</v>
      </c>
      <c r="I350" t="n">
        <v>52</v>
      </c>
      <c r="J350" t="n">
        <v>46.7</v>
      </c>
      <c r="K350" t="n">
        <v>48.5</v>
      </c>
      <c r="L350" t="n">
        <v>49</v>
      </c>
      <c r="M350" t="n">
        <v>1255.819946289062</v>
      </c>
      <c r="O350" t="n">
        <v>0.00621389214865502</v>
      </c>
      <c r="P350" t="n">
        <v>0.009919329568880284</v>
      </c>
      <c r="Q350" t="n">
        <v>0.02508820455389205</v>
      </c>
    </row>
    <row r="351">
      <c r="A351" s="93" t="n">
        <v>37043</v>
      </c>
      <c r="B351" t="n">
        <v>52.2</v>
      </c>
      <c r="C351" t="n">
        <v>50</v>
      </c>
      <c r="D351" t="n">
        <v>49</v>
      </c>
      <c r="E351" t="n">
        <v>54.5</v>
      </c>
      <c r="F351" t="n">
        <v>51.6</v>
      </c>
      <c r="G351" t="n">
        <v>65</v>
      </c>
      <c r="H351" t="n">
        <v>48.5</v>
      </c>
      <c r="I351" t="n">
        <v>51</v>
      </c>
      <c r="J351" t="n">
        <v>45.6</v>
      </c>
      <c r="K351" t="n">
        <v>49.5</v>
      </c>
      <c r="L351" t="n">
        <v>50.1</v>
      </c>
      <c r="M351" t="n">
        <v>1224.380004882812</v>
      </c>
      <c r="O351" t="n">
        <v>0.00621389214865502</v>
      </c>
      <c r="P351" t="n">
        <v>0.009919329568880284</v>
      </c>
      <c r="Q351" t="n">
        <v>0.02508820455389205</v>
      </c>
    </row>
    <row r="352">
      <c r="A352" s="93" t="n">
        <v>37073</v>
      </c>
      <c r="B352" t="n">
        <v>47.5</v>
      </c>
      <c r="C352" t="n">
        <v>50.1</v>
      </c>
      <c r="D352" t="n">
        <v>42.5</v>
      </c>
      <c r="E352" t="n">
        <v>49.9</v>
      </c>
      <c r="F352" t="n">
        <v>48.1</v>
      </c>
      <c r="G352" t="n">
        <v>61.5</v>
      </c>
      <c r="H352" t="n">
        <v>46</v>
      </c>
      <c r="I352" t="n">
        <v>50.5</v>
      </c>
      <c r="J352" t="n">
        <v>46.4</v>
      </c>
      <c r="K352" t="n">
        <v>53</v>
      </c>
      <c r="L352" t="n">
        <v>48.1</v>
      </c>
      <c r="M352" t="n">
        <v>1211.22998046875</v>
      </c>
      <c r="N352" t="n">
        <v>13248.142</v>
      </c>
      <c r="O352" t="n">
        <v>-0.004003490160505012</v>
      </c>
      <c r="P352" t="n">
        <v>0.004873523671693287</v>
      </c>
      <c r="Q352" t="n">
        <v>-0.01591804945502973</v>
      </c>
      <c r="R352" t="n">
        <v>-0.004003490160505012</v>
      </c>
      <c r="S352" t="n">
        <v>-0.01591804945502973</v>
      </c>
      <c r="T352" t="n">
        <v>0.004873523671693287</v>
      </c>
    </row>
    <row r="353">
      <c r="A353" s="93" t="n">
        <v>37104</v>
      </c>
      <c r="B353" t="n">
        <v>46.5</v>
      </c>
      <c r="C353" t="n">
        <v>52.8</v>
      </c>
      <c r="D353" t="n">
        <v>41.5</v>
      </c>
      <c r="E353" t="n">
        <v>48.9</v>
      </c>
      <c r="F353" t="n">
        <v>47.4</v>
      </c>
      <c r="G353" t="n">
        <v>65.5</v>
      </c>
      <c r="H353" t="n">
        <v>43.5</v>
      </c>
      <c r="I353" t="n">
        <v>48</v>
      </c>
      <c r="J353" t="n">
        <v>45.7</v>
      </c>
      <c r="K353" t="n">
        <v>47.5</v>
      </c>
      <c r="L353" t="n">
        <v>46.9</v>
      </c>
      <c r="M353" t="n">
        <v>1133.579956054688</v>
      </c>
      <c r="O353" t="n">
        <v>-0.004003490160505012</v>
      </c>
      <c r="P353" t="n">
        <v>0.004873523671693287</v>
      </c>
      <c r="Q353" t="n">
        <v>-0.01591804945502973</v>
      </c>
    </row>
    <row r="354">
      <c r="A354" s="93" t="n">
        <v>37135</v>
      </c>
      <c r="B354" t="n">
        <v>50.8</v>
      </c>
      <c r="C354" t="n">
        <v>52.7</v>
      </c>
      <c r="D354" t="n">
        <v>48.5</v>
      </c>
      <c r="E354" t="n">
        <v>50.2</v>
      </c>
      <c r="F354" t="n">
        <v>49.7</v>
      </c>
      <c r="G354" t="n">
        <v>64</v>
      </c>
      <c r="H354" t="n">
        <v>44.5</v>
      </c>
      <c r="I354" t="n">
        <v>51</v>
      </c>
      <c r="J354" t="n">
        <v>46.4</v>
      </c>
      <c r="K354" t="n">
        <v>53.5</v>
      </c>
      <c r="L354" t="n">
        <v>49.5</v>
      </c>
      <c r="M354" t="n">
        <v>1040.93994140625</v>
      </c>
      <c r="O354" t="n">
        <v>-0.004003490160505012</v>
      </c>
      <c r="P354" t="n">
        <v>0.004873523671693287</v>
      </c>
      <c r="Q354" t="n">
        <v>-0.01591804945502973</v>
      </c>
    </row>
    <row r="355">
      <c r="A355" s="93" t="n">
        <v>37165</v>
      </c>
      <c r="B355" t="n">
        <v>41.3</v>
      </c>
      <c r="C355" t="n">
        <v>50.7</v>
      </c>
      <c r="D355" t="n">
        <v>40.5</v>
      </c>
      <c r="E355" t="n">
        <v>43.4</v>
      </c>
      <c r="F355" t="n">
        <v>40.5</v>
      </c>
      <c r="G355" t="n">
        <v>68.5</v>
      </c>
      <c r="H355" t="n">
        <v>48</v>
      </c>
      <c r="I355" t="n">
        <v>53.5</v>
      </c>
      <c r="J355" t="n">
        <v>43.9</v>
      </c>
      <c r="K355" t="n">
        <v>44.5</v>
      </c>
      <c r="L355" t="n">
        <v>44.8</v>
      </c>
      <c r="M355" t="n">
        <v>1059.780029296875</v>
      </c>
      <c r="N355" t="n">
        <v>13284.881</v>
      </c>
      <c r="O355" t="n">
        <v>0.002773143584964562</v>
      </c>
      <c r="P355" t="n">
        <v>0.001706422364229252</v>
      </c>
      <c r="Q355" t="n">
        <v>0.01113880165656167</v>
      </c>
      <c r="R355" t="n">
        <v>0.002773143584964562</v>
      </c>
      <c r="S355" t="n">
        <v>0.01113880165656167</v>
      </c>
      <c r="T355" t="n">
        <v>0.001706422364229252</v>
      </c>
    </row>
    <row r="356">
      <c r="A356" s="93" t="n">
        <v>37196</v>
      </c>
      <c r="B356" t="n">
        <v>46.4</v>
      </c>
      <c r="C356" t="n">
        <v>51.6</v>
      </c>
      <c r="D356" t="n">
        <v>42</v>
      </c>
      <c r="E356" t="n">
        <v>41.3</v>
      </c>
      <c r="F356" t="n">
        <v>49.4</v>
      </c>
      <c r="G356" t="n">
        <v>67</v>
      </c>
      <c r="H356" t="n">
        <v>49.5</v>
      </c>
      <c r="I356" t="n">
        <v>52.5</v>
      </c>
      <c r="J356" t="n">
        <v>44.5</v>
      </c>
      <c r="K356" t="n">
        <v>48.5</v>
      </c>
      <c r="L356" t="n">
        <v>48.2</v>
      </c>
      <c r="M356" t="n">
        <v>1139.449951171875</v>
      </c>
      <c r="O356" t="n">
        <v>0.002773143584964562</v>
      </c>
      <c r="P356" t="n">
        <v>0.001706422364229252</v>
      </c>
      <c r="Q356" t="n">
        <v>0.01113880165656167</v>
      </c>
    </row>
    <row r="357">
      <c r="A357" s="93" t="n">
        <v>37226</v>
      </c>
      <c r="B357" t="n">
        <v>49.9</v>
      </c>
      <c r="C357" t="n">
        <v>55.9</v>
      </c>
      <c r="D357" t="n">
        <v>46.5</v>
      </c>
      <c r="E357" t="n">
        <v>42.3</v>
      </c>
      <c r="F357" t="n">
        <v>50.7</v>
      </c>
      <c r="G357" t="n">
        <v>66.5</v>
      </c>
      <c r="H357" t="n">
        <v>48.5</v>
      </c>
      <c r="I357" t="n">
        <v>53.5</v>
      </c>
      <c r="J357" t="n">
        <v>44.6</v>
      </c>
      <c r="K357" t="n">
        <v>55</v>
      </c>
      <c r="L357" t="n">
        <v>49.7</v>
      </c>
      <c r="M357" t="n">
        <v>1148.079956054688</v>
      </c>
      <c r="O357" t="n">
        <v>0.002773143584964562</v>
      </c>
      <c r="P357" t="n">
        <v>0.001706422364229252</v>
      </c>
      <c r="Q357" t="n">
        <v>0.01113880165656167</v>
      </c>
    </row>
    <row r="358">
      <c r="A358" s="93" t="n">
        <v>37257</v>
      </c>
      <c r="B358" t="n">
        <v>48.3</v>
      </c>
      <c r="C358" t="n">
        <v>55.3</v>
      </c>
      <c r="D358" t="n">
        <v>45.5</v>
      </c>
      <c r="E358" t="n">
        <v>48.8</v>
      </c>
      <c r="F358" t="n">
        <v>49.8</v>
      </c>
      <c r="G358" t="n">
        <v>64.5</v>
      </c>
      <c r="H358" t="n">
        <v>47.5</v>
      </c>
      <c r="I358" t="n">
        <v>53</v>
      </c>
      <c r="J358" t="n">
        <v>44.3</v>
      </c>
      <c r="K358" t="n">
        <v>56.5</v>
      </c>
      <c r="L358" t="n">
        <v>48.9</v>
      </c>
      <c r="M358" t="n">
        <v>1130.199951171875</v>
      </c>
      <c r="N358" t="n">
        <v>13394.91</v>
      </c>
      <c r="O358" t="n">
        <v>0.00828227215584396</v>
      </c>
      <c r="P358" t="n">
        <v>0.0132881204842846</v>
      </c>
      <c r="Q358" t="n">
        <v>0.03354294204519781</v>
      </c>
      <c r="R358" t="n">
        <v>0.00828227215584396</v>
      </c>
      <c r="S358" t="n">
        <v>0.03354294204519781</v>
      </c>
      <c r="T358" t="n">
        <v>0.0132881204842846</v>
      </c>
    </row>
    <row r="359">
      <c r="A359" s="93" t="n">
        <v>37288</v>
      </c>
      <c r="B359" t="n">
        <v>56.3</v>
      </c>
      <c r="C359" t="n">
        <v>54.3</v>
      </c>
      <c r="D359" t="n">
        <v>47.5</v>
      </c>
      <c r="E359" t="n">
        <v>47.6</v>
      </c>
      <c r="F359" t="n">
        <v>57.5</v>
      </c>
      <c r="G359" t="n">
        <v>66.5</v>
      </c>
      <c r="H359" t="n">
        <v>51.5</v>
      </c>
      <c r="I359" t="n">
        <v>53</v>
      </c>
      <c r="J359" t="n">
        <v>43.9</v>
      </c>
      <c r="K359" t="n">
        <v>52.5</v>
      </c>
      <c r="L359" t="n">
        <v>52.7</v>
      </c>
      <c r="M359" t="n">
        <v>1106.72998046875</v>
      </c>
      <c r="O359" t="n">
        <v>0.00828227215584396</v>
      </c>
      <c r="P359" t="n">
        <v>0.0132881204842846</v>
      </c>
      <c r="Q359" t="n">
        <v>0.03354294204519781</v>
      </c>
    </row>
    <row r="360">
      <c r="A360" s="93" t="n">
        <v>37316</v>
      </c>
      <c r="B360" t="n">
        <v>56.4</v>
      </c>
      <c r="C360" t="n">
        <v>48.9</v>
      </c>
      <c r="D360" t="n">
        <v>49.5</v>
      </c>
      <c r="E360" t="n">
        <v>49.2</v>
      </c>
      <c r="F360" t="n">
        <v>57.1</v>
      </c>
      <c r="G360" t="n">
        <v>65.5</v>
      </c>
      <c r="H360" t="n">
        <v>50</v>
      </c>
      <c r="I360" t="n">
        <v>52</v>
      </c>
      <c r="J360" t="n">
        <v>45.8</v>
      </c>
      <c r="K360" t="n">
        <v>49.5</v>
      </c>
      <c r="L360" t="n">
        <v>52.8</v>
      </c>
      <c r="M360" t="n">
        <v>1147.390014648438</v>
      </c>
      <c r="O360" t="n">
        <v>0.00828227215584396</v>
      </c>
      <c r="P360" t="n">
        <v>0.0132881204842846</v>
      </c>
      <c r="Q360" t="n">
        <v>0.03354294204519781</v>
      </c>
    </row>
    <row r="361">
      <c r="A361" s="93" t="n">
        <v>37347</v>
      </c>
      <c r="B361" t="n">
        <v>58.4</v>
      </c>
      <c r="C361" t="n">
        <v>56.2</v>
      </c>
      <c r="D361" t="n">
        <v>48.5</v>
      </c>
      <c r="E361" t="n">
        <v>53.7</v>
      </c>
      <c r="F361" t="n">
        <v>56.3</v>
      </c>
      <c r="G361" t="n">
        <v>63</v>
      </c>
      <c r="H361" t="n">
        <v>52.5</v>
      </c>
      <c r="I361" t="n">
        <v>51.5</v>
      </c>
      <c r="J361" t="n">
        <v>47.8</v>
      </c>
      <c r="K361" t="n">
        <v>52.5</v>
      </c>
      <c r="L361" t="n">
        <v>53.5</v>
      </c>
      <c r="M361" t="n">
        <v>1076.920043945312</v>
      </c>
      <c r="N361" t="n">
        <v>13477.356</v>
      </c>
      <c r="O361" t="n">
        <v>0.006155024557835768</v>
      </c>
      <c r="P361" t="n">
        <v>0.01322883902243626</v>
      </c>
      <c r="Q361" t="n">
        <v>0.02484833834627009</v>
      </c>
      <c r="R361" t="n">
        <v>0.006155024557835768</v>
      </c>
      <c r="S361" t="n">
        <v>0.02484833834627009</v>
      </c>
      <c r="T361" t="n">
        <v>0.01322883902243626</v>
      </c>
    </row>
    <row r="362">
      <c r="A362" s="93" t="n">
        <v>37377</v>
      </c>
      <c r="B362" t="n">
        <v>57.3</v>
      </c>
      <c r="C362" t="n">
        <v>54</v>
      </c>
      <c r="D362" t="n">
        <v>53.5</v>
      </c>
      <c r="E362" t="n">
        <v>55.2</v>
      </c>
      <c r="F362" t="n">
        <v>60.5</v>
      </c>
      <c r="G362" t="n">
        <v>65</v>
      </c>
      <c r="H362" t="n">
        <v>48.5</v>
      </c>
      <c r="I362" t="n">
        <v>52</v>
      </c>
      <c r="J362" t="n">
        <v>49.2</v>
      </c>
      <c r="K362" t="n">
        <v>61.5</v>
      </c>
      <c r="L362" t="n">
        <v>54.8</v>
      </c>
      <c r="M362" t="n">
        <v>1067.140014648438</v>
      </c>
      <c r="O362" t="n">
        <v>0.006155024557835768</v>
      </c>
      <c r="P362" t="n">
        <v>0.01322883902243626</v>
      </c>
      <c r="Q362" t="n">
        <v>0.02484833834627009</v>
      </c>
    </row>
    <row r="363">
      <c r="A363" s="93" t="n">
        <v>37408</v>
      </c>
      <c r="B363" t="n">
        <v>56.4</v>
      </c>
      <c r="C363" t="n">
        <v>55.2</v>
      </c>
      <c r="D363" t="n">
        <v>49</v>
      </c>
      <c r="E363" t="n">
        <v>53.1</v>
      </c>
      <c r="F363" t="n">
        <v>56.1</v>
      </c>
      <c r="G363" t="n">
        <v>66</v>
      </c>
      <c r="H363" t="n">
        <v>47.5</v>
      </c>
      <c r="I363" t="n">
        <v>53.5</v>
      </c>
      <c r="J363" t="n">
        <v>44</v>
      </c>
      <c r="K363" t="n">
        <v>57.5</v>
      </c>
      <c r="L363" t="n">
        <v>52.5</v>
      </c>
      <c r="M363" t="n">
        <v>989.8200073242188</v>
      </c>
      <c r="O363" t="n">
        <v>0.006155024557835768</v>
      </c>
      <c r="P363" t="n">
        <v>0.01322883902243626</v>
      </c>
      <c r="Q363" t="n">
        <v>0.02484833834627009</v>
      </c>
    </row>
    <row r="364">
      <c r="A364" s="93" t="n">
        <v>37438</v>
      </c>
      <c r="B364" t="n">
        <v>50.7</v>
      </c>
      <c r="C364" t="n">
        <v>52.6</v>
      </c>
      <c r="D364" t="n">
        <v>43.5</v>
      </c>
      <c r="E364" t="n">
        <v>60.5</v>
      </c>
      <c r="F364" t="n">
        <v>52.1</v>
      </c>
      <c r="G364" t="n">
        <v>66</v>
      </c>
      <c r="H364" t="n">
        <v>52</v>
      </c>
      <c r="I364" t="n">
        <v>52.5</v>
      </c>
      <c r="J364" t="n">
        <v>46.1</v>
      </c>
      <c r="K364" t="n">
        <v>59.5</v>
      </c>
      <c r="L364" t="n">
        <v>50.4</v>
      </c>
      <c r="M364" t="n">
        <v>911.6199951171875</v>
      </c>
      <c r="N364" t="n">
        <v>13531.741</v>
      </c>
      <c r="O364" t="n">
        <v>0.004035287039980262</v>
      </c>
      <c r="P364" t="n">
        <v>0.02140669989799325</v>
      </c>
      <c r="Q364" t="n">
        <v>0.01623911250910082</v>
      </c>
      <c r="R364" t="n">
        <v>0.004035287039980262</v>
      </c>
      <c r="S364" t="n">
        <v>0.01623911250910082</v>
      </c>
      <c r="T364" t="n">
        <v>0.02140669989799325</v>
      </c>
    </row>
    <row r="365">
      <c r="A365" s="93" t="n">
        <v>37469</v>
      </c>
      <c r="B365" t="n">
        <v>51.6</v>
      </c>
      <c r="C365" t="n">
        <v>48.3</v>
      </c>
      <c r="D365" t="n">
        <v>48</v>
      </c>
      <c r="E365" t="n">
        <v>55.1</v>
      </c>
      <c r="F365" t="n">
        <v>51.9</v>
      </c>
      <c r="G365" t="n">
        <v>62</v>
      </c>
      <c r="H365" t="n">
        <v>46</v>
      </c>
      <c r="I365" t="n">
        <v>53</v>
      </c>
      <c r="J365" t="n">
        <v>47.2</v>
      </c>
      <c r="K365" t="n">
        <v>46</v>
      </c>
      <c r="L365" t="n">
        <v>50.9</v>
      </c>
      <c r="M365" t="n">
        <v>916.0700073242188</v>
      </c>
      <c r="O365" t="n">
        <v>0.004035287039980262</v>
      </c>
      <c r="P365" t="n">
        <v>0.02140669989799325</v>
      </c>
      <c r="Q365" t="n">
        <v>0.01623911250910082</v>
      </c>
    </row>
    <row r="366">
      <c r="A366" s="93" t="n">
        <v>37500</v>
      </c>
      <c r="B366" t="n">
        <v>54.8</v>
      </c>
      <c r="C366" t="n">
        <v>44.7</v>
      </c>
      <c r="D366" t="n">
        <v>51</v>
      </c>
      <c r="E366" t="n">
        <v>53.4</v>
      </c>
      <c r="F366" t="n">
        <v>54.9</v>
      </c>
      <c r="G366" t="n">
        <v>66</v>
      </c>
      <c r="H366" t="n">
        <v>44.5</v>
      </c>
      <c r="I366" t="n">
        <v>52.5</v>
      </c>
      <c r="J366" t="n">
        <v>47.1</v>
      </c>
      <c r="K366" t="n">
        <v>57.5</v>
      </c>
      <c r="L366" t="n">
        <v>52.3</v>
      </c>
      <c r="M366" t="n">
        <v>815.280029296875</v>
      </c>
      <c r="O366" t="n">
        <v>0.004035287039980262</v>
      </c>
      <c r="P366" t="n">
        <v>0.02140669989799325</v>
      </c>
      <c r="Q366" t="n">
        <v>0.01623911250910082</v>
      </c>
    </row>
    <row r="367">
      <c r="A367" s="93" t="n">
        <v>37530</v>
      </c>
      <c r="B367" t="n">
        <v>52.3</v>
      </c>
      <c r="C367" t="n">
        <v>54.9</v>
      </c>
      <c r="D367" t="n">
        <v>52</v>
      </c>
      <c r="E367" t="n">
        <v>56.1</v>
      </c>
      <c r="F367" t="n">
        <v>53.1</v>
      </c>
      <c r="G367" t="n">
        <v>64.5</v>
      </c>
      <c r="H367" t="n">
        <v>44</v>
      </c>
      <c r="I367" t="n">
        <v>53.5</v>
      </c>
      <c r="J367" t="n">
        <v>46.6</v>
      </c>
      <c r="K367" t="n">
        <v>49</v>
      </c>
      <c r="L367" t="n">
        <v>51.4</v>
      </c>
      <c r="M367" t="n">
        <v>885.760009765625</v>
      </c>
      <c r="N367" t="n">
        <v>13549.421</v>
      </c>
      <c r="O367" t="n">
        <v>0.001306557670590968</v>
      </c>
      <c r="P367" t="n">
        <v>0.01991286184648556</v>
      </c>
      <c r="Q367" t="n">
        <v>0.00523648216461936</v>
      </c>
      <c r="R367" t="n">
        <v>0.001306557670590968</v>
      </c>
      <c r="S367" t="n">
        <v>0.00523648216461936</v>
      </c>
      <c r="T367" t="n">
        <v>0.01991286184648556</v>
      </c>
    </row>
    <row r="368">
      <c r="A368" s="93" t="n">
        <v>37561</v>
      </c>
      <c r="B368" t="n">
        <v>56.4</v>
      </c>
      <c r="C368" t="n">
        <v>55.1</v>
      </c>
      <c r="D368" t="n">
        <v>50.5</v>
      </c>
      <c r="E368" t="n">
        <v>57.6</v>
      </c>
      <c r="F368" t="n">
        <v>56.8</v>
      </c>
      <c r="G368" t="n">
        <v>61</v>
      </c>
      <c r="H368" t="n">
        <v>44</v>
      </c>
      <c r="I368" t="n">
        <v>52.5</v>
      </c>
      <c r="J368" t="n">
        <v>46</v>
      </c>
      <c r="K368" t="n">
        <v>58.5</v>
      </c>
      <c r="L368" t="n">
        <v>52.9</v>
      </c>
      <c r="M368" t="n">
        <v>936.3099975585938</v>
      </c>
      <c r="O368" t="n">
        <v>0.001306557670590968</v>
      </c>
      <c r="P368" t="n">
        <v>0.01991286184648556</v>
      </c>
      <c r="Q368" t="n">
        <v>0.00523648216461936</v>
      </c>
    </row>
    <row r="369">
      <c r="A369" s="93" t="n">
        <v>37591</v>
      </c>
      <c r="B369" t="n">
        <v>54.2</v>
      </c>
      <c r="C369" t="n">
        <v>51.8</v>
      </c>
      <c r="D369" t="n">
        <v>51.5</v>
      </c>
      <c r="E369" t="n">
        <v>56.5</v>
      </c>
      <c r="F369" t="n">
        <v>55.5</v>
      </c>
      <c r="G369" t="n">
        <v>63</v>
      </c>
      <c r="H369" t="n">
        <v>45.5</v>
      </c>
      <c r="I369" t="n">
        <v>52.5</v>
      </c>
      <c r="J369" t="n">
        <v>47</v>
      </c>
      <c r="K369" t="n">
        <v>54</v>
      </c>
      <c r="L369" t="n">
        <v>52.3</v>
      </c>
      <c r="M369" t="n">
        <v>879.8200073242188</v>
      </c>
      <c r="O369" t="n">
        <v>0.001306557670590968</v>
      </c>
      <c r="P369" t="n">
        <v>0.01991286184648556</v>
      </c>
      <c r="Q369" t="n">
        <v>0.00523648216461936</v>
      </c>
    </row>
    <row r="370">
      <c r="A370" s="93" t="n">
        <v>37622</v>
      </c>
      <c r="B370" t="n">
        <v>54.4</v>
      </c>
      <c r="C370" t="n">
        <v>56.5</v>
      </c>
      <c r="D370" t="n">
        <v>48</v>
      </c>
      <c r="E370" t="n">
        <v>58</v>
      </c>
      <c r="F370" t="n">
        <v>56.2</v>
      </c>
      <c r="G370" t="n">
        <v>64.5</v>
      </c>
      <c r="H370" t="n">
        <v>46.5</v>
      </c>
      <c r="I370" t="n">
        <v>52</v>
      </c>
      <c r="J370" t="n">
        <v>50.5</v>
      </c>
      <c r="K370" t="n">
        <v>53</v>
      </c>
      <c r="L370" t="n">
        <v>53.3</v>
      </c>
      <c r="M370" t="n">
        <v>855.7000122070312</v>
      </c>
      <c r="N370" t="n">
        <v>13619.434</v>
      </c>
      <c r="O370" t="n">
        <v>0.005167231869169835</v>
      </c>
      <c r="P370" t="n">
        <v>0.01676188940425874</v>
      </c>
      <c r="Q370" t="n">
        <v>0.02082968176698108</v>
      </c>
      <c r="R370" t="n">
        <v>0.005167231869169835</v>
      </c>
      <c r="S370" t="n">
        <v>0.02082968176698108</v>
      </c>
      <c r="T370" t="n">
        <v>0.01676188940425874</v>
      </c>
    </row>
    <row r="371">
      <c r="A371" s="93" t="n">
        <v>37653</v>
      </c>
      <c r="B371" t="n">
        <v>53.9</v>
      </c>
      <c r="C371" t="n">
        <v>51.5</v>
      </c>
      <c r="D371" t="n">
        <v>50</v>
      </c>
      <c r="E371" t="n">
        <v>60.5</v>
      </c>
      <c r="F371" t="n">
        <v>55.6</v>
      </c>
      <c r="G371" t="n">
        <v>66.5</v>
      </c>
      <c r="H371" t="n">
        <v>48.5</v>
      </c>
      <c r="I371" t="n">
        <v>52.5</v>
      </c>
      <c r="J371" t="n">
        <v>48.5</v>
      </c>
      <c r="K371" t="n">
        <v>58.5</v>
      </c>
      <c r="L371" t="n">
        <v>52.6</v>
      </c>
      <c r="M371" t="n">
        <v>841.1500244140625</v>
      </c>
      <c r="O371" t="n">
        <v>0.005167231869169835</v>
      </c>
      <c r="P371" t="n">
        <v>0.01676188940425874</v>
      </c>
      <c r="Q371" t="n">
        <v>0.02082968176698108</v>
      </c>
    </row>
    <row r="372">
      <c r="A372" s="93" t="n">
        <v>37681</v>
      </c>
      <c r="B372" t="n">
        <v>49.9</v>
      </c>
      <c r="C372" t="n">
        <v>55</v>
      </c>
      <c r="D372" t="n">
        <v>47.5</v>
      </c>
      <c r="E372" t="n">
        <v>59.4</v>
      </c>
      <c r="F372" t="n">
        <v>46.3</v>
      </c>
      <c r="G372" t="n">
        <v>66</v>
      </c>
      <c r="H372" t="n">
        <v>49.5</v>
      </c>
      <c r="I372" t="n">
        <v>52</v>
      </c>
      <c r="J372" t="n">
        <v>48.1</v>
      </c>
      <c r="K372" t="n">
        <v>48.5</v>
      </c>
      <c r="L372" t="n">
        <v>49.1</v>
      </c>
      <c r="M372" t="n">
        <v>848.1799926757812</v>
      </c>
      <c r="O372" t="n">
        <v>0.005167231869169835</v>
      </c>
      <c r="P372" t="n">
        <v>0.01676188940425874</v>
      </c>
      <c r="Q372" t="n">
        <v>0.02082968176698108</v>
      </c>
    </row>
    <row r="373">
      <c r="A373" s="93" t="n">
        <v>37712</v>
      </c>
      <c r="B373" t="n">
        <v>50.4</v>
      </c>
      <c r="C373" t="n">
        <v>50</v>
      </c>
      <c r="D373" t="n">
        <v>46</v>
      </c>
      <c r="E373" t="n">
        <v>55.7</v>
      </c>
      <c r="F373" t="n">
        <v>50.7</v>
      </c>
      <c r="G373" t="n">
        <v>62.5</v>
      </c>
      <c r="H373" t="n">
        <v>51</v>
      </c>
      <c r="I373" t="n">
        <v>50.5</v>
      </c>
      <c r="J373" t="n">
        <v>48.7</v>
      </c>
      <c r="K373" t="n">
        <v>52.5</v>
      </c>
      <c r="L373" t="n">
        <v>50.1</v>
      </c>
      <c r="M373" t="n">
        <v>916.9199829101562</v>
      </c>
      <c r="N373" t="n">
        <v>13741.107</v>
      </c>
      <c r="O373" t="n">
        <v>0.008933778011626672</v>
      </c>
      <c r="P373" t="n">
        <v>0.01956993641779591</v>
      </c>
      <c r="Q373" t="n">
        <v>0.03621684485857446</v>
      </c>
      <c r="R373" t="n">
        <v>0.008933778011626672</v>
      </c>
      <c r="S373" t="n">
        <v>0.03621684485857446</v>
      </c>
      <c r="T373" t="n">
        <v>0.01956993641779591</v>
      </c>
    </row>
    <row r="374">
      <c r="A374" s="93" t="n">
        <v>37742</v>
      </c>
      <c r="B374" t="n">
        <v>55.9</v>
      </c>
      <c r="C374" t="n">
        <v>58.5</v>
      </c>
      <c r="D374" t="n">
        <v>51</v>
      </c>
      <c r="E374" t="n">
        <v>50</v>
      </c>
      <c r="F374" t="n">
        <v>54.6</v>
      </c>
      <c r="G374" t="n">
        <v>63</v>
      </c>
      <c r="H374" t="n">
        <v>52.5</v>
      </c>
      <c r="I374" t="n">
        <v>52</v>
      </c>
      <c r="J374" t="n">
        <v>48.5</v>
      </c>
      <c r="K374" t="n">
        <v>49</v>
      </c>
      <c r="L374" t="n">
        <v>52.8</v>
      </c>
      <c r="M374" t="n">
        <v>963.5900268554688</v>
      </c>
      <c r="O374" t="n">
        <v>0.008933778011626672</v>
      </c>
      <c r="P374" t="n">
        <v>0.01956993641779591</v>
      </c>
      <c r="Q374" t="n">
        <v>0.03621684485857446</v>
      </c>
    </row>
    <row r="375">
      <c r="A375" s="93" t="n">
        <v>37773</v>
      </c>
      <c r="B375" t="n">
        <v>57.1</v>
      </c>
      <c r="C375" t="n">
        <v>50.5</v>
      </c>
      <c r="D375" t="n">
        <v>51.5</v>
      </c>
      <c r="E375" t="n">
        <v>52.3</v>
      </c>
      <c r="F375" t="n">
        <v>59.2</v>
      </c>
      <c r="G375" t="n">
        <v>62</v>
      </c>
      <c r="H375" t="n">
        <v>47</v>
      </c>
      <c r="I375" t="n">
        <v>51.5</v>
      </c>
      <c r="J375" t="n">
        <v>49.3</v>
      </c>
      <c r="K375" t="n">
        <v>49.5</v>
      </c>
      <c r="L375" t="n">
        <v>54.3</v>
      </c>
      <c r="M375" t="n">
        <v>974.5</v>
      </c>
      <c r="O375" t="n">
        <v>0.008933778011626672</v>
      </c>
      <c r="P375" t="n">
        <v>0.01956993641779591</v>
      </c>
      <c r="Q375" t="n">
        <v>0.03621684485857446</v>
      </c>
    </row>
    <row r="376">
      <c r="A376" s="93" t="n">
        <v>37803</v>
      </c>
      <c r="B376" t="n">
        <v>62.3</v>
      </c>
      <c r="C376" t="n">
        <v>54</v>
      </c>
      <c r="D376" t="n">
        <v>54.5</v>
      </c>
      <c r="E376" t="n">
        <v>51.4</v>
      </c>
      <c r="F376" t="n">
        <v>62.7</v>
      </c>
      <c r="G376" t="n">
        <v>60</v>
      </c>
      <c r="H376" t="n">
        <v>49.5</v>
      </c>
      <c r="I376" t="n">
        <v>53.5</v>
      </c>
      <c r="J376" t="n">
        <v>50.5</v>
      </c>
      <c r="K376" t="n">
        <v>47.5</v>
      </c>
      <c r="L376" t="n">
        <v>57.3</v>
      </c>
      <c r="M376" t="n">
        <v>990.3099975585938</v>
      </c>
      <c r="N376" t="n">
        <v>13970.157</v>
      </c>
      <c r="O376" t="n">
        <v>0.01666896269711016</v>
      </c>
      <c r="P376" t="n">
        <v>0.03239908301526014</v>
      </c>
      <c r="Q376" t="n">
        <v>0.06836158006885595</v>
      </c>
      <c r="R376" t="n">
        <v>0.01666896269711016</v>
      </c>
      <c r="S376" t="n">
        <v>0.06836158006885595</v>
      </c>
      <c r="T376" t="n">
        <v>0.03239908301526014</v>
      </c>
    </row>
    <row r="377">
      <c r="A377" s="93" t="n">
        <v>37834</v>
      </c>
      <c r="B377" t="n">
        <v>66.90000000000001</v>
      </c>
      <c r="C377" t="n">
        <v>60</v>
      </c>
      <c r="D377" t="n">
        <v>51.5</v>
      </c>
      <c r="E377" t="n">
        <v>56.1</v>
      </c>
      <c r="F377" t="n">
        <v>65.09999999999999</v>
      </c>
      <c r="G377" t="n">
        <v>62</v>
      </c>
      <c r="H377" t="n">
        <v>49</v>
      </c>
      <c r="I377" t="n">
        <v>52.5</v>
      </c>
      <c r="J377" t="n">
        <v>51.7</v>
      </c>
      <c r="K377" t="n">
        <v>58.5</v>
      </c>
      <c r="L377" t="n">
        <v>59.1</v>
      </c>
      <c r="M377" t="n">
        <v>1008.010009765625</v>
      </c>
      <c r="O377" t="n">
        <v>0.01666896269711016</v>
      </c>
      <c r="P377" t="n">
        <v>0.03239908301526014</v>
      </c>
      <c r="Q377" t="n">
        <v>0.06836158006885595</v>
      </c>
    </row>
    <row r="378">
      <c r="A378" s="93" t="n">
        <v>37865</v>
      </c>
      <c r="B378" t="n">
        <v>61.4</v>
      </c>
      <c r="C378" t="n">
        <v>55</v>
      </c>
      <c r="D378" t="n">
        <v>57</v>
      </c>
      <c r="E378" t="n">
        <v>59.5</v>
      </c>
      <c r="F378" t="n">
        <v>63.8</v>
      </c>
      <c r="G378" t="n">
        <v>60.5</v>
      </c>
      <c r="H378" t="n">
        <v>47.5</v>
      </c>
      <c r="I378" t="n">
        <v>55</v>
      </c>
      <c r="J378" t="n">
        <v>50.1</v>
      </c>
      <c r="K378" t="n">
        <v>56</v>
      </c>
      <c r="L378" t="n">
        <v>57.6</v>
      </c>
      <c r="M378" t="n">
        <v>995.969970703125</v>
      </c>
      <c r="O378" t="n">
        <v>0.01666896269711016</v>
      </c>
      <c r="P378" t="n">
        <v>0.03239908301526014</v>
      </c>
      <c r="Q378" t="n">
        <v>0.06836158006885595</v>
      </c>
    </row>
    <row r="379">
      <c r="A379" s="93" t="n">
        <v>37895</v>
      </c>
      <c r="B379" t="n">
        <v>64.2</v>
      </c>
      <c r="C379" t="n">
        <v>56</v>
      </c>
      <c r="D379" t="n">
        <v>54</v>
      </c>
      <c r="E379" t="n">
        <v>57.2</v>
      </c>
      <c r="F379" t="n">
        <v>64.40000000000001</v>
      </c>
      <c r="G379" t="n">
        <v>60</v>
      </c>
      <c r="H379" t="n">
        <v>49</v>
      </c>
      <c r="I379" t="n">
        <v>53</v>
      </c>
      <c r="J379" t="n">
        <v>53</v>
      </c>
      <c r="K379" t="n">
        <v>58</v>
      </c>
      <c r="L379" t="n">
        <v>58.7</v>
      </c>
      <c r="M379" t="n">
        <v>1050.7099609375</v>
      </c>
      <c r="N379" t="n">
        <v>14131.379</v>
      </c>
      <c r="O379" t="n">
        <v>0.01154045727617818</v>
      </c>
      <c r="P379" t="n">
        <v>0.04295076520243932</v>
      </c>
      <c r="Q379" t="n">
        <v>0.0469670876988979</v>
      </c>
      <c r="R379" t="n">
        <v>0.01154045727617818</v>
      </c>
      <c r="S379" t="n">
        <v>0.0469670876988979</v>
      </c>
      <c r="T379" t="n">
        <v>0.04295076520243932</v>
      </c>
    </row>
    <row r="380">
      <c r="A380" s="93" t="n">
        <v>37926</v>
      </c>
      <c r="B380" t="n">
        <v>61.3</v>
      </c>
      <c r="C380" t="n">
        <v>57.5</v>
      </c>
      <c r="D380" t="n">
        <v>52.5</v>
      </c>
      <c r="E380" t="n">
        <v>58.5</v>
      </c>
      <c r="F380" t="n">
        <v>61.1</v>
      </c>
      <c r="G380" t="n">
        <v>62</v>
      </c>
      <c r="H380" t="n">
        <v>51</v>
      </c>
      <c r="I380" t="n">
        <v>53</v>
      </c>
      <c r="J380" t="n">
        <v>54.4</v>
      </c>
      <c r="K380" t="n">
        <v>54.5</v>
      </c>
      <c r="L380" t="n">
        <v>57.5</v>
      </c>
      <c r="M380" t="n">
        <v>1058.199951171875</v>
      </c>
      <c r="O380" t="n">
        <v>0.01154045727617818</v>
      </c>
      <c r="P380" t="n">
        <v>0.04295076520243932</v>
      </c>
      <c r="Q380" t="n">
        <v>0.0469670876988979</v>
      </c>
    </row>
    <row r="381">
      <c r="A381" s="93" t="n">
        <v>37956</v>
      </c>
      <c r="B381" t="n">
        <v>61.2</v>
      </c>
      <c r="C381" t="n">
        <v>57</v>
      </c>
      <c r="D381" t="n">
        <v>55.5</v>
      </c>
      <c r="E381" t="n">
        <v>61.1</v>
      </c>
      <c r="F381" t="n">
        <v>60</v>
      </c>
      <c r="G381" t="n">
        <v>62</v>
      </c>
      <c r="H381" t="n">
        <v>51.5</v>
      </c>
      <c r="I381" t="n">
        <v>52</v>
      </c>
      <c r="J381" t="n">
        <v>54</v>
      </c>
      <c r="K381" t="n">
        <v>57.5</v>
      </c>
      <c r="L381" t="n">
        <v>56.8</v>
      </c>
      <c r="M381" t="n">
        <v>1111.920043945312</v>
      </c>
      <c r="O381" t="n">
        <v>0.01154045727617818</v>
      </c>
      <c r="P381" t="n">
        <v>0.04295076520243932</v>
      </c>
      <c r="Q381" t="n">
        <v>0.0469670876988979</v>
      </c>
    </row>
    <row r="382">
      <c r="A382" s="93" t="n">
        <v>37987</v>
      </c>
      <c r="B382" t="n">
        <v>65.40000000000001</v>
      </c>
      <c r="C382" t="n">
        <v>54.5</v>
      </c>
      <c r="D382" t="n">
        <v>53.5</v>
      </c>
      <c r="E382" t="n">
        <v>62.2</v>
      </c>
      <c r="F382" t="n">
        <v>67.7</v>
      </c>
      <c r="G382" t="n">
        <v>59</v>
      </c>
      <c r="H382" t="n">
        <v>49.5</v>
      </c>
      <c r="I382" t="n">
        <v>56.5</v>
      </c>
      <c r="J382" t="n">
        <v>55.143160127253</v>
      </c>
      <c r="K382" t="n">
        <v>51</v>
      </c>
      <c r="L382" t="n">
        <v>61.2</v>
      </c>
      <c r="M382" t="n">
        <v>1131.130004882812</v>
      </c>
      <c r="N382" t="n">
        <v>14212.34</v>
      </c>
      <c r="O382" t="n">
        <v>0.005729164860697553</v>
      </c>
      <c r="P382" t="n">
        <v>0.04353382086215924</v>
      </c>
      <c r="Q382" t="n">
        <v>0.02311435270124318</v>
      </c>
      <c r="R382" t="n">
        <v>0.005729164860697553</v>
      </c>
      <c r="S382" t="n">
        <v>0.02311435270124318</v>
      </c>
      <c r="T382" t="n">
        <v>0.04353382086215924</v>
      </c>
    </row>
    <row r="383">
      <c r="A383" s="93" t="n">
        <v>38018</v>
      </c>
      <c r="B383" t="n">
        <v>61.2</v>
      </c>
      <c r="C383" t="n">
        <v>58.5</v>
      </c>
      <c r="D383" t="n">
        <v>53</v>
      </c>
      <c r="E383" t="n">
        <v>59.5</v>
      </c>
      <c r="F383" t="n">
        <v>62.5</v>
      </c>
      <c r="G383" t="n">
        <v>58</v>
      </c>
      <c r="H383" t="n">
        <v>49</v>
      </c>
      <c r="I383" t="n">
        <v>55.5</v>
      </c>
      <c r="J383" t="n">
        <v>52.904564315353</v>
      </c>
      <c r="K383" t="n">
        <v>55.5</v>
      </c>
      <c r="L383" t="n">
        <v>58</v>
      </c>
      <c r="M383" t="n">
        <v>1144.93994140625</v>
      </c>
      <c r="O383" t="n">
        <v>0.005729164860697553</v>
      </c>
      <c r="P383" t="n">
        <v>0.04353382086215924</v>
      </c>
      <c r="Q383" t="n">
        <v>0.02311435270124318</v>
      </c>
    </row>
    <row r="384">
      <c r="A384" s="93" t="n">
        <v>38047</v>
      </c>
      <c r="B384" t="n">
        <v>62.1</v>
      </c>
      <c r="C384" t="n">
        <v>60.5</v>
      </c>
      <c r="D384" t="n">
        <v>52.5</v>
      </c>
      <c r="E384" t="n">
        <v>65</v>
      </c>
      <c r="F384" t="n">
        <v>62.3</v>
      </c>
      <c r="G384" t="n">
        <v>60.5</v>
      </c>
      <c r="H384" t="n">
        <v>51.5</v>
      </c>
      <c r="I384" t="n">
        <v>55</v>
      </c>
      <c r="J384" t="n">
        <v>53.800592300099</v>
      </c>
      <c r="K384" t="n">
        <v>51.5</v>
      </c>
      <c r="L384" t="n">
        <v>58.3</v>
      </c>
      <c r="M384" t="n">
        <v>1126.2099609375</v>
      </c>
      <c r="O384" t="n">
        <v>0.005729164860697553</v>
      </c>
      <c r="P384" t="n">
        <v>0.04353382086215924</v>
      </c>
      <c r="Q384" t="n">
        <v>0.02311435270124318</v>
      </c>
    </row>
    <row r="385">
      <c r="A385" s="93" t="n">
        <v>38078</v>
      </c>
      <c r="B385" t="n">
        <v>61.6</v>
      </c>
      <c r="C385" t="n">
        <v>60.5</v>
      </c>
      <c r="D385" t="n">
        <v>53.5</v>
      </c>
      <c r="E385" t="n">
        <v>68.59999999999999</v>
      </c>
      <c r="F385" t="n">
        <v>64</v>
      </c>
      <c r="G385" t="n">
        <v>58</v>
      </c>
      <c r="H385" t="n">
        <v>56.5</v>
      </c>
      <c r="I385" t="n">
        <v>58</v>
      </c>
      <c r="J385" t="n">
        <v>54.6875</v>
      </c>
      <c r="K385" t="n">
        <v>62</v>
      </c>
      <c r="L385" t="n">
        <v>59.6</v>
      </c>
      <c r="M385" t="n">
        <v>1107.300048828125</v>
      </c>
      <c r="N385" t="n">
        <v>14323.017</v>
      </c>
      <c r="O385" t="n">
        <v>0.00778738758008883</v>
      </c>
      <c r="P385" t="n">
        <v>0.04234811649454442</v>
      </c>
      <c r="Q385" t="n">
        <v>0.03151530344471909</v>
      </c>
      <c r="R385" t="n">
        <v>0.00778738758008883</v>
      </c>
      <c r="S385" t="n">
        <v>0.03151530344471909</v>
      </c>
      <c r="T385" t="n">
        <v>0.04234811649454442</v>
      </c>
    </row>
    <row r="386">
      <c r="A386" s="93" t="n">
        <v>38108</v>
      </c>
      <c r="B386" t="n">
        <v>60.7</v>
      </c>
      <c r="C386" t="n">
        <v>59.5</v>
      </c>
      <c r="D386" t="n">
        <v>56.5</v>
      </c>
      <c r="E386" t="n">
        <v>71</v>
      </c>
      <c r="F386" t="n">
        <v>62.6</v>
      </c>
      <c r="G386" t="n">
        <v>60</v>
      </c>
      <c r="H386" t="n">
        <v>54</v>
      </c>
      <c r="I386" t="n">
        <v>56</v>
      </c>
      <c r="J386" t="n">
        <v>54.545454545455</v>
      </c>
      <c r="K386" t="n">
        <v>52</v>
      </c>
      <c r="L386" t="n">
        <v>58.5</v>
      </c>
      <c r="M386" t="n">
        <v>1120.680053710938</v>
      </c>
      <c r="O386" t="n">
        <v>0.00778738758008883</v>
      </c>
      <c r="P386" t="n">
        <v>0.04234811649454442</v>
      </c>
      <c r="Q386" t="n">
        <v>0.03151530344471909</v>
      </c>
    </row>
    <row r="387">
      <c r="A387" s="93" t="n">
        <v>38139</v>
      </c>
      <c r="B387" t="n">
        <v>62.1</v>
      </c>
      <c r="C387" t="n">
        <v>56.5</v>
      </c>
      <c r="D387" t="n">
        <v>55.5</v>
      </c>
      <c r="E387" t="n">
        <v>74.2</v>
      </c>
      <c r="F387" t="n">
        <v>59.2</v>
      </c>
      <c r="G387" t="n">
        <v>60.5</v>
      </c>
      <c r="H387" t="n">
        <v>57.5</v>
      </c>
      <c r="I387" t="n">
        <v>57.5</v>
      </c>
      <c r="J387" t="n">
        <v>55.555555555556</v>
      </c>
      <c r="K387" t="n">
        <v>59.5</v>
      </c>
      <c r="L387" t="n">
        <v>58.6</v>
      </c>
      <c r="M387" t="n">
        <v>1140.839965820312</v>
      </c>
      <c r="O387" t="n">
        <v>0.00778738758008883</v>
      </c>
      <c r="P387" t="n">
        <v>0.04234811649454442</v>
      </c>
      <c r="Q387" t="n">
        <v>0.03151530344471909</v>
      </c>
    </row>
    <row r="388">
      <c r="A388" s="93" t="n">
        <v>38169</v>
      </c>
      <c r="B388" t="n">
        <v>63.2</v>
      </c>
      <c r="C388" t="n">
        <v>60.5</v>
      </c>
      <c r="D388" t="n">
        <v>55</v>
      </c>
      <c r="E388" t="n">
        <v>71.90000000000001</v>
      </c>
      <c r="F388" t="n">
        <v>63.2</v>
      </c>
      <c r="G388" t="n">
        <v>64</v>
      </c>
      <c r="H388" t="n">
        <v>54</v>
      </c>
      <c r="I388" t="n">
        <v>58</v>
      </c>
      <c r="J388" t="n">
        <v>49.665711556829</v>
      </c>
      <c r="K388" t="n">
        <v>55.5</v>
      </c>
      <c r="L388" t="n">
        <v>58.5</v>
      </c>
      <c r="M388" t="n">
        <v>1101.719970703125</v>
      </c>
      <c r="N388" t="n">
        <v>14457.832</v>
      </c>
      <c r="O388" t="n">
        <v>0.009412472246594451</v>
      </c>
      <c r="P388" t="n">
        <v>0.03490834068650776</v>
      </c>
      <c r="Q388" t="n">
        <v>0.03818480021627169</v>
      </c>
      <c r="R388" t="n">
        <v>0.009412472246594451</v>
      </c>
      <c r="S388" t="n">
        <v>0.03818480021627169</v>
      </c>
      <c r="T388" t="n">
        <v>0.03490834068650776</v>
      </c>
    </row>
    <row r="389">
      <c r="A389" s="93" t="n">
        <v>38200</v>
      </c>
      <c r="B389" t="n">
        <v>59</v>
      </c>
      <c r="C389" t="n">
        <v>63.5</v>
      </c>
      <c r="D389" t="n">
        <v>53</v>
      </c>
      <c r="E389" t="n">
        <v>70.90000000000001</v>
      </c>
      <c r="F389" t="n">
        <v>59.7</v>
      </c>
      <c r="G389" t="n">
        <v>62.5</v>
      </c>
      <c r="H389" t="n">
        <v>53</v>
      </c>
      <c r="I389" t="n">
        <v>57</v>
      </c>
      <c r="J389" t="n">
        <v>53.516819571865</v>
      </c>
      <c r="K389" t="n">
        <v>55</v>
      </c>
      <c r="L389" t="n">
        <v>57.3</v>
      </c>
      <c r="M389" t="n">
        <v>1104.239990234375</v>
      </c>
      <c r="O389" t="n">
        <v>0.009412472246594451</v>
      </c>
      <c r="P389" t="n">
        <v>0.03490834068650776</v>
      </c>
      <c r="Q389" t="n">
        <v>0.03818480021627169</v>
      </c>
    </row>
    <row r="390">
      <c r="A390" s="93" t="n">
        <v>38231</v>
      </c>
      <c r="B390" t="n">
        <v>60.6</v>
      </c>
      <c r="C390" t="n">
        <v>56</v>
      </c>
      <c r="D390" t="n">
        <v>52.5</v>
      </c>
      <c r="E390" t="n">
        <v>67</v>
      </c>
      <c r="F390" t="n">
        <v>60</v>
      </c>
      <c r="G390" t="n">
        <v>61.5</v>
      </c>
      <c r="H390" t="n">
        <v>51.5</v>
      </c>
      <c r="I390" t="n">
        <v>55.5</v>
      </c>
      <c r="J390" t="n">
        <v>55.325749741468</v>
      </c>
      <c r="K390" t="n">
        <v>55.5</v>
      </c>
      <c r="L390" t="n">
        <v>57.9</v>
      </c>
      <c r="M390" t="n">
        <v>1114.579956054688</v>
      </c>
      <c r="O390" t="n">
        <v>0.009412472246594451</v>
      </c>
      <c r="P390" t="n">
        <v>0.03490834068650776</v>
      </c>
      <c r="Q390" t="n">
        <v>0.03818480021627169</v>
      </c>
    </row>
    <row r="391">
      <c r="A391" s="93" t="n">
        <v>38261</v>
      </c>
      <c r="B391" t="n">
        <v>61.7</v>
      </c>
      <c r="C391" t="n">
        <v>57.5</v>
      </c>
      <c r="D391" t="n">
        <v>52.5</v>
      </c>
      <c r="E391" t="n">
        <v>72.8</v>
      </c>
      <c r="F391" t="n">
        <v>61</v>
      </c>
      <c r="G391" t="n">
        <v>60.5</v>
      </c>
      <c r="H391" t="n">
        <v>50</v>
      </c>
      <c r="I391" t="n">
        <v>56</v>
      </c>
      <c r="J391" t="n">
        <v>56.476683937824</v>
      </c>
      <c r="K391" t="n">
        <v>55</v>
      </c>
      <c r="L391" t="n">
        <v>58.8</v>
      </c>
      <c r="M391" t="n">
        <v>1130.199951171875</v>
      </c>
      <c r="N391" t="n">
        <v>14605.595</v>
      </c>
      <c r="O391" t="n">
        <v>0.01022027368972049</v>
      </c>
      <c r="P391" t="n">
        <v>0.03355765916404892</v>
      </c>
      <c r="Q391" t="n">
        <v>0.04151209982891446</v>
      </c>
      <c r="R391" t="n">
        <v>0.01022027368972049</v>
      </c>
      <c r="S391" t="n">
        <v>0.04151209982891446</v>
      </c>
      <c r="T391" t="n">
        <v>0.03355765916404892</v>
      </c>
    </row>
    <row r="392">
      <c r="A392" s="93" t="n">
        <v>38292</v>
      </c>
      <c r="B392" t="n">
        <v>61.1</v>
      </c>
      <c r="C392" t="n">
        <v>62</v>
      </c>
      <c r="D392" t="n">
        <v>54</v>
      </c>
      <c r="E392" t="n">
        <v>70.59999999999999</v>
      </c>
      <c r="F392" t="n">
        <v>62.8</v>
      </c>
      <c r="G392" t="n">
        <v>61.5</v>
      </c>
      <c r="H392" t="n">
        <v>52.5</v>
      </c>
      <c r="I392" t="n">
        <v>55</v>
      </c>
      <c r="J392" t="n">
        <v>54.835493519442</v>
      </c>
      <c r="K392" t="n">
        <v>53.5</v>
      </c>
      <c r="L392" t="n">
        <v>58.4</v>
      </c>
      <c r="M392" t="n">
        <v>1173.819946289062</v>
      </c>
      <c r="O392" t="n">
        <v>0.01022027368972049</v>
      </c>
      <c r="P392" t="n">
        <v>0.03355765916404892</v>
      </c>
      <c r="Q392" t="n">
        <v>0.04151209982891446</v>
      </c>
    </row>
    <row r="393">
      <c r="A393" s="93" t="n">
        <v>38322</v>
      </c>
      <c r="B393" t="n">
        <v>63.2</v>
      </c>
      <c r="C393" t="n">
        <v>61</v>
      </c>
      <c r="D393" t="n">
        <v>56.5</v>
      </c>
      <c r="E393" t="n">
        <v>71.3</v>
      </c>
      <c r="F393" t="n">
        <v>65</v>
      </c>
      <c r="G393" t="n">
        <v>64</v>
      </c>
      <c r="H393" t="n">
        <v>56</v>
      </c>
      <c r="I393" t="n">
        <v>55.5</v>
      </c>
      <c r="J393" t="n">
        <v>54.711246200608</v>
      </c>
      <c r="K393" t="n">
        <v>55.5</v>
      </c>
      <c r="L393" t="n">
        <v>59.6</v>
      </c>
      <c r="M393" t="n">
        <v>1211.920043945312</v>
      </c>
      <c r="O393" t="n">
        <v>0.01022027368972049</v>
      </c>
      <c r="P393" t="n">
        <v>0.03355765916404892</v>
      </c>
      <c r="Q393" t="n">
        <v>0.04151209982891446</v>
      </c>
    </row>
    <row r="394">
      <c r="A394" s="93" t="n">
        <v>38353</v>
      </c>
      <c r="B394" t="n">
        <v>62.4</v>
      </c>
      <c r="C394" t="n">
        <v>53</v>
      </c>
      <c r="D394" t="n">
        <v>48</v>
      </c>
      <c r="E394" t="n">
        <v>69.09999999999999</v>
      </c>
      <c r="F394" t="n">
        <v>62.5</v>
      </c>
      <c r="G394" t="n">
        <v>64.5</v>
      </c>
      <c r="H394" t="n">
        <v>49.5</v>
      </c>
      <c r="I394" t="n">
        <v>52.5</v>
      </c>
      <c r="J394" t="n">
        <v>54.6</v>
      </c>
      <c r="K394" t="n">
        <v>52.5</v>
      </c>
      <c r="L394" t="n">
        <v>58</v>
      </c>
      <c r="M394" t="n">
        <v>1181.27001953125</v>
      </c>
      <c r="N394" t="n">
        <v>14767.846</v>
      </c>
      <c r="O394" t="n">
        <v>0.01110882507696538</v>
      </c>
      <c r="P394" t="n">
        <v>0.03908617440899946</v>
      </c>
      <c r="Q394" t="n">
        <v>0.04518123508687388</v>
      </c>
      <c r="R394" t="n">
        <v>0.01110882507696538</v>
      </c>
      <c r="S394" t="n">
        <v>0.04518123508687388</v>
      </c>
      <c r="T394" t="n">
        <v>0.03908617440899946</v>
      </c>
    </row>
    <row r="395">
      <c r="A395" s="93" t="n">
        <v>38384</v>
      </c>
      <c r="B395" t="n">
        <v>63.3</v>
      </c>
      <c r="C395" t="n">
        <v>57.5</v>
      </c>
      <c r="D395" t="n">
        <v>51.5</v>
      </c>
      <c r="E395" t="n">
        <v>69.7</v>
      </c>
      <c r="F395" t="n">
        <v>61.9</v>
      </c>
      <c r="G395" t="n">
        <v>64.5</v>
      </c>
      <c r="H395" t="n">
        <v>52</v>
      </c>
      <c r="I395" t="n">
        <v>52.5</v>
      </c>
      <c r="J395" t="n">
        <v>59.7</v>
      </c>
      <c r="K395" t="n">
        <v>56</v>
      </c>
      <c r="L395" t="n">
        <v>59.4</v>
      </c>
      <c r="M395" t="n">
        <v>1203.599975585938</v>
      </c>
      <c r="O395" t="n">
        <v>0.01110882507696538</v>
      </c>
      <c r="P395" t="n">
        <v>0.03908617440899946</v>
      </c>
      <c r="Q395" t="n">
        <v>0.04518123508687388</v>
      </c>
    </row>
    <row r="396">
      <c r="A396" s="93" t="n">
        <v>38412</v>
      </c>
      <c r="B396" t="n">
        <v>60.5</v>
      </c>
      <c r="C396" t="n">
        <v>59</v>
      </c>
      <c r="D396" t="n">
        <v>56.5</v>
      </c>
      <c r="E396" t="n">
        <v>65.59999999999999</v>
      </c>
      <c r="F396" t="n">
        <v>61.3</v>
      </c>
      <c r="G396" t="n">
        <v>64.5</v>
      </c>
      <c r="H396" t="n">
        <v>52.5</v>
      </c>
      <c r="I396" t="n">
        <v>53</v>
      </c>
      <c r="J396" t="n">
        <v>57.2</v>
      </c>
      <c r="K396" t="n">
        <v>51.5</v>
      </c>
      <c r="L396" t="n">
        <v>58</v>
      </c>
      <c r="M396" t="n">
        <v>1180.589965820312</v>
      </c>
      <c r="O396" t="n">
        <v>0.01110882507696538</v>
      </c>
      <c r="P396" t="n">
        <v>0.03908617440899946</v>
      </c>
      <c r="Q396" t="n">
        <v>0.04518123508687388</v>
      </c>
    </row>
    <row r="397">
      <c r="A397" s="93" t="n">
        <v>38443</v>
      </c>
      <c r="B397" t="n">
        <v>57.5</v>
      </c>
      <c r="C397" t="n">
        <v>58.5</v>
      </c>
      <c r="D397" t="n">
        <v>54</v>
      </c>
      <c r="E397" t="n">
        <v>62.4</v>
      </c>
      <c r="F397" t="n">
        <v>58.6</v>
      </c>
      <c r="G397" t="n">
        <v>60.5</v>
      </c>
      <c r="H397" t="n">
        <v>54.5</v>
      </c>
      <c r="I397" t="n">
        <v>53</v>
      </c>
      <c r="J397" t="n">
        <v>53.3</v>
      </c>
      <c r="K397" t="n">
        <v>52.5</v>
      </c>
      <c r="L397" t="n">
        <v>55.6</v>
      </c>
      <c r="M397" t="n">
        <v>1156.849975585938</v>
      </c>
      <c r="N397" t="n">
        <v>14839.707</v>
      </c>
      <c r="O397" t="n">
        <v>0.004866044784053191</v>
      </c>
      <c r="P397" t="n">
        <v>0.03607410366126079</v>
      </c>
      <c r="Q397" t="n">
        <v>0.01960671092838173</v>
      </c>
      <c r="R397" t="n">
        <v>0.004866044784053191</v>
      </c>
      <c r="S397" t="n">
        <v>0.01960671092838173</v>
      </c>
      <c r="T397" t="n">
        <v>0.03607410366126079</v>
      </c>
    </row>
    <row r="398">
      <c r="A398" s="93" t="n">
        <v>38473</v>
      </c>
      <c r="B398" t="n">
        <v>58.2</v>
      </c>
      <c r="C398" t="n">
        <v>57.5</v>
      </c>
      <c r="D398" t="n">
        <v>56.5</v>
      </c>
      <c r="E398" t="n">
        <v>57.6</v>
      </c>
      <c r="F398" t="n">
        <v>57.5</v>
      </c>
      <c r="G398" t="n">
        <v>63</v>
      </c>
      <c r="H398" t="n">
        <v>51.5</v>
      </c>
      <c r="I398" t="n">
        <v>53.5</v>
      </c>
      <c r="J398" t="n">
        <v>51.8</v>
      </c>
      <c r="K398" t="n">
        <v>62</v>
      </c>
      <c r="L398" t="n">
        <v>55.3</v>
      </c>
      <c r="M398" t="n">
        <v>1191.5</v>
      </c>
      <c r="O398" t="n">
        <v>0.004866044784053191</v>
      </c>
      <c r="P398" t="n">
        <v>0.03607410366126079</v>
      </c>
      <c r="Q398" t="n">
        <v>0.01960671092838173</v>
      </c>
    </row>
    <row r="399">
      <c r="A399" s="93" t="n">
        <v>38504</v>
      </c>
      <c r="B399" t="n">
        <v>59.2</v>
      </c>
      <c r="C399" t="n">
        <v>58.5</v>
      </c>
      <c r="D399" t="n">
        <v>52.5</v>
      </c>
      <c r="E399" t="n">
        <v>58.4</v>
      </c>
      <c r="F399" t="n">
        <v>60.7</v>
      </c>
      <c r="G399" t="n">
        <v>64.5</v>
      </c>
      <c r="H399" t="n">
        <v>52</v>
      </c>
      <c r="I399" t="n">
        <v>56.5</v>
      </c>
      <c r="J399" t="n">
        <v>55.8</v>
      </c>
      <c r="K399" t="n">
        <v>50</v>
      </c>
      <c r="L399" t="n">
        <v>58.1</v>
      </c>
      <c r="M399" t="n">
        <v>1191.329956054688</v>
      </c>
      <c r="O399" t="n">
        <v>0.004866044784053191</v>
      </c>
      <c r="P399" t="n">
        <v>0.03607410366126079</v>
      </c>
      <c r="Q399" t="n">
        <v>0.01960671092838173</v>
      </c>
    </row>
    <row r="400">
      <c r="A400" s="93" t="n">
        <v>38534</v>
      </c>
      <c r="B400" t="n">
        <v>64.40000000000001</v>
      </c>
      <c r="C400" t="n">
        <v>62</v>
      </c>
      <c r="D400" t="n">
        <v>53.5</v>
      </c>
      <c r="E400" t="n">
        <v>65.8</v>
      </c>
      <c r="F400" t="n">
        <v>61.3</v>
      </c>
      <c r="G400" t="n">
        <v>64</v>
      </c>
      <c r="H400" t="n">
        <v>52.5</v>
      </c>
      <c r="I400" t="n">
        <v>57</v>
      </c>
      <c r="J400" t="n">
        <v>55.1</v>
      </c>
      <c r="K400" t="n">
        <v>53.5</v>
      </c>
      <c r="L400" t="n">
        <v>59.5</v>
      </c>
      <c r="M400" t="n">
        <v>1234.180053710938</v>
      </c>
      <c r="N400" t="n">
        <v>14956.291</v>
      </c>
      <c r="O400" t="n">
        <v>0.007856219802722447</v>
      </c>
      <c r="P400" t="n">
        <v>0.03447674589108512</v>
      </c>
      <c r="Q400" t="n">
        <v>0.0317971437073068</v>
      </c>
      <c r="R400" t="n">
        <v>0.007856219802722447</v>
      </c>
      <c r="S400" t="n">
        <v>0.0317971437073068</v>
      </c>
      <c r="T400" t="n">
        <v>0.03447674589108512</v>
      </c>
    </row>
    <row r="401">
      <c r="A401" s="93" t="n">
        <v>38565</v>
      </c>
      <c r="B401" t="n">
        <v>65.3</v>
      </c>
      <c r="C401" t="n">
        <v>61.5</v>
      </c>
      <c r="D401" t="n">
        <v>52</v>
      </c>
      <c r="E401" t="n">
        <v>66.09999999999999</v>
      </c>
      <c r="F401" t="n">
        <v>64.8</v>
      </c>
      <c r="G401" t="n">
        <v>67</v>
      </c>
      <c r="H401" t="n">
        <v>53.5</v>
      </c>
      <c r="I401" t="n">
        <v>55</v>
      </c>
      <c r="J401" t="n">
        <v>60.2</v>
      </c>
      <c r="K401" t="n">
        <v>63.5</v>
      </c>
      <c r="L401" t="n">
        <v>61.3</v>
      </c>
      <c r="M401" t="n">
        <v>1220.329956054688</v>
      </c>
      <c r="O401" t="n">
        <v>0.007856219802722447</v>
      </c>
      <c r="P401" t="n">
        <v>0.03447674589108512</v>
      </c>
      <c r="Q401" t="n">
        <v>0.0317971437073068</v>
      </c>
    </row>
    <row r="402">
      <c r="A402" s="93" t="n">
        <v>38596</v>
      </c>
      <c r="B402" t="n">
        <v>56.2</v>
      </c>
      <c r="C402" t="n">
        <v>58.5</v>
      </c>
      <c r="D402" t="n">
        <v>52</v>
      </c>
      <c r="E402" t="n">
        <v>83.5</v>
      </c>
      <c r="F402" t="n">
        <v>55.2</v>
      </c>
      <c r="G402" t="n">
        <v>64</v>
      </c>
      <c r="H402" t="n">
        <v>50</v>
      </c>
      <c r="I402" t="n">
        <v>56</v>
      </c>
      <c r="J402" t="n">
        <v>55.4</v>
      </c>
      <c r="K402" t="n">
        <v>55</v>
      </c>
      <c r="L402" t="n">
        <v>55.7</v>
      </c>
      <c r="M402" t="n">
        <v>1228.81005859375</v>
      </c>
      <c r="O402" t="n">
        <v>0.007856219802722447</v>
      </c>
      <c r="P402" t="n">
        <v>0.03447674589108512</v>
      </c>
      <c r="Q402" t="n">
        <v>0.0317971437073068</v>
      </c>
    </row>
    <row r="403">
      <c r="A403" s="93" t="n">
        <v>38626</v>
      </c>
      <c r="B403" t="n">
        <v>57.5</v>
      </c>
      <c r="C403" t="n">
        <v>53.5</v>
      </c>
      <c r="D403" t="n">
        <v>55</v>
      </c>
      <c r="E403" t="n">
        <v>79.2</v>
      </c>
      <c r="F403" t="n">
        <v>59.2</v>
      </c>
      <c r="G403" t="n">
        <v>55</v>
      </c>
      <c r="H403" t="n">
        <v>50</v>
      </c>
      <c r="I403" t="n">
        <v>58.5</v>
      </c>
      <c r="J403" t="n">
        <v>54.2</v>
      </c>
      <c r="K403" t="n">
        <v>54.5</v>
      </c>
      <c r="L403" t="n">
        <v>57.4</v>
      </c>
      <c r="M403" t="n">
        <v>1207.010009765625</v>
      </c>
      <c r="N403" t="n">
        <v>15041.232</v>
      </c>
      <c r="O403" t="n">
        <v>0.005679282383580309</v>
      </c>
      <c r="P403" t="n">
        <v>0.02982672051361144</v>
      </c>
      <c r="Q403" t="n">
        <v>0.02291138878895116</v>
      </c>
      <c r="R403" t="n">
        <v>0.005679282383580309</v>
      </c>
      <c r="S403" t="n">
        <v>0.02291138878895116</v>
      </c>
      <c r="T403" t="n">
        <v>0.02982672051361144</v>
      </c>
    </row>
    <row r="404">
      <c r="A404" s="93" t="n">
        <v>38657</v>
      </c>
      <c r="B404" t="n">
        <v>59.6</v>
      </c>
      <c r="C404" t="n">
        <v>56.5</v>
      </c>
      <c r="D404" t="n">
        <v>54</v>
      </c>
      <c r="E404" t="n">
        <v>72.59999999999999</v>
      </c>
      <c r="F404" t="n">
        <v>59.2</v>
      </c>
      <c r="G404" t="n">
        <v>60</v>
      </c>
      <c r="H404" t="n">
        <v>54</v>
      </c>
      <c r="I404" t="n">
        <v>60.5</v>
      </c>
      <c r="J404" t="n">
        <v>56.9</v>
      </c>
      <c r="K404" t="n">
        <v>57</v>
      </c>
      <c r="L404" t="n">
        <v>59.1</v>
      </c>
      <c r="M404" t="n">
        <v>1249.47998046875</v>
      </c>
      <c r="O404" t="n">
        <v>0.005679282383580309</v>
      </c>
      <c r="P404" t="n">
        <v>0.02982672051361144</v>
      </c>
      <c r="Q404" t="n">
        <v>0.02291138878895116</v>
      </c>
    </row>
    <row r="405">
      <c r="A405" s="93" t="n">
        <v>38687</v>
      </c>
      <c r="B405" t="n">
        <v>62.8</v>
      </c>
      <c r="C405" t="n">
        <v>56.5</v>
      </c>
      <c r="D405" t="n">
        <v>54</v>
      </c>
      <c r="E405" t="n">
        <v>68.90000000000001</v>
      </c>
      <c r="F405" t="n">
        <v>60.1</v>
      </c>
      <c r="G405" t="n">
        <v>59</v>
      </c>
      <c r="H405" t="n">
        <v>56</v>
      </c>
      <c r="I405" t="n">
        <v>56.5</v>
      </c>
      <c r="J405" t="n">
        <v>56.4</v>
      </c>
      <c r="K405" t="n">
        <v>61.5</v>
      </c>
      <c r="L405" t="n">
        <v>59</v>
      </c>
      <c r="M405" t="n">
        <v>1248.2900390625</v>
      </c>
      <c r="O405" t="n">
        <v>0.005679282383580309</v>
      </c>
      <c r="P405" t="n">
        <v>0.02982672051361144</v>
      </c>
      <c r="Q405" t="n">
        <v>0.02291138878895116</v>
      </c>
    </row>
    <row r="406">
      <c r="A406" s="93" t="n">
        <v>38718</v>
      </c>
      <c r="B406" t="n">
        <v>57.4</v>
      </c>
      <c r="C406" t="n">
        <v>49.5</v>
      </c>
      <c r="D406" t="n">
        <v>52.5</v>
      </c>
      <c r="E406" t="n">
        <v>69.90000000000001</v>
      </c>
      <c r="F406" t="n">
        <v>58.6</v>
      </c>
      <c r="G406" t="n">
        <v>63</v>
      </c>
      <c r="H406" t="n">
        <v>55</v>
      </c>
      <c r="I406" t="n">
        <v>54.5</v>
      </c>
      <c r="J406" t="n">
        <v>54.5</v>
      </c>
      <c r="K406" t="n">
        <v>58</v>
      </c>
      <c r="L406" t="n">
        <v>56.3</v>
      </c>
      <c r="M406" t="n">
        <v>1280.079956054688</v>
      </c>
      <c r="N406" t="n">
        <v>15244.088</v>
      </c>
      <c r="O406" t="n">
        <v>0.01348666119902943</v>
      </c>
      <c r="P406" t="n">
        <v>0.03224857572323006</v>
      </c>
      <c r="Q406" t="n">
        <v>0.05504783041874162</v>
      </c>
      <c r="R406" t="n">
        <v>0.01348666119902943</v>
      </c>
      <c r="S406" t="n">
        <v>0.05504783041874162</v>
      </c>
      <c r="T406" t="n">
        <v>0.03224857572323006</v>
      </c>
    </row>
    <row r="407">
      <c r="A407" s="93" t="n">
        <v>38749</v>
      </c>
      <c r="B407" t="n">
        <v>57.8</v>
      </c>
      <c r="C407" t="n">
        <v>55</v>
      </c>
      <c r="D407" t="n">
        <v>54</v>
      </c>
      <c r="E407" t="n">
        <v>67.8</v>
      </c>
      <c r="F407" t="n">
        <v>61.8</v>
      </c>
      <c r="G407" t="n">
        <v>63.5</v>
      </c>
      <c r="H407" t="n">
        <v>53</v>
      </c>
      <c r="I407" t="n">
        <v>52.5</v>
      </c>
      <c r="J407" t="n">
        <v>58.1</v>
      </c>
      <c r="K407" t="n">
        <v>60</v>
      </c>
      <c r="L407" t="n">
        <v>57.6</v>
      </c>
      <c r="M407" t="n">
        <v>1280.660034179688</v>
      </c>
      <c r="O407" t="n">
        <v>0.01348666119902943</v>
      </c>
      <c r="P407" t="n">
        <v>0.03224857572323006</v>
      </c>
      <c r="Q407" t="n">
        <v>0.05504783041874162</v>
      </c>
    </row>
    <row r="408">
      <c r="A408" s="93" t="n">
        <v>38777</v>
      </c>
      <c r="B408" t="n">
        <v>58.6</v>
      </c>
      <c r="C408" t="n">
        <v>60.5</v>
      </c>
      <c r="D408" t="n">
        <v>50.5</v>
      </c>
      <c r="E408" t="n">
        <v>60.1</v>
      </c>
      <c r="F408" t="n">
        <v>60</v>
      </c>
      <c r="G408" t="n">
        <v>63</v>
      </c>
      <c r="H408" t="n">
        <v>54</v>
      </c>
      <c r="I408" t="n">
        <v>54</v>
      </c>
      <c r="J408" t="n">
        <v>55.1</v>
      </c>
      <c r="K408" t="n">
        <v>63.5</v>
      </c>
      <c r="L408" t="n">
        <v>56.9</v>
      </c>
      <c r="M408" t="n">
        <v>1294.869995117188</v>
      </c>
      <c r="O408" t="n">
        <v>0.01348666119902943</v>
      </c>
      <c r="P408" t="n">
        <v>0.03224857572323006</v>
      </c>
      <c r="Q408" t="n">
        <v>0.05504783041874162</v>
      </c>
    </row>
    <row r="409">
      <c r="A409" s="93" t="n">
        <v>38808</v>
      </c>
      <c r="B409" t="n">
        <v>61.1</v>
      </c>
      <c r="C409" t="n">
        <v>57</v>
      </c>
      <c r="D409" t="n">
        <v>54</v>
      </c>
      <c r="E409" t="n">
        <v>68.5</v>
      </c>
      <c r="F409" t="n">
        <v>61.3</v>
      </c>
      <c r="G409" t="n">
        <v>60</v>
      </c>
      <c r="H409" t="n">
        <v>59</v>
      </c>
      <c r="I409" t="n">
        <v>54.5</v>
      </c>
      <c r="J409" t="n">
        <v>56.5</v>
      </c>
      <c r="K409" t="n">
        <v>59.5</v>
      </c>
      <c r="L409" t="n">
        <v>58.4</v>
      </c>
      <c r="M409" t="n">
        <v>1310.609985351562</v>
      </c>
      <c r="N409" t="n">
        <v>15281.525</v>
      </c>
      <c r="O409" t="n">
        <v>0.00245583730558364</v>
      </c>
      <c r="P409" t="n">
        <v>0.02977269025594638</v>
      </c>
      <c r="Q409" t="n">
        <v>0.009859595325901749</v>
      </c>
      <c r="R409" t="n">
        <v>0.00245583730558364</v>
      </c>
      <c r="S409" t="n">
        <v>0.009859595325901749</v>
      </c>
      <c r="T409" t="n">
        <v>0.02977269025594638</v>
      </c>
    </row>
    <row r="410">
      <c r="A410" s="93" t="n">
        <v>38838</v>
      </c>
      <c r="B410" t="n">
        <v>58.6</v>
      </c>
      <c r="C410" t="n">
        <v>58.5</v>
      </c>
      <c r="D410" t="n">
        <v>52</v>
      </c>
      <c r="E410" t="n">
        <v>70.5</v>
      </c>
      <c r="F410" t="n">
        <v>58.1</v>
      </c>
      <c r="G410" t="n">
        <v>59</v>
      </c>
      <c r="H410" t="n">
        <v>59</v>
      </c>
      <c r="I410" t="n">
        <v>56.5</v>
      </c>
      <c r="J410" t="n">
        <v>54.6</v>
      </c>
      <c r="K410" t="n">
        <v>64</v>
      </c>
      <c r="L410" t="n">
        <v>57</v>
      </c>
      <c r="M410" t="n">
        <v>1270.089965820312</v>
      </c>
      <c r="O410" t="n">
        <v>0.00245583730558364</v>
      </c>
      <c r="P410" t="n">
        <v>0.02977269025594638</v>
      </c>
      <c r="Q410" t="n">
        <v>0.009859595325901749</v>
      </c>
    </row>
    <row r="411">
      <c r="A411" s="93" t="n">
        <v>38869</v>
      </c>
      <c r="B411" t="n">
        <v>57</v>
      </c>
      <c r="C411" t="n">
        <v>55.5</v>
      </c>
      <c r="D411" t="n">
        <v>55</v>
      </c>
      <c r="E411" t="n">
        <v>69</v>
      </c>
      <c r="F411" t="n">
        <v>56.4</v>
      </c>
      <c r="G411" t="n">
        <v>63</v>
      </c>
      <c r="H411" t="n">
        <v>51.5</v>
      </c>
      <c r="I411" t="n">
        <v>56</v>
      </c>
      <c r="J411" t="n">
        <v>51.2</v>
      </c>
      <c r="K411" t="n">
        <v>54.5</v>
      </c>
      <c r="L411" t="n">
        <v>55.2</v>
      </c>
      <c r="M411" t="n">
        <v>1270.199951171875</v>
      </c>
      <c r="O411" t="n">
        <v>0.00245583730558364</v>
      </c>
      <c r="P411" t="n">
        <v>0.02977269025594638</v>
      </c>
      <c r="Q411" t="n">
        <v>0.009859595325901749</v>
      </c>
    </row>
    <row r="412">
      <c r="A412" s="93" t="n">
        <v>38899</v>
      </c>
      <c r="B412" t="n">
        <v>58.1</v>
      </c>
      <c r="C412" t="n">
        <v>60.5</v>
      </c>
      <c r="D412" t="n">
        <v>56</v>
      </c>
      <c r="E412" t="n">
        <v>70.59999999999999</v>
      </c>
      <c r="F412" t="n">
        <v>56.3</v>
      </c>
      <c r="G412" t="n">
        <v>60</v>
      </c>
      <c r="H412" t="n">
        <v>53</v>
      </c>
      <c r="I412" t="n">
        <v>54.5</v>
      </c>
      <c r="J412" t="n">
        <v>53.6</v>
      </c>
      <c r="K412" t="n">
        <v>56</v>
      </c>
      <c r="L412" t="n">
        <v>55.6</v>
      </c>
      <c r="M412" t="n">
        <v>1276.660034179688</v>
      </c>
      <c r="N412" t="n">
        <v>15304.517</v>
      </c>
      <c r="O412" t="n">
        <v>0.001504561881094995</v>
      </c>
      <c r="P412" t="n">
        <v>0.02328291151863791</v>
      </c>
      <c r="Q412" t="n">
        <v>0.006031843391774094</v>
      </c>
      <c r="R412" t="n">
        <v>0.001504561881094995</v>
      </c>
      <c r="S412" t="n">
        <v>0.006031843391774094</v>
      </c>
      <c r="T412" t="n">
        <v>0.02328291151863791</v>
      </c>
    </row>
    <row r="413">
      <c r="A413" s="93" t="n">
        <v>38930</v>
      </c>
      <c r="B413" t="n">
        <v>53.1</v>
      </c>
      <c r="C413" t="n">
        <v>60</v>
      </c>
      <c r="D413" t="n">
        <v>49.5</v>
      </c>
      <c r="E413" t="n">
        <v>72.2</v>
      </c>
      <c r="F413" t="n">
        <v>56.7</v>
      </c>
      <c r="G413" t="n">
        <v>59</v>
      </c>
      <c r="H413" t="n">
        <v>51.5</v>
      </c>
      <c r="I413" t="n">
        <v>53.5</v>
      </c>
      <c r="J413" t="n">
        <v>52.2</v>
      </c>
      <c r="K413" t="n">
        <v>53</v>
      </c>
      <c r="L413" t="n">
        <v>53.9</v>
      </c>
      <c r="M413" t="n">
        <v>1303.819946289062</v>
      </c>
      <c r="O413" t="n">
        <v>0.001504561881094995</v>
      </c>
      <c r="P413" t="n">
        <v>0.02328291151863791</v>
      </c>
      <c r="Q413" t="n">
        <v>0.006031843391774094</v>
      </c>
    </row>
    <row r="414">
      <c r="A414" s="93" t="n">
        <v>38961</v>
      </c>
      <c r="B414" t="n">
        <v>56.5</v>
      </c>
      <c r="C414" t="n">
        <v>55</v>
      </c>
      <c r="D414" t="n">
        <v>53</v>
      </c>
      <c r="E414" t="n">
        <v>60.6</v>
      </c>
      <c r="F414" t="n">
        <v>54.4</v>
      </c>
      <c r="G414" t="n">
        <v>63.5</v>
      </c>
      <c r="H414" t="n">
        <v>50.5</v>
      </c>
      <c r="I414" t="n">
        <v>54</v>
      </c>
      <c r="J414" t="n">
        <v>52.9</v>
      </c>
      <c r="K414" t="n">
        <v>59</v>
      </c>
      <c r="L414" t="n">
        <v>54.5</v>
      </c>
      <c r="M414" t="n">
        <v>1335.849975585938</v>
      </c>
      <c r="O414" t="n">
        <v>0.001504561881094995</v>
      </c>
      <c r="P414" t="n">
        <v>0.02328291151863791</v>
      </c>
      <c r="Q414" t="n">
        <v>0.006031843391774094</v>
      </c>
    </row>
    <row r="415">
      <c r="A415" s="93" t="n">
        <v>38991</v>
      </c>
      <c r="B415" t="n">
        <v>55.3</v>
      </c>
      <c r="C415" t="n">
        <v>57.5</v>
      </c>
      <c r="D415" t="n">
        <v>51.5</v>
      </c>
      <c r="E415" t="n">
        <v>56.5</v>
      </c>
      <c r="F415" t="n">
        <v>56.9</v>
      </c>
      <c r="G415" t="n">
        <v>64.5</v>
      </c>
      <c r="H415" t="n">
        <v>53</v>
      </c>
      <c r="I415" t="n">
        <v>54.5</v>
      </c>
      <c r="J415" t="n">
        <v>52.9</v>
      </c>
      <c r="K415" t="n">
        <v>63.5</v>
      </c>
      <c r="L415" t="n">
        <v>54.9</v>
      </c>
      <c r="M415" t="n">
        <v>1377.93994140625</v>
      </c>
      <c r="N415" t="n">
        <v>15433.643</v>
      </c>
      <c r="O415" t="n">
        <v>0.008437116963573578</v>
      </c>
      <c r="P415" t="n">
        <v>0.02608901983560922</v>
      </c>
      <c r="Q415" t="n">
        <v>0.03417798496028124</v>
      </c>
      <c r="R415" t="n">
        <v>0.008437116963573578</v>
      </c>
      <c r="S415" t="n">
        <v>0.03417798496028124</v>
      </c>
      <c r="T415" t="n">
        <v>0.02608901983560922</v>
      </c>
    </row>
    <row r="416">
      <c r="A416" s="93" t="n">
        <v>39022</v>
      </c>
      <c r="B416" t="n">
        <v>56.7</v>
      </c>
      <c r="C416" t="n">
        <v>59.5</v>
      </c>
      <c r="D416" t="n">
        <v>54.5</v>
      </c>
      <c r="E416" t="n">
        <v>56.7</v>
      </c>
      <c r="F416" t="n">
        <v>59.2</v>
      </c>
      <c r="G416" t="n">
        <v>57</v>
      </c>
      <c r="H416" t="n">
        <v>51.5</v>
      </c>
      <c r="I416" t="n">
        <v>50</v>
      </c>
      <c r="J416" t="n">
        <v>52.2</v>
      </c>
      <c r="K416" t="n">
        <v>58.5</v>
      </c>
      <c r="L416" t="n">
        <v>54.5</v>
      </c>
      <c r="M416" t="n">
        <v>1400.630004882812</v>
      </c>
      <c r="O416" t="n">
        <v>0.008437116963573578</v>
      </c>
      <c r="P416" t="n">
        <v>0.02608901983560922</v>
      </c>
      <c r="Q416" t="n">
        <v>0.03417798496028124</v>
      </c>
    </row>
    <row r="417">
      <c r="A417" s="93" t="n">
        <v>39052</v>
      </c>
      <c r="B417" t="n">
        <v>54.8</v>
      </c>
      <c r="C417" t="n">
        <v>62</v>
      </c>
      <c r="D417" t="n">
        <v>48</v>
      </c>
      <c r="E417" t="n">
        <v>60.5</v>
      </c>
      <c r="F417" t="n">
        <v>56.1</v>
      </c>
      <c r="G417" t="n">
        <v>63.5</v>
      </c>
      <c r="H417" t="n">
        <v>53.5</v>
      </c>
      <c r="I417" t="n">
        <v>51</v>
      </c>
      <c r="J417" t="n">
        <v>52.7</v>
      </c>
      <c r="K417" t="n">
        <v>61.5</v>
      </c>
      <c r="L417" t="n">
        <v>53.7</v>
      </c>
      <c r="M417" t="n">
        <v>1418.300048828125</v>
      </c>
      <c r="O417" t="n">
        <v>0.008437116963573578</v>
      </c>
      <c r="P417" t="n">
        <v>0.02608901983560922</v>
      </c>
      <c r="Q417" t="n">
        <v>0.03417798496028124</v>
      </c>
    </row>
    <row r="418">
      <c r="A418" s="93" t="n">
        <v>39083</v>
      </c>
      <c r="B418" t="n">
        <v>55.6</v>
      </c>
      <c r="C418" t="n">
        <v>52</v>
      </c>
      <c r="D418" t="n">
        <v>49</v>
      </c>
      <c r="E418" t="n">
        <v>57.5</v>
      </c>
      <c r="F418" t="n">
        <v>58.3</v>
      </c>
      <c r="G418" t="n">
        <v>65.5</v>
      </c>
      <c r="H418" t="n">
        <v>47</v>
      </c>
      <c r="I418" t="n">
        <v>53.5</v>
      </c>
      <c r="J418" t="n">
        <v>54.8</v>
      </c>
      <c r="K418" t="n">
        <v>55</v>
      </c>
      <c r="L418" t="n">
        <v>55.4</v>
      </c>
      <c r="M418" t="n">
        <v>1438.239990234375</v>
      </c>
      <c r="N418" t="n">
        <v>15478.956</v>
      </c>
      <c r="O418" t="n">
        <v>0.002935988606189744</v>
      </c>
      <c r="P418" t="n">
        <v>0.01540715325180492</v>
      </c>
      <c r="Q418" t="n">
        <v>0.01179577590686653</v>
      </c>
      <c r="R418" t="n">
        <v>0.002935988606189744</v>
      </c>
      <c r="S418" t="n">
        <v>0.01179577590686653</v>
      </c>
      <c r="T418" t="n">
        <v>0.01540715325180492</v>
      </c>
    </row>
    <row r="419">
      <c r="A419" s="93" t="n">
        <v>39114</v>
      </c>
      <c r="B419" t="n">
        <v>55.7</v>
      </c>
      <c r="C419" t="n">
        <v>54</v>
      </c>
      <c r="D419" t="n">
        <v>47</v>
      </c>
      <c r="E419" t="n">
        <v>57</v>
      </c>
      <c r="F419" t="n">
        <v>56</v>
      </c>
      <c r="G419" t="n">
        <v>61.5</v>
      </c>
      <c r="H419" t="n">
        <v>50.5</v>
      </c>
      <c r="I419" t="n">
        <v>52.5</v>
      </c>
      <c r="J419" t="n">
        <v>52.7</v>
      </c>
      <c r="K419" t="n">
        <v>59</v>
      </c>
      <c r="L419" t="n">
        <v>54.2</v>
      </c>
      <c r="M419" t="n">
        <v>1406.819946289062</v>
      </c>
      <c r="O419" t="n">
        <v>0.002935988606189744</v>
      </c>
      <c r="P419" t="n">
        <v>0.01540715325180492</v>
      </c>
      <c r="Q419" t="n">
        <v>0.01179577590686653</v>
      </c>
    </row>
    <row r="420">
      <c r="A420" s="93" t="n">
        <v>39142</v>
      </c>
      <c r="B420" t="n">
        <v>53.2</v>
      </c>
      <c r="C420" t="n">
        <v>50</v>
      </c>
      <c r="D420" t="n">
        <v>52.5</v>
      </c>
      <c r="E420" t="n">
        <v>64.2</v>
      </c>
      <c r="F420" t="n">
        <v>52.8</v>
      </c>
      <c r="G420" t="n">
        <v>63</v>
      </c>
      <c r="H420" t="n">
        <v>52</v>
      </c>
      <c r="I420" t="n">
        <v>50</v>
      </c>
      <c r="J420" t="n">
        <v>51.9</v>
      </c>
      <c r="K420" t="n">
        <v>48.5</v>
      </c>
      <c r="L420" t="n">
        <v>52.1</v>
      </c>
      <c r="M420" t="n">
        <v>1420.859985351562</v>
      </c>
      <c r="O420" t="n">
        <v>0.002935988606189744</v>
      </c>
      <c r="P420" t="n">
        <v>0.01540715325180492</v>
      </c>
      <c r="Q420" t="n">
        <v>0.01179577590686653</v>
      </c>
    </row>
    <row r="421">
      <c r="A421" s="93" t="n">
        <v>39173</v>
      </c>
      <c r="B421" t="n">
        <v>54.9</v>
      </c>
      <c r="C421" t="n">
        <v>52.5</v>
      </c>
      <c r="D421" t="n">
        <v>50</v>
      </c>
      <c r="E421" t="n">
        <v>63.2</v>
      </c>
      <c r="F421" t="n">
        <v>56.1</v>
      </c>
      <c r="G421" t="n">
        <v>60.5</v>
      </c>
      <c r="H421" t="n">
        <v>52</v>
      </c>
      <c r="I421" t="n">
        <v>51</v>
      </c>
      <c r="J421" t="n">
        <v>51.1</v>
      </c>
      <c r="K421" t="n">
        <v>55.5</v>
      </c>
      <c r="L421" t="n">
        <v>53.4</v>
      </c>
      <c r="M421" t="n">
        <v>1482.369995117188</v>
      </c>
      <c r="N421" t="n">
        <v>15577.779</v>
      </c>
      <c r="O421" t="n">
        <v>0.00638434530080713</v>
      </c>
      <c r="P421" t="n">
        <v>0.01938641594997887</v>
      </c>
      <c r="Q421" t="n">
        <v>0.02578298295432346</v>
      </c>
      <c r="R421" t="n">
        <v>0.00638434530080713</v>
      </c>
      <c r="S421" t="n">
        <v>0.02578298295432346</v>
      </c>
      <c r="T421" t="n">
        <v>0.01938641594997887</v>
      </c>
    </row>
    <row r="422">
      <c r="A422" s="93" t="n">
        <v>39203</v>
      </c>
      <c r="B422" t="n">
        <v>57.1</v>
      </c>
      <c r="C422" t="n">
        <v>55.5</v>
      </c>
      <c r="D422" t="n">
        <v>48</v>
      </c>
      <c r="E422" t="n">
        <v>62.8</v>
      </c>
      <c r="F422" t="n">
        <v>58.1</v>
      </c>
      <c r="G422" t="n">
        <v>61</v>
      </c>
      <c r="H422" t="n">
        <v>61</v>
      </c>
      <c r="I422" t="n">
        <v>49.5</v>
      </c>
      <c r="J422" t="n">
        <v>52.2</v>
      </c>
      <c r="K422" t="n">
        <v>66</v>
      </c>
      <c r="L422" t="n">
        <v>54.3</v>
      </c>
      <c r="M422" t="n">
        <v>1530.619995117188</v>
      </c>
      <c r="O422" t="n">
        <v>0.00638434530080713</v>
      </c>
      <c r="P422" t="n">
        <v>0.01938641594997887</v>
      </c>
      <c r="Q422" t="n">
        <v>0.02578298295432346</v>
      </c>
    </row>
    <row r="423">
      <c r="A423" s="93" t="n">
        <v>39234</v>
      </c>
      <c r="B423" t="n">
        <v>57.2</v>
      </c>
      <c r="C423" t="n">
        <v>57.5</v>
      </c>
      <c r="D423" t="n">
        <v>46.5</v>
      </c>
      <c r="E423" t="n">
        <v>61.6</v>
      </c>
      <c r="F423" t="n">
        <v>60.1</v>
      </c>
      <c r="G423" t="n">
        <v>60.5</v>
      </c>
      <c r="H423" t="n">
        <v>52.5</v>
      </c>
      <c r="I423" t="n">
        <v>50.5</v>
      </c>
      <c r="J423" t="n">
        <v>53.3</v>
      </c>
      <c r="K423" t="n">
        <v>59</v>
      </c>
      <c r="L423" t="n">
        <v>54.9</v>
      </c>
      <c r="M423" t="n">
        <v>1503.349975585938</v>
      </c>
      <c r="O423" t="n">
        <v>0.00638434530080713</v>
      </c>
      <c r="P423" t="n">
        <v>0.01938641594997887</v>
      </c>
      <c r="Q423" t="n">
        <v>0.02578298295432346</v>
      </c>
    </row>
    <row r="424">
      <c r="A424" s="93" t="n">
        <v>39264</v>
      </c>
      <c r="B424" t="n">
        <v>54.5</v>
      </c>
      <c r="C424" t="n">
        <v>54.5</v>
      </c>
      <c r="D424" t="n">
        <v>53</v>
      </c>
      <c r="E424" t="n">
        <v>59.7</v>
      </c>
      <c r="F424" t="n">
        <v>57.1</v>
      </c>
      <c r="G424" t="n">
        <v>65</v>
      </c>
      <c r="H424" t="n">
        <v>55</v>
      </c>
      <c r="I424" t="n">
        <v>51.5</v>
      </c>
      <c r="J424" t="n">
        <v>51.1</v>
      </c>
      <c r="K424" t="n">
        <v>52.5</v>
      </c>
      <c r="L424" t="n">
        <v>53.6</v>
      </c>
      <c r="M424" t="n">
        <v>1455.27001953125</v>
      </c>
      <c r="N424" t="n">
        <v>15671.605</v>
      </c>
      <c r="O424" t="n">
        <v>0.006023066574509698</v>
      </c>
      <c r="P424" t="n">
        <v>0.02398559850010293</v>
      </c>
      <c r="Q424" t="n">
        <v>0.02431080560296794</v>
      </c>
      <c r="R424" t="n">
        <v>0.006023066574509698</v>
      </c>
      <c r="S424" t="n">
        <v>0.02431080560296794</v>
      </c>
      <c r="T424" t="n">
        <v>0.02398559850010293</v>
      </c>
    </row>
    <row r="425">
      <c r="A425" s="93" t="n">
        <v>39295</v>
      </c>
      <c r="B425" t="n">
        <v>56.7</v>
      </c>
      <c r="C425" t="n">
        <v>55</v>
      </c>
      <c r="D425" t="n">
        <v>58.6</v>
      </c>
      <c r="E425" t="n">
        <v>60</v>
      </c>
      <c r="F425" t="n">
        <v>55.7</v>
      </c>
      <c r="G425" t="n">
        <v>61.5</v>
      </c>
      <c r="H425" t="n">
        <v>57</v>
      </c>
      <c r="I425" t="n">
        <v>50.5</v>
      </c>
      <c r="J425" t="n">
        <v>48.3</v>
      </c>
      <c r="K425" t="n">
        <v>53.5</v>
      </c>
      <c r="L425" t="n">
        <v>52.7</v>
      </c>
      <c r="M425" t="n">
        <v>1473.989990234375</v>
      </c>
      <c r="O425" t="n">
        <v>0.006023066574509698</v>
      </c>
      <c r="P425" t="n">
        <v>0.02398559850010293</v>
      </c>
      <c r="Q425" t="n">
        <v>0.02431080560296794</v>
      </c>
    </row>
    <row r="426">
      <c r="A426" s="93" t="n">
        <v>39326</v>
      </c>
      <c r="B426" t="n">
        <v>52.6</v>
      </c>
      <c r="C426" t="n">
        <v>51</v>
      </c>
      <c r="D426" t="n">
        <v>47</v>
      </c>
      <c r="E426" t="n">
        <v>66.7</v>
      </c>
      <c r="F426" t="n">
        <v>54.2</v>
      </c>
      <c r="G426" t="n">
        <v>62</v>
      </c>
      <c r="H426" t="n">
        <v>50</v>
      </c>
      <c r="I426" t="n">
        <v>50.5</v>
      </c>
      <c r="J426" t="n">
        <v>52.5</v>
      </c>
      <c r="K426" t="n">
        <v>50</v>
      </c>
      <c r="L426" t="n">
        <v>52.6</v>
      </c>
      <c r="M426" t="n">
        <v>1526.75</v>
      </c>
      <c r="O426" t="n">
        <v>0.006023066574509698</v>
      </c>
      <c r="P426" t="n">
        <v>0.02398559850010293</v>
      </c>
      <c r="Q426" t="n">
        <v>0.02431080560296794</v>
      </c>
    </row>
    <row r="427">
      <c r="A427" s="93" t="n">
        <v>39356</v>
      </c>
      <c r="B427" t="n">
        <v>55.3</v>
      </c>
      <c r="C427" t="n">
        <v>55.5</v>
      </c>
      <c r="D427" t="n">
        <v>43.5</v>
      </c>
      <c r="E427" t="n">
        <v>66.2</v>
      </c>
      <c r="F427" t="n">
        <v>55.1</v>
      </c>
      <c r="G427" t="n">
        <v>60</v>
      </c>
      <c r="H427" t="n">
        <v>49.5</v>
      </c>
      <c r="I427" t="n">
        <v>50</v>
      </c>
      <c r="J427" t="n">
        <v>53.6</v>
      </c>
      <c r="K427" t="n">
        <v>56</v>
      </c>
      <c r="L427" t="n">
        <v>53.6</v>
      </c>
      <c r="M427" t="n">
        <v>1549.380004882812</v>
      </c>
      <c r="N427" t="n">
        <v>15767.146</v>
      </c>
      <c r="O427" t="n">
        <v>0.006096440026404512</v>
      </c>
      <c r="P427" t="n">
        <v>0.02160883208196539</v>
      </c>
      <c r="Q427" t="n">
        <v>0.0246096673082743</v>
      </c>
      <c r="R427" t="n">
        <v>0.006096440026404512</v>
      </c>
      <c r="S427" t="n">
        <v>0.0246096673082743</v>
      </c>
      <c r="T427" t="n">
        <v>0.02160883208196539</v>
      </c>
    </row>
    <row r="428">
      <c r="A428" s="93" t="n">
        <v>39387</v>
      </c>
      <c r="B428" t="n">
        <v>51.9</v>
      </c>
      <c r="C428" t="n">
        <v>49.5</v>
      </c>
      <c r="D428" t="n">
        <v>48.5</v>
      </c>
      <c r="E428" t="n">
        <v>75.3</v>
      </c>
      <c r="F428" t="n">
        <v>55.7</v>
      </c>
      <c r="G428" t="n">
        <v>61.5</v>
      </c>
      <c r="H428" t="n">
        <v>50.5</v>
      </c>
      <c r="I428" t="n">
        <v>51.5</v>
      </c>
      <c r="J428" t="n">
        <v>51.6</v>
      </c>
      <c r="K428" t="n">
        <v>55.5</v>
      </c>
      <c r="L428" t="n">
        <v>52.8</v>
      </c>
      <c r="M428" t="n">
        <v>1481.140014648438</v>
      </c>
      <c r="O428" t="n">
        <v>0.006096440026404512</v>
      </c>
      <c r="P428" t="n">
        <v>0.02160883208196539</v>
      </c>
      <c r="Q428" t="n">
        <v>0.0246096673082743</v>
      </c>
    </row>
    <row r="429">
      <c r="A429" s="93" t="n">
        <v>39417</v>
      </c>
      <c r="B429" t="n">
        <v>52.5</v>
      </c>
      <c r="C429" t="n">
        <v>50.5</v>
      </c>
      <c r="D429" t="n">
        <v>49</v>
      </c>
      <c r="E429" t="n">
        <v>72</v>
      </c>
      <c r="F429" t="n">
        <v>53.2</v>
      </c>
      <c r="G429" t="n">
        <v>64.5</v>
      </c>
      <c r="H429" t="n">
        <v>50.5</v>
      </c>
      <c r="I429" t="n">
        <v>52.5</v>
      </c>
      <c r="J429" t="n">
        <v>51.8</v>
      </c>
      <c r="K429" t="n">
        <v>50</v>
      </c>
      <c r="L429" t="n">
        <v>52.5</v>
      </c>
      <c r="M429" t="n">
        <v>1468.359985351562</v>
      </c>
      <c r="O429" t="n">
        <v>0.006096440026404512</v>
      </c>
      <c r="P429" t="n">
        <v>0.02160883208196539</v>
      </c>
      <c r="Q429" t="n">
        <v>0.0246096673082743</v>
      </c>
    </row>
    <row r="430">
      <c r="A430" s="93" t="n">
        <v>39448</v>
      </c>
      <c r="B430" t="n">
        <v>43.3</v>
      </c>
      <c r="C430" t="n">
        <v>41.5</v>
      </c>
      <c r="D430" t="n">
        <v>46</v>
      </c>
      <c r="E430" t="n">
        <v>71.59999999999999</v>
      </c>
      <c r="F430" t="n">
        <v>41.9</v>
      </c>
      <c r="G430" t="n">
        <v>57</v>
      </c>
      <c r="H430" t="n">
        <v>44.5</v>
      </c>
      <c r="I430" t="n">
        <v>49</v>
      </c>
      <c r="J430" t="n">
        <v>45.7</v>
      </c>
      <c r="K430" t="n">
        <v>52</v>
      </c>
      <c r="L430" t="n">
        <v>44.8</v>
      </c>
      <c r="M430" t="n">
        <v>1378.550048828125</v>
      </c>
      <c r="N430" t="n">
        <v>15702.906</v>
      </c>
      <c r="O430" t="n">
        <v>-0.004074294739200093</v>
      </c>
      <c r="P430" t="n">
        <v>0.01446803001442738</v>
      </c>
      <c r="Q430" t="n">
        <v>-0.01619784994668938</v>
      </c>
      <c r="R430" t="n">
        <v>-0.004074294739200093</v>
      </c>
      <c r="S430" t="n">
        <v>-0.01619784994668938</v>
      </c>
      <c r="T430" t="n">
        <v>0.01446803001442738</v>
      </c>
    </row>
    <row r="431">
      <c r="A431" s="93" t="n">
        <v>39479</v>
      </c>
      <c r="B431" t="n">
        <v>50.1</v>
      </c>
      <c r="C431" t="n">
        <v>49</v>
      </c>
      <c r="D431" t="n">
        <v>49.5</v>
      </c>
      <c r="E431" t="n">
        <v>71.7</v>
      </c>
      <c r="F431" t="n">
        <v>52.2</v>
      </c>
      <c r="G431" t="n">
        <v>60.5</v>
      </c>
      <c r="H431" t="n">
        <v>50</v>
      </c>
      <c r="I431" t="n">
        <v>50</v>
      </c>
      <c r="J431" t="n">
        <v>47.3</v>
      </c>
      <c r="K431" t="n">
        <v>46.5</v>
      </c>
      <c r="L431" t="n">
        <v>49.9</v>
      </c>
      <c r="M431" t="n">
        <v>1330.630004882812</v>
      </c>
      <c r="O431" t="n">
        <v>-0.004074294739200093</v>
      </c>
      <c r="P431" t="n">
        <v>0.01446803001442738</v>
      </c>
      <c r="Q431" t="n">
        <v>-0.01619784994668938</v>
      </c>
    </row>
    <row r="432">
      <c r="A432" s="93" t="n">
        <v>39508</v>
      </c>
      <c r="B432" t="n">
        <v>49.3</v>
      </c>
      <c r="C432" t="n">
        <v>54.5</v>
      </c>
      <c r="D432" t="n">
        <v>47.5</v>
      </c>
      <c r="E432" t="n">
        <v>72.7</v>
      </c>
      <c r="F432" t="n">
        <v>51.7</v>
      </c>
      <c r="G432" t="n">
        <v>60.5</v>
      </c>
      <c r="H432" t="n">
        <v>51.5</v>
      </c>
      <c r="I432" t="n">
        <v>49</v>
      </c>
      <c r="J432" t="n">
        <v>47.4</v>
      </c>
      <c r="K432" t="n">
        <v>55</v>
      </c>
      <c r="L432" t="n">
        <v>49.4</v>
      </c>
      <c r="M432" t="n">
        <v>1322.699951171875</v>
      </c>
      <c r="O432" t="n">
        <v>-0.004074294739200093</v>
      </c>
      <c r="P432" t="n">
        <v>0.01446803001442738</v>
      </c>
      <c r="Q432" t="n">
        <v>-0.01619784994668938</v>
      </c>
    </row>
    <row r="433">
      <c r="A433" s="93" t="n">
        <v>39539</v>
      </c>
      <c r="B433" t="n">
        <v>50.3</v>
      </c>
      <c r="C433" t="n">
        <v>50</v>
      </c>
      <c r="D433" t="n">
        <v>50</v>
      </c>
      <c r="E433" t="n">
        <v>71.90000000000001</v>
      </c>
      <c r="F433" t="n">
        <v>51.1</v>
      </c>
      <c r="G433" t="n">
        <v>63</v>
      </c>
      <c r="H433" t="n">
        <v>47</v>
      </c>
      <c r="I433" t="n">
        <v>56</v>
      </c>
      <c r="J433" t="n">
        <v>49.7</v>
      </c>
      <c r="K433" t="n">
        <v>48.5</v>
      </c>
      <c r="L433" t="n">
        <v>51.9</v>
      </c>
      <c r="M433" t="n">
        <v>1385.589965820312</v>
      </c>
      <c r="N433" t="n">
        <v>15792.773</v>
      </c>
      <c r="O433" t="n">
        <v>0.005722953445686955</v>
      </c>
      <c r="P433" t="n">
        <v>0.01380132559333386</v>
      </c>
      <c r="Q433" t="n">
        <v>0.02308907778947789</v>
      </c>
      <c r="R433" t="n">
        <v>0.005722953445686955</v>
      </c>
      <c r="S433" t="n">
        <v>0.02308907778947789</v>
      </c>
      <c r="T433" t="n">
        <v>0.01380132559333386</v>
      </c>
    </row>
    <row r="434">
      <c r="A434" s="93" t="n">
        <v>39569</v>
      </c>
      <c r="B434" t="n">
        <v>54.2</v>
      </c>
      <c r="C434" t="n">
        <v>48</v>
      </c>
      <c r="D434" t="n">
        <v>49</v>
      </c>
      <c r="E434" t="n">
        <v>75.2</v>
      </c>
      <c r="F434" t="n">
        <v>53.3</v>
      </c>
      <c r="G434" t="n">
        <v>66.5</v>
      </c>
      <c r="H434" t="n">
        <v>54</v>
      </c>
      <c r="I434" t="n">
        <v>51</v>
      </c>
      <c r="J434" t="n">
        <v>47.2</v>
      </c>
      <c r="K434" t="n">
        <v>54</v>
      </c>
      <c r="L434" t="n">
        <v>51.5</v>
      </c>
      <c r="M434" t="n">
        <v>1400.380004882812</v>
      </c>
      <c r="O434" t="n">
        <v>0.005722953445686955</v>
      </c>
      <c r="P434" t="n">
        <v>0.01380132559333386</v>
      </c>
      <c r="Q434" t="n">
        <v>0.02308907778947789</v>
      </c>
    </row>
    <row r="435">
      <c r="A435" s="93" t="n">
        <v>39600</v>
      </c>
      <c r="B435" t="n">
        <v>49.2</v>
      </c>
      <c r="C435" t="n">
        <v>50.5</v>
      </c>
      <c r="D435" t="n">
        <v>49</v>
      </c>
      <c r="E435" t="n">
        <v>79.59999999999999</v>
      </c>
      <c r="F435" t="n">
        <v>50.2</v>
      </c>
      <c r="G435" t="n">
        <v>60</v>
      </c>
      <c r="H435" t="n">
        <v>53</v>
      </c>
      <c r="I435" t="n">
        <v>50.5</v>
      </c>
      <c r="J435" t="n">
        <v>43.4</v>
      </c>
      <c r="K435" t="n">
        <v>52</v>
      </c>
      <c r="L435" t="n">
        <v>48.1</v>
      </c>
      <c r="M435" t="n">
        <v>1280</v>
      </c>
      <c r="O435" t="n">
        <v>0.005722953445686955</v>
      </c>
      <c r="P435" t="n">
        <v>0.01380132559333386</v>
      </c>
      <c r="Q435" t="n">
        <v>0.02308907778947789</v>
      </c>
    </row>
    <row r="436">
      <c r="A436" s="93" t="n">
        <v>39630</v>
      </c>
      <c r="B436" t="n">
        <v>49</v>
      </c>
      <c r="C436" t="n">
        <v>49</v>
      </c>
      <c r="D436" t="n">
        <v>52</v>
      </c>
      <c r="E436" t="n">
        <v>77.40000000000001</v>
      </c>
      <c r="F436" t="n">
        <v>51</v>
      </c>
      <c r="G436" t="n">
        <v>62.5</v>
      </c>
      <c r="H436" t="n">
        <v>54.5</v>
      </c>
      <c r="I436" t="n">
        <v>53.5</v>
      </c>
      <c r="J436" t="n">
        <v>46.3</v>
      </c>
      <c r="K436" t="n">
        <v>47.5</v>
      </c>
      <c r="L436" t="n">
        <v>50.1</v>
      </c>
      <c r="M436" t="n">
        <v>1267.380004882812</v>
      </c>
      <c r="N436" t="n">
        <v>15709.562</v>
      </c>
      <c r="O436" t="n">
        <v>-0.005268929022154585</v>
      </c>
      <c r="P436" t="n">
        <v>0.002422023781227279</v>
      </c>
      <c r="Q436" t="n">
        <v>-0.02090973073554281</v>
      </c>
      <c r="R436" t="n">
        <v>-0.005268929022154585</v>
      </c>
      <c r="S436" t="n">
        <v>-0.02090973073554281</v>
      </c>
      <c r="T436" t="n">
        <v>0.002422023781227279</v>
      </c>
    </row>
    <row r="437">
      <c r="A437" s="93" t="n">
        <v>39661</v>
      </c>
      <c r="B437" t="n">
        <v>50.7</v>
      </c>
      <c r="C437" t="n">
        <v>46</v>
      </c>
      <c r="D437" t="n">
        <v>49</v>
      </c>
      <c r="E437" t="n">
        <v>72.40000000000001</v>
      </c>
      <c r="F437" t="n">
        <v>51.1</v>
      </c>
      <c r="G437" t="n">
        <v>66</v>
      </c>
      <c r="H437" t="n">
        <v>53.5</v>
      </c>
      <c r="I437" t="n">
        <v>55.5</v>
      </c>
      <c r="J437" t="n">
        <v>45.2</v>
      </c>
      <c r="K437" t="n">
        <v>44.5</v>
      </c>
      <c r="L437" t="n">
        <v>50.6</v>
      </c>
      <c r="M437" t="n">
        <v>1282.829956054688</v>
      </c>
      <c r="O437" t="n">
        <v>-0.005268929022154585</v>
      </c>
      <c r="P437" t="n">
        <v>0.002422023781227279</v>
      </c>
      <c r="Q437" t="n">
        <v>-0.02090973073554281</v>
      </c>
    </row>
    <row r="438">
      <c r="A438" s="93" t="n">
        <v>39692</v>
      </c>
      <c r="B438" t="n">
        <v>49.5</v>
      </c>
      <c r="C438" t="n">
        <v>47.5</v>
      </c>
      <c r="D438" t="n">
        <v>46.5</v>
      </c>
      <c r="E438" t="n">
        <v>71.90000000000001</v>
      </c>
      <c r="F438" t="n">
        <v>50.4</v>
      </c>
      <c r="G438" t="n">
        <v>62.5</v>
      </c>
      <c r="H438" t="n">
        <v>45.5</v>
      </c>
      <c r="I438" t="n">
        <v>53.5</v>
      </c>
      <c r="J438" t="n">
        <v>44.3</v>
      </c>
      <c r="K438" t="n">
        <v>50.5</v>
      </c>
      <c r="L438" t="n">
        <v>49.4</v>
      </c>
      <c r="M438" t="n">
        <v>1166.359985351562</v>
      </c>
      <c r="O438" t="n">
        <v>-0.005268929022154585</v>
      </c>
      <c r="P438" t="n">
        <v>0.002422023781227279</v>
      </c>
      <c r="Q438" t="n">
        <v>-0.02090973073554281</v>
      </c>
    </row>
    <row r="439">
      <c r="A439" s="93" t="n">
        <v>39722</v>
      </c>
      <c r="B439" t="n">
        <v>44.1</v>
      </c>
      <c r="C439" t="n">
        <v>52</v>
      </c>
      <c r="D439" t="n">
        <v>44</v>
      </c>
      <c r="E439" t="n">
        <v>53.9</v>
      </c>
      <c r="F439" t="n">
        <v>43.8</v>
      </c>
      <c r="G439" t="n">
        <v>67.5</v>
      </c>
      <c r="H439" t="n">
        <v>48</v>
      </c>
      <c r="I439" t="n">
        <v>48</v>
      </c>
      <c r="J439" t="n">
        <v>42.8</v>
      </c>
      <c r="K439" t="n">
        <v>50</v>
      </c>
      <c r="L439" t="n">
        <v>44.7</v>
      </c>
      <c r="M439" t="n">
        <v>968.75</v>
      </c>
      <c r="N439" t="n">
        <v>15366.607</v>
      </c>
      <c r="O439" t="n">
        <v>-0.02183097148093626</v>
      </c>
      <c r="P439" t="n">
        <v>-0.02540339259876205</v>
      </c>
      <c r="Q439" t="n">
        <v>-0.08450572869534734</v>
      </c>
      <c r="R439" t="n">
        <v>-0.02183097148093626</v>
      </c>
      <c r="S439" t="n">
        <v>-0.08450572869534734</v>
      </c>
      <c r="T439" t="n">
        <v>-0.02540339259876205</v>
      </c>
    </row>
    <row r="440">
      <c r="A440" s="93" t="n">
        <v>39753</v>
      </c>
      <c r="B440" t="n">
        <v>35.3</v>
      </c>
      <c r="C440" t="n">
        <v>40</v>
      </c>
      <c r="D440" t="n">
        <v>39.5</v>
      </c>
      <c r="E440" t="n">
        <v>37.4</v>
      </c>
      <c r="F440" t="n">
        <v>34.2</v>
      </c>
      <c r="G440" t="n">
        <v>65</v>
      </c>
      <c r="H440" t="n">
        <v>46</v>
      </c>
      <c r="I440" t="n">
        <v>49.5</v>
      </c>
      <c r="J440" t="n">
        <v>31.5</v>
      </c>
      <c r="K440" t="n">
        <v>34.5</v>
      </c>
      <c r="L440" t="n">
        <v>37.8</v>
      </c>
      <c r="M440" t="n">
        <v>896.239990234375</v>
      </c>
      <c r="O440" t="n">
        <v>-0.02183097148093626</v>
      </c>
      <c r="P440" t="n">
        <v>-0.02540339259876205</v>
      </c>
      <c r="Q440" t="n">
        <v>-0.08450572869534734</v>
      </c>
    </row>
    <row r="441">
      <c r="A441" s="93" t="n">
        <v>39783</v>
      </c>
      <c r="B441" t="n">
        <v>38.7</v>
      </c>
      <c r="C441" t="n">
        <v>32.5</v>
      </c>
      <c r="D441" t="n">
        <v>42.5</v>
      </c>
      <c r="E441" t="n">
        <v>36.1</v>
      </c>
      <c r="F441" t="n">
        <v>38.3</v>
      </c>
      <c r="G441" t="n">
        <v>65.5</v>
      </c>
      <c r="H441" t="n">
        <v>49</v>
      </c>
      <c r="I441" t="n">
        <v>48</v>
      </c>
      <c r="J441" t="n">
        <v>34.9</v>
      </c>
      <c r="K441" t="n">
        <v>39.5</v>
      </c>
      <c r="L441" t="n">
        <v>40</v>
      </c>
      <c r="M441" t="n">
        <v>903.25</v>
      </c>
      <c r="O441" t="n">
        <v>-0.02183097148093626</v>
      </c>
      <c r="P441" t="n">
        <v>-0.02540339259876205</v>
      </c>
      <c r="Q441" t="n">
        <v>-0.08450572869534734</v>
      </c>
    </row>
    <row r="442">
      <c r="A442" s="93" t="n">
        <v>39814</v>
      </c>
      <c r="B442" t="n">
        <v>40.7</v>
      </c>
      <c r="C442" t="n">
        <v>40.5</v>
      </c>
      <c r="D442" t="n">
        <v>37.5</v>
      </c>
      <c r="E442" t="n">
        <v>41.7</v>
      </c>
      <c r="F442" t="n">
        <v>44.1</v>
      </c>
      <c r="G442" t="n">
        <v>62.5</v>
      </c>
      <c r="H442" t="n">
        <v>41.5</v>
      </c>
      <c r="I442" t="n">
        <v>51.5</v>
      </c>
      <c r="J442" t="n">
        <v>36.2</v>
      </c>
      <c r="K442" t="n">
        <v>39</v>
      </c>
      <c r="L442" t="n">
        <v>43</v>
      </c>
      <c r="M442" t="n">
        <v>825.8800048828125</v>
      </c>
      <c r="N442" t="n">
        <v>15187.475</v>
      </c>
      <c r="O442" t="n">
        <v>-0.01165722530679672</v>
      </c>
      <c r="P442" t="n">
        <v>-0.03282392443793528</v>
      </c>
      <c r="Q442" t="n">
        <v>-0.04581987379316921</v>
      </c>
      <c r="R442" t="n">
        <v>-0.01165722530679672</v>
      </c>
      <c r="S442" t="n">
        <v>-0.04581987379316921</v>
      </c>
      <c r="T442" t="n">
        <v>-0.03282392443793528</v>
      </c>
    </row>
    <row r="443">
      <c r="A443" s="93" t="n">
        <v>39845</v>
      </c>
      <c r="B443" t="n">
        <v>40.4</v>
      </c>
      <c r="C443" t="n">
        <v>39</v>
      </c>
      <c r="D443" t="n">
        <v>36.5</v>
      </c>
      <c r="E443" t="n">
        <v>48.6</v>
      </c>
      <c r="F443" t="n">
        <v>40.6</v>
      </c>
      <c r="G443" t="n">
        <v>66.5</v>
      </c>
      <c r="H443" t="n">
        <v>39</v>
      </c>
      <c r="I443" t="n">
        <v>48</v>
      </c>
      <c r="J443" t="n">
        <v>37</v>
      </c>
      <c r="K443" t="n">
        <v>40</v>
      </c>
      <c r="L443" t="n">
        <v>41.6</v>
      </c>
      <c r="M443" t="n">
        <v>735.0900268554688</v>
      </c>
      <c r="O443" t="n">
        <v>-0.01165722530679672</v>
      </c>
      <c r="P443" t="n">
        <v>-0.03282392443793528</v>
      </c>
      <c r="Q443" t="n">
        <v>-0.04581987379316921</v>
      </c>
    </row>
    <row r="444">
      <c r="A444" s="93" t="n">
        <v>39873</v>
      </c>
      <c r="B444" t="n">
        <v>37.2</v>
      </c>
      <c r="C444" t="n">
        <v>37</v>
      </c>
      <c r="D444" t="n">
        <v>41</v>
      </c>
      <c r="E444" t="n">
        <v>40</v>
      </c>
      <c r="F444" t="n">
        <v>42.8</v>
      </c>
      <c r="G444" t="n">
        <v>60</v>
      </c>
      <c r="H444" t="n">
        <v>40</v>
      </c>
      <c r="I444" t="n">
        <v>48</v>
      </c>
      <c r="J444" t="n">
        <v>31.9</v>
      </c>
      <c r="K444" t="n">
        <v>39</v>
      </c>
      <c r="L444" t="n">
        <v>40.1</v>
      </c>
      <c r="M444" t="n">
        <v>797.8699951171875</v>
      </c>
      <c r="O444" t="n">
        <v>-0.01165722530679672</v>
      </c>
      <c r="P444" t="n">
        <v>-0.03282392443793528</v>
      </c>
      <c r="Q444" t="n">
        <v>-0.04581987379316921</v>
      </c>
    </row>
    <row r="445">
      <c r="A445" s="93" t="n">
        <v>39904</v>
      </c>
      <c r="B445" t="n">
        <v>46.8</v>
      </c>
      <c r="C445" t="n">
        <v>48.5</v>
      </c>
      <c r="D445" t="n">
        <v>44</v>
      </c>
      <c r="E445" t="n">
        <v>39.9</v>
      </c>
      <c r="F445" t="n">
        <v>45</v>
      </c>
      <c r="G445" t="n">
        <v>62.5</v>
      </c>
      <c r="H445" t="n">
        <v>43</v>
      </c>
      <c r="I445" t="n">
        <v>45.5</v>
      </c>
      <c r="J445" t="n">
        <v>36.3</v>
      </c>
      <c r="K445" t="n">
        <v>48.5</v>
      </c>
      <c r="L445" t="n">
        <v>43.7</v>
      </c>
      <c r="M445" t="n">
        <v>872.8099975585938</v>
      </c>
      <c r="N445" t="n">
        <v>15161.772</v>
      </c>
      <c r="O445" t="n">
        <v>-0.001692381386635996</v>
      </c>
      <c r="P445" t="n">
        <v>-0.03995504779306322</v>
      </c>
      <c r="Q445" t="n">
        <v>-0.006752359998762336</v>
      </c>
      <c r="R445" t="n">
        <v>-0.001692381386635996</v>
      </c>
      <c r="S445" t="n">
        <v>-0.006752359998762336</v>
      </c>
      <c r="T445" t="n">
        <v>-0.03995504779306322</v>
      </c>
    </row>
    <row r="446">
      <c r="A446" s="93" t="n">
        <v>39934</v>
      </c>
      <c r="B446" t="n">
        <v>45.9</v>
      </c>
      <c r="C446" t="n">
        <v>46</v>
      </c>
      <c r="D446" t="n">
        <v>40</v>
      </c>
      <c r="E446" t="n">
        <v>47.1</v>
      </c>
      <c r="F446" t="n">
        <v>43.1</v>
      </c>
      <c r="G446" t="n">
        <v>62.5</v>
      </c>
      <c r="H446" t="n">
        <v>47</v>
      </c>
      <c r="I446" t="n">
        <v>50</v>
      </c>
      <c r="J446" t="n">
        <v>37.9</v>
      </c>
      <c r="K446" t="n">
        <v>47</v>
      </c>
      <c r="L446" t="n">
        <v>44.4</v>
      </c>
      <c r="M446" t="n">
        <v>919.1400146484375</v>
      </c>
      <c r="O446" t="n">
        <v>-0.001692381386635996</v>
      </c>
      <c r="P446" t="n">
        <v>-0.03995504779306322</v>
      </c>
      <c r="Q446" t="n">
        <v>-0.006752359998762336</v>
      </c>
    </row>
    <row r="447">
      <c r="A447" s="93" t="n">
        <v>39965</v>
      </c>
      <c r="B447" t="n">
        <v>49.6</v>
      </c>
      <c r="C447" t="n">
        <v>47</v>
      </c>
      <c r="D447" t="n">
        <v>46</v>
      </c>
      <c r="E447" t="n">
        <v>52.9</v>
      </c>
      <c r="F447" t="n">
        <v>50.1</v>
      </c>
      <c r="G447" t="n">
        <v>67</v>
      </c>
      <c r="H447" t="n">
        <v>45</v>
      </c>
      <c r="I447" t="n">
        <v>46</v>
      </c>
      <c r="J447" t="n">
        <v>41.5</v>
      </c>
      <c r="K447" t="n">
        <v>54.5</v>
      </c>
      <c r="L447" t="n">
        <v>46.4</v>
      </c>
      <c r="M447" t="n">
        <v>919.3200073242188</v>
      </c>
      <c r="O447" t="n">
        <v>-0.001692381386635996</v>
      </c>
      <c r="P447" t="n">
        <v>-0.03995504779306322</v>
      </c>
      <c r="Q447" t="n">
        <v>-0.006752359998762336</v>
      </c>
    </row>
    <row r="448">
      <c r="A448" s="93" t="n">
        <v>39995</v>
      </c>
      <c r="B448" t="n">
        <v>49.7</v>
      </c>
      <c r="C448" t="n">
        <v>45</v>
      </c>
      <c r="D448" t="n">
        <v>42</v>
      </c>
      <c r="E448" t="n">
        <v>41.5</v>
      </c>
      <c r="F448" t="n">
        <v>47</v>
      </c>
      <c r="G448" t="n">
        <v>62.5</v>
      </c>
      <c r="H448" t="n">
        <v>47</v>
      </c>
      <c r="I448" t="n">
        <v>50</v>
      </c>
      <c r="J448" t="n">
        <v>41.3</v>
      </c>
      <c r="K448" t="n">
        <v>47.5</v>
      </c>
      <c r="L448" t="n">
        <v>47.1</v>
      </c>
      <c r="M448" t="n">
        <v>987.47998046875</v>
      </c>
      <c r="N448" t="n">
        <v>15216.647</v>
      </c>
      <c r="O448" t="n">
        <v>0.00361929990768889</v>
      </c>
      <c r="P448" t="n">
        <v>-0.03137675003287801</v>
      </c>
      <c r="Q448" t="n">
        <v>0.01455598543492087</v>
      </c>
      <c r="R448" t="n">
        <v>0.00361929990768889</v>
      </c>
      <c r="S448" t="n">
        <v>0.01455598543492087</v>
      </c>
      <c r="T448" t="n">
        <v>-0.03137675003287801</v>
      </c>
    </row>
    <row r="449">
      <c r="A449" s="93" t="n">
        <v>40026</v>
      </c>
      <c r="B449" t="n">
        <v>51.7</v>
      </c>
      <c r="C449" t="n">
        <v>49</v>
      </c>
      <c r="D449" t="n">
        <v>41</v>
      </c>
      <c r="E449" t="n">
        <v>60.8</v>
      </c>
      <c r="F449" t="n">
        <v>52.1</v>
      </c>
      <c r="G449" t="n">
        <v>67.5</v>
      </c>
      <c r="H449" t="n">
        <v>43</v>
      </c>
      <c r="I449" t="n">
        <v>49</v>
      </c>
      <c r="J449" t="n">
        <v>43.4</v>
      </c>
      <c r="K449" t="n">
        <v>54</v>
      </c>
      <c r="L449" t="n">
        <v>48.9</v>
      </c>
      <c r="M449" t="n">
        <v>1020.619995117188</v>
      </c>
      <c r="O449" t="n">
        <v>0.00361929990768889</v>
      </c>
      <c r="P449" t="n">
        <v>-0.03137675003287801</v>
      </c>
      <c r="Q449" t="n">
        <v>0.01455598543492087</v>
      </c>
    </row>
    <row r="450">
      <c r="A450" s="93" t="n">
        <v>40057</v>
      </c>
      <c r="B450" t="n">
        <v>53.3</v>
      </c>
      <c r="C450" t="n">
        <v>51.5</v>
      </c>
      <c r="D450" t="n">
        <v>51.5</v>
      </c>
      <c r="E450" t="n">
        <v>49.6</v>
      </c>
      <c r="F450" t="n">
        <v>53.8</v>
      </c>
      <c r="G450" t="n">
        <v>62</v>
      </c>
      <c r="H450" t="n">
        <v>47.5</v>
      </c>
      <c r="I450" t="n">
        <v>50</v>
      </c>
      <c r="J450" t="n">
        <v>44.7</v>
      </c>
      <c r="K450" t="n">
        <v>48.5</v>
      </c>
      <c r="L450" t="n">
        <v>50.1</v>
      </c>
      <c r="M450" t="n">
        <v>1057.079956054688</v>
      </c>
      <c r="O450" t="n">
        <v>0.00361929990768889</v>
      </c>
      <c r="P450" t="n">
        <v>-0.03137675003287801</v>
      </c>
      <c r="Q450" t="n">
        <v>0.01455598543492087</v>
      </c>
    </row>
    <row r="451">
      <c r="A451" s="93" t="n">
        <v>40087</v>
      </c>
      <c r="B451" t="n">
        <v>55.4</v>
      </c>
      <c r="C451" t="n">
        <v>46</v>
      </c>
      <c r="D451" t="n">
        <v>53.5</v>
      </c>
      <c r="E451" t="n">
        <v>53.5</v>
      </c>
      <c r="F451" t="n">
        <v>55</v>
      </c>
      <c r="G451" t="n">
        <v>63.5</v>
      </c>
      <c r="H451" t="n">
        <v>43</v>
      </c>
      <c r="I451" t="n">
        <v>50.5</v>
      </c>
      <c r="J451" t="n">
        <v>42.6</v>
      </c>
      <c r="K451" t="n">
        <v>53.5</v>
      </c>
      <c r="L451" t="n">
        <v>51</v>
      </c>
      <c r="M451" t="n">
        <v>1036.18994140625</v>
      </c>
      <c r="N451" t="n">
        <v>15379.155</v>
      </c>
      <c r="O451" t="n">
        <v>0.01067961949830339</v>
      </c>
      <c r="P451" t="n">
        <v>0.0008165758387652319</v>
      </c>
      <c r="Q451" t="n">
        <v>0.0434076888622974</v>
      </c>
      <c r="R451" t="n">
        <v>0.01067961949830339</v>
      </c>
      <c r="S451" t="n">
        <v>0.0434076888622974</v>
      </c>
      <c r="T451" t="n">
        <v>0.0008165758387652319</v>
      </c>
    </row>
    <row r="452">
      <c r="A452" s="93" t="n">
        <v>40118</v>
      </c>
      <c r="B452" t="n">
        <v>54.9</v>
      </c>
      <c r="C452" t="n">
        <v>46</v>
      </c>
      <c r="D452" t="n">
        <v>48.5</v>
      </c>
      <c r="E452" t="n">
        <v>58.9</v>
      </c>
      <c r="F452" t="n">
        <v>50.9</v>
      </c>
      <c r="G452" t="n">
        <v>61.5</v>
      </c>
      <c r="H452" t="n">
        <v>45.5</v>
      </c>
      <c r="I452" t="n">
        <v>48.5</v>
      </c>
      <c r="J452" t="n">
        <v>42.8</v>
      </c>
      <c r="K452" t="n">
        <v>54.5</v>
      </c>
      <c r="L452" t="n">
        <v>49.5</v>
      </c>
      <c r="M452" t="n">
        <v>1095.630004882812</v>
      </c>
      <c r="O452" t="n">
        <v>0.01067961949830339</v>
      </c>
      <c r="P452" t="n">
        <v>0.0008165758387652319</v>
      </c>
      <c r="Q452" t="n">
        <v>0.0434076888622974</v>
      </c>
    </row>
    <row r="453">
      <c r="A453" s="93" t="n">
        <v>40148</v>
      </c>
      <c r="B453" t="n">
        <v>51.6</v>
      </c>
      <c r="C453" t="n">
        <v>52.5</v>
      </c>
      <c r="D453" t="n">
        <v>48</v>
      </c>
      <c r="E453" t="n">
        <v>58.9</v>
      </c>
      <c r="F453" t="n">
        <v>53</v>
      </c>
      <c r="G453" t="n">
        <v>61</v>
      </c>
      <c r="H453" t="n">
        <v>51.5</v>
      </c>
      <c r="I453" t="n">
        <v>50.5</v>
      </c>
      <c r="J453" t="n">
        <v>44.6</v>
      </c>
      <c r="K453" t="n">
        <v>46</v>
      </c>
      <c r="L453" t="n">
        <v>49.7</v>
      </c>
      <c r="M453" t="n">
        <v>1115.099975585938</v>
      </c>
      <c r="O453" t="n">
        <v>0.01067961949830339</v>
      </c>
      <c r="P453" t="n">
        <v>0.0008165758387652319</v>
      </c>
      <c r="Q453" t="n">
        <v>0.0434076888622974</v>
      </c>
    </row>
    <row r="454">
      <c r="A454" s="93" t="n">
        <v>40179</v>
      </c>
      <c r="B454" t="n">
        <v>52.9</v>
      </c>
      <c r="C454" t="n">
        <v>47</v>
      </c>
      <c r="D454" t="n">
        <v>45.5</v>
      </c>
      <c r="E454" t="n">
        <v>59.4</v>
      </c>
      <c r="F454" t="n">
        <v>51.5</v>
      </c>
      <c r="G454" t="n">
        <v>64.5</v>
      </c>
      <c r="H454" t="n">
        <v>46.5</v>
      </c>
      <c r="I454" t="n">
        <v>50.5</v>
      </c>
      <c r="J454" t="n">
        <v>44.8</v>
      </c>
      <c r="K454" t="n">
        <v>46</v>
      </c>
      <c r="L454" t="n">
        <v>50</v>
      </c>
      <c r="M454" t="n">
        <v>1073.869995117188</v>
      </c>
      <c r="N454" t="n">
        <v>15456.059</v>
      </c>
      <c r="O454" t="n">
        <v>0.00500053481481906</v>
      </c>
      <c r="P454" t="n">
        <v>0.01768457232028358</v>
      </c>
      <c r="Q454" t="n">
        <v>0.02015267213561023</v>
      </c>
      <c r="R454" t="n">
        <v>0.00500053481481906</v>
      </c>
      <c r="S454" t="n">
        <v>0.02015267213561023</v>
      </c>
      <c r="T454" t="n">
        <v>0.01768457232028358</v>
      </c>
    </row>
    <row r="455">
      <c r="A455" s="93" t="n">
        <v>40210</v>
      </c>
      <c r="B455" t="n">
        <v>53.4</v>
      </c>
      <c r="C455" t="n">
        <v>48.5</v>
      </c>
      <c r="D455" t="n">
        <v>46</v>
      </c>
      <c r="E455" t="n">
        <v>58.7</v>
      </c>
      <c r="F455" t="n">
        <v>53</v>
      </c>
      <c r="G455" t="n">
        <v>60</v>
      </c>
      <c r="H455" t="n">
        <v>45</v>
      </c>
      <c r="I455" t="n">
        <v>53.5</v>
      </c>
      <c r="J455" t="n">
        <v>46</v>
      </c>
      <c r="K455" t="n">
        <v>47</v>
      </c>
      <c r="L455" t="n">
        <v>51.7</v>
      </c>
      <c r="M455" t="n">
        <v>1104.489990234375</v>
      </c>
      <c r="O455" t="n">
        <v>0.00500053481481906</v>
      </c>
      <c r="P455" t="n">
        <v>0.01768457232028358</v>
      </c>
      <c r="Q455" t="n">
        <v>0.02015267213561023</v>
      </c>
    </row>
    <row r="456">
      <c r="A456" s="93" t="n">
        <v>40238</v>
      </c>
      <c r="B456" t="n">
        <v>58.1</v>
      </c>
      <c r="C456" t="n">
        <v>51</v>
      </c>
      <c r="D456" t="n">
        <v>55.5</v>
      </c>
      <c r="E456" t="n">
        <v>60.9</v>
      </c>
      <c r="F456" t="n">
        <v>57.7</v>
      </c>
      <c r="G456" t="n">
        <v>52.5</v>
      </c>
      <c r="H456" t="n">
        <v>46.5</v>
      </c>
      <c r="I456" t="n">
        <v>49.5</v>
      </c>
      <c r="J456" t="n">
        <v>47.4</v>
      </c>
      <c r="K456" t="n">
        <v>57.5</v>
      </c>
      <c r="L456" t="n">
        <v>53.3</v>
      </c>
      <c r="M456" t="n">
        <v>1169.430053710938</v>
      </c>
      <c r="O456" t="n">
        <v>0.00500053481481906</v>
      </c>
      <c r="P456" t="n">
        <v>0.01768457232028358</v>
      </c>
      <c r="Q456" t="n">
        <v>0.02015267213561023</v>
      </c>
    </row>
    <row r="457">
      <c r="A457" s="93" t="n">
        <v>40269</v>
      </c>
      <c r="B457" t="n">
        <v>58.1</v>
      </c>
      <c r="C457" t="n">
        <v>56.5</v>
      </c>
      <c r="D457" t="n">
        <v>49.5</v>
      </c>
      <c r="E457" t="n">
        <v>63.8</v>
      </c>
      <c r="F457" t="n">
        <v>59.8</v>
      </c>
      <c r="G457" t="n">
        <v>53.5</v>
      </c>
      <c r="H457" t="n">
        <v>54.5</v>
      </c>
      <c r="I457" t="n">
        <v>53.5</v>
      </c>
      <c r="J457" t="n">
        <v>49.3</v>
      </c>
      <c r="K457" t="n">
        <v>57</v>
      </c>
      <c r="L457" t="n">
        <v>55.3</v>
      </c>
      <c r="M457" t="n">
        <v>1186.68994140625</v>
      </c>
      <c r="N457" t="n">
        <v>15605.628</v>
      </c>
      <c r="O457" t="n">
        <v>0.009677046393262431</v>
      </c>
      <c r="P457" t="n">
        <v>0.02927467844787534</v>
      </c>
      <c r="Q457" t="n">
        <v>0.03927369054068341</v>
      </c>
      <c r="R457" t="n">
        <v>0.009677046393262431</v>
      </c>
      <c r="S457" t="n">
        <v>0.03927369054068341</v>
      </c>
      <c r="T457" t="n">
        <v>0.02927467844787534</v>
      </c>
    </row>
    <row r="458">
      <c r="A458" s="93" t="n">
        <v>40299</v>
      </c>
      <c r="B458" t="n">
        <v>57.9</v>
      </c>
      <c r="C458" t="n">
        <v>56.5</v>
      </c>
      <c r="D458" t="n">
        <v>56</v>
      </c>
      <c r="E458" t="n">
        <v>60.8</v>
      </c>
      <c r="F458" t="n">
        <v>61.3</v>
      </c>
      <c r="G458" t="n">
        <v>60.5</v>
      </c>
      <c r="H458" t="n">
        <v>62.5</v>
      </c>
      <c r="I458" t="n">
        <v>53</v>
      </c>
      <c r="J458" t="n">
        <v>49.6</v>
      </c>
      <c r="K458" t="n">
        <v>53.5</v>
      </c>
      <c r="L458" t="n">
        <v>55.5</v>
      </c>
      <c r="M458" t="n">
        <v>1089.410034179688</v>
      </c>
      <c r="O458" t="n">
        <v>0.009677046393262431</v>
      </c>
      <c r="P458" t="n">
        <v>0.02927467844787534</v>
      </c>
      <c r="Q458" t="n">
        <v>0.03927369054068341</v>
      </c>
    </row>
    <row r="459">
      <c r="A459" s="93" t="n">
        <v>40330</v>
      </c>
      <c r="B459" t="n">
        <v>56.6</v>
      </c>
      <c r="C459" t="n">
        <v>48</v>
      </c>
      <c r="D459" t="n">
        <v>55.5</v>
      </c>
      <c r="E459" t="n">
        <v>56.7</v>
      </c>
      <c r="F459" t="n">
        <v>59.4</v>
      </c>
      <c r="G459" t="n">
        <v>59</v>
      </c>
      <c r="H459" t="n">
        <v>58.5</v>
      </c>
      <c r="I459" t="n">
        <v>53</v>
      </c>
      <c r="J459" t="n">
        <v>48.5</v>
      </c>
      <c r="K459" t="n">
        <v>48</v>
      </c>
      <c r="L459" t="n">
        <v>54.4</v>
      </c>
      <c r="M459" t="n">
        <v>1030.7099609375</v>
      </c>
      <c r="O459" t="n">
        <v>0.009677046393262431</v>
      </c>
      <c r="P459" t="n">
        <v>0.02927467844787534</v>
      </c>
      <c r="Q459" t="n">
        <v>0.03927369054068341</v>
      </c>
    </row>
    <row r="460">
      <c r="A460" s="93" t="n">
        <v>40360</v>
      </c>
      <c r="B460" t="n">
        <v>58.2</v>
      </c>
      <c r="C460" t="n">
        <v>48</v>
      </c>
      <c r="D460" t="n">
        <v>52</v>
      </c>
      <c r="E460" t="n">
        <v>56.1</v>
      </c>
      <c r="F460" t="n">
        <v>57.4</v>
      </c>
      <c r="G460" t="n">
        <v>59</v>
      </c>
      <c r="H460" t="n">
        <v>55.5</v>
      </c>
      <c r="I460" t="n">
        <v>52</v>
      </c>
      <c r="J460" t="n">
        <v>50.7</v>
      </c>
      <c r="K460" t="n">
        <v>52</v>
      </c>
      <c r="L460" t="n">
        <v>54.6</v>
      </c>
      <c r="M460" t="n">
        <v>1101.599975585938</v>
      </c>
      <c r="N460" t="n">
        <v>15726.282</v>
      </c>
      <c r="O460" t="n">
        <v>0.007731441503026897</v>
      </c>
      <c r="P460" t="n">
        <v>0.03349193813853987</v>
      </c>
      <c r="Q460" t="n">
        <v>0.03128626930493783</v>
      </c>
      <c r="R460" t="n">
        <v>0.007731441503026897</v>
      </c>
      <c r="S460" t="n">
        <v>0.03128626930493783</v>
      </c>
      <c r="T460" t="n">
        <v>0.03349193813853987</v>
      </c>
    </row>
    <row r="461">
      <c r="A461" s="93" t="n">
        <v>40391</v>
      </c>
      <c r="B461" t="n">
        <v>54.4</v>
      </c>
      <c r="C461" t="n">
        <v>50.5</v>
      </c>
      <c r="D461" t="n">
        <v>50.5</v>
      </c>
      <c r="E461" t="n">
        <v>59.2</v>
      </c>
      <c r="F461" t="n">
        <v>55.8</v>
      </c>
      <c r="G461" t="n">
        <v>60</v>
      </c>
      <c r="H461" t="n">
        <v>53.5</v>
      </c>
      <c r="I461" t="n">
        <v>51</v>
      </c>
      <c r="J461" t="n">
        <v>48.9</v>
      </c>
      <c r="K461" t="n">
        <v>46.5</v>
      </c>
      <c r="L461" t="n">
        <v>52.4</v>
      </c>
      <c r="M461" t="n">
        <v>1049.329956054688</v>
      </c>
      <c r="O461" t="n">
        <v>0.007731441503026897</v>
      </c>
      <c r="P461" t="n">
        <v>0.03349193813853987</v>
      </c>
      <c r="Q461" t="n">
        <v>0.03128626930493783</v>
      </c>
    </row>
    <row r="462">
      <c r="A462" s="93" t="n">
        <v>40422</v>
      </c>
      <c r="B462" t="n">
        <v>54.3</v>
      </c>
      <c r="C462" t="n">
        <v>53</v>
      </c>
      <c r="D462" t="n">
        <v>48</v>
      </c>
      <c r="E462" t="n">
        <v>59.5</v>
      </c>
      <c r="F462" t="n">
        <v>53.3</v>
      </c>
      <c r="G462" t="n">
        <v>59.5</v>
      </c>
      <c r="H462" t="n">
        <v>47</v>
      </c>
      <c r="I462" t="n">
        <v>55</v>
      </c>
      <c r="J462" t="n">
        <v>51.5</v>
      </c>
      <c r="K462" t="n">
        <v>58</v>
      </c>
      <c r="L462" t="n">
        <v>53.3</v>
      </c>
      <c r="M462" t="n">
        <v>1141.199951171875</v>
      </c>
      <c r="O462" t="n">
        <v>0.007731441503026897</v>
      </c>
      <c r="P462" t="n">
        <v>0.03349193813853987</v>
      </c>
      <c r="Q462" t="n">
        <v>0.03128626930493783</v>
      </c>
    </row>
    <row r="463">
      <c r="A463" s="93" t="n">
        <v>40452</v>
      </c>
      <c r="B463" t="n">
        <v>58.3</v>
      </c>
      <c r="C463" t="n">
        <v>54</v>
      </c>
      <c r="D463" t="n">
        <v>52</v>
      </c>
      <c r="E463" t="n">
        <v>68.2</v>
      </c>
      <c r="F463" t="n">
        <v>59.7</v>
      </c>
      <c r="G463" t="n">
        <v>61.5</v>
      </c>
      <c r="H463" t="n">
        <v>47.5</v>
      </c>
      <c r="I463" t="n">
        <v>51</v>
      </c>
      <c r="J463" t="n">
        <v>52.1</v>
      </c>
      <c r="K463" t="n">
        <v>55.5</v>
      </c>
      <c r="L463" t="n">
        <v>55.3</v>
      </c>
      <c r="M463" t="n">
        <v>1183.260009765625</v>
      </c>
      <c r="N463" t="n">
        <v>15807.995</v>
      </c>
      <c r="O463" t="n">
        <v>0.005195951592372664</v>
      </c>
      <c r="P463" t="n">
        <v>0.02788449690506404</v>
      </c>
      <c r="Q463" t="n">
        <v>0.02094635569547498</v>
      </c>
      <c r="R463" t="n">
        <v>0.005195951592372664</v>
      </c>
      <c r="S463" t="n">
        <v>0.02094635569547498</v>
      </c>
      <c r="T463" t="n">
        <v>0.02788449690506404</v>
      </c>
    </row>
    <row r="464">
      <c r="A464" s="93" t="n">
        <v>40483</v>
      </c>
      <c r="B464" t="n">
        <v>58.4</v>
      </c>
      <c r="C464" t="n">
        <v>54.5</v>
      </c>
      <c r="D464" t="n">
        <v>51.5</v>
      </c>
      <c r="E464" t="n">
        <v>65.59999999999999</v>
      </c>
      <c r="F464" t="n">
        <v>59.1</v>
      </c>
      <c r="G464" t="n">
        <v>60</v>
      </c>
      <c r="H464" t="n">
        <v>51.5</v>
      </c>
      <c r="I464" t="n">
        <v>52.5</v>
      </c>
      <c r="J464" t="n">
        <v>56.6</v>
      </c>
      <c r="K464" t="n">
        <v>59.5</v>
      </c>
      <c r="L464" t="n">
        <v>56.4</v>
      </c>
      <c r="M464" t="n">
        <v>1180.550048828125</v>
      </c>
      <c r="O464" t="n">
        <v>0.005195951592372664</v>
      </c>
      <c r="P464" t="n">
        <v>0.02788449690506404</v>
      </c>
      <c r="Q464" t="n">
        <v>0.02094635569547498</v>
      </c>
    </row>
    <row r="465">
      <c r="A465" s="93" t="n">
        <v>40513</v>
      </c>
      <c r="B465" t="n">
        <v>62.1</v>
      </c>
      <c r="C465" t="n">
        <v>51</v>
      </c>
      <c r="D465" t="n">
        <v>48.5</v>
      </c>
      <c r="E465" t="n">
        <v>69.3</v>
      </c>
      <c r="F465" t="n">
        <v>62.2</v>
      </c>
      <c r="G465" t="n">
        <v>61.5</v>
      </c>
      <c r="H465" t="n">
        <v>52.5</v>
      </c>
      <c r="I465" t="n">
        <v>51.5</v>
      </c>
      <c r="J465" t="n">
        <v>52.2</v>
      </c>
      <c r="K465" t="n">
        <v>56</v>
      </c>
      <c r="L465" t="n">
        <v>56.9</v>
      </c>
      <c r="M465" t="n">
        <v>1257.640014648438</v>
      </c>
      <c r="O465" t="n">
        <v>0.005195951592372664</v>
      </c>
      <c r="P465" t="n">
        <v>0.02788449690506404</v>
      </c>
      <c r="Q465" t="n">
        <v>0.02094635569547498</v>
      </c>
    </row>
    <row r="466">
      <c r="A466" s="93" t="n">
        <v>40544</v>
      </c>
      <c r="B466" t="n">
        <v>63</v>
      </c>
      <c r="C466" t="n">
        <v>53.5</v>
      </c>
      <c r="D466" t="n">
        <v>50.5</v>
      </c>
      <c r="E466" t="n">
        <v>70</v>
      </c>
      <c r="F466" t="n">
        <v>61.6</v>
      </c>
      <c r="G466" t="n">
        <v>60</v>
      </c>
      <c r="H466" t="n">
        <v>49</v>
      </c>
      <c r="I466" t="n">
        <v>53.5</v>
      </c>
      <c r="J466" t="n">
        <v>52.1</v>
      </c>
      <c r="K466" t="n">
        <v>53.5</v>
      </c>
      <c r="L466" t="n">
        <v>57.6</v>
      </c>
      <c r="M466" t="n">
        <v>1286.119995117188</v>
      </c>
      <c r="N466" t="n">
        <v>15769.911</v>
      </c>
      <c r="O466" t="n">
        <v>-0.002409160681035181</v>
      </c>
      <c r="P466" t="n">
        <v>0.02030608190613149</v>
      </c>
      <c r="Q466" t="n">
        <v>-0.009601874290937396</v>
      </c>
      <c r="R466" t="n">
        <v>-0.002409160681035181</v>
      </c>
      <c r="S466" t="n">
        <v>-0.009601874290937396</v>
      </c>
      <c r="T466" t="n">
        <v>0.02030608190613149</v>
      </c>
    </row>
    <row r="467">
      <c r="A467" s="93" t="n">
        <v>40575</v>
      </c>
      <c r="B467" t="n">
        <v>61.9</v>
      </c>
      <c r="C467" t="n">
        <v>53.5</v>
      </c>
      <c r="D467" t="n">
        <v>52</v>
      </c>
      <c r="E467" t="n">
        <v>70.90000000000001</v>
      </c>
      <c r="F467" t="n">
        <v>63.3</v>
      </c>
      <c r="G467" t="n">
        <v>57.5</v>
      </c>
      <c r="H467" t="n">
        <v>55.5</v>
      </c>
      <c r="I467" t="n">
        <v>52</v>
      </c>
      <c r="J467" t="n">
        <v>53.6</v>
      </c>
      <c r="K467" t="n">
        <v>56.5</v>
      </c>
      <c r="L467" t="n">
        <v>58</v>
      </c>
      <c r="M467" t="n">
        <v>1327.219970703125</v>
      </c>
      <c r="O467" t="n">
        <v>-0.002409160681035181</v>
      </c>
      <c r="P467" t="n">
        <v>0.02030608190613149</v>
      </c>
      <c r="Q467" t="n">
        <v>-0.009601874290937396</v>
      </c>
    </row>
    <row r="468">
      <c r="A468" s="93" t="n">
        <v>40603</v>
      </c>
      <c r="B468" t="n">
        <v>59.5</v>
      </c>
      <c r="C468" t="n">
        <v>50</v>
      </c>
      <c r="D468" t="n">
        <v>56</v>
      </c>
      <c r="E468" t="n">
        <v>70.90000000000001</v>
      </c>
      <c r="F468" t="n">
        <v>58.2</v>
      </c>
      <c r="G468" t="n">
        <v>67</v>
      </c>
      <c r="H468" t="n">
        <v>55.5</v>
      </c>
      <c r="I468" t="n">
        <v>51.5</v>
      </c>
      <c r="J468" t="n">
        <v>52.9</v>
      </c>
      <c r="K468" t="n">
        <v>59</v>
      </c>
      <c r="L468" t="n">
        <v>55.8</v>
      </c>
      <c r="M468" t="n">
        <v>1325.829956054688</v>
      </c>
      <c r="O468" t="n">
        <v>-0.002409160681035181</v>
      </c>
      <c r="P468" t="n">
        <v>0.02030608190613149</v>
      </c>
      <c r="Q468" t="n">
        <v>-0.009601874290937396</v>
      </c>
    </row>
    <row r="469">
      <c r="A469" s="93" t="n">
        <v>40634</v>
      </c>
      <c r="B469" t="n">
        <v>56.3</v>
      </c>
      <c r="C469" t="n">
        <v>57</v>
      </c>
      <c r="D469" t="n">
        <v>55.5</v>
      </c>
      <c r="E469" t="n">
        <v>71</v>
      </c>
      <c r="F469" t="n">
        <v>56.9</v>
      </c>
      <c r="G469" t="n">
        <v>57.5</v>
      </c>
      <c r="H469" t="n">
        <v>55.5</v>
      </c>
      <c r="I469" t="n">
        <v>53</v>
      </c>
      <c r="J469" t="n">
        <v>53.6</v>
      </c>
      <c r="K469" t="n">
        <v>53.5</v>
      </c>
      <c r="L469" t="n">
        <v>55.2</v>
      </c>
      <c r="M469" t="n">
        <v>1363.609985351562</v>
      </c>
      <c r="N469" t="n">
        <v>15876.839</v>
      </c>
      <c r="O469" t="n">
        <v>0.006780507512058875</v>
      </c>
      <c r="P469" t="n">
        <v>0.01737905068607296</v>
      </c>
      <c r="Q469" t="n">
        <v>0.02739913079767153</v>
      </c>
      <c r="R469" t="n">
        <v>0.006780507512058875</v>
      </c>
      <c r="S469" t="n">
        <v>0.02739913079767153</v>
      </c>
      <c r="T469" t="n">
        <v>0.01737905068607296</v>
      </c>
    </row>
    <row r="470">
      <c r="A470" s="93" t="n">
        <v>40664</v>
      </c>
      <c r="B470" t="n">
        <v>56</v>
      </c>
      <c r="C470" t="n">
        <v>50.5</v>
      </c>
      <c r="D470" t="n">
        <v>55</v>
      </c>
      <c r="E470" t="n">
        <v>70.3</v>
      </c>
      <c r="F470" t="n">
        <v>55</v>
      </c>
      <c r="G470" t="n">
        <v>55</v>
      </c>
      <c r="H470" t="n">
        <v>55</v>
      </c>
      <c r="I470" t="n">
        <v>54</v>
      </c>
      <c r="J470" t="n">
        <v>54.4</v>
      </c>
      <c r="K470" t="n">
        <v>57</v>
      </c>
      <c r="L470" t="n">
        <v>55</v>
      </c>
      <c r="M470" t="n">
        <v>1345.199951171875</v>
      </c>
      <c r="O470" t="n">
        <v>0.006780507512058875</v>
      </c>
      <c r="P470" t="n">
        <v>0.01737905068607296</v>
      </c>
      <c r="Q470" t="n">
        <v>0.02739913079767153</v>
      </c>
    </row>
    <row r="471">
      <c r="A471" s="93" t="n">
        <v>40695</v>
      </c>
      <c r="B471" t="n">
        <v>55.4</v>
      </c>
      <c r="C471" t="n">
        <v>46.5</v>
      </c>
      <c r="D471" t="n">
        <v>48.5</v>
      </c>
      <c r="E471" t="n">
        <v>62.4</v>
      </c>
      <c r="F471" t="n">
        <v>55.7</v>
      </c>
      <c r="G471" t="n">
        <v>58.5</v>
      </c>
      <c r="H471" t="n">
        <v>53.5</v>
      </c>
      <c r="I471" t="n">
        <v>52</v>
      </c>
      <c r="J471" t="n">
        <v>52.9</v>
      </c>
      <c r="K471" t="n">
        <v>57</v>
      </c>
      <c r="L471" t="n">
        <v>54.2</v>
      </c>
      <c r="M471" t="n">
        <v>1320.640014648438</v>
      </c>
      <c r="O471" t="n">
        <v>0.006780507512058875</v>
      </c>
      <c r="P471" t="n">
        <v>0.01737905068607296</v>
      </c>
      <c r="Q471" t="n">
        <v>0.02739913079767153</v>
      </c>
    </row>
    <row r="472">
      <c r="A472" s="93" t="n">
        <v>40725</v>
      </c>
      <c r="B472" t="n">
        <v>53.7</v>
      </c>
      <c r="C472" t="n">
        <v>47.5</v>
      </c>
      <c r="D472" t="n">
        <v>44</v>
      </c>
      <c r="E472" t="n">
        <v>60.7</v>
      </c>
      <c r="F472" t="n">
        <v>56.6</v>
      </c>
      <c r="G472" t="n">
        <v>59.5</v>
      </c>
      <c r="H472" t="n">
        <v>56.5</v>
      </c>
      <c r="I472" t="n">
        <v>50.5</v>
      </c>
      <c r="J472" t="n">
        <v>53.3</v>
      </c>
      <c r="K472" t="n">
        <v>49</v>
      </c>
      <c r="L472" t="n">
        <v>53.5</v>
      </c>
      <c r="M472" t="n">
        <v>1292.280029296875</v>
      </c>
      <c r="N472" t="n">
        <v>15870.684</v>
      </c>
      <c r="O472" t="n">
        <v>-0.0003876716265750793</v>
      </c>
      <c r="P472" t="n">
        <v>0.009182208483861604</v>
      </c>
      <c r="Q472" t="n">
        <v>-0.001549785003588822</v>
      </c>
      <c r="R472" t="n">
        <v>-0.0003876716265750793</v>
      </c>
      <c r="S472" t="n">
        <v>-0.001549785003588822</v>
      </c>
      <c r="T472" t="n">
        <v>0.009182208483861604</v>
      </c>
    </row>
    <row r="473">
      <c r="A473" s="93" t="n">
        <v>40756</v>
      </c>
      <c r="B473" t="n">
        <v>53.9</v>
      </c>
      <c r="C473" t="n">
        <v>53.5</v>
      </c>
      <c r="D473" t="n">
        <v>47.5</v>
      </c>
      <c r="E473" t="n">
        <v>61.3</v>
      </c>
      <c r="F473" t="n">
        <v>56.5</v>
      </c>
      <c r="G473" t="n">
        <v>56</v>
      </c>
      <c r="H473" t="n">
        <v>53.5</v>
      </c>
      <c r="I473" t="n">
        <v>53</v>
      </c>
      <c r="J473" t="n">
        <v>51.9</v>
      </c>
      <c r="K473" t="n">
        <v>56.5</v>
      </c>
      <c r="L473" t="n">
        <v>53.5</v>
      </c>
      <c r="M473" t="n">
        <v>1218.890014648438</v>
      </c>
      <c r="O473" t="n">
        <v>-0.0003876716265750793</v>
      </c>
      <c r="P473" t="n">
        <v>0.009182208483861604</v>
      </c>
      <c r="Q473" t="n">
        <v>-0.001549785003588822</v>
      </c>
    </row>
    <row r="474">
      <c r="A474" s="93" t="n">
        <v>40787</v>
      </c>
      <c r="B474" t="n">
        <v>54.6</v>
      </c>
      <c r="C474" t="n">
        <v>47.5</v>
      </c>
      <c r="D474" t="n">
        <v>52.5</v>
      </c>
      <c r="E474" t="n">
        <v>60.9</v>
      </c>
      <c r="F474" t="n">
        <v>56.8</v>
      </c>
      <c r="G474" t="n">
        <v>59</v>
      </c>
      <c r="H474" t="n">
        <v>51.5</v>
      </c>
      <c r="I474" t="n">
        <v>49.5</v>
      </c>
      <c r="J474" t="n">
        <v>49.4</v>
      </c>
      <c r="K474" t="n">
        <v>52</v>
      </c>
      <c r="L474" t="n">
        <v>52.3</v>
      </c>
      <c r="M474" t="n">
        <v>1131.420043945312</v>
      </c>
      <c r="O474" t="n">
        <v>-0.0003876716265750793</v>
      </c>
      <c r="P474" t="n">
        <v>0.009182208483861604</v>
      </c>
      <c r="Q474" t="n">
        <v>-0.001549785003588822</v>
      </c>
    </row>
    <row r="475">
      <c r="A475" s="93" t="n">
        <v>40817</v>
      </c>
      <c r="B475" t="n">
        <v>53.4</v>
      </c>
      <c r="C475" t="n">
        <v>48</v>
      </c>
      <c r="D475" t="n">
        <v>47</v>
      </c>
      <c r="E475" t="n">
        <v>57.7</v>
      </c>
      <c r="F475" t="n">
        <v>53.9</v>
      </c>
      <c r="G475" t="n">
        <v>57.5</v>
      </c>
      <c r="H475" t="n">
        <v>45.5</v>
      </c>
      <c r="I475" t="n">
        <v>52</v>
      </c>
      <c r="J475" t="n">
        <v>52.3</v>
      </c>
      <c r="K475" t="n">
        <v>54</v>
      </c>
      <c r="L475" t="n">
        <v>52.8</v>
      </c>
      <c r="M475" t="n">
        <v>1253.300048828125</v>
      </c>
      <c r="N475" t="n">
        <v>16048.702</v>
      </c>
      <c r="O475" t="n">
        <v>0.01121678183498582</v>
      </c>
      <c r="P475" t="n">
        <v>0.0152269152413066</v>
      </c>
      <c r="Q475" t="n">
        <v>0.04562768534929051</v>
      </c>
      <c r="R475" t="n">
        <v>0.01121678183498582</v>
      </c>
      <c r="S475" t="n">
        <v>0.04562768534929051</v>
      </c>
      <c r="T475" t="n">
        <v>0.0152269152413066</v>
      </c>
    </row>
    <row r="476">
      <c r="A476" s="93" t="n">
        <v>40848</v>
      </c>
      <c r="B476" t="n">
        <v>53.4</v>
      </c>
      <c r="C476" t="n">
        <v>48.5</v>
      </c>
      <c r="D476" t="n">
        <v>48</v>
      </c>
      <c r="E476" t="n">
        <v>63.4</v>
      </c>
      <c r="F476" t="n">
        <v>56.1</v>
      </c>
      <c r="G476" t="n">
        <v>63</v>
      </c>
      <c r="H476" t="n">
        <v>52.5</v>
      </c>
      <c r="I476" t="n">
        <v>50</v>
      </c>
      <c r="J476" t="n">
        <v>53.1</v>
      </c>
      <c r="K476" t="n">
        <v>55.5</v>
      </c>
      <c r="L476" t="n">
        <v>52.9</v>
      </c>
      <c r="M476" t="n">
        <v>1246.9599609375</v>
      </c>
      <c r="O476" t="n">
        <v>0.01121678183498582</v>
      </c>
      <c r="P476" t="n">
        <v>0.0152269152413066</v>
      </c>
      <c r="Q476" t="n">
        <v>0.04562768534929051</v>
      </c>
    </row>
    <row r="477">
      <c r="A477" s="93" t="n">
        <v>40878</v>
      </c>
      <c r="B477" t="n">
        <v>54.1</v>
      </c>
      <c r="C477" t="n">
        <v>54</v>
      </c>
      <c r="D477" t="n">
        <v>45.5</v>
      </c>
      <c r="E477" t="n">
        <v>62.2</v>
      </c>
      <c r="F477" t="n">
        <v>55.6</v>
      </c>
      <c r="G477" t="n">
        <v>59.5</v>
      </c>
      <c r="H477" t="n">
        <v>48.5</v>
      </c>
      <c r="I477" t="n">
        <v>51.5</v>
      </c>
      <c r="J477" t="n">
        <v>49</v>
      </c>
      <c r="K477" t="n">
        <v>51</v>
      </c>
      <c r="L477" t="n">
        <v>52.6</v>
      </c>
      <c r="M477" t="n">
        <v>1257.599975585938</v>
      </c>
      <c r="O477" t="n">
        <v>0.01121678183498582</v>
      </c>
      <c r="P477" t="n">
        <v>0.0152269152413066</v>
      </c>
      <c r="Q477" t="n">
        <v>0.04562768534929051</v>
      </c>
    </row>
    <row r="478">
      <c r="A478" s="93" t="n">
        <v>40909</v>
      </c>
      <c r="B478" t="n">
        <v>59.5</v>
      </c>
      <c r="C478" t="n">
        <v>55</v>
      </c>
      <c r="D478" t="n">
        <v>49.5</v>
      </c>
      <c r="E478" t="n">
        <v>61.4</v>
      </c>
      <c r="F478" t="n">
        <v>58.7</v>
      </c>
      <c r="G478" t="n">
        <v>58.5</v>
      </c>
      <c r="H478" t="n">
        <v>47</v>
      </c>
      <c r="I478" t="n">
        <v>51</v>
      </c>
      <c r="J478" t="n">
        <v>54.9</v>
      </c>
      <c r="K478" t="n">
        <v>56.5</v>
      </c>
      <c r="L478" t="n">
        <v>56</v>
      </c>
      <c r="M478" t="n">
        <v>1312.410034179688</v>
      </c>
      <c r="N478" t="n">
        <v>16179.968</v>
      </c>
      <c r="O478" t="n">
        <v>0.008179228450998806</v>
      </c>
      <c r="P478" t="n">
        <v>0.02600249297538843</v>
      </c>
      <c r="Q478" t="n">
        <v>0.03312050570216907</v>
      </c>
      <c r="R478" t="n">
        <v>0.008179228450998806</v>
      </c>
      <c r="S478" t="n">
        <v>0.03312050570216907</v>
      </c>
      <c r="T478" t="n">
        <v>0.02600249297538843</v>
      </c>
    </row>
    <row r="479">
      <c r="A479" s="93" t="n">
        <v>40940</v>
      </c>
      <c r="B479" t="n">
        <v>59.9</v>
      </c>
      <c r="C479" t="n">
        <v>52</v>
      </c>
      <c r="D479" t="n">
        <v>53</v>
      </c>
      <c r="E479" t="n">
        <v>67.40000000000001</v>
      </c>
      <c r="F479" t="n">
        <v>59.9</v>
      </c>
      <c r="G479" t="n">
        <v>61.5</v>
      </c>
      <c r="H479" t="n">
        <v>53.5</v>
      </c>
      <c r="I479" t="n">
        <v>49.5</v>
      </c>
      <c r="J479" t="n">
        <v>53.2</v>
      </c>
      <c r="K479" t="n">
        <v>54.5</v>
      </c>
      <c r="L479" t="n">
        <v>56</v>
      </c>
      <c r="M479" t="n">
        <v>1365.680053710938</v>
      </c>
      <c r="O479" t="n">
        <v>0.008179228450998806</v>
      </c>
      <c r="P479" t="n">
        <v>0.02600249297538843</v>
      </c>
      <c r="Q479" t="n">
        <v>0.03312050570216907</v>
      </c>
    </row>
    <row r="480">
      <c r="A480" s="93" t="n">
        <v>40969</v>
      </c>
      <c r="B480" t="n">
        <v>57.9</v>
      </c>
      <c r="C480" t="n">
        <v>56</v>
      </c>
      <c r="D480" t="n">
        <v>49.5</v>
      </c>
      <c r="E480" t="n">
        <v>65</v>
      </c>
      <c r="F480" t="n">
        <v>58.5</v>
      </c>
      <c r="G480" t="n">
        <v>58.5</v>
      </c>
      <c r="H480" t="n">
        <v>54</v>
      </c>
      <c r="I480" t="n">
        <v>49.5</v>
      </c>
      <c r="J480" t="n">
        <v>55.2</v>
      </c>
      <c r="K480" t="n">
        <v>52.5</v>
      </c>
      <c r="L480" t="n">
        <v>55.6</v>
      </c>
      <c r="M480" t="n">
        <v>1408.469970703125</v>
      </c>
      <c r="O480" t="n">
        <v>0.008179228450998806</v>
      </c>
      <c r="P480" t="n">
        <v>0.02600249297538843</v>
      </c>
      <c r="Q480" t="n">
        <v>0.03312050570216907</v>
      </c>
    </row>
    <row r="481">
      <c r="A481" s="93" t="n">
        <v>41000</v>
      </c>
      <c r="B481" t="n">
        <v>55.1</v>
      </c>
      <c r="C481" t="n">
        <v>56.5</v>
      </c>
      <c r="D481" t="n">
        <v>53</v>
      </c>
      <c r="E481" t="n">
        <v>56.6</v>
      </c>
      <c r="F481" t="n">
        <v>56</v>
      </c>
      <c r="G481" t="n">
        <v>61</v>
      </c>
      <c r="H481" t="n">
        <v>54</v>
      </c>
      <c r="I481" t="n">
        <v>51.5</v>
      </c>
      <c r="J481" t="n">
        <v>54.5</v>
      </c>
      <c r="K481" t="n">
        <v>58</v>
      </c>
      <c r="L481" t="n">
        <v>54.4</v>
      </c>
      <c r="M481" t="n">
        <v>1397.910034179688</v>
      </c>
      <c r="N481" t="n">
        <v>16253.726</v>
      </c>
      <c r="O481" t="n">
        <v>0.004558599868677108</v>
      </c>
      <c r="P481" t="n">
        <v>0.02373816349715461</v>
      </c>
      <c r="Q481" t="n">
        <v>0.01835946382913334</v>
      </c>
      <c r="R481" t="n">
        <v>0.004558599868677108</v>
      </c>
      <c r="S481" t="n">
        <v>0.01835946382913334</v>
      </c>
      <c r="T481" t="n">
        <v>0.02373816349715461</v>
      </c>
    </row>
    <row r="482">
      <c r="A482" s="93" t="n">
        <v>41030</v>
      </c>
      <c r="B482" t="n">
        <v>55.6</v>
      </c>
      <c r="C482" t="n">
        <v>53</v>
      </c>
      <c r="D482" t="n">
        <v>53</v>
      </c>
      <c r="E482" t="n">
        <v>52.8</v>
      </c>
      <c r="F482" t="n">
        <v>56.4</v>
      </c>
      <c r="G482" t="n">
        <v>63</v>
      </c>
      <c r="H482" t="n">
        <v>56</v>
      </c>
      <c r="I482" t="n">
        <v>53</v>
      </c>
      <c r="J482" t="n">
        <v>51.9</v>
      </c>
      <c r="K482" t="n">
        <v>53</v>
      </c>
      <c r="L482" t="n">
        <v>54.5</v>
      </c>
      <c r="M482" t="n">
        <v>1310.329956054688</v>
      </c>
      <c r="O482" t="n">
        <v>0.004558599868677108</v>
      </c>
      <c r="P482" t="n">
        <v>0.02373816349715461</v>
      </c>
      <c r="Q482" t="n">
        <v>0.01835946382913334</v>
      </c>
    </row>
    <row r="483">
      <c r="A483" s="93" t="n">
        <v>41061</v>
      </c>
      <c r="B483" t="n">
        <v>55.7</v>
      </c>
      <c r="C483" t="n">
        <v>53.5</v>
      </c>
      <c r="D483" t="n">
        <v>47.5</v>
      </c>
      <c r="E483" t="n">
        <v>49.7</v>
      </c>
      <c r="F483" t="n">
        <v>53.6</v>
      </c>
      <c r="G483" t="n">
        <v>64.5</v>
      </c>
      <c r="H483" t="n">
        <v>53</v>
      </c>
      <c r="I483" t="n">
        <v>51</v>
      </c>
      <c r="J483" t="n">
        <v>52.5</v>
      </c>
      <c r="K483" t="n">
        <v>49.5</v>
      </c>
      <c r="L483" t="n">
        <v>53.7</v>
      </c>
      <c r="M483" t="n">
        <v>1362.160034179688</v>
      </c>
      <c r="O483" t="n">
        <v>0.004558599868677108</v>
      </c>
      <c r="P483" t="n">
        <v>0.02373816349715461</v>
      </c>
      <c r="Q483" t="n">
        <v>0.01835946382913334</v>
      </c>
    </row>
    <row r="484">
      <c r="A484" s="93" t="n">
        <v>41091</v>
      </c>
      <c r="B484" t="n">
        <v>54.3</v>
      </c>
      <c r="C484" t="n">
        <v>44.5</v>
      </c>
      <c r="D484" t="n">
        <v>44.5</v>
      </c>
      <c r="E484" t="n">
        <v>54.8</v>
      </c>
      <c r="F484" t="n">
        <v>56.2</v>
      </c>
      <c r="G484" t="n">
        <v>59</v>
      </c>
      <c r="H484" t="n">
        <v>54.5</v>
      </c>
      <c r="I484" t="n">
        <v>49.5</v>
      </c>
      <c r="J484" t="n">
        <v>50.3</v>
      </c>
      <c r="K484" t="n">
        <v>51</v>
      </c>
      <c r="L484" t="n">
        <v>52.4</v>
      </c>
      <c r="M484" t="n">
        <v>1379.319946289062</v>
      </c>
      <c r="N484" t="n">
        <v>16282.151</v>
      </c>
      <c r="O484" t="n">
        <v>0.001748829776015621</v>
      </c>
      <c r="P484" t="n">
        <v>0.02592622977056317</v>
      </c>
      <c r="Q484" t="n">
        <v>0.007013690941451989</v>
      </c>
      <c r="R484" t="n">
        <v>0.001748829776015621</v>
      </c>
      <c r="S484" t="n">
        <v>0.007013690941451989</v>
      </c>
      <c r="T484" t="n">
        <v>0.02592622977056317</v>
      </c>
    </row>
    <row r="485">
      <c r="A485" s="93" t="n">
        <v>41122</v>
      </c>
      <c r="B485" t="n">
        <v>53.6</v>
      </c>
      <c r="C485" t="n">
        <v>49.5</v>
      </c>
      <c r="D485" t="n">
        <v>50.5</v>
      </c>
      <c r="E485" t="n">
        <v>61.8</v>
      </c>
      <c r="F485" t="n">
        <v>55.3</v>
      </c>
      <c r="G485" t="n">
        <v>67</v>
      </c>
      <c r="H485" t="n">
        <v>52.5</v>
      </c>
      <c r="I485" t="n">
        <v>51.5</v>
      </c>
      <c r="J485" t="n">
        <v>53.3</v>
      </c>
      <c r="K485" t="n">
        <v>52</v>
      </c>
      <c r="L485" t="n">
        <v>52.9</v>
      </c>
      <c r="M485" t="n">
        <v>1406.579956054688</v>
      </c>
      <c r="O485" t="n">
        <v>0.001748829776015621</v>
      </c>
      <c r="P485" t="n">
        <v>0.02592622977056317</v>
      </c>
      <c r="Q485" t="n">
        <v>0.007013690941451989</v>
      </c>
    </row>
    <row r="486">
      <c r="A486" s="93" t="n">
        <v>41153</v>
      </c>
      <c r="B486" t="n">
        <v>55.6</v>
      </c>
      <c r="C486" t="n">
        <v>50</v>
      </c>
      <c r="D486" t="n">
        <v>48</v>
      </c>
      <c r="E486" t="n">
        <v>65.90000000000001</v>
      </c>
      <c r="F486" t="n">
        <v>60.2</v>
      </c>
      <c r="G486" t="n">
        <v>65</v>
      </c>
      <c r="H486" t="n">
        <v>48.5</v>
      </c>
      <c r="I486" t="n">
        <v>51.5</v>
      </c>
      <c r="J486" t="n">
        <v>53.2</v>
      </c>
      <c r="K486" t="n">
        <v>50.5</v>
      </c>
      <c r="L486" t="n">
        <v>54.6</v>
      </c>
      <c r="M486" t="n">
        <v>1440.670043945312</v>
      </c>
      <c r="O486" t="n">
        <v>0.001748829776015621</v>
      </c>
      <c r="P486" t="n">
        <v>0.02592622977056317</v>
      </c>
      <c r="Q486" t="n">
        <v>0.007013690941451989</v>
      </c>
    </row>
    <row r="487">
      <c r="A487" s="93" t="n">
        <v>41183</v>
      </c>
      <c r="B487" t="n">
        <v>55.5</v>
      </c>
      <c r="C487" t="n">
        <v>49.5</v>
      </c>
      <c r="D487" t="n">
        <v>49</v>
      </c>
      <c r="E487" t="n">
        <v>61.7</v>
      </c>
      <c r="F487" t="n">
        <v>56.1</v>
      </c>
      <c r="G487" t="n">
        <v>64</v>
      </c>
      <c r="H487" t="n">
        <v>46.5</v>
      </c>
      <c r="I487" t="n">
        <v>51.5</v>
      </c>
      <c r="J487" t="n">
        <v>54.7</v>
      </c>
      <c r="K487" t="n">
        <v>47.5</v>
      </c>
      <c r="L487" t="n">
        <v>54.2</v>
      </c>
      <c r="M487" t="n">
        <v>1412.160034179688</v>
      </c>
      <c r="N487" t="n">
        <v>16300.035</v>
      </c>
      <c r="O487" t="n">
        <v>0.001098380674641822</v>
      </c>
      <c r="P487" t="n">
        <v>0.0156606434588916</v>
      </c>
      <c r="Q487" t="n">
        <v>0.004400766641183385</v>
      </c>
      <c r="R487" t="n">
        <v>0.001098380674641822</v>
      </c>
      <c r="S487" t="n">
        <v>0.004400766641183385</v>
      </c>
      <c r="T487" t="n">
        <v>0.0156606434588916</v>
      </c>
    </row>
    <row r="488">
      <c r="A488" s="93" t="n">
        <v>41214</v>
      </c>
      <c r="B488" t="n">
        <v>57.1</v>
      </c>
      <c r="C488" t="n">
        <v>55.5</v>
      </c>
      <c r="D488" t="n">
        <v>53.5</v>
      </c>
      <c r="E488" t="n">
        <v>57.9</v>
      </c>
      <c r="F488" t="n">
        <v>60.9</v>
      </c>
      <c r="G488" t="n">
        <v>62.5</v>
      </c>
      <c r="H488" t="n">
        <v>47</v>
      </c>
      <c r="I488" t="n">
        <v>49</v>
      </c>
      <c r="J488" t="n">
        <v>53.3</v>
      </c>
      <c r="K488" t="n">
        <v>48</v>
      </c>
      <c r="L488" t="n">
        <v>54.8</v>
      </c>
      <c r="M488" t="n">
        <v>1416.180053710938</v>
      </c>
      <c r="O488" t="n">
        <v>0.001098380674641822</v>
      </c>
      <c r="P488" t="n">
        <v>0.0156606434588916</v>
      </c>
      <c r="Q488" t="n">
        <v>0.004400766641183385</v>
      </c>
    </row>
    <row r="489">
      <c r="A489" s="93" t="n">
        <v>41244</v>
      </c>
      <c r="B489" t="n">
        <v>58.8</v>
      </c>
      <c r="C489" t="n">
        <v>49</v>
      </c>
      <c r="D489" t="n">
        <v>49.5</v>
      </c>
      <c r="E489" t="n">
        <v>56.9</v>
      </c>
      <c r="F489" t="n">
        <v>60</v>
      </c>
      <c r="G489" t="n">
        <v>58</v>
      </c>
      <c r="H489" t="n">
        <v>50</v>
      </c>
      <c r="I489" t="n">
        <v>48.5</v>
      </c>
      <c r="J489" t="n">
        <v>55.2</v>
      </c>
      <c r="K489" t="n">
        <v>49.5</v>
      </c>
      <c r="L489" t="n">
        <v>55.6</v>
      </c>
      <c r="M489" t="n">
        <v>1426.18994140625</v>
      </c>
      <c r="O489" t="n">
        <v>0.001098380674641822</v>
      </c>
      <c r="P489" t="n">
        <v>0.0156606434588916</v>
      </c>
      <c r="Q489" t="n">
        <v>0.004400766641183385</v>
      </c>
    </row>
    <row r="490">
      <c r="A490" s="93" t="n">
        <v>41275</v>
      </c>
      <c r="B490" t="n">
        <v>56.7</v>
      </c>
      <c r="C490" t="n">
        <v>51</v>
      </c>
      <c r="D490" t="n">
        <v>49</v>
      </c>
      <c r="E490" t="n">
        <v>57.4</v>
      </c>
      <c r="F490" t="n">
        <v>56.4</v>
      </c>
      <c r="G490" t="n">
        <v>64</v>
      </c>
      <c r="H490" t="n">
        <v>47</v>
      </c>
      <c r="I490" t="n">
        <v>52.5</v>
      </c>
      <c r="J490" t="n">
        <v>55.6</v>
      </c>
      <c r="K490" t="n">
        <v>55.5</v>
      </c>
      <c r="L490" t="n">
        <v>55.3</v>
      </c>
      <c r="M490" t="n">
        <v>1498.109985351562</v>
      </c>
      <c r="N490" t="n">
        <v>16441.485</v>
      </c>
      <c r="O490" t="n">
        <v>0.008677895476911597</v>
      </c>
      <c r="P490" t="n">
        <v>0.01616301095280286</v>
      </c>
      <c r="Q490" t="n">
        <v>0.03516603678394103</v>
      </c>
      <c r="R490" t="n">
        <v>0.008677895476911597</v>
      </c>
      <c r="S490" t="n">
        <v>0.03516603678394103</v>
      </c>
      <c r="T490" t="n">
        <v>0.01616301095280286</v>
      </c>
    </row>
    <row r="491">
      <c r="A491" s="93" t="n">
        <v>41306</v>
      </c>
      <c r="B491" t="n">
        <v>58.9</v>
      </c>
      <c r="C491" t="n">
        <v>52.5</v>
      </c>
      <c r="D491" t="n">
        <v>54.5</v>
      </c>
      <c r="E491" t="n">
        <v>61</v>
      </c>
      <c r="F491" t="n">
        <v>56.3</v>
      </c>
      <c r="G491" t="n">
        <v>62.5</v>
      </c>
      <c r="H491" t="n">
        <v>54</v>
      </c>
      <c r="I491" t="n">
        <v>51.5</v>
      </c>
      <c r="J491" t="n">
        <v>55.5</v>
      </c>
      <c r="K491" t="n">
        <v>60.5</v>
      </c>
      <c r="L491" t="n">
        <v>56.1</v>
      </c>
      <c r="M491" t="n">
        <v>1514.680053710938</v>
      </c>
      <c r="O491" t="n">
        <v>0.008677895476911597</v>
      </c>
      <c r="P491" t="n">
        <v>0.01616301095280286</v>
      </c>
      <c r="Q491" t="n">
        <v>0.03516603678394103</v>
      </c>
    </row>
    <row r="492">
      <c r="A492" s="93" t="n">
        <v>41334</v>
      </c>
      <c r="B492" t="n">
        <v>56.5</v>
      </c>
      <c r="C492" t="n">
        <v>57.5</v>
      </c>
      <c r="D492" t="n">
        <v>54.5</v>
      </c>
      <c r="E492" t="n">
        <v>56.2</v>
      </c>
      <c r="F492" t="n">
        <v>56.6</v>
      </c>
      <c r="G492" t="n">
        <v>59.5</v>
      </c>
      <c r="H492" t="n">
        <v>51.5</v>
      </c>
      <c r="I492" t="n">
        <v>53</v>
      </c>
      <c r="J492" t="n">
        <v>53.2</v>
      </c>
      <c r="K492" t="n">
        <v>56.5</v>
      </c>
      <c r="L492" t="n">
        <v>55.2</v>
      </c>
      <c r="M492" t="n">
        <v>1569.18994140625</v>
      </c>
      <c r="O492" t="n">
        <v>0.008677895476911597</v>
      </c>
      <c r="P492" t="n">
        <v>0.01616301095280286</v>
      </c>
      <c r="Q492" t="n">
        <v>0.03516603678394103</v>
      </c>
    </row>
    <row r="493">
      <c r="A493" s="93" t="n">
        <v>41365</v>
      </c>
      <c r="B493" t="n">
        <v>55.4</v>
      </c>
      <c r="C493" t="n">
        <v>58.5</v>
      </c>
      <c r="D493" t="n">
        <v>51.5</v>
      </c>
      <c r="E493" t="n">
        <v>52.7</v>
      </c>
      <c r="F493" t="n">
        <v>55.9</v>
      </c>
      <c r="G493" t="n">
        <v>60.5</v>
      </c>
      <c r="H493" t="n">
        <v>56</v>
      </c>
      <c r="I493" t="n">
        <v>51</v>
      </c>
      <c r="J493" t="n">
        <v>52.6</v>
      </c>
      <c r="K493" t="n">
        <v>53.5</v>
      </c>
      <c r="L493" t="n">
        <v>53.9</v>
      </c>
      <c r="M493" t="n">
        <v>1597.569946289062</v>
      </c>
      <c r="N493" t="n">
        <v>16464.402</v>
      </c>
      <c r="O493" t="n">
        <v>0.001393852197657185</v>
      </c>
      <c r="P493" t="n">
        <v>0.01296170490384775</v>
      </c>
      <c r="Q493" t="n">
        <v>0.00558707657013402</v>
      </c>
      <c r="R493" t="n">
        <v>0.001393852197657185</v>
      </c>
      <c r="S493" t="n">
        <v>0.00558707657013402</v>
      </c>
      <c r="T493" t="n">
        <v>0.01296170490384775</v>
      </c>
    </row>
    <row r="494">
      <c r="A494" s="93" t="n">
        <v>41395</v>
      </c>
      <c r="B494" t="n">
        <v>56.1</v>
      </c>
      <c r="C494" t="n">
        <v>49.5</v>
      </c>
      <c r="D494" t="n">
        <v>51.5</v>
      </c>
      <c r="E494" t="n">
        <v>52.6</v>
      </c>
      <c r="F494" t="n">
        <v>57</v>
      </c>
      <c r="G494" t="n">
        <v>62.5</v>
      </c>
      <c r="H494" t="n">
        <v>51.5</v>
      </c>
      <c r="I494" t="n">
        <v>52</v>
      </c>
      <c r="J494" t="n">
        <v>50.3</v>
      </c>
      <c r="K494" t="n">
        <v>50</v>
      </c>
      <c r="L494" t="n">
        <v>54.4</v>
      </c>
      <c r="M494" t="n">
        <v>1630.739990234375</v>
      </c>
      <c r="O494" t="n">
        <v>0.001393852197657185</v>
      </c>
      <c r="P494" t="n">
        <v>0.01296170490384775</v>
      </c>
      <c r="Q494" t="n">
        <v>0.00558707657013402</v>
      </c>
    </row>
    <row r="495">
      <c r="A495" s="93" t="n">
        <v>41426</v>
      </c>
      <c r="B495" t="n">
        <v>54.1</v>
      </c>
      <c r="C495" t="n">
        <v>53.5</v>
      </c>
      <c r="D495" t="n">
        <v>52</v>
      </c>
      <c r="E495" t="n">
        <v>54.8</v>
      </c>
      <c r="F495" t="n">
        <v>53.3</v>
      </c>
      <c r="G495" t="n">
        <v>61.5</v>
      </c>
      <c r="H495" t="n">
        <v>54.5</v>
      </c>
      <c r="I495" t="n">
        <v>51.5</v>
      </c>
      <c r="J495" t="n">
        <v>54.9</v>
      </c>
      <c r="K495" t="n">
        <v>47.5</v>
      </c>
      <c r="L495" t="n">
        <v>54.1</v>
      </c>
      <c r="M495" t="n">
        <v>1606.280029296875</v>
      </c>
      <c r="O495" t="n">
        <v>0.001393852197657185</v>
      </c>
      <c r="P495" t="n">
        <v>0.01296170490384775</v>
      </c>
      <c r="Q495" t="n">
        <v>0.00558707657013402</v>
      </c>
    </row>
    <row r="496">
      <c r="A496" s="93" t="n">
        <v>41456</v>
      </c>
      <c r="B496" t="n">
        <v>55.3</v>
      </c>
      <c r="C496" t="n">
        <v>50.5</v>
      </c>
      <c r="D496" t="n">
        <v>46.5</v>
      </c>
      <c r="E496" t="n">
        <v>56.9</v>
      </c>
      <c r="F496" t="n">
        <v>59.5</v>
      </c>
      <c r="G496" t="n">
        <v>64</v>
      </c>
      <c r="H496" t="n">
        <v>53.5</v>
      </c>
      <c r="I496" t="n">
        <v>52.5</v>
      </c>
      <c r="J496" t="n">
        <v>53.9</v>
      </c>
      <c r="K496" t="n">
        <v>49.5</v>
      </c>
      <c r="L496" t="n">
        <v>54.9</v>
      </c>
      <c r="M496" t="n">
        <v>1685.72998046875</v>
      </c>
      <c r="N496" t="n">
        <v>16594.743</v>
      </c>
      <c r="O496" t="n">
        <v>0.007916534107950009</v>
      </c>
      <c r="P496" t="n">
        <v>0.01919844620038217</v>
      </c>
      <c r="Q496" t="n">
        <v>0.03204415399787042</v>
      </c>
      <c r="R496" t="n">
        <v>0.007916534107950009</v>
      </c>
      <c r="S496" t="n">
        <v>0.03204415399787042</v>
      </c>
      <c r="T496" t="n">
        <v>0.01919844620038217</v>
      </c>
    </row>
    <row r="497">
      <c r="A497" s="93" t="n">
        <v>41487</v>
      </c>
      <c r="B497" t="n">
        <v>57.8</v>
      </c>
      <c r="C497" t="n">
        <v>55</v>
      </c>
      <c r="D497" t="n">
        <v>50.5</v>
      </c>
      <c r="E497" t="n">
        <v>53.2</v>
      </c>
      <c r="F497" t="n">
        <v>61</v>
      </c>
      <c r="G497" t="n">
        <v>63.5</v>
      </c>
      <c r="H497" t="n">
        <v>56</v>
      </c>
      <c r="I497" t="n">
        <v>54.5</v>
      </c>
      <c r="J497" t="n">
        <v>56.3</v>
      </c>
      <c r="K497" t="n">
        <v>50.5</v>
      </c>
      <c r="L497" t="n">
        <v>56.6</v>
      </c>
      <c r="M497" t="n">
        <v>1632.969970703125</v>
      </c>
      <c r="O497" t="n">
        <v>0.007916534107950009</v>
      </c>
      <c r="P497" t="n">
        <v>0.01919844620038217</v>
      </c>
      <c r="Q497" t="n">
        <v>0.03204415399787042</v>
      </c>
    </row>
    <row r="498">
      <c r="A498" s="93" t="n">
        <v>41518</v>
      </c>
      <c r="B498" t="n">
        <v>57.1</v>
      </c>
      <c r="C498" t="n">
        <v>51.5</v>
      </c>
      <c r="D498" t="n">
        <v>50.5</v>
      </c>
      <c r="E498" t="n">
        <v>57</v>
      </c>
      <c r="F498" t="n">
        <v>55.8</v>
      </c>
      <c r="G498" t="n">
        <v>62</v>
      </c>
      <c r="H498" t="n">
        <v>54.5</v>
      </c>
      <c r="I498" t="n">
        <v>50</v>
      </c>
      <c r="J498" t="n">
        <v>54.1</v>
      </c>
      <c r="K498" t="n">
        <v>57.5</v>
      </c>
      <c r="L498" t="n">
        <v>53.6</v>
      </c>
      <c r="M498" t="n">
        <v>1681.550048828125</v>
      </c>
      <c r="O498" t="n">
        <v>0.007916534107950009</v>
      </c>
      <c r="P498" t="n">
        <v>0.01919844620038217</v>
      </c>
      <c r="Q498" t="n">
        <v>0.03204415399787042</v>
      </c>
    </row>
    <row r="499">
      <c r="A499" s="93" t="n">
        <v>41548</v>
      </c>
      <c r="B499" t="n">
        <v>56</v>
      </c>
      <c r="C499" t="n">
        <v>55</v>
      </c>
      <c r="D499" t="n">
        <v>50</v>
      </c>
      <c r="E499" t="n">
        <v>56.7</v>
      </c>
      <c r="F499" t="n">
        <v>58.9</v>
      </c>
      <c r="G499" t="n">
        <v>62.5</v>
      </c>
      <c r="H499" t="n">
        <v>54.5</v>
      </c>
      <c r="I499" t="n">
        <v>49</v>
      </c>
      <c r="J499" t="n">
        <v>56</v>
      </c>
      <c r="K499" t="n">
        <v>53</v>
      </c>
      <c r="L499" t="n">
        <v>54.5</v>
      </c>
      <c r="M499" t="n">
        <v>1756.5400390625</v>
      </c>
      <c r="N499" t="n">
        <v>16712.76</v>
      </c>
      <c r="O499" t="n">
        <v>0.007111710015635665</v>
      </c>
      <c r="P499" t="n">
        <v>0.02532049777807217</v>
      </c>
      <c r="Q499" t="n">
        <v>0.02875173987590807</v>
      </c>
      <c r="R499" t="n">
        <v>0.007111710015635665</v>
      </c>
      <c r="S499" t="n">
        <v>0.02875173987590807</v>
      </c>
      <c r="T499" t="n">
        <v>0.02532049777807217</v>
      </c>
    </row>
    <row r="500">
      <c r="A500" s="93" t="n">
        <v>41579</v>
      </c>
      <c r="B500" t="n">
        <v>55.4</v>
      </c>
      <c r="C500" t="n">
        <v>55</v>
      </c>
      <c r="D500" t="n">
        <v>49</v>
      </c>
      <c r="E500" t="n">
        <v>52.9</v>
      </c>
      <c r="F500" t="n">
        <v>55.3</v>
      </c>
      <c r="G500" t="n">
        <v>60.5</v>
      </c>
      <c r="H500" t="n">
        <v>54</v>
      </c>
      <c r="I500" t="n">
        <v>51</v>
      </c>
      <c r="J500" t="n">
        <v>54.5</v>
      </c>
      <c r="K500" t="n">
        <v>58</v>
      </c>
      <c r="L500" t="n">
        <v>53.8</v>
      </c>
      <c r="M500" t="n">
        <v>1805.81005859375</v>
      </c>
      <c r="O500" t="n">
        <v>0.007111710015635665</v>
      </c>
      <c r="P500" t="n">
        <v>0.02532049777807217</v>
      </c>
      <c r="Q500" t="n">
        <v>0.02875173987590807</v>
      </c>
    </row>
    <row r="501">
      <c r="A501" s="93" t="n">
        <v>41609</v>
      </c>
      <c r="B501" t="n">
        <v>50.2</v>
      </c>
      <c r="C501" t="n">
        <v>50.5</v>
      </c>
      <c r="D501" t="n">
        <v>46</v>
      </c>
      <c r="E501" t="n">
        <v>56</v>
      </c>
      <c r="F501" t="n">
        <v>54.3</v>
      </c>
      <c r="G501" t="n">
        <v>57.5</v>
      </c>
      <c r="H501" t="n">
        <v>48</v>
      </c>
      <c r="I501" t="n">
        <v>51.5</v>
      </c>
      <c r="J501" t="n">
        <v>55.6</v>
      </c>
      <c r="K501" t="n">
        <v>51.5</v>
      </c>
      <c r="L501" t="n">
        <v>52.9</v>
      </c>
      <c r="M501" t="n">
        <v>1848.359985351562</v>
      </c>
      <c r="O501" t="n">
        <v>0.007111710015635665</v>
      </c>
      <c r="P501" t="n">
        <v>0.02532049777807217</v>
      </c>
      <c r="Q501" t="n">
        <v>0.02875173987590807</v>
      </c>
    </row>
    <row r="502">
      <c r="A502" s="93" t="n">
        <v>41640</v>
      </c>
      <c r="B502" t="n">
        <v>52.9</v>
      </c>
      <c r="C502" t="n">
        <v>48</v>
      </c>
      <c r="D502" t="n">
        <v>49</v>
      </c>
      <c r="E502" t="n">
        <v>58.1</v>
      </c>
      <c r="F502" t="n">
        <v>56.3</v>
      </c>
      <c r="G502" t="n">
        <v>63</v>
      </c>
      <c r="H502" t="n">
        <v>50.5</v>
      </c>
      <c r="I502" t="n">
        <v>52.5</v>
      </c>
      <c r="J502" t="n">
        <v>56.4</v>
      </c>
      <c r="K502" t="n">
        <v>49</v>
      </c>
      <c r="L502" t="n">
        <v>54.7</v>
      </c>
      <c r="M502" t="n">
        <v>1782.589965820312</v>
      </c>
      <c r="N502" t="n">
        <v>16654.247</v>
      </c>
      <c r="O502" t="n">
        <v>-0.003501097365126946</v>
      </c>
      <c r="P502" t="n">
        <v>0.01294055859309538</v>
      </c>
      <c r="Q502" t="n">
        <v>-0.01393101487505966</v>
      </c>
      <c r="R502" t="n">
        <v>-0.003501097365126946</v>
      </c>
      <c r="S502" t="n">
        <v>-0.01393101487505966</v>
      </c>
      <c r="T502" t="n">
        <v>0.01294055859309538</v>
      </c>
    </row>
    <row r="503">
      <c r="A503" s="93" t="n">
        <v>41671</v>
      </c>
      <c r="B503" t="n">
        <v>54.4</v>
      </c>
      <c r="C503" t="n">
        <v>47</v>
      </c>
      <c r="D503" t="n">
        <v>52</v>
      </c>
      <c r="E503" t="n">
        <v>56.9</v>
      </c>
      <c r="F503" t="n">
        <v>54.6</v>
      </c>
      <c r="G503" t="n">
        <v>62</v>
      </c>
      <c r="H503" t="n">
        <v>50.5</v>
      </c>
      <c r="I503" t="n">
        <v>53</v>
      </c>
      <c r="J503" t="n">
        <v>47.5</v>
      </c>
      <c r="K503" t="n">
        <v>47.5</v>
      </c>
      <c r="L503" t="n">
        <v>53</v>
      </c>
      <c r="M503" t="n">
        <v>1859.449951171875</v>
      </c>
      <c r="O503" t="n">
        <v>-0.003501097365126946</v>
      </c>
      <c r="P503" t="n">
        <v>0.01294055859309538</v>
      </c>
      <c r="Q503" t="n">
        <v>-0.01393101487505966</v>
      </c>
    </row>
    <row r="504">
      <c r="A504" s="93" t="n">
        <v>41699</v>
      </c>
      <c r="B504" t="n">
        <v>55.3</v>
      </c>
      <c r="C504" t="n">
        <v>50.5</v>
      </c>
      <c r="D504" t="n">
        <v>51.5</v>
      </c>
      <c r="E504" t="n">
        <v>58.4</v>
      </c>
      <c r="F504" t="n">
        <v>53.4</v>
      </c>
      <c r="G504" t="n">
        <v>60.5</v>
      </c>
      <c r="H504" t="n">
        <v>48</v>
      </c>
      <c r="I504" t="n">
        <v>52</v>
      </c>
      <c r="J504" t="n">
        <v>53.6</v>
      </c>
      <c r="K504" t="n">
        <v>49.5</v>
      </c>
      <c r="L504" t="n">
        <v>54.2</v>
      </c>
      <c r="M504" t="n">
        <v>1872.339965820312</v>
      </c>
      <c r="O504" t="n">
        <v>-0.003501097365126946</v>
      </c>
      <c r="P504" t="n">
        <v>0.01294055859309538</v>
      </c>
      <c r="Q504" t="n">
        <v>-0.01393101487505966</v>
      </c>
    </row>
    <row r="505">
      <c r="A505" s="93" t="n">
        <v>41730</v>
      </c>
      <c r="B505" t="n">
        <v>58</v>
      </c>
      <c r="C505" t="n">
        <v>55.5</v>
      </c>
      <c r="D505" t="n">
        <v>49</v>
      </c>
      <c r="E505" t="n">
        <v>60.5</v>
      </c>
      <c r="F505" t="n">
        <v>60.9</v>
      </c>
      <c r="G505" t="n">
        <v>65</v>
      </c>
      <c r="H505" t="n">
        <v>55.5</v>
      </c>
      <c r="I505" t="n">
        <v>50.5</v>
      </c>
      <c r="J505" t="n">
        <v>51.3</v>
      </c>
      <c r="K505" t="n">
        <v>57</v>
      </c>
      <c r="L505" t="n">
        <v>55.2</v>
      </c>
      <c r="M505" t="n">
        <v>1883.949951171875</v>
      </c>
      <c r="N505" t="n">
        <v>16868.109</v>
      </c>
      <c r="O505" t="n">
        <v>0.01284128907179058</v>
      </c>
      <c r="P505" t="n">
        <v>0.0245199916765882</v>
      </c>
      <c r="Q505" t="n">
        <v>0.05236304575665218</v>
      </c>
      <c r="R505" t="n">
        <v>0.01284128907179058</v>
      </c>
      <c r="S505" t="n">
        <v>0.05236304575665218</v>
      </c>
      <c r="T505" t="n">
        <v>0.0245199916765882</v>
      </c>
    </row>
    <row r="506">
      <c r="A506" s="93" t="n">
        <v>41760</v>
      </c>
      <c r="B506" t="n">
        <v>60.2</v>
      </c>
      <c r="C506" t="n">
        <v>55.5</v>
      </c>
      <c r="D506" t="n">
        <v>54</v>
      </c>
      <c r="E506" t="n">
        <v>58.7</v>
      </c>
      <c r="F506" t="n">
        <v>62.1</v>
      </c>
      <c r="G506" t="n">
        <v>63</v>
      </c>
      <c r="H506" t="n">
        <v>55.5</v>
      </c>
      <c r="I506" t="n">
        <v>50</v>
      </c>
      <c r="J506" t="n">
        <v>52.4</v>
      </c>
      <c r="K506" t="n">
        <v>53</v>
      </c>
      <c r="L506" t="n">
        <v>56.9</v>
      </c>
      <c r="M506" t="n">
        <v>1923.569946289062</v>
      </c>
      <c r="O506" t="n">
        <v>0.01284128907179058</v>
      </c>
      <c r="P506" t="n">
        <v>0.0245199916765882</v>
      </c>
      <c r="Q506" t="n">
        <v>0.05236304575665218</v>
      </c>
    </row>
    <row r="507">
      <c r="A507" s="93" t="n">
        <v>41791</v>
      </c>
      <c r="B507" t="n">
        <v>60.9</v>
      </c>
      <c r="C507" t="n">
        <v>53</v>
      </c>
      <c r="D507" t="n">
        <v>53</v>
      </c>
      <c r="E507" t="n">
        <v>59.3</v>
      </c>
      <c r="F507" t="n">
        <v>57.5</v>
      </c>
      <c r="G507" t="n">
        <v>60.5</v>
      </c>
      <c r="H507" t="n">
        <v>53.5</v>
      </c>
      <c r="I507" t="n">
        <v>51</v>
      </c>
      <c r="J507" t="n">
        <v>54.4</v>
      </c>
      <c r="K507" t="n">
        <v>55</v>
      </c>
      <c r="L507" t="n">
        <v>56.6</v>
      </c>
      <c r="M507" t="n">
        <v>1960.22998046875</v>
      </c>
      <c r="O507" t="n">
        <v>0.01284128907179058</v>
      </c>
      <c r="P507" t="n">
        <v>0.0245199916765882</v>
      </c>
      <c r="Q507" t="n">
        <v>0.05236304575665218</v>
      </c>
    </row>
    <row r="508">
      <c r="A508" s="93" t="n">
        <v>41821</v>
      </c>
      <c r="B508" t="n">
        <v>60.7</v>
      </c>
      <c r="C508" t="n">
        <v>54.5</v>
      </c>
      <c r="D508" t="n">
        <v>53</v>
      </c>
      <c r="E508" t="n">
        <v>59.1</v>
      </c>
      <c r="F508" t="n">
        <v>62.4</v>
      </c>
      <c r="G508" t="n">
        <v>58</v>
      </c>
      <c r="H508" t="n">
        <v>51</v>
      </c>
      <c r="I508" t="n">
        <v>51.5</v>
      </c>
      <c r="J508" t="n">
        <v>56</v>
      </c>
      <c r="K508" t="n">
        <v>53</v>
      </c>
      <c r="L508" t="n">
        <v>57.1</v>
      </c>
      <c r="M508" t="n">
        <v>1930.670043945312</v>
      </c>
      <c r="N508" t="n">
        <v>17064.616</v>
      </c>
      <c r="O508" t="n">
        <v>0.01164961644485469</v>
      </c>
      <c r="P508" t="n">
        <v>0.02831456925846958</v>
      </c>
      <c r="Q508" t="n">
        <v>0.04741908962129937</v>
      </c>
      <c r="R508" t="n">
        <v>0.01164961644485469</v>
      </c>
      <c r="S508" t="n">
        <v>0.04741908962129937</v>
      </c>
      <c r="T508" t="n">
        <v>0.02831456925846958</v>
      </c>
    </row>
    <row r="509">
      <c r="A509" s="93" t="n">
        <v>41852</v>
      </c>
      <c r="B509" t="n">
        <v>61.4</v>
      </c>
      <c r="C509" t="n">
        <v>51</v>
      </c>
      <c r="D509" t="n">
        <v>54.5</v>
      </c>
      <c r="E509" t="n">
        <v>57.5</v>
      </c>
      <c r="F509" t="n">
        <v>65</v>
      </c>
      <c r="G509" t="n">
        <v>55</v>
      </c>
      <c r="H509" t="n">
        <v>51</v>
      </c>
      <c r="I509" t="n">
        <v>52.5</v>
      </c>
      <c r="J509" t="n">
        <v>57.1</v>
      </c>
      <c r="K509" t="n">
        <v>52.5</v>
      </c>
      <c r="L509" t="n">
        <v>58</v>
      </c>
      <c r="M509" t="n">
        <v>2003.369995117188</v>
      </c>
      <c r="O509" t="n">
        <v>0.01164961644485469</v>
      </c>
      <c r="P509" t="n">
        <v>0.02831456925846958</v>
      </c>
      <c r="Q509" t="n">
        <v>0.04741908962129937</v>
      </c>
    </row>
    <row r="510">
      <c r="A510" s="93" t="n">
        <v>41883</v>
      </c>
      <c r="B510" t="n">
        <v>59.9</v>
      </c>
      <c r="C510" t="n">
        <v>52.5</v>
      </c>
      <c r="D510" t="n">
        <v>52</v>
      </c>
      <c r="E510" t="n">
        <v>55.3</v>
      </c>
      <c r="F510" t="n">
        <v>62.9</v>
      </c>
      <c r="G510" t="n">
        <v>60</v>
      </c>
      <c r="H510" t="n">
        <v>52</v>
      </c>
      <c r="I510" t="n">
        <v>52</v>
      </c>
      <c r="J510" t="n">
        <v>58.5</v>
      </c>
      <c r="K510" t="n">
        <v>57.5</v>
      </c>
      <c r="L510" t="n">
        <v>57.4</v>
      </c>
      <c r="M510" t="n">
        <v>1972.2900390625</v>
      </c>
      <c r="O510" t="n">
        <v>0.01164961644485469</v>
      </c>
      <c r="P510" t="n">
        <v>0.02831456925846958</v>
      </c>
      <c r="Q510" t="n">
        <v>0.04741908962129937</v>
      </c>
    </row>
    <row r="511">
      <c r="A511" s="93" t="n">
        <v>41913</v>
      </c>
      <c r="B511" t="n">
        <v>58.5</v>
      </c>
      <c r="C511" t="n">
        <v>56</v>
      </c>
      <c r="D511" t="n">
        <v>51.5</v>
      </c>
      <c r="E511" t="n">
        <v>52.3</v>
      </c>
      <c r="F511" t="n">
        <v>60</v>
      </c>
      <c r="G511" t="n">
        <v>58.5</v>
      </c>
      <c r="H511" t="n">
        <v>49.5</v>
      </c>
      <c r="I511" t="n">
        <v>49.5</v>
      </c>
      <c r="J511" t="n">
        <v>59.6</v>
      </c>
      <c r="K511" t="n">
        <v>53.5</v>
      </c>
      <c r="L511" t="n">
        <v>56</v>
      </c>
      <c r="M511" t="n">
        <v>2018.050048828125</v>
      </c>
      <c r="N511" t="n">
        <v>17141.235</v>
      </c>
      <c r="O511" t="n">
        <v>0.004489934024885105</v>
      </c>
      <c r="P511" t="n">
        <v>0.02563759666266986</v>
      </c>
      <c r="Q511" t="n">
        <v>0.01808105561066875</v>
      </c>
      <c r="R511" t="n">
        <v>0.004489934024885105</v>
      </c>
      <c r="S511" t="n">
        <v>0.01808105561066875</v>
      </c>
      <c r="T511" t="n">
        <v>0.02563759666266986</v>
      </c>
    </row>
    <row r="512">
      <c r="A512" s="93" t="n">
        <v>41944</v>
      </c>
      <c r="B512" t="n">
        <v>61.4</v>
      </c>
      <c r="C512" t="n">
        <v>53.5</v>
      </c>
      <c r="D512" t="n">
        <v>55.5</v>
      </c>
      <c r="E512" t="n">
        <v>54.3</v>
      </c>
      <c r="F512" t="n">
        <v>64.40000000000001</v>
      </c>
      <c r="G512" t="n">
        <v>63</v>
      </c>
      <c r="H512" t="n">
        <v>55.5</v>
      </c>
      <c r="I512" t="n">
        <v>54.5</v>
      </c>
      <c r="J512" t="n">
        <v>56.7</v>
      </c>
      <c r="K512" t="n">
        <v>57</v>
      </c>
      <c r="L512" t="n">
        <v>58.7</v>
      </c>
      <c r="M512" t="n">
        <v>2067.56005859375</v>
      </c>
      <c r="O512" t="n">
        <v>0.004489934024885105</v>
      </c>
      <c r="P512" t="n">
        <v>0.02563759666266986</v>
      </c>
      <c r="Q512" t="n">
        <v>0.01808105561066875</v>
      </c>
    </row>
    <row r="513">
      <c r="A513" s="93" t="n">
        <v>41974</v>
      </c>
      <c r="B513" t="n">
        <v>58.7</v>
      </c>
      <c r="C513" t="n">
        <v>50</v>
      </c>
      <c r="D513" t="n">
        <v>49.5</v>
      </c>
      <c r="E513" t="n">
        <v>50.3</v>
      </c>
      <c r="F513" t="n">
        <v>57.2</v>
      </c>
      <c r="G513" t="n">
        <v>59</v>
      </c>
      <c r="H513" t="n">
        <v>50</v>
      </c>
      <c r="I513" t="n">
        <v>52.5</v>
      </c>
      <c r="J513" t="n">
        <v>56</v>
      </c>
      <c r="K513" t="n">
        <v>53.5</v>
      </c>
      <c r="L513" t="n">
        <v>56.4</v>
      </c>
      <c r="M513" t="n">
        <v>2058.89990234375</v>
      </c>
      <c r="O513" t="n">
        <v>0.004489934024885105</v>
      </c>
      <c r="P513" t="n">
        <v>0.02563759666266986</v>
      </c>
      <c r="Q513" t="n">
        <v>0.01808105561066875</v>
      </c>
    </row>
    <row r="514">
      <c r="A514" s="93" t="n">
        <v>42005</v>
      </c>
      <c r="B514" t="n">
        <v>60.5</v>
      </c>
      <c r="C514" t="n">
        <v>46.5</v>
      </c>
      <c r="D514" t="n">
        <v>49</v>
      </c>
      <c r="E514" t="n">
        <v>47.1</v>
      </c>
      <c r="F514" t="n">
        <v>61.5</v>
      </c>
      <c r="G514" t="n">
        <v>61.5</v>
      </c>
      <c r="H514" t="n">
        <v>52.5</v>
      </c>
      <c r="I514" t="n">
        <v>54</v>
      </c>
      <c r="J514" t="n">
        <v>51.6</v>
      </c>
      <c r="K514" t="n">
        <v>52.5</v>
      </c>
      <c r="L514" t="n">
        <v>57.3</v>
      </c>
      <c r="M514" t="n">
        <v>1994.989990234375</v>
      </c>
      <c r="N514" t="n">
        <v>17280.647</v>
      </c>
      <c r="O514" t="n">
        <v>0.008133136264685727</v>
      </c>
      <c r="P514" t="n">
        <v>0.03761202773082455</v>
      </c>
      <c r="Q514" t="n">
        <v>0.03293158882700409</v>
      </c>
      <c r="R514" t="n">
        <v>0.008133136264685727</v>
      </c>
      <c r="S514" t="n">
        <v>0.03293158882700409</v>
      </c>
      <c r="T514" t="n">
        <v>0.03761202773082455</v>
      </c>
    </row>
    <row r="515">
      <c r="A515" s="93" t="n">
        <v>42036</v>
      </c>
      <c r="B515" t="n">
        <v>58.8</v>
      </c>
      <c r="C515" t="n">
        <v>51</v>
      </c>
      <c r="D515" t="n">
        <v>53</v>
      </c>
      <c r="E515" t="n">
        <v>50.7</v>
      </c>
      <c r="F515" t="n">
        <v>59.4</v>
      </c>
      <c r="G515" t="n">
        <v>62</v>
      </c>
      <c r="H515" t="n">
        <v>54.5</v>
      </c>
      <c r="I515" t="n">
        <v>55</v>
      </c>
      <c r="J515" t="n">
        <v>56.4</v>
      </c>
      <c r="K515" t="n">
        <v>53</v>
      </c>
      <c r="L515" t="n">
        <v>57.6</v>
      </c>
      <c r="M515" t="n">
        <v>2104.5</v>
      </c>
      <c r="O515" t="n">
        <v>0.008133136264685727</v>
      </c>
      <c r="P515" t="n">
        <v>0.03761202773082455</v>
      </c>
      <c r="Q515" t="n">
        <v>0.03293158882700409</v>
      </c>
    </row>
    <row r="516">
      <c r="A516" s="93" t="n">
        <v>42064</v>
      </c>
      <c r="B516" t="n">
        <v>58.9</v>
      </c>
      <c r="C516" t="n">
        <v>55.5</v>
      </c>
      <c r="D516" t="n">
        <v>53.5</v>
      </c>
      <c r="E516" t="n">
        <v>53.3</v>
      </c>
      <c r="F516" t="n">
        <v>57.5</v>
      </c>
      <c r="G516" t="n">
        <v>61</v>
      </c>
      <c r="H516" t="n">
        <v>49.5</v>
      </c>
      <c r="I516" t="n">
        <v>54</v>
      </c>
      <c r="J516" t="n">
        <v>56.6</v>
      </c>
      <c r="K516" t="n">
        <v>59</v>
      </c>
      <c r="L516" t="n">
        <v>57.5</v>
      </c>
      <c r="M516" t="n">
        <v>2067.889892578125</v>
      </c>
      <c r="O516" t="n">
        <v>0.008133136264685727</v>
      </c>
      <c r="P516" t="n">
        <v>0.03761202773082455</v>
      </c>
      <c r="Q516" t="n">
        <v>0.03293158882700409</v>
      </c>
    </row>
    <row r="517">
      <c r="A517" s="93" t="n">
        <v>42095</v>
      </c>
      <c r="B517" t="n">
        <v>58.7</v>
      </c>
      <c r="C517" t="n">
        <v>51.5</v>
      </c>
      <c r="D517" t="n">
        <v>54.5</v>
      </c>
      <c r="E517" t="n">
        <v>50.2</v>
      </c>
      <c r="F517" t="n">
        <v>61.6</v>
      </c>
      <c r="G517" t="n">
        <v>59.5</v>
      </c>
      <c r="H517" t="n">
        <v>51</v>
      </c>
      <c r="I517" t="n">
        <v>53.5</v>
      </c>
      <c r="J517" t="n">
        <v>56.7</v>
      </c>
      <c r="K517" t="n">
        <v>48.5</v>
      </c>
      <c r="L517" t="n">
        <v>57.5</v>
      </c>
      <c r="M517" t="n">
        <v>2085.510009765625</v>
      </c>
      <c r="N517" t="n">
        <v>17380.875</v>
      </c>
      <c r="O517" t="n">
        <v>0.005800014316593537</v>
      </c>
      <c r="P517" t="n">
        <v>0.03039854674877899</v>
      </c>
      <c r="Q517" t="n">
        <v>0.02340267984825029</v>
      </c>
      <c r="R517" t="n">
        <v>0.005800014316593537</v>
      </c>
      <c r="S517" t="n">
        <v>0.02340267984825029</v>
      </c>
      <c r="T517" t="n">
        <v>0.03039854674877899</v>
      </c>
    </row>
    <row r="518">
      <c r="A518" s="93" t="n">
        <v>42125</v>
      </c>
      <c r="B518" t="n">
        <v>58.4</v>
      </c>
      <c r="C518" t="n">
        <v>53.5</v>
      </c>
      <c r="D518" t="n">
        <v>48.5</v>
      </c>
      <c r="E518" t="n">
        <v>54</v>
      </c>
      <c r="F518" t="n">
        <v>59.5</v>
      </c>
      <c r="G518" t="n">
        <v>59</v>
      </c>
      <c r="H518" t="n">
        <v>51</v>
      </c>
      <c r="I518" t="n">
        <v>50</v>
      </c>
      <c r="J518" t="n">
        <v>55.3</v>
      </c>
      <c r="K518" t="n">
        <v>55</v>
      </c>
      <c r="L518" t="n">
        <v>56.8</v>
      </c>
      <c r="M518" t="n">
        <v>2107.389892578125</v>
      </c>
      <c r="O518" t="n">
        <v>0.005800014316593537</v>
      </c>
      <c r="P518" t="n">
        <v>0.03039854674877899</v>
      </c>
      <c r="Q518" t="n">
        <v>0.02340267984825029</v>
      </c>
    </row>
    <row r="519">
      <c r="A519" s="93" t="n">
        <v>42156</v>
      </c>
      <c r="B519" t="n">
        <v>58.3</v>
      </c>
      <c r="C519" t="n">
        <v>48</v>
      </c>
      <c r="D519" t="n">
        <v>50.5</v>
      </c>
      <c r="E519" t="n">
        <v>52.3</v>
      </c>
      <c r="F519" t="n">
        <v>61.5</v>
      </c>
      <c r="G519" t="n">
        <v>65</v>
      </c>
      <c r="H519" t="n">
        <v>55</v>
      </c>
      <c r="I519" t="n">
        <v>51.5</v>
      </c>
      <c r="J519" t="n">
        <v>52.7</v>
      </c>
      <c r="K519" t="n">
        <v>52</v>
      </c>
      <c r="L519" t="n">
        <v>56</v>
      </c>
      <c r="M519" t="n">
        <v>2063.110107421875</v>
      </c>
      <c r="O519" t="n">
        <v>0.005800014316593537</v>
      </c>
      <c r="P519" t="n">
        <v>0.03039854674877899</v>
      </c>
      <c r="Q519" t="n">
        <v>0.02340267984825029</v>
      </c>
    </row>
    <row r="520">
      <c r="A520" s="93" t="n">
        <v>42186</v>
      </c>
      <c r="B520" t="n">
        <v>60.9</v>
      </c>
      <c r="C520" t="n">
        <v>50.5</v>
      </c>
      <c r="D520" t="n">
        <v>54</v>
      </c>
      <c r="E520" t="n">
        <v>52.8</v>
      </c>
      <c r="F520" t="n">
        <v>64.90000000000001</v>
      </c>
      <c r="G520" t="n">
        <v>63.5</v>
      </c>
      <c r="H520" t="n">
        <v>57</v>
      </c>
      <c r="I520" t="n">
        <v>53</v>
      </c>
      <c r="J520" t="n">
        <v>59.6</v>
      </c>
      <c r="K520" t="n">
        <v>56.5</v>
      </c>
      <c r="L520" t="n">
        <v>59.3</v>
      </c>
      <c r="M520" t="n">
        <v>2103.840087890625</v>
      </c>
      <c r="N520" t="n">
        <v>17437.08</v>
      </c>
      <c r="O520" t="n">
        <v>0.003233726725495796</v>
      </c>
      <c r="P520" t="n">
        <v>0.02182668511263306</v>
      </c>
      <c r="Q520" t="n">
        <v>0.01299778420271624</v>
      </c>
      <c r="R520" t="n">
        <v>0.003233726725495796</v>
      </c>
      <c r="S520" t="n">
        <v>0.01299778420271624</v>
      </c>
      <c r="T520" t="n">
        <v>0.02182668511263306</v>
      </c>
    </row>
    <row r="521">
      <c r="A521" s="93" t="n">
        <v>42217</v>
      </c>
      <c r="B521" t="n">
        <v>62.7</v>
      </c>
      <c r="C521" t="n">
        <v>51.5</v>
      </c>
      <c r="D521" t="n">
        <v>56.5</v>
      </c>
      <c r="E521" t="n">
        <v>50.9</v>
      </c>
      <c r="F521" t="n">
        <v>63.9</v>
      </c>
      <c r="G521" t="n">
        <v>69</v>
      </c>
      <c r="H521" t="n">
        <v>54.5</v>
      </c>
      <c r="I521" t="n">
        <v>52.5</v>
      </c>
      <c r="J521" t="n">
        <v>56</v>
      </c>
      <c r="K521" t="n">
        <v>52</v>
      </c>
      <c r="L521" t="n">
        <v>58.4</v>
      </c>
      <c r="M521" t="n">
        <v>1972.180053710938</v>
      </c>
      <c r="O521" t="n">
        <v>0.003233726725495796</v>
      </c>
      <c r="P521" t="n">
        <v>0.02182668511263306</v>
      </c>
      <c r="Q521" t="n">
        <v>0.01299778420271624</v>
      </c>
    </row>
    <row r="522">
      <c r="A522" s="93" t="n">
        <v>42248</v>
      </c>
      <c r="B522" t="n">
        <v>56</v>
      </c>
      <c r="C522" t="n">
        <v>53</v>
      </c>
      <c r="D522" t="n">
        <v>54.5</v>
      </c>
      <c r="E522" t="n">
        <v>48.7</v>
      </c>
      <c r="F522" t="n">
        <v>60.2</v>
      </c>
      <c r="G522" t="n">
        <v>65</v>
      </c>
      <c r="H522" t="n">
        <v>51</v>
      </c>
      <c r="I522" t="n">
        <v>52.5</v>
      </c>
      <c r="J522" t="n">
        <v>58.3</v>
      </c>
      <c r="K522" t="n">
        <v>52.5</v>
      </c>
      <c r="L522" t="n">
        <v>56.1</v>
      </c>
      <c r="M522" t="n">
        <v>1920.030029296875</v>
      </c>
      <c r="O522" t="n">
        <v>0.003233726725495796</v>
      </c>
      <c r="P522" t="n">
        <v>0.02182668511263306</v>
      </c>
      <c r="Q522" t="n">
        <v>0.01299778420271624</v>
      </c>
    </row>
    <row r="523">
      <c r="A523" s="93" t="n">
        <v>42278</v>
      </c>
      <c r="B523" t="n">
        <v>61</v>
      </c>
      <c r="C523" t="n">
        <v>54.5</v>
      </c>
      <c r="D523" t="n">
        <v>54.5</v>
      </c>
      <c r="E523" t="n">
        <v>48.4</v>
      </c>
      <c r="F523" t="n">
        <v>63</v>
      </c>
      <c r="G523" t="n">
        <v>63</v>
      </c>
      <c r="H523" t="n">
        <v>52.5</v>
      </c>
      <c r="I523" t="n">
        <v>52</v>
      </c>
      <c r="J523" t="n">
        <v>59.2</v>
      </c>
      <c r="K523" t="n">
        <v>54.5</v>
      </c>
      <c r="L523" t="n">
        <v>57.9</v>
      </c>
      <c r="M523" t="n">
        <v>2079.360107421875</v>
      </c>
      <c r="N523" t="n">
        <v>17462.579</v>
      </c>
      <c r="O523" t="n">
        <v>0.001462343465763751</v>
      </c>
      <c r="P523" t="n">
        <v>0.01874684058645722</v>
      </c>
      <c r="Q523" t="n">
        <v>0.005862217066683106</v>
      </c>
      <c r="R523" t="n">
        <v>0.001462343465763751</v>
      </c>
      <c r="S523" t="n">
        <v>0.005862217066683106</v>
      </c>
      <c r="T523" t="n">
        <v>0.01874684058645722</v>
      </c>
    </row>
    <row r="524">
      <c r="A524" s="93" t="n">
        <v>42309</v>
      </c>
      <c r="B524" t="n">
        <v>58.2</v>
      </c>
      <c r="C524" t="n">
        <v>51</v>
      </c>
      <c r="D524" t="n">
        <v>51.5</v>
      </c>
      <c r="E524" t="n">
        <v>49.1</v>
      </c>
      <c r="F524" t="n">
        <v>58.2</v>
      </c>
      <c r="G524" t="n">
        <v>63.5</v>
      </c>
      <c r="H524" t="n">
        <v>54.5</v>
      </c>
      <c r="I524" t="n">
        <v>53</v>
      </c>
      <c r="J524" t="n">
        <v>55</v>
      </c>
      <c r="K524" t="n">
        <v>49.5</v>
      </c>
      <c r="L524" t="n">
        <v>55.8</v>
      </c>
      <c r="M524" t="n">
        <v>2080.409912109375</v>
      </c>
      <c r="O524" t="n">
        <v>0.001462343465763751</v>
      </c>
      <c r="P524" t="n">
        <v>0.01874684058645722</v>
      </c>
      <c r="Q524" t="n">
        <v>0.005862217066683106</v>
      </c>
    </row>
    <row r="525">
      <c r="A525" s="93" t="n">
        <v>42339</v>
      </c>
      <c r="B525" t="n">
        <v>57.9</v>
      </c>
      <c r="C525" t="n">
        <v>49</v>
      </c>
      <c r="D525" t="n">
        <v>50</v>
      </c>
      <c r="E525" t="n">
        <v>50.1</v>
      </c>
      <c r="F525" t="n">
        <v>58.7</v>
      </c>
      <c r="G525" t="n">
        <v>64.5</v>
      </c>
      <c r="H525" t="n">
        <v>53</v>
      </c>
      <c r="I525" t="n">
        <v>48.5</v>
      </c>
      <c r="J525" t="n">
        <v>55.7</v>
      </c>
      <c r="K525" t="n">
        <v>53.5</v>
      </c>
      <c r="L525" t="n">
        <v>55.3</v>
      </c>
      <c r="M525" t="n">
        <v>2043.93994140625</v>
      </c>
      <c r="O525" t="n">
        <v>0.001462343465763751</v>
      </c>
      <c r="P525" t="n">
        <v>0.01874684058645722</v>
      </c>
      <c r="Q525" t="n">
        <v>0.005862217066683106</v>
      </c>
    </row>
    <row r="526">
      <c r="A526" s="93" t="n">
        <v>42370</v>
      </c>
      <c r="B526" t="n">
        <v>57</v>
      </c>
      <c r="C526" t="n">
        <v>46</v>
      </c>
      <c r="D526" t="n">
        <v>52</v>
      </c>
      <c r="E526" t="n">
        <v>47.3</v>
      </c>
      <c r="F526" t="n">
        <v>53.9</v>
      </c>
      <c r="G526" t="n">
        <v>61.5</v>
      </c>
      <c r="H526" t="n">
        <v>51.5</v>
      </c>
      <c r="I526" t="n">
        <v>51.5</v>
      </c>
      <c r="J526" t="n">
        <v>52.1</v>
      </c>
      <c r="K526" t="n">
        <v>45.5</v>
      </c>
      <c r="L526" t="n">
        <v>54</v>
      </c>
      <c r="M526" t="n">
        <v>1940.239990234375</v>
      </c>
      <c r="N526" t="n">
        <v>17565.465</v>
      </c>
      <c r="O526" t="n">
        <v>0.005891798685635071</v>
      </c>
      <c r="P526" t="n">
        <v>0.01648190603048597</v>
      </c>
      <c r="Q526" t="n">
        <v>0.02377629379297197</v>
      </c>
      <c r="R526" t="n">
        <v>0.005891798685635071</v>
      </c>
      <c r="S526" t="n">
        <v>0.02377629379297197</v>
      </c>
      <c r="T526" t="n">
        <v>0.01648190603048597</v>
      </c>
    </row>
    <row r="527">
      <c r="A527" s="93" t="n">
        <v>42401</v>
      </c>
      <c r="B527" t="n">
        <v>56.8</v>
      </c>
      <c r="C527" t="n">
        <v>55.5</v>
      </c>
      <c r="D527" t="n">
        <v>52</v>
      </c>
      <c r="E527" t="n">
        <v>45.6</v>
      </c>
      <c r="F527" t="n">
        <v>57.8</v>
      </c>
      <c r="G527" t="n">
        <v>62</v>
      </c>
      <c r="H527" t="n">
        <v>52.5</v>
      </c>
      <c r="I527" t="n">
        <v>50.5</v>
      </c>
      <c r="J527" t="n">
        <v>49.7</v>
      </c>
      <c r="K527" t="n">
        <v>53.5</v>
      </c>
      <c r="L527" t="n">
        <v>54</v>
      </c>
      <c r="M527" t="n">
        <v>1932.22998046875</v>
      </c>
      <c r="O527" t="n">
        <v>0.005891798685635071</v>
      </c>
      <c r="P527" t="n">
        <v>0.01648190603048597</v>
      </c>
      <c r="Q527" t="n">
        <v>0.02377629379297197</v>
      </c>
    </row>
    <row r="528">
      <c r="A528" s="93" t="n">
        <v>42430</v>
      </c>
      <c r="B528" t="n">
        <v>57.4</v>
      </c>
      <c r="C528" t="n">
        <v>53</v>
      </c>
      <c r="D528" t="n">
        <v>52</v>
      </c>
      <c r="E528" t="n">
        <v>50.4</v>
      </c>
      <c r="F528" t="n">
        <v>59.8</v>
      </c>
      <c r="G528" t="n">
        <v>62.5</v>
      </c>
      <c r="H528" t="n">
        <v>52.5</v>
      </c>
      <c r="I528" t="n">
        <v>51</v>
      </c>
      <c r="J528" t="n">
        <v>50.3</v>
      </c>
      <c r="K528" t="n">
        <v>58.5</v>
      </c>
      <c r="L528" t="n">
        <v>55.2</v>
      </c>
      <c r="M528" t="n">
        <v>2059.739990234375</v>
      </c>
      <c r="O528" t="n">
        <v>0.005891798685635071</v>
      </c>
      <c r="P528" t="n">
        <v>0.01648190603048597</v>
      </c>
      <c r="Q528" t="n">
        <v>0.02377629379297197</v>
      </c>
    </row>
    <row r="529">
      <c r="A529" s="93" t="n">
        <v>42461</v>
      </c>
      <c r="B529" t="n">
        <v>59.5</v>
      </c>
      <c r="C529" t="n">
        <v>54</v>
      </c>
      <c r="D529" t="n">
        <v>51.5</v>
      </c>
      <c r="E529" t="n">
        <v>53.6</v>
      </c>
      <c r="F529" t="n">
        <v>58.8</v>
      </c>
      <c r="G529" t="n">
        <v>61</v>
      </c>
      <c r="H529" t="n">
        <v>54</v>
      </c>
      <c r="I529" t="n">
        <v>51</v>
      </c>
      <c r="J529" t="n">
        <v>53</v>
      </c>
      <c r="K529" t="n">
        <v>56.5</v>
      </c>
      <c r="L529" t="n">
        <v>55.6</v>
      </c>
      <c r="M529" t="n">
        <v>2065.300048828125</v>
      </c>
      <c r="N529" t="n">
        <v>17618.581</v>
      </c>
      <c r="O529" t="n">
        <v>0.003023888066726282</v>
      </c>
      <c r="P529" t="n">
        <v>0.01367629650405968</v>
      </c>
      <c r="Q529" t="n">
        <v>0.0121505263452657</v>
      </c>
      <c r="R529" t="n">
        <v>0.003023888066726282</v>
      </c>
      <c r="S529" t="n">
        <v>0.0121505263452657</v>
      </c>
      <c r="T529" t="n">
        <v>0.01367629650405968</v>
      </c>
    </row>
    <row r="530">
      <c r="A530" s="93" t="n">
        <v>42491</v>
      </c>
      <c r="B530" t="n">
        <v>54.8</v>
      </c>
      <c r="C530" t="n">
        <v>53.5</v>
      </c>
      <c r="D530" t="n">
        <v>50</v>
      </c>
      <c r="E530" t="n">
        <v>55.5</v>
      </c>
      <c r="F530" t="n">
        <v>55.1</v>
      </c>
      <c r="G530" t="n">
        <v>60</v>
      </c>
      <c r="H530" t="n">
        <v>54</v>
      </c>
      <c r="I530" t="n">
        <v>52.5</v>
      </c>
      <c r="J530" t="n">
        <v>49.7</v>
      </c>
      <c r="K530" t="n">
        <v>49</v>
      </c>
      <c r="L530" t="n">
        <v>53.8</v>
      </c>
      <c r="M530" t="n">
        <v>2096.949951171875</v>
      </c>
      <c r="O530" t="n">
        <v>0.003023888066726282</v>
      </c>
      <c r="P530" t="n">
        <v>0.01367629650405968</v>
      </c>
      <c r="Q530" t="n">
        <v>0.0121505263452657</v>
      </c>
    </row>
    <row r="531">
      <c r="A531" s="93" t="n">
        <v>42522</v>
      </c>
      <c r="B531" t="n">
        <v>58.9</v>
      </c>
      <c r="C531" t="n">
        <v>54</v>
      </c>
      <c r="D531" t="n">
        <v>47.5</v>
      </c>
      <c r="E531" t="n">
        <v>55.7</v>
      </c>
      <c r="F531" t="n">
        <v>59.5</v>
      </c>
      <c r="G531" t="n">
        <v>62.5</v>
      </c>
      <c r="H531" t="n">
        <v>55.5</v>
      </c>
      <c r="I531" t="n">
        <v>54</v>
      </c>
      <c r="J531" t="n">
        <v>52.7</v>
      </c>
      <c r="K531" t="n">
        <v>53</v>
      </c>
      <c r="L531" t="n">
        <v>56</v>
      </c>
      <c r="M531" t="n">
        <v>2098.860107421875</v>
      </c>
      <c r="O531" t="n">
        <v>0.003023888066726282</v>
      </c>
      <c r="P531" t="n">
        <v>0.01367629650405968</v>
      </c>
      <c r="Q531" t="n">
        <v>0.0121505263452657</v>
      </c>
    </row>
    <row r="532">
      <c r="A532" s="93" t="n">
        <v>42552</v>
      </c>
      <c r="B532" t="n">
        <v>58.5</v>
      </c>
      <c r="C532" t="n">
        <v>53</v>
      </c>
      <c r="D532" t="n">
        <v>51</v>
      </c>
      <c r="E532" t="n">
        <v>52.7</v>
      </c>
      <c r="F532" t="n">
        <v>59.3</v>
      </c>
      <c r="G532" t="n">
        <v>63</v>
      </c>
      <c r="H532" t="n">
        <v>54</v>
      </c>
      <c r="I532" t="n">
        <v>51</v>
      </c>
      <c r="J532" t="n">
        <v>51.4</v>
      </c>
      <c r="K532" t="n">
        <v>55.5</v>
      </c>
      <c r="L532" t="n">
        <v>55.2</v>
      </c>
      <c r="M532" t="n">
        <v>2173.60009765625</v>
      </c>
      <c r="N532" t="n">
        <v>17724.489</v>
      </c>
      <c r="O532" t="n">
        <v>0.006011153792692107</v>
      </c>
      <c r="P532" t="n">
        <v>0.01648263356020616</v>
      </c>
      <c r="Q532" t="n">
        <v>0.02426228912334993</v>
      </c>
      <c r="R532" t="n">
        <v>0.006011153792692107</v>
      </c>
      <c r="S532" t="n">
        <v>0.02426228912334993</v>
      </c>
      <c r="T532" t="n">
        <v>0.01648263356020616</v>
      </c>
    </row>
    <row r="533">
      <c r="A533" s="93" t="n">
        <v>42583</v>
      </c>
      <c r="B533" t="n">
        <v>52</v>
      </c>
      <c r="C533" t="n">
        <v>50.5</v>
      </c>
      <c r="D533" t="n">
        <v>49.5</v>
      </c>
      <c r="E533" t="n">
        <v>52</v>
      </c>
      <c r="F533" t="n">
        <v>51.8</v>
      </c>
      <c r="G533" t="n">
        <v>64</v>
      </c>
      <c r="H533" t="n">
        <v>48</v>
      </c>
      <c r="I533" t="n">
        <v>51.5</v>
      </c>
      <c r="J533" t="n">
        <v>50.7</v>
      </c>
      <c r="K533" t="n">
        <v>46.5</v>
      </c>
      <c r="L533" t="n">
        <v>51.6</v>
      </c>
      <c r="M533" t="n">
        <v>2170.949951171875</v>
      </c>
      <c r="O533" t="n">
        <v>0.006011153792692107</v>
      </c>
      <c r="P533" t="n">
        <v>0.01648263356020616</v>
      </c>
      <c r="Q533" t="n">
        <v>0.02426228912334993</v>
      </c>
    </row>
    <row r="534">
      <c r="A534" s="93" t="n">
        <v>42614</v>
      </c>
      <c r="B534" t="n">
        <v>59.6</v>
      </c>
      <c r="C534" t="n">
        <v>51</v>
      </c>
      <c r="D534" t="n">
        <v>52</v>
      </c>
      <c r="E534" t="n">
        <v>53.4</v>
      </c>
      <c r="F534" t="n">
        <v>60.3</v>
      </c>
      <c r="G534" t="n">
        <v>64.5</v>
      </c>
      <c r="H534" t="n">
        <v>51.5</v>
      </c>
      <c r="I534" t="n">
        <v>51</v>
      </c>
      <c r="J534" t="n">
        <v>57.2</v>
      </c>
      <c r="K534" t="n">
        <v>56.5</v>
      </c>
      <c r="L534" t="n">
        <v>56.3</v>
      </c>
      <c r="M534" t="n">
        <v>2168.27001953125</v>
      </c>
      <c r="O534" t="n">
        <v>0.006011153792692107</v>
      </c>
      <c r="P534" t="n">
        <v>0.01648263356020616</v>
      </c>
      <c r="Q534" t="n">
        <v>0.02426228912334993</v>
      </c>
    </row>
    <row r="535">
      <c r="A535" s="93" t="n">
        <v>42644</v>
      </c>
      <c r="B535" t="n">
        <v>57.7</v>
      </c>
      <c r="C535" t="n">
        <v>53</v>
      </c>
      <c r="D535" t="n">
        <v>52</v>
      </c>
      <c r="E535" t="n">
        <v>54.9</v>
      </c>
      <c r="F535" t="n">
        <v>57.7</v>
      </c>
      <c r="G535" t="n">
        <v>62</v>
      </c>
      <c r="H535" t="n">
        <v>52</v>
      </c>
      <c r="I535" t="n">
        <v>50.5</v>
      </c>
      <c r="J535" t="n">
        <v>53.1</v>
      </c>
      <c r="K535" t="n">
        <v>55.5</v>
      </c>
      <c r="L535" t="n">
        <v>54.4</v>
      </c>
      <c r="M535" t="n">
        <v>2126.14990234375</v>
      </c>
      <c r="N535" t="n">
        <v>17812.56</v>
      </c>
      <c r="O535" t="n">
        <v>0.004968887960606363</v>
      </c>
      <c r="P535" t="n">
        <v>0.0200417704624271</v>
      </c>
      <c r="Q535" t="n">
        <v>0.02002418226174996</v>
      </c>
      <c r="R535" t="n">
        <v>0.004968887960606363</v>
      </c>
      <c r="S535" t="n">
        <v>0.02002418226174996</v>
      </c>
      <c r="T535" t="n">
        <v>0.0200417704624271</v>
      </c>
    </row>
    <row r="536">
      <c r="A536" s="93" t="n">
        <v>42675</v>
      </c>
      <c r="B536" t="n">
        <v>57.4</v>
      </c>
      <c r="C536" t="n">
        <v>54</v>
      </c>
      <c r="D536" t="n">
        <v>51</v>
      </c>
      <c r="E536" t="n">
        <v>55</v>
      </c>
      <c r="F536" t="n">
        <v>61.7</v>
      </c>
      <c r="G536" t="n">
        <v>60.5</v>
      </c>
      <c r="H536" t="n">
        <v>51.5</v>
      </c>
      <c r="I536" t="n">
        <v>52</v>
      </c>
      <c r="J536" t="n">
        <v>58.2</v>
      </c>
      <c r="K536" t="n">
        <v>57</v>
      </c>
      <c r="L536" t="n">
        <v>56.2</v>
      </c>
      <c r="M536" t="n">
        <v>2198.81005859375</v>
      </c>
      <c r="O536" t="n">
        <v>0.004968887960606363</v>
      </c>
      <c r="P536" t="n">
        <v>0.0200417704624271</v>
      </c>
      <c r="Q536" t="n">
        <v>0.02002418226174996</v>
      </c>
    </row>
    <row r="537">
      <c r="A537" s="93" t="n">
        <v>42705</v>
      </c>
      <c r="B537" t="n">
        <v>60.7</v>
      </c>
      <c r="C537" t="n">
        <v>50</v>
      </c>
      <c r="D537" t="n">
        <v>48</v>
      </c>
      <c r="E537" t="n">
        <v>55.4</v>
      </c>
      <c r="F537" t="n">
        <v>61.4</v>
      </c>
      <c r="G537" t="n">
        <v>61.5</v>
      </c>
      <c r="H537" t="n">
        <v>52</v>
      </c>
      <c r="I537" t="n">
        <v>52</v>
      </c>
      <c r="J537" t="n">
        <v>53.8</v>
      </c>
      <c r="K537" t="n">
        <v>53</v>
      </c>
      <c r="L537" t="n">
        <v>56.7</v>
      </c>
      <c r="M537" t="n">
        <v>2238.830078125</v>
      </c>
      <c r="O537" t="n">
        <v>0.004968887960606363</v>
      </c>
      <c r="P537" t="n">
        <v>0.0200417704624271</v>
      </c>
      <c r="Q537" t="n">
        <v>0.02002418226174996</v>
      </c>
    </row>
    <row r="538">
      <c r="A538" s="93" t="n">
        <v>42736</v>
      </c>
      <c r="B538" t="n">
        <v>58.6</v>
      </c>
      <c r="C538" t="n">
        <v>54</v>
      </c>
      <c r="D538" t="n">
        <v>50</v>
      </c>
      <c r="E538" t="n">
        <v>57.5</v>
      </c>
      <c r="F538" t="n">
        <v>60.3</v>
      </c>
      <c r="G538" t="n">
        <v>62</v>
      </c>
      <c r="H538" t="n">
        <v>48</v>
      </c>
      <c r="I538" t="n">
        <v>52.5</v>
      </c>
      <c r="J538" t="n">
        <v>54.7</v>
      </c>
      <c r="K538" t="n">
        <v>48</v>
      </c>
      <c r="L538" t="n">
        <v>56.8</v>
      </c>
      <c r="M538" t="n">
        <v>2278.8701171875</v>
      </c>
      <c r="N538" t="n">
        <v>17896.623</v>
      </c>
      <c r="O538" t="n">
        <v>0.004719310419164807</v>
      </c>
      <c r="P538" t="n">
        <v>0.01885278869645634</v>
      </c>
      <c r="Q538" t="n">
        <v>0.01901129394955658</v>
      </c>
      <c r="R538" t="n">
        <v>0.004719310419164807</v>
      </c>
      <c r="S538" t="n">
        <v>0.01901129394955658</v>
      </c>
      <c r="T538" t="n">
        <v>0.01885278869645634</v>
      </c>
    </row>
    <row r="539">
      <c r="A539" s="93" t="n">
        <v>42767</v>
      </c>
      <c r="B539" t="n">
        <v>61.2</v>
      </c>
      <c r="C539" t="n">
        <v>51</v>
      </c>
      <c r="D539" t="n">
        <v>54</v>
      </c>
      <c r="E539" t="n">
        <v>57.1</v>
      </c>
      <c r="F539" t="n">
        <v>63.6</v>
      </c>
      <c r="G539" t="n">
        <v>64.5</v>
      </c>
      <c r="H539" t="n">
        <v>52</v>
      </c>
      <c r="I539" t="n">
        <v>50.5</v>
      </c>
      <c r="J539" t="n">
        <v>55.2</v>
      </c>
      <c r="K539" t="n">
        <v>57</v>
      </c>
      <c r="L539" t="n">
        <v>57.4</v>
      </c>
      <c r="M539" t="n">
        <v>2363.639892578125</v>
      </c>
      <c r="O539" t="n">
        <v>0.004719310419164807</v>
      </c>
      <c r="P539" t="n">
        <v>0.01885278869645634</v>
      </c>
      <c r="Q539" t="n">
        <v>0.01901129394955658</v>
      </c>
    </row>
    <row r="540">
      <c r="A540" s="93" t="n">
        <v>42795</v>
      </c>
      <c r="B540" t="n">
        <v>58.9</v>
      </c>
      <c r="C540" t="n">
        <v>56.5</v>
      </c>
      <c r="D540" t="n">
        <v>53</v>
      </c>
      <c r="E540" t="n">
        <v>54.3</v>
      </c>
      <c r="F540" t="n">
        <v>58.9</v>
      </c>
      <c r="G540" t="n">
        <v>65</v>
      </c>
      <c r="H540" t="n">
        <v>48.5</v>
      </c>
      <c r="I540" t="n">
        <v>51.5</v>
      </c>
      <c r="J540" t="n">
        <v>51.6</v>
      </c>
      <c r="K540" t="n">
        <v>62.5</v>
      </c>
      <c r="L540" t="n">
        <v>55.6</v>
      </c>
      <c r="M540" t="n">
        <v>2362.719970703125</v>
      </c>
      <c r="O540" t="n">
        <v>0.004719310419164807</v>
      </c>
      <c r="P540" t="n">
        <v>0.01885278869645634</v>
      </c>
      <c r="Q540" t="n">
        <v>0.01901129394955658</v>
      </c>
    </row>
    <row r="541">
      <c r="A541" s="93" t="n">
        <v>42826</v>
      </c>
      <c r="B541" t="n">
        <v>63.2</v>
      </c>
      <c r="C541" t="n">
        <v>53</v>
      </c>
      <c r="D541" t="n">
        <v>53.5</v>
      </c>
      <c r="E541" t="n">
        <v>58</v>
      </c>
      <c r="F541" t="n">
        <v>62.4</v>
      </c>
      <c r="G541" t="n">
        <v>60</v>
      </c>
      <c r="H541" t="n">
        <v>52.5</v>
      </c>
      <c r="I541" t="n">
        <v>53</v>
      </c>
      <c r="J541" t="n">
        <v>51.4</v>
      </c>
      <c r="K541" t="n">
        <v>65.5</v>
      </c>
      <c r="L541" t="n">
        <v>57.3</v>
      </c>
      <c r="M541" t="n">
        <v>2384.199951171875</v>
      </c>
      <c r="N541" t="n">
        <v>17996.802</v>
      </c>
      <c r="O541" t="n">
        <v>0.005597648226707356</v>
      </c>
      <c r="P541" t="n">
        <v>0.02146716582907564</v>
      </c>
      <c r="Q541" t="n">
        <v>0.02257929746199983</v>
      </c>
      <c r="R541" t="n">
        <v>0.005597648226707356</v>
      </c>
      <c r="S541" t="n">
        <v>0.02257929746199983</v>
      </c>
      <c r="T541" t="n">
        <v>0.02146716582907564</v>
      </c>
    </row>
    <row r="542">
      <c r="A542" s="93" t="n">
        <v>42856</v>
      </c>
      <c r="B542" t="n">
        <v>57.7</v>
      </c>
      <c r="C542" t="n">
        <v>48.5</v>
      </c>
      <c r="D542" t="n">
        <v>57</v>
      </c>
      <c r="E542" t="n">
        <v>50.1</v>
      </c>
      <c r="F542" t="n">
        <v>60.7</v>
      </c>
      <c r="G542" t="n">
        <v>63</v>
      </c>
      <c r="H542" t="n">
        <v>54</v>
      </c>
      <c r="I542" t="n">
        <v>51.5</v>
      </c>
      <c r="J542" t="n">
        <v>57.8</v>
      </c>
      <c r="K542" t="n">
        <v>54.5</v>
      </c>
      <c r="L542" t="n">
        <v>57.1</v>
      </c>
      <c r="M542" t="n">
        <v>2411.800048828125</v>
      </c>
      <c r="O542" t="n">
        <v>0.005597648226707356</v>
      </c>
      <c r="P542" t="n">
        <v>0.02146716582907564</v>
      </c>
      <c r="Q542" t="n">
        <v>0.02257929746199983</v>
      </c>
    </row>
    <row r="543">
      <c r="A543" s="93" t="n">
        <v>42887</v>
      </c>
      <c r="B543" t="n">
        <v>60.5</v>
      </c>
      <c r="C543" t="n">
        <v>51</v>
      </c>
      <c r="D543" t="n">
        <v>52.5</v>
      </c>
      <c r="E543" t="n">
        <v>53.3</v>
      </c>
      <c r="F543" t="n">
        <v>60.8</v>
      </c>
      <c r="G543" t="n">
        <v>62</v>
      </c>
      <c r="H543" t="n">
        <v>57.5</v>
      </c>
      <c r="I543" t="n">
        <v>52.5</v>
      </c>
      <c r="J543" t="n">
        <v>55.8</v>
      </c>
      <c r="K543" t="n">
        <v>55</v>
      </c>
      <c r="L543" t="n">
        <v>57.2</v>
      </c>
      <c r="M543" t="n">
        <v>2423.409912109375</v>
      </c>
      <c r="O543" t="n">
        <v>0.005597648226707356</v>
      </c>
      <c r="P543" t="n">
        <v>0.02146716582907564</v>
      </c>
      <c r="Q543" t="n">
        <v>0.02257929746199983</v>
      </c>
    </row>
    <row r="544">
      <c r="A544" s="93" t="n">
        <v>42917</v>
      </c>
      <c r="B544" t="n">
        <v>55.1</v>
      </c>
      <c r="C544" t="n">
        <v>51.5</v>
      </c>
      <c r="D544" t="n">
        <v>52</v>
      </c>
      <c r="E544" t="n">
        <v>56.4</v>
      </c>
      <c r="F544" t="n">
        <v>55.9</v>
      </c>
      <c r="G544" t="n">
        <v>67.5</v>
      </c>
      <c r="H544" t="n">
        <v>56.5</v>
      </c>
      <c r="I544" t="n">
        <v>51</v>
      </c>
      <c r="J544" t="n">
        <v>53.6</v>
      </c>
      <c r="K544" t="n">
        <v>53</v>
      </c>
      <c r="L544" t="n">
        <v>54.3</v>
      </c>
      <c r="M544" t="n">
        <v>2470.300048828125</v>
      </c>
      <c r="N544" t="n">
        <v>18126.226</v>
      </c>
      <c r="O544" t="n">
        <v>0.007191499912039876</v>
      </c>
      <c r="P544" t="n">
        <v>0.02266564638337372</v>
      </c>
      <c r="Q544" t="n">
        <v>0.02907779605929184</v>
      </c>
      <c r="R544" t="n">
        <v>0.007191499912039876</v>
      </c>
      <c r="S544" t="n">
        <v>0.02907779605929184</v>
      </c>
      <c r="T544" t="n">
        <v>0.02266564638337372</v>
      </c>
    </row>
    <row r="545">
      <c r="A545" s="93" t="n">
        <v>42948</v>
      </c>
      <c r="B545" t="n">
        <v>57.1</v>
      </c>
      <c r="C545" t="n">
        <v>50.5</v>
      </c>
      <c r="D545" t="n">
        <v>53.5</v>
      </c>
      <c r="E545" t="n">
        <v>58.1</v>
      </c>
      <c r="F545" t="n">
        <v>57.5</v>
      </c>
      <c r="G545" t="n">
        <v>61</v>
      </c>
      <c r="H545" t="n">
        <v>53.5</v>
      </c>
      <c r="I545" t="n">
        <v>50.5</v>
      </c>
      <c r="J545" t="n">
        <v>56.2</v>
      </c>
      <c r="K545" t="n">
        <v>55</v>
      </c>
      <c r="L545" t="n">
        <v>55.2</v>
      </c>
      <c r="M545" t="n">
        <v>2471.64990234375</v>
      </c>
      <c r="O545" t="n">
        <v>0.007191499912039876</v>
      </c>
      <c r="P545" t="n">
        <v>0.02266564638337372</v>
      </c>
      <c r="Q545" t="n">
        <v>0.02907779605929184</v>
      </c>
    </row>
    <row r="546">
      <c r="A546" s="93" t="n">
        <v>42979</v>
      </c>
      <c r="B546" t="n">
        <v>63</v>
      </c>
      <c r="C546" t="n">
        <v>52</v>
      </c>
      <c r="D546" t="n">
        <v>56</v>
      </c>
      <c r="E546" t="n">
        <v>65.90000000000001</v>
      </c>
      <c r="F546" t="n">
        <v>61.3</v>
      </c>
      <c r="G546" t="n">
        <v>58.5</v>
      </c>
      <c r="H546" t="n">
        <v>51.5</v>
      </c>
      <c r="I546" t="n">
        <v>58</v>
      </c>
      <c r="J546" t="n">
        <v>56.8</v>
      </c>
      <c r="K546" t="n">
        <v>56</v>
      </c>
      <c r="L546" t="n">
        <v>59.4</v>
      </c>
      <c r="M546" t="n">
        <v>2519.360107421875</v>
      </c>
      <c r="O546" t="n">
        <v>0.007191499912039876</v>
      </c>
      <c r="P546" t="n">
        <v>0.02266564638337372</v>
      </c>
      <c r="Q546" t="n">
        <v>0.02907779605929184</v>
      </c>
    </row>
    <row r="547">
      <c r="A547" s="93" t="n">
        <v>43009</v>
      </c>
      <c r="B547" t="n">
        <v>62.8</v>
      </c>
      <c r="C547" t="n">
        <v>52</v>
      </c>
      <c r="D547" t="n">
        <v>53.5</v>
      </c>
      <c r="E547" t="n">
        <v>61.5</v>
      </c>
      <c r="F547" t="n">
        <v>62.2</v>
      </c>
      <c r="G547" t="n">
        <v>61</v>
      </c>
      <c r="H547" t="n">
        <v>52.5</v>
      </c>
      <c r="I547" t="n">
        <v>58</v>
      </c>
      <c r="J547" t="n">
        <v>57.5</v>
      </c>
      <c r="K547" t="n">
        <v>60</v>
      </c>
      <c r="L547" t="n">
        <v>59.8</v>
      </c>
      <c r="M547" t="n">
        <v>2575.260009765625</v>
      </c>
      <c r="N547" t="n">
        <v>18296.685</v>
      </c>
      <c r="O547" t="n">
        <v>0.009403998383337081</v>
      </c>
      <c r="P547" t="n">
        <v>0.02717885581859093</v>
      </c>
      <c r="Q547" t="n">
        <v>0.03814993904506303</v>
      </c>
      <c r="R547" t="n">
        <v>0.009403998383337081</v>
      </c>
      <c r="S547" t="n">
        <v>0.03814993904506303</v>
      </c>
      <c r="T547" t="n">
        <v>0.02717885581859093</v>
      </c>
    </row>
    <row r="548">
      <c r="A548" s="93" t="n">
        <v>43040</v>
      </c>
      <c r="B548" t="n">
        <v>58.7</v>
      </c>
      <c r="C548" t="n">
        <v>52.5</v>
      </c>
      <c r="D548" t="n">
        <v>51.5</v>
      </c>
      <c r="E548" t="n">
        <v>60.1</v>
      </c>
      <c r="F548" t="n">
        <v>61.4</v>
      </c>
      <c r="G548" t="n">
        <v>56</v>
      </c>
      <c r="H548" t="n">
        <v>54.5</v>
      </c>
      <c r="I548" t="n">
        <v>54</v>
      </c>
      <c r="J548" t="n">
        <v>55.3</v>
      </c>
      <c r="K548" t="n">
        <v>57</v>
      </c>
      <c r="L548" t="n">
        <v>57.3</v>
      </c>
      <c r="M548" t="n">
        <v>2647.580078125</v>
      </c>
      <c r="O548" t="n">
        <v>0.009403998383337081</v>
      </c>
      <c r="P548" t="n">
        <v>0.02717885581859093</v>
      </c>
      <c r="Q548" t="n">
        <v>0.03814993904506303</v>
      </c>
    </row>
    <row r="549">
      <c r="A549" s="93" t="n">
        <v>43070</v>
      </c>
      <c r="B549" t="n">
        <v>54.3</v>
      </c>
      <c r="C549" t="n">
        <v>52.5</v>
      </c>
      <c r="D549" t="n">
        <v>50</v>
      </c>
      <c r="E549" t="n">
        <v>59.9</v>
      </c>
      <c r="F549" t="n">
        <v>57.3</v>
      </c>
      <c r="G549" t="n">
        <v>62.5</v>
      </c>
      <c r="H549" t="n">
        <v>53.5</v>
      </c>
      <c r="I549" t="n">
        <v>55.5</v>
      </c>
      <c r="J549" t="n">
        <v>56.3</v>
      </c>
      <c r="K549" t="n">
        <v>56.5</v>
      </c>
      <c r="L549" t="n">
        <v>56</v>
      </c>
      <c r="M549" t="n">
        <v>2673.610107421875</v>
      </c>
      <c r="O549" t="n">
        <v>0.009403998383337081</v>
      </c>
      <c r="P549" t="n">
        <v>0.02717885581859093</v>
      </c>
      <c r="Q549" t="n">
        <v>0.03814993904506303</v>
      </c>
    </row>
    <row r="550">
      <c r="A550" s="93" t="n">
        <v>43101</v>
      </c>
      <c r="B550" t="n">
        <v>62.7</v>
      </c>
      <c r="C550" t="n">
        <v>54</v>
      </c>
      <c r="D550" t="n">
        <v>50.5</v>
      </c>
      <c r="E550" t="n">
        <v>61.9</v>
      </c>
      <c r="F550" t="n">
        <v>59.8</v>
      </c>
      <c r="G550" t="n">
        <v>61</v>
      </c>
      <c r="H550" t="n">
        <v>49</v>
      </c>
      <c r="I550" t="n">
        <v>55.5</v>
      </c>
      <c r="J550" t="n">
        <v>61.6</v>
      </c>
      <c r="K550" t="n">
        <v>58</v>
      </c>
      <c r="L550" t="n">
        <v>59.9</v>
      </c>
      <c r="M550" t="n">
        <v>2823.81005859375</v>
      </c>
      <c r="N550" t="n">
        <v>18436.262</v>
      </c>
      <c r="O550" t="n">
        <v>0.007628540361272956</v>
      </c>
      <c r="P550" t="n">
        <v>0.03015311883141301</v>
      </c>
      <c r="Q550" t="n">
        <v>0.03086510836024359</v>
      </c>
      <c r="R550" t="n">
        <v>0.007628540361272956</v>
      </c>
      <c r="S550" t="n">
        <v>0.03086510836024359</v>
      </c>
      <c r="T550" t="n">
        <v>0.03015311883141301</v>
      </c>
    </row>
    <row r="551">
      <c r="A551" s="93" t="n">
        <v>43132</v>
      </c>
      <c r="B551" t="n">
        <v>64.8</v>
      </c>
      <c r="C551" t="n">
        <v>50</v>
      </c>
      <c r="D551" t="n">
        <v>56</v>
      </c>
      <c r="E551" t="n">
        <v>61</v>
      </c>
      <c r="F551" t="n">
        <v>62.8</v>
      </c>
      <c r="G551" t="n">
        <v>61</v>
      </c>
      <c r="H551" t="n">
        <v>53.5</v>
      </c>
      <c r="I551" t="n">
        <v>55.5</v>
      </c>
      <c r="J551" t="n">
        <v>55</v>
      </c>
      <c r="K551" t="n">
        <v>59.5</v>
      </c>
      <c r="L551" t="n">
        <v>59.5</v>
      </c>
      <c r="M551" t="n">
        <v>2713.830078125</v>
      </c>
      <c r="O551" t="n">
        <v>0.007628540361272956</v>
      </c>
      <c r="P551" t="n">
        <v>0.03015311883141301</v>
      </c>
      <c r="Q551" t="n">
        <v>0.03086510836024359</v>
      </c>
    </row>
    <row r="552">
      <c r="A552" s="93" t="n">
        <v>43160</v>
      </c>
      <c r="B552" t="n">
        <v>59.5</v>
      </c>
      <c r="C552" t="n">
        <v>55</v>
      </c>
      <c r="D552" t="n">
        <v>56.5</v>
      </c>
      <c r="E552" t="n">
        <v>61.5</v>
      </c>
      <c r="F552" t="n">
        <v>60.6</v>
      </c>
      <c r="G552" t="n">
        <v>58.5</v>
      </c>
      <c r="H552" t="n">
        <v>53.5</v>
      </c>
      <c r="I552" t="n">
        <v>58.5</v>
      </c>
      <c r="J552" t="n">
        <v>56.6</v>
      </c>
      <c r="K552" t="n">
        <v>58</v>
      </c>
      <c r="L552" t="n">
        <v>58.8</v>
      </c>
      <c r="M552" t="n">
        <v>2640.8701171875</v>
      </c>
      <c r="O552" t="n">
        <v>0.007628540361272956</v>
      </c>
      <c r="P552" t="n">
        <v>0.03015311883141301</v>
      </c>
      <c r="Q552" t="n">
        <v>0.03086510836024359</v>
      </c>
    </row>
    <row r="553">
      <c r="A553" s="93" t="n">
        <v>43191</v>
      </c>
      <c r="B553" t="n">
        <v>60</v>
      </c>
      <c r="C553" t="n">
        <v>54.5</v>
      </c>
      <c r="D553" t="n">
        <v>52</v>
      </c>
      <c r="E553" t="n">
        <v>61.8</v>
      </c>
      <c r="F553" t="n">
        <v>59.1</v>
      </c>
      <c r="G553" t="n">
        <v>60</v>
      </c>
      <c r="H553" t="n">
        <v>57</v>
      </c>
      <c r="I553" t="n">
        <v>54.5</v>
      </c>
      <c r="J553" t="n">
        <v>53.6</v>
      </c>
      <c r="K553" t="n">
        <v>61.5</v>
      </c>
      <c r="L553" t="n">
        <v>56.8</v>
      </c>
      <c r="M553" t="n">
        <v>2648.050048828125</v>
      </c>
      <c r="N553" t="n">
        <v>18590.004</v>
      </c>
      <c r="O553" t="n">
        <v>0.008339109088382559</v>
      </c>
      <c r="P553" t="n">
        <v>0.03296152283055629</v>
      </c>
      <c r="Q553" t="n">
        <v>0.03377600526305358</v>
      </c>
      <c r="R553" t="n">
        <v>0.008339109088382559</v>
      </c>
      <c r="S553" t="n">
        <v>0.03377600526305358</v>
      </c>
      <c r="T553" t="n">
        <v>0.03296152283055629</v>
      </c>
    </row>
    <row r="554">
      <c r="A554" s="93" t="n">
        <v>43221</v>
      </c>
      <c r="B554" t="n">
        <v>60.5</v>
      </c>
      <c r="C554" t="n">
        <v>54</v>
      </c>
      <c r="D554" t="n">
        <v>60.5</v>
      </c>
      <c r="E554" t="n">
        <v>64.3</v>
      </c>
      <c r="F554" t="n">
        <v>61.3</v>
      </c>
      <c r="G554" t="n">
        <v>61</v>
      </c>
      <c r="H554" t="n">
        <v>57.5</v>
      </c>
      <c r="I554" t="n">
        <v>58.5</v>
      </c>
      <c r="J554" t="n">
        <v>54.1</v>
      </c>
      <c r="K554" t="n">
        <v>57.5</v>
      </c>
      <c r="L554" t="n">
        <v>58.6</v>
      </c>
      <c r="M554" t="n">
        <v>2705.27001953125</v>
      </c>
      <c r="O554" t="n">
        <v>0.008339109088382559</v>
      </c>
      <c r="P554" t="n">
        <v>0.03296152283055629</v>
      </c>
      <c r="Q554" t="n">
        <v>0.03377600526305358</v>
      </c>
    </row>
    <row r="555">
      <c r="A555" s="93" t="n">
        <v>43252</v>
      </c>
      <c r="B555" t="n">
        <v>63.2</v>
      </c>
      <c r="C555" t="n">
        <v>51.5</v>
      </c>
      <c r="D555" t="n">
        <v>56.5</v>
      </c>
      <c r="E555" t="n">
        <v>60.7</v>
      </c>
      <c r="F555" t="n">
        <v>63.9</v>
      </c>
      <c r="G555" t="n">
        <v>57.5</v>
      </c>
      <c r="H555" t="n">
        <v>53.5</v>
      </c>
      <c r="I555" t="n">
        <v>55.5</v>
      </c>
      <c r="J555" t="n">
        <v>53.6</v>
      </c>
      <c r="K555" t="n">
        <v>60.5</v>
      </c>
      <c r="L555" t="n">
        <v>59.1</v>
      </c>
      <c r="M555" t="n">
        <v>2718.3701171875</v>
      </c>
      <c r="O555" t="n">
        <v>0.008339109088382559</v>
      </c>
      <c r="P555" t="n">
        <v>0.03296152283055629</v>
      </c>
      <c r="Q555" t="n">
        <v>0.03377600526305358</v>
      </c>
    </row>
    <row r="556">
      <c r="A556" s="93" t="n">
        <v>43282</v>
      </c>
      <c r="B556" t="n">
        <v>57</v>
      </c>
      <c r="C556" t="n">
        <v>52.5</v>
      </c>
      <c r="D556" t="n">
        <v>51.5</v>
      </c>
      <c r="E556" t="n">
        <v>63.4</v>
      </c>
      <c r="F556" t="n">
        <v>56.5</v>
      </c>
      <c r="G556" t="n">
        <v>58</v>
      </c>
      <c r="H556" t="n">
        <v>53.5</v>
      </c>
      <c r="I556" t="n">
        <v>53</v>
      </c>
      <c r="J556" t="n">
        <v>56.1</v>
      </c>
      <c r="K556" t="n">
        <v>58</v>
      </c>
      <c r="L556" t="n">
        <v>55.7</v>
      </c>
      <c r="M556" t="n">
        <v>2816.2900390625</v>
      </c>
      <c r="N556" t="n">
        <v>18679.599</v>
      </c>
      <c r="O556" t="n">
        <v>0.004819525590204151</v>
      </c>
      <c r="P556" t="n">
        <v>0.03052885912379111</v>
      </c>
      <c r="Q556" t="n">
        <v>0.01941791765026113</v>
      </c>
      <c r="R556" t="n">
        <v>0.004819525590204151</v>
      </c>
      <c r="S556" t="n">
        <v>0.01941791765026113</v>
      </c>
      <c r="T556" t="n">
        <v>0.03052885912379111</v>
      </c>
    </row>
    <row r="557">
      <c r="A557" s="93" t="n">
        <v>43313</v>
      </c>
      <c r="B557" t="n">
        <v>60.4</v>
      </c>
      <c r="C557" t="n">
        <v>52</v>
      </c>
      <c r="D557" t="n">
        <v>56.5</v>
      </c>
      <c r="E557" t="n">
        <v>62.8</v>
      </c>
      <c r="F557" t="n">
        <v>60.7</v>
      </c>
      <c r="G557" t="n">
        <v>59.5</v>
      </c>
      <c r="H557" t="n">
        <v>53.5</v>
      </c>
      <c r="I557" t="n">
        <v>56</v>
      </c>
      <c r="J557" t="n">
        <v>56.7</v>
      </c>
      <c r="K557" t="n">
        <v>60.5</v>
      </c>
      <c r="L557" t="n">
        <v>58.5</v>
      </c>
      <c r="M557" t="n">
        <v>2901.52001953125</v>
      </c>
      <c r="O557" t="n">
        <v>0.004819525590204151</v>
      </c>
      <c r="P557" t="n">
        <v>0.03052885912379111</v>
      </c>
      <c r="Q557" t="n">
        <v>0.01941791765026113</v>
      </c>
    </row>
    <row r="558">
      <c r="A558" s="93" t="n">
        <v>43344</v>
      </c>
      <c r="B558" t="n">
        <v>61.6</v>
      </c>
      <c r="C558" t="n">
        <v>55</v>
      </c>
      <c r="D558" t="n">
        <v>58.5</v>
      </c>
      <c r="E558" t="n">
        <v>64.2</v>
      </c>
      <c r="F558" t="n">
        <v>65.2</v>
      </c>
      <c r="G558" t="n">
        <v>59.5</v>
      </c>
      <c r="H558" t="n">
        <v>54.5</v>
      </c>
      <c r="I558" t="n">
        <v>57</v>
      </c>
      <c r="J558" t="n">
        <v>62.4</v>
      </c>
      <c r="K558" t="n">
        <v>61</v>
      </c>
      <c r="L558" t="n">
        <v>61.6</v>
      </c>
      <c r="M558" t="n">
        <v>2913.97998046875</v>
      </c>
      <c r="O558" t="n">
        <v>0.004819525590204151</v>
      </c>
      <c r="P558" t="n">
        <v>0.03052885912379111</v>
      </c>
      <c r="Q558" t="n">
        <v>0.01941791765026113</v>
      </c>
    </row>
    <row r="559">
      <c r="A559" s="93" t="n">
        <v>43374</v>
      </c>
      <c r="B559" t="n">
        <v>61.5</v>
      </c>
      <c r="C559" t="n">
        <v>51</v>
      </c>
      <c r="D559" t="n">
        <v>53.5</v>
      </c>
      <c r="E559" t="n">
        <v>61.7</v>
      </c>
      <c r="F559" t="n">
        <v>62.5</v>
      </c>
      <c r="G559" t="n">
        <v>62</v>
      </c>
      <c r="H559" t="n">
        <v>56</v>
      </c>
      <c r="I559" t="n">
        <v>57.5</v>
      </c>
      <c r="J559" t="n">
        <v>59.7</v>
      </c>
      <c r="K559" t="n">
        <v>61</v>
      </c>
      <c r="L559" t="n">
        <v>60.3</v>
      </c>
      <c r="M559" t="n">
        <v>2711.739990234375</v>
      </c>
      <c r="N559" t="n">
        <v>18721.281</v>
      </c>
      <c r="O559" t="n">
        <v>0.002231418351111322</v>
      </c>
      <c r="P559" t="n">
        <v>0.02320617095391857</v>
      </c>
      <c r="Q559" t="n">
        <v>0.008955593239346138</v>
      </c>
      <c r="R559" t="n">
        <v>0.002231418351111322</v>
      </c>
      <c r="S559" t="n">
        <v>0.008955593239346138</v>
      </c>
      <c r="T559" t="n">
        <v>0.02320617095391857</v>
      </c>
    </row>
    <row r="560">
      <c r="A560" s="93" t="n">
        <v>43405</v>
      </c>
      <c r="B560" t="n">
        <v>62.5</v>
      </c>
      <c r="C560" t="n">
        <v>54.5</v>
      </c>
      <c r="D560" t="n">
        <v>55.5</v>
      </c>
      <c r="E560" t="n">
        <v>64.3</v>
      </c>
      <c r="F560" t="n">
        <v>65.2</v>
      </c>
      <c r="G560" t="n">
        <v>60</v>
      </c>
      <c r="H560" t="n">
        <v>57.5</v>
      </c>
      <c r="I560" t="n">
        <v>56.5</v>
      </c>
      <c r="J560" t="n">
        <v>58.4</v>
      </c>
      <c r="K560" t="n">
        <v>57.5</v>
      </c>
      <c r="L560" t="n">
        <v>60.7</v>
      </c>
      <c r="M560" t="n">
        <v>2760.169921875</v>
      </c>
      <c r="O560" t="n">
        <v>0.002231418351111322</v>
      </c>
      <c r="P560" t="n">
        <v>0.02320617095391857</v>
      </c>
      <c r="Q560" t="n">
        <v>0.008955593239346138</v>
      </c>
    </row>
    <row r="561">
      <c r="A561" s="93" t="n">
        <v>43435</v>
      </c>
      <c r="B561" t="n">
        <v>62.7</v>
      </c>
      <c r="C561" t="n">
        <v>53.5</v>
      </c>
      <c r="D561" t="n">
        <v>50.5</v>
      </c>
      <c r="E561" t="n">
        <v>57.6</v>
      </c>
      <c r="F561" t="n">
        <v>59.9</v>
      </c>
      <c r="G561" t="n">
        <v>59</v>
      </c>
      <c r="H561" t="n">
        <v>51.5</v>
      </c>
      <c r="I561" t="n">
        <v>51.5</v>
      </c>
      <c r="J561" t="n">
        <v>56.3</v>
      </c>
      <c r="K561" t="n">
        <v>59.5</v>
      </c>
      <c r="L561" t="n">
        <v>57.6</v>
      </c>
      <c r="M561" t="n">
        <v>2506.85009765625</v>
      </c>
      <c r="O561" t="n">
        <v>0.002231418351111322</v>
      </c>
      <c r="P561" t="n">
        <v>0.02320617095391857</v>
      </c>
      <c r="Q561" t="n">
        <v>0.008955593239346138</v>
      </c>
    </row>
    <row r="562">
      <c r="A562" s="93" t="n">
        <v>43466</v>
      </c>
      <c r="B562" t="n">
        <v>57.7</v>
      </c>
      <c r="C562" t="n">
        <v>52</v>
      </c>
      <c r="D562" t="n">
        <v>52.5</v>
      </c>
      <c r="E562" t="n">
        <v>59.4</v>
      </c>
      <c r="F562" t="n">
        <v>59.7</v>
      </c>
      <c r="G562" t="n">
        <v>60.5</v>
      </c>
      <c r="H562" t="n">
        <v>49</v>
      </c>
      <c r="I562" t="n">
        <v>51.5</v>
      </c>
      <c r="J562" t="n">
        <v>57.8</v>
      </c>
      <c r="K562" t="n">
        <v>50.5</v>
      </c>
      <c r="L562" t="n">
        <v>56.7</v>
      </c>
      <c r="M562" t="n">
        <v>2704.10009765625</v>
      </c>
      <c r="N562" t="n">
        <v>18833.195</v>
      </c>
      <c r="O562" t="n">
        <v>0.005977902900982079</v>
      </c>
      <c r="P562" t="n">
        <v>0.0215300151408133</v>
      </c>
      <c r="Q562" t="n">
        <v>0.02412687930866952</v>
      </c>
      <c r="R562" t="n">
        <v>0.005977902900982079</v>
      </c>
      <c r="S562" t="n">
        <v>0.02412687930866952</v>
      </c>
      <c r="T562" t="n">
        <v>0.0215300151408133</v>
      </c>
    </row>
    <row r="563">
      <c r="A563" s="93" t="n">
        <v>43497</v>
      </c>
      <c r="B563" t="n">
        <v>65.2</v>
      </c>
      <c r="C563" t="n">
        <v>48.5</v>
      </c>
      <c r="D563" t="n">
        <v>55.5</v>
      </c>
      <c r="E563" t="n">
        <v>54.4</v>
      </c>
      <c r="F563" t="n">
        <v>64.7</v>
      </c>
      <c r="G563" t="n">
        <v>59</v>
      </c>
      <c r="H563" t="n">
        <v>51</v>
      </c>
      <c r="I563" t="n">
        <v>53.5</v>
      </c>
      <c r="J563" t="n">
        <v>55.2</v>
      </c>
      <c r="K563" t="n">
        <v>55</v>
      </c>
      <c r="L563" t="n">
        <v>59.7</v>
      </c>
      <c r="M563" t="n">
        <v>2784.489990234375</v>
      </c>
      <c r="O563" t="n">
        <v>0.005977902900982079</v>
      </c>
      <c r="P563" t="n">
        <v>0.0215300151408133</v>
      </c>
      <c r="Q563" t="n">
        <v>0.02412687930866952</v>
      </c>
    </row>
    <row r="564">
      <c r="A564" s="93" t="n">
        <v>43525</v>
      </c>
      <c r="B564" t="n">
        <v>59</v>
      </c>
      <c r="C564" t="n">
        <v>51.5</v>
      </c>
      <c r="D564" t="n">
        <v>56.5</v>
      </c>
      <c r="E564" t="n">
        <v>58.7</v>
      </c>
      <c r="F564" t="n">
        <v>57.4</v>
      </c>
      <c r="G564" t="n">
        <v>62.5</v>
      </c>
      <c r="H564" t="n">
        <v>50</v>
      </c>
      <c r="I564" t="n">
        <v>52</v>
      </c>
      <c r="J564" t="n">
        <v>55.9</v>
      </c>
      <c r="K564" t="n">
        <v>52.5</v>
      </c>
      <c r="L564" t="n">
        <v>56.1</v>
      </c>
      <c r="M564" t="n">
        <v>2834.39990234375</v>
      </c>
      <c r="O564" t="n">
        <v>0.005977902900982079</v>
      </c>
      <c r="P564" t="n">
        <v>0.0215300151408133</v>
      </c>
      <c r="Q564" t="n">
        <v>0.02412687930866952</v>
      </c>
    </row>
    <row r="565">
      <c r="A565" s="93" t="n">
        <v>43556</v>
      </c>
      <c r="B565" t="n">
        <v>58.1</v>
      </c>
      <c r="C565" t="n">
        <v>55</v>
      </c>
      <c r="D565" t="n">
        <v>55</v>
      </c>
      <c r="E565" t="n">
        <v>55.7</v>
      </c>
      <c r="F565" t="n">
        <v>59.5</v>
      </c>
      <c r="G565" t="n">
        <v>60</v>
      </c>
      <c r="H565" t="n">
        <v>51.5</v>
      </c>
      <c r="I565" t="n">
        <v>50.5</v>
      </c>
      <c r="J565" t="n">
        <v>53.7</v>
      </c>
      <c r="K565" t="n">
        <v>57</v>
      </c>
      <c r="L565" t="n">
        <v>55.5</v>
      </c>
      <c r="M565" t="n">
        <v>2945.830078125</v>
      </c>
      <c r="N565" t="n">
        <v>18982.528</v>
      </c>
      <c r="O565" t="n">
        <v>0.007929244082058234</v>
      </c>
      <c r="P565" t="n">
        <v>0.02111478835615084</v>
      </c>
      <c r="Q565" t="n">
        <v>0.03209621189016532</v>
      </c>
      <c r="R565" t="n">
        <v>0.007929244082058234</v>
      </c>
      <c r="S565" t="n">
        <v>0.03209621189016532</v>
      </c>
      <c r="T565" t="n">
        <v>0.02111478835615084</v>
      </c>
    </row>
    <row r="566">
      <c r="A566" s="93" t="n">
        <v>43586</v>
      </c>
      <c r="B566" t="n">
        <v>58.6</v>
      </c>
      <c r="C566" t="n">
        <v>50</v>
      </c>
      <c r="D566" t="n">
        <v>52.5</v>
      </c>
      <c r="E566" t="n">
        <v>55.4</v>
      </c>
      <c r="F566" t="n">
        <v>61.2</v>
      </c>
      <c r="G566" t="n">
        <v>58.5</v>
      </c>
      <c r="H566" t="n">
        <v>54</v>
      </c>
      <c r="I566" t="n">
        <v>49.5</v>
      </c>
      <c r="J566" t="n">
        <v>58.1</v>
      </c>
      <c r="K566" t="n">
        <v>55.5</v>
      </c>
      <c r="L566" t="n">
        <v>56.9</v>
      </c>
      <c r="M566" t="n">
        <v>2752.06005859375</v>
      </c>
      <c r="O566" t="n">
        <v>0.007929244082058234</v>
      </c>
      <c r="P566" t="n">
        <v>0.02111478835615084</v>
      </c>
      <c r="Q566" t="n">
        <v>0.03209621189016532</v>
      </c>
    </row>
    <row r="567">
      <c r="A567" s="93" t="n">
        <v>43617</v>
      </c>
      <c r="B567" t="n">
        <v>55.8</v>
      </c>
      <c r="C567" t="n">
        <v>50</v>
      </c>
      <c r="D567" t="n">
        <v>56</v>
      </c>
      <c r="E567" t="n">
        <v>58.9</v>
      </c>
      <c r="F567" t="n">
        <v>58.2</v>
      </c>
      <c r="G567" t="n">
        <v>58.5</v>
      </c>
      <c r="H567" t="n">
        <v>55</v>
      </c>
      <c r="I567" t="n">
        <v>51.5</v>
      </c>
      <c r="J567" t="n">
        <v>55</v>
      </c>
      <c r="K567" t="n">
        <v>55.5</v>
      </c>
      <c r="L567" t="n">
        <v>55.1</v>
      </c>
      <c r="M567" t="n">
        <v>2941.760009765625</v>
      </c>
      <c r="O567" t="n">
        <v>0.007929244082058234</v>
      </c>
      <c r="P567" t="n">
        <v>0.02111478835615084</v>
      </c>
      <c r="Q567" t="n">
        <v>0.03209621189016532</v>
      </c>
    </row>
    <row r="568">
      <c r="A568" s="93" t="n">
        <v>43647</v>
      </c>
      <c r="B568" t="n">
        <v>54.1</v>
      </c>
      <c r="C568" t="n">
        <v>53.5</v>
      </c>
      <c r="D568" t="n">
        <v>53.5</v>
      </c>
      <c r="E568" t="n">
        <v>56.5</v>
      </c>
      <c r="F568" t="n">
        <v>53.1</v>
      </c>
      <c r="G568" t="n">
        <v>60.5</v>
      </c>
      <c r="H568" t="n">
        <v>50</v>
      </c>
      <c r="I568" t="n">
        <v>51.5</v>
      </c>
      <c r="J568" t="n">
        <v>56.2</v>
      </c>
      <c r="K568" t="n">
        <v>53.5</v>
      </c>
      <c r="L568" t="n">
        <v>53.7</v>
      </c>
      <c r="M568" t="n">
        <v>2980.3798828125</v>
      </c>
      <c r="N568" t="n">
        <v>19112.653</v>
      </c>
      <c r="O568" t="n">
        <v>0.006854987913095664</v>
      </c>
      <c r="P568" t="n">
        <v>0.02318325998325768</v>
      </c>
      <c r="Q568" t="n">
        <v>0.02770318750334555</v>
      </c>
      <c r="R568" t="n">
        <v>0.006854987913095664</v>
      </c>
      <c r="S568" t="n">
        <v>0.02770318750334555</v>
      </c>
      <c r="T568" t="n">
        <v>0.02318325998325768</v>
      </c>
    </row>
    <row r="569">
      <c r="A569" s="93" t="n">
        <v>43678</v>
      </c>
      <c r="B569" t="n">
        <v>60.3</v>
      </c>
      <c r="C569" t="n">
        <v>50.5</v>
      </c>
      <c r="D569" t="n">
        <v>49</v>
      </c>
      <c r="E569" t="n">
        <v>58.2</v>
      </c>
      <c r="F569" t="n">
        <v>61.5</v>
      </c>
      <c r="G569" t="n">
        <v>56</v>
      </c>
      <c r="H569" t="n">
        <v>55</v>
      </c>
      <c r="I569" t="n">
        <v>50.5</v>
      </c>
      <c r="J569" t="n">
        <v>53.1</v>
      </c>
      <c r="K569" t="n">
        <v>50.5</v>
      </c>
      <c r="L569" t="n">
        <v>56.4</v>
      </c>
      <c r="M569" t="n">
        <v>2926.4599609375</v>
      </c>
      <c r="O569" t="n">
        <v>0.006854987913095664</v>
      </c>
      <c r="P569" t="n">
        <v>0.02318325998325768</v>
      </c>
      <c r="Q569" t="n">
        <v>0.02770318750334555</v>
      </c>
    </row>
    <row r="570">
      <c r="A570" s="93" t="n">
        <v>43709</v>
      </c>
      <c r="B570" t="n">
        <v>53.7</v>
      </c>
      <c r="C570" t="n">
        <v>49</v>
      </c>
      <c r="D570" t="n">
        <v>54</v>
      </c>
      <c r="E570" t="n">
        <v>60</v>
      </c>
      <c r="F570" t="n">
        <v>55.2</v>
      </c>
      <c r="G570" t="n">
        <v>58</v>
      </c>
      <c r="H570" t="n">
        <v>53</v>
      </c>
      <c r="I570" t="n">
        <v>51</v>
      </c>
      <c r="J570" t="n">
        <v>50.4</v>
      </c>
      <c r="K570" t="n">
        <v>52</v>
      </c>
      <c r="L570" t="n">
        <v>52.6</v>
      </c>
      <c r="M570" t="n">
        <v>2976.739990234375</v>
      </c>
      <c r="O570" t="n">
        <v>0.006854987913095664</v>
      </c>
      <c r="P570" t="n">
        <v>0.02318325998325768</v>
      </c>
      <c r="Q570" t="n">
        <v>0.02770318750334555</v>
      </c>
    </row>
    <row r="571">
      <c r="A571" s="93" t="n">
        <v>43739</v>
      </c>
      <c r="B571" t="n">
        <v>55.6</v>
      </c>
      <c r="C571" t="n">
        <v>48.5</v>
      </c>
      <c r="D571" t="n">
        <v>48.5</v>
      </c>
      <c r="E571" t="n">
        <v>56.6</v>
      </c>
      <c r="F571" t="n">
        <v>57</v>
      </c>
      <c r="G571" t="n">
        <v>57</v>
      </c>
      <c r="H571" t="n">
        <v>50.5</v>
      </c>
      <c r="I571" t="n">
        <v>52.5</v>
      </c>
      <c r="J571" t="n">
        <v>53.7</v>
      </c>
      <c r="K571" t="n">
        <v>50</v>
      </c>
      <c r="L571" t="n">
        <v>54.7</v>
      </c>
      <c r="M571" t="n">
        <v>3037.56005859375</v>
      </c>
      <c r="N571" t="n">
        <v>19202.31</v>
      </c>
      <c r="O571" t="n">
        <v>0.004690976182113644</v>
      </c>
      <c r="P571" t="n">
        <v>0.02569423534639549</v>
      </c>
      <c r="Q571" t="n">
        <v>0.01889634966248899</v>
      </c>
      <c r="R571" t="n">
        <v>0.004690976182113644</v>
      </c>
      <c r="S571" t="n">
        <v>0.01889634966248899</v>
      </c>
      <c r="T571" t="n">
        <v>0.02569423534639549</v>
      </c>
    </row>
    <row r="572">
      <c r="A572" s="93" t="n">
        <v>43770</v>
      </c>
      <c r="B572" t="n">
        <v>57.1</v>
      </c>
      <c r="C572" t="n">
        <v>45</v>
      </c>
      <c r="D572" t="n">
        <v>48.5</v>
      </c>
      <c r="E572" t="n">
        <v>58.5</v>
      </c>
      <c r="F572" t="n">
        <v>51.6</v>
      </c>
      <c r="G572" t="n">
        <v>58.5</v>
      </c>
      <c r="H572" t="n">
        <v>50.5</v>
      </c>
      <c r="I572" t="n">
        <v>51.5</v>
      </c>
      <c r="J572" t="n">
        <v>55.5</v>
      </c>
      <c r="K572" t="n">
        <v>52</v>
      </c>
      <c r="L572" t="n">
        <v>53.9</v>
      </c>
      <c r="M572" t="n">
        <v>3140.97998046875</v>
      </c>
      <c r="O572" t="n">
        <v>0.004690976182113644</v>
      </c>
      <c r="P572" t="n">
        <v>0.02569423534639549</v>
      </c>
      <c r="Q572" t="n">
        <v>0.01889634966248899</v>
      </c>
    </row>
    <row r="573">
      <c r="A573" s="93" t="n">
        <v>43800</v>
      </c>
      <c r="B573" t="n">
        <v>54.9</v>
      </c>
      <c r="C573" t="n">
        <v>48</v>
      </c>
      <c r="D573" t="n">
        <v>47.5</v>
      </c>
      <c r="E573" t="n">
        <v>58.5</v>
      </c>
      <c r="F573" t="n">
        <v>57.2</v>
      </c>
      <c r="G573" t="n">
        <v>60</v>
      </c>
      <c r="H573" t="n">
        <v>51</v>
      </c>
      <c r="I573" t="n">
        <v>52.5</v>
      </c>
      <c r="J573" t="n">
        <v>55.2</v>
      </c>
      <c r="K573" t="n">
        <v>51</v>
      </c>
      <c r="L573" t="n">
        <v>55</v>
      </c>
      <c r="M573" t="n">
        <v>3230.780029296875</v>
      </c>
      <c r="O573" t="n">
        <v>0.004690976182113644</v>
      </c>
      <c r="P573" t="n">
        <v>0.02569423534639549</v>
      </c>
      <c r="Q573" t="n">
        <v>0.01889634966248899</v>
      </c>
    </row>
    <row r="574">
      <c r="A574" s="93" t="n">
        <v>43831</v>
      </c>
      <c r="B574" t="n">
        <v>56.2</v>
      </c>
      <c r="C574" t="n">
        <v>55.1</v>
      </c>
      <c r="D574" t="n">
        <v>45.5</v>
      </c>
      <c r="E574" t="n">
        <v>55.5</v>
      </c>
      <c r="F574" t="n">
        <v>60.9</v>
      </c>
      <c r="G574" t="n">
        <v>54.9</v>
      </c>
      <c r="H574" t="n">
        <v>46.5</v>
      </c>
      <c r="I574" t="n">
        <v>51.7</v>
      </c>
      <c r="J574" t="n">
        <v>53.1</v>
      </c>
      <c r="K574" t="n">
        <v>50.1</v>
      </c>
      <c r="L574" t="n">
        <v>55.5</v>
      </c>
      <c r="M574" t="n">
        <v>3225.52001953125</v>
      </c>
      <c r="N574" t="n">
        <v>18951.992</v>
      </c>
      <c r="O574" t="n">
        <v>-0.01303582746034216</v>
      </c>
      <c r="P574" t="n">
        <v>0.006307851641742077</v>
      </c>
      <c r="Q574" t="n">
        <v>-0.05113254503727427</v>
      </c>
      <c r="R574" t="n">
        <v>-0.01303582746034216</v>
      </c>
      <c r="S574" t="n">
        <v>-0.05113254503727427</v>
      </c>
      <c r="T574" t="n">
        <v>0.006307851641742077</v>
      </c>
    </row>
    <row r="575">
      <c r="A575" s="93" t="n">
        <v>43862</v>
      </c>
      <c r="B575" t="n">
        <v>63.1</v>
      </c>
      <c r="C575" t="n">
        <v>52.6</v>
      </c>
      <c r="D575" t="n">
        <v>53.2</v>
      </c>
      <c r="E575" t="n">
        <v>50.8</v>
      </c>
      <c r="F575" t="n">
        <v>57.8</v>
      </c>
      <c r="G575" t="n">
        <v>59.3</v>
      </c>
      <c r="H575" t="n">
        <v>53.9</v>
      </c>
      <c r="I575" t="n">
        <v>52.4</v>
      </c>
      <c r="J575" t="n">
        <v>55.6</v>
      </c>
      <c r="K575" t="n">
        <v>55.6</v>
      </c>
      <c r="L575" t="n">
        <v>57.3</v>
      </c>
      <c r="M575" t="n">
        <v>2954.219970703125</v>
      </c>
      <c r="O575" t="n">
        <v>-0.01303582746034216</v>
      </c>
      <c r="P575" t="n">
        <v>0.006307851641742077</v>
      </c>
      <c r="Q575" t="n">
        <v>-0.05113254503727427</v>
      </c>
    </row>
    <row r="576">
      <c r="A576" s="93" t="n">
        <v>43891</v>
      </c>
      <c r="B576" t="n">
        <v>52.9</v>
      </c>
      <c r="C576" t="n">
        <v>40.2</v>
      </c>
      <c r="D576" t="n">
        <v>55</v>
      </c>
      <c r="E576" t="n">
        <v>50</v>
      </c>
      <c r="F576" t="n">
        <v>48</v>
      </c>
      <c r="G576" t="n">
        <v>47.8</v>
      </c>
      <c r="H576" t="n">
        <v>41.5</v>
      </c>
      <c r="I576" t="n">
        <v>62.1</v>
      </c>
      <c r="J576" t="n">
        <v>47</v>
      </c>
      <c r="K576" t="n">
        <v>45.9</v>
      </c>
      <c r="L576" t="n">
        <v>52.5</v>
      </c>
      <c r="M576" t="n">
        <v>2584.590087890625</v>
      </c>
      <c r="O576" t="n">
        <v>-0.01303582746034216</v>
      </c>
      <c r="P576" t="n">
        <v>0.006307851641742077</v>
      </c>
      <c r="Q576" t="n">
        <v>-0.05113254503727427</v>
      </c>
    </row>
    <row r="577">
      <c r="A577" s="93" t="n">
        <v>43922</v>
      </c>
      <c r="B577" t="n">
        <v>32.9</v>
      </c>
      <c r="C577" t="n">
        <v>49.3</v>
      </c>
      <c r="D577" t="n">
        <v>47.7</v>
      </c>
      <c r="E577" t="n">
        <v>55.1</v>
      </c>
      <c r="F577" t="n">
        <v>26</v>
      </c>
      <c r="G577" t="n">
        <v>62.6</v>
      </c>
      <c r="H577" t="n">
        <v>46.9</v>
      </c>
      <c r="I577" t="n">
        <v>78.3</v>
      </c>
      <c r="J577" t="n">
        <v>30</v>
      </c>
      <c r="K577" t="n">
        <v>36.3</v>
      </c>
      <c r="L577" t="n">
        <v>41.8</v>
      </c>
      <c r="M577" t="n">
        <v>2912.429931640625</v>
      </c>
      <c r="N577" t="n">
        <v>17258.205</v>
      </c>
      <c r="O577" t="n">
        <v>-0.08937250501161022</v>
      </c>
      <c r="P577" t="n">
        <v>-0.09083737424225038</v>
      </c>
      <c r="Q577" t="n">
        <v>-0.3123569846108508</v>
      </c>
      <c r="R577" t="n">
        <v>-0.08937250501161022</v>
      </c>
      <c r="S577" t="n">
        <v>-0.3123569846108508</v>
      </c>
      <c r="T577" t="n">
        <v>-0.09083737424225038</v>
      </c>
    </row>
    <row r="578">
      <c r="A578" s="93" t="n">
        <v>43952</v>
      </c>
      <c r="B578" t="n">
        <v>41.9</v>
      </c>
      <c r="C578" t="n">
        <v>43.7</v>
      </c>
      <c r="D578" t="n">
        <v>46.4</v>
      </c>
      <c r="E578" t="n">
        <v>55.6</v>
      </c>
      <c r="F578" t="n">
        <v>41</v>
      </c>
      <c r="G578" t="n">
        <v>55.1</v>
      </c>
      <c r="H578" t="n">
        <v>48</v>
      </c>
      <c r="I578" t="n">
        <v>67</v>
      </c>
      <c r="J578" t="n">
        <v>31.8</v>
      </c>
      <c r="K578" t="n">
        <v>41.5</v>
      </c>
      <c r="L578" t="n">
        <v>45.4</v>
      </c>
      <c r="M578" t="n">
        <v>3044.31005859375</v>
      </c>
      <c r="O578" t="n">
        <v>-0.08937250501161022</v>
      </c>
      <c r="P578" t="n">
        <v>-0.09083737424225038</v>
      </c>
      <c r="Q578" t="n">
        <v>-0.3123569846108508</v>
      </c>
    </row>
    <row r="579">
      <c r="A579" s="93" t="n">
        <v>43983</v>
      </c>
      <c r="B579" t="n">
        <v>61.6</v>
      </c>
      <c r="C579" t="n">
        <v>52.9</v>
      </c>
      <c r="D579" t="n">
        <v>41.9</v>
      </c>
      <c r="E579" t="n">
        <v>62.4</v>
      </c>
      <c r="F579" t="n">
        <v>66</v>
      </c>
      <c r="G579" t="n">
        <v>55.9</v>
      </c>
      <c r="H579" t="n">
        <v>60.7</v>
      </c>
      <c r="I579" t="n">
        <v>57.5</v>
      </c>
      <c r="J579" t="n">
        <v>43.1</v>
      </c>
      <c r="K579" t="n">
        <v>58.9</v>
      </c>
      <c r="L579" t="n">
        <v>57.1</v>
      </c>
      <c r="M579" t="n">
        <v>3100.2900390625</v>
      </c>
      <c r="O579" t="n">
        <v>-0.08937250501161022</v>
      </c>
      <c r="P579" t="n">
        <v>-0.09083737424225038</v>
      </c>
      <c r="Q579" t="n">
        <v>-0.3123569846108508</v>
      </c>
    </row>
    <row r="580">
      <c r="A580" s="93" t="n">
        <v>44013</v>
      </c>
      <c r="B580" t="n">
        <v>67.7</v>
      </c>
      <c r="C580" t="n">
        <v>46.3</v>
      </c>
      <c r="D580" t="n">
        <v>55.9</v>
      </c>
      <c r="E580" t="n">
        <v>57.6</v>
      </c>
      <c r="F580" t="n">
        <v>67.2</v>
      </c>
      <c r="G580" t="n">
        <v>50</v>
      </c>
      <c r="H580" t="n">
        <v>52</v>
      </c>
      <c r="I580" t="n">
        <v>55.2</v>
      </c>
      <c r="J580" t="n">
        <v>42.1</v>
      </c>
      <c r="K580" t="n">
        <v>49.3</v>
      </c>
      <c r="L580" t="n">
        <v>58.1</v>
      </c>
      <c r="M580" t="n">
        <v>3271.1201171875</v>
      </c>
      <c r="N580" t="n">
        <v>18560.774</v>
      </c>
      <c r="O580" t="n">
        <v>0.07547534636423657</v>
      </c>
      <c r="P580" t="n">
        <v>-0.02887505988833666</v>
      </c>
      <c r="Q580" t="n">
        <v>0.3378327930079323</v>
      </c>
      <c r="R580" t="n">
        <v>0.07547534636423657</v>
      </c>
      <c r="S580" t="n">
        <v>0.3378327930079323</v>
      </c>
      <c r="T580" t="n">
        <v>-0.02887505988833666</v>
      </c>
    </row>
    <row r="581">
      <c r="A581" s="93" t="n">
        <v>44044</v>
      </c>
      <c r="B581" t="n">
        <v>56.8</v>
      </c>
      <c r="C581" t="n">
        <v>50.8</v>
      </c>
      <c r="D581" t="n">
        <v>56.6</v>
      </c>
      <c r="E581" t="n">
        <v>64.2</v>
      </c>
      <c r="F581" t="n">
        <v>62.4</v>
      </c>
      <c r="G581" t="n">
        <v>52.5</v>
      </c>
      <c r="H581" t="n">
        <v>45.8</v>
      </c>
      <c r="I581" t="n">
        <v>60.5</v>
      </c>
      <c r="J581" t="n">
        <v>47.9</v>
      </c>
      <c r="K581" t="n">
        <v>55.8</v>
      </c>
      <c r="L581" t="n">
        <v>56.9</v>
      </c>
      <c r="M581" t="n">
        <v>3500.31005859375</v>
      </c>
      <c r="O581" t="n">
        <v>0.07547534636423657</v>
      </c>
      <c r="P581" t="n">
        <v>-0.02887505988833666</v>
      </c>
      <c r="Q581" t="n">
        <v>0.3378327930079323</v>
      </c>
    </row>
    <row r="582">
      <c r="A582" s="93" t="n">
        <v>44075</v>
      </c>
      <c r="B582" t="n">
        <v>61.5</v>
      </c>
      <c r="C582" t="n">
        <v>46.6</v>
      </c>
      <c r="D582" t="n">
        <v>50.1</v>
      </c>
      <c r="E582" t="n">
        <v>59</v>
      </c>
      <c r="F582" t="n">
        <v>63</v>
      </c>
      <c r="G582" t="n">
        <v>55.4</v>
      </c>
      <c r="H582" t="n">
        <v>48.8</v>
      </c>
      <c r="I582" t="n">
        <v>54.9</v>
      </c>
      <c r="J582" t="n">
        <v>51.8</v>
      </c>
      <c r="K582" t="n">
        <v>52.6</v>
      </c>
      <c r="L582" t="n">
        <v>57.8</v>
      </c>
      <c r="M582" t="n">
        <v>3363</v>
      </c>
      <c r="O582" t="n">
        <v>0.07547534636423657</v>
      </c>
      <c r="P582" t="n">
        <v>-0.02887505988833666</v>
      </c>
      <c r="Q582" t="n">
        <v>0.3378327930079323</v>
      </c>
    </row>
    <row r="583">
      <c r="A583" s="93" t="n">
        <v>44105</v>
      </c>
      <c r="B583" t="n">
        <v>58.8</v>
      </c>
      <c r="C583" t="n">
        <v>52.5</v>
      </c>
      <c r="D583" t="n">
        <v>54.4</v>
      </c>
      <c r="E583" t="n">
        <v>63.9</v>
      </c>
      <c r="F583" t="n">
        <v>61.2</v>
      </c>
      <c r="G583" t="n">
        <v>51.1</v>
      </c>
      <c r="H583" t="n">
        <v>53.1</v>
      </c>
      <c r="I583" t="n">
        <v>56.2</v>
      </c>
      <c r="J583" t="n">
        <v>50.1</v>
      </c>
      <c r="K583" t="n">
        <v>53.7</v>
      </c>
      <c r="L583" t="n">
        <v>56.6</v>
      </c>
      <c r="M583" t="n">
        <v>3269.9599609375</v>
      </c>
      <c r="N583" t="n">
        <v>18767.778</v>
      </c>
      <c r="O583" t="n">
        <v>0.01115276765936578</v>
      </c>
      <c r="P583" t="n">
        <v>-0.0226291524300984</v>
      </c>
      <c r="Q583" t="n">
        <v>0.04536294038119415</v>
      </c>
      <c r="R583" t="n">
        <v>0.01115276765936578</v>
      </c>
      <c r="S583" t="n">
        <v>0.04536294038119415</v>
      </c>
      <c r="T583" t="n">
        <v>-0.0226291524300984</v>
      </c>
    </row>
    <row r="584">
      <c r="A584" s="93" t="n">
        <v>44136</v>
      </c>
      <c r="B584" t="n">
        <v>57.2</v>
      </c>
      <c r="C584" t="n">
        <v>55</v>
      </c>
      <c r="D584" t="n">
        <v>50.7</v>
      </c>
      <c r="E584" t="n">
        <v>66.09999999999999</v>
      </c>
      <c r="F584" t="n">
        <v>58</v>
      </c>
      <c r="G584" t="n">
        <v>49.9</v>
      </c>
      <c r="H584" t="n">
        <v>49.3</v>
      </c>
      <c r="I584" t="n">
        <v>57</v>
      </c>
      <c r="J584" t="n">
        <v>51.5</v>
      </c>
      <c r="K584" t="n">
        <v>50.4</v>
      </c>
      <c r="L584" t="n">
        <v>55.9</v>
      </c>
      <c r="M584" t="n">
        <v>3621.6298828125</v>
      </c>
      <c r="O584" t="n">
        <v>0.01115276765936578</v>
      </c>
      <c r="P584" t="n">
        <v>-0.0226291524300984</v>
      </c>
      <c r="Q584" t="n">
        <v>0.04536294038119415</v>
      </c>
    </row>
    <row r="585">
      <c r="A585" s="93" t="n">
        <v>44166</v>
      </c>
      <c r="B585" t="n">
        <v>58.5</v>
      </c>
      <c r="C585" t="n">
        <v>51.8</v>
      </c>
      <c r="D585" t="n">
        <v>48.7</v>
      </c>
      <c r="E585" t="n">
        <v>64.8</v>
      </c>
      <c r="F585" t="n">
        <v>59.4</v>
      </c>
      <c r="G585" t="n">
        <v>47.7</v>
      </c>
      <c r="H585" t="n">
        <v>58.2</v>
      </c>
      <c r="I585" t="n">
        <v>62.8</v>
      </c>
      <c r="J585" t="n">
        <v>48.2</v>
      </c>
      <c r="K585" t="n">
        <v>57.3</v>
      </c>
      <c r="L585" t="n">
        <v>57.2</v>
      </c>
      <c r="M585" t="n">
        <v>3756.070068359375</v>
      </c>
      <c r="O585" t="n">
        <v>0.01115276765936578</v>
      </c>
      <c r="P585" t="n">
        <v>-0.0226291524300984</v>
      </c>
      <c r="Q585" t="n">
        <v>0.04536294038119415</v>
      </c>
    </row>
    <row r="586">
      <c r="A586" s="93" t="n">
        <v>44197</v>
      </c>
      <c r="B586" t="n">
        <v>61.8</v>
      </c>
      <c r="C586" t="n">
        <v>53.5</v>
      </c>
      <c r="D586" t="n">
        <v>50.9</v>
      </c>
      <c r="E586" t="n">
        <v>64.2</v>
      </c>
      <c r="F586" t="n">
        <v>59.9</v>
      </c>
      <c r="G586" t="n">
        <v>49.7</v>
      </c>
      <c r="H586" t="n">
        <v>49.2</v>
      </c>
      <c r="I586" t="n">
        <v>57.8</v>
      </c>
      <c r="J586" t="n">
        <v>55.2</v>
      </c>
      <c r="K586" t="n">
        <v>47</v>
      </c>
      <c r="L586" t="n">
        <v>58.7</v>
      </c>
      <c r="M586" t="n">
        <v>3714.239990234375</v>
      </c>
      <c r="N586" t="n">
        <v>19055.655</v>
      </c>
      <c r="O586" t="n">
        <v>0.01533889627211066</v>
      </c>
      <c r="P586" t="n">
        <v>0.005469768032827393</v>
      </c>
      <c r="Q586" t="n">
        <v>0.06278176672776592</v>
      </c>
      <c r="R586" t="n">
        <v>0.01533889627211066</v>
      </c>
      <c r="S586" t="n">
        <v>0.06278176672776592</v>
      </c>
      <c r="T586" t="n">
        <v>0.005469768032827393</v>
      </c>
    </row>
    <row r="587">
      <c r="A587" s="93" t="n">
        <v>44228</v>
      </c>
      <c r="B587" t="n">
        <v>51.9</v>
      </c>
      <c r="C587" t="n">
        <v>50.5</v>
      </c>
      <c r="D587" t="n">
        <v>55.2</v>
      </c>
      <c r="E587" t="n">
        <v>71.8</v>
      </c>
      <c r="F587" t="n">
        <v>55.5</v>
      </c>
      <c r="G587" t="n">
        <v>54.3</v>
      </c>
      <c r="H587" t="n">
        <v>58.9</v>
      </c>
      <c r="I587" t="n">
        <v>60.8</v>
      </c>
      <c r="J587" t="n">
        <v>52.7</v>
      </c>
      <c r="K587" t="n">
        <v>57.6</v>
      </c>
      <c r="L587" t="n">
        <v>55.3</v>
      </c>
      <c r="M587" t="n">
        <v>3811.14990234375</v>
      </c>
      <c r="O587" t="n">
        <v>0.01533889627211066</v>
      </c>
      <c r="P587" t="n">
        <v>0.005469768032827393</v>
      </c>
      <c r="Q587" t="n">
        <v>0.06278176672776592</v>
      </c>
    </row>
    <row r="588">
      <c r="A588" s="93" t="n">
        <v>44256</v>
      </c>
      <c r="B588" t="n">
        <v>67.2</v>
      </c>
      <c r="C588" t="n">
        <v>74</v>
      </c>
      <c r="D588" t="n">
        <v>50.2</v>
      </c>
      <c r="E588" t="n">
        <v>74</v>
      </c>
      <c r="F588" t="n">
        <v>69.40000000000001</v>
      </c>
      <c r="G588" t="n">
        <v>52.7</v>
      </c>
      <c r="H588" t="n">
        <v>54</v>
      </c>
      <c r="I588" t="n">
        <v>61</v>
      </c>
      <c r="J588" t="n">
        <v>57.2</v>
      </c>
      <c r="K588" t="n">
        <v>55.5</v>
      </c>
      <c r="L588" t="n">
        <v>63.7</v>
      </c>
      <c r="M588" t="n">
        <v>3972.889892578125</v>
      </c>
      <c r="O588" t="n">
        <v>0.01533889627211066</v>
      </c>
      <c r="P588" t="n">
        <v>0.005469768032827393</v>
      </c>
      <c r="Q588" t="n">
        <v>0.06278176672776592</v>
      </c>
    </row>
    <row r="589">
      <c r="A589" s="93" t="n">
        <v>44287</v>
      </c>
      <c r="B589" t="n">
        <v>63.2</v>
      </c>
      <c r="C589" t="n">
        <v>55.7</v>
      </c>
      <c r="D589" t="n">
        <v>55.7</v>
      </c>
      <c r="E589" t="n">
        <v>76.8</v>
      </c>
      <c r="F589" t="n">
        <v>62.7</v>
      </c>
      <c r="G589" t="n">
        <v>46.8</v>
      </c>
      <c r="H589" t="n">
        <v>49.1</v>
      </c>
      <c r="I589" t="n">
        <v>66.09999999999999</v>
      </c>
      <c r="J589" t="n">
        <v>58.8</v>
      </c>
      <c r="K589" t="n">
        <v>58.6</v>
      </c>
      <c r="L589" t="n">
        <v>62.7</v>
      </c>
      <c r="M589" t="n">
        <v>4181.169921875</v>
      </c>
      <c r="N589" t="n">
        <v>19368.31</v>
      </c>
      <c r="O589" t="n">
        <v>0.01640746539544311</v>
      </c>
      <c r="P589" t="n">
        <v>0.12226677108077</v>
      </c>
      <c r="Q589" t="n">
        <v>0.06726283145896073</v>
      </c>
      <c r="R589" t="n">
        <v>0.01640746539544311</v>
      </c>
      <c r="S589" t="n">
        <v>0.06726283145896073</v>
      </c>
      <c r="T589" t="n">
        <v>0.12226677108077</v>
      </c>
    </row>
    <row r="590">
      <c r="A590" s="93" t="n">
        <v>44317</v>
      </c>
      <c r="B590" t="n">
        <v>63.9</v>
      </c>
      <c r="C590" t="n">
        <v>50.4</v>
      </c>
      <c r="D590" t="n">
        <v>61.1</v>
      </c>
      <c r="E590" t="n">
        <v>80.59999999999999</v>
      </c>
      <c r="F590" t="n">
        <v>66.2</v>
      </c>
      <c r="G590" t="n">
        <v>40.5</v>
      </c>
      <c r="H590" t="n">
        <v>51.5</v>
      </c>
      <c r="I590" t="n">
        <v>70.40000000000001</v>
      </c>
      <c r="J590" t="n">
        <v>55.3</v>
      </c>
      <c r="K590" t="n">
        <v>60</v>
      </c>
      <c r="L590" t="n">
        <v>64</v>
      </c>
      <c r="M590" t="n">
        <v>4204.10986328125</v>
      </c>
      <c r="O590" t="n">
        <v>0.01640746539544311</v>
      </c>
      <c r="P590" t="n">
        <v>0.12226677108077</v>
      </c>
      <c r="Q590" t="n">
        <v>0.06726283145896073</v>
      </c>
    </row>
    <row r="591">
      <c r="A591" s="93" t="n">
        <v>44348</v>
      </c>
      <c r="B591" t="n">
        <v>62.1</v>
      </c>
      <c r="C591" t="n">
        <v>58.2</v>
      </c>
      <c r="D591" t="n">
        <v>65.8</v>
      </c>
      <c r="E591" t="n">
        <v>79.5</v>
      </c>
      <c r="F591" t="n">
        <v>60.4</v>
      </c>
      <c r="G591" t="n">
        <v>37.2</v>
      </c>
      <c r="H591" t="n">
        <v>49.9</v>
      </c>
      <c r="I591" t="n">
        <v>68.5</v>
      </c>
      <c r="J591" t="n">
        <v>49.3</v>
      </c>
      <c r="K591" t="n">
        <v>50.7</v>
      </c>
      <c r="L591" t="n">
        <v>60.1</v>
      </c>
      <c r="M591" t="n">
        <v>4297.5</v>
      </c>
      <c r="O591" t="n">
        <v>0.01640746539544311</v>
      </c>
      <c r="P591" t="n">
        <v>0.12226677108077</v>
      </c>
      <c r="Q591" t="n">
        <v>0.06726283145896073</v>
      </c>
    </row>
    <row r="592">
      <c r="A592" s="93" t="n">
        <v>44378</v>
      </c>
      <c r="B592" t="n">
        <v>63.7</v>
      </c>
      <c r="C592" t="n">
        <v>51.6</v>
      </c>
      <c r="D592" t="n">
        <v>63.5</v>
      </c>
      <c r="E592" t="n">
        <v>82.3</v>
      </c>
      <c r="F592" t="n">
        <v>67</v>
      </c>
      <c r="G592" t="n">
        <v>40.3</v>
      </c>
      <c r="H592" t="n">
        <v>49.2</v>
      </c>
      <c r="I592" t="n">
        <v>72</v>
      </c>
      <c r="J592" t="n">
        <v>53.8</v>
      </c>
      <c r="K592" t="n">
        <v>65.8</v>
      </c>
      <c r="L592" t="n">
        <v>64.09999999999999</v>
      </c>
      <c r="M592" t="n">
        <v>4395.259765625</v>
      </c>
      <c r="N592" t="n">
        <v>19478.893</v>
      </c>
      <c r="O592" t="n">
        <v>0.005709481105992145</v>
      </c>
      <c r="P592" t="n">
        <v>0.04946555569288213</v>
      </c>
      <c r="Q592" t="n">
        <v>0.02303425900825307</v>
      </c>
      <c r="R592" t="n">
        <v>0.005709481105992145</v>
      </c>
      <c r="S592" t="n">
        <v>0.02303425900825307</v>
      </c>
      <c r="T592" t="n">
        <v>0.04946555569288213</v>
      </c>
    </row>
    <row r="593">
      <c r="A593" s="93" t="n">
        <v>44409</v>
      </c>
      <c r="B593" t="n">
        <v>63.2</v>
      </c>
      <c r="C593" t="n">
        <v>48.7</v>
      </c>
      <c r="D593" t="n">
        <v>61.3</v>
      </c>
      <c r="E593" t="n">
        <v>75.40000000000001</v>
      </c>
      <c r="F593" t="n">
        <v>60.1</v>
      </c>
      <c r="G593" t="n">
        <v>41.4</v>
      </c>
      <c r="H593" t="n">
        <v>46.9</v>
      </c>
      <c r="I593" t="n">
        <v>69.59999999999999</v>
      </c>
      <c r="J593" t="n">
        <v>53.7</v>
      </c>
      <c r="K593" t="n">
        <v>60.6</v>
      </c>
      <c r="L593" t="n">
        <v>61.7</v>
      </c>
      <c r="M593" t="n">
        <v>4522.68017578125</v>
      </c>
      <c r="O593" t="n">
        <v>0.005709481105992145</v>
      </c>
      <c r="P593" t="n">
        <v>0.04946555569288213</v>
      </c>
      <c r="Q593" t="n">
        <v>0.02303425900825307</v>
      </c>
    </row>
    <row r="594">
      <c r="A594" s="93" t="n">
        <v>44440</v>
      </c>
      <c r="B594" t="n">
        <v>63.5</v>
      </c>
      <c r="C594" t="n">
        <v>47.7</v>
      </c>
      <c r="D594" t="n">
        <v>61.9</v>
      </c>
      <c r="E594" t="n">
        <v>77.5</v>
      </c>
      <c r="F594" t="n">
        <v>62.3</v>
      </c>
      <c r="G594" t="n">
        <v>46.3</v>
      </c>
      <c r="H594" t="n">
        <v>46.1</v>
      </c>
      <c r="I594" t="n">
        <v>68.8</v>
      </c>
      <c r="J594" t="n">
        <v>53</v>
      </c>
      <c r="K594" t="n">
        <v>59.5</v>
      </c>
      <c r="L594" t="n">
        <v>61.9</v>
      </c>
      <c r="M594" t="n">
        <v>4307.5400390625</v>
      </c>
      <c r="O594" t="n">
        <v>0.005709481105992145</v>
      </c>
      <c r="P594" t="n">
        <v>0.04946555569288213</v>
      </c>
      <c r="Q594" t="n">
        <v>0.02303425900825307</v>
      </c>
    </row>
    <row r="595">
      <c r="A595" s="93" t="n">
        <v>44470</v>
      </c>
      <c r="B595" t="n">
        <v>69.7</v>
      </c>
      <c r="C595" t="n">
        <v>53.3</v>
      </c>
      <c r="D595" t="n">
        <v>67.3</v>
      </c>
      <c r="E595" t="n">
        <v>82.90000000000001</v>
      </c>
      <c r="F595" t="n">
        <v>69.8</v>
      </c>
      <c r="G595" t="n">
        <v>37.3</v>
      </c>
      <c r="H595" t="n">
        <v>42.2</v>
      </c>
      <c r="I595" t="n">
        <v>75.7</v>
      </c>
      <c r="J595" t="n">
        <v>51.6</v>
      </c>
      <c r="K595" t="n">
        <v>62.3</v>
      </c>
      <c r="L595" t="n">
        <v>66.7</v>
      </c>
      <c r="M595" t="n">
        <v>4605.3798828125</v>
      </c>
      <c r="N595" t="n">
        <v>19806.29</v>
      </c>
      <c r="O595" t="n">
        <v>0.01679094392068376</v>
      </c>
      <c r="P595" t="n">
        <v>0.05531736362184171</v>
      </c>
      <c r="Q595" t="n">
        <v>0.06887440582969107</v>
      </c>
      <c r="R595" t="n">
        <v>0.01680778265992841</v>
      </c>
      <c r="S595" t="n">
        <v>0.06894521269365228</v>
      </c>
      <c r="T595" t="n">
        <v>0.05533484038440792</v>
      </c>
    </row>
    <row r="596">
      <c r="A596" s="93" t="n">
        <v>44501</v>
      </c>
      <c r="B596" t="n">
        <v>69.7</v>
      </c>
      <c r="C596" t="n">
        <v>50.5</v>
      </c>
      <c r="D596" t="n">
        <v>65.90000000000001</v>
      </c>
      <c r="E596" t="n">
        <v>82.3</v>
      </c>
      <c r="F596" t="n">
        <v>74.59999999999999</v>
      </c>
      <c r="G596" t="n">
        <v>36.4</v>
      </c>
      <c r="H596" t="n">
        <v>48.2</v>
      </c>
      <c r="I596" t="n">
        <v>75.7</v>
      </c>
      <c r="J596" t="n">
        <v>56.5</v>
      </c>
      <c r="K596" t="n">
        <v>57.9</v>
      </c>
      <c r="L596" t="n">
        <v>69.09999999999999</v>
      </c>
      <c r="M596" t="n">
        <v>4567</v>
      </c>
      <c r="O596" t="n">
        <v>0.01679094392068376</v>
      </c>
      <c r="P596" t="n">
        <v>0.05531736362184171</v>
      </c>
      <c r="Q596" t="n">
        <v>0.06887440582969107</v>
      </c>
    </row>
    <row r="597">
      <c r="A597" s="93" t="n">
        <v>44531</v>
      </c>
      <c r="B597" t="n">
        <v>61.5</v>
      </c>
      <c r="C597" t="n">
        <v>55.5</v>
      </c>
      <c r="D597" t="n">
        <v>62.3</v>
      </c>
      <c r="E597" t="n">
        <v>82.5</v>
      </c>
      <c r="F597" t="n">
        <v>67.59999999999999</v>
      </c>
      <c r="G597" t="n">
        <v>38.3</v>
      </c>
      <c r="H597" t="n">
        <v>46.7</v>
      </c>
      <c r="I597" t="n">
        <v>63.9</v>
      </c>
      <c r="J597" t="n">
        <v>54.9</v>
      </c>
      <c r="K597" t="n">
        <v>61.5</v>
      </c>
      <c r="L597" t="n">
        <v>62</v>
      </c>
      <c r="M597" t="n">
        <v>4766.18017578125</v>
      </c>
      <c r="O597" t="n">
        <v>0.01679094392068376</v>
      </c>
      <c r="P597" t="n">
        <v>0.05531736362184171</v>
      </c>
      <c r="Q597" t="n">
        <v>0.06887440582969107</v>
      </c>
    </row>
    <row r="598">
      <c r="A598" s="93" t="n">
        <v>44562</v>
      </c>
      <c r="B598" t="n">
        <v>61.7</v>
      </c>
      <c r="C598" t="n">
        <v>51.1</v>
      </c>
      <c r="D598" t="n">
        <v>57.4</v>
      </c>
      <c r="E598" t="n">
        <v>82.3</v>
      </c>
      <c r="F598" t="n">
        <v>59.9</v>
      </c>
      <c r="G598" t="n">
        <v>47.5</v>
      </c>
      <c r="H598" t="n">
        <v>49.4</v>
      </c>
      <c r="I598" t="n">
        <v>65.7</v>
      </c>
      <c r="J598" t="n">
        <v>52.3</v>
      </c>
      <c r="K598" t="n">
        <v>45.9</v>
      </c>
      <c r="L598" t="n">
        <v>59.9</v>
      </c>
      <c r="M598" t="n">
        <v>4515.5498046875</v>
      </c>
      <c r="N598" t="n">
        <v>19727.918</v>
      </c>
      <c r="O598" t="n">
        <v>0.01679094392068376</v>
      </c>
      <c r="P598" t="n">
        <v>0.05531736362184171</v>
      </c>
      <c r="Q598" t="n">
        <v>0.06887440582969107</v>
      </c>
      <c r="R598" t="n">
        <v>-0.003956924795102939</v>
      </c>
      <c r="S598" t="n">
        <v>-0.01573400323056107</v>
      </c>
      <c r="T598" t="n">
        <v>0.03527892376305106</v>
      </c>
    </row>
    <row r="599">
      <c r="A599" s="93" t="n">
        <v>44593</v>
      </c>
      <c r="B599" t="n">
        <v>56.1</v>
      </c>
      <c r="C599" t="n">
        <v>51.7</v>
      </c>
      <c r="D599" t="n">
        <v>64.2</v>
      </c>
      <c r="E599" t="n">
        <v>83.09999999999999</v>
      </c>
      <c r="F599" t="n">
        <v>55.1</v>
      </c>
      <c r="G599" t="n">
        <v>55.3</v>
      </c>
      <c r="H599" t="n">
        <v>50.8</v>
      </c>
      <c r="I599" t="n">
        <v>66.2</v>
      </c>
      <c r="J599" t="n">
        <v>48.5</v>
      </c>
      <c r="K599" t="n">
        <v>53</v>
      </c>
      <c r="L599" t="n">
        <v>56.5</v>
      </c>
      <c r="M599" t="n">
        <v>4373.93994140625</v>
      </c>
      <c r="O599" t="n">
        <v>0.01679094392068376</v>
      </c>
      <c r="P599" t="n">
        <v>0.05531736362184171</v>
      </c>
      <c r="Q599" t="n">
        <v>0.06887440582969107</v>
      </c>
    </row>
    <row r="600">
      <c r="A600" s="93" t="n">
        <v>44621</v>
      </c>
      <c r="B600" t="n">
        <v>60.1</v>
      </c>
      <c r="C600" t="n">
        <v>45</v>
      </c>
      <c r="D600" t="n">
        <v>64.5</v>
      </c>
      <c r="E600" t="n">
        <v>83.8</v>
      </c>
      <c r="F600" t="n">
        <v>55.5</v>
      </c>
      <c r="G600" t="n">
        <v>40.2</v>
      </c>
      <c r="H600" t="n">
        <v>51.7</v>
      </c>
      <c r="I600" t="n">
        <v>63.4</v>
      </c>
      <c r="J600" t="n">
        <v>54</v>
      </c>
      <c r="K600" t="n">
        <v>61</v>
      </c>
      <c r="L600" t="n">
        <v>58.3</v>
      </c>
      <c r="M600" t="n">
        <v>4530.41015625</v>
      </c>
      <c r="O600" t="n">
        <v>0.01679094392068376</v>
      </c>
      <c r="P600" t="n">
        <v>0.05531736362184171</v>
      </c>
      <c r="Q600" t="n">
        <v>0.06887440582969107</v>
      </c>
    </row>
    <row r="601">
      <c r="A601" s="93" t="n">
        <v>44652</v>
      </c>
      <c r="B601" t="n">
        <v>54.6</v>
      </c>
      <c r="C601" t="n">
        <v>52.9</v>
      </c>
      <c r="D601" t="n">
        <v>59.4</v>
      </c>
      <c r="E601" t="n">
        <v>84.59999999999999</v>
      </c>
      <c r="F601" t="n">
        <v>59.1</v>
      </c>
      <c r="G601" t="n">
        <v>46.7</v>
      </c>
      <c r="H601" t="n">
        <v>52.3</v>
      </c>
      <c r="I601" t="n">
        <v>65.09999999999999</v>
      </c>
      <c r="J601" t="n">
        <v>49.5</v>
      </c>
      <c r="K601" t="n">
        <v>58.1</v>
      </c>
      <c r="L601" t="n">
        <v>57.1</v>
      </c>
      <c r="M601" t="n">
        <v>4131.93017578125</v>
      </c>
      <c r="O601" t="n">
        <v>0.01679094392068376</v>
      </c>
      <c r="P601" t="n">
        <v>0.05531736362184171</v>
      </c>
      <c r="Q601" t="n">
        <v>0.06887440582969107</v>
      </c>
    </row>
    <row r="602">
      <c r="A602" s="93" t="n">
        <v>44682</v>
      </c>
      <c r="B602" t="n">
        <v>57.6</v>
      </c>
      <c r="C602" t="n">
        <v>52.8</v>
      </c>
      <c r="D602" t="n">
        <v>52</v>
      </c>
      <c r="E602" t="n">
        <v>82.09999999999999</v>
      </c>
      <c r="F602" t="n">
        <v>54.5</v>
      </c>
      <c r="G602" t="n">
        <v>44.5</v>
      </c>
      <c r="H602" t="n">
        <v>51</v>
      </c>
      <c r="I602" t="n">
        <v>61.3</v>
      </c>
      <c r="J602" t="n">
        <v>50.2</v>
      </c>
      <c r="K602" t="n">
        <v>60.9</v>
      </c>
      <c r="L602" t="n">
        <v>55.9</v>
      </c>
      <c r="M602" t="n">
        <v>4132.14990234375</v>
      </c>
      <c r="O602" t="n">
        <v>0.01679094392068376</v>
      </c>
      <c r="P602" t="n">
        <v>0.05531736362184171</v>
      </c>
      <c r="Q602" t="n">
        <v>0.06887440582969107</v>
      </c>
    </row>
    <row r="603">
      <c r="A603" s="93" t="n">
        <v>44713</v>
      </c>
      <c r="B603" t="n">
        <v>55.6</v>
      </c>
      <c r="C603" t="n">
        <v>46.3</v>
      </c>
      <c r="D603" t="n">
        <v>60.5</v>
      </c>
      <c r="E603" t="n">
        <v>80.09999999999999</v>
      </c>
      <c r="F603" t="n">
        <v>56.1</v>
      </c>
      <c r="G603" t="n">
        <v>46.2</v>
      </c>
      <c r="H603" t="n">
        <v>47.5</v>
      </c>
      <c r="I603" t="n">
        <v>61.9</v>
      </c>
      <c r="J603" t="n">
        <v>47.4</v>
      </c>
      <c r="K603" t="n">
        <v>57.5</v>
      </c>
      <c r="L603" t="n">
        <v>55.3</v>
      </c>
      <c r="M603" t="n">
        <v>3785.3798828125</v>
      </c>
      <c r="O603" t="n">
        <v>0.01679094392068376</v>
      </c>
      <c r="P603" t="n">
        <v>0.05531736362184171</v>
      </c>
      <c r="Q603" t="n">
        <v>0.06887440582969107</v>
      </c>
    </row>
  </sheetData>
  <pageMargins left="0.7" right="0.7" top="0.75" bottom="0.75" header="0.3" footer="0.3"/>
</worksheet>
</file>

<file path=xl/worksheets/sheet6.xml><?xml version="1.0" encoding="utf-8"?>
<worksheet xmlns="http://schemas.openxmlformats.org/spreadsheetml/2006/main">
  <sheetPr codeName="Sheet3">
    <tabColor theme="4" tint="0.7999816888943144"/>
    <outlinePr summaryBelow="1" summaryRight="1"/>
    <pageSetUpPr/>
  </sheetPr>
  <dimension ref="A1:Z16"/>
  <sheetViews>
    <sheetView zoomScale="140" zoomScaleNormal="140" workbookViewId="0">
      <selection activeCell="V4" sqref="V4"/>
    </sheetView>
  </sheetViews>
  <sheetFormatPr baseColWidth="10" defaultColWidth="9.1640625" defaultRowHeight="15"/>
  <cols>
    <col width="9.6640625" customWidth="1" style="70" min="1" max="1"/>
    <col width="8.83203125" customWidth="1" style="70" min="2" max="18"/>
    <col width="12.5" customWidth="1" style="70" min="19" max="19"/>
    <col width="8.83203125" customWidth="1" style="70" min="20" max="20"/>
    <col width="9.1640625" customWidth="1" style="70" min="21" max="35"/>
    <col width="9.1640625" customWidth="1" style="70" min="36" max="16384"/>
  </cols>
  <sheetData>
    <row r="1">
      <c r="B1" s="14" t="inlineStr">
        <is>
          <t>* to modify</t>
        </is>
      </c>
      <c r="J1" s="70" t="inlineStr">
        <is>
          <t>Last Month</t>
        </is>
      </c>
      <c r="L1" s="43" t="n">
        <v>44713</v>
      </c>
      <c r="O1" s="6" t="n"/>
    </row>
    <row r="2">
      <c r="L2" s="14" t="n">
        <v>30</v>
      </c>
      <c r="Y2" s="7" t="n"/>
    </row>
    <row r="4">
      <c r="U4" s="7">
        <f>DATE(YEAR(U5),MONTH(U5)-1,DAY(U5))</f>
        <v/>
      </c>
      <c r="V4" s="1">
        <f>V5-1</f>
        <v/>
      </c>
    </row>
    <row r="5" ht="90" customHeight="1" s="65" thickBot="1">
      <c r="A5" s="8" t="n"/>
      <c r="B5" s="44" t="inlineStr">
        <is>
          <t>Retail Trade</t>
        </is>
      </c>
      <c r="C5" s="44" t="inlineStr">
        <is>
          <t>Utilities</t>
        </is>
      </c>
      <c r="D5" s="44" t="inlineStr">
        <is>
          <t>Arts, Entertainment &amp; Recreation</t>
        </is>
      </c>
      <c r="E5" s="44" t="inlineStr">
        <is>
          <t>Other Services</t>
        </is>
      </c>
      <c r="F5" s="44" t="inlineStr">
        <is>
          <t>Health Care &amp; Social Assistance</t>
        </is>
      </c>
      <c r="G5" s="44" t="inlineStr">
        <is>
          <t>Accommodation &amp; Food Services</t>
        </is>
      </c>
      <c r="H5" s="44" t="inlineStr">
        <is>
          <t>Finance &amp; Insurance</t>
        </is>
      </c>
      <c r="I5" s="44" t="inlineStr">
        <is>
          <t>Real Estate, Rental &amp; Leasing</t>
        </is>
      </c>
      <c r="J5" s="44" t="inlineStr">
        <is>
          <t>Transportation &amp; Warehousing</t>
        </is>
      </c>
      <c r="K5" s="44" t="inlineStr">
        <is>
          <t>Mining</t>
        </is>
      </c>
      <c r="L5" s="44" t="inlineStr">
        <is>
          <t>Construction</t>
        </is>
      </c>
      <c r="M5" s="44" t="inlineStr">
        <is>
          <t>Wholesale Trade</t>
        </is>
      </c>
      <c r="N5" s="44" t="inlineStr">
        <is>
          <t>Public Administration</t>
        </is>
      </c>
      <c r="O5" s="44" t="inlineStr">
        <is>
          <t>Professional, Scientific &amp; Technical Services</t>
        </is>
      </c>
      <c r="P5" s="44" t="inlineStr">
        <is>
          <t>Agriculture, Forestry, Fishing &amp; Hunting</t>
        </is>
      </c>
      <c r="Q5" s="44" t="inlineStr">
        <is>
          <t>Information</t>
        </is>
      </c>
      <c r="R5" s="44" t="inlineStr">
        <is>
          <t>Educational Services</t>
        </is>
      </c>
      <c r="S5" s="44" t="inlineStr">
        <is>
          <t>Management of Companies &amp; Support Services</t>
        </is>
      </c>
      <c r="U5" s="7">
        <f>DATE(YEAR(U6),MONTH(U6)-1,DAY(U6))</f>
        <v/>
      </c>
      <c r="V5" s="1">
        <f>V6-1</f>
        <v/>
      </c>
      <c r="Y5" s="70" t="inlineStr">
        <is>
          <t>Min</t>
        </is>
      </c>
      <c r="Z5" s="70" t="inlineStr">
        <is>
          <t>Max</t>
        </is>
      </c>
    </row>
    <row r="6">
      <c r="A6" s="8">
        <f>DATE(YEAR(A7),MONTH(A7)-1,DAY(A7))</f>
        <v/>
      </c>
      <c r="B6" s="38">
        <f>VLOOKUP($B$5,'Sectors Trend'!$B$6:$AJ$23,VLOOKUP(A6,$U:$V,2,),)</f>
        <v/>
      </c>
      <c r="C6" s="38">
        <f>VLOOKUP($C$5,'Sectors Trend'!$B$6:$AJ$23,VLOOKUP(A6,$U:$V,2,),)</f>
        <v/>
      </c>
      <c r="D6" s="38">
        <f>VLOOKUP($D$5,'Sectors Trend'!$B$6:$AJ$23,VLOOKUP(A6,$U:$V,2,),)</f>
        <v/>
      </c>
      <c r="E6" s="38">
        <f>VLOOKUP($E$5,'Sectors Trend'!$B$6:$AJ$23,VLOOKUP(A6,$U:$V,2,),)</f>
        <v/>
      </c>
      <c r="F6" s="38">
        <f>VLOOKUP($F$5,'Sectors Trend'!$B$6:$AJ$23,VLOOKUP(A6,$U:$V,2,),)</f>
        <v/>
      </c>
      <c r="G6" s="38">
        <f>VLOOKUP($G$5,'Sectors Trend'!$B$6:$AJ$23,VLOOKUP(A6,$U:$V,2,),)</f>
        <v/>
      </c>
      <c r="H6" s="38">
        <f>VLOOKUP($H$5,'Sectors Trend'!$B$6:$AJ$23,VLOOKUP(A6,$U:$V,2,),)</f>
        <v/>
      </c>
      <c r="I6" s="38">
        <f>VLOOKUP($I$5,'Sectors Trend'!$B$6:$AJ$23,VLOOKUP(A6,$U:$V,2,),)</f>
        <v/>
      </c>
      <c r="J6" s="38">
        <f>VLOOKUP($J$5,'Sectors Trend'!$B$6:$AJ$23,VLOOKUP(A6,$U:$V,2,),)</f>
        <v/>
      </c>
      <c r="K6" s="38">
        <f>VLOOKUP($K$5,'Sectors Trend'!$B$6:$AJ$23,VLOOKUP(A6,$U:$V,2,),)</f>
        <v/>
      </c>
      <c r="L6" s="38">
        <f>VLOOKUP($L$5,'Sectors Trend'!$B$6:$AJ$23,VLOOKUP(A6,$U:$V,2,),)</f>
        <v/>
      </c>
      <c r="M6" s="38">
        <f>VLOOKUP($M$5,'Sectors Trend'!$B$6:$AJ$23,VLOOKUP(A6,$U:$V,2,),)</f>
        <v/>
      </c>
      <c r="N6" s="38">
        <f>VLOOKUP($N$5,'Sectors Trend'!$B$6:$AJ$23,VLOOKUP(A6,$U:$V,2,),)</f>
        <v/>
      </c>
      <c r="O6" s="38">
        <f>VLOOKUP($O$5,'Sectors Trend'!$B$6:$AJ$23,VLOOKUP(A6,$U:$V,2,),)</f>
        <v/>
      </c>
      <c r="P6" s="38">
        <f>VLOOKUP($P$5,'Sectors Trend'!$B$6:$AJ$23,VLOOKUP(A6,$U:$V,2,),)</f>
        <v/>
      </c>
      <c r="Q6" s="38">
        <f>VLOOKUP($Q$5,'Sectors Trend'!$B$6:$AJ$23,VLOOKUP(A6,$U:$V,2,),)</f>
        <v/>
      </c>
      <c r="R6" s="38">
        <f>VLOOKUP($R$5,'Sectors Trend'!$B$6:$AJ$23,VLOOKUP(A6,$U:$V,2,),)</f>
        <v/>
      </c>
      <c r="S6" s="39">
        <f>VLOOKUP($S$5,'Sectors Trend'!$B$6:$AJ$23,VLOOKUP(A6,$U:$V,2,),)</f>
        <v/>
      </c>
      <c r="U6" s="7">
        <f>DATE(YEAR(U7),MONTH(U7)-1,DAY(U7))</f>
        <v/>
      </c>
      <c r="V6" s="1">
        <f>V7-1</f>
        <v/>
      </c>
      <c r="Y6" s="70">
        <f>MIN(B6:S6)</f>
        <v/>
      </c>
      <c r="Z6" s="70">
        <f>MAX(B6:S6)</f>
        <v/>
      </c>
    </row>
    <row r="7">
      <c r="A7" s="8">
        <f>DATE(YEAR(A8),MONTH(A8)-1,DAY(A8))</f>
        <v/>
      </c>
      <c r="B7" s="5">
        <f>VLOOKUP($B$5,'Sectors Trend'!$B$6:$AJ$23,VLOOKUP(A7,$U:$V,2,),)</f>
        <v/>
      </c>
      <c r="C7" s="5">
        <f>VLOOKUP($C$5,'Sectors Trend'!$B$6:$AJ$23,VLOOKUP(A7,$U:$V,2,),)</f>
        <v/>
      </c>
      <c r="D7" s="5">
        <f>VLOOKUP($D$5,'Sectors Trend'!$B$6:$AJ$23,VLOOKUP(A7,$U:$V,2,),)</f>
        <v/>
      </c>
      <c r="E7" s="5">
        <f>VLOOKUP($E$5,'Sectors Trend'!$B$6:$AJ$23,VLOOKUP(A7,$U:$V,2,),)</f>
        <v/>
      </c>
      <c r="F7" s="5">
        <f>VLOOKUP($F$5,'Sectors Trend'!$B$6:$AJ$23,VLOOKUP(A7,$U:$V,2,),)</f>
        <v/>
      </c>
      <c r="G7" s="5">
        <f>VLOOKUP($G$5,'Sectors Trend'!$B$6:$AJ$23,VLOOKUP(A7,$U:$V,2,),)</f>
        <v/>
      </c>
      <c r="H7" s="5">
        <f>VLOOKUP($H$5,'Sectors Trend'!$B$6:$AJ$23,VLOOKUP(A7,$U:$V,2,),)</f>
        <v/>
      </c>
      <c r="I7" s="5">
        <f>VLOOKUP($I$5,'Sectors Trend'!$B$6:$AJ$23,VLOOKUP(A7,$U:$V,2,),)</f>
        <v/>
      </c>
      <c r="J7" s="5">
        <f>VLOOKUP($J$5,'Sectors Trend'!$B$6:$AJ$23,VLOOKUP(A7,$U:$V,2,),)</f>
        <v/>
      </c>
      <c r="K7" s="5">
        <f>VLOOKUP($K$5,'Sectors Trend'!$B$6:$AJ$23,VLOOKUP(A7,$U:$V,2,),)</f>
        <v/>
      </c>
      <c r="L7" s="5">
        <f>VLOOKUP($L$5,'Sectors Trend'!$B$6:$AJ$23,VLOOKUP(A7,$U:$V,2,),)</f>
        <v/>
      </c>
      <c r="M7" s="5">
        <f>VLOOKUP($M$5,'Sectors Trend'!$B$6:$AJ$23,VLOOKUP(A7,$U:$V,2,),)</f>
        <v/>
      </c>
      <c r="N7" s="5">
        <f>VLOOKUP($N$5,'Sectors Trend'!$B$6:$AJ$23,VLOOKUP(A7,$U:$V,2,),)</f>
        <v/>
      </c>
      <c r="O7" s="5">
        <f>VLOOKUP($O$5,'Sectors Trend'!$B$6:$AJ$23,VLOOKUP(A7,$U:$V,2,),)</f>
        <v/>
      </c>
      <c r="P7" s="5">
        <f>VLOOKUP($P$5,'Sectors Trend'!$B$6:$AJ$23,VLOOKUP(A7,$U:$V,2,),)</f>
        <v/>
      </c>
      <c r="Q7" s="5">
        <f>VLOOKUP($Q$5,'Sectors Trend'!$B$6:$AJ$23,VLOOKUP(A7,$U:$V,2,),)</f>
        <v/>
      </c>
      <c r="R7" s="5">
        <f>VLOOKUP($R$5,'Sectors Trend'!$B$6:$AJ$23,VLOOKUP(A7,$U:$V,2,),)</f>
        <v/>
      </c>
      <c r="S7" s="40">
        <f>VLOOKUP($S$5,'Sectors Trend'!$B$6:$AJ$23,VLOOKUP(A7,$U:$V,2,),)</f>
        <v/>
      </c>
      <c r="U7" s="7">
        <f>DATE(YEAR(U8),MONTH(U8)-1,DAY(U8))</f>
        <v/>
      </c>
      <c r="V7" s="1">
        <f>V8-1</f>
        <v/>
      </c>
      <c r="Y7" s="70">
        <f>MIN(B7:S7)</f>
        <v/>
      </c>
      <c r="Z7" s="70">
        <f>MAX(B7:S7)</f>
        <v/>
      </c>
    </row>
    <row r="8">
      <c r="A8" s="8">
        <f>DATE(YEAR(A9),MONTH(A9)-1,DAY(A9))</f>
        <v/>
      </c>
      <c r="B8" s="5">
        <f>VLOOKUP($B$5,'Sectors Trend'!$B$6:$AJ$23,VLOOKUP(A8,$U:$V,2,),)</f>
        <v/>
      </c>
      <c r="C8" s="5">
        <f>VLOOKUP($C$5,'Sectors Trend'!$B$6:$AJ$23,VLOOKUP(A8,$U:$V,2,),)</f>
        <v/>
      </c>
      <c r="D8" s="5">
        <f>VLOOKUP($D$5,'Sectors Trend'!$B$6:$AJ$23,VLOOKUP(A8,$U:$V,2,),)</f>
        <v/>
      </c>
      <c r="E8" s="5">
        <f>VLOOKUP($E$5,'Sectors Trend'!$B$6:$AJ$23,VLOOKUP(A8,$U:$V,2,),)</f>
        <v/>
      </c>
      <c r="F8" s="5">
        <f>VLOOKUP($F$5,'Sectors Trend'!$B$6:$AJ$23,VLOOKUP(A8,$U:$V,2,),)</f>
        <v/>
      </c>
      <c r="G8" s="5">
        <f>VLOOKUP($G$5,'Sectors Trend'!$B$6:$AJ$23,VLOOKUP(A8,$U:$V,2,),)</f>
        <v/>
      </c>
      <c r="H8" s="5">
        <f>VLOOKUP($H$5,'Sectors Trend'!$B$6:$AJ$23,VLOOKUP(A8,$U:$V,2,),)</f>
        <v/>
      </c>
      <c r="I8" s="5">
        <f>VLOOKUP($I$5,'Sectors Trend'!$B$6:$AJ$23,VLOOKUP(A8,$U:$V,2,),)</f>
        <v/>
      </c>
      <c r="J8" s="5">
        <f>VLOOKUP($J$5,'Sectors Trend'!$B$6:$AJ$23,VLOOKUP(A8,$U:$V,2,),)</f>
        <v/>
      </c>
      <c r="K8" s="5">
        <f>VLOOKUP($K$5,'Sectors Trend'!$B$6:$AJ$23,VLOOKUP(A8,$U:$V,2,),)</f>
        <v/>
      </c>
      <c r="L8" s="5">
        <f>VLOOKUP($L$5,'Sectors Trend'!$B$6:$AJ$23,VLOOKUP(A8,$U:$V,2,),)</f>
        <v/>
      </c>
      <c r="M8" s="5">
        <f>VLOOKUP($M$5,'Sectors Trend'!$B$6:$AJ$23,VLOOKUP(A8,$U:$V,2,),)</f>
        <v/>
      </c>
      <c r="N8" s="5">
        <f>VLOOKUP($N$5,'Sectors Trend'!$B$6:$AJ$23,VLOOKUP(A8,$U:$V,2,),)</f>
        <v/>
      </c>
      <c r="O8" s="5">
        <f>VLOOKUP($O$5,'Sectors Trend'!$B$6:$AJ$23,VLOOKUP(A8,$U:$V,2,),)</f>
        <v/>
      </c>
      <c r="P8" s="5">
        <f>VLOOKUP($P$5,'Sectors Trend'!$B$6:$AJ$23,VLOOKUP(A8,$U:$V,2,),)</f>
        <v/>
      </c>
      <c r="Q8" s="5">
        <f>VLOOKUP($Q$5,'Sectors Trend'!$B$6:$AJ$23,VLOOKUP(A8,$U:$V,2,),)</f>
        <v/>
      </c>
      <c r="R8" s="5">
        <f>VLOOKUP($R$5,'Sectors Trend'!$B$6:$AJ$23,VLOOKUP(A8,$U:$V,2,),)</f>
        <v/>
      </c>
      <c r="S8" s="40">
        <f>VLOOKUP($S$5,'Sectors Trend'!$B$6:$AJ$23,VLOOKUP(A8,$U:$V,2,),)</f>
        <v/>
      </c>
      <c r="U8" s="7">
        <f>DATE(YEAR(U9),MONTH(U9)-1,DAY(U9))</f>
        <v/>
      </c>
      <c r="V8" s="1">
        <f>V9-1</f>
        <v/>
      </c>
      <c r="Y8" s="70">
        <f>MIN(B8:S8)</f>
        <v/>
      </c>
      <c r="Z8" s="70">
        <f>MAX(B8:S8)</f>
        <v/>
      </c>
    </row>
    <row r="9">
      <c r="A9" s="8">
        <f>DATE(YEAR(A10),MONTH(A10)-1,DAY(A10))</f>
        <v/>
      </c>
      <c r="B9" s="5">
        <f>VLOOKUP($B$5,'Sectors Trend'!$B$6:$AJ$23,VLOOKUP(A9,$U:$V,2,),)</f>
        <v/>
      </c>
      <c r="C9" s="5">
        <f>VLOOKUP($C$5,'Sectors Trend'!$B$6:$AJ$23,VLOOKUP(A9,$U:$V,2,),)</f>
        <v/>
      </c>
      <c r="D9" s="5">
        <f>VLOOKUP($D$5,'Sectors Trend'!$B$6:$AJ$23,VLOOKUP(A9,$U:$V,2,),)</f>
        <v/>
      </c>
      <c r="E9" s="5">
        <f>VLOOKUP($E$5,'Sectors Trend'!$B$6:$AJ$23,VLOOKUP(A9,$U:$V,2,),)</f>
        <v/>
      </c>
      <c r="F9" s="5">
        <f>VLOOKUP($F$5,'Sectors Trend'!$B$6:$AJ$23,VLOOKUP(A9,$U:$V,2,),)</f>
        <v/>
      </c>
      <c r="G9" s="5">
        <f>VLOOKUP($G$5,'Sectors Trend'!$B$6:$AJ$23,VLOOKUP(A9,$U:$V,2,),)</f>
        <v/>
      </c>
      <c r="H9" s="5">
        <f>VLOOKUP($H$5,'Sectors Trend'!$B$6:$AJ$23,VLOOKUP(A9,$U:$V,2,),)</f>
        <v/>
      </c>
      <c r="I9" s="5">
        <f>VLOOKUP($I$5,'Sectors Trend'!$B$6:$AJ$23,VLOOKUP(A9,$U:$V,2,),)</f>
        <v/>
      </c>
      <c r="J9" s="5">
        <f>VLOOKUP($J$5,'Sectors Trend'!$B$6:$AJ$23,VLOOKUP(A9,$U:$V,2,),)</f>
        <v/>
      </c>
      <c r="K9" s="5">
        <f>VLOOKUP($K$5,'Sectors Trend'!$B$6:$AJ$23,VLOOKUP(A9,$U:$V,2,),)</f>
        <v/>
      </c>
      <c r="L9" s="5">
        <f>VLOOKUP($L$5,'Sectors Trend'!$B$6:$AJ$23,VLOOKUP(A9,$U:$V,2,),)</f>
        <v/>
      </c>
      <c r="M9" s="5">
        <f>VLOOKUP($M$5,'Sectors Trend'!$B$6:$AJ$23,VLOOKUP(A9,$U:$V,2,),)</f>
        <v/>
      </c>
      <c r="N9" s="5">
        <f>VLOOKUP($N$5,'Sectors Trend'!$B$6:$AJ$23,VLOOKUP(A9,$U:$V,2,),)</f>
        <v/>
      </c>
      <c r="O9" s="5">
        <f>VLOOKUP($O$5,'Sectors Trend'!$B$6:$AJ$23,VLOOKUP(A9,$U:$V,2,),)</f>
        <v/>
      </c>
      <c r="P9" s="5">
        <f>VLOOKUP($P$5,'Sectors Trend'!$B$6:$AJ$23,VLOOKUP(A9,$U:$V,2,),)</f>
        <v/>
      </c>
      <c r="Q9" s="5">
        <f>VLOOKUP($Q$5,'Sectors Trend'!$B$6:$AJ$23,VLOOKUP(A9,$U:$V,2,),)</f>
        <v/>
      </c>
      <c r="R9" s="5">
        <f>VLOOKUP($R$5,'Sectors Trend'!$B$6:$AJ$23,VLOOKUP(A9,$U:$V,2,),)</f>
        <v/>
      </c>
      <c r="S9" s="40">
        <f>VLOOKUP($S$5,'Sectors Trend'!$B$6:$AJ$23,VLOOKUP(A9,$U:$V,2,),)</f>
        <v/>
      </c>
      <c r="U9" s="7">
        <f>DATE(YEAR(U10),MONTH(U10)-1,DAY(U10))</f>
        <v/>
      </c>
      <c r="V9" s="1">
        <f>V10-1</f>
        <v/>
      </c>
      <c r="Y9" s="70">
        <f>MIN(B9:S9)</f>
        <v/>
      </c>
      <c r="Z9" s="70">
        <f>MAX(B9:S9)</f>
        <v/>
      </c>
    </row>
    <row r="10">
      <c r="A10" s="8">
        <f>DATE(YEAR(A11),MONTH(A11)-1,DAY(A11))</f>
        <v/>
      </c>
      <c r="B10" s="5">
        <f>VLOOKUP($B$5,'Sectors Trend'!$B$6:$AJ$23,VLOOKUP(A10,$U:$V,2,),)</f>
        <v/>
      </c>
      <c r="C10" s="5">
        <f>VLOOKUP($C$5,'Sectors Trend'!$B$6:$AJ$23,VLOOKUP(A10,$U:$V,2,),)</f>
        <v/>
      </c>
      <c r="D10" s="5">
        <f>VLOOKUP($D$5,'Sectors Trend'!$B$6:$AJ$23,VLOOKUP(A10,$U:$V,2,),)</f>
        <v/>
      </c>
      <c r="E10" s="5">
        <f>VLOOKUP($E$5,'Sectors Trend'!$B$6:$AJ$23,VLOOKUP(A10,$U:$V,2,),)</f>
        <v/>
      </c>
      <c r="F10" s="5">
        <f>VLOOKUP($F$5,'Sectors Trend'!$B$6:$AJ$23,VLOOKUP(A10,$U:$V,2,),)</f>
        <v/>
      </c>
      <c r="G10" s="5">
        <f>VLOOKUP($G$5,'Sectors Trend'!$B$6:$AJ$23,VLOOKUP(A10,$U:$V,2,),)</f>
        <v/>
      </c>
      <c r="H10" s="5">
        <f>VLOOKUP($H$5,'Sectors Trend'!$B$6:$AJ$23,VLOOKUP(A10,$U:$V,2,),)</f>
        <v/>
      </c>
      <c r="I10" s="5">
        <f>VLOOKUP($I$5,'Sectors Trend'!$B$6:$AJ$23,VLOOKUP(A10,$U:$V,2,),)</f>
        <v/>
      </c>
      <c r="J10" s="5">
        <f>VLOOKUP($J$5,'Sectors Trend'!$B$6:$AJ$23,VLOOKUP(A10,$U:$V,2,),)</f>
        <v/>
      </c>
      <c r="K10" s="5">
        <f>VLOOKUP($K$5,'Sectors Trend'!$B$6:$AJ$23,VLOOKUP(A10,$U:$V,2,),)</f>
        <v/>
      </c>
      <c r="L10" s="5">
        <f>VLOOKUP($L$5,'Sectors Trend'!$B$6:$AJ$23,VLOOKUP(A10,$U:$V,2,),)</f>
        <v/>
      </c>
      <c r="M10" s="5">
        <f>VLOOKUP($M$5,'Sectors Trend'!$B$6:$AJ$23,VLOOKUP(A10,$U:$V,2,),)</f>
        <v/>
      </c>
      <c r="N10" s="5">
        <f>VLOOKUP($N$5,'Sectors Trend'!$B$6:$AJ$23,VLOOKUP(A10,$U:$V,2,),)</f>
        <v/>
      </c>
      <c r="O10" s="5">
        <f>VLOOKUP($O$5,'Sectors Trend'!$B$6:$AJ$23,VLOOKUP(A10,$U:$V,2,),)</f>
        <v/>
      </c>
      <c r="P10" s="5">
        <f>VLOOKUP($P$5,'Sectors Trend'!$B$6:$AJ$23,VLOOKUP(A10,$U:$V,2,),)</f>
        <v/>
      </c>
      <c r="Q10" s="5">
        <f>VLOOKUP($Q$5,'Sectors Trend'!$B$6:$AJ$23,VLOOKUP(A10,$U:$V,2,),)</f>
        <v/>
      </c>
      <c r="R10" s="5">
        <f>VLOOKUP($R$5,'Sectors Trend'!$B$6:$AJ$23,VLOOKUP(A10,$U:$V,2,),)</f>
        <v/>
      </c>
      <c r="S10" s="40">
        <f>VLOOKUP($S$5,'Sectors Trend'!$B$6:$AJ$23,VLOOKUP(A10,$U:$V,2,),)</f>
        <v/>
      </c>
      <c r="U10" s="7">
        <f>DATE(YEAR(U11),MONTH(U11)-1,DAY(U11))</f>
        <v/>
      </c>
      <c r="V10" s="1">
        <f>V11-1</f>
        <v/>
      </c>
      <c r="Y10" s="70">
        <f>MIN(B10:S10)</f>
        <v/>
      </c>
      <c r="Z10" s="70">
        <f>MAX(B10:S10)</f>
        <v/>
      </c>
    </row>
    <row r="11" ht="16" customHeight="1" s="65" thickBot="1">
      <c r="A11" s="8">
        <f>L1</f>
        <v/>
      </c>
      <c r="B11" s="41">
        <f>VLOOKUP($B$5,'Sectors Trend'!$B$6:$AJ$23,VLOOKUP(A11,$U:$V,2,),)</f>
        <v/>
      </c>
      <c r="C11" s="41">
        <f>VLOOKUP($C$5,'Sectors Trend'!$B$6:$AJ$23,VLOOKUP(A11,$U:$V,2,),)</f>
        <v/>
      </c>
      <c r="D11" s="41">
        <f>VLOOKUP($D$5,'Sectors Trend'!$B$6:$AJ$23,VLOOKUP(A11,$U:$V,2,),)</f>
        <v/>
      </c>
      <c r="E11" s="41">
        <f>VLOOKUP($E$5,'Sectors Trend'!$B$6:$AJ$23,VLOOKUP(A11,$U:$V,2,),)</f>
        <v/>
      </c>
      <c r="F11" s="41">
        <f>VLOOKUP($F$5,'Sectors Trend'!$B$6:$AJ$23,VLOOKUP(A11,$U:$V,2,),)</f>
        <v/>
      </c>
      <c r="G11" s="41">
        <f>VLOOKUP($G$5,'Sectors Trend'!$B$6:$AJ$23,VLOOKUP(A11,$U:$V,2,),)</f>
        <v/>
      </c>
      <c r="H11" s="41">
        <f>VLOOKUP($H$5,'Sectors Trend'!$B$6:$AJ$23,VLOOKUP(A11,$U:$V,2,),)</f>
        <v/>
      </c>
      <c r="I11" s="41">
        <f>VLOOKUP($I$5,'Sectors Trend'!$B$6:$AJ$23,VLOOKUP(A11,$U:$V,2,),)</f>
        <v/>
      </c>
      <c r="J11" s="41">
        <f>VLOOKUP($J$5,'Sectors Trend'!$B$6:$AJ$23,VLOOKUP(A11,$U:$V,2,),)</f>
        <v/>
      </c>
      <c r="K11" s="41">
        <f>VLOOKUP($K$5,'Sectors Trend'!$B$6:$AJ$23,VLOOKUP(A11,$U:$V,2,),)</f>
        <v/>
      </c>
      <c r="L11" s="41">
        <f>VLOOKUP($L$5,'Sectors Trend'!$B$6:$AJ$23,VLOOKUP(A11,$U:$V,2,),)</f>
        <v/>
      </c>
      <c r="M11" s="41">
        <f>VLOOKUP($M$5,'Sectors Trend'!$B$6:$AJ$23,VLOOKUP(A11,$U:$V,2,),)</f>
        <v/>
      </c>
      <c r="N11" s="41">
        <f>VLOOKUP($N$5,'Sectors Trend'!$B$6:$AJ$23,VLOOKUP(A11,$U:$V,2,),)</f>
        <v/>
      </c>
      <c r="O11" s="41">
        <f>VLOOKUP($O$5,'Sectors Trend'!$B$6:$AJ$23,VLOOKUP(A11,$U:$V,2,),)</f>
        <v/>
      </c>
      <c r="P11" s="41">
        <f>VLOOKUP($P$5,'Sectors Trend'!$B$6:$AJ$23,VLOOKUP(A11,$U:$V,2,),)</f>
        <v/>
      </c>
      <c r="Q11" s="41">
        <f>VLOOKUP($Q$5,'Sectors Trend'!$B$6:$AJ$23,VLOOKUP(A11,$U:$V,2,),)</f>
        <v/>
      </c>
      <c r="R11" s="41">
        <f>VLOOKUP($R$5,'Sectors Trend'!$B$6:$AJ$23,VLOOKUP(A11,$U:$V,2,),)</f>
        <v/>
      </c>
      <c r="S11" s="42">
        <f>VLOOKUP($S$5,'Sectors Trend'!$B$6:$AJ$23,VLOOKUP(A11,$U:$V,2,),)</f>
        <v/>
      </c>
      <c r="U11" s="7">
        <f>L1</f>
        <v/>
      </c>
      <c r="V11" s="1">
        <f>L2+1</f>
        <v/>
      </c>
      <c r="Y11" s="70">
        <f>MIN(B11:S11)</f>
        <v/>
      </c>
      <c r="Z11" s="70">
        <f>MAX(B11:S11)</f>
        <v/>
      </c>
    </row>
    <row r="12">
      <c r="R12" s="7" t="n"/>
    </row>
    <row r="13">
      <c r="R13" s="7" t="n"/>
    </row>
    <row r="14">
      <c r="R14" s="7" t="n"/>
    </row>
    <row r="15">
      <c r="R15" s="7" t="n"/>
    </row>
    <row r="16">
      <c r="R16" s="7" t="n"/>
    </row>
  </sheetData>
  <conditionalFormatting sqref="B11:S11">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worksheet>
</file>

<file path=xl/worksheets/sheet7.xml><?xml version="1.0" encoding="utf-8"?>
<worksheet xmlns="http://schemas.openxmlformats.org/spreadsheetml/2006/main">
  <sheetPr>
    <tabColor theme="4" tint="0.7999816888943144"/>
    <outlinePr summaryBelow="1" summaryRight="1"/>
    <pageSetUpPr/>
  </sheetPr>
  <dimension ref="A1:Z16"/>
  <sheetViews>
    <sheetView zoomScale="130" zoomScaleNormal="130" workbookViewId="0">
      <selection activeCell="K38" sqref="K38"/>
    </sheetView>
  </sheetViews>
  <sheetFormatPr baseColWidth="10" defaultColWidth="9.1640625" defaultRowHeight="15"/>
  <cols>
    <col width="9.6640625" customWidth="1" style="70" min="1" max="1"/>
    <col width="8.83203125" customWidth="1" style="70" min="2" max="18"/>
    <col width="10.5" customWidth="1" style="70" min="19" max="19"/>
    <col width="8.83203125" customWidth="1" style="70" min="20" max="20"/>
    <col width="9.1640625" customWidth="1" style="70" min="21" max="35"/>
    <col width="9.1640625" customWidth="1" style="70" min="36" max="16384"/>
  </cols>
  <sheetData>
    <row r="1">
      <c r="J1" s="70" t="inlineStr">
        <is>
          <t>Last Month</t>
        </is>
      </c>
      <c r="L1" s="7">
        <f>Sectors!L1</f>
        <v/>
      </c>
      <c r="O1" s="6" t="n"/>
    </row>
    <row r="2">
      <c r="L2" s="70">
        <f>Sectors!L2</f>
        <v/>
      </c>
      <c r="Y2" s="7" t="n"/>
    </row>
    <row r="4">
      <c r="U4" s="7">
        <f>DATE(YEAR(U5),MONTH(U5)-1,DAY(U5))</f>
        <v/>
      </c>
      <c r="V4" s="1">
        <f>V5-1</f>
        <v/>
      </c>
    </row>
    <row r="5" ht="89.25" customHeight="1" s="65" thickBot="1">
      <c r="A5" s="8" t="n"/>
      <c r="B5" s="44" t="inlineStr">
        <is>
          <t>Retail Trade</t>
        </is>
      </c>
      <c r="C5" s="44" t="inlineStr">
        <is>
          <t>Utilities</t>
        </is>
      </c>
      <c r="D5" s="44" t="inlineStr">
        <is>
          <t>Arts, Entertainment &amp; Recreation</t>
        </is>
      </c>
      <c r="E5" s="44" t="inlineStr">
        <is>
          <t>Other Services</t>
        </is>
      </c>
      <c r="F5" s="44" t="inlineStr">
        <is>
          <t>Health Care &amp; Social Assistance</t>
        </is>
      </c>
      <c r="G5" s="44" t="inlineStr">
        <is>
          <t>Accommodation &amp; Food Services</t>
        </is>
      </c>
      <c r="H5" s="44" t="inlineStr">
        <is>
          <t>Finance &amp; Insurance</t>
        </is>
      </c>
      <c r="I5" s="44" t="inlineStr">
        <is>
          <t>Real Estate, Rental &amp; Leasing</t>
        </is>
      </c>
      <c r="J5" s="44" t="inlineStr">
        <is>
          <t>Transportation &amp; Warehousing</t>
        </is>
      </c>
      <c r="K5" s="44" t="inlineStr">
        <is>
          <t>Mining</t>
        </is>
      </c>
      <c r="L5" s="44" t="inlineStr">
        <is>
          <t>Construction</t>
        </is>
      </c>
      <c r="M5" s="44" t="inlineStr">
        <is>
          <t>Wholesale Trade</t>
        </is>
      </c>
      <c r="N5" s="44" t="inlineStr">
        <is>
          <t>Public Administration</t>
        </is>
      </c>
      <c r="O5" s="44" t="inlineStr">
        <is>
          <t>Professional, Scientific &amp; Technical Services</t>
        </is>
      </c>
      <c r="P5" s="44" t="inlineStr">
        <is>
          <t>Agriculture, Forestry, Fishing &amp; Hunting</t>
        </is>
      </c>
      <c r="Q5" s="44" t="inlineStr">
        <is>
          <t>Information</t>
        </is>
      </c>
      <c r="R5" s="44" t="inlineStr">
        <is>
          <t>Educational Services</t>
        </is>
      </c>
      <c r="S5" s="44" t="inlineStr">
        <is>
          <t>Management of Companies &amp; Support Services</t>
        </is>
      </c>
      <c r="U5" s="7">
        <f>DATE(YEAR(U6),MONTH(U6)-1,DAY(U6))</f>
        <v/>
      </c>
      <c r="V5" s="1">
        <f>V6-1</f>
        <v/>
      </c>
      <c r="Y5" s="70" t="inlineStr">
        <is>
          <t>Min</t>
        </is>
      </c>
      <c r="Z5" s="70" t="inlineStr">
        <is>
          <t>Max</t>
        </is>
      </c>
    </row>
    <row r="6">
      <c r="A6" s="8">
        <f>DATE(YEAR(A7),MONTH(A7)-1,DAY(A7))</f>
        <v/>
      </c>
      <c r="B6" s="38">
        <f>VLOOKUP($B$5,'Sectors Trend'!$B$28:$AJ$45,VLOOKUP(A6,$U:$V,2,),)</f>
        <v/>
      </c>
      <c r="C6" s="38">
        <f>VLOOKUP($C$5,'Sectors Trend'!$B$28:$AJ$45,VLOOKUP(A6,$U:$V,2,),)</f>
        <v/>
      </c>
      <c r="D6" s="38">
        <f>VLOOKUP($D$5,'Sectors Trend'!$B$28:$AJ$45,VLOOKUP(A6,$U:$V,2,),)</f>
        <v/>
      </c>
      <c r="E6" s="38">
        <f>VLOOKUP($E$5,'Sectors Trend'!$B$28:$AJ$45,VLOOKUP(A6,$U:$V,2,),)</f>
        <v/>
      </c>
      <c r="F6" s="38">
        <f>VLOOKUP($F$5,'Sectors Trend'!$B$28:$AJ$45,VLOOKUP(A6,$U:$V,2,),)</f>
        <v/>
      </c>
      <c r="G6" s="38">
        <f>VLOOKUP($G$5,'Sectors Trend'!$B$28:$AJ$45,VLOOKUP(A6,$U:$V,2,),)</f>
        <v/>
      </c>
      <c r="H6" s="38">
        <f>VLOOKUP($H$5,'Sectors Trend'!$B$28:$AJ$45,VLOOKUP(A6,$U:$V,2,),)</f>
        <v/>
      </c>
      <c r="I6" s="38">
        <f>VLOOKUP($I$5,'Sectors Trend'!$B$28:$AJ$45,VLOOKUP(A6,$U:$V,2,),)</f>
        <v/>
      </c>
      <c r="J6" s="38">
        <f>VLOOKUP($J$5,'Sectors Trend'!$B$28:$AJ$45,VLOOKUP(A6,$U:$V,2,),)</f>
        <v/>
      </c>
      <c r="K6" s="38">
        <f>VLOOKUP($K$5,'Sectors Trend'!$B$28:$AJ$45,VLOOKUP(A6,$U:$V,2,),)</f>
        <v/>
      </c>
      <c r="L6" s="38">
        <f>VLOOKUP($L$5,'Sectors Trend'!$B$28:$AJ$45,VLOOKUP(A6,$U:$V,2,),)</f>
        <v/>
      </c>
      <c r="M6" s="38">
        <f>VLOOKUP($M$5,'Sectors Trend'!$B$28:$AJ$45,VLOOKUP(A6,$U:$V,2,),)</f>
        <v/>
      </c>
      <c r="N6" s="38">
        <f>VLOOKUP($N$5,'Sectors Trend'!$B$28:$AJ$45,VLOOKUP(A6,$U:$V,2,),)</f>
        <v/>
      </c>
      <c r="O6" s="38">
        <f>VLOOKUP($O$5,'Sectors Trend'!$B$28:$AJ$45,VLOOKUP(A6,$U:$V,2,),)</f>
        <v/>
      </c>
      <c r="P6" s="38">
        <f>VLOOKUP($P$5,'Sectors Trend'!$B$28:$AJ$45,VLOOKUP(A6,$U:$V,2,),)</f>
        <v/>
      </c>
      <c r="Q6" s="38">
        <f>VLOOKUP($Q$5,'Sectors Trend'!$B$28:$AJ$45,VLOOKUP(A6,$U:$V,2,),)</f>
        <v/>
      </c>
      <c r="R6" s="38">
        <f>VLOOKUP($R$5,'Sectors Trend'!$B$28:$AJ$45,VLOOKUP(A6,$U:$V,2,),)</f>
        <v/>
      </c>
      <c r="S6" s="39">
        <f>VLOOKUP($S$5,'Sectors Trend'!$B$28:$AJ$45,VLOOKUP(A6,$U:$V,2,),)</f>
        <v/>
      </c>
      <c r="U6" s="7">
        <f>DATE(YEAR(U7),MONTH(U7)-1,DAY(U7))</f>
        <v/>
      </c>
      <c r="V6" s="1">
        <f>V7-1</f>
        <v/>
      </c>
      <c r="Y6" s="70">
        <f>MIN(B6:S6)</f>
        <v/>
      </c>
      <c r="Z6" s="70">
        <f>MAX(B6:S6)</f>
        <v/>
      </c>
    </row>
    <row r="7">
      <c r="A7" s="8">
        <f>DATE(YEAR(A8),MONTH(A8)-1,DAY(A8))</f>
        <v/>
      </c>
      <c r="B7" s="5">
        <f>VLOOKUP($B$5,'Sectors Trend'!$B$28:$AJ$45,VLOOKUP(A7,$U:$V,2,),)</f>
        <v/>
      </c>
      <c r="C7" s="5">
        <f>VLOOKUP($C$5,'Sectors Trend'!$B$28:$AJ$45,VLOOKUP(A7,$U:$V,2,),)</f>
        <v/>
      </c>
      <c r="D7" s="5">
        <f>VLOOKUP($D$5,'Sectors Trend'!$B$28:$AJ$45,VLOOKUP(A7,$U:$V,2,),)</f>
        <v/>
      </c>
      <c r="E7" s="5">
        <f>VLOOKUP($E$5,'Sectors Trend'!$B$28:$AJ$45,VLOOKUP(A7,$U:$V,2,),)</f>
        <v/>
      </c>
      <c r="F7" s="5">
        <f>VLOOKUP($F$5,'Sectors Trend'!$B$28:$AJ$45,VLOOKUP(A7,$U:$V,2,),)</f>
        <v/>
      </c>
      <c r="G7" s="5">
        <f>VLOOKUP($G$5,'Sectors Trend'!$B$28:$AJ$45,VLOOKUP(A7,$U:$V,2,),)</f>
        <v/>
      </c>
      <c r="H7" s="5">
        <f>VLOOKUP($H$5,'Sectors Trend'!$B$28:$AJ$45,VLOOKUP(A7,$U:$V,2,),)</f>
        <v/>
      </c>
      <c r="I7" s="5">
        <f>VLOOKUP($I$5,'Sectors Trend'!$B$28:$AJ$45,VLOOKUP(A7,$U:$V,2,),)</f>
        <v/>
      </c>
      <c r="J7" s="5">
        <f>VLOOKUP($J$5,'Sectors Trend'!$B$28:$AJ$45,VLOOKUP(A7,$U:$V,2,),)</f>
        <v/>
      </c>
      <c r="K7" s="5">
        <f>VLOOKUP($K$5,'Sectors Trend'!$B$28:$AJ$45,VLOOKUP(A7,$U:$V,2,),)</f>
        <v/>
      </c>
      <c r="L7" s="5">
        <f>VLOOKUP($L$5,'Sectors Trend'!$B$28:$AJ$45,VLOOKUP(A7,$U:$V,2,),)</f>
        <v/>
      </c>
      <c r="M7" s="5">
        <f>VLOOKUP($M$5,'Sectors Trend'!$B$28:$AJ$45,VLOOKUP(A7,$U:$V,2,),)</f>
        <v/>
      </c>
      <c r="N7" s="5">
        <f>VLOOKUP($N$5,'Sectors Trend'!$B$28:$AJ$45,VLOOKUP(A7,$U:$V,2,),)</f>
        <v/>
      </c>
      <c r="O7" s="5">
        <f>VLOOKUP($O$5,'Sectors Trend'!$B$28:$AJ$45,VLOOKUP(A7,$U:$V,2,),)</f>
        <v/>
      </c>
      <c r="P7" s="5">
        <f>VLOOKUP($P$5,'Sectors Trend'!$B$28:$AJ$45,VLOOKUP(A7,$U:$V,2,),)</f>
        <v/>
      </c>
      <c r="Q7" s="5">
        <f>VLOOKUP($Q$5,'Sectors Trend'!$B$28:$AJ$45,VLOOKUP(A7,$U:$V,2,),)</f>
        <v/>
      </c>
      <c r="R7" s="5">
        <f>VLOOKUP($R$5,'Sectors Trend'!$B$28:$AJ$45,VLOOKUP(A7,$U:$V,2,),)</f>
        <v/>
      </c>
      <c r="S7" s="40">
        <f>VLOOKUP($S$5,'Sectors Trend'!$B$28:$AJ$45,VLOOKUP(A7,$U:$V,2,),)</f>
        <v/>
      </c>
      <c r="U7" s="7">
        <f>DATE(YEAR(U8),MONTH(U8)-1,DAY(U8))</f>
        <v/>
      </c>
      <c r="V7" s="1">
        <f>V8-1</f>
        <v/>
      </c>
      <c r="Y7" s="70">
        <f>MIN(B7:S7)</f>
        <v/>
      </c>
      <c r="Z7" s="70">
        <f>MAX(B7:S7)</f>
        <v/>
      </c>
    </row>
    <row r="8">
      <c r="A8" s="8">
        <f>DATE(YEAR(A9),MONTH(A9)-1,DAY(A9))</f>
        <v/>
      </c>
      <c r="B8" s="5">
        <f>VLOOKUP($B$5,'Sectors Trend'!$B$28:$AJ$45,VLOOKUP(A8,$U:$V,2,),)</f>
        <v/>
      </c>
      <c r="C8" s="5">
        <f>VLOOKUP($C$5,'Sectors Trend'!$B$28:$AJ$45,VLOOKUP(A8,$U:$V,2,),)</f>
        <v/>
      </c>
      <c r="D8" s="5">
        <f>VLOOKUP($D$5,'Sectors Trend'!$B$28:$AJ$45,VLOOKUP(A8,$U:$V,2,),)</f>
        <v/>
      </c>
      <c r="E8" s="5">
        <f>VLOOKUP($E$5,'Sectors Trend'!$B$28:$AJ$45,VLOOKUP(A8,$U:$V,2,),)</f>
        <v/>
      </c>
      <c r="F8" s="5">
        <f>VLOOKUP($F$5,'Sectors Trend'!$B$28:$AJ$45,VLOOKUP(A8,$U:$V,2,),)</f>
        <v/>
      </c>
      <c r="G8" s="5">
        <f>VLOOKUP($G$5,'Sectors Trend'!$B$28:$AJ$45,VLOOKUP(A8,$U:$V,2,),)</f>
        <v/>
      </c>
      <c r="H8" s="5">
        <f>VLOOKUP($H$5,'Sectors Trend'!$B$28:$AJ$45,VLOOKUP(A8,$U:$V,2,),)</f>
        <v/>
      </c>
      <c r="I8" s="5">
        <f>VLOOKUP($I$5,'Sectors Trend'!$B$28:$AJ$45,VLOOKUP(A8,$U:$V,2,),)</f>
        <v/>
      </c>
      <c r="J8" s="5">
        <f>VLOOKUP($J$5,'Sectors Trend'!$B$28:$AJ$45,VLOOKUP(A8,$U:$V,2,),)</f>
        <v/>
      </c>
      <c r="K8" s="5">
        <f>VLOOKUP($K$5,'Sectors Trend'!$B$28:$AJ$45,VLOOKUP(A8,$U:$V,2,),)</f>
        <v/>
      </c>
      <c r="L8" s="5">
        <f>VLOOKUP($L$5,'Sectors Trend'!$B$28:$AJ$45,VLOOKUP(A8,$U:$V,2,),)</f>
        <v/>
      </c>
      <c r="M8" s="5">
        <f>VLOOKUP($M$5,'Sectors Trend'!$B$28:$AJ$45,VLOOKUP(A8,$U:$V,2,),)</f>
        <v/>
      </c>
      <c r="N8" s="5">
        <f>VLOOKUP($N$5,'Sectors Trend'!$B$28:$AJ$45,VLOOKUP(A8,$U:$V,2,),)</f>
        <v/>
      </c>
      <c r="O8" s="5">
        <f>VLOOKUP($O$5,'Sectors Trend'!$B$28:$AJ$45,VLOOKUP(A8,$U:$V,2,),)</f>
        <v/>
      </c>
      <c r="P8" s="5">
        <f>VLOOKUP($P$5,'Sectors Trend'!$B$28:$AJ$45,VLOOKUP(A8,$U:$V,2,),)</f>
        <v/>
      </c>
      <c r="Q8" s="5">
        <f>VLOOKUP($Q$5,'Sectors Trend'!$B$28:$AJ$45,VLOOKUP(A8,$U:$V,2,),)</f>
        <v/>
      </c>
      <c r="R8" s="5">
        <f>VLOOKUP($R$5,'Sectors Trend'!$B$28:$AJ$45,VLOOKUP(A8,$U:$V,2,),)</f>
        <v/>
      </c>
      <c r="S8" s="40">
        <f>VLOOKUP($S$5,'Sectors Trend'!$B$28:$AJ$45,VLOOKUP(A8,$U:$V,2,),)</f>
        <v/>
      </c>
      <c r="U8" s="7">
        <f>DATE(YEAR(U9),MONTH(U9)-1,DAY(U9))</f>
        <v/>
      </c>
      <c r="V8" s="1">
        <f>V9-1</f>
        <v/>
      </c>
      <c r="Y8" s="70">
        <f>MIN(B8:S8)</f>
        <v/>
      </c>
      <c r="Z8" s="70">
        <f>MAX(B8:S8)</f>
        <v/>
      </c>
    </row>
    <row r="9">
      <c r="A9" s="8">
        <f>DATE(YEAR(A10),MONTH(A10)-1,DAY(A10))</f>
        <v/>
      </c>
      <c r="B9" s="5">
        <f>VLOOKUP($B$5,'Sectors Trend'!$B$28:$AJ$45,VLOOKUP(A9,$U:$V,2,),)</f>
        <v/>
      </c>
      <c r="C9" s="5">
        <f>VLOOKUP($C$5,'Sectors Trend'!$B$28:$AJ$45,VLOOKUP(A9,$U:$V,2,),)</f>
        <v/>
      </c>
      <c r="D9" s="5">
        <f>VLOOKUP($D$5,'Sectors Trend'!$B$28:$AJ$45,VLOOKUP(A9,$U:$V,2,),)</f>
        <v/>
      </c>
      <c r="E9" s="5">
        <f>VLOOKUP($E$5,'Sectors Trend'!$B$28:$AJ$45,VLOOKUP(A9,$U:$V,2,),)</f>
        <v/>
      </c>
      <c r="F9" s="5">
        <f>VLOOKUP($F$5,'Sectors Trend'!$B$28:$AJ$45,VLOOKUP(A9,$U:$V,2,),)</f>
        <v/>
      </c>
      <c r="G9" s="5">
        <f>VLOOKUP($G$5,'Sectors Trend'!$B$28:$AJ$45,VLOOKUP(A9,$U:$V,2,),)</f>
        <v/>
      </c>
      <c r="H9" s="5">
        <f>VLOOKUP($H$5,'Sectors Trend'!$B$28:$AJ$45,VLOOKUP(A9,$U:$V,2,),)</f>
        <v/>
      </c>
      <c r="I9" s="5">
        <f>VLOOKUP($I$5,'Sectors Trend'!$B$28:$AJ$45,VLOOKUP(A9,$U:$V,2,),)</f>
        <v/>
      </c>
      <c r="J9" s="5">
        <f>VLOOKUP($J$5,'Sectors Trend'!$B$28:$AJ$45,VLOOKUP(A9,$U:$V,2,),)</f>
        <v/>
      </c>
      <c r="K9" s="5">
        <f>VLOOKUP($K$5,'Sectors Trend'!$B$28:$AJ$45,VLOOKUP(A9,$U:$V,2,),)</f>
        <v/>
      </c>
      <c r="L9" s="5">
        <f>VLOOKUP($L$5,'Sectors Trend'!$B$28:$AJ$45,VLOOKUP(A9,$U:$V,2,),)</f>
        <v/>
      </c>
      <c r="M9" s="5">
        <f>VLOOKUP($M$5,'Sectors Trend'!$B$28:$AJ$45,VLOOKUP(A9,$U:$V,2,),)</f>
        <v/>
      </c>
      <c r="N9" s="5">
        <f>VLOOKUP($N$5,'Sectors Trend'!$B$28:$AJ$45,VLOOKUP(A9,$U:$V,2,),)</f>
        <v/>
      </c>
      <c r="O9" s="5">
        <f>VLOOKUP($O$5,'Sectors Trend'!$B$28:$AJ$45,VLOOKUP(A9,$U:$V,2,),)</f>
        <v/>
      </c>
      <c r="P9" s="5">
        <f>VLOOKUP($P$5,'Sectors Trend'!$B$28:$AJ$45,VLOOKUP(A9,$U:$V,2,),)</f>
        <v/>
      </c>
      <c r="Q9" s="5">
        <f>VLOOKUP($Q$5,'Sectors Trend'!$B$28:$AJ$45,VLOOKUP(A9,$U:$V,2,),)</f>
        <v/>
      </c>
      <c r="R9" s="5">
        <f>VLOOKUP($R$5,'Sectors Trend'!$B$28:$AJ$45,VLOOKUP(A9,$U:$V,2,),)</f>
        <v/>
      </c>
      <c r="S9" s="40">
        <f>VLOOKUP($S$5,'Sectors Trend'!$B$28:$AJ$45,VLOOKUP(A9,$U:$V,2,),)</f>
        <v/>
      </c>
      <c r="U9" s="7">
        <f>DATE(YEAR(U10),MONTH(U10)-1,DAY(U10))</f>
        <v/>
      </c>
      <c r="V9" s="1">
        <f>V10-1</f>
        <v/>
      </c>
      <c r="Y9" s="70">
        <f>MIN(B9:S9)</f>
        <v/>
      </c>
      <c r="Z9" s="70">
        <f>MAX(B9:S9)</f>
        <v/>
      </c>
    </row>
    <row r="10">
      <c r="A10" s="8">
        <f>DATE(YEAR(A11),MONTH(A11)-1,DAY(A11))</f>
        <v/>
      </c>
      <c r="B10" s="5">
        <f>VLOOKUP($B$5,'Sectors Trend'!$B$28:$AJ$45,VLOOKUP(A10,$U:$V,2,),)</f>
        <v/>
      </c>
      <c r="C10" s="5">
        <f>VLOOKUP($C$5,'Sectors Trend'!$B$28:$AJ$45,VLOOKUP(A10,$U:$V,2,),)</f>
        <v/>
      </c>
      <c r="D10" s="5">
        <f>VLOOKUP($D$5,'Sectors Trend'!$B$28:$AJ$45,VLOOKUP(A10,$U:$V,2,),)</f>
        <v/>
      </c>
      <c r="E10" s="5">
        <f>VLOOKUP($E$5,'Sectors Trend'!$B$28:$AJ$45,VLOOKUP(A10,$U:$V,2,),)</f>
        <v/>
      </c>
      <c r="F10" s="5">
        <f>VLOOKUP($F$5,'Sectors Trend'!$B$28:$AJ$45,VLOOKUP(A10,$U:$V,2,),)</f>
        <v/>
      </c>
      <c r="G10" s="5">
        <f>VLOOKUP($G$5,'Sectors Trend'!$B$28:$AJ$45,VLOOKUP(A10,$U:$V,2,),)</f>
        <v/>
      </c>
      <c r="H10" s="5">
        <f>VLOOKUP($H$5,'Sectors Trend'!$B$28:$AJ$45,VLOOKUP(A10,$U:$V,2,),)</f>
        <v/>
      </c>
      <c r="I10" s="5">
        <f>VLOOKUP($I$5,'Sectors Trend'!$B$28:$AJ$45,VLOOKUP(A10,$U:$V,2,),)</f>
        <v/>
      </c>
      <c r="J10" s="5">
        <f>VLOOKUP($J$5,'Sectors Trend'!$B$28:$AJ$45,VLOOKUP(A10,$U:$V,2,),)</f>
        <v/>
      </c>
      <c r="K10" s="5">
        <f>VLOOKUP($K$5,'Sectors Trend'!$B$28:$AJ$45,VLOOKUP(A10,$U:$V,2,),)</f>
        <v/>
      </c>
      <c r="L10" s="5">
        <f>VLOOKUP($L$5,'Sectors Trend'!$B$28:$AJ$45,VLOOKUP(A10,$U:$V,2,),)</f>
        <v/>
      </c>
      <c r="M10" s="5">
        <f>VLOOKUP($M$5,'Sectors Trend'!$B$28:$AJ$45,VLOOKUP(A10,$U:$V,2,),)</f>
        <v/>
      </c>
      <c r="N10" s="5">
        <f>VLOOKUP($N$5,'Sectors Trend'!$B$28:$AJ$45,VLOOKUP(A10,$U:$V,2,),)</f>
        <v/>
      </c>
      <c r="O10" s="5">
        <f>VLOOKUP($O$5,'Sectors Trend'!$B$28:$AJ$45,VLOOKUP(A10,$U:$V,2,),)</f>
        <v/>
      </c>
      <c r="P10" s="5">
        <f>VLOOKUP($P$5,'Sectors Trend'!$B$28:$AJ$45,VLOOKUP(A10,$U:$V,2,),)</f>
        <v/>
      </c>
      <c r="Q10" s="5">
        <f>VLOOKUP($Q$5,'Sectors Trend'!$B$28:$AJ$45,VLOOKUP(A10,$U:$V,2,),)</f>
        <v/>
      </c>
      <c r="R10" s="5">
        <f>VLOOKUP($R$5,'Sectors Trend'!$B$28:$AJ$45,VLOOKUP(A10,$U:$V,2,),)</f>
        <v/>
      </c>
      <c r="S10" s="40">
        <f>VLOOKUP($S$5,'Sectors Trend'!$B$28:$AJ$45,VLOOKUP(A10,$U:$V,2,),)</f>
        <v/>
      </c>
      <c r="U10" s="7">
        <f>DATE(YEAR(U11),MONTH(U11)-1,DAY(U11))</f>
        <v/>
      </c>
      <c r="V10" s="1">
        <f>V11-1</f>
        <v/>
      </c>
      <c r="Y10" s="70">
        <f>MIN(B10:S10)</f>
        <v/>
      </c>
      <c r="Z10" s="70">
        <f>MAX(B10:S10)</f>
        <v/>
      </c>
    </row>
    <row r="11" ht="16" customHeight="1" s="65" thickBot="1">
      <c r="A11" s="8">
        <f>L1</f>
        <v/>
      </c>
      <c r="B11" s="41">
        <f>VLOOKUP($B$5,'Sectors Trend'!$B$28:$AJ$45,VLOOKUP(A11,$U:$V,2,),)</f>
        <v/>
      </c>
      <c r="C11" s="41">
        <f>VLOOKUP($C$5,'Sectors Trend'!$B$28:$AJ$45,VLOOKUP(A11,$U:$V,2,),)</f>
        <v/>
      </c>
      <c r="D11" s="41">
        <f>VLOOKUP($D$5,'Sectors Trend'!$B$28:$AJ$45,VLOOKUP(A11,$U:$V,2,),)</f>
        <v/>
      </c>
      <c r="E11" s="41">
        <f>VLOOKUP($E$5,'Sectors Trend'!$B$28:$AJ$45,VLOOKUP(A11,$U:$V,2,),)</f>
        <v/>
      </c>
      <c r="F11" s="41">
        <f>VLOOKUP($F$5,'Sectors Trend'!$B$28:$AJ$45,VLOOKUP(A11,$U:$V,2,),)</f>
        <v/>
      </c>
      <c r="G11" s="41">
        <f>VLOOKUP($G$5,'Sectors Trend'!$B$28:$AJ$45,VLOOKUP(A11,$U:$V,2,),)</f>
        <v/>
      </c>
      <c r="H11" s="41">
        <f>VLOOKUP($H$5,'Sectors Trend'!$B$28:$AJ$45,VLOOKUP(A11,$U:$V,2,),)</f>
        <v/>
      </c>
      <c r="I11" s="41">
        <f>VLOOKUP($I$5,'Sectors Trend'!$B$28:$AJ$45,VLOOKUP(A11,$U:$V,2,),)</f>
        <v/>
      </c>
      <c r="J11" s="41">
        <f>VLOOKUP($J$5,'Sectors Trend'!$B$28:$AJ$45,VLOOKUP(A11,$U:$V,2,),)</f>
        <v/>
      </c>
      <c r="K11" s="41">
        <f>VLOOKUP($K$5,'Sectors Trend'!$B$28:$AJ$45,VLOOKUP(A11,$U:$V,2,),)</f>
        <v/>
      </c>
      <c r="L11" s="41">
        <f>VLOOKUP($L$5,'Sectors Trend'!$B$28:$AJ$45,VLOOKUP(A11,$U:$V,2,),)</f>
        <v/>
      </c>
      <c r="M11" s="41">
        <f>VLOOKUP($M$5,'Sectors Trend'!$B$28:$AJ$45,VLOOKUP(A11,$U:$V,2,),)</f>
        <v/>
      </c>
      <c r="N11" s="41">
        <f>VLOOKUP($N$5,'Sectors Trend'!$B$28:$AJ$45,VLOOKUP(A11,$U:$V,2,),)</f>
        <v/>
      </c>
      <c r="O11" s="41">
        <f>VLOOKUP($O$5,'Sectors Trend'!$B$28:$AJ$45,VLOOKUP(A11,$U:$V,2,),)</f>
        <v/>
      </c>
      <c r="P11" s="41">
        <f>VLOOKUP($P$5,'Sectors Trend'!$B$28:$AJ$45,VLOOKUP(A11,$U:$V,2,),)</f>
        <v/>
      </c>
      <c r="Q11" s="41">
        <f>VLOOKUP($Q$5,'Sectors Trend'!$B$28:$AJ$45,VLOOKUP(A11,$U:$V,2,),)</f>
        <v/>
      </c>
      <c r="R11" s="41">
        <f>VLOOKUP($R$5,'Sectors Trend'!$B$28:$AJ$45,VLOOKUP(A11,$U:$V,2,),)</f>
        <v/>
      </c>
      <c r="S11" s="42">
        <f>VLOOKUP($S$5,'Sectors Trend'!$B$28:$AJ$45,VLOOKUP(A11,$U:$V,2,),)</f>
        <v/>
      </c>
      <c r="U11" s="7">
        <f>L1</f>
        <v/>
      </c>
      <c r="V11" s="1">
        <f>L2+1</f>
        <v/>
      </c>
      <c r="Y11" s="70">
        <f>MIN(B11:S11)</f>
        <v/>
      </c>
      <c r="Z11" s="70">
        <f>MAX(B11:S11)</f>
        <v/>
      </c>
    </row>
    <row r="12">
      <c r="R12" s="7" t="n"/>
    </row>
    <row r="13">
      <c r="R13" s="7" t="n"/>
    </row>
    <row r="14">
      <c r="R14" s="7" t="n"/>
    </row>
    <row r="15">
      <c r="R15" s="7" t="n"/>
    </row>
    <row r="16">
      <c r="R16" s="7" t="n"/>
    </row>
  </sheetData>
  <conditionalFormatting sqref="B11:S11">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worksheet>
</file>

<file path=xl/worksheets/sheet8.xml><?xml version="1.0" encoding="utf-8"?>
<worksheet xmlns="http://schemas.openxmlformats.org/spreadsheetml/2006/main">
  <sheetPr codeName="Sheet22">
    <tabColor theme="4" tint="0.7999816888943144"/>
    <outlinePr summaryBelow="1" summaryRight="1"/>
    <pageSetUpPr/>
  </sheetPr>
  <dimension ref="A1:Z16"/>
  <sheetViews>
    <sheetView zoomScale="140" zoomScaleNormal="140" workbookViewId="0">
      <selection activeCell="AC25" sqref="AC25"/>
    </sheetView>
  </sheetViews>
  <sheetFormatPr baseColWidth="10" defaultColWidth="9.1640625" defaultRowHeight="15"/>
  <cols>
    <col width="9.6640625" customWidth="1" style="70" min="1" max="1"/>
    <col width="8.83203125" customWidth="1" style="70" min="2" max="20"/>
    <col width="9.1640625" customWidth="1" style="70" min="21" max="35"/>
    <col width="9.1640625" customWidth="1" style="70" min="36" max="16384"/>
  </cols>
  <sheetData>
    <row r="1">
      <c r="J1" s="70" t="inlineStr">
        <is>
          <t>Last Month</t>
        </is>
      </c>
      <c r="L1" s="7">
        <f>Sectors!L1</f>
        <v/>
      </c>
      <c r="O1" s="6" t="n"/>
    </row>
    <row r="2">
      <c r="L2" s="70">
        <f>Sectors!L2</f>
        <v/>
      </c>
      <c r="Y2" s="7" t="n"/>
    </row>
    <row r="4">
      <c r="U4" s="7">
        <f>DATE(YEAR(U5),MONTH(U5)-1,DAY(U5))</f>
        <v/>
      </c>
      <c r="V4" s="1">
        <f>V5-1</f>
        <v/>
      </c>
    </row>
    <row r="5" ht="67.5" customHeight="1" s="65" thickBot="1">
      <c r="A5" s="8" t="n"/>
      <c r="B5" s="44" t="inlineStr">
        <is>
          <t>Retail Trade</t>
        </is>
      </c>
      <c r="C5" s="44" t="inlineStr">
        <is>
          <t>Utilities</t>
        </is>
      </c>
      <c r="D5" s="44" t="inlineStr">
        <is>
          <t>Arts, Entertainment &amp; Recreation</t>
        </is>
      </c>
      <c r="E5" s="44" t="inlineStr">
        <is>
          <t>Other Services</t>
        </is>
      </c>
      <c r="F5" s="44" t="inlineStr">
        <is>
          <t>Health Care &amp; Social Assistance</t>
        </is>
      </c>
      <c r="G5" s="44" t="inlineStr">
        <is>
          <t>Accommodation &amp; Food Services</t>
        </is>
      </c>
      <c r="H5" s="44" t="inlineStr">
        <is>
          <t>Finance &amp; Insurance</t>
        </is>
      </c>
      <c r="I5" s="44" t="inlineStr">
        <is>
          <t>Real Estate, Rental &amp; Leasing</t>
        </is>
      </c>
      <c r="J5" s="44" t="inlineStr">
        <is>
          <t>Transportation &amp; Warehousing</t>
        </is>
      </c>
      <c r="K5" s="44" t="inlineStr">
        <is>
          <t>Mining</t>
        </is>
      </c>
      <c r="L5" s="44" t="inlineStr">
        <is>
          <t>Construction</t>
        </is>
      </c>
      <c r="M5" s="44" t="inlineStr">
        <is>
          <t>Wholesale Trade</t>
        </is>
      </c>
      <c r="N5" s="44" t="inlineStr">
        <is>
          <t>Public Administration</t>
        </is>
      </c>
      <c r="O5" s="44" t="inlineStr">
        <is>
          <t>Professional, Scientific &amp; Technical Services</t>
        </is>
      </c>
      <c r="P5" s="44" t="inlineStr">
        <is>
          <t>Agriculture, Forestry, Fishing &amp; Hunting</t>
        </is>
      </c>
      <c r="Q5" s="44" t="inlineStr">
        <is>
          <t>Information</t>
        </is>
      </c>
      <c r="R5" s="44" t="inlineStr">
        <is>
          <t>Educational Services</t>
        </is>
      </c>
      <c r="S5" s="44" t="inlineStr">
        <is>
          <t>Management of Companies &amp; Support Services</t>
        </is>
      </c>
      <c r="U5" s="7">
        <f>DATE(YEAR(U6),MONTH(U6)-1,DAY(U6))</f>
        <v/>
      </c>
      <c r="V5" s="1">
        <f>V6-1</f>
        <v/>
      </c>
      <c r="Y5" s="70" t="inlineStr">
        <is>
          <t>Min</t>
        </is>
      </c>
      <c r="Z5" s="70" t="inlineStr">
        <is>
          <t>Max</t>
        </is>
      </c>
    </row>
    <row r="6">
      <c r="A6" s="8">
        <f>DATE(YEAR(A7),MONTH(A7)-1,DAY(A7))</f>
        <v/>
      </c>
      <c r="B6" s="38">
        <f>VLOOKUP($B$5,'Sectors Trend'!$B$50:$AJ$67,VLOOKUP(A6,$U:$V,2,),)</f>
        <v/>
      </c>
      <c r="C6" s="38">
        <f>VLOOKUP($C$5,'Sectors Trend'!$B$50:$AJ$67,VLOOKUP(A6,$U:$V,2,),)</f>
        <v/>
      </c>
      <c r="D6" s="38">
        <f>VLOOKUP($D$5,'Sectors Trend'!$B$50:$AJ$67,VLOOKUP(A6,$U:$V,2,),)</f>
        <v/>
      </c>
      <c r="E6" s="38">
        <f>VLOOKUP($E$5,'Sectors Trend'!$B$50:$AJ$67,VLOOKUP(A6,$U:$V,2,),)</f>
        <v/>
      </c>
      <c r="F6" s="38">
        <f>VLOOKUP($F$5,'Sectors Trend'!$B$50:$AJ$67,VLOOKUP(A6,$U:$V,2,),)</f>
        <v/>
      </c>
      <c r="G6" s="38">
        <f>VLOOKUP($G$5,'Sectors Trend'!$B$50:$AJ$67,VLOOKUP(A6,$U:$V,2,),)</f>
        <v/>
      </c>
      <c r="H6" s="38">
        <f>VLOOKUP($H$5,'Sectors Trend'!$B$50:$AJ$67,VLOOKUP(A6,$U:$V,2,),)</f>
        <v/>
      </c>
      <c r="I6" s="38">
        <f>VLOOKUP($I$5,'Sectors Trend'!$B$50:$AJ$67,VLOOKUP(A6,$U:$V,2,),)</f>
        <v/>
      </c>
      <c r="J6" s="38">
        <f>VLOOKUP($J$5,'Sectors Trend'!$B$50:$AJ$67,VLOOKUP(A6,$U:$V,2,),)</f>
        <v/>
      </c>
      <c r="K6" s="38">
        <f>VLOOKUP($K$5,'Sectors Trend'!$B$50:$AJ$67,VLOOKUP(A6,$U:$V,2,),)</f>
        <v/>
      </c>
      <c r="L6" s="38">
        <f>VLOOKUP($L$5,'Sectors Trend'!$B$50:$AJ$67,VLOOKUP(A6,$U:$V,2,),)</f>
        <v/>
      </c>
      <c r="M6" s="38">
        <f>VLOOKUP($M$5,'Sectors Trend'!$B$50:$AJ$67,VLOOKUP(A6,$U:$V,2,),)</f>
        <v/>
      </c>
      <c r="N6" s="38">
        <f>VLOOKUP($N$5,'Sectors Trend'!$B$50:$AJ$67,VLOOKUP(A6,$U:$V,2,),)</f>
        <v/>
      </c>
      <c r="O6" s="38">
        <f>VLOOKUP($O$5,'Sectors Trend'!$B$50:$AJ$67,VLOOKUP(A6,$U:$V,2,),)</f>
        <v/>
      </c>
      <c r="P6" s="38">
        <f>VLOOKUP($P$5,'Sectors Trend'!$B$50:$AJ$67,VLOOKUP(A6,$U:$V,2,),)</f>
        <v/>
      </c>
      <c r="Q6" s="38">
        <f>VLOOKUP($Q$5,'Sectors Trend'!$B$50:$AJ$67,VLOOKUP(A6,$U:$V,2,),)</f>
        <v/>
      </c>
      <c r="R6" s="38">
        <f>VLOOKUP($R$5,'Sectors Trend'!$B$50:$AJ$67,VLOOKUP(A6,$U:$V,2,),)</f>
        <v/>
      </c>
      <c r="S6" s="39">
        <f>VLOOKUP($S$5,'Sectors Trend'!$B$50:$AJ$67,VLOOKUP(A6,$U:$V,2,),)</f>
        <v/>
      </c>
      <c r="U6" s="7">
        <f>DATE(YEAR(U7),MONTH(U7)-1,DAY(U7))</f>
        <v/>
      </c>
      <c r="V6" s="1">
        <f>V7-1</f>
        <v/>
      </c>
      <c r="Y6" s="70">
        <f>MIN(B6:S6)</f>
        <v/>
      </c>
      <c r="Z6" s="70">
        <f>MAX(B6:S6)</f>
        <v/>
      </c>
    </row>
    <row r="7">
      <c r="A7" s="8">
        <f>DATE(YEAR(A8),MONTH(A8)-1,DAY(A8))</f>
        <v/>
      </c>
      <c r="B7" s="5">
        <f>VLOOKUP($B$5,'Sectors Trend'!$B$50:$AJ$67,VLOOKUP(A7,$U:$V,2,),)</f>
        <v/>
      </c>
      <c r="C7" s="5">
        <f>VLOOKUP($C$5,'Sectors Trend'!$B$50:$AJ$67,VLOOKUP(A7,$U:$V,2,),)</f>
        <v/>
      </c>
      <c r="D7" s="5">
        <f>VLOOKUP($D$5,'Sectors Trend'!$B$50:$AJ$67,VLOOKUP(A7,$U:$V,2,),)</f>
        <v/>
      </c>
      <c r="E7" s="5">
        <f>VLOOKUP($E$5,'Sectors Trend'!$B$50:$AJ$67,VLOOKUP(A7,$U:$V,2,),)</f>
        <v/>
      </c>
      <c r="F7" s="5">
        <f>VLOOKUP($F$5,'Sectors Trend'!$B$50:$AJ$67,VLOOKUP(A7,$U:$V,2,),)</f>
        <v/>
      </c>
      <c r="G7" s="5">
        <f>VLOOKUP($G$5,'Sectors Trend'!$B$50:$AJ$67,VLOOKUP(A7,$U:$V,2,),)</f>
        <v/>
      </c>
      <c r="H7" s="5">
        <f>VLOOKUP($H$5,'Sectors Trend'!$B$50:$AJ$67,VLOOKUP(A7,$U:$V,2,),)</f>
        <v/>
      </c>
      <c r="I7" s="5">
        <f>VLOOKUP($I$5,'Sectors Trend'!$B$50:$AJ$67,VLOOKUP(A7,$U:$V,2,),)</f>
        <v/>
      </c>
      <c r="J7" s="5">
        <f>VLOOKUP($J$5,'Sectors Trend'!$B$50:$AJ$67,VLOOKUP(A7,$U:$V,2,),)</f>
        <v/>
      </c>
      <c r="K7" s="5">
        <f>VLOOKUP($K$5,'Sectors Trend'!$B$50:$AJ$67,VLOOKUP(A7,$U:$V,2,),)</f>
        <v/>
      </c>
      <c r="L7" s="5">
        <f>VLOOKUP($L$5,'Sectors Trend'!$B$50:$AJ$67,VLOOKUP(A7,$U:$V,2,),)</f>
        <v/>
      </c>
      <c r="M7" s="5">
        <f>VLOOKUP($M$5,'Sectors Trend'!$B$50:$AJ$67,VLOOKUP(A7,$U:$V,2,),)</f>
        <v/>
      </c>
      <c r="N7" s="5">
        <f>VLOOKUP($N$5,'Sectors Trend'!$B$50:$AJ$67,VLOOKUP(A7,$U:$V,2,),)</f>
        <v/>
      </c>
      <c r="O7" s="5">
        <f>VLOOKUP($O$5,'Sectors Trend'!$B$50:$AJ$67,VLOOKUP(A7,$U:$V,2,),)</f>
        <v/>
      </c>
      <c r="P7" s="5">
        <f>VLOOKUP($P$5,'Sectors Trend'!$B$50:$AJ$67,VLOOKUP(A7,$U:$V,2,),)</f>
        <v/>
      </c>
      <c r="Q7" s="5">
        <f>VLOOKUP($Q$5,'Sectors Trend'!$B$50:$AJ$67,VLOOKUP(A7,$U:$V,2,),)</f>
        <v/>
      </c>
      <c r="R7" s="5">
        <f>VLOOKUP($R$5,'Sectors Trend'!$B$50:$AJ$67,VLOOKUP(A7,$U:$V,2,),)</f>
        <v/>
      </c>
      <c r="S7" s="40">
        <f>VLOOKUP($S$5,'Sectors Trend'!$B$50:$AJ$67,VLOOKUP(A7,$U:$V,2,),)</f>
        <v/>
      </c>
      <c r="U7" s="7">
        <f>DATE(YEAR(U8),MONTH(U8)-1,DAY(U8))</f>
        <v/>
      </c>
      <c r="V7" s="1">
        <f>V8-1</f>
        <v/>
      </c>
      <c r="Y7" s="70">
        <f>MIN(B7:S7)</f>
        <v/>
      </c>
      <c r="Z7" s="70">
        <f>MAX(B7:S7)</f>
        <v/>
      </c>
    </row>
    <row r="8">
      <c r="A8" s="8">
        <f>DATE(YEAR(A9),MONTH(A9)-1,DAY(A9))</f>
        <v/>
      </c>
      <c r="B8" s="5">
        <f>VLOOKUP($B$5,'Sectors Trend'!$B$50:$AJ$67,VLOOKUP(A8,$U:$V,2,),)</f>
        <v/>
      </c>
      <c r="C8" s="5">
        <f>VLOOKUP($C$5,'Sectors Trend'!$B$50:$AJ$67,VLOOKUP(A8,$U:$V,2,),)</f>
        <v/>
      </c>
      <c r="D8" s="5">
        <f>VLOOKUP($D$5,'Sectors Trend'!$B$50:$AJ$67,VLOOKUP(A8,$U:$V,2,),)</f>
        <v/>
      </c>
      <c r="E8" s="5">
        <f>VLOOKUP($E$5,'Sectors Trend'!$B$50:$AJ$67,VLOOKUP(A8,$U:$V,2,),)</f>
        <v/>
      </c>
      <c r="F8" s="5">
        <f>VLOOKUP($F$5,'Sectors Trend'!$B$50:$AJ$67,VLOOKUP(A8,$U:$V,2,),)</f>
        <v/>
      </c>
      <c r="G8" s="5">
        <f>VLOOKUP($G$5,'Sectors Trend'!$B$50:$AJ$67,VLOOKUP(A8,$U:$V,2,),)</f>
        <v/>
      </c>
      <c r="H8" s="5">
        <f>VLOOKUP($H$5,'Sectors Trend'!$B$50:$AJ$67,VLOOKUP(A8,$U:$V,2,),)</f>
        <v/>
      </c>
      <c r="I8" s="5">
        <f>VLOOKUP($I$5,'Sectors Trend'!$B$50:$AJ$67,VLOOKUP(A8,$U:$V,2,),)</f>
        <v/>
      </c>
      <c r="J8" s="5">
        <f>VLOOKUP($J$5,'Sectors Trend'!$B$50:$AJ$67,VLOOKUP(A8,$U:$V,2,),)</f>
        <v/>
      </c>
      <c r="K8" s="5">
        <f>VLOOKUP($K$5,'Sectors Trend'!$B$50:$AJ$67,VLOOKUP(A8,$U:$V,2,),)</f>
        <v/>
      </c>
      <c r="L8" s="5">
        <f>VLOOKUP($L$5,'Sectors Trend'!$B$50:$AJ$67,VLOOKUP(A8,$U:$V,2,),)</f>
        <v/>
      </c>
      <c r="M8" s="5">
        <f>VLOOKUP($M$5,'Sectors Trend'!$B$50:$AJ$67,VLOOKUP(A8,$U:$V,2,),)</f>
        <v/>
      </c>
      <c r="N8" s="5">
        <f>VLOOKUP($N$5,'Sectors Trend'!$B$50:$AJ$67,VLOOKUP(A8,$U:$V,2,),)</f>
        <v/>
      </c>
      <c r="O8" s="5">
        <f>VLOOKUP($O$5,'Sectors Trend'!$B$50:$AJ$67,VLOOKUP(A8,$U:$V,2,),)</f>
        <v/>
      </c>
      <c r="P8" s="5">
        <f>VLOOKUP($P$5,'Sectors Trend'!$B$50:$AJ$67,VLOOKUP(A8,$U:$V,2,),)</f>
        <v/>
      </c>
      <c r="Q8" s="5">
        <f>VLOOKUP($Q$5,'Sectors Trend'!$B$50:$AJ$67,VLOOKUP(A8,$U:$V,2,),)</f>
        <v/>
      </c>
      <c r="R8" s="5">
        <f>VLOOKUP($R$5,'Sectors Trend'!$B$50:$AJ$67,VLOOKUP(A8,$U:$V,2,),)</f>
        <v/>
      </c>
      <c r="S8" s="40">
        <f>VLOOKUP($S$5,'Sectors Trend'!$B$50:$AJ$67,VLOOKUP(A8,$U:$V,2,),)</f>
        <v/>
      </c>
      <c r="U8" s="7">
        <f>DATE(YEAR(U9),MONTH(U9)-1,DAY(U9))</f>
        <v/>
      </c>
      <c r="V8" s="1">
        <f>V9-1</f>
        <v/>
      </c>
      <c r="Y8" s="70">
        <f>MIN(B8:S8)</f>
        <v/>
      </c>
      <c r="Z8" s="70">
        <f>MAX(B8:S8)</f>
        <v/>
      </c>
    </row>
    <row r="9">
      <c r="A9" s="8">
        <f>DATE(YEAR(A10),MONTH(A10)-1,DAY(A10))</f>
        <v/>
      </c>
      <c r="B9" s="5">
        <f>VLOOKUP($B$5,'Sectors Trend'!$B$50:$AJ$67,VLOOKUP(A9,$U:$V,2,),)</f>
        <v/>
      </c>
      <c r="C9" s="5">
        <f>VLOOKUP($C$5,'Sectors Trend'!$B$50:$AJ$67,VLOOKUP(A9,$U:$V,2,),)</f>
        <v/>
      </c>
      <c r="D9" s="5">
        <f>VLOOKUP($D$5,'Sectors Trend'!$B$50:$AJ$67,VLOOKUP(A9,$U:$V,2,),)</f>
        <v/>
      </c>
      <c r="E9" s="5">
        <f>VLOOKUP($E$5,'Sectors Trend'!$B$50:$AJ$67,VLOOKUP(A9,$U:$V,2,),)</f>
        <v/>
      </c>
      <c r="F9" s="5">
        <f>VLOOKUP($F$5,'Sectors Trend'!$B$50:$AJ$67,VLOOKUP(A9,$U:$V,2,),)</f>
        <v/>
      </c>
      <c r="G9" s="5">
        <f>VLOOKUP($G$5,'Sectors Trend'!$B$50:$AJ$67,VLOOKUP(A9,$U:$V,2,),)</f>
        <v/>
      </c>
      <c r="H9" s="5">
        <f>VLOOKUP($H$5,'Sectors Trend'!$B$50:$AJ$67,VLOOKUP(A9,$U:$V,2,),)</f>
        <v/>
      </c>
      <c r="I9" s="5">
        <f>VLOOKUP($I$5,'Sectors Trend'!$B$50:$AJ$67,VLOOKUP(A9,$U:$V,2,),)</f>
        <v/>
      </c>
      <c r="J9" s="5">
        <f>VLOOKUP($J$5,'Sectors Trend'!$B$50:$AJ$67,VLOOKUP(A9,$U:$V,2,),)</f>
        <v/>
      </c>
      <c r="K9" s="5">
        <f>VLOOKUP($K$5,'Sectors Trend'!$B$50:$AJ$67,VLOOKUP(A9,$U:$V,2,),)</f>
        <v/>
      </c>
      <c r="L9" s="5">
        <f>VLOOKUP($L$5,'Sectors Trend'!$B$50:$AJ$67,VLOOKUP(A9,$U:$V,2,),)</f>
        <v/>
      </c>
      <c r="M9" s="5">
        <f>VLOOKUP($M$5,'Sectors Trend'!$B$50:$AJ$67,VLOOKUP(A9,$U:$V,2,),)</f>
        <v/>
      </c>
      <c r="N9" s="5">
        <f>VLOOKUP($N$5,'Sectors Trend'!$B$50:$AJ$67,VLOOKUP(A9,$U:$V,2,),)</f>
        <v/>
      </c>
      <c r="O9" s="5">
        <f>VLOOKUP($O$5,'Sectors Trend'!$B$50:$AJ$67,VLOOKUP(A9,$U:$V,2,),)</f>
        <v/>
      </c>
      <c r="P9" s="5">
        <f>VLOOKUP($P$5,'Sectors Trend'!$B$50:$AJ$67,VLOOKUP(A9,$U:$V,2,),)</f>
        <v/>
      </c>
      <c r="Q9" s="5">
        <f>VLOOKUP($Q$5,'Sectors Trend'!$B$50:$AJ$67,VLOOKUP(A9,$U:$V,2,),)</f>
        <v/>
      </c>
      <c r="R9" s="5">
        <f>VLOOKUP($R$5,'Sectors Trend'!$B$50:$AJ$67,VLOOKUP(A9,$U:$V,2,),)</f>
        <v/>
      </c>
      <c r="S9" s="40">
        <f>VLOOKUP($S$5,'Sectors Trend'!$B$50:$AJ$67,VLOOKUP(A9,$U:$V,2,),)</f>
        <v/>
      </c>
      <c r="U9" s="7">
        <f>DATE(YEAR(U10),MONTH(U10)-1,DAY(U10))</f>
        <v/>
      </c>
      <c r="V9" s="1">
        <f>V10-1</f>
        <v/>
      </c>
      <c r="Y9" s="70">
        <f>MIN(B9:S9)</f>
        <v/>
      </c>
      <c r="Z9" s="70">
        <f>MAX(B9:S9)</f>
        <v/>
      </c>
    </row>
    <row r="10">
      <c r="A10" s="8">
        <f>DATE(YEAR(A11),MONTH(A11)-1,DAY(A11))</f>
        <v/>
      </c>
      <c r="B10" s="5">
        <f>VLOOKUP($B$5,'Sectors Trend'!$B$50:$AJ$67,VLOOKUP(A10,$U:$V,2,),)</f>
        <v/>
      </c>
      <c r="C10" s="5">
        <f>VLOOKUP($C$5,'Sectors Trend'!$B$50:$AJ$67,VLOOKUP(A10,$U:$V,2,),)</f>
        <v/>
      </c>
      <c r="D10" s="5">
        <f>VLOOKUP($D$5,'Sectors Trend'!$B$50:$AJ$67,VLOOKUP(A10,$U:$V,2,),)</f>
        <v/>
      </c>
      <c r="E10" s="5">
        <f>VLOOKUP($E$5,'Sectors Trend'!$B$50:$AJ$67,VLOOKUP(A10,$U:$V,2,),)</f>
        <v/>
      </c>
      <c r="F10" s="5">
        <f>VLOOKUP($F$5,'Sectors Trend'!$B$50:$AJ$67,VLOOKUP(A10,$U:$V,2,),)</f>
        <v/>
      </c>
      <c r="G10" s="5">
        <f>VLOOKUP($G$5,'Sectors Trend'!$B$50:$AJ$67,VLOOKUP(A10,$U:$V,2,),)</f>
        <v/>
      </c>
      <c r="H10" s="5">
        <f>VLOOKUP($H$5,'Sectors Trend'!$B$50:$AJ$67,VLOOKUP(A10,$U:$V,2,),)</f>
        <v/>
      </c>
      <c r="I10" s="5">
        <f>VLOOKUP($I$5,'Sectors Trend'!$B$50:$AJ$67,VLOOKUP(A10,$U:$V,2,),)</f>
        <v/>
      </c>
      <c r="J10" s="5">
        <f>VLOOKUP($J$5,'Sectors Trend'!$B$50:$AJ$67,VLOOKUP(A10,$U:$V,2,),)</f>
        <v/>
      </c>
      <c r="K10" s="5">
        <f>VLOOKUP($K$5,'Sectors Trend'!$B$50:$AJ$67,VLOOKUP(A10,$U:$V,2,),)</f>
        <v/>
      </c>
      <c r="L10" s="5">
        <f>VLOOKUP($L$5,'Sectors Trend'!$B$50:$AJ$67,VLOOKUP(A10,$U:$V,2,),)</f>
        <v/>
      </c>
      <c r="M10" s="5">
        <f>VLOOKUP($M$5,'Sectors Trend'!$B$50:$AJ$67,VLOOKUP(A10,$U:$V,2,),)</f>
        <v/>
      </c>
      <c r="N10" s="5">
        <f>VLOOKUP($N$5,'Sectors Trend'!$B$50:$AJ$67,VLOOKUP(A10,$U:$V,2,),)</f>
        <v/>
      </c>
      <c r="O10" s="5">
        <f>VLOOKUP($O$5,'Sectors Trend'!$B$50:$AJ$67,VLOOKUP(A10,$U:$V,2,),)</f>
        <v/>
      </c>
      <c r="P10" s="5">
        <f>VLOOKUP($P$5,'Sectors Trend'!$B$50:$AJ$67,VLOOKUP(A10,$U:$V,2,),)</f>
        <v/>
      </c>
      <c r="Q10" s="5">
        <f>VLOOKUP($Q$5,'Sectors Trend'!$B$50:$AJ$67,VLOOKUP(A10,$U:$V,2,),)</f>
        <v/>
      </c>
      <c r="R10" s="5">
        <f>VLOOKUP($R$5,'Sectors Trend'!$B$50:$AJ$67,VLOOKUP(A10,$U:$V,2,),)</f>
        <v/>
      </c>
      <c r="S10" s="40">
        <f>VLOOKUP($S$5,'Sectors Trend'!$B$50:$AJ$67,VLOOKUP(A10,$U:$V,2,),)</f>
        <v/>
      </c>
      <c r="U10" s="7">
        <f>DATE(YEAR(U11),MONTH(U11)-1,DAY(U11))</f>
        <v/>
      </c>
      <c r="V10" s="1">
        <f>V11-1</f>
        <v/>
      </c>
      <c r="Y10" s="70">
        <f>MIN(B10:S10)</f>
        <v/>
      </c>
      <c r="Z10" s="70">
        <f>MAX(B10:S10)</f>
        <v/>
      </c>
    </row>
    <row r="11" ht="16" customHeight="1" s="65" thickBot="1">
      <c r="A11" s="8">
        <f>L1</f>
        <v/>
      </c>
      <c r="B11" s="41">
        <f>VLOOKUP($B$5,'Sectors Trend'!$B$50:$AJ$67,VLOOKUP(A11,$U:$V,2,),)</f>
        <v/>
      </c>
      <c r="C11" s="41">
        <f>VLOOKUP($C$5,'Sectors Trend'!$B$50:$AJ$67,VLOOKUP(A11,$U:$V,2,),)</f>
        <v/>
      </c>
      <c r="D11" s="41">
        <f>VLOOKUP($D$5,'Sectors Trend'!$B$50:$AJ$67,VLOOKUP(A11,$U:$V,2,),)</f>
        <v/>
      </c>
      <c r="E11" s="41">
        <f>VLOOKUP($E$5,'Sectors Trend'!$B$50:$AJ$67,VLOOKUP(A11,$U:$V,2,),)</f>
        <v/>
      </c>
      <c r="F11" s="41">
        <f>VLOOKUP($F$5,'Sectors Trend'!$B$50:$AJ$67,VLOOKUP(A11,$U:$V,2,),)</f>
        <v/>
      </c>
      <c r="G11" s="41">
        <f>VLOOKUP($G$5,'Sectors Trend'!$B$50:$AJ$67,VLOOKUP(A11,$U:$V,2,),)</f>
        <v/>
      </c>
      <c r="H11" s="41">
        <f>VLOOKUP($H$5,'Sectors Trend'!$B$50:$AJ$67,VLOOKUP(A11,$U:$V,2,),)</f>
        <v/>
      </c>
      <c r="I11" s="41">
        <f>VLOOKUP($I$5,'Sectors Trend'!$B$50:$AJ$67,VLOOKUP(A11,$U:$V,2,),)</f>
        <v/>
      </c>
      <c r="J11" s="41">
        <f>VLOOKUP($J$5,'Sectors Trend'!$B$50:$AJ$67,VLOOKUP(A11,$U:$V,2,),)</f>
        <v/>
      </c>
      <c r="K11" s="41">
        <f>VLOOKUP($K$5,'Sectors Trend'!$B$50:$AJ$67,VLOOKUP(A11,$U:$V,2,),)</f>
        <v/>
      </c>
      <c r="L11" s="41">
        <f>VLOOKUP($L$5,'Sectors Trend'!$B$50:$AJ$67,VLOOKUP(A11,$U:$V,2,),)</f>
        <v/>
      </c>
      <c r="M11" s="41">
        <f>VLOOKUP($M$5,'Sectors Trend'!$B$50:$AJ$67,VLOOKUP(A11,$U:$V,2,),)</f>
        <v/>
      </c>
      <c r="N11" s="41">
        <f>VLOOKUP($N$5,'Sectors Trend'!$B$50:$AJ$67,VLOOKUP(A11,$U:$V,2,),)</f>
        <v/>
      </c>
      <c r="O11" s="41">
        <f>VLOOKUP($O$5,'Sectors Trend'!$B$50:$AJ$67,VLOOKUP(A11,$U:$V,2,),)</f>
        <v/>
      </c>
      <c r="P11" s="41">
        <f>VLOOKUP($P$5,'Sectors Trend'!$B$50:$AJ$67,VLOOKUP(A11,$U:$V,2,),)</f>
        <v/>
      </c>
      <c r="Q11" s="41">
        <f>VLOOKUP($Q$5,'Sectors Trend'!$B$50:$AJ$67,VLOOKUP(A11,$U:$V,2,),)</f>
        <v/>
      </c>
      <c r="R11" s="41">
        <f>VLOOKUP($R$5,'Sectors Trend'!$B$50:$AJ$67,VLOOKUP(A11,$U:$V,2,),)</f>
        <v/>
      </c>
      <c r="S11" s="42">
        <f>VLOOKUP($S$5,'Sectors Trend'!$B$50:$AJ$67,VLOOKUP(A11,$U:$V,2,),)</f>
        <v/>
      </c>
      <c r="U11" s="7">
        <f>L1</f>
        <v/>
      </c>
      <c r="V11" s="1">
        <f>L2+1</f>
        <v/>
      </c>
      <c r="Y11" s="70">
        <f>MIN(B11:S11)</f>
        <v/>
      </c>
      <c r="Z11" s="70">
        <f>MAX(B11:S11)</f>
        <v/>
      </c>
    </row>
    <row r="12">
      <c r="R12" s="7" t="n"/>
    </row>
    <row r="13">
      <c r="R13" s="7" t="n"/>
    </row>
    <row r="14">
      <c r="R14" s="7" t="n"/>
    </row>
    <row r="15">
      <c r="R15" s="7" t="n"/>
    </row>
    <row r="16">
      <c r="R16" s="7" t="n"/>
    </row>
  </sheetData>
  <conditionalFormatting sqref="B11:S11">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worksheet>
</file>

<file path=xl/worksheets/sheet9.xml><?xml version="1.0" encoding="utf-8"?>
<worksheet xmlns="http://schemas.openxmlformats.org/spreadsheetml/2006/main">
  <sheetPr codeName="Sheet4">
    <tabColor theme="4" tint="-0.249977111117893"/>
    <outlinePr summaryBelow="1" summaryRight="1"/>
    <pageSetUpPr/>
  </sheetPr>
  <dimension ref="B1:AM68"/>
  <sheetViews>
    <sheetView zoomScale="130" zoomScaleNormal="130" workbookViewId="0">
      <pane xSplit="2" ySplit="5" topLeftCell="O10" activePane="bottomRight" state="frozen"/>
      <selection pane="topRight" activeCell="C1" sqref="C1"/>
      <selection pane="bottomLeft" activeCell="A6" sqref="A6"/>
      <selection pane="bottomRight" activeCell="Z82" sqref="Z82"/>
    </sheetView>
  </sheetViews>
  <sheetFormatPr baseColWidth="10" defaultColWidth="8.83203125" defaultRowHeight="15"/>
  <cols>
    <col width="9.1640625" customWidth="1" style="70" min="1" max="1"/>
    <col width="30.5" customWidth="1" style="70" min="2" max="2"/>
    <col width="10.5" customWidth="1" style="29" min="3" max="32"/>
    <col width="10.1640625" customWidth="1" style="70" min="33" max="36"/>
    <col width="9.1640625" customWidth="1" style="70" min="37" max="38"/>
    <col width="10.6640625" bestFit="1" customWidth="1" style="70" min="39" max="39"/>
    <col width="9.1640625" customWidth="1" style="70" min="40" max="239"/>
    <col width="28.6640625" customWidth="1" style="70" min="240" max="240"/>
    <col width="9" bestFit="1" customWidth="1" style="70" min="241" max="241"/>
    <col width="5.33203125" customWidth="1" style="70" min="242" max="242"/>
    <col width="9" bestFit="1" customWidth="1" style="70" min="243" max="243"/>
    <col width="5.33203125" customWidth="1" style="70" min="244" max="244"/>
    <col width="9" bestFit="1" customWidth="1" style="70" min="245" max="245"/>
    <col width="5" customWidth="1" style="70" min="246" max="246"/>
    <col width="9" bestFit="1" customWidth="1" style="70" min="247" max="247"/>
    <col width="5.1640625" customWidth="1" style="70" min="248" max="248"/>
    <col width="9.1640625" customWidth="1" style="70" min="249" max="249"/>
    <col width="6" customWidth="1" style="70" min="250" max="250"/>
    <col width="9.1640625" customWidth="1" style="70" min="251" max="251"/>
    <col width="6" customWidth="1" style="70" min="252" max="252"/>
    <col width="10.1640625" customWidth="1" style="70" min="253" max="254"/>
    <col width="10" customWidth="1" style="70" min="255" max="255"/>
    <col width="10.33203125" customWidth="1" style="70" min="256" max="256"/>
    <col width="9.1640625" customWidth="1" style="70" min="257" max="267"/>
    <col width="11.33203125" customWidth="1" style="70" min="268" max="268"/>
    <col hidden="1" width="13" customWidth="1" style="70" min="269" max="289"/>
    <col width="9.1640625" customWidth="1" style="70" min="290" max="495"/>
    <col width="28.6640625" customWidth="1" style="70" min="496" max="496"/>
    <col width="9" bestFit="1" customWidth="1" style="70" min="497" max="497"/>
    <col width="5.33203125" customWidth="1" style="70" min="498" max="498"/>
    <col width="9" bestFit="1" customWidth="1" style="70" min="499" max="499"/>
    <col width="5.33203125" customWidth="1" style="70" min="500" max="500"/>
    <col width="9" bestFit="1" customWidth="1" style="70" min="501" max="501"/>
    <col width="5" customWidth="1" style="70" min="502" max="502"/>
    <col width="9" bestFit="1" customWidth="1" style="70" min="503" max="503"/>
    <col width="5.1640625" customWidth="1" style="70" min="504" max="504"/>
    <col width="9.1640625" customWidth="1" style="70" min="505" max="505"/>
    <col width="6" customWidth="1" style="70" min="506" max="506"/>
    <col width="9.1640625" customWidth="1" style="70" min="507" max="507"/>
    <col width="6" customWidth="1" style="70" min="508" max="508"/>
    <col width="10.1640625" customWidth="1" style="70" min="509" max="510"/>
    <col width="10" customWidth="1" style="70" min="511" max="511"/>
    <col width="10.33203125" customWidth="1" style="70" min="512" max="512"/>
    <col width="9.1640625" customWidth="1" style="70" min="513" max="523"/>
    <col width="11.33203125" customWidth="1" style="70" min="524" max="524"/>
    <col hidden="1" width="13" customWidth="1" style="70" min="525" max="545"/>
    <col width="9.1640625" customWidth="1" style="70" min="546" max="751"/>
    <col width="28.6640625" customWidth="1" style="70" min="752" max="752"/>
    <col width="9" bestFit="1" customWidth="1" style="70" min="753" max="753"/>
    <col width="5.33203125" customWidth="1" style="70" min="754" max="754"/>
    <col width="9" bestFit="1" customWidth="1" style="70" min="755" max="755"/>
    <col width="5.33203125" customWidth="1" style="70" min="756" max="756"/>
    <col width="9" bestFit="1" customWidth="1" style="70" min="757" max="757"/>
    <col width="5" customWidth="1" style="70" min="758" max="758"/>
    <col width="9" bestFit="1" customWidth="1" style="70" min="759" max="759"/>
    <col width="5.1640625" customWidth="1" style="70" min="760" max="760"/>
    <col width="9.1640625" customWidth="1" style="70" min="761" max="761"/>
    <col width="6" customWidth="1" style="70" min="762" max="762"/>
    <col width="9.1640625" customWidth="1" style="70" min="763" max="763"/>
    <col width="6" customWidth="1" style="70" min="764" max="764"/>
    <col width="10.1640625" customWidth="1" style="70" min="765" max="766"/>
    <col width="10" customWidth="1" style="70" min="767" max="767"/>
    <col width="10.33203125" customWidth="1" style="70" min="768" max="768"/>
    <col width="9.1640625" customWidth="1" style="70" min="769" max="779"/>
    <col width="11.33203125" customWidth="1" style="70" min="780" max="780"/>
    <col hidden="1" width="13" customWidth="1" style="70" min="781" max="801"/>
    <col width="9.1640625" customWidth="1" style="70" min="802" max="1007"/>
    <col width="28.6640625" customWidth="1" style="70" min="1008" max="1008"/>
    <col width="9" bestFit="1" customWidth="1" style="70" min="1009" max="1009"/>
    <col width="5.33203125" customWidth="1" style="70" min="1010" max="1010"/>
    <col width="9" bestFit="1" customWidth="1" style="70" min="1011" max="1011"/>
    <col width="5.33203125" customWidth="1" style="70" min="1012" max="1012"/>
    <col width="9" bestFit="1" customWidth="1" style="70" min="1013" max="1013"/>
    <col width="5" customWidth="1" style="70" min="1014" max="1014"/>
    <col width="9" bestFit="1" customWidth="1" style="70" min="1015" max="1015"/>
    <col width="5.1640625" customWidth="1" style="70" min="1016" max="1016"/>
    <col width="9.1640625" customWidth="1" style="70" min="1017" max="1017"/>
    <col width="6" customWidth="1" style="70" min="1018" max="1018"/>
    <col width="9.1640625" customWidth="1" style="70" min="1019" max="1019"/>
    <col width="6" customWidth="1" style="70" min="1020" max="1020"/>
    <col width="10.1640625" customWidth="1" style="70" min="1021" max="1022"/>
    <col width="10" customWidth="1" style="70" min="1023" max="1023"/>
    <col width="10.33203125" customWidth="1" style="70" min="1024" max="1024"/>
    <col width="9.1640625" customWidth="1" style="70" min="1025" max="1035"/>
    <col width="11.33203125" customWidth="1" style="70" min="1036" max="1036"/>
    <col hidden="1" width="13" customWidth="1" style="70" min="1037" max="1057"/>
    <col width="9.1640625" customWidth="1" style="70" min="1058" max="1263"/>
    <col width="28.6640625" customWidth="1" style="70" min="1264" max="1264"/>
    <col width="9" bestFit="1" customWidth="1" style="70" min="1265" max="1265"/>
    <col width="5.33203125" customWidth="1" style="70" min="1266" max="1266"/>
    <col width="9" bestFit="1" customWidth="1" style="70" min="1267" max="1267"/>
    <col width="5.33203125" customWidth="1" style="70" min="1268" max="1268"/>
    <col width="9" bestFit="1" customWidth="1" style="70" min="1269" max="1269"/>
    <col width="5" customWidth="1" style="70" min="1270" max="1270"/>
    <col width="9" bestFit="1" customWidth="1" style="70" min="1271" max="1271"/>
    <col width="5.1640625" customWidth="1" style="70" min="1272" max="1272"/>
    <col width="9.1640625" customWidth="1" style="70" min="1273" max="1273"/>
    <col width="6" customWidth="1" style="70" min="1274" max="1274"/>
    <col width="9.1640625" customWidth="1" style="70" min="1275" max="1275"/>
    <col width="6" customWidth="1" style="70" min="1276" max="1276"/>
    <col width="10.1640625" customWidth="1" style="70" min="1277" max="1278"/>
    <col width="10" customWidth="1" style="70" min="1279" max="1279"/>
    <col width="10.33203125" customWidth="1" style="70" min="1280" max="1280"/>
    <col width="9.1640625" customWidth="1" style="70" min="1281" max="1291"/>
    <col width="11.33203125" customWidth="1" style="70" min="1292" max="1292"/>
    <col hidden="1" width="13" customWidth="1" style="70" min="1293" max="1313"/>
    <col width="9.1640625" customWidth="1" style="70" min="1314" max="1519"/>
    <col width="28.6640625" customWidth="1" style="70" min="1520" max="1520"/>
    <col width="9" bestFit="1" customWidth="1" style="70" min="1521" max="1521"/>
    <col width="5.33203125" customWidth="1" style="70" min="1522" max="1522"/>
    <col width="9" bestFit="1" customWidth="1" style="70" min="1523" max="1523"/>
    <col width="5.33203125" customWidth="1" style="70" min="1524" max="1524"/>
    <col width="9" bestFit="1" customWidth="1" style="70" min="1525" max="1525"/>
    <col width="5" customWidth="1" style="70" min="1526" max="1526"/>
    <col width="9" bestFit="1" customWidth="1" style="70" min="1527" max="1527"/>
    <col width="5.1640625" customWidth="1" style="70" min="1528" max="1528"/>
    <col width="9.1640625" customWidth="1" style="70" min="1529" max="1529"/>
    <col width="6" customWidth="1" style="70" min="1530" max="1530"/>
    <col width="9.1640625" customWidth="1" style="70" min="1531" max="1531"/>
    <col width="6" customWidth="1" style="70" min="1532" max="1532"/>
    <col width="10.1640625" customWidth="1" style="70" min="1533" max="1534"/>
    <col width="10" customWidth="1" style="70" min="1535" max="1535"/>
    <col width="10.33203125" customWidth="1" style="70" min="1536" max="1536"/>
    <col width="9.1640625" customWidth="1" style="70" min="1537" max="1547"/>
    <col width="11.33203125" customWidth="1" style="70" min="1548" max="1548"/>
    <col hidden="1" width="13" customWidth="1" style="70" min="1549" max="1569"/>
    <col width="9.1640625" customWidth="1" style="70" min="1570" max="1775"/>
    <col width="28.6640625" customWidth="1" style="70" min="1776" max="1776"/>
    <col width="9" bestFit="1" customWidth="1" style="70" min="1777" max="1777"/>
    <col width="5.33203125" customWidth="1" style="70" min="1778" max="1778"/>
    <col width="9" bestFit="1" customWidth="1" style="70" min="1779" max="1779"/>
    <col width="5.33203125" customWidth="1" style="70" min="1780" max="1780"/>
    <col width="9" bestFit="1" customWidth="1" style="70" min="1781" max="1781"/>
    <col width="5" customWidth="1" style="70" min="1782" max="1782"/>
    <col width="9" bestFit="1" customWidth="1" style="70" min="1783" max="1783"/>
    <col width="5.1640625" customWidth="1" style="70" min="1784" max="1784"/>
    <col width="9.1640625" customWidth="1" style="70" min="1785" max="1785"/>
    <col width="6" customWidth="1" style="70" min="1786" max="1786"/>
    <col width="9.1640625" customWidth="1" style="70" min="1787" max="1787"/>
    <col width="6" customWidth="1" style="70" min="1788" max="1788"/>
    <col width="10.1640625" customWidth="1" style="70" min="1789" max="1790"/>
    <col width="10" customWidth="1" style="70" min="1791" max="1791"/>
    <col width="10.33203125" customWidth="1" style="70" min="1792" max="1792"/>
    <col width="9.1640625" customWidth="1" style="70" min="1793" max="1803"/>
    <col width="11.33203125" customWidth="1" style="70" min="1804" max="1804"/>
    <col hidden="1" width="13" customWidth="1" style="70" min="1805" max="1825"/>
    <col width="9.1640625" customWidth="1" style="70" min="1826" max="2031"/>
    <col width="28.6640625" customWidth="1" style="70" min="2032" max="2032"/>
    <col width="9" bestFit="1" customWidth="1" style="70" min="2033" max="2033"/>
    <col width="5.33203125" customWidth="1" style="70" min="2034" max="2034"/>
    <col width="9" bestFit="1" customWidth="1" style="70" min="2035" max="2035"/>
    <col width="5.33203125" customWidth="1" style="70" min="2036" max="2036"/>
    <col width="9" bestFit="1" customWidth="1" style="70" min="2037" max="2037"/>
    <col width="5" customWidth="1" style="70" min="2038" max="2038"/>
    <col width="9" bestFit="1" customWidth="1" style="70" min="2039" max="2039"/>
    <col width="5.1640625" customWidth="1" style="70" min="2040" max="2040"/>
    <col width="9.1640625" customWidth="1" style="70" min="2041" max="2041"/>
    <col width="6" customWidth="1" style="70" min="2042" max="2042"/>
    <col width="9.1640625" customWidth="1" style="70" min="2043" max="2043"/>
    <col width="6" customWidth="1" style="70" min="2044" max="2044"/>
    <col width="10.1640625" customWidth="1" style="70" min="2045" max="2046"/>
    <col width="10" customWidth="1" style="70" min="2047" max="2047"/>
    <col width="10.33203125" customWidth="1" style="70" min="2048" max="2048"/>
    <col width="9.1640625" customWidth="1" style="70" min="2049" max="2059"/>
    <col width="11.33203125" customWidth="1" style="70" min="2060" max="2060"/>
    <col hidden="1" width="13" customWidth="1" style="70" min="2061" max="2081"/>
    <col width="9.1640625" customWidth="1" style="70" min="2082" max="2287"/>
    <col width="28.6640625" customWidth="1" style="70" min="2288" max="2288"/>
    <col width="9" bestFit="1" customWidth="1" style="70" min="2289" max="2289"/>
    <col width="5.33203125" customWidth="1" style="70" min="2290" max="2290"/>
    <col width="9" bestFit="1" customWidth="1" style="70" min="2291" max="2291"/>
    <col width="5.33203125" customWidth="1" style="70" min="2292" max="2292"/>
    <col width="9" bestFit="1" customWidth="1" style="70" min="2293" max="2293"/>
    <col width="5" customWidth="1" style="70" min="2294" max="2294"/>
    <col width="9" bestFit="1" customWidth="1" style="70" min="2295" max="2295"/>
    <col width="5.1640625" customWidth="1" style="70" min="2296" max="2296"/>
    <col width="9.1640625" customWidth="1" style="70" min="2297" max="2297"/>
    <col width="6" customWidth="1" style="70" min="2298" max="2298"/>
    <col width="9.1640625" customWidth="1" style="70" min="2299" max="2299"/>
    <col width="6" customWidth="1" style="70" min="2300" max="2300"/>
    <col width="10.1640625" customWidth="1" style="70" min="2301" max="2302"/>
    <col width="10" customWidth="1" style="70" min="2303" max="2303"/>
    <col width="10.33203125" customWidth="1" style="70" min="2304" max="2304"/>
    <col width="9.1640625" customWidth="1" style="70" min="2305" max="2315"/>
    <col width="11.33203125" customWidth="1" style="70" min="2316" max="2316"/>
    <col hidden="1" width="13" customWidth="1" style="70" min="2317" max="2337"/>
    <col width="9.1640625" customWidth="1" style="70" min="2338" max="2543"/>
    <col width="28.6640625" customWidth="1" style="70" min="2544" max="2544"/>
    <col width="9" bestFit="1" customWidth="1" style="70" min="2545" max="2545"/>
    <col width="5.33203125" customWidth="1" style="70" min="2546" max="2546"/>
    <col width="9" bestFit="1" customWidth="1" style="70" min="2547" max="2547"/>
    <col width="5.33203125" customWidth="1" style="70" min="2548" max="2548"/>
    <col width="9" bestFit="1" customWidth="1" style="70" min="2549" max="2549"/>
    <col width="5" customWidth="1" style="70" min="2550" max="2550"/>
    <col width="9" bestFit="1" customWidth="1" style="70" min="2551" max="2551"/>
    <col width="5.1640625" customWidth="1" style="70" min="2552" max="2552"/>
    <col width="9.1640625" customWidth="1" style="70" min="2553" max="2553"/>
    <col width="6" customWidth="1" style="70" min="2554" max="2554"/>
    <col width="9.1640625" customWidth="1" style="70" min="2555" max="2555"/>
    <col width="6" customWidth="1" style="70" min="2556" max="2556"/>
    <col width="10.1640625" customWidth="1" style="70" min="2557" max="2558"/>
    <col width="10" customWidth="1" style="70" min="2559" max="2559"/>
    <col width="10.33203125" customWidth="1" style="70" min="2560" max="2560"/>
    <col width="9.1640625" customWidth="1" style="70" min="2561" max="2571"/>
    <col width="11.33203125" customWidth="1" style="70" min="2572" max="2572"/>
    <col hidden="1" width="13" customWidth="1" style="70" min="2573" max="2593"/>
    <col width="9.1640625" customWidth="1" style="70" min="2594" max="2799"/>
    <col width="28.6640625" customWidth="1" style="70" min="2800" max="2800"/>
    <col width="9" bestFit="1" customWidth="1" style="70" min="2801" max="2801"/>
    <col width="5.33203125" customWidth="1" style="70" min="2802" max="2802"/>
    <col width="9" bestFit="1" customWidth="1" style="70" min="2803" max="2803"/>
    <col width="5.33203125" customWidth="1" style="70" min="2804" max="2804"/>
    <col width="9" bestFit="1" customWidth="1" style="70" min="2805" max="2805"/>
    <col width="5" customWidth="1" style="70" min="2806" max="2806"/>
    <col width="9" bestFit="1" customWidth="1" style="70" min="2807" max="2807"/>
    <col width="5.1640625" customWidth="1" style="70" min="2808" max="2808"/>
    <col width="9.1640625" customWidth="1" style="70" min="2809" max="2809"/>
    <col width="6" customWidth="1" style="70" min="2810" max="2810"/>
    <col width="9.1640625" customWidth="1" style="70" min="2811" max="2811"/>
    <col width="6" customWidth="1" style="70" min="2812" max="2812"/>
    <col width="10.1640625" customWidth="1" style="70" min="2813" max="2814"/>
    <col width="10" customWidth="1" style="70" min="2815" max="2815"/>
    <col width="10.33203125" customWidth="1" style="70" min="2816" max="2816"/>
    <col width="9.1640625" customWidth="1" style="70" min="2817" max="2827"/>
    <col width="11.33203125" customWidth="1" style="70" min="2828" max="2828"/>
    <col hidden="1" width="13" customWidth="1" style="70" min="2829" max="2849"/>
    <col width="9.1640625" customWidth="1" style="70" min="2850" max="3055"/>
    <col width="28.6640625" customWidth="1" style="70" min="3056" max="3056"/>
    <col width="9" bestFit="1" customWidth="1" style="70" min="3057" max="3057"/>
    <col width="5.33203125" customWidth="1" style="70" min="3058" max="3058"/>
    <col width="9" bestFit="1" customWidth="1" style="70" min="3059" max="3059"/>
    <col width="5.33203125" customWidth="1" style="70" min="3060" max="3060"/>
    <col width="9" bestFit="1" customWidth="1" style="70" min="3061" max="3061"/>
    <col width="5" customWidth="1" style="70" min="3062" max="3062"/>
    <col width="9" bestFit="1" customWidth="1" style="70" min="3063" max="3063"/>
    <col width="5.1640625" customWidth="1" style="70" min="3064" max="3064"/>
    <col width="9.1640625" customWidth="1" style="70" min="3065" max="3065"/>
    <col width="6" customWidth="1" style="70" min="3066" max="3066"/>
    <col width="9.1640625" customWidth="1" style="70" min="3067" max="3067"/>
    <col width="6" customWidth="1" style="70" min="3068" max="3068"/>
    <col width="10.1640625" customWidth="1" style="70" min="3069" max="3070"/>
    <col width="10" customWidth="1" style="70" min="3071" max="3071"/>
    <col width="10.33203125" customWidth="1" style="70" min="3072" max="3072"/>
    <col width="9.1640625" customWidth="1" style="70" min="3073" max="3083"/>
    <col width="11.33203125" customWidth="1" style="70" min="3084" max="3084"/>
    <col hidden="1" width="13" customWidth="1" style="70" min="3085" max="3105"/>
    <col width="9.1640625" customWidth="1" style="70" min="3106" max="3311"/>
    <col width="28.6640625" customWidth="1" style="70" min="3312" max="3312"/>
    <col width="9" bestFit="1" customWidth="1" style="70" min="3313" max="3313"/>
    <col width="5.33203125" customWidth="1" style="70" min="3314" max="3314"/>
    <col width="9" bestFit="1" customWidth="1" style="70" min="3315" max="3315"/>
    <col width="5.33203125" customWidth="1" style="70" min="3316" max="3316"/>
    <col width="9" bestFit="1" customWidth="1" style="70" min="3317" max="3317"/>
    <col width="5" customWidth="1" style="70" min="3318" max="3318"/>
    <col width="9" bestFit="1" customWidth="1" style="70" min="3319" max="3319"/>
    <col width="5.1640625" customWidth="1" style="70" min="3320" max="3320"/>
    <col width="9.1640625" customWidth="1" style="70" min="3321" max="3321"/>
    <col width="6" customWidth="1" style="70" min="3322" max="3322"/>
    <col width="9.1640625" customWidth="1" style="70" min="3323" max="3323"/>
    <col width="6" customWidth="1" style="70" min="3324" max="3324"/>
    <col width="10.1640625" customWidth="1" style="70" min="3325" max="3326"/>
    <col width="10" customWidth="1" style="70" min="3327" max="3327"/>
    <col width="10.33203125" customWidth="1" style="70" min="3328" max="3328"/>
    <col width="9.1640625" customWidth="1" style="70" min="3329" max="3339"/>
    <col width="11.33203125" customWidth="1" style="70" min="3340" max="3340"/>
    <col hidden="1" width="13" customWidth="1" style="70" min="3341" max="3361"/>
    <col width="9.1640625" customWidth="1" style="70" min="3362" max="3567"/>
    <col width="28.6640625" customWidth="1" style="70" min="3568" max="3568"/>
    <col width="9" bestFit="1" customWidth="1" style="70" min="3569" max="3569"/>
    <col width="5.33203125" customWidth="1" style="70" min="3570" max="3570"/>
    <col width="9" bestFit="1" customWidth="1" style="70" min="3571" max="3571"/>
    <col width="5.33203125" customWidth="1" style="70" min="3572" max="3572"/>
    <col width="9" bestFit="1" customWidth="1" style="70" min="3573" max="3573"/>
    <col width="5" customWidth="1" style="70" min="3574" max="3574"/>
    <col width="9" bestFit="1" customWidth="1" style="70" min="3575" max="3575"/>
    <col width="5.1640625" customWidth="1" style="70" min="3576" max="3576"/>
    <col width="9.1640625" customWidth="1" style="70" min="3577" max="3577"/>
    <col width="6" customWidth="1" style="70" min="3578" max="3578"/>
    <col width="9.1640625" customWidth="1" style="70" min="3579" max="3579"/>
    <col width="6" customWidth="1" style="70" min="3580" max="3580"/>
    <col width="10.1640625" customWidth="1" style="70" min="3581" max="3582"/>
    <col width="10" customWidth="1" style="70" min="3583" max="3583"/>
    <col width="10.33203125" customWidth="1" style="70" min="3584" max="3584"/>
    <col width="9.1640625" customWidth="1" style="70" min="3585" max="3595"/>
    <col width="11.33203125" customWidth="1" style="70" min="3596" max="3596"/>
    <col hidden="1" width="13" customWidth="1" style="70" min="3597" max="3617"/>
    <col width="9.1640625" customWidth="1" style="70" min="3618" max="3823"/>
    <col width="28.6640625" customWidth="1" style="70" min="3824" max="3824"/>
    <col width="9" bestFit="1" customWidth="1" style="70" min="3825" max="3825"/>
    <col width="5.33203125" customWidth="1" style="70" min="3826" max="3826"/>
    <col width="9" bestFit="1" customWidth="1" style="70" min="3827" max="3827"/>
    <col width="5.33203125" customWidth="1" style="70" min="3828" max="3828"/>
    <col width="9" bestFit="1" customWidth="1" style="70" min="3829" max="3829"/>
    <col width="5" customWidth="1" style="70" min="3830" max="3830"/>
    <col width="9" bestFit="1" customWidth="1" style="70" min="3831" max="3831"/>
    <col width="5.1640625" customWidth="1" style="70" min="3832" max="3832"/>
    <col width="9.1640625" customWidth="1" style="70" min="3833" max="3833"/>
    <col width="6" customWidth="1" style="70" min="3834" max="3834"/>
    <col width="9.1640625" customWidth="1" style="70" min="3835" max="3835"/>
    <col width="6" customWidth="1" style="70" min="3836" max="3836"/>
    <col width="10.1640625" customWidth="1" style="70" min="3837" max="3838"/>
    <col width="10" customWidth="1" style="70" min="3839" max="3839"/>
    <col width="10.33203125" customWidth="1" style="70" min="3840" max="3840"/>
    <col width="9.1640625" customWidth="1" style="70" min="3841" max="3851"/>
    <col width="11.33203125" customWidth="1" style="70" min="3852" max="3852"/>
    <col hidden="1" width="13" customWidth="1" style="70" min="3853" max="3873"/>
    <col width="9.1640625" customWidth="1" style="70" min="3874" max="4079"/>
    <col width="28.6640625" customWidth="1" style="70" min="4080" max="4080"/>
    <col width="9" bestFit="1" customWidth="1" style="70" min="4081" max="4081"/>
    <col width="5.33203125" customWidth="1" style="70" min="4082" max="4082"/>
    <col width="9" bestFit="1" customWidth="1" style="70" min="4083" max="4083"/>
    <col width="5.33203125" customWidth="1" style="70" min="4084" max="4084"/>
    <col width="9" bestFit="1" customWidth="1" style="70" min="4085" max="4085"/>
    <col width="5" customWidth="1" style="70" min="4086" max="4086"/>
    <col width="9" bestFit="1" customWidth="1" style="70" min="4087" max="4087"/>
    <col width="5.1640625" customWidth="1" style="70" min="4088" max="4088"/>
    <col width="9.1640625" customWidth="1" style="70" min="4089" max="4089"/>
    <col width="6" customWidth="1" style="70" min="4090" max="4090"/>
    <col width="9.1640625" customWidth="1" style="70" min="4091" max="4091"/>
    <col width="6" customWidth="1" style="70" min="4092" max="4092"/>
    <col width="10.1640625" customWidth="1" style="70" min="4093" max="4094"/>
    <col width="10" customWidth="1" style="70" min="4095" max="4095"/>
    <col width="10.33203125" customWidth="1" style="70" min="4096" max="4096"/>
    <col width="9.1640625" customWidth="1" style="70" min="4097" max="4107"/>
    <col width="11.33203125" customWidth="1" style="70" min="4108" max="4108"/>
    <col hidden="1" width="13" customWidth="1" style="70" min="4109" max="4129"/>
    <col width="9.1640625" customWidth="1" style="70" min="4130" max="4335"/>
    <col width="28.6640625" customWidth="1" style="70" min="4336" max="4336"/>
    <col width="9" bestFit="1" customWidth="1" style="70" min="4337" max="4337"/>
    <col width="5.33203125" customWidth="1" style="70" min="4338" max="4338"/>
    <col width="9" bestFit="1" customWidth="1" style="70" min="4339" max="4339"/>
    <col width="5.33203125" customWidth="1" style="70" min="4340" max="4340"/>
    <col width="9" bestFit="1" customWidth="1" style="70" min="4341" max="4341"/>
    <col width="5" customWidth="1" style="70" min="4342" max="4342"/>
    <col width="9" bestFit="1" customWidth="1" style="70" min="4343" max="4343"/>
    <col width="5.1640625" customWidth="1" style="70" min="4344" max="4344"/>
    <col width="9.1640625" customWidth="1" style="70" min="4345" max="4345"/>
    <col width="6" customWidth="1" style="70" min="4346" max="4346"/>
    <col width="9.1640625" customWidth="1" style="70" min="4347" max="4347"/>
    <col width="6" customWidth="1" style="70" min="4348" max="4348"/>
    <col width="10.1640625" customWidth="1" style="70" min="4349" max="4350"/>
    <col width="10" customWidth="1" style="70" min="4351" max="4351"/>
    <col width="10.33203125" customWidth="1" style="70" min="4352" max="4352"/>
    <col width="9.1640625" customWidth="1" style="70" min="4353" max="4363"/>
    <col width="11.33203125" customWidth="1" style="70" min="4364" max="4364"/>
    <col hidden="1" width="13" customWidth="1" style="70" min="4365" max="4385"/>
    <col width="9.1640625" customWidth="1" style="70" min="4386" max="4591"/>
    <col width="28.6640625" customWidth="1" style="70" min="4592" max="4592"/>
    <col width="9" bestFit="1" customWidth="1" style="70" min="4593" max="4593"/>
    <col width="5.33203125" customWidth="1" style="70" min="4594" max="4594"/>
    <col width="9" bestFit="1" customWidth="1" style="70" min="4595" max="4595"/>
    <col width="5.33203125" customWidth="1" style="70" min="4596" max="4596"/>
    <col width="9" bestFit="1" customWidth="1" style="70" min="4597" max="4597"/>
    <col width="5" customWidth="1" style="70" min="4598" max="4598"/>
    <col width="9" bestFit="1" customWidth="1" style="70" min="4599" max="4599"/>
    <col width="5.1640625" customWidth="1" style="70" min="4600" max="4600"/>
    <col width="9.1640625" customWidth="1" style="70" min="4601" max="4601"/>
    <col width="6" customWidth="1" style="70" min="4602" max="4602"/>
    <col width="9.1640625" customWidth="1" style="70" min="4603" max="4603"/>
    <col width="6" customWidth="1" style="70" min="4604" max="4604"/>
    <col width="10.1640625" customWidth="1" style="70" min="4605" max="4606"/>
    <col width="10" customWidth="1" style="70" min="4607" max="4607"/>
    <col width="10.33203125" customWidth="1" style="70" min="4608" max="4608"/>
    <col width="9.1640625" customWidth="1" style="70" min="4609" max="4619"/>
    <col width="11.33203125" customWidth="1" style="70" min="4620" max="4620"/>
    <col hidden="1" width="13" customWidth="1" style="70" min="4621" max="4641"/>
    <col width="9.1640625" customWidth="1" style="70" min="4642" max="4847"/>
    <col width="28.6640625" customWidth="1" style="70" min="4848" max="4848"/>
    <col width="9" bestFit="1" customWidth="1" style="70" min="4849" max="4849"/>
    <col width="5.33203125" customWidth="1" style="70" min="4850" max="4850"/>
    <col width="9" bestFit="1" customWidth="1" style="70" min="4851" max="4851"/>
    <col width="5.33203125" customWidth="1" style="70" min="4852" max="4852"/>
    <col width="9" bestFit="1" customWidth="1" style="70" min="4853" max="4853"/>
    <col width="5" customWidth="1" style="70" min="4854" max="4854"/>
    <col width="9" bestFit="1" customWidth="1" style="70" min="4855" max="4855"/>
    <col width="5.1640625" customWidth="1" style="70" min="4856" max="4856"/>
    <col width="9.1640625" customWidth="1" style="70" min="4857" max="4857"/>
    <col width="6" customWidth="1" style="70" min="4858" max="4858"/>
    <col width="9.1640625" customWidth="1" style="70" min="4859" max="4859"/>
    <col width="6" customWidth="1" style="70" min="4860" max="4860"/>
    <col width="10.1640625" customWidth="1" style="70" min="4861" max="4862"/>
    <col width="10" customWidth="1" style="70" min="4863" max="4863"/>
    <col width="10.33203125" customWidth="1" style="70" min="4864" max="4864"/>
    <col width="9.1640625" customWidth="1" style="70" min="4865" max="4875"/>
    <col width="11.33203125" customWidth="1" style="70" min="4876" max="4876"/>
    <col hidden="1" width="13" customWidth="1" style="70" min="4877" max="4897"/>
    <col width="9.1640625" customWidth="1" style="70" min="4898" max="5103"/>
    <col width="28.6640625" customWidth="1" style="70" min="5104" max="5104"/>
    <col width="9" bestFit="1" customWidth="1" style="70" min="5105" max="5105"/>
    <col width="5.33203125" customWidth="1" style="70" min="5106" max="5106"/>
    <col width="9" bestFit="1" customWidth="1" style="70" min="5107" max="5107"/>
    <col width="5.33203125" customWidth="1" style="70" min="5108" max="5108"/>
    <col width="9" bestFit="1" customWidth="1" style="70" min="5109" max="5109"/>
    <col width="5" customWidth="1" style="70" min="5110" max="5110"/>
    <col width="9" bestFit="1" customWidth="1" style="70" min="5111" max="5111"/>
    <col width="5.1640625" customWidth="1" style="70" min="5112" max="5112"/>
    <col width="9.1640625" customWidth="1" style="70" min="5113" max="5113"/>
    <col width="6" customWidth="1" style="70" min="5114" max="5114"/>
    <col width="9.1640625" customWidth="1" style="70" min="5115" max="5115"/>
    <col width="6" customWidth="1" style="70" min="5116" max="5116"/>
    <col width="10.1640625" customWidth="1" style="70" min="5117" max="5118"/>
    <col width="10" customWidth="1" style="70" min="5119" max="5119"/>
    <col width="10.33203125" customWidth="1" style="70" min="5120" max="5120"/>
    <col width="9.1640625" customWidth="1" style="70" min="5121" max="5131"/>
    <col width="11.33203125" customWidth="1" style="70" min="5132" max="5132"/>
    <col hidden="1" width="13" customWidth="1" style="70" min="5133" max="5153"/>
    <col width="9.1640625" customWidth="1" style="70" min="5154" max="5359"/>
    <col width="28.6640625" customWidth="1" style="70" min="5360" max="5360"/>
    <col width="9" bestFit="1" customWidth="1" style="70" min="5361" max="5361"/>
    <col width="5.33203125" customWidth="1" style="70" min="5362" max="5362"/>
    <col width="9" bestFit="1" customWidth="1" style="70" min="5363" max="5363"/>
    <col width="5.33203125" customWidth="1" style="70" min="5364" max="5364"/>
    <col width="9" bestFit="1" customWidth="1" style="70" min="5365" max="5365"/>
    <col width="5" customWidth="1" style="70" min="5366" max="5366"/>
    <col width="9" bestFit="1" customWidth="1" style="70" min="5367" max="5367"/>
    <col width="5.1640625" customWidth="1" style="70" min="5368" max="5368"/>
    <col width="9.1640625" customWidth="1" style="70" min="5369" max="5369"/>
    <col width="6" customWidth="1" style="70" min="5370" max="5370"/>
    <col width="9.1640625" customWidth="1" style="70" min="5371" max="5371"/>
    <col width="6" customWidth="1" style="70" min="5372" max="5372"/>
    <col width="10.1640625" customWidth="1" style="70" min="5373" max="5374"/>
    <col width="10" customWidth="1" style="70" min="5375" max="5375"/>
    <col width="10.33203125" customWidth="1" style="70" min="5376" max="5376"/>
    <col width="9.1640625" customWidth="1" style="70" min="5377" max="5387"/>
    <col width="11.33203125" customWidth="1" style="70" min="5388" max="5388"/>
    <col hidden="1" width="13" customWidth="1" style="70" min="5389" max="5409"/>
    <col width="9.1640625" customWidth="1" style="70" min="5410" max="5615"/>
    <col width="28.6640625" customWidth="1" style="70" min="5616" max="5616"/>
    <col width="9" bestFit="1" customWidth="1" style="70" min="5617" max="5617"/>
    <col width="5.33203125" customWidth="1" style="70" min="5618" max="5618"/>
    <col width="9" bestFit="1" customWidth="1" style="70" min="5619" max="5619"/>
    <col width="5.33203125" customWidth="1" style="70" min="5620" max="5620"/>
    <col width="9" bestFit="1" customWidth="1" style="70" min="5621" max="5621"/>
    <col width="5" customWidth="1" style="70" min="5622" max="5622"/>
    <col width="9" bestFit="1" customWidth="1" style="70" min="5623" max="5623"/>
    <col width="5.1640625" customWidth="1" style="70" min="5624" max="5624"/>
    <col width="9.1640625" customWidth="1" style="70" min="5625" max="5625"/>
    <col width="6" customWidth="1" style="70" min="5626" max="5626"/>
    <col width="9.1640625" customWidth="1" style="70" min="5627" max="5627"/>
    <col width="6" customWidth="1" style="70" min="5628" max="5628"/>
    <col width="10.1640625" customWidth="1" style="70" min="5629" max="5630"/>
    <col width="10" customWidth="1" style="70" min="5631" max="5631"/>
    <col width="10.33203125" customWidth="1" style="70" min="5632" max="5632"/>
    <col width="9.1640625" customWidth="1" style="70" min="5633" max="5643"/>
    <col width="11.33203125" customWidth="1" style="70" min="5644" max="5644"/>
    <col hidden="1" width="13" customWidth="1" style="70" min="5645" max="5665"/>
    <col width="9.1640625" customWidth="1" style="70" min="5666" max="5871"/>
    <col width="28.6640625" customWidth="1" style="70" min="5872" max="5872"/>
    <col width="9" bestFit="1" customWidth="1" style="70" min="5873" max="5873"/>
    <col width="5.33203125" customWidth="1" style="70" min="5874" max="5874"/>
    <col width="9" bestFit="1" customWidth="1" style="70" min="5875" max="5875"/>
    <col width="5.33203125" customWidth="1" style="70" min="5876" max="5876"/>
    <col width="9" bestFit="1" customWidth="1" style="70" min="5877" max="5877"/>
    <col width="5" customWidth="1" style="70" min="5878" max="5878"/>
    <col width="9" bestFit="1" customWidth="1" style="70" min="5879" max="5879"/>
    <col width="5.1640625" customWidth="1" style="70" min="5880" max="5880"/>
    <col width="9.1640625" customWidth="1" style="70" min="5881" max="5881"/>
    <col width="6" customWidth="1" style="70" min="5882" max="5882"/>
    <col width="9.1640625" customWidth="1" style="70" min="5883" max="5883"/>
    <col width="6" customWidth="1" style="70" min="5884" max="5884"/>
    <col width="10.1640625" customWidth="1" style="70" min="5885" max="5886"/>
    <col width="10" customWidth="1" style="70" min="5887" max="5887"/>
    <col width="10.33203125" customWidth="1" style="70" min="5888" max="5888"/>
    <col width="9.1640625" customWidth="1" style="70" min="5889" max="5899"/>
    <col width="11.33203125" customWidth="1" style="70" min="5900" max="5900"/>
    <col hidden="1" width="13" customWidth="1" style="70" min="5901" max="5921"/>
    <col width="9.1640625" customWidth="1" style="70" min="5922" max="6127"/>
    <col width="28.6640625" customWidth="1" style="70" min="6128" max="6128"/>
    <col width="9" bestFit="1" customWidth="1" style="70" min="6129" max="6129"/>
    <col width="5.33203125" customWidth="1" style="70" min="6130" max="6130"/>
    <col width="9" bestFit="1" customWidth="1" style="70" min="6131" max="6131"/>
    <col width="5.33203125" customWidth="1" style="70" min="6132" max="6132"/>
    <col width="9" bestFit="1" customWidth="1" style="70" min="6133" max="6133"/>
    <col width="5" customWidth="1" style="70" min="6134" max="6134"/>
    <col width="9" bestFit="1" customWidth="1" style="70" min="6135" max="6135"/>
    <col width="5.1640625" customWidth="1" style="70" min="6136" max="6136"/>
    <col width="9.1640625" customWidth="1" style="70" min="6137" max="6137"/>
    <col width="6" customWidth="1" style="70" min="6138" max="6138"/>
    <col width="9.1640625" customWidth="1" style="70" min="6139" max="6139"/>
    <col width="6" customWidth="1" style="70" min="6140" max="6140"/>
    <col width="10.1640625" customWidth="1" style="70" min="6141" max="6142"/>
    <col width="10" customWidth="1" style="70" min="6143" max="6143"/>
    <col width="10.33203125" customWidth="1" style="70" min="6144" max="6144"/>
    <col width="9.1640625" customWidth="1" style="70" min="6145" max="6155"/>
    <col width="11.33203125" customWidth="1" style="70" min="6156" max="6156"/>
    <col hidden="1" width="13" customWidth="1" style="70" min="6157" max="6177"/>
    <col width="9.1640625" customWidth="1" style="70" min="6178" max="6383"/>
    <col width="28.6640625" customWidth="1" style="70" min="6384" max="6384"/>
    <col width="9" bestFit="1" customWidth="1" style="70" min="6385" max="6385"/>
    <col width="5.33203125" customWidth="1" style="70" min="6386" max="6386"/>
    <col width="9" bestFit="1" customWidth="1" style="70" min="6387" max="6387"/>
    <col width="5.33203125" customWidth="1" style="70" min="6388" max="6388"/>
    <col width="9" bestFit="1" customWidth="1" style="70" min="6389" max="6389"/>
    <col width="5" customWidth="1" style="70" min="6390" max="6390"/>
    <col width="9" bestFit="1" customWidth="1" style="70" min="6391" max="6391"/>
    <col width="5.1640625" customWidth="1" style="70" min="6392" max="6392"/>
    <col width="9.1640625" customWidth="1" style="70" min="6393" max="6393"/>
    <col width="6" customWidth="1" style="70" min="6394" max="6394"/>
    <col width="9.1640625" customWidth="1" style="70" min="6395" max="6395"/>
    <col width="6" customWidth="1" style="70" min="6396" max="6396"/>
    <col width="10.1640625" customWidth="1" style="70" min="6397" max="6398"/>
    <col width="10" customWidth="1" style="70" min="6399" max="6399"/>
    <col width="10.33203125" customWidth="1" style="70" min="6400" max="6400"/>
    <col width="9.1640625" customWidth="1" style="70" min="6401" max="6411"/>
    <col width="11.33203125" customWidth="1" style="70" min="6412" max="6412"/>
    <col hidden="1" width="13" customWidth="1" style="70" min="6413" max="6433"/>
    <col width="9.1640625" customWidth="1" style="70" min="6434" max="6639"/>
    <col width="28.6640625" customWidth="1" style="70" min="6640" max="6640"/>
    <col width="9" bestFit="1" customWidth="1" style="70" min="6641" max="6641"/>
    <col width="5.33203125" customWidth="1" style="70" min="6642" max="6642"/>
    <col width="9" bestFit="1" customWidth="1" style="70" min="6643" max="6643"/>
    <col width="5.33203125" customWidth="1" style="70" min="6644" max="6644"/>
    <col width="9" bestFit="1" customWidth="1" style="70" min="6645" max="6645"/>
    <col width="5" customWidth="1" style="70" min="6646" max="6646"/>
    <col width="9" bestFit="1" customWidth="1" style="70" min="6647" max="6647"/>
    <col width="5.1640625" customWidth="1" style="70" min="6648" max="6648"/>
    <col width="9.1640625" customWidth="1" style="70" min="6649" max="6649"/>
    <col width="6" customWidth="1" style="70" min="6650" max="6650"/>
    <col width="9.1640625" customWidth="1" style="70" min="6651" max="6651"/>
    <col width="6" customWidth="1" style="70" min="6652" max="6652"/>
    <col width="10.1640625" customWidth="1" style="70" min="6653" max="6654"/>
    <col width="10" customWidth="1" style="70" min="6655" max="6655"/>
    <col width="10.33203125" customWidth="1" style="70" min="6656" max="6656"/>
    <col width="9.1640625" customWidth="1" style="70" min="6657" max="6667"/>
    <col width="11.33203125" customWidth="1" style="70" min="6668" max="6668"/>
    <col hidden="1" width="13" customWidth="1" style="70" min="6669" max="6689"/>
    <col width="9.1640625" customWidth="1" style="70" min="6690" max="6895"/>
    <col width="28.6640625" customWidth="1" style="70" min="6896" max="6896"/>
    <col width="9" bestFit="1" customWidth="1" style="70" min="6897" max="6897"/>
    <col width="5.33203125" customWidth="1" style="70" min="6898" max="6898"/>
    <col width="9" bestFit="1" customWidth="1" style="70" min="6899" max="6899"/>
    <col width="5.33203125" customWidth="1" style="70" min="6900" max="6900"/>
    <col width="9" bestFit="1" customWidth="1" style="70" min="6901" max="6901"/>
    <col width="5" customWidth="1" style="70" min="6902" max="6902"/>
    <col width="9" bestFit="1" customWidth="1" style="70" min="6903" max="6903"/>
    <col width="5.1640625" customWidth="1" style="70" min="6904" max="6904"/>
    <col width="9.1640625" customWidth="1" style="70" min="6905" max="6905"/>
    <col width="6" customWidth="1" style="70" min="6906" max="6906"/>
    <col width="9.1640625" customWidth="1" style="70" min="6907" max="6907"/>
    <col width="6" customWidth="1" style="70" min="6908" max="6908"/>
    <col width="10.1640625" customWidth="1" style="70" min="6909" max="6910"/>
    <col width="10" customWidth="1" style="70" min="6911" max="6911"/>
    <col width="10.33203125" customWidth="1" style="70" min="6912" max="6912"/>
    <col width="9.1640625" customWidth="1" style="70" min="6913" max="6923"/>
    <col width="11.33203125" customWidth="1" style="70" min="6924" max="6924"/>
    <col hidden="1" width="13" customWidth="1" style="70" min="6925" max="6945"/>
    <col width="9.1640625" customWidth="1" style="70" min="6946" max="7151"/>
    <col width="28.6640625" customWidth="1" style="70" min="7152" max="7152"/>
    <col width="9" bestFit="1" customWidth="1" style="70" min="7153" max="7153"/>
    <col width="5.33203125" customWidth="1" style="70" min="7154" max="7154"/>
    <col width="9" bestFit="1" customWidth="1" style="70" min="7155" max="7155"/>
    <col width="5.33203125" customWidth="1" style="70" min="7156" max="7156"/>
    <col width="9" bestFit="1" customWidth="1" style="70" min="7157" max="7157"/>
    <col width="5" customWidth="1" style="70" min="7158" max="7158"/>
    <col width="9" bestFit="1" customWidth="1" style="70" min="7159" max="7159"/>
    <col width="5.1640625" customWidth="1" style="70" min="7160" max="7160"/>
    <col width="9.1640625" customWidth="1" style="70" min="7161" max="7161"/>
    <col width="6" customWidth="1" style="70" min="7162" max="7162"/>
    <col width="9.1640625" customWidth="1" style="70" min="7163" max="7163"/>
    <col width="6" customWidth="1" style="70" min="7164" max="7164"/>
    <col width="10.1640625" customWidth="1" style="70" min="7165" max="7166"/>
    <col width="10" customWidth="1" style="70" min="7167" max="7167"/>
    <col width="10.33203125" customWidth="1" style="70" min="7168" max="7168"/>
    <col width="9.1640625" customWidth="1" style="70" min="7169" max="7179"/>
    <col width="11.33203125" customWidth="1" style="70" min="7180" max="7180"/>
    <col hidden="1" width="13" customWidth="1" style="70" min="7181" max="7201"/>
    <col width="9.1640625" customWidth="1" style="70" min="7202" max="7407"/>
    <col width="28.6640625" customWidth="1" style="70" min="7408" max="7408"/>
    <col width="9" bestFit="1" customWidth="1" style="70" min="7409" max="7409"/>
    <col width="5.33203125" customWidth="1" style="70" min="7410" max="7410"/>
    <col width="9" bestFit="1" customWidth="1" style="70" min="7411" max="7411"/>
    <col width="5.33203125" customWidth="1" style="70" min="7412" max="7412"/>
    <col width="9" bestFit="1" customWidth="1" style="70" min="7413" max="7413"/>
    <col width="5" customWidth="1" style="70" min="7414" max="7414"/>
    <col width="9" bestFit="1" customWidth="1" style="70" min="7415" max="7415"/>
    <col width="5.1640625" customWidth="1" style="70" min="7416" max="7416"/>
    <col width="9.1640625" customWidth="1" style="70" min="7417" max="7417"/>
    <col width="6" customWidth="1" style="70" min="7418" max="7418"/>
    <col width="9.1640625" customWidth="1" style="70" min="7419" max="7419"/>
    <col width="6" customWidth="1" style="70" min="7420" max="7420"/>
    <col width="10.1640625" customWidth="1" style="70" min="7421" max="7422"/>
    <col width="10" customWidth="1" style="70" min="7423" max="7423"/>
    <col width="10.33203125" customWidth="1" style="70" min="7424" max="7424"/>
    <col width="9.1640625" customWidth="1" style="70" min="7425" max="7435"/>
    <col width="11.33203125" customWidth="1" style="70" min="7436" max="7436"/>
    <col hidden="1" width="13" customWidth="1" style="70" min="7437" max="7457"/>
    <col width="9.1640625" customWidth="1" style="70" min="7458" max="7663"/>
    <col width="28.6640625" customWidth="1" style="70" min="7664" max="7664"/>
    <col width="9" bestFit="1" customWidth="1" style="70" min="7665" max="7665"/>
    <col width="5.33203125" customWidth="1" style="70" min="7666" max="7666"/>
    <col width="9" bestFit="1" customWidth="1" style="70" min="7667" max="7667"/>
    <col width="5.33203125" customWidth="1" style="70" min="7668" max="7668"/>
    <col width="9" bestFit="1" customWidth="1" style="70" min="7669" max="7669"/>
    <col width="5" customWidth="1" style="70" min="7670" max="7670"/>
    <col width="9" bestFit="1" customWidth="1" style="70" min="7671" max="7671"/>
    <col width="5.1640625" customWidth="1" style="70" min="7672" max="7672"/>
    <col width="9.1640625" customWidth="1" style="70" min="7673" max="7673"/>
    <col width="6" customWidth="1" style="70" min="7674" max="7674"/>
    <col width="9.1640625" customWidth="1" style="70" min="7675" max="7675"/>
    <col width="6" customWidth="1" style="70" min="7676" max="7676"/>
    <col width="10.1640625" customWidth="1" style="70" min="7677" max="7678"/>
    <col width="10" customWidth="1" style="70" min="7679" max="7679"/>
    <col width="10.33203125" customWidth="1" style="70" min="7680" max="7680"/>
    <col width="9.1640625" customWidth="1" style="70" min="7681" max="7691"/>
    <col width="11.33203125" customWidth="1" style="70" min="7692" max="7692"/>
    <col hidden="1" width="13" customWidth="1" style="70" min="7693" max="7713"/>
    <col width="9.1640625" customWidth="1" style="70" min="7714" max="7919"/>
    <col width="28.6640625" customWidth="1" style="70" min="7920" max="7920"/>
    <col width="9" bestFit="1" customWidth="1" style="70" min="7921" max="7921"/>
    <col width="5.33203125" customWidth="1" style="70" min="7922" max="7922"/>
    <col width="9" bestFit="1" customWidth="1" style="70" min="7923" max="7923"/>
    <col width="5.33203125" customWidth="1" style="70" min="7924" max="7924"/>
    <col width="9" bestFit="1" customWidth="1" style="70" min="7925" max="7925"/>
    <col width="5" customWidth="1" style="70" min="7926" max="7926"/>
    <col width="9" bestFit="1" customWidth="1" style="70" min="7927" max="7927"/>
    <col width="5.1640625" customWidth="1" style="70" min="7928" max="7928"/>
    <col width="9.1640625" customWidth="1" style="70" min="7929" max="7929"/>
    <col width="6" customWidth="1" style="70" min="7930" max="7930"/>
    <col width="9.1640625" customWidth="1" style="70" min="7931" max="7931"/>
    <col width="6" customWidth="1" style="70" min="7932" max="7932"/>
    <col width="10.1640625" customWidth="1" style="70" min="7933" max="7934"/>
    <col width="10" customWidth="1" style="70" min="7935" max="7935"/>
    <col width="10.33203125" customWidth="1" style="70" min="7936" max="7936"/>
    <col width="9.1640625" customWidth="1" style="70" min="7937" max="7947"/>
    <col width="11.33203125" customWidth="1" style="70" min="7948" max="7948"/>
    <col hidden="1" width="13" customWidth="1" style="70" min="7949" max="7969"/>
    <col width="9.1640625" customWidth="1" style="70" min="7970" max="8175"/>
    <col width="28.6640625" customWidth="1" style="70" min="8176" max="8176"/>
    <col width="9" bestFit="1" customWidth="1" style="70" min="8177" max="8177"/>
    <col width="5.33203125" customWidth="1" style="70" min="8178" max="8178"/>
    <col width="9" bestFit="1" customWidth="1" style="70" min="8179" max="8179"/>
    <col width="5.33203125" customWidth="1" style="70" min="8180" max="8180"/>
    <col width="9" bestFit="1" customWidth="1" style="70" min="8181" max="8181"/>
    <col width="5" customWidth="1" style="70" min="8182" max="8182"/>
    <col width="9" bestFit="1" customWidth="1" style="70" min="8183" max="8183"/>
    <col width="5.1640625" customWidth="1" style="70" min="8184" max="8184"/>
    <col width="9.1640625" customWidth="1" style="70" min="8185" max="8185"/>
    <col width="6" customWidth="1" style="70" min="8186" max="8186"/>
    <col width="9.1640625" customWidth="1" style="70" min="8187" max="8187"/>
    <col width="6" customWidth="1" style="70" min="8188" max="8188"/>
    <col width="10.1640625" customWidth="1" style="70" min="8189" max="8190"/>
    <col width="10" customWidth="1" style="70" min="8191" max="8191"/>
    <col width="10.33203125" customWidth="1" style="70" min="8192" max="8192"/>
    <col width="9.1640625" customWidth="1" style="70" min="8193" max="8203"/>
    <col width="11.33203125" customWidth="1" style="70" min="8204" max="8204"/>
    <col hidden="1" width="13" customWidth="1" style="70" min="8205" max="8225"/>
    <col width="9.1640625" customWidth="1" style="70" min="8226" max="8431"/>
    <col width="28.6640625" customWidth="1" style="70" min="8432" max="8432"/>
    <col width="9" bestFit="1" customWidth="1" style="70" min="8433" max="8433"/>
    <col width="5.33203125" customWidth="1" style="70" min="8434" max="8434"/>
    <col width="9" bestFit="1" customWidth="1" style="70" min="8435" max="8435"/>
    <col width="5.33203125" customWidth="1" style="70" min="8436" max="8436"/>
    <col width="9" bestFit="1" customWidth="1" style="70" min="8437" max="8437"/>
    <col width="5" customWidth="1" style="70" min="8438" max="8438"/>
    <col width="9" bestFit="1" customWidth="1" style="70" min="8439" max="8439"/>
    <col width="5.1640625" customWidth="1" style="70" min="8440" max="8440"/>
    <col width="9.1640625" customWidth="1" style="70" min="8441" max="8441"/>
    <col width="6" customWidth="1" style="70" min="8442" max="8442"/>
    <col width="9.1640625" customWidth="1" style="70" min="8443" max="8443"/>
    <col width="6" customWidth="1" style="70" min="8444" max="8444"/>
    <col width="10.1640625" customWidth="1" style="70" min="8445" max="8446"/>
    <col width="10" customWidth="1" style="70" min="8447" max="8447"/>
    <col width="10.33203125" customWidth="1" style="70" min="8448" max="8448"/>
    <col width="9.1640625" customWidth="1" style="70" min="8449" max="8459"/>
    <col width="11.33203125" customWidth="1" style="70" min="8460" max="8460"/>
    <col hidden="1" width="13" customWidth="1" style="70" min="8461" max="8481"/>
    <col width="9.1640625" customWidth="1" style="70" min="8482" max="8687"/>
    <col width="28.6640625" customWidth="1" style="70" min="8688" max="8688"/>
    <col width="9" bestFit="1" customWidth="1" style="70" min="8689" max="8689"/>
    <col width="5.33203125" customWidth="1" style="70" min="8690" max="8690"/>
    <col width="9" bestFit="1" customWidth="1" style="70" min="8691" max="8691"/>
    <col width="5.33203125" customWidth="1" style="70" min="8692" max="8692"/>
    <col width="9" bestFit="1" customWidth="1" style="70" min="8693" max="8693"/>
    <col width="5" customWidth="1" style="70" min="8694" max="8694"/>
    <col width="9" bestFit="1" customWidth="1" style="70" min="8695" max="8695"/>
    <col width="5.1640625" customWidth="1" style="70" min="8696" max="8696"/>
    <col width="9.1640625" customWidth="1" style="70" min="8697" max="8697"/>
    <col width="6" customWidth="1" style="70" min="8698" max="8698"/>
    <col width="9.1640625" customWidth="1" style="70" min="8699" max="8699"/>
    <col width="6" customWidth="1" style="70" min="8700" max="8700"/>
    <col width="10.1640625" customWidth="1" style="70" min="8701" max="8702"/>
    <col width="10" customWidth="1" style="70" min="8703" max="8703"/>
    <col width="10.33203125" customWidth="1" style="70" min="8704" max="8704"/>
    <col width="9.1640625" customWidth="1" style="70" min="8705" max="8715"/>
    <col width="11.33203125" customWidth="1" style="70" min="8716" max="8716"/>
    <col hidden="1" width="13" customWidth="1" style="70" min="8717" max="8737"/>
    <col width="9.1640625" customWidth="1" style="70" min="8738" max="8943"/>
    <col width="28.6640625" customWidth="1" style="70" min="8944" max="8944"/>
    <col width="9" bestFit="1" customWidth="1" style="70" min="8945" max="8945"/>
    <col width="5.33203125" customWidth="1" style="70" min="8946" max="8946"/>
    <col width="9" bestFit="1" customWidth="1" style="70" min="8947" max="8947"/>
    <col width="5.33203125" customWidth="1" style="70" min="8948" max="8948"/>
    <col width="9" bestFit="1" customWidth="1" style="70" min="8949" max="8949"/>
    <col width="5" customWidth="1" style="70" min="8950" max="8950"/>
    <col width="9" bestFit="1" customWidth="1" style="70" min="8951" max="8951"/>
    <col width="5.1640625" customWidth="1" style="70" min="8952" max="8952"/>
    <col width="9.1640625" customWidth="1" style="70" min="8953" max="8953"/>
    <col width="6" customWidth="1" style="70" min="8954" max="8954"/>
    <col width="9.1640625" customWidth="1" style="70" min="8955" max="8955"/>
    <col width="6" customWidth="1" style="70" min="8956" max="8956"/>
    <col width="10.1640625" customWidth="1" style="70" min="8957" max="8958"/>
    <col width="10" customWidth="1" style="70" min="8959" max="8959"/>
    <col width="10.33203125" customWidth="1" style="70" min="8960" max="8960"/>
    <col width="9.1640625" customWidth="1" style="70" min="8961" max="8971"/>
    <col width="11.33203125" customWidth="1" style="70" min="8972" max="8972"/>
    <col hidden="1" width="13" customWidth="1" style="70" min="8973" max="8993"/>
    <col width="9.1640625" customWidth="1" style="70" min="8994" max="9199"/>
    <col width="28.6640625" customWidth="1" style="70" min="9200" max="9200"/>
    <col width="9" bestFit="1" customWidth="1" style="70" min="9201" max="9201"/>
    <col width="5.33203125" customWidth="1" style="70" min="9202" max="9202"/>
    <col width="9" bestFit="1" customWidth="1" style="70" min="9203" max="9203"/>
    <col width="5.33203125" customWidth="1" style="70" min="9204" max="9204"/>
    <col width="9" bestFit="1" customWidth="1" style="70" min="9205" max="9205"/>
    <col width="5" customWidth="1" style="70" min="9206" max="9206"/>
    <col width="9" bestFit="1" customWidth="1" style="70" min="9207" max="9207"/>
    <col width="5.1640625" customWidth="1" style="70" min="9208" max="9208"/>
    <col width="9.1640625" customWidth="1" style="70" min="9209" max="9209"/>
    <col width="6" customWidth="1" style="70" min="9210" max="9210"/>
    <col width="9.1640625" customWidth="1" style="70" min="9211" max="9211"/>
    <col width="6" customWidth="1" style="70" min="9212" max="9212"/>
    <col width="10.1640625" customWidth="1" style="70" min="9213" max="9214"/>
    <col width="10" customWidth="1" style="70" min="9215" max="9215"/>
    <col width="10.33203125" customWidth="1" style="70" min="9216" max="9216"/>
    <col width="9.1640625" customWidth="1" style="70" min="9217" max="9227"/>
    <col width="11.33203125" customWidth="1" style="70" min="9228" max="9228"/>
    <col hidden="1" width="13" customWidth="1" style="70" min="9229" max="9249"/>
    <col width="9.1640625" customWidth="1" style="70" min="9250" max="9455"/>
    <col width="28.6640625" customWidth="1" style="70" min="9456" max="9456"/>
    <col width="9" bestFit="1" customWidth="1" style="70" min="9457" max="9457"/>
    <col width="5.33203125" customWidth="1" style="70" min="9458" max="9458"/>
    <col width="9" bestFit="1" customWidth="1" style="70" min="9459" max="9459"/>
    <col width="5.33203125" customWidth="1" style="70" min="9460" max="9460"/>
    <col width="9" bestFit="1" customWidth="1" style="70" min="9461" max="9461"/>
    <col width="5" customWidth="1" style="70" min="9462" max="9462"/>
    <col width="9" bestFit="1" customWidth="1" style="70" min="9463" max="9463"/>
    <col width="5.1640625" customWidth="1" style="70" min="9464" max="9464"/>
    <col width="9.1640625" customWidth="1" style="70" min="9465" max="9465"/>
    <col width="6" customWidth="1" style="70" min="9466" max="9466"/>
    <col width="9.1640625" customWidth="1" style="70" min="9467" max="9467"/>
    <col width="6" customWidth="1" style="70" min="9468" max="9468"/>
    <col width="10.1640625" customWidth="1" style="70" min="9469" max="9470"/>
    <col width="10" customWidth="1" style="70" min="9471" max="9471"/>
    <col width="10.33203125" customWidth="1" style="70" min="9472" max="9472"/>
    <col width="9.1640625" customWidth="1" style="70" min="9473" max="9483"/>
    <col width="11.33203125" customWidth="1" style="70" min="9484" max="9484"/>
    <col hidden="1" width="13" customWidth="1" style="70" min="9485" max="9505"/>
    <col width="9.1640625" customWidth="1" style="70" min="9506" max="9711"/>
    <col width="28.6640625" customWidth="1" style="70" min="9712" max="9712"/>
    <col width="9" bestFit="1" customWidth="1" style="70" min="9713" max="9713"/>
    <col width="5.33203125" customWidth="1" style="70" min="9714" max="9714"/>
    <col width="9" bestFit="1" customWidth="1" style="70" min="9715" max="9715"/>
    <col width="5.33203125" customWidth="1" style="70" min="9716" max="9716"/>
    <col width="9" bestFit="1" customWidth="1" style="70" min="9717" max="9717"/>
    <col width="5" customWidth="1" style="70" min="9718" max="9718"/>
    <col width="9" bestFit="1" customWidth="1" style="70" min="9719" max="9719"/>
    <col width="5.1640625" customWidth="1" style="70" min="9720" max="9720"/>
    <col width="9.1640625" customWidth="1" style="70" min="9721" max="9721"/>
    <col width="6" customWidth="1" style="70" min="9722" max="9722"/>
    <col width="9.1640625" customWidth="1" style="70" min="9723" max="9723"/>
    <col width="6" customWidth="1" style="70" min="9724" max="9724"/>
    <col width="10.1640625" customWidth="1" style="70" min="9725" max="9726"/>
    <col width="10" customWidth="1" style="70" min="9727" max="9727"/>
    <col width="10.33203125" customWidth="1" style="70" min="9728" max="9728"/>
    <col width="9.1640625" customWidth="1" style="70" min="9729" max="9739"/>
    <col width="11.33203125" customWidth="1" style="70" min="9740" max="9740"/>
    <col hidden="1" width="13" customWidth="1" style="70" min="9741" max="9761"/>
    <col width="9.1640625" customWidth="1" style="70" min="9762" max="9967"/>
    <col width="28.6640625" customWidth="1" style="70" min="9968" max="9968"/>
    <col width="9" bestFit="1" customWidth="1" style="70" min="9969" max="9969"/>
    <col width="5.33203125" customWidth="1" style="70" min="9970" max="9970"/>
    <col width="9" bestFit="1" customWidth="1" style="70" min="9971" max="9971"/>
    <col width="5.33203125" customWidth="1" style="70" min="9972" max="9972"/>
    <col width="9" bestFit="1" customWidth="1" style="70" min="9973" max="9973"/>
    <col width="5" customWidth="1" style="70" min="9974" max="9974"/>
    <col width="9" bestFit="1" customWidth="1" style="70" min="9975" max="9975"/>
    <col width="5.1640625" customWidth="1" style="70" min="9976" max="9976"/>
    <col width="9.1640625" customWidth="1" style="70" min="9977" max="9977"/>
    <col width="6" customWidth="1" style="70" min="9978" max="9978"/>
    <col width="9.1640625" customWidth="1" style="70" min="9979" max="9979"/>
    <col width="6" customWidth="1" style="70" min="9980" max="9980"/>
    <col width="10.1640625" customWidth="1" style="70" min="9981" max="9982"/>
    <col width="10" customWidth="1" style="70" min="9983" max="9983"/>
    <col width="10.33203125" customWidth="1" style="70" min="9984" max="9984"/>
    <col width="9.1640625" customWidth="1" style="70" min="9985" max="9995"/>
    <col width="11.33203125" customWidth="1" style="70" min="9996" max="9996"/>
    <col hidden="1" width="13" customWidth="1" style="70" min="9997" max="10017"/>
    <col width="9.1640625" customWidth="1" style="70" min="10018" max="10223"/>
    <col width="28.6640625" customWidth="1" style="70" min="10224" max="10224"/>
    <col width="9" bestFit="1" customWidth="1" style="70" min="10225" max="10225"/>
    <col width="5.33203125" customWidth="1" style="70" min="10226" max="10226"/>
    <col width="9" bestFit="1" customWidth="1" style="70" min="10227" max="10227"/>
    <col width="5.33203125" customWidth="1" style="70" min="10228" max="10228"/>
    <col width="9" bestFit="1" customWidth="1" style="70" min="10229" max="10229"/>
    <col width="5" customWidth="1" style="70" min="10230" max="10230"/>
    <col width="9" bestFit="1" customWidth="1" style="70" min="10231" max="10231"/>
    <col width="5.1640625" customWidth="1" style="70" min="10232" max="10232"/>
    <col width="9.1640625" customWidth="1" style="70" min="10233" max="10233"/>
    <col width="6" customWidth="1" style="70" min="10234" max="10234"/>
    <col width="9.1640625" customWidth="1" style="70" min="10235" max="10235"/>
    <col width="6" customWidth="1" style="70" min="10236" max="10236"/>
    <col width="10.1640625" customWidth="1" style="70" min="10237" max="10238"/>
    <col width="10" customWidth="1" style="70" min="10239" max="10239"/>
    <col width="10.33203125" customWidth="1" style="70" min="10240" max="10240"/>
    <col width="9.1640625" customWidth="1" style="70" min="10241" max="10251"/>
    <col width="11.33203125" customWidth="1" style="70" min="10252" max="10252"/>
    <col hidden="1" width="13" customWidth="1" style="70" min="10253" max="10273"/>
    <col width="9.1640625" customWidth="1" style="70" min="10274" max="10479"/>
    <col width="28.6640625" customWidth="1" style="70" min="10480" max="10480"/>
    <col width="9" bestFit="1" customWidth="1" style="70" min="10481" max="10481"/>
    <col width="5.33203125" customWidth="1" style="70" min="10482" max="10482"/>
    <col width="9" bestFit="1" customWidth="1" style="70" min="10483" max="10483"/>
    <col width="5.33203125" customWidth="1" style="70" min="10484" max="10484"/>
    <col width="9" bestFit="1" customWidth="1" style="70" min="10485" max="10485"/>
    <col width="5" customWidth="1" style="70" min="10486" max="10486"/>
    <col width="9" bestFit="1" customWidth="1" style="70" min="10487" max="10487"/>
    <col width="5.1640625" customWidth="1" style="70" min="10488" max="10488"/>
    <col width="9.1640625" customWidth="1" style="70" min="10489" max="10489"/>
    <col width="6" customWidth="1" style="70" min="10490" max="10490"/>
    <col width="9.1640625" customWidth="1" style="70" min="10491" max="10491"/>
    <col width="6" customWidth="1" style="70" min="10492" max="10492"/>
    <col width="10.1640625" customWidth="1" style="70" min="10493" max="10494"/>
    <col width="10" customWidth="1" style="70" min="10495" max="10495"/>
    <col width="10.33203125" customWidth="1" style="70" min="10496" max="10496"/>
    <col width="9.1640625" customWidth="1" style="70" min="10497" max="10507"/>
    <col width="11.33203125" customWidth="1" style="70" min="10508" max="10508"/>
    <col hidden="1" width="13" customWidth="1" style="70" min="10509" max="10529"/>
    <col width="9.1640625" customWidth="1" style="70" min="10530" max="10735"/>
    <col width="28.6640625" customWidth="1" style="70" min="10736" max="10736"/>
    <col width="9" bestFit="1" customWidth="1" style="70" min="10737" max="10737"/>
    <col width="5.33203125" customWidth="1" style="70" min="10738" max="10738"/>
    <col width="9" bestFit="1" customWidth="1" style="70" min="10739" max="10739"/>
    <col width="5.33203125" customWidth="1" style="70" min="10740" max="10740"/>
    <col width="9" bestFit="1" customWidth="1" style="70" min="10741" max="10741"/>
    <col width="5" customWidth="1" style="70" min="10742" max="10742"/>
    <col width="9" bestFit="1" customWidth="1" style="70" min="10743" max="10743"/>
    <col width="5.1640625" customWidth="1" style="70" min="10744" max="10744"/>
    <col width="9.1640625" customWidth="1" style="70" min="10745" max="10745"/>
    <col width="6" customWidth="1" style="70" min="10746" max="10746"/>
    <col width="9.1640625" customWidth="1" style="70" min="10747" max="10747"/>
    <col width="6" customWidth="1" style="70" min="10748" max="10748"/>
    <col width="10.1640625" customWidth="1" style="70" min="10749" max="10750"/>
    <col width="10" customWidth="1" style="70" min="10751" max="10751"/>
    <col width="10.33203125" customWidth="1" style="70" min="10752" max="10752"/>
    <col width="9.1640625" customWidth="1" style="70" min="10753" max="10763"/>
    <col width="11.33203125" customWidth="1" style="70" min="10764" max="10764"/>
    <col hidden="1" width="13" customWidth="1" style="70" min="10765" max="10785"/>
    <col width="9.1640625" customWidth="1" style="70" min="10786" max="10991"/>
    <col width="28.6640625" customWidth="1" style="70" min="10992" max="10992"/>
    <col width="9" bestFit="1" customWidth="1" style="70" min="10993" max="10993"/>
    <col width="5.33203125" customWidth="1" style="70" min="10994" max="10994"/>
    <col width="9" bestFit="1" customWidth="1" style="70" min="10995" max="10995"/>
    <col width="5.33203125" customWidth="1" style="70" min="10996" max="10996"/>
    <col width="9" bestFit="1" customWidth="1" style="70" min="10997" max="10997"/>
    <col width="5" customWidth="1" style="70" min="10998" max="10998"/>
    <col width="9" bestFit="1" customWidth="1" style="70" min="10999" max="10999"/>
    <col width="5.1640625" customWidth="1" style="70" min="11000" max="11000"/>
    <col width="9.1640625" customWidth="1" style="70" min="11001" max="11001"/>
    <col width="6" customWidth="1" style="70" min="11002" max="11002"/>
    <col width="9.1640625" customWidth="1" style="70" min="11003" max="11003"/>
    <col width="6" customWidth="1" style="70" min="11004" max="11004"/>
    <col width="10.1640625" customWidth="1" style="70" min="11005" max="11006"/>
    <col width="10" customWidth="1" style="70" min="11007" max="11007"/>
    <col width="10.33203125" customWidth="1" style="70" min="11008" max="11008"/>
    <col width="9.1640625" customWidth="1" style="70" min="11009" max="11019"/>
    <col width="11.33203125" customWidth="1" style="70" min="11020" max="11020"/>
    <col hidden="1" width="13" customWidth="1" style="70" min="11021" max="11041"/>
    <col width="9.1640625" customWidth="1" style="70" min="11042" max="11247"/>
    <col width="28.6640625" customWidth="1" style="70" min="11248" max="11248"/>
    <col width="9" bestFit="1" customWidth="1" style="70" min="11249" max="11249"/>
    <col width="5.33203125" customWidth="1" style="70" min="11250" max="11250"/>
    <col width="9" bestFit="1" customWidth="1" style="70" min="11251" max="11251"/>
    <col width="5.33203125" customWidth="1" style="70" min="11252" max="11252"/>
    <col width="9" bestFit="1" customWidth="1" style="70" min="11253" max="11253"/>
    <col width="5" customWidth="1" style="70" min="11254" max="11254"/>
    <col width="9" bestFit="1" customWidth="1" style="70" min="11255" max="11255"/>
    <col width="5.1640625" customWidth="1" style="70" min="11256" max="11256"/>
    <col width="9.1640625" customWidth="1" style="70" min="11257" max="11257"/>
    <col width="6" customWidth="1" style="70" min="11258" max="11258"/>
    <col width="9.1640625" customWidth="1" style="70" min="11259" max="11259"/>
    <col width="6" customWidth="1" style="70" min="11260" max="11260"/>
    <col width="10.1640625" customWidth="1" style="70" min="11261" max="11262"/>
    <col width="10" customWidth="1" style="70" min="11263" max="11263"/>
    <col width="10.33203125" customWidth="1" style="70" min="11264" max="11264"/>
    <col width="9.1640625" customWidth="1" style="70" min="11265" max="11275"/>
    <col width="11.33203125" customWidth="1" style="70" min="11276" max="11276"/>
    <col hidden="1" width="13" customWidth="1" style="70" min="11277" max="11297"/>
    <col width="9.1640625" customWidth="1" style="70" min="11298" max="11503"/>
    <col width="28.6640625" customWidth="1" style="70" min="11504" max="11504"/>
    <col width="9" bestFit="1" customWidth="1" style="70" min="11505" max="11505"/>
    <col width="5.33203125" customWidth="1" style="70" min="11506" max="11506"/>
    <col width="9" bestFit="1" customWidth="1" style="70" min="11507" max="11507"/>
    <col width="5.33203125" customWidth="1" style="70" min="11508" max="11508"/>
    <col width="9" bestFit="1" customWidth="1" style="70" min="11509" max="11509"/>
    <col width="5" customWidth="1" style="70" min="11510" max="11510"/>
    <col width="9" bestFit="1" customWidth="1" style="70" min="11511" max="11511"/>
    <col width="5.1640625" customWidth="1" style="70" min="11512" max="11512"/>
    <col width="9.1640625" customWidth="1" style="70" min="11513" max="11513"/>
    <col width="6" customWidth="1" style="70" min="11514" max="11514"/>
    <col width="9.1640625" customWidth="1" style="70" min="11515" max="11515"/>
    <col width="6" customWidth="1" style="70" min="11516" max="11516"/>
    <col width="10.1640625" customWidth="1" style="70" min="11517" max="11518"/>
    <col width="10" customWidth="1" style="70" min="11519" max="11519"/>
    <col width="10.33203125" customWidth="1" style="70" min="11520" max="11520"/>
    <col width="9.1640625" customWidth="1" style="70" min="11521" max="11531"/>
    <col width="11.33203125" customWidth="1" style="70" min="11532" max="11532"/>
    <col hidden="1" width="13" customWidth="1" style="70" min="11533" max="11553"/>
    <col width="9.1640625" customWidth="1" style="70" min="11554" max="11759"/>
    <col width="28.6640625" customWidth="1" style="70" min="11760" max="11760"/>
    <col width="9" bestFit="1" customWidth="1" style="70" min="11761" max="11761"/>
    <col width="5.33203125" customWidth="1" style="70" min="11762" max="11762"/>
    <col width="9" bestFit="1" customWidth="1" style="70" min="11763" max="11763"/>
    <col width="5.33203125" customWidth="1" style="70" min="11764" max="11764"/>
    <col width="9" bestFit="1" customWidth="1" style="70" min="11765" max="11765"/>
    <col width="5" customWidth="1" style="70" min="11766" max="11766"/>
    <col width="9" bestFit="1" customWidth="1" style="70" min="11767" max="11767"/>
    <col width="5.1640625" customWidth="1" style="70" min="11768" max="11768"/>
    <col width="9.1640625" customWidth="1" style="70" min="11769" max="11769"/>
    <col width="6" customWidth="1" style="70" min="11770" max="11770"/>
    <col width="9.1640625" customWidth="1" style="70" min="11771" max="11771"/>
    <col width="6" customWidth="1" style="70" min="11772" max="11772"/>
    <col width="10.1640625" customWidth="1" style="70" min="11773" max="11774"/>
    <col width="10" customWidth="1" style="70" min="11775" max="11775"/>
    <col width="10.33203125" customWidth="1" style="70" min="11776" max="11776"/>
    <col width="9.1640625" customWidth="1" style="70" min="11777" max="11787"/>
    <col width="11.33203125" customWidth="1" style="70" min="11788" max="11788"/>
    <col hidden="1" width="13" customWidth="1" style="70" min="11789" max="11809"/>
    <col width="9.1640625" customWidth="1" style="70" min="11810" max="12015"/>
    <col width="28.6640625" customWidth="1" style="70" min="12016" max="12016"/>
    <col width="9" bestFit="1" customWidth="1" style="70" min="12017" max="12017"/>
    <col width="5.33203125" customWidth="1" style="70" min="12018" max="12018"/>
    <col width="9" bestFit="1" customWidth="1" style="70" min="12019" max="12019"/>
    <col width="5.33203125" customWidth="1" style="70" min="12020" max="12020"/>
    <col width="9" bestFit="1" customWidth="1" style="70" min="12021" max="12021"/>
    <col width="5" customWidth="1" style="70" min="12022" max="12022"/>
    <col width="9" bestFit="1" customWidth="1" style="70" min="12023" max="12023"/>
    <col width="5.1640625" customWidth="1" style="70" min="12024" max="12024"/>
    <col width="9.1640625" customWidth="1" style="70" min="12025" max="12025"/>
    <col width="6" customWidth="1" style="70" min="12026" max="12026"/>
    <col width="9.1640625" customWidth="1" style="70" min="12027" max="12027"/>
    <col width="6" customWidth="1" style="70" min="12028" max="12028"/>
    <col width="10.1640625" customWidth="1" style="70" min="12029" max="12030"/>
    <col width="10" customWidth="1" style="70" min="12031" max="12031"/>
    <col width="10.33203125" customWidth="1" style="70" min="12032" max="12032"/>
    <col width="9.1640625" customWidth="1" style="70" min="12033" max="12043"/>
    <col width="11.33203125" customWidth="1" style="70" min="12044" max="12044"/>
    <col hidden="1" width="13" customWidth="1" style="70" min="12045" max="12065"/>
    <col width="9.1640625" customWidth="1" style="70" min="12066" max="12271"/>
    <col width="28.6640625" customWidth="1" style="70" min="12272" max="12272"/>
    <col width="9" bestFit="1" customWidth="1" style="70" min="12273" max="12273"/>
    <col width="5.33203125" customWidth="1" style="70" min="12274" max="12274"/>
    <col width="9" bestFit="1" customWidth="1" style="70" min="12275" max="12275"/>
    <col width="5.33203125" customWidth="1" style="70" min="12276" max="12276"/>
    <col width="9" bestFit="1" customWidth="1" style="70" min="12277" max="12277"/>
    <col width="5" customWidth="1" style="70" min="12278" max="12278"/>
    <col width="9" bestFit="1" customWidth="1" style="70" min="12279" max="12279"/>
    <col width="5.1640625" customWidth="1" style="70" min="12280" max="12280"/>
    <col width="9.1640625" customWidth="1" style="70" min="12281" max="12281"/>
    <col width="6" customWidth="1" style="70" min="12282" max="12282"/>
    <col width="9.1640625" customWidth="1" style="70" min="12283" max="12283"/>
    <col width="6" customWidth="1" style="70" min="12284" max="12284"/>
    <col width="10.1640625" customWidth="1" style="70" min="12285" max="12286"/>
    <col width="10" customWidth="1" style="70" min="12287" max="12287"/>
    <col width="10.33203125" customWidth="1" style="70" min="12288" max="12288"/>
    <col width="9.1640625" customWidth="1" style="70" min="12289" max="12299"/>
    <col width="11.33203125" customWidth="1" style="70" min="12300" max="12300"/>
    <col hidden="1" width="13" customWidth="1" style="70" min="12301" max="12321"/>
    <col width="9.1640625" customWidth="1" style="70" min="12322" max="12527"/>
    <col width="28.6640625" customWidth="1" style="70" min="12528" max="12528"/>
    <col width="9" bestFit="1" customWidth="1" style="70" min="12529" max="12529"/>
    <col width="5.33203125" customWidth="1" style="70" min="12530" max="12530"/>
    <col width="9" bestFit="1" customWidth="1" style="70" min="12531" max="12531"/>
    <col width="5.33203125" customWidth="1" style="70" min="12532" max="12532"/>
    <col width="9" bestFit="1" customWidth="1" style="70" min="12533" max="12533"/>
    <col width="5" customWidth="1" style="70" min="12534" max="12534"/>
    <col width="9" bestFit="1" customWidth="1" style="70" min="12535" max="12535"/>
    <col width="5.1640625" customWidth="1" style="70" min="12536" max="12536"/>
    <col width="9.1640625" customWidth="1" style="70" min="12537" max="12537"/>
    <col width="6" customWidth="1" style="70" min="12538" max="12538"/>
    <col width="9.1640625" customWidth="1" style="70" min="12539" max="12539"/>
    <col width="6" customWidth="1" style="70" min="12540" max="12540"/>
    <col width="10.1640625" customWidth="1" style="70" min="12541" max="12542"/>
    <col width="10" customWidth="1" style="70" min="12543" max="12543"/>
    <col width="10.33203125" customWidth="1" style="70" min="12544" max="12544"/>
    <col width="9.1640625" customWidth="1" style="70" min="12545" max="12555"/>
    <col width="11.33203125" customWidth="1" style="70" min="12556" max="12556"/>
    <col hidden="1" width="13" customWidth="1" style="70" min="12557" max="12577"/>
    <col width="9.1640625" customWidth="1" style="70" min="12578" max="12783"/>
    <col width="28.6640625" customWidth="1" style="70" min="12784" max="12784"/>
    <col width="9" bestFit="1" customWidth="1" style="70" min="12785" max="12785"/>
    <col width="5.33203125" customWidth="1" style="70" min="12786" max="12786"/>
    <col width="9" bestFit="1" customWidth="1" style="70" min="12787" max="12787"/>
    <col width="5.33203125" customWidth="1" style="70" min="12788" max="12788"/>
    <col width="9" bestFit="1" customWidth="1" style="70" min="12789" max="12789"/>
    <col width="5" customWidth="1" style="70" min="12790" max="12790"/>
    <col width="9" bestFit="1" customWidth="1" style="70" min="12791" max="12791"/>
    <col width="5.1640625" customWidth="1" style="70" min="12792" max="12792"/>
    <col width="9.1640625" customWidth="1" style="70" min="12793" max="12793"/>
    <col width="6" customWidth="1" style="70" min="12794" max="12794"/>
    <col width="9.1640625" customWidth="1" style="70" min="12795" max="12795"/>
    <col width="6" customWidth="1" style="70" min="12796" max="12796"/>
    <col width="10.1640625" customWidth="1" style="70" min="12797" max="12798"/>
    <col width="10" customWidth="1" style="70" min="12799" max="12799"/>
    <col width="10.33203125" customWidth="1" style="70" min="12800" max="12800"/>
    <col width="9.1640625" customWidth="1" style="70" min="12801" max="12811"/>
    <col width="11.33203125" customWidth="1" style="70" min="12812" max="12812"/>
    <col hidden="1" width="13" customWidth="1" style="70" min="12813" max="12833"/>
    <col width="9.1640625" customWidth="1" style="70" min="12834" max="13039"/>
    <col width="28.6640625" customWidth="1" style="70" min="13040" max="13040"/>
    <col width="9" bestFit="1" customWidth="1" style="70" min="13041" max="13041"/>
    <col width="5.33203125" customWidth="1" style="70" min="13042" max="13042"/>
    <col width="9" bestFit="1" customWidth="1" style="70" min="13043" max="13043"/>
    <col width="5.33203125" customWidth="1" style="70" min="13044" max="13044"/>
    <col width="9" bestFit="1" customWidth="1" style="70" min="13045" max="13045"/>
    <col width="5" customWidth="1" style="70" min="13046" max="13046"/>
    <col width="9" bestFit="1" customWidth="1" style="70" min="13047" max="13047"/>
    <col width="5.1640625" customWidth="1" style="70" min="13048" max="13048"/>
    <col width="9.1640625" customWidth="1" style="70" min="13049" max="13049"/>
    <col width="6" customWidth="1" style="70" min="13050" max="13050"/>
    <col width="9.1640625" customWidth="1" style="70" min="13051" max="13051"/>
    <col width="6" customWidth="1" style="70" min="13052" max="13052"/>
    <col width="10.1640625" customWidth="1" style="70" min="13053" max="13054"/>
    <col width="10" customWidth="1" style="70" min="13055" max="13055"/>
    <col width="10.33203125" customWidth="1" style="70" min="13056" max="13056"/>
    <col width="9.1640625" customWidth="1" style="70" min="13057" max="13067"/>
    <col width="11.33203125" customWidth="1" style="70" min="13068" max="13068"/>
    <col hidden="1" width="13" customWidth="1" style="70" min="13069" max="13089"/>
    <col width="9.1640625" customWidth="1" style="70" min="13090" max="13295"/>
    <col width="28.6640625" customWidth="1" style="70" min="13296" max="13296"/>
    <col width="9" bestFit="1" customWidth="1" style="70" min="13297" max="13297"/>
    <col width="5.33203125" customWidth="1" style="70" min="13298" max="13298"/>
    <col width="9" bestFit="1" customWidth="1" style="70" min="13299" max="13299"/>
    <col width="5.33203125" customWidth="1" style="70" min="13300" max="13300"/>
    <col width="9" bestFit="1" customWidth="1" style="70" min="13301" max="13301"/>
    <col width="5" customWidth="1" style="70" min="13302" max="13302"/>
    <col width="9" bestFit="1" customWidth="1" style="70" min="13303" max="13303"/>
    <col width="5.1640625" customWidth="1" style="70" min="13304" max="13304"/>
    <col width="9.1640625" customWidth="1" style="70" min="13305" max="13305"/>
    <col width="6" customWidth="1" style="70" min="13306" max="13306"/>
    <col width="9.1640625" customWidth="1" style="70" min="13307" max="13307"/>
    <col width="6" customWidth="1" style="70" min="13308" max="13308"/>
    <col width="10.1640625" customWidth="1" style="70" min="13309" max="13310"/>
    <col width="10" customWidth="1" style="70" min="13311" max="13311"/>
    <col width="10.33203125" customWidth="1" style="70" min="13312" max="13312"/>
    <col width="9.1640625" customWidth="1" style="70" min="13313" max="13323"/>
    <col width="11.33203125" customWidth="1" style="70" min="13324" max="13324"/>
    <col hidden="1" width="13" customWidth="1" style="70" min="13325" max="13345"/>
    <col width="9.1640625" customWidth="1" style="70" min="13346" max="13551"/>
    <col width="28.6640625" customWidth="1" style="70" min="13552" max="13552"/>
    <col width="9" bestFit="1" customWidth="1" style="70" min="13553" max="13553"/>
    <col width="5.33203125" customWidth="1" style="70" min="13554" max="13554"/>
    <col width="9" bestFit="1" customWidth="1" style="70" min="13555" max="13555"/>
    <col width="5.33203125" customWidth="1" style="70" min="13556" max="13556"/>
    <col width="9" bestFit="1" customWidth="1" style="70" min="13557" max="13557"/>
    <col width="5" customWidth="1" style="70" min="13558" max="13558"/>
    <col width="9" bestFit="1" customWidth="1" style="70" min="13559" max="13559"/>
    <col width="5.1640625" customWidth="1" style="70" min="13560" max="13560"/>
    <col width="9.1640625" customWidth="1" style="70" min="13561" max="13561"/>
    <col width="6" customWidth="1" style="70" min="13562" max="13562"/>
    <col width="9.1640625" customWidth="1" style="70" min="13563" max="13563"/>
    <col width="6" customWidth="1" style="70" min="13564" max="13564"/>
    <col width="10.1640625" customWidth="1" style="70" min="13565" max="13566"/>
    <col width="10" customWidth="1" style="70" min="13567" max="13567"/>
    <col width="10.33203125" customWidth="1" style="70" min="13568" max="13568"/>
    <col width="9.1640625" customWidth="1" style="70" min="13569" max="13579"/>
    <col width="11.33203125" customWidth="1" style="70" min="13580" max="13580"/>
    <col hidden="1" width="13" customWidth="1" style="70" min="13581" max="13601"/>
    <col width="9.1640625" customWidth="1" style="70" min="13602" max="13807"/>
    <col width="28.6640625" customWidth="1" style="70" min="13808" max="13808"/>
    <col width="9" bestFit="1" customWidth="1" style="70" min="13809" max="13809"/>
    <col width="5.33203125" customWidth="1" style="70" min="13810" max="13810"/>
    <col width="9" bestFit="1" customWidth="1" style="70" min="13811" max="13811"/>
    <col width="5.33203125" customWidth="1" style="70" min="13812" max="13812"/>
    <col width="9" bestFit="1" customWidth="1" style="70" min="13813" max="13813"/>
    <col width="5" customWidth="1" style="70" min="13814" max="13814"/>
    <col width="9" bestFit="1" customWidth="1" style="70" min="13815" max="13815"/>
    <col width="5.1640625" customWidth="1" style="70" min="13816" max="13816"/>
    <col width="9.1640625" customWidth="1" style="70" min="13817" max="13817"/>
    <col width="6" customWidth="1" style="70" min="13818" max="13818"/>
    <col width="9.1640625" customWidth="1" style="70" min="13819" max="13819"/>
    <col width="6" customWidth="1" style="70" min="13820" max="13820"/>
    <col width="10.1640625" customWidth="1" style="70" min="13821" max="13822"/>
    <col width="10" customWidth="1" style="70" min="13823" max="13823"/>
    <col width="10.33203125" customWidth="1" style="70" min="13824" max="13824"/>
    <col width="9.1640625" customWidth="1" style="70" min="13825" max="13835"/>
    <col width="11.33203125" customWidth="1" style="70" min="13836" max="13836"/>
    <col hidden="1" width="13" customWidth="1" style="70" min="13837" max="13857"/>
    <col width="9.1640625" customWidth="1" style="70" min="13858" max="14063"/>
    <col width="28.6640625" customWidth="1" style="70" min="14064" max="14064"/>
    <col width="9" bestFit="1" customWidth="1" style="70" min="14065" max="14065"/>
    <col width="5.33203125" customWidth="1" style="70" min="14066" max="14066"/>
    <col width="9" bestFit="1" customWidth="1" style="70" min="14067" max="14067"/>
    <col width="5.33203125" customWidth="1" style="70" min="14068" max="14068"/>
    <col width="9" bestFit="1" customWidth="1" style="70" min="14069" max="14069"/>
    <col width="5" customWidth="1" style="70" min="14070" max="14070"/>
    <col width="9" bestFit="1" customWidth="1" style="70" min="14071" max="14071"/>
    <col width="5.1640625" customWidth="1" style="70" min="14072" max="14072"/>
    <col width="9.1640625" customWidth="1" style="70" min="14073" max="14073"/>
    <col width="6" customWidth="1" style="70" min="14074" max="14074"/>
    <col width="9.1640625" customWidth="1" style="70" min="14075" max="14075"/>
    <col width="6" customWidth="1" style="70" min="14076" max="14076"/>
    <col width="10.1640625" customWidth="1" style="70" min="14077" max="14078"/>
    <col width="10" customWidth="1" style="70" min="14079" max="14079"/>
    <col width="10.33203125" customWidth="1" style="70" min="14080" max="14080"/>
    <col width="9.1640625" customWidth="1" style="70" min="14081" max="14091"/>
    <col width="11.33203125" customWidth="1" style="70" min="14092" max="14092"/>
    <col hidden="1" width="13" customWidth="1" style="70" min="14093" max="14113"/>
    <col width="9.1640625" customWidth="1" style="70" min="14114" max="14319"/>
    <col width="28.6640625" customWidth="1" style="70" min="14320" max="14320"/>
    <col width="9" bestFit="1" customWidth="1" style="70" min="14321" max="14321"/>
    <col width="5.33203125" customWidth="1" style="70" min="14322" max="14322"/>
    <col width="9" bestFit="1" customWidth="1" style="70" min="14323" max="14323"/>
    <col width="5.33203125" customWidth="1" style="70" min="14324" max="14324"/>
    <col width="9" bestFit="1" customWidth="1" style="70" min="14325" max="14325"/>
    <col width="5" customWidth="1" style="70" min="14326" max="14326"/>
    <col width="9" bestFit="1" customWidth="1" style="70" min="14327" max="14327"/>
    <col width="5.1640625" customWidth="1" style="70" min="14328" max="14328"/>
    <col width="9.1640625" customWidth="1" style="70" min="14329" max="14329"/>
    <col width="6" customWidth="1" style="70" min="14330" max="14330"/>
    <col width="9.1640625" customWidth="1" style="70" min="14331" max="14331"/>
    <col width="6" customWidth="1" style="70" min="14332" max="14332"/>
    <col width="10.1640625" customWidth="1" style="70" min="14333" max="14334"/>
    <col width="10" customWidth="1" style="70" min="14335" max="14335"/>
    <col width="10.33203125" customWidth="1" style="70" min="14336" max="14336"/>
    <col width="9.1640625" customWidth="1" style="70" min="14337" max="14347"/>
    <col width="11.33203125" customWidth="1" style="70" min="14348" max="14348"/>
    <col hidden="1" width="13" customWidth="1" style="70" min="14349" max="14369"/>
    <col width="9.1640625" customWidth="1" style="70" min="14370" max="14575"/>
    <col width="28.6640625" customWidth="1" style="70" min="14576" max="14576"/>
    <col width="9" bestFit="1" customWidth="1" style="70" min="14577" max="14577"/>
    <col width="5.33203125" customWidth="1" style="70" min="14578" max="14578"/>
    <col width="9" bestFit="1" customWidth="1" style="70" min="14579" max="14579"/>
    <col width="5.33203125" customWidth="1" style="70" min="14580" max="14580"/>
    <col width="9" bestFit="1" customWidth="1" style="70" min="14581" max="14581"/>
    <col width="5" customWidth="1" style="70" min="14582" max="14582"/>
    <col width="9" bestFit="1" customWidth="1" style="70" min="14583" max="14583"/>
    <col width="5.1640625" customWidth="1" style="70" min="14584" max="14584"/>
    <col width="9.1640625" customWidth="1" style="70" min="14585" max="14585"/>
    <col width="6" customWidth="1" style="70" min="14586" max="14586"/>
    <col width="9.1640625" customWidth="1" style="70" min="14587" max="14587"/>
    <col width="6" customWidth="1" style="70" min="14588" max="14588"/>
    <col width="10.1640625" customWidth="1" style="70" min="14589" max="14590"/>
    <col width="10" customWidth="1" style="70" min="14591" max="14591"/>
    <col width="10.33203125" customWidth="1" style="70" min="14592" max="14592"/>
    <col width="9.1640625" customWidth="1" style="70" min="14593" max="14603"/>
    <col width="11.33203125" customWidth="1" style="70" min="14604" max="14604"/>
    <col hidden="1" width="13" customWidth="1" style="70" min="14605" max="14625"/>
    <col width="9.1640625" customWidth="1" style="70" min="14626" max="14831"/>
    <col width="28.6640625" customWidth="1" style="70" min="14832" max="14832"/>
    <col width="9" bestFit="1" customWidth="1" style="70" min="14833" max="14833"/>
    <col width="5.33203125" customWidth="1" style="70" min="14834" max="14834"/>
    <col width="9" bestFit="1" customWidth="1" style="70" min="14835" max="14835"/>
    <col width="5.33203125" customWidth="1" style="70" min="14836" max="14836"/>
    <col width="9" bestFit="1" customWidth="1" style="70" min="14837" max="14837"/>
    <col width="5" customWidth="1" style="70" min="14838" max="14838"/>
    <col width="9" bestFit="1" customWidth="1" style="70" min="14839" max="14839"/>
    <col width="5.1640625" customWidth="1" style="70" min="14840" max="14840"/>
    <col width="9.1640625" customWidth="1" style="70" min="14841" max="14841"/>
    <col width="6" customWidth="1" style="70" min="14842" max="14842"/>
    <col width="9.1640625" customWidth="1" style="70" min="14843" max="14843"/>
    <col width="6" customWidth="1" style="70" min="14844" max="14844"/>
    <col width="10.1640625" customWidth="1" style="70" min="14845" max="14846"/>
    <col width="10" customWidth="1" style="70" min="14847" max="14847"/>
    <col width="10.33203125" customWidth="1" style="70" min="14848" max="14848"/>
    <col width="9.1640625" customWidth="1" style="70" min="14849" max="14859"/>
    <col width="11.33203125" customWidth="1" style="70" min="14860" max="14860"/>
    <col hidden="1" width="13" customWidth="1" style="70" min="14861" max="14881"/>
    <col width="9.1640625" customWidth="1" style="70" min="14882" max="15087"/>
    <col width="28.6640625" customWidth="1" style="70" min="15088" max="15088"/>
    <col width="9" bestFit="1" customWidth="1" style="70" min="15089" max="15089"/>
    <col width="5.33203125" customWidth="1" style="70" min="15090" max="15090"/>
    <col width="9" bestFit="1" customWidth="1" style="70" min="15091" max="15091"/>
    <col width="5.33203125" customWidth="1" style="70" min="15092" max="15092"/>
    <col width="9" bestFit="1" customWidth="1" style="70" min="15093" max="15093"/>
    <col width="5" customWidth="1" style="70" min="15094" max="15094"/>
    <col width="9" bestFit="1" customWidth="1" style="70" min="15095" max="15095"/>
    <col width="5.1640625" customWidth="1" style="70" min="15096" max="15096"/>
    <col width="9.1640625" customWidth="1" style="70" min="15097" max="15097"/>
    <col width="6" customWidth="1" style="70" min="15098" max="15098"/>
    <col width="9.1640625" customWidth="1" style="70" min="15099" max="15099"/>
    <col width="6" customWidth="1" style="70" min="15100" max="15100"/>
    <col width="10.1640625" customWidth="1" style="70" min="15101" max="15102"/>
    <col width="10" customWidth="1" style="70" min="15103" max="15103"/>
    <col width="10.33203125" customWidth="1" style="70" min="15104" max="15104"/>
    <col width="9.1640625" customWidth="1" style="70" min="15105" max="15115"/>
    <col width="11.33203125" customWidth="1" style="70" min="15116" max="15116"/>
    <col hidden="1" width="13" customWidth="1" style="70" min="15117" max="15137"/>
    <col width="9.1640625" customWidth="1" style="70" min="15138" max="15343"/>
    <col width="28.6640625" customWidth="1" style="70" min="15344" max="15344"/>
    <col width="9" bestFit="1" customWidth="1" style="70" min="15345" max="15345"/>
    <col width="5.33203125" customWidth="1" style="70" min="15346" max="15346"/>
    <col width="9" bestFit="1" customWidth="1" style="70" min="15347" max="15347"/>
    <col width="5.33203125" customWidth="1" style="70" min="15348" max="15348"/>
    <col width="9" bestFit="1" customWidth="1" style="70" min="15349" max="15349"/>
    <col width="5" customWidth="1" style="70" min="15350" max="15350"/>
    <col width="9" bestFit="1" customWidth="1" style="70" min="15351" max="15351"/>
    <col width="5.1640625" customWidth="1" style="70" min="15352" max="15352"/>
    <col width="9.1640625" customWidth="1" style="70" min="15353" max="15353"/>
    <col width="6" customWidth="1" style="70" min="15354" max="15354"/>
    <col width="9.1640625" customWidth="1" style="70" min="15355" max="15355"/>
    <col width="6" customWidth="1" style="70" min="15356" max="15356"/>
    <col width="10.1640625" customWidth="1" style="70" min="15357" max="15358"/>
    <col width="10" customWidth="1" style="70" min="15359" max="15359"/>
    <col width="10.33203125" customWidth="1" style="70" min="15360" max="15360"/>
    <col width="9.1640625" customWidth="1" style="70" min="15361" max="15371"/>
    <col width="11.33203125" customWidth="1" style="70" min="15372" max="15372"/>
    <col hidden="1" width="13" customWidth="1" style="70" min="15373" max="15393"/>
    <col width="9.1640625" customWidth="1" style="70" min="15394" max="15599"/>
    <col width="28.6640625" customWidth="1" style="70" min="15600" max="15600"/>
    <col width="9" bestFit="1" customWidth="1" style="70" min="15601" max="15601"/>
    <col width="5.33203125" customWidth="1" style="70" min="15602" max="15602"/>
    <col width="9" bestFit="1" customWidth="1" style="70" min="15603" max="15603"/>
    <col width="5.33203125" customWidth="1" style="70" min="15604" max="15604"/>
    <col width="9" bestFit="1" customWidth="1" style="70" min="15605" max="15605"/>
    <col width="5" customWidth="1" style="70" min="15606" max="15606"/>
    <col width="9" bestFit="1" customWidth="1" style="70" min="15607" max="15607"/>
    <col width="5.1640625" customWidth="1" style="70" min="15608" max="15608"/>
    <col width="9.1640625" customWidth="1" style="70" min="15609" max="15609"/>
    <col width="6" customWidth="1" style="70" min="15610" max="15610"/>
    <col width="9.1640625" customWidth="1" style="70" min="15611" max="15611"/>
    <col width="6" customWidth="1" style="70" min="15612" max="15612"/>
    <col width="10.1640625" customWidth="1" style="70" min="15613" max="15614"/>
    <col width="10" customWidth="1" style="70" min="15615" max="15615"/>
    <col width="10.33203125" customWidth="1" style="70" min="15616" max="15616"/>
    <col width="9.1640625" customWidth="1" style="70" min="15617" max="15627"/>
    <col width="11.33203125" customWidth="1" style="70" min="15628" max="15628"/>
    <col hidden="1" width="13" customWidth="1" style="70" min="15629" max="15649"/>
    <col width="9.1640625" customWidth="1" style="70" min="15650" max="15855"/>
    <col width="28.6640625" customWidth="1" style="70" min="15856" max="15856"/>
    <col width="9" bestFit="1" customWidth="1" style="70" min="15857" max="15857"/>
    <col width="5.33203125" customWidth="1" style="70" min="15858" max="15858"/>
    <col width="9" bestFit="1" customWidth="1" style="70" min="15859" max="15859"/>
    <col width="5.33203125" customWidth="1" style="70" min="15860" max="15860"/>
    <col width="9" bestFit="1" customWidth="1" style="70" min="15861" max="15861"/>
    <col width="5" customWidth="1" style="70" min="15862" max="15862"/>
    <col width="9" bestFit="1" customWidth="1" style="70" min="15863" max="15863"/>
    <col width="5.1640625" customWidth="1" style="70" min="15864" max="15864"/>
    <col width="9.1640625" customWidth="1" style="70" min="15865" max="15865"/>
    <col width="6" customWidth="1" style="70" min="15866" max="15866"/>
    <col width="9.1640625" customWidth="1" style="70" min="15867" max="15867"/>
    <col width="6" customWidth="1" style="70" min="15868" max="15868"/>
    <col width="10.1640625" customWidth="1" style="70" min="15869" max="15870"/>
    <col width="10" customWidth="1" style="70" min="15871" max="15871"/>
    <col width="10.33203125" customWidth="1" style="70" min="15872" max="15872"/>
    <col width="9.1640625" customWidth="1" style="70" min="15873" max="15883"/>
    <col width="11.33203125" customWidth="1" style="70" min="15884" max="15884"/>
    <col hidden="1" width="13" customWidth="1" style="70" min="15885" max="15905"/>
    <col width="9.1640625" customWidth="1" style="70" min="15906" max="16111"/>
    <col width="28.6640625" customWidth="1" style="70" min="16112" max="16112"/>
    <col width="9" bestFit="1" customWidth="1" style="70" min="16113" max="16113"/>
    <col width="5.33203125" customWidth="1" style="70" min="16114" max="16114"/>
    <col width="9" bestFit="1" customWidth="1" style="70" min="16115" max="16115"/>
    <col width="5.33203125" customWidth="1" style="70" min="16116" max="16116"/>
    <col width="9" bestFit="1" customWidth="1" style="70" min="16117" max="16117"/>
    <col width="5" customWidth="1" style="70" min="16118" max="16118"/>
    <col width="9" bestFit="1" customWidth="1" style="70" min="16119" max="16119"/>
    <col width="5.1640625" customWidth="1" style="70" min="16120" max="16120"/>
    <col width="9.1640625" customWidth="1" style="70" min="16121" max="16121"/>
    <col width="6" customWidth="1" style="70" min="16122" max="16122"/>
    <col width="9.1640625" customWidth="1" style="70" min="16123" max="16123"/>
    <col width="6" customWidth="1" style="70" min="16124" max="16124"/>
    <col width="10.1640625" customWidth="1" style="70" min="16125" max="16126"/>
    <col width="10" customWidth="1" style="70" min="16127" max="16127"/>
    <col width="10.33203125" customWidth="1" style="70" min="16128" max="16128"/>
    <col width="9.1640625" customWidth="1" style="70" min="16129" max="16139"/>
    <col width="11.33203125" customWidth="1" style="70" min="16140" max="16140"/>
    <col hidden="1" width="13" customWidth="1" style="70" min="16141" max="16161"/>
    <col width="9.1640625" customWidth="1" style="70" min="16162" max="16384"/>
  </cols>
  <sheetData>
    <row r="1">
      <c r="AG1" s="14" t="inlineStr">
        <is>
          <t>Add column</t>
        </is>
      </c>
      <c r="AH1" s="90" t="inlineStr">
        <is>
          <t>To modify</t>
        </is>
      </c>
    </row>
    <row r="2">
      <c r="B2" s="30" t="n"/>
    </row>
    <row r="3" ht="16" customHeight="1" s="65" thickBot="1">
      <c r="C3" s="11" t="n"/>
      <c r="D3" s="11" t="n"/>
      <c r="E3" s="11" t="n"/>
      <c r="F3" s="11" t="n"/>
      <c r="G3" s="11" t="n"/>
      <c r="H3" s="11" t="n"/>
      <c r="I3" s="11" t="n"/>
      <c r="J3" s="11" t="n"/>
      <c r="K3" s="11" t="n"/>
      <c r="L3" s="11" t="n"/>
      <c r="M3" s="11" t="n"/>
      <c r="N3" s="11" t="n"/>
      <c r="O3" s="11" t="n"/>
      <c r="P3" s="11" t="n"/>
      <c r="Q3" s="11" t="n"/>
      <c r="R3" s="11" t="n"/>
      <c r="S3" s="11" t="n"/>
      <c r="T3" s="11" t="n"/>
      <c r="U3" s="11" t="n"/>
      <c r="V3" s="11" t="n"/>
      <c r="W3" s="11" t="n"/>
      <c r="X3" s="11" t="n"/>
      <c r="Y3" s="11" t="n"/>
      <c r="Z3" s="11" t="n"/>
      <c r="AA3" s="11" t="n"/>
      <c r="AB3" s="11" t="n"/>
      <c r="AC3" s="11" t="n"/>
      <c r="AD3" s="11" t="n"/>
      <c r="AE3" s="11" t="n"/>
      <c r="AF3" s="11" t="n"/>
      <c r="AI3" s="91" t="inlineStr">
        <is>
          <t>Average</t>
        </is>
      </c>
      <c r="AJ3" s="72" t="n"/>
    </row>
    <row r="4" ht="16" customHeight="1" s="65" thickBot="1">
      <c r="B4" s="86" t="inlineStr">
        <is>
          <t>ISM Services</t>
        </is>
      </c>
      <c r="C4" s="31" t="n">
        <v>43831</v>
      </c>
      <c r="D4" s="31" t="n">
        <v>43862</v>
      </c>
      <c r="E4" s="31" t="n">
        <v>43891</v>
      </c>
      <c r="F4" s="31" t="n">
        <v>43922</v>
      </c>
      <c r="G4" s="31" t="n">
        <v>43952</v>
      </c>
      <c r="H4" s="31" t="n">
        <v>43983</v>
      </c>
      <c r="I4" s="31" t="n">
        <v>44013</v>
      </c>
      <c r="J4" s="31" t="n">
        <v>44044</v>
      </c>
      <c r="K4" s="31" t="n">
        <v>44075</v>
      </c>
      <c r="L4" s="31" t="n">
        <v>44105</v>
      </c>
      <c r="M4" s="31" t="n">
        <v>44136</v>
      </c>
      <c r="N4" s="31" t="n">
        <v>44166</v>
      </c>
      <c r="O4" s="31" t="n">
        <v>44197</v>
      </c>
      <c r="P4" s="31" t="n">
        <v>44228</v>
      </c>
      <c r="Q4" s="31" t="n">
        <v>44256</v>
      </c>
      <c r="R4" s="31" t="n">
        <v>44287</v>
      </c>
      <c r="S4" s="31" t="n">
        <v>44317</v>
      </c>
      <c r="T4" s="31" t="n">
        <v>44348</v>
      </c>
      <c r="U4" s="31" t="n">
        <v>44378</v>
      </c>
      <c r="V4" s="31" t="n">
        <v>44409</v>
      </c>
      <c r="W4" s="31" t="n">
        <v>44440</v>
      </c>
      <c r="X4" s="31" t="n">
        <v>44470</v>
      </c>
      <c r="Y4" s="31" t="n">
        <v>44501</v>
      </c>
      <c r="Z4" s="31" t="n">
        <v>44531</v>
      </c>
      <c r="AA4" s="31" t="n">
        <v>44562</v>
      </c>
      <c r="AB4" s="31" t="n">
        <v>44593</v>
      </c>
      <c r="AC4" s="31" t="n">
        <v>44621</v>
      </c>
      <c r="AD4" s="31" t="n">
        <v>44652</v>
      </c>
      <c r="AE4" s="31" t="n">
        <v>44682</v>
      </c>
      <c r="AF4" s="31" t="n">
        <v>44713</v>
      </c>
      <c r="AG4" s="10" t="n"/>
      <c r="AH4" s="88" t="inlineStr">
        <is>
          <t>mom</t>
        </is>
      </c>
      <c r="AI4" s="88" t="inlineStr">
        <is>
          <t>3 months</t>
        </is>
      </c>
      <c r="AJ4" s="88" t="inlineStr">
        <is>
          <t>6 months</t>
        </is>
      </c>
    </row>
    <row r="5" ht="16" customHeight="1" s="65" thickBot="1">
      <c r="B5" s="87" t="n"/>
      <c r="C5" s="32" t="n"/>
      <c r="D5" s="32" t="n"/>
      <c r="E5" s="32" t="n"/>
      <c r="F5" s="32" t="n"/>
      <c r="G5" s="32" t="n"/>
      <c r="H5" s="32" t="n"/>
      <c r="I5" s="32" t="n"/>
      <c r="J5" s="32" t="n"/>
      <c r="K5" s="32" t="n"/>
      <c r="L5" s="32" t="n"/>
      <c r="M5" s="32" t="n"/>
      <c r="N5" s="32" t="n"/>
      <c r="O5" s="32" t="n"/>
      <c r="P5" s="32" t="n"/>
      <c r="Q5" s="32" t="n"/>
      <c r="R5" s="32" t="n"/>
      <c r="S5" s="32" t="n"/>
      <c r="T5" s="32" t="n"/>
      <c r="U5" s="32" t="n"/>
      <c r="V5" s="32" t="n"/>
      <c r="W5" s="32" t="n"/>
      <c r="X5" s="32" t="n"/>
      <c r="Y5" s="32" t="n"/>
      <c r="Z5" s="32" t="n"/>
      <c r="AA5" s="32" t="n"/>
      <c r="AB5" s="32" t="n"/>
      <c r="AC5" s="32" t="n"/>
      <c r="AD5" s="32" t="n"/>
      <c r="AE5" s="32" t="n"/>
      <c r="AF5" s="32" t="n"/>
      <c r="AG5" s="10" t="n"/>
      <c r="AH5" s="89" t="n"/>
      <c r="AI5" s="89" t="n"/>
      <c r="AJ5" s="89" t="n"/>
    </row>
    <row r="6">
      <c r="B6" s="3" t="inlineStr">
        <is>
          <t>Retail Trade</t>
        </is>
      </c>
      <c r="C6" s="2">
        <f>VLOOKUP(C$4,'DB Services ISM'!$A:$S,MATCH($B6,'DB Services ISM'!$A$1:$S$1,0),0)</f>
        <v/>
      </c>
      <c r="D6" s="2">
        <f>VLOOKUP(D$4,'DB Services ISM'!$A:$S,MATCH($B6,'DB Services ISM'!$A$1:$S$1,0),0)</f>
        <v/>
      </c>
      <c r="E6" s="2">
        <f>VLOOKUP(E$4,'DB Services ISM'!$A:$S,MATCH($B6,'DB Services ISM'!$A$1:$S$1,0),0)</f>
        <v/>
      </c>
      <c r="F6" s="2">
        <f>VLOOKUP(F$4,'DB Services ISM'!$A:$S,MATCH($B6,'DB Services ISM'!$A$1:$S$1,0),0)</f>
        <v/>
      </c>
      <c r="G6" s="2">
        <f>VLOOKUP(G$4,'DB Services ISM'!$A:$S,MATCH($B6,'DB Services ISM'!$A$1:$S$1,0),0)</f>
        <v/>
      </c>
      <c r="H6" s="2">
        <f>VLOOKUP(H$4,'DB Services ISM'!$A:$S,MATCH($B6,'DB Services ISM'!$A$1:$S$1,0),0)</f>
        <v/>
      </c>
      <c r="I6" s="2">
        <f>VLOOKUP(I$4,'DB Services ISM'!$A:$S,MATCH($B6,'DB Services ISM'!$A$1:$S$1,0),0)</f>
        <v/>
      </c>
      <c r="J6" s="2">
        <f>VLOOKUP(J$4,'DB Services ISM'!$A:$S,MATCH($B6,'DB Services ISM'!$A$1:$S$1,0),0)</f>
        <v/>
      </c>
      <c r="K6" s="2">
        <f>VLOOKUP(K$4,'DB Services ISM'!$A:$S,MATCH($B6,'DB Services ISM'!$A$1:$S$1,0),0)</f>
        <v/>
      </c>
      <c r="L6" s="2">
        <f>VLOOKUP(L$4,'DB Services ISM'!$A:$S,MATCH($B6,'DB Services ISM'!$A$1:$S$1,0),0)</f>
        <v/>
      </c>
      <c r="M6" s="2">
        <f>VLOOKUP(M$4,'DB Services ISM'!$A:$S,MATCH($B6,'DB Services ISM'!$A$1:$S$1,0),0)</f>
        <v/>
      </c>
      <c r="N6" s="2">
        <f>VLOOKUP(N$4,'DB Services ISM'!$A:$S,MATCH($B6,'DB Services ISM'!$A$1:$S$1,0),0)</f>
        <v/>
      </c>
      <c r="O6" s="2">
        <f>VLOOKUP(O$4,'DB Services ISM'!$A:$S,MATCH($B6,'DB Services ISM'!$A$1:$S$1,0),0)</f>
        <v/>
      </c>
      <c r="P6" s="2">
        <f>VLOOKUP(P$4,'DB Services ISM'!$A:$S,MATCH($B6,'DB Services ISM'!$A$1:$S$1,0),0)</f>
        <v/>
      </c>
      <c r="Q6" s="2">
        <f>VLOOKUP(Q$4,'DB Services ISM'!$A:$S,MATCH($B6,'DB Services ISM'!$A$1:$S$1,0),0)</f>
        <v/>
      </c>
      <c r="R6" s="2">
        <f>VLOOKUP(R$4,'DB Services ISM'!$A:$S,MATCH($B6,'DB Services ISM'!$A$1:$S$1,0),0)</f>
        <v/>
      </c>
      <c r="S6" s="2">
        <f>VLOOKUP(S$4,'DB Services ISM'!$A:$S,MATCH($B6,'DB Services ISM'!$A$1:$S$1,0),0)</f>
        <v/>
      </c>
      <c r="T6" s="2">
        <f>VLOOKUP(T$4,'DB Services ISM'!$A:$S,MATCH($B6,'DB Services ISM'!$A$1:$S$1,0),0)</f>
        <v/>
      </c>
      <c r="U6" s="2">
        <f>VLOOKUP(U$4,'DB Services ISM'!$A:$S,MATCH($B6,'DB Services ISM'!$A$1:$S$1,0),0)</f>
        <v/>
      </c>
      <c r="V6" s="2">
        <f>VLOOKUP(V$4,'DB Services ISM'!$A:$S,MATCH($B6,'DB Services ISM'!$A$1:$S$1,0),0)</f>
        <v/>
      </c>
      <c r="W6" s="2">
        <f>VLOOKUP(W$4,'DB Services ISM'!$A:$S,MATCH($B6,'DB Services ISM'!$A$1:$S$1,0),0)</f>
        <v/>
      </c>
      <c r="X6" s="2">
        <f>VLOOKUP(X$4,'DB Services ISM'!$A:$S,MATCH($B6,'DB Services ISM'!$A$1:$S$1,0),0)</f>
        <v/>
      </c>
      <c r="Y6" s="2">
        <f>VLOOKUP(Y$4,'DB Services ISM'!$A:$S,MATCH($B6,'DB Services ISM'!$A$1:$S$1,0),0)</f>
        <v/>
      </c>
      <c r="Z6" s="2">
        <f>VLOOKUP(Z$4,'DB Services ISM'!$A:$S,MATCH($B6,'DB Services ISM'!$A$1:$S$1,0),0)</f>
        <v/>
      </c>
      <c r="AA6" s="2">
        <f>VLOOKUP(AA$4,'DB Services ISM'!$A:$S,MATCH($B6,'DB Services ISM'!$A$1:$S$1,0),0)</f>
        <v/>
      </c>
      <c r="AB6" s="2">
        <f>VLOOKUP(AB$4,'DB Services ISM'!$A:$S,MATCH($B6,'DB Services ISM'!$A$1:$S$1,0),0)</f>
        <v/>
      </c>
      <c r="AC6" s="2">
        <f>VLOOKUP(AC$4,'DB Services ISM'!$A:$S,MATCH($B6,'DB Services ISM'!$A$1:$S$1,0),0)</f>
        <v/>
      </c>
      <c r="AD6" s="2">
        <f>VLOOKUP(AD$4,'DB Services ISM'!$A:$S,MATCH($B6,'DB Services ISM'!$A$1:$S$1,0),0)</f>
        <v/>
      </c>
      <c r="AE6" s="2">
        <f>VLOOKUP(AE$4,'DB Services ISM'!$A:$S,MATCH($B6,'DB Services ISM'!$A$1:$S$1,0),0)</f>
        <v/>
      </c>
      <c r="AF6" s="2">
        <f>VLOOKUP(AF$4,'DB Services ISM'!$A:$S,MATCH($B6,'DB Services ISM'!$A$1:$S$1,0),0)</f>
        <v/>
      </c>
      <c r="AG6" s="33" t="n"/>
      <c r="AH6" s="22">
        <f>AF6-AE6</f>
        <v/>
      </c>
      <c r="AI6" s="34">
        <f>AVERAGE(AD6:AF6)</f>
        <v/>
      </c>
      <c r="AJ6" s="34">
        <f>AVERAGE(AA6:AF6)</f>
        <v/>
      </c>
    </row>
    <row r="7">
      <c r="B7" s="3" t="inlineStr">
        <is>
          <t>Utilities</t>
        </is>
      </c>
      <c r="C7" s="2">
        <f>VLOOKUP(C$4,'DB Services ISM'!$A:$S,MATCH($B7,'DB Services ISM'!$A$1:$S$1,0),0)</f>
        <v/>
      </c>
      <c r="D7" s="2">
        <f>VLOOKUP(D$4,'DB Services ISM'!$A:$S,MATCH($B7,'DB Services ISM'!$A$1:$S$1,0),0)</f>
        <v/>
      </c>
      <c r="E7" s="2">
        <f>VLOOKUP(E$4,'DB Services ISM'!$A:$S,MATCH($B7,'DB Services ISM'!$A$1:$S$1,0),0)</f>
        <v/>
      </c>
      <c r="F7" s="2">
        <f>VLOOKUP(F$4,'DB Services ISM'!$A:$S,MATCH($B7,'DB Services ISM'!$A$1:$S$1,0),0)</f>
        <v/>
      </c>
      <c r="G7" s="2">
        <f>VLOOKUP(G$4,'DB Services ISM'!$A:$S,MATCH($B7,'DB Services ISM'!$A$1:$S$1,0),0)</f>
        <v/>
      </c>
      <c r="H7" s="2">
        <f>VLOOKUP(H$4,'DB Services ISM'!$A:$S,MATCH($B7,'DB Services ISM'!$A$1:$S$1,0),0)</f>
        <v/>
      </c>
      <c r="I7" s="2">
        <f>VLOOKUP(I$4,'DB Services ISM'!$A:$S,MATCH($B7,'DB Services ISM'!$A$1:$S$1,0),0)</f>
        <v/>
      </c>
      <c r="J7" s="2">
        <f>VLOOKUP(J$4,'DB Services ISM'!$A:$S,MATCH($B7,'DB Services ISM'!$A$1:$S$1,0),0)</f>
        <v/>
      </c>
      <c r="K7" s="2">
        <f>VLOOKUP(K$4,'DB Services ISM'!$A:$S,MATCH($B7,'DB Services ISM'!$A$1:$S$1,0),0)</f>
        <v/>
      </c>
      <c r="L7" s="2">
        <f>VLOOKUP(L$4,'DB Services ISM'!$A:$S,MATCH($B7,'DB Services ISM'!$A$1:$S$1,0),0)</f>
        <v/>
      </c>
      <c r="M7" s="2">
        <f>VLOOKUP(M$4,'DB Services ISM'!$A:$S,MATCH($B7,'DB Services ISM'!$A$1:$S$1,0),0)</f>
        <v/>
      </c>
      <c r="N7" s="2">
        <f>VLOOKUP(N$4,'DB Services ISM'!$A:$S,MATCH($B7,'DB Services ISM'!$A$1:$S$1,0),0)</f>
        <v/>
      </c>
      <c r="O7" s="2">
        <f>VLOOKUP(O$4,'DB Services ISM'!$A:$S,MATCH($B7,'DB Services ISM'!$A$1:$S$1,0),0)</f>
        <v/>
      </c>
      <c r="P7" s="2">
        <f>VLOOKUP(P$4,'DB Services ISM'!$A:$S,MATCH($B7,'DB Services ISM'!$A$1:$S$1,0),0)</f>
        <v/>
      </c>
      <c r="Q7" s="2">
        <f>VLOOKUP(Q$4,'DB Services ISM'!$A:$S,MATCH($B7,'DB Services ISM'!$A$1:$S$1,0),0)</f>
        <v/>
      </c>
      <c r="R7" s="2">
        <f>VLOOKUP(R$4,'DB Services ISM'!$A:$S,MATCH($B7,'DB Services ISM'!$A$1:$S$1,0),0)</f>
        <v/>
      </c>
      <c r="S7" s="2">
        <f>VLOOKUP(S$4,'DB Services ISM'!$A:$S,MATCH($B7,'DB Services ISM'!$A$1:$S$1,0),0)</f>
        <v/>
      </c>
      <c r="T7" s="2">
        <f>VLOOKUP(T$4,'DB Services ISM'!$A:$S,MATCH($B7,'DB Services ISM'!$A$1:$S$1,0),0)</f>
        <v/>
      </c>
      <c r="U7" s="2">
        <f>VLOOKUP(U$4,'DB Services ISM'!$A:$S,MATCH($B7,'DB Services ISM'!$A$1:$S$1,0),0)</f>
        <v/>
      </c>
      <c r="V7" s="2">
        <f>VLOOKUP(V$4,'DB Services ISM'!$A:$S,MATCH($B7,'DB Services ISM'!$A$1:$S$1,0),0)</f>
        <v/>
      </c>
      <c r="W7" s="2">
        <f>VLOOKUP(W$4,'DB Services ISM'!$A:$S,MATCH($B7,'DB Services ISM'!$A$1:$S$1,0),0)</f>
        <v/>
      </c>
      <c r="X7" s="2">
        <f>VLOOKUP(X$4,'DB Services ISM'!$A:$S,MATCH($B7,'DB Services ISM'!$A$1:$S$1,0),0)</f>
        <v/>
      </c>
      <c r="Y7" s="2">
        <f>VLOOKUP(Y$4,'DB Services ISM'!$A:$S,MATCH($B7,'DB Services ISM'!$A$1:$S$1,0),0)</f>
        <v/>
      </c>
      <c r="Z7" s="2">
        <f>VLOOKUP(Z$4,'DB Services ISM'!$A:$S,MATCH($B7,'DB Services ISM'!$A$1:$S$1,0),0)</f>
        <v/>
      </c>
      <c r="AA7" s="2">
        <f>VLOOKUP(AA$4,'DB Services ISM'!$A:$S,MATCH($B7,'DB Services ISM'!$A$1:$S$1,0),0)</f>
        <v/>
      </c>
      <c r="AB7" s="2">
        <f>VLOOKUP(AB$4,'DB Services ISM'!$A:$S,MATCH($B7,'DB Services ISM'!$A$1:$S$1,0),0)</f>
        <v/>
      </c>
      <c r="AC7" s="2">
        <f>VLOOKUP(AC$4,'DB Services ISM'!$A:$S,MATCH($B7,'DB Services ISM'!$A$1:$S$1,0),0)</f>
        <v/>
      </c>
      <c r="AD7" s="2">
        <f>VLOOKUP(AD$4,'DB Services ISM'!$A:$S,MATCH($B7,'DB Services ISM'!$A$1:$S$1,0),0)</f>
        <v/>
      </c>
      <c r="AE7" s="2">
        <f>VLOOKUP(AE$4,'DB Services ISM'!$A:$S,MATCH($B7,'DB Services ISM'!$A$1:$S$1,0),0)</f>
        <v/>
      </c>
      <c r="AF7" s="2">
        <f>VLOOKUP(AF$4,'DB Services ISM'!$A:$S,MATCH($B7,'DB Services ISM'!$A$1:$S$1,0),0)</f>
        <v/>
      </c>
      <c r="AG7" s="33" t="n"/>
      <c r="AH7" s="22">
        <f>AF7-AE7</f>
        <v/>
      </c>
      <c r="AI7" s="34">
        <f>AVERAGE(AD7:AF7)</f>
        <v/>
      </c>
      <c r="AJ7" s="34">
        <f>AVERAGE(AA7:AF7)</f>
        <v/>
      </c>
    </row>
    <row r="8">
      <c r="B8" s="3" t="inlineStr">
        <is>
          <t>Arts, Entertainment &amp; Recreation</t>
        </is>
      </c>
      <c r="C8" s="2">
        <f>VLOOKUP(C$4,'DB Services ISM'!$A:$S,MATCH($B8,'DB Services ISM'!$A$1:$S$1,0),0)</f>
        <v/>
      </c>
      <c r="D8" s="2">
        <f>VLOOKUP(D$4,'DB Services ISM'!$A:$S,MATCH($B8,'DB Services ISM'!$A$1:$S$1,0),0)</f>
        <v/>
      </c>
      <c r="E8" s="2">
        <f>VLOOKUP(E$4,'DB Services ISM'!$A:$S,MATCH($B8,'DB Services ISM'!$A$1:$S$1,0),0)</f>
        <v/>
      </c>
      <c r="F8" s="2">
        <f>VLOOKUP(F$4,'DB Services ISM'!$A:$S,MATCH($B8,'DB Services ISM'!$A$1:$S$1,0),0)</f>
        <v/>
      </c>
      <c r="G8" s="2">
        <f>VLOOKUP(G$4,'DB Services ISM'!$A:$S,MATCH($B8,'DB Services ISM'!$A$1:$S$1,0),0)</f>
        <v/>
      </c>
      <c r="H8" s="2">
        <f>VLOOKUP(H$4,'DB Services ISM'!$A:$S,MATCH($B8,'DB Services ISM'!$A$1:$S$1,0),0)</f>
        <v/>
      </c>
      <c r="I8" s="2">
        <f>VLOOKUP(I$4,'DB Services ISM'!$A:$S,MATCH($B8,'DB Services ISM'!$A$1:$S$1,0),0)</f>
        <v/>
      </c>
      <c r="J8" s="2">
        <f>VLOOKUP(J$4,'DB Services ISM'!$A:$S,MATCH($B8,'DB Services ISM'!$A$1:$S$1,0),0)</f>
        <v/>
      </c>
      <c r="K8" s="2">
        <f>VLOOKUP(K$4,'DB Services ISM'!$A:$S,MATCH($B8,'DB Services ISM'!$A$1:$S$1,0),0)</f>
        <v/>
      </c>
      <c r="L8" s="2">
        <f>VLOOKUP(L$4,'DB Services ISM'!$A:$S,MATCH($B8,'DB Services ISM'!$A$1:$S$1,0),0)</f>
        <v/>
      </c>
      <c r="M8" s="2">
        <f>VLOOKUP(M$4,'DB Services ISM'!$A:$S,MATCH($B8,'DB Services ISM'!$A$1:$S$1,0),0)</f>
        <v/>
      </c>
      <c r="N8" s="2">
        <f>VLOOKUP(N$4,'DB Services ISM'!$A:$S,MATCH($B8,'DB Services ISM'!$A$1:$S$1,0),0)</f>
        <v/>
      </c>
      <c r="O8" s="2">
        <f>VLOOKUP(O$4,'DB Services ISM'!$A:$S,MATCH($B8,'DB Services ISM'!$A$1:$S$1,0),0)</f>
        <v/>
      </c>
      <c r="P8" s="2">
        <f>VLOOKUP(P$4,'DB Services ISM'!$A:$S,MATCH($B8,'DB Services ISM'!$A$1:$S$1,0),0)</f>
        <v/>
      </c>
      <c r="Q8" s="2">
        <f>VLOOKUP(Q$4,'DB Services ISM'!$A:$S,MATCH($B8,'DB Services ISM'!$A$1:$S$1,0),0)</f>
        <v/>
      </c>
      <c r="R8" s="2">
        <f>VLOOKUP(R$4,'DB Services ISM'!$A:$S,MATCH($B8,'DB Services ISM'!$A$1:$S$1,0),0)</f>
        <v/>
      </c>
      <c r="S8" s="2">
        <f>VLOOKUP(S$4,'DB Services ISM'!$A:$S,MATCH($B8,'DB Services ISM'!$A$1:$S$1,0),0)</f>
        <v/>
      </c>
      <c r="T8" s="2">
        <f>VLOOKUP(T$4,'DB Services ISM'!$A:$S,MATCH($B8,'DB Services ISM'!$A$1:$S$1,0),0)</f>
        <v/>
      </c>
      <c r="U8" s="2">
        <f>VLOOKUP(U$4,'DB Services ISM'!$A:$S,MATCH($B8,'DB Services ISM'!$A$1:$S$1,0),0)</f>
        <v/>
      </c>
      <c r="V8" s="2">
        <f>VLOOKUP(V$4,'DB Services ISM'!$A:$S,MATCH($B8,'DB Services ISM'!$A$1:$S$1,0),0)</f>
        <v/>
      </c>
      <c r="W8" s="2">
        <f>VLOOKUP(W$4,'DB Services ISM'!$A:$S,MATCH($B8,'DB Services ISM'!$A$1:$S$1,0),0)</f>
        <v/>
      </c>
      <c r="X8" s="2">
        <f>VLOOKUP(X$4,'DB Services ISM'!$A:$S,MATCH($B8,'DB Services ISM'!$A$1:$S$1,0),0)</f>
        <v/>
      </c>
      <c r="Y8" s="2">
        <f>VLOOKUP(Y$4,'DB Services ISM'!$A:$S,MATCH($B8,'DB Services ISM'!$A$1:$S$1,0),0)</f>
        <v/>
      </c>
      <c r="Z8" s="2">
        <f>VLOOKUP(Z$4,'DB Services ISM'!$A:$S,MATCH($B8,'DB Services ISM'!$A$1:$S$1,0),0)</f>
        <v/>
      </c>
      <c r="AA8" s="2">
        <f>VLOOKUP(AA$4,'DB Services ISM'!$A:$S,MATCH($B8,'DB Services ISM'!$A$1:$S$1,0),0)</f>
        <v/>
      </c>
      <c r="AB8" s="2">
        <f>VLOOKUP(AB$4,'DB Services ISM'!$A:$S,MATCH($B8,'DB Services ISM'!$A$1:$S$1,0),0)</f>
        <v/>
      </c>
      <c r="AC8" s="2">
        <f>VLOOKUP(AC$4,'DB Services ISM'!$A:$S,MATCH($B8,'DB Services ISM'!$A$1:$S$1,0),0)</f>
        <v/>
      </c>
      <c r="AD8" s="2">
        <f>VLOOKUP(AD$4,'DB Services ISM'!$A:$S,MATCH($B8,'DB Services ISM'!$A$1:$S$1,0),0)</f>
        <v/>
      </c>
      <c r="AE8" s="2">
        <f>VLOOKUP(AE$4,'DB Services ISM'!$A:$S,MATCH($B8,'DB Services ISM'!$A$1:$S$1,0),0)</f>
        <v/>
      </c>
      <c r="AF8" s="2">
        <f>VLOOKUP(AF$4,'DB Services ISM'!$A:$S,MATCH($B8,'DB Services ISM'!$A$1:$S$1,0),0)</f>
        <v/>
      </c>
      <c r="AG8" s="33" t="n"/>
      <c r="AH8" s="22">
        <f>AF8-AE8</f>
        <v/>
      </c>
      <c r="AI8" s="34">
        <f>AVERAGE(AD8:AF8)</f>
        <v/>
      </c>
      <c r="AJ8" s="34">
        <f>AVERAGE(AA8:AF8)</f>
        <v/>
      </c>
    </row>
    <row r="9">
      <c r="B9" s="3" t="inlineStr">
        <is>
          <t>Other Services</t>
        </is>
      </c>
      <c r="C9" s="2">
        <f>VLOOKUP(C$4,'DB Services ISM'!$A:$S,MATCH($B9,'DB Services ISM'!$A$1:$S$1,0),0)</f>
        <v/>
      </c>
      <c r="D9" s="2">
        <f>VLOOKUP(D$4,'DB Services ISM'!$A:$S,MATCH($B9,'DB Services ISM'!$A$1:$S$1,0),0)</f>
        <v/>
      </c>
      <c r="E9" s="2">
        <f>VLOOKUP(E$4,'DB Services ISM'!$A:$S,MATCH($B9,'DB Services ISM'!$A$1:$S$1,0),0)</f>
        <v/>
      </c>
      <c r="F9" s="2">
        <f>VLOOKUP(F$4,'DB Services ISM'!$A:$S,MATCH($B9,'DB Services ISM'!$A$1:$S$1,0),0)</f>
        <v/>
      </c>
      <c r="G9" s="2">
        <f>VLOOKUP(G$4,'DB Services ISM'!$A:$S,MATCH($B9,'DB Services ISM'!$A$1:$S$1,0),0)</f>
        <v/>
      </c>
      <c r="H9" s="2">
        <f>VLOOKUP(H$4,'DB Services ISM'!$A:$S,MATCH($B9,'DB Services ISM'!$A$1:$S$1,0),0)</f>
        <v/>
      </c>
      <c r="I9" s="2">
        <f>VLOOKUP(I$4,'DB Services ISM'!$A:$S,MATCH($B9,'DB Services ISM'!$A$1:$S$1,0),0)</f>
        <v/>
      </c>
      <c r="J9" s="2">
        <f>VLOOKUP(J$4,'DB Services ISM'!$A:$S,MATCH($B9,'DB Services ISM'!$A$1:$S$1,0),0)</f>
        <v/>
      </c>
      <c r="K9" s="2">
        <f>VLOOKUP(K$4,'DB Services ISM'!$A:$S,MATCH($B9,'DB Services ISM'!$A$1:$S$1,0),0)</f>
        <v/>
      </c>
      <c r="L9" s="2">
        <f>VLOOKUP(L$4,'DB Services ISM'!$A:$S,MATCH($B9,'DB Services ISM'!$A$1:$S$1,0),0)</f>
        <v/>
      </c>
      <c r="M9" s="2">
        <f>VLOOKUP(M$4,'DB Services ISM'!$A:$S,MATCH($B9,'DB Services ISM'!$A$1:$S$1,0),0)</f>
        <v/>
      </c>
      <c r="N9" s="2">
        <f>VLOOKUP(N$4,'DB Services ISM'!$A:$S,MATCH($B9,'DB Services ISM'!$A$1:$S$1,0),0)</f>
        <v/>
      </c>
      <c r="O9" s="2">
        <f>VLOOKUP(O$4,'DB Services ISM'!$A:$S,MATCH($B9,'DB Services ISM'!$A$1:$S$1,0),0)</f>
        <v/>
      </c>
      <c r="P9" s="2">
        <f>VLOOKUP(P$4,'DB Services ISM'!$A:$S,MATCH($B9,'DB Services ISM'!$A$1:$S$1,0),0)</f>
        <v/>
      </c>
      <c r="Q9" s="2">
        <f>VLOOKUP(Q$4,'DB Services ISM'!$A:$S,MATCH($B9,'DB Services ISM'!$A$1:$S$1,0),0)</f>
        <v/>
      </c>
      <c r="R9" s="2">
        <f>VLOOKUP(R$4,'DB Services ISM'!$A:$S,MATCH($B9,'DB Services ISM'!$A$1:$S$1,0),0)</f>
        <v/>
      </c>
      <c r="S9" s="2">
        <f>VLOOKUP(S$4,'DB Services ISM'!$A:$S,MATCH($B9,'DB Services ISM'!$A$1:$S$1,0),0)</f>
        <v/>
      </c>
      <c r="T9" s="2">
        <f>VLOOKUP(T$4,'DB Services ISM'!$A:$S,MATCH($B9,'DB Services ISM'!$A$1:$S$1,0),0)</f>
        <v/>
      </c>
      <c r="U9" s="2">
        <f>VLOOKUP(U$4,'DB Services ISM'!$A:$S,MATCH($B9,'DB Services ISM'!$A$1:$S$1,0),0)</f>
        <v/>
      </c>
      <c r="V9" s="2">
        <f>VLOOKUP(V$4,'DB Services ISM'!$A:$S,MATCH($B9,'DB Services ISM'!$A$1:$S$1,0),0)</f>
        <v/>
      </c>
      <c r="W9" s="2">
        <f>VLOOKUP(W$4,'DB Services ISM'!$A:$S,MATCH($B9,'DB Services ISM'!$A$1:$S$1,0),0)</f>
        <v/>
      </c>
      <c r="X9" s="2">
        <f>VLOOKUP(X$4,'DB Services ISM'!$A:$S,MATCH($B9,'DB Services ISM'!$A$1:$S$1,0),0)</f>
        <v/>
      </c>
      <c r="Y9" s="2">
        <f>VLOOKUP(Y$4,'DB Services ISM'!$A:$S,MATCH($B9,'DB Services ISM'!$A$1:$S$1,0),0)</f>
        <v/>
      </c>
      <c r="Z9" s="2">
        <f>VLOOKUP(Z$4,'DB Services ISM'!$A:$S,MATCH($B9,'DB Services ISM'!$A$1:$S$1,0),0)</f>
        <v/>
      </c>
      <c r="AA9" s="2">
        <f>VLOOKUP(AA$4,'DB Services ISM'!$A:$S,MATCH($B9,'DB Services ISM'!$A$1:$S$1,0),0)</f>
        <v/>
      </c>
      <c r="AB9" s="2">
        <f>VLOOKUP(AB$4,'DB Services ISM'!$A:$S,MATCH($B9,'DB Services ISM'!$A$1:$S$1,0),0)</f>
        <v/>
      </c>
      <c r="AC9" s="2">
        <f>VLOOKUP(AC$4,'DB Services ISM'!$A:$S,MATCH($B9,'DB Services ISM'!$A$1:$S$1,0),0)</f>
        <v/>
      </c>
      <c r="AD9" s="2">
        <f>VLOOKUP(AD$4,'DB Services ISM'!$A:$S,MATCH($B9,'DB Services ISM'!$A$1:$S$1,0),0)</f>
        <v/>
      </c>
      <c r="AE9" s="2">
        <f>VLOOKUP(AE$4,'DB Services ISM'!$A:$S,MATCH($B9,'DB Services ISM'!$A$1:$S$1,0),0)</f>
        <v/>
      </c>
      <c r="AF9" s="2">
        <f>VLOOKUP(AF$4,'DB Services ISM'!$A:$S,MATCH($B9,'DB Services ISM'!$A$1:$S$1,0),0)</f>
        <v/>
      </c>
      <c r="AG9" s="33" t="n"/>
      <c r="AH9" s="22">
        <f>AF9-AE9</f>
        <v/>
      </c>
      <c r="AI9" s="34">
        <f>AVERAGE(AD9:AF9)</f>
        <v/>
      </c>
      <c r="AJ9" s="34">
        <f>AVERAGE(AA9:AF9)</f>
        <v/>
      </c>
    </row>
    <row r="10">
      <c r="B10" s="3" t="inlineStr">
        <is>
          <t>Health Care &amp; Social Assistance</t>
        </is>
      </c>
      <c r="C10" s="2">
        <f>VLOOKUP(C$4,'DB Services ISM'!$A:$S,MATCH($B10,'DB Services ISM'!$A$1:$S$1,0),0)</f>
        <v/>
      </c>
      <c r="D10" s="2">
        <f>VLOOKUP(D$4,'DB Services ISM'!$A:$S,MATCH($B10,'DB Services ISM'!$A$1:$S$1,0),0)</f>
        <v/>
      </c>
      <c r="E10" s="2">
        <f>VLOOKUP(E$4,'DB Services ISM'!$A:$S,MATCH($B10,'DB Services ISM'!$A$1:$S$1,0),0)</f>
        <v/>
      </c>
      <c r="F10" s="2">
        <f>VLOOKUP(F$4,'DB Services ISM'!$A:$S,MATCH($B10,'DB Services ISM'!$A$1:$S$1,0),0)</f>
        <v/>
      </c>
      <c r="G10" s="2">
        <f>VLOOKUP(G$4,'DB Services ISM'!$A:$S,MATCH($B10,'DB Services ISM'!$A$1:$S$1,0),0)</f>
        <v/>
      </c>
      <c r="H10" s="2">
        <f>VLOOKUP(H$4,'DB Services ISM'!$A:$S,MATCH($B10,'DB Services ISM'!$A$1:$S$1,0),0)</f>
        <v/>
      </c>
      <c r="I10" s="2">
        <f>VLOOKUP(I$4,'DB Services ISM'!$A:$S,MATCH($B10,'DB Services ISM'!$A$1:$S$1,0),0)</f>
        <v/>
      </c>
      <c r="J10" s="2">
        <f>VLOOKUP(J$4,'DB Services ISM'!$A:$S,MATCH($B10,'DB Services ISM'!$A$1:$S$1,0),0)</f>
        <v/>
      </c>
      <c r="K10" s="2">
        <f>VLOOKUP(K$4,'DB Services ISM'!$A:$S,MATCH($B10,'DB Services ISM'!$A$1:$S$1,0),0)</f>
        <v/>
      </c>
      <c r="L10" s="2">
        <f>VLOOKUP(L$4,'DB Services ISM'!$A:$S,MATCH($B10,'DB Services ISM'!$A$1:$S$1,0),0)</f>
        <v/>
      </c>
      <c r="M10" s="2">
        <f>VLOOKUP(M$4,'DB Services ISM'!$A:$S,MATCH($B10,'DB Services ISM'!$A$1:$S$1,0),0)</f>
        <v/>
      </c>
      <c r="N10" s="2">
        <f>VLOOKUP(N$4,'DB Services ISM'!$A:$S,MATCH($B10,'DB Services ISM'!$A$1:$S$1,0),0)</f>
        <v/>
      </c>
      <c r="O10" s="2">
        <f>VLOOKUP(O$4,'DB Services ISM'!$A:$S,MATCH($B10,'DB Services ISM'!$A$1:$S$1,0),0)</f>
        <v/>
      </c>
      <c r="P10" s="2">
        <f>VLOOKUP(P$4,'DB Services ISM'!$A:$S,MATCH($B10,'DB Services ISM'!$A$1:$S$1,0),0)</f>
        <v/>
      </c>
      <c r="Q10" s="2">
        <f>VLOOKUP(Q$4,'DB Services ISM'!$A:$S,MATCH($B10,'DB Services ISM'!$A$1:$S$1,0),0)</f>
        <v/>
      </c>
      <c r="R10" s="2">
        <f>VLOOKUP(R$4,'DB Services ISM'!$A:$S,MATCH($B10,'DB Services ISM'!$A$1:$S$1,0),0)</f>
        <v/>
      </c>
      <c r="S10" s="2">
        <f>VLOOKUP(S$4,'DB Services ISM'!$A:$S,MATCH($B10,'DB Services ISM'!$A$1:$S$1,0),0)</f>
        <v/>
      </c>
      <c r="T10" s="2">
        <f>VLOOKUP(T$4,'DB Services ISM'!$A:$S,MATCH($B10,'DB Services ISM'!$A$1:$S$1,0),0)</f>
        <v/>
      </c>
      <c r="U10" s="2">
        <f>VLOOKUP(U$4,'DB Services ISM'!$A:$S,MATCH($B10,'DB Services ISM'!$A$1:$S$1,0),0)</f>
        <v/>
      </c>
      <c r="V10" s="2">
        <f>VLOOKUP(V$4,'DB Services ISM'!$A:$S,MATCH($B10,'DB Services ISM'!$A$1:$S$1,0),0)</f>
        <v/>
      </c>
      <c r="W10" s="2">
        <f>VLOOKUP(W$4,'DB Services ISM'!$A:$S,MATCH($B10,'DB Services ISM'!$A$1:$S$1,0),0)</f>
        <v/>
      </c>
      <c r="X10" s="2">
        <f>VLOOKUP(X$4,'DB Services ISM'!$A:$S,MATCH($B10,'DB Services ISM'!$A$1:$S$1,0),0)</f>
        <v/>
      </c>
      <c r="Y10" s="2">
        <f>VLOOKUP(Y$4,'DB Services ISM'!$A:$S,MATCH($B10,'DB Services ISM'!$A$1:$S$1,0),0)</f>
        <v/>
      </c>
      <c r="Z10" s="2">
        <f>VLOOKUP(Z$4,'DB Services ISM'!$A:$S,MATCH($B10,'DB Services ISM'!$A$1:$S$1,0),0)</f>
        <v/>
      </c>
      <c r="AA10" s="2">
        <f>VLOOKUP(AA$4,'DB Services ISM'!$A:$S,MATCH($B10,'DB Services ISM'!$A$1:$S$1,0),0)</f>
        <v/>
      </c>
      <c r="AB10" s="2">
        <f>VLOOKUP(AB$4,'DB Services ISM'!$A:$S,MATCH($B10,'DB Services ISM'!$A$1:$S$1,0),0)</f>
        <v/>
      </c>
      <c r="AC10" s="2">
        <f>VLOOKUP(AC$4,'DB Services ISM'!$A:$S,MATCH($B10,'DB Services ISM'!$A$1:$S$1,0),0)</f>
        <v/>
      </c>
      <c r="AD10" s="2">
        <f>VLOOKUP(AD$4,'DB Services ISM'!$A:$S,MATCH($B10,'DB Services ISM'!$A$1:$S$1,0),0)</f>
        <v/>
      </c>
      <c r="AE10" s="2">
        <f>VLOOKUP(AE$4,'DB Services ISM'!$A:$S,MATCH($B10,'DB Services ISM'!$A$1:$S$1,0),0)</f>
        <v/>
      </c>
      <c r="AF10" s="2">
        <f>VLOOKUP(AF$4,'DB Services ISM'!$A:$S,MATCH($B10,'DB Services ISM'!$A$1:$S$1,0),0)</f>
        <v/>
      </c>
      <c r="AG10" s="33" t="n"/>
      <c r="AH10" s="22">
        <f>AF10-AE10</f>
        <v/>
      </c>
      <c r="AI10" s="34">
        <f>AVERAGE(AD10:AF10)</f>
        <v/>
      </c>
      <c r="AJ10" s="34">
        <f>AVERAGE(AA10:AF10)</f>
        <v/>
      </c>
    </row>
    <row r="11">
      <c r="B11" s="3" t="inlineStr">
        <is>
          <t>Accommodation &amp; Food Services</t>
        </is>
      </c>
      <c r="C11" s="2">
        <f>VLOOKUP(C$4,'DB Services ISM'!$A:$S,MATCH($B11,'DB Services ISM'!$A$1:$S$1,0),0)</f>
        <v/>
      </c>
      <c r="D11" s="2">
        <f>VLOOKUP(D$4,'DB Services ISM'!$A:$S,MATCH($B11,'DB Services ISM'!$A$1:$S$1,0),0)</f>
        <v/>
      </c>
      <c r="E11" s="2">
        <f>VLOOKUP(E$4,'DB Services ISM'!$A:$S,MATCH($B11,'DB Services ISM'!$A$1:$S$1,0),0)</f>
        <v/>
      </c>
      <c r="F11" s="2">
        <f>VLOOKUP(F$4,'DB Services ISM'!$A:$S,MATCH($B11,'DB Services ISM'!$A$1:$S$1,0),0)</f>
        <v/>
      </c>
      <c r="G11" s="2">
        <f>VLOOKUP(G$4,'DB Services ISM'!$A:$S,MATCH($B11,'DB Services ISM'!$A$1:$S$1,0),0)</f>
        <v/>
      </c>
      <c r="H11" s="2">
        <f>VLOOKUP(H$4,'DB Services ISM'!$A:$S,MATCH($B11,'DB Services ISM'!$A$1:$S$1,0),0)</f>
        <v/>
      </c>
      <c r="I11" s="2">
        <f>VLOOKUP(I$4,'DB Services ISM'!$A:$S,MATCH($B11,'DB Services ISM'!$A$1:$S$1,0),0)</f>
        <v/>
      </c>
      <c r="J11" s="2">
        <f>VLOOKUP(J$4,'DB Services ISM'!$A:$S,MATCH($B11,'DB Services ISM'!$A$1:$S$1,0),0)</f>
        <v/>
      </c>
      <c r="K11" s="2">
        <f>VLOOKUP(K$4,'DB Services ISM'!$A:$S,MATCH($B11,'DB Services ISM'!$A$1:$S$1,0),0)</f>
        <v/>
      </c>
      <c r="L11" s="2">
        <f>VLOOKUP(L$4,'DB Services ISM'!$A:$S,MATCH($B11,'DB Services ISM'!$A$1:$S$1,0),0)</f>
        <v/>
      </c>
      <c r="M11" s="2">
        <f>VLOOKUP(M$4,'DB Services ISM'!$A:$S,MATCH($B11,'DB Services ISM'!$A$1:$S$1,0),0)</f>
        <v/>
      </c>
      <c r="N11" s="2">
        <f>VLOOKUP(N$4,'DB Services ISM'!$A:$S,MATCH($B11,'DB Services ISM'!$A$1:$S$1,0),0)</f>
        <v/>
      </c>
      <c r="O11" s="2">
        <f>VLOOKUP(O$4,'DB Services ISM'!$A:$S,MATCH($B11,'DB Services ISM'!$A$1:$S$1,0),0)</f>
        <v/>
      </c>
      <c r="P11" s="2">
        <f>VLOOKUP(P$4,'DB Services ISM'!$A:$S,MATCH($B11,'DB Services ISM'!$A$1:$S$1,0),0)</f>
        <v/>
      </c>
      <c r="Q11" s="2">
        <f>VLOOKUP(Q$4,'DB Services ISM'!$A:$S,MATCH($B11,'DB Services ISM'!$A$1:$S$1,0),0)</f>
        <v/>
      </c>
      <c r="R11" s="2">
        <f>VLOOKUP(R$4,'DB Services ISM'!$A:$S,MATCH($B11,'DB Services ISM'!$A$1:$S$1,0),0)</f>
        <v/>
      </c>
      <c r="S11" s="2">
        <f>VLOOKUP(S$4,'DB Services ISM'!$A:$S,MATCH($B11,'DB Services ISM'!$A$1:$S$1,0),0)</f>
        <v/>
      </c>
      <c r="T11" s="2">
        <f>VLOOKUP(T$4,'DB Services ISM'!$A:$S,MATCH($B11,'DB Services ISM'!$A$1:$S$1,0),0)</f>
        <v/>
      </c>
      <c r="U11" s="2">
        <f>VLOOKUP(U$4,'DB Services ISM'!$A:$S,MATCH($B11,'DB Services ISM'!$A$1:$S$1,0),0)</f>
        <v/>
      </c>
      <c r="V11" s="2">
        <f>VLOOKUP(V$4,'DB Services ISM'!$A:$S,MATCH($B11,'DB Services ISM'!$A$1:$S$1,0),0)</f>
        <v/>
      </c>
      <c r="W11" s="2">
        <f>VLOOKUP(W$4,'DB Services ISM'!$A:$S,MATCH($B11,'DB Services ISM'!$A$1:$S$1,0),0)</f>
        <v/>
      </c>
      <c r="X11" s="2">
        <f>VLOOKUP(X$4,'DB Services ISM'!$A:$S,MATCH($B11,'DB Services ISM'!$A$1:$S$1,0),0)</f>
        <v/>
      </c>
      <c r="Y11" s="2">
        <f>VLOOKUP(Y$4,'DB Services ISM'!$A:$S,MATCH($B11,'DB Services ISM'!$A$1:$S$1,0),0)</f>
        <v/>
      </c>
      <c r="Z11" s="2">
        <f>VLOOKUP(Z$4,'DB Services ISM'!$A:$S,MATCH($B11,'DB Services ISM'!$A$1:$S$1,0),0)</f>
        <v/>
      </c>
      <c r="AA11" s="2">
        <f>VLOOKUP(AA$4,'DB Services ISM'!$A:$S,MATCH($B11,'DB Services ISM'!$A$1:$S$1,0),0)</f>
        <v/>
      </c>
      <c r="AB11" s="2">
        <f>VLOOKUP(AB$4,'DB Services ISM'!$A:$S,MATCH($B11,'DB Services ISM'!$A$1:$S$1,0),0)</f>
        <v/>
      </c>
      <c r="AC11" s="2">
        <f>VLOOKUP(AC$4,'DB Services ISM'!$A:$S,MATCH($B11,'DB Services ISM'!$A$1:$S$1,0),0)</f>
        <v/>
      </c>
      <c r="AD11" s="2">
        <f>VLOOKUP(AD$4,'DB Services ISM'!$A:$S,MATCH($B11,'DB Services ISM'!$A$1:$S$1,0),0)</f>
        <v/>
      </c>
      <c r="AE11" s="2">
        <f>VLOOKUP(AE$4,'DB Services ISM'!$A:$S,MATCH($B11,'DB Services ISM'!$A$1:$S$1,0),0)</f>
        <v/>
      </c>
      <c r="AF11" s="2">
        <f>VLOOKUP(AF$4,'DB Services ISM'!$A:$S,MATCH($B11,'DB Services ISM'!$A$1:$S$1,0),0)</f>
        <v/>
      </c>
      <c r="AG11" s="33" t="n"/>
      <c r="AH11" s="22">
        <f>AF11-AE11</f>
        <v/>
      </c>
      <c r="AI11" s="34">
        <f>AVERAGE(AD11:AF11)</f>
        <v/>
      </c>
      <c r="AJ11" s="34">
        <f>AVERAGE(AA11:AF11)</f>
        <v/>
      </c>
    </row>
    <row r="12">
      <c r="B12" s="3" t="inlineStr">
        <is>
          <t>Finance &amp; Insurance</t>
        </is>
      </c>
      <c r="C12" s="2">
        <f>VLOOKUP(C$4,'DB Services ISM'!$A:$S,MATCH($B12,'DB Services ISM'!$A$1:$S$1,0),0)</f>
        <v/>
      </c>
      <c r="D12" s="2">
        <f>VLOOKUP(D$4,'DB Services ISM'!$A:$S,MATCH($B12,'DB Services ISM'!$A$1:$S$1,0),0)</f>
        <v/>
      </c>
      <c r="E12" s="2">
        <f>VLOOKUP(E$4,'DB Services ISM'!$A:$S,MATCH($B12,'DB Services ISM'!$A$1:$S$1,0),0)</f>
        <v/>
      </c>
      <c r="F12" s="2">
        <f>VLOOKUP(F$4,'DB Services ISM'!$A:$S,MATCH($B12,'DB Services ISM'!$A$1:$S$1,0),0)</f>
        <v/>
      </c>
      <c r="G12" s="2">
        <f>VLOOKUP(G$4,'DB Services ISM'!$A:$S,MATCH($B12,'DB Services ISM'!$A$1:$S$1,0),0)</f>
        <v/>
      </c>
      <c r="H12" s="2">
        <f>VLOOKUP(H$4,'DB Services ISM'!$A:$S,MATCH($B12,'DB Services ISM'!$A$1:$S$1,0),0)</f>
        <v/>
      </c>
      <c r="I12" s="2">
        <f>VLOOKUP(I$4,'DB Services ISM'!$A:$S,MATCH($B12,'DB Services ISM'!$A$1:$S$1,0),0)</f>
        <v/>
      </c>
      <c r="J12" s="2">
        <f>VLOOKUP(J$4,'DB Services ISM'!$A:$S,MATCH($B12,'DB Services ISM'!$A$1:$S$1,0),0)</f>
        <v/>
      </c>
      <c r="K12" s="2">
        <f>VLOOKUP(K$4,'DB Services ISM'!$A:$S,MATCH($B12,'DB Services ISM'!$A$1:$S$1,0),0)</f>
        <v/>
      </c>
      <c r="L12" s="2">
        <f>VLOOKUP(L$4,'DB Services ISM'!$A:$S,MATCH($B12,'DB Services ISM'!$A$1:$S$1,0),0)</f>
        <v/>
      </c>
      <c r="M12" s="2">
        <f>VLOOKUP(M$4,'DB Services ISM'!$A:$S,MATCH($B12,'DB Services ISM'!$A$1:$S$1,0),0)</f>
        <v/>
      </c>
      <c r="N12" s="2">
        <f>VLOOKUP(N$4,'DB Services ISM'!$A:$S,MATCH($B12,'DB Services ISM'!$A$1:$S$1,0),0)</f>
        <v/>
      </c>
      <c r="O12" s="2">
        <f>VLOOKUP(O$4,'DB Services ISM'!$A:$S,MATCH($B12,'DB Services ISM'!$A$1:$S$1,0),0)</f>
        <v/>
      </c>
      <c r="P12" s="2">
        <f>VLOOKUP(P$4,'DB Services ISM'!$A:$S,MATCH($B12,'DB Services ISM'!$A$1:$S$1,0),0)</f>
        <v/>
      </c>
      <c r="Q12" s="2">
        <f>VLOOKUP(Q$4,'DB Services ISM'!$A:$S,MATCH($B12,'DB Services ISM'!$A$1:$S$1,0),0)</f>
        <v/>
      </c>
      <c r="R12" s="2">
        <f>VLOOKUP(R$4,'DB Services ISM'!$A:$S,MATCH($B12,'DB Services ISM'!$A$1:$S$1,0),0)</f>
        <v/>
      </c>
      <c r="S12" s="2">
        <f>VLOOKUP(S$4,'DB Services ISM'!$A:$S,MATCH($B12,'DB Services ISM'!$A$1:$S$1,0),0)</f>
        <v/>
      </c>
      <c r="T12" s="2">
        <f>VLOOKUP(T$4,'DB Services ISM'!$A:$S,MATCH($B12,'DB Services ISM'!$A$1:$S$1,0),0)</f>
        <v/>
      </c>
      <c r="U12" s="2">
        <f>VLOOKUP(U$4,'DB Services ISM'!$A:$S,MATCH($B12,'DB Services ISM'!$A$1:$S$1,0),0)</f>
        <v/>
      </c>
      <c r="V12" s="2">
        <f>VLOOKUP(V$4,'DB Services ISM'!$A:$S,MATCH($B12,'DB Services ISM'!$A$1:$S$1,0),0)</f>
        <v/>
      </c>
      <c r="W12" s="2">
        <f>VLOOKUP(W$4,'DB Services ISM'!$A:$S,MATCH($B12,'DB Services ISM'!$A$1:$S$1,0),0)</f>
        <v/>
      </c>
      <c r="X12" s="2">
        <f>VLOOKUP(X$4,'DB Services ISM'!$A:$S,MATCH($B12,'DB Services ISM'!$A$1:$S$1,0),0)</f>
        <v/>
      </c>
      <c r="Y12" s="2">
        <f>VLOOKUP(Y$4,'DB Services ISM'!$A:$S,MATCH($B12,'DB Services ISM'!$A$1:$S$1,0),0)</f>
        <v/>
      </c>
      <c r="Z12" s="2">
        <f>VLOOKUP(Z$4,'DB Services ISM'!$A:$S,MATCH($B12,'DB Services ISM'!$A$1:$S$1,0),0)</f>
        <v/>
      </c>
      <c r="AA12" s="2">
        <f>VLOOKUP(AA$4,'DB Services ISM'!$A:$S,MATCH($B12,'DB Services ISM'!$A$1:$S$1,0),0)</f>
        <v/>
      </c>
      <c r="AB12" s="2">
        <f>VLOOKUP(AB$4,'DB Services ISM'!$A:$S,MATCH($B12,'DB Services ISM'!$A$1:$S$1,0),0)</f>
        <v/>
      </c>
      <c r="AC12" s="2">
        <f>VLOOKUP(AC$4,'DB Services ISM'!$A:$S,MATCH($B12,'DB Services ISM'!$A$1:$S$1,0),0)</f>
        <v/>
      </c>
      <c r="AD12" s="2">
        <f>VLOOKUP(AD$4,'DB Services ISM'!$A:$S,MATCH($B12,'DB Services ISM'!$A$1:$S$1,0),0)</f>
        <v/>
      </c>
      <c r="AE12" s="2">
        <f>VLOOKUP(AE$4,'DB Services ISM'!$A:$S,MATCH($B12,'DB Services ISM'!$A$1:$S$1,0),0)</f>
        <v/>
      </c>
      <c r="AF12" s="2">
        <f>VLOOKUP(AF$4,'DB Services ISM'!$A:$S,MATCH($B12,'DB Services ISM'!$A$1:$S$1,0),0)</f>
        <v/>
      </c>
      <c r="AG12" s="33" t="n"/>
      <c r="AH12" s="22">
        <f>AF12-AE12</f>
        <v/>
      </c>
      <c r="AI12" s="34">
        <f>AVERAGE(AD12:AF12)</f>
        <v/>
      </c>
      <c r="AJ12" s="34">
        <f>AVERAGE(AA12:AF12)</f>
        <v/>
      </c>
    </row>
    <row r="13">
      <c r="B13" s="3" t="inlineStr">
        <is>
          <t>Real Estate, Rental &amp; Leasing</t>
        </is>
      </c>
      <c r="C13" s="2">
        <f>VLOOKUP(C$4,'DB Services ISM'!$A:$S,MATCH($B13,'DB Services ISM'!$A$1:$S$1,0),0)</f>
        <v/>
      </c>
      <c r="D13" s="2">
        <f>VLOOKUP(D$4,'DB Services ISM'!$A:$S,MATCH($B13,'DB Services ISM'!$A$1:$S$1,0),0)</f>
        <v/>
      </c>
      <c r="E13" s="2">
        <f>VLOOKUP(E$4,'DB Services ISM'!$A:$S,MATCH($B13,'DB Services ISM'!$A$1:$S$1,0),0)</f>
        <v/>
      </c>
      <c r="F13" s="2">
        <f>VLOOKUP(F$4,'DB Services ISM'!$A:$S,MATCH($B13,'DB Services ISM'!$A$1:$S$1,0),0)</f>
        <v/>
      </c>
      <c r="G13" s="2">
        <f>VLOOKUP(G$4,'DB Services ISM'!$A:$S,MATCH($B13,'DB Services ISM'!$A$1:$S$1,0),0)</f>
        <v/>
      </c>
      <c r="H13" s="2">
        <f>VLOOKUP(H$4,'DB Services ISM'!$A:$S,MATCH($B13,'DB Services ISM'!$A$1:$S$1,0),0)</f>
        <v/>
      </c>
      <c r="I13" s="2">
        <f>VLOOKUP(I$4,'DB Services ISM'!$A:$S,MATCH($B13,'DB Services ISM'!$A$1:$S$1,0),0)</f>
        <v/>
      </c>
      <c r="J13" s="2">
        <f>VLOOKUP(J$4,'DB Services ISM'!$A:$S,MATCH($B13,'DB Services ISM'!$A$1:$S$1,0),0)</f>
        <v/>
      </c>
      <c r="K13" s="2">
        <f>VLOOKUP(K$4,'DB Services ISM'!$A:$S,MATCH($B13,'DB Services ISM'!$A$1:$S$1,0),0)</f>
        <v/>
      </c>
      <c r="L13" s="2">
        <f>VLOOKUP(L$4,'DB Services ISM'!$A:$S,MATCH($B13,'DB Services ISM'!$A$1:$S$1,0),0)</f>
        <v/>
      </c>
      <c r="M13" s="2">
        <f>VLOOKUP(M$4,'DB Services ISM'!$A:$S,MATCH($B13,'DB Services ISM'!$A$1:$S$1,0),0)</f>
        <v/>
      </c>
      <c r="N13" s="2">
        <f>VLOOKUP(N$4,'DB Services ISM'!$A:$S,MATCH($B13,'DB Services ISM'!$A$1:$S$1,0),0)</f>
        <v/>
      </c>
      <c r="O13" s="2">
        <f>VLOOKUP(O$4,'DB Services ISM'!$A:$S,MATCH($B13,'DB Services ISM'!$A$1:$S$1,0),0)</f>
        <v/>
      </c>
      <c r="P13" s="2">
        <f>VLOOKUP(P$4,'DB Services ISM'!$A:$S,MATCH($B13,'DB Services ISM'!$A$1:$S$1,0),0)</f>
        <v/>
      </c>
      <c r="Q13" s="2">
        <f>VLOOKUP(Q$4,'DB Services ISM'!$A:$S,MATCH($B13,'DB Services ISM'!$A$1:$S$1,0),0)</f>
        <v/>
      </c>
      <c r="R13" s="2">
        <f>VLOOKUP(R$4,'DB Services ISM'!$A:$S,MATCH($B13,'DB Services ISM'!$A$1:$S$1,0),0)</f>
        <v/>
      </c>
      <c r="S13" s="2">
        <f>VLOOKUP(S$4,'DB Services ISM'!$A:$S,MATCH($B13,'DB Services ISM'!$A$1:$S$1,0),0)</f>
        <v/>
      </c>
      <c r="T13" s="2">
        <f>VLOOKUP(T$4,'DB Services ISM'!$A:$S,MATCH($B13,'DB Services ISM'!$A$1:$S$1,0),0)</f>
        <v/>
      </c>
      <c r="U13" s="2">
        <f>VLOOKUP(U$4,'DB Services ISM'!$A:$S,MATCH($B13,'DB Services ISM'!$A$1:$S$1,0),0)</f>
        <v/>
      </c>
      <c r="V13" s="2">
        <f>VLOOKUP(V$4,'DB Services ISM'!$A:$S,MATCH($B13,'DB Services ISM'!$A$1:$S$1,0),0)</f>
        <v/>
      </c>
      <c r="W13" s="2">
        <f>VLOOKUP(W$4,'DB Services ISM'!$A:$S,MATCH($B13,'DB Services ISM'!$A$1:$S$1,0),0)</f>
        <v/>
      </c>
      <c r="X13" s="2">
        <f>VLOOKUP(X$4,'DB Services ISM'!$A:$S,MATCH($B13,'DB Services ISM'!$A$1:$S$1,0),0)</f>
        <v/>
      </c>
      <c r="Y13" s="2">
        <f>VLOOKUP(Y$4,'DB Services ISM'!$A:$S,MATCH($B13,'DB Services ISM'!$A$1:$S$1,0),0)</f>
        <v/>
      </c>
      <c r="Z13" s="2">
        <f>VLOOKUP(Z$4,'DB Services ISM'!$A:$S,MATCH($B13,'DB Services ISM'!$A$1:$S$1,0),0)</f>
        <v/>
      </c>
      <c r="AA13" s="2">
        <f>VLOOKUP(AA$4,'DB Services ISM'!$A:$S,MATCH($B13,'DB Services ISM'!$A$1:$S$1,0),0)</f>
        <v/>
      </c>
      <c r="AB13" s="2">
        <f>VLOOKUP(AB$4,'DB Services ISM'!$A:$S,MATCH($B13,'DB Services ISM'!$A$1:$S$1,0),0)</f>
        <v/>
      </c>
      <c r="AC13" s="2">
        <f>VLOOKUP(AC$4,'DB Services ISM'!$A:$S,MATCH($B13,'DB Services ISM'!$A$1:$S$1,0),0)</f>
        <v/>
      </c>
      <c r="AD13" s="2">
        <f>VLOOKUP(AD$4,'DB Services ISM'!$A:$S,MATCH($B13,'DB Services ISM'!$A$1:$S$1,0),0)</f>
        <v/>
      </c>
      <c r="AE13" s="2">
        <f>VLOOKUP(AE$4,'DB Services ISM'!$A:$S,MATCH($B13,'DB Services ISM'!$A$1:$S$1,0),0)</f>
        <v/>
      </c>
      <c r="AF13" s="2">
        <f>VLOOKUP(AF$4,'DB Services ISM'!$A:$S,MATCH($B13,'DB Services ISM'!$A$1:$S$1,0),0)</f>
        <v/>
      </c>
      <c r="AG13" s="33" t="n"/>
      <c r="AH13" s="22">
        <f>AF13-AE13</f>
        <v/>
      </c>
      <c r="AI13" s="34">
        <f>AVERAGE(AD13:AF13)</f>
        <v/>
      </c>
      <c r="AJ13" s="34">
        <f>AVERAGE(AA13:AF13)</f>
        <v/>
      </c>
    </row>
    <row r="14">
      <c r="B14" s="3" t="inlineStr">
        <is>
          <t>Transportation &amp; Warehousing</t>
        </is>
      </c>
      <c r="C14" s="2">
        <f>VLOOKUP(C$4,'DB Services ISM'!$A:$S,MATCH($B14,'DB Services ISM'!$A$1:$S$1,0),0)</f>
        <v/>
      </c>
      <c r="D14" s="2">
        <f>VLOOKUP(D$4,'DB Services ISM'!$A:$S,MATCH($B14,'DB Services ISM'!$A$1:$S$1,0),0)</f>
        <v/>
      </c>
      <c r="E14" s="2">
        <f>VLOOKUP(E$4,'DB Services ISM'!$A:$S,MATCH($B14,'DB Services ISM'!$A$1:$S$1,0),0)</f>
        <v/>
      </c>
      <c r="F14" s="2">
        <f>VLOOKUP(F$4,'DB Services ISM'!$A:$S,MATCH($B14,'DB Services ISM'!$A$1:$S$1,0),0)</f>
        <v/>
      </c>
      <c r="G14" s="2">
        <f>VLOOKUP(G$4,'DB Services ISM'!$A:$S,MATCH($B14,'DB Services ISM'!$A$1:$S$1,0),0)</f>
        <v/>
      </c>
      <c r="H14" s="2">
        <f>VLOOKUP(H$4,'DB Services ISM'!$A:$S,MATCH($B14,'DB Services ISM'!$A$1:$S$1,0),0)</f>
        <v/>
      </c>
      <c r="I14" s="2">
        <f>VLOOKUP(I$4,'DB Services ISM'!$A:$S,MATCH($B14,'DB Services ISM'!$A$1:$S$1,0),0)</f>
        <v/>
      </c>
      <c r="J14" s="2">
        <f>VLOOKUP(J$4,'DB Services ISM'!$A:$S,MATCH($B14,'DB Services ISM'!$A$1:$S$1,0),0)</f>
        <v/>
      </c>
      <c r="K14" s="2">
        <f>VLOOKUP(K$4,'DB Services ISM'!$A:$S,MATCH($B14,'DB Services ISM'!$A$1:$S$1,0),0)</f>
        <v/>
      </c>
      <c r="L14" s="2">
        <f>VLOOKUP(L$4,'DB Services ISM'!$A:$S,MATCH($B14,'DB Services ISM'!$A$1:$S$1,0),0)</f>
        <v/>
      </c>
      <c r="M14" s="2">
        <f>VLOOKUP(M$4,'DB Services ISM'!$A:$S,MATCH($B14,'DB Services ISM'!$A$1:$S$1,0),0)</f>
        <v/>
      </c>
      <c r="N14" s="2">
        <f>VLOOKUP(N$4,'DB Services ISM'!$A:$S,MATCH($B14,'DB Services ISM'!$A$1:$S$1,0),0)</f>
        <v/>
      </c>
      <c r="O14" s="2">
        <f>VLOOKUP(O$4,'DB Services ISM'!$A:$S,MATCH($B14,'DB Services ISM'!$A$1:$S$1,0),0)</f>
        <v/>
      </c>
      <c r="P14" s="2">
        <f>VLOOKUP(P$4,'DB Services ISM'!$A:$S,MATCH($B14,'DB Services ISM'!$A$1:$S$1,0),0)</f>
        <v/>
      </c>
      <c r="Q14" s="2">
        <f>VLOOKUP(Q$4,'DB Services ISM'!$A:$S,MATCH($B14,'DB Services ISM'!$A$1:$S$1,0),0)</f>
        <v/>
      </c>
      <c r="R14" s="2">
        <f>VLOOKUP(R$4,'DB Services ISM'!$A:$S,MATCH($B14,'DB Services ISM'!$A$1:$S$1,0),0)</f>
        <v/>
      </c>
      <c r="S14" s="2">
        <f>VLOOKUP(S$4,'DB Services ISM'!$A:$S,MATCH($B14,'DB Services ISM'!$A$1:$S$1,0),0)</f>
        <v/>
      </c>
      <c r="T14" s="2">
        <f>VLOOKUP(T$4,'DB Services ISM'!$A:$S,MATCH($B14,'DB Services ISM'!$A$1:$S$1,0),0)</f>
        <v/>
      </c>
      <c r="U14" s="2">
        <f>VLOOKUP(U$4,'DB Services ISM'!$A:$S,MATCH($B14,'DB Services ISM'!$A$1:$S$1,0),0)</f>
        <v/>
      </c>
      <c r="V14" s="2">
        <f>VLOOKUP(V$4,'DB Services ISM'!$A:$S,MATCH($B14,'DB Services ISM'!$A$1:$S$1,0),0)</f>
        <v/>
      </c>
      <c r="W14" s="2">
        <f>VLOOKUP(W$4,'DB Services ISM'!$A:$S,MATCH($B14,'DB Services ISM'!$A$1:$S$1,0),0)</f>
        <v/>
      </c>
      <c r="X14" s="2">
        <f>VLOOKUP(X$4,'DB Services ISM'!$A:$S,MATCH($B14,'DB Services ISM'!$A$1:$S$1,0),0)</f>
        <v/>
      </c>
      <c r="Y14" s="2">
        <f>VLOOKUP(Y$4,'DB Services ISM'!$A:$S,MATCH($B14,'DB Services ISM'!$A$1:$S$1,0),0)</f>
        <v/>
      </c>
      <c r="Z14" s="2">
        <f>VLOOKUP(Z$4,'DB Services ISM'!$A:$S,MATCH($B14,'DB Services ISM'!$A$1:$S$1,0),0)</f>
        <v/>
      </c>
      <c r="AA14" s="2">
        <f>VLOOKUP(AA$4,'DB Services ISM'!$A:$S,MATCH($B14,'DB Services ISM'!$A$1:$S$1,0),0)</f>
        <v/>
      </c>
      <c r="AB14" s="2">
        <f>VLOOKUP(AB$4,'DB Services ISM'!$A:$S,MATCH($B14,'DB Services ISM'!$A$1:$S$1,0),0)</f>
        <v/>
      </c>
      <c r="AC14" s="2">
        <f>VLOOKUP(AC$4,'DB Services ISM'!$A:$S,MATCH($B14,'DB Services ISM'!$A$1:$S$1,0),0)</f>
        <v/>
      </c>
      <c r="AD14" s="2">
        <f>VLOOKUP(AD$4,'DB Services ISM'!$A:$S,MATCH($B14,'DB Services ISM'!$A$1:$S$1,0),0)</f>
        <v/>
      </c>
      <c r="AE14" s="2">
        <f>VLOOKUP(AE$4,'DB Services ISM'!$A:$S,MATCH($B14,'DB Services ISM'!$A$1:$S$1,0),0)</f>
        <v/>
      </c>
      <c r="AF14" s="2">
        <f>VLOOKUP(AF$4,'DB Services ISM'!$A:$S,MATCH($B14,'DB Services ISM'!$A$1:$S$1,0),0)</f>
        <v/>
      </c>
      <c r="AG14" s="33" t="n"/>
      <c r="AH14" s="22">
        <f>AF14-AE14</f>
        <v/>
      </c>
      <c r="AI14" s="34">
        <f>AVERAGE(AD14:AF14)</f>
        <v/>
      </c>
      <c r="AJ14" s="34">
        <f>AVERAGE(AA14:AF14)</f>
        <v/>
      </c>
    </row>
    <row r="15">
      <c r="B15" s="3" t="inlineStr">
        <is>
          <t>Mining</t>
        </is>
      </c>
      <c r="C15" s="2">
        <f>VLOOKUP(C$4,'DB Services ISM'!$A:$S,MATCH($B15,'DB Services ISM'!$A$1:$S$1,0),0)</f>
        <v/>
      </c>
      <c r="D15" s="2">
        <f>VLOOKUP(D$4,'DB Services ISM'!$A:$S,MATCH($B15,'DB Services ISM'!$A$1:$S$1,0),0)</f>
        <v/>
      </c>
      <c r="E15" s="2">
        <f>VLOOKUP(E$4,'DB Services ISM'!$A:$S,MATCH($B15,'DB Services ISM'!$A$1:$S$1,0),0)</f>
        <v/>
      </c>
      <c r="F15" s="2">
        <f>VLOOKUP(F$4,'DB Services ISM'!$A:$S,MATCH($B15,'DB Services ISM'!$A$1:$S$1,0),0)</f>
        <v/>
      </c>
      <c r="G15" s="2">
        <f>VLOOKUP(G$4,'DB Services ISM'!$A:$S,MATCH($B15,'DB Services ISM'!$A$1:$S$1,0),0)</f>
        <v/>
      </c>
      <c r="H15" s="2">
        <f>VLOOKUP(H$4,'DB Services ISM'!$A:$S,MATCH($B15,'DB Services ISM'!$A$1:$S$1,0),0)</f>
        <v/>
      </c>
      <c r="I15" s="2">
        <f>VLOOKUP(I$4,'DB Services ISM'!$A:$S,MATCH($B15,'DB Services ISM'!$A$1:$S$1,0),0)</f>
        <v/>
      </c>
      <c r="J15" s="2">
        <f>VLOOKUP(J$4,'DB Services ISM'!$A:$S,MATCH($B15,'DB Services ISM'!$A$1:$S$1,0),0)</f>
        <v/>
      </c>
      <c r="K15" s="2">
        <f>VLOOKUP(K$4,'DB Services ISM'!$A:$S,MATCH($B15,'DB Services ISM'!$A$1:$S$1,0),0)</f>
        <v/>
      </c>
      <c r="L15" s="2">
        <f>VLOOKUP(L$4,'DB Services ISM'!$A:$S,MATCH($B15,'DB Services ISM'!$A$1:$S$1,0),0)</f>
        <v/>
      </c>
      <c r="M15" s="2">
        <f>VLOOKUP(M$4,'DB Services ISM'!$A:$S,MATCH($B15,'DB Services ISM'!$A$1:$S$1,0),0)</f>
        <v/>
      </c>
      <c r="N15" s="2">
        <f>VLOOKUP(N$4,'DB Services ISM'!$A:$S,MATCH($B15,'DB Services ISM'!$A$1:$S$1,0),0)</f>
        <v/>
      </c>
      <c r="O15" s="2">
        <f>VLOOKUP(O$4,'DB Services ISM'!$A:$S,MATCH($B15,'DB Services ISM'!$A$1:$S$1,0),0)</f>
        <v/>
      </c>
      <c r="P15" s="2">
        <f>VLOOKUP(P$4,'DB Services ISM'!$A:$S,MATCH($B15,'DB Services ISM'!$A$1:$S$1,0),0)</f>
        <v/>
      </c>
      <c r="Q15" s="2">
        <f>VLOOKUP(Q$4,'DB Services ISM'!$A:$S,MATCH($B15,'DB Services ISM'!$A$1:$S$1,0),0)</f>
        <v/>
      </c>
      <c r="R15" s="2">
        <f>VLOOKUP(R$4,'DB Services ISM'!$A:$S,MATCH($B15,'DB Services ISM'!$A$1:$S$1,0),0)</f>
        <v/>
      </c>
      <c r="S15" s="2">
        <f>VLOOKUP(S$4,'DB Services ISM'!$A:$S,MATCH($B15,'DB Services ISM'!$A$1:$S$1,0),0)</f>
        <v/>
      </c>
      <c r="T15" s="2">
        <f>VLOOKUP(T$4,'DB Services ISM'!$A:$S,MATCH($B15,'DB Services ISM'!$A$1:$S$1,0),0)</f>
        <v/>
      </c>
      <c r="U15" s="2">
        <f>VLOOKUP(U$4,'DB Services ISM'!$A:$S,MATCH($B15,'DB Services ISM'!$A$1:$S$1,0),0)</f>
        <v/>
      </c>
      <c r="V15" s="2">
        <f>VLOOKUP(V$4,'DB Services ISM'!$A:$S,MATCH($B15,'DB Services ISM'!$A$1:$S$1,0),0)</f>
        <v/>
      </c>
      <c r="W15" s="2">
        <f>VLOOKUP(W$4,'DB Services ISM'!$A:$S,MATCH($B15,'DB Services ISM'!$A$1:$S$1,0),0)</f>
        <v/>
      </c>
      <c r="X15" s="2">
        <f>VLOOKUP(X$4,'DB Services ISM'!$A:$S,MATCH($B15,'DB Services ISM'!$A$1:$S$1,0),0)</f>
        <v/>
      </c>
      <c r="Y15" s="2">
        <f>VLOOKUP(Y$4,'DB Services ISM'!$A:$S,MATCH($B15,'DB Services ISM'!$A$1:$S$1,0),0)</f>
        <v/>
      </c>
      <c r="Z15" s="2">
        <f>VLOOKUP(Z$4,'DB Services ISM'!$A:$S,MATCH($B15,'DB Services ISM'!$A$1:$S$1,0),0)</f>
        <v/>
      </c>
      <c r="AA15" s="2">
        <f>VLOOKUP(AA$4,'DB Services ISM'!$A:$S,MATCH($B15,'DB Services ISM'!$A$1:$S$1,0),0)</f>
        <v/>
      </c>
      <c r="AB15" s="2">
        <f>VLOOKUP(AB$4,'DB Services ISM'!$A:$S,MATCH($B15,'DB Services ISM'!$A$1:$S$1,0),0)</f>
        <v/>
      </c>
      <c r="AC15" s="2">
        <f>VLOOKUP(AC$4,'DB Services ISM'!$A:$S,MATCH($B15,'DB Services ISM'!$A$1:$S$1,0),0)</f>
        <v/>
      </c>
      <c r="AD15" s="2">
        <f>VLOOKUP(AD$4,'DB Services ISM'!$A:$S,MATCH($B15,'DB Services ISM'!$A$1:$S$1,0),0)</f>
        <v/>
      </c>
      <c r="AE15" s="2">
        <f>VLOOKUP(AE$4,'DB Services ISM'!$A:$S,MATCH($B15,'DB Services ISM'!$A$1:$S$1,0),0)</f>
        <v/>
      </c>
      <c r="AF15" s="2">
        <f>VLOOKUP(AF$4,'DB Services ISM'!$A:$S,MATCH($B15,'DB Services ISM'!$A$1:$S$1,0),0)</f>
        <v/>
      </c>
      <c r="AG15" s="33" t="n"/>
      <c r="AH15" s="22">
        <f>AF15-AE15</f>
        <v/>
      </c>
      <c r="AI15" s="34">
        <f>AVERAGE(AD15:AF15)</f>
        <v/>
      </c>
      <c r="AJ15" s="34">
        <f>AVERAGE(AA15:AF15)</f>
        <v/>
      </c>
    </row>
    <row r="16">
      <c r="B16" s="3" t="inlineStr">
        <is>
          <t>Construction</t>
        </is>
      </c>
      <c r="C16" s="2">
        <f>VLOOKUP(C$4,'DB Services ISM'!$A:$S,MATCH($B16,'DB Services ISM'!$A$1:$S$1,0),0)</f>
        <v/>
      </c>
      <c r="D16" s="2">
        <f>VLOOKUP(D$4,'DB Services ISM'!$A:$S,MATCH($B16,'DB Services ISM'!$A$1:$S$1,0),0)</f>
        <v/>
      </c>
      <c r="E16" s="2">
        <f>VLOOKUP(E$4,'DB Services ISM'!$A:$S,MATCH($B16,'DB Services ISM'!$A$1:$S$1,0),0)</f>
        <v/>
      </c>
      <c r="F16" s="2">
        <f>VLOOKUP(F$4,'DB Services ISM'!$A:$S,MATCH($B16,'DB Services ISM'!$A$1:$S$1,0),0)</f>
        <v/>
      </c>
      <c r="G16" s="2">
        <f>VLOOKUP(G$4,'DB Services ISM'!$A:$S,MATCH($B16,'DB Services ISM'!$A$1:$S$1,0),0)</f>
        <v/>
      </c>
      <c r="H16" s="2">
        <f>VLOOKUP(H$4,'DB Services ISM'!$A:$S,MATCH($B16,'DB Services ISM'!$A$1:$S$1,0),0)</f>
        <v/>
      </c>
      <c r="I16" s="2">
        <f>VLOOKUP(I$4,'DB Services ISM'!$A:$S,MATCH($B16,'DB Services ISM'!$A$1:$S$1,0),0)</f>
        <v/>
      </c>
      <c r="J16" s="2">
        <f>VLOOKUP(J$4,'DB Services ISM'!$A:$S,MATCH($B16,'DB Services ISM'!$A$1:$S$1,0),0)</f>
        <v/>
      </c>
      <c r="K16" s="2">
        <f>VLOOKUP(K$4,'DB Services ISM'!$A:$S,MATCH($B16,'DB Services ISM'!$A$1:$S$1,0),0)</f>
        <v/>
      </c>
      <c r="L16" s="2">
        <f>VLOOKUP(L$4,'DB Services ISM'!$A:$S,MATCH($B16,'DB Services ISM'!$A$1:$S$1,0),0)</f>
        <v/>
      </c>
      <c r="M16" s="2">
        <f>VLOOKUP(M$4,'DB Services ISM'!$A:$S,MATCH($B16,'DB Services ISM'!$A$1:$S$1,0),0)</f>
        <v/>
      </c>
      <c r="N16" s="2">
        <f>VLOOKUP(N$4,'DB Services ISM'!$A:$S,MATCH($B16,'DB Services ISM'!$A$1:$S$1,0),0)</f>
        <v/>
      </c>
      <c r="O16" s="2">
        <f>VLOOKUP(O$4,'DB Services ISM'!$A:$S,MATCH($B16,'DB Services ISM'!$A$1:$S$1,0),0)</f>
        <v/>
      </c>
      <c r="P16" s="2">
        <f>VLOOKUP(P$4,'DB Services ISM'!$A:$S,MATCH($B16,'DB Services ISM'!$A$1:$S$1,0),0)</f>
        <v/>
      </c>
      <c r="Q16" s="2">
        <f>VLOOKUP(Q$4,'DB Services ISM'!$A:$S,MATCH($B16,'DB Services ISM'!$A$1:$S$1,0),0)</f>
        <v/>
      </c>
      <c r="R16" s="2">
        <f>VLOOKUP(R$4,'DB Services ISM'!$A:$S,MATCH($B16,'DB Services ISM'!$A$1:$S$1,0),0)</f>
        <v/>
      </c>
      <c r="S16" s="2">
        <f>VLOOKUP(S$4,'DB Services ISM'!$A:$S,MATCH($B16,'DB Services ISM'!$A$1:$S$1,0),0)</f>
        <v/>
      </c>
      <c r="T16" s="2">
        <f>VLOOKUP(T$4,'DB Services ISM'!$A:$S,MATCH($B16,'DB Services ISM'!$A$1:$S$1,0),0)</f>
        <v/>
      </c>
      <c r="U16" s="2">
        <f>VLOOKUP(U$4,'DB Services ISM'!$A:$S,MATCH($B16,'DB Services ISM'!$A$1:$S$1,0),0)</f>
        <v/>
      </c>
      <c r="V16" s="2">
        <f>VLOOKUP(V$4,'DB Services ISM'!$A:$S,MATCH($B16,'DB Services ISM'!$A$1:$S$1,0),0)</f>
        <v/>
      </c>
      <c r="W16" s="2">
        <f>VLOOKUP(W$4,'DB Services ISM'!$A:$S,MATCH($B16,'DB Services ISM'!$A$1:$S$1,0),0)</f>
        <v/>
      </c>
      <c r="X16" s="2">
        <f>VLOOKUP(X$4,'DB Services ISM'!$A:$S,MATCH($B16,'DB Services ISM'!$A$1:$S$1,0),0)</f>
        <v/>
      </c>
      <c r="Y16" s="2">
        <f>VLOOKUP(Y$4,'DB Services ISM'!$A:$S,MATCH($B16,'DB Services ISM'!$A$1:$S$1,0),0)</f>
        <v/>
      </c>
      <c r="Z16" s="2">
        <f>VLOOKUP(Z$4,'DB Services ISM'!$A:$S,MATCH($B16,'DB Services ISM'!$A$1:$S$1,0),0)</f>
        <v/>
      </c>
      <c r="AA16" s="2">
        <f>VLOOKUP(AA$4,'DB Services ISM'!$A:$S,MATCH($B16,'DB Services ISM'!$A$1:$S$1,0),0)</f>
        <v/>
      </c>
      <c r="AB16" s="2">
        <f>VLOOKUP(AB$4,'DB Services ISM'!$A:$S,MATCH($B16,'DB Services ISM'!$A$1:$S$1,0),0)</f>
        <v/>
      </c>
      <c r="AC16" s="2">
        <f>VLOOKUP(AC$4,'DB Services ISM'!$A:$S,MATCH($B16,'DB Services ISM'!$A$1:$S$1,0),0)</f>
        <v/>
      </c>
      <c r="AD16" s="2">
        <f>VLOOKUP(AD$4,'DB Services ISM'!$A:$S,MATCH($B16,'DB Services ISM'!$A$1:$S$1,0),0)</f>
        <v/>
      </c>
      <c r="AE16" s="2">
        <f>VLOOKUP(AE$4,'DB Services ISM'!$A:$S,MATCH($B16,'DB Services ISM'!$A$1:$S$1,0),0)</f>
        <v/>
      </c>
      <c r="AF16" s="2">
        <f>VLOOKUP(AF$4,'DB Services ISM'!$A:$S,MATCH($B16,'DB Services ISM'!$A$1:$S$1,0),0)</f>
        <v/>
      </c>
      <c r="AG16" s="33" t="n"/>
      <c r="AH16" s="22">
        <f>AF16-AE16</f>
        <v/>
      </c>
      <c r="AI16" s="34">
        <f>AVERAGE(AD16:AF16)</f>
        <v/>
      </c>
      <c r="AJ16" s="34">
        <f>AVERAGE(AA16:AF16)</f>
        <v/>
      </c>
    </row>
    <row r="17">
      <c r="B17" s="3" t="inlineStr">
        <is>
          <t>Wholesale Trade</t>
        </is>
      </c>
      <c r="C17" s="2">
        <f>VLOOKUP(C$4,'DB Services ISM'!$A:$S,MATCH($B17,'DB Services ISM'!$A$1:$S$1,0),0)</f>
        <v/>
      </c>
      <c r="D17" s="2">
        <f>VLOOKUP(D$4,'DB Services ISM'!$A:$S,MATCH($B17,'DB Services ISM'!$A$1:$S$1,0),0)</f>
        <v/>
      </c>
      <c r="E17" s="2">
        <f>VLOOKUP(E$4,'DB Services ISM'!$A:$S,MATCH($B17,'DB Services ISM'!$A$1:$S$1,0),0)</f>
        <v/>
      </c>
      <c r="F17" s="2">
        <f>VLOOKUP(F$4,'DB Services ISM'!$A:$S,MATCH($B17,'DB Services ISM'!$A$1:$S$1,0),0)</f>
        <v/>
      </c>
      <c r="G17" s="2">
        <f>VLOOKUP(G$4,'DB Services ISM'!$A:$S,MATCH($B17,'DB Services ISM'!$A$1:$S$1,0),0)</f>
        <v/>
      </c>
      <c r="H17" s="2">
        <f>VLOOKUP(H$4,'DB Services ISM'!$A:$S,MATCH($B17,'DB Services ISM'!$A$1:$S$1,0),0)</f>
        <v/>
      </c>
      <c r="I17" s="2">
        <f>VLOOKUP(I$4,'DB Services ISM'!$A:$S,MATCH($B17,'DB Services ISM'!$A$1:$S$1,0),0)</f>
        <v/>
      </c>
      <c r="J17" s="2">
        <f>VLOOKUP(J$4,'DB Services ISM'!$A:$S,MATCH($B17,'DB Services ISM'!$A$1:$S$1,0),0)</f>
        <v/>
      </c>
      <c r="K17" s="2">
        <f>VLOOKUP(K$4,'DB Services ISM'!$A:$S,MATCH($B17,'DB Services ISM'!$A$1:$S$1,0),0)</f>
        <v/>
      </c>
      <c r="L17" s="2">
        <f>VLOOKUP(L$4,'DB Services ISM'!$A:$S,MATCH($B17,'DB Services ISM'!$A$1:$S$1,0),0)</f>
        <v/>
      </c>
      <c r="M17" s="2">
        <f>VLOOKUP(M$4,'DB Services ISM'!$A:$S,MATCH($B17,'DB Services ISM'!$A$1:$S$1,0),0)</f>
        <v/>
      </c>
      <c r="N17" s="2">
        <f>VLOOKUP(N$4,'DB Services ISM'!$A:$S,MATCH($B17,'DB Services ISM'!$A$1:$S$1,0),0)</f>
        <v/>
      </c>
      <c r="O17" s="2">
        <f>VLOOKUP(O$4,'DB Services ISM'!$A:$S,MATCH($B17,'DB Services ISM'!$A$1:$S$1,0),0)</f>
        <v/>
      </c>
      <c r="P17" s="2">
        <f>VLOOKUP(P$4,'DB Services ISM'!$A:$S,MATCH($B17,'DB Services ISM'!$A$1:$S$1,0),0)</f>
        <v/>
      </c>
      <c r="Q17" s="2">
        <f>VLOOKUP(Q$4,'DB Services ISM'!$A:$S,MATCH($B17,'DB Services ISM'!$A$1:$S$1,0),0)</f>
        <v/>
      </c>
      <c r="R17" s="2">
        <f>VLOOKUP(R$4,'DB Services ISM'!$A:$S,MATCH($B17,'DB Services ISM'!$A$1:$S$1,0),0)</f>
        <v/>
      </c>
      <c r="S17" s="2">
        <f>VLOOKUP(S$4,'DB Services ISM'!$A:$S,MATCH($B17,'DB Services ISM'!$A$1:$S$1,0),0)</f>
        <v/>
      </c>
      <c r="T17" s="2">
        <f>VLOOKUP(T$4,'DB Services ISM'!$A:$S,MATCH($B17,'DB Services ISM'!$A$1:$S$1,0),0)</f>
        <v/>
      </c>
      <c r="U17" s="2">
        <f>VLOOKUP(U$4,'DB Services ISM'!$A:$S,MATCH($B17,'DB Services ISM'!$A$1:$S$1,0),0)</f>
        <v/>
      </c>
      <c r="V17" s="2">
        <f>VLOOKUP(V$4,'DB Services ISM'!$A:$S,MATCH($B17,'DB Services ISM'!$A$1:$S$1,0),0)</f>
        <v/>
      </c>
      <c r="W17" s="2">
        <f>VLOOKUP(W$4,'DB Services ISM'!$A:$S,MATCH($B17,'DB Services ISM'!$A$1:$S$1,0),0)</f>
        <v/>
      </c>
      <c r="X17" s="2">
        <f>VLOOKUP(X$4,'DB Services ISM'!$A:$S,MATCH($B17,'DB Services ISM'!$A$1:$S$1,0),0)</f>
        <v/>
      </c>
      <c r="Y17" s="2">
        <f>VLOOKUP(Y$4,'DB Services ISM'!$A:$S,MATCH($B17,'DB Services ISM'!$A$1:$S$1,0),0)</f>
        <v/>
      </c>
      <c r="Z17" s="2">
        <f>VLOOKUP(Z$4,'DB Services ISM'!$A:$S,MATCH($B17,'DB Services ISM'!$A$1:$S$1,0),0)</f>
        <v/>
      </c>
      <c r="AA17" s="2">
        <f>VLOOKUP(AA$4,'DB Services ISM'!$A:$S,MATCH($B17,'DB Services ISM'!$A$1:$S$1,0),0)</f>
        <v/>
      </c>
      <c r="AB17" s="2">
        <f>VLOOKUP(AB$4,'DB Services ISM'!$A:$S,MATCH($B17,'DB Services ISM'!$A$1:$S$1,0),0)</f>
        <v/>
      </c>
      <c r="AC17" s="2">
        <f>VLOOKUP(AC$4,'DB Services ISM'!$A:$S,MATCH($B17,'DB Services ISM'!$A$1:$S$1,0),0)</f>
        <v/>
      </c>
      <c r="AD17" s="2">
        <f>VLOOKUP(AD$4,'DB Services ISM'!$A:$S,MATCH($B17,'DB Services ISM'!$A$1:$S$1,0),0)</f>
        <v/>
      </c>
      <c r="AE17" s="2">
        <f>VLOOKUP(AE$4,'DB Services ISM'!$A:$S,MATCH($B17,'DB Services ISM'!$A$1:$S$1,0),0)</f>
        <v/>
      </c>
      <c r="AF17" s="2">
        <f>VLOOKUP(AF$4,'DB Services ISM'!$A:$S,MATCH($B17,'DB Services ISM'!$A$1:$S$1,0),0)</f>
        <v/>
      </c>
      <c r="AG17" s="33" t="n"/>
      <c r="AH17" s="22">
        <f>AF17-AE17</f>
        <v/>
      </c>
      <c r="AI17" s="34">
        <f>AVERAGE(AD17:AF17)</f>
        <v/>
      </c>
      <c r="AJ17" s="34">
        <f>AVERAGE(AA17:AF17)</f>
        <v/>
      </c>
    </row>
    <row r="18">
      <c r="B18" s="3" t="inlineStr">
        <is>
          <t>Public Administration</t>
        </is>
      </c>
      <c r="C18" s="2">
        <f>VLOOKUP(C$4,'DB Services ISM'!$A:$S,MATCH($B18,'DB Services ISM'!$A$1:$S$1,0),0)</f>
        <v/>
      </c>
      <c r="D18" s="2">
        <f>VLOOKUP(D$4,'DB Services ISM'!$A:$S,MATCH($B18,'DB Services ISM'!$A$1:$S$1,0),0)</f>
        <v/>
      </c>
      <c r="E18" s="2">
        <f>VLOOKUP(E$4,'DB Services ISM'!$A:$S,MATCH($B18,'DB Services ISM'!$A$1:$S$1,0),0)</f>
        <v/>
      </c>
      <c r="F18" s="2">
        <f>VLOOKUP(F$4,'DB Services ISM'!$A:$S,MATCH($B18,'DB Services ISM'!$A$1:$S$1,0),0)</f>
        <v/>
      </c>
      <c r="G18" s="2">
        <f>VLOOKUP(G$4,'DB Services ISM'!$A:$S,MATCH($B18,'DB Services ISM'!$A$1:$S$1,0),0)</f>
        <v/>
      </c>
      <c r="H18" s="2">
        <f>VLOOKUP(H$4,'DB Services ISM'!$A:$S,MATCH($B18,'DB Services ISM'!$A$1:$S$1,0),0)</f>
        <v/>
      </c>
      <c r="I18" s="2">
        <f>VLOOKUP(I$4,'DB Services ISM'!$A:$S,MATCH($B18,'DB Services ISM'!$A$1:$S$1,0),0)</f>
        <v/>
      </c>
      <c r="J18" s="2">
        <f>VLOOKUP(J$4,'DB Services ISM'!$A:$S,MATCH($B18,'DB Services ISM'!$A$1:$S$1,0),0)</f>
        <v/>
      </c>
      <c r="K18" s="2">
        <f>VLOOKUP(K$4,'DB Services ISM'!$A:$S,MATCH($B18,'DB Services ISM'!$A$1:$S$1,0),0)</f>
        <v/>
      </c>
      <c r="L18" s="2">
        <f>VLOOKUP(L$4,'DB Services ISM'!$A:$S,MATCH($B18,'DB Services ISM'!$A$1:$S$1,0),0)</f>
        <v/>
      </c>
      <c r="M18" s="2">
        <f>VLOOKUP(M$4,'DB Services ISM'!$A:$S,MATCH($B18,'DB Services ISM'!$A$1:$S$1,0),0)</f>
        <v/>
      </c>
      <c r="N18" s="2">
        <f>VLOOKUP(N$4,'DB Services ISM'!$A:$S,MATCH($B18,'DB Services ISM'!$A$1:$S$1,0),0)</f>
        <v/>
      </c>
      <c r="O18" s="2">
        <f>VLOOKUP(O$4,'DB Services ISM'!$A:$S,MATCH($B18,'DB Services ISM'!$A$1:$S$1,0),0)</f>
        <v/>
      </c>
      <c r="P18" s="2">
        <f>VLOOKUP(P$4,'DB Services ISM'!$A:$S,MATCH($B18,'DB Services ISM'!$A$1:$S$1,0),0)</f>
        <v/>
      </c>
      <c r="Q18" s="2">
        <f>VLOOKUP(Q$4,'DB Services ISM'!$A:$S,MATCH($B18,'DB Services ISM'!$A$1:$S$1,0),0)</f>
        <v/>
      </c>
      <c r="R18" s="2">
        <f>VLOOKUP(R$4,'DB Services ISM'!$A:$S,MATCH($B18,'DB Services ISM'!$A$1:$S$1,0),0)</f>
        <v/>
      </c>
      <c r="S18" s="2">
        <f>VLOOKUP(S$4,'DB Services ISM'!$A:$S,MATCH($B18,'DB Services ISM'!$A$1:$S$1,0),0)</f>
        <v/>
      </c>
      <c r="T18" s="2">
        <f>VLOOKUP(T$4,'DB Services ISM'!$A:$S,MATCH($B18,'DB Services ISM'!$A$1:$S$1,0),0)</f>
        <v/>
      </c>
      <c r="U18" s="2">
        <f>VLOOKUP(U$4,'DB Services ISM'!$A:$S,MATCH($B18,'DB Services ISM'!$A$1:$S$1,0),0)</f>
        <v/>
      </c>
      <c r="V18" s="2">
        <f>VLOOKUP(V$4,'DB Services ISM'!$A:$S,MATCH($B18,'DB Services ISM'!$A$1:$S$1,0),0)</f>
        <v/>
      </c>
      <c r="W18" s="2">
        <f>VLOOKUP(W$4,'DB Services ISM'!$A:$S,MATCH($B18,'DB Services ISM'!$A$1:$S$1,0),0)</f>
        <v/>
      </c>
      <c r="X18" s="2">
        <f>VLOOKUP(X$4,'DB Services ISM'!$A:$S,MATCH($B18,'DB Services ISM'!$A$1:$S$1,0),0)</f>
        <v/>
      </c>
      <c r="Y18" s="2">
        <f>VLOOKUP(Y$4,'DB Services ISM'!$A:$S,MATCH($B18,'DB Services ISM'!$A$1:$S$1,0),0)</f>
        <v/>
      </c>
      <c r="Z18" s="2">
        <f>VLOOKUP(Z$4,'DB Services ISM'!$A:$S,MATCH($B18,'DB Services ISM'!$A$1:$S$1,0),0)</f>
        <v/>
      </c>
      <c r="AA18" s="2">
        <f>VLOOKUP(AA$4,'DB Services ISM'!$A:$S,MATCH($B18,'DB Services ISM'!$A$1:$S$1,0),0)</f>
        <v/>
      </c>
      <c r="AB18" s="2">
        <f>VLOOKUP(AB$4,'DB Services ISM'!$A:$S,MATCH($B18,'DB Services ISM'!$A$1:$S$1,0),0)</f>
        <v/>
      </c>
      <c r="AC18" s="2">
        <f>VLOOKUP(AC$4,'DB Services ISM'!$A:$S,MATCH($B18,'DB Services ISM'!$A$1:$S$1,0),0)</f>
        <v/>
      </c>
      <c r="AD18" s="2">
        <f>VLOOKUP(AD$4,'DB Services ISM'!$A:$S,MATCH($B18,'DB Services ISM'!$A$1:$S$1,0),0)</f>
        <v/>
      </c>
      <c r="AE18" s="2">
        <f>VLOOKUP(AE$4,'DB Services ISM'!$A:$S,MATCH($B18,'DB Services ISM'!$A$1:$S$1,0),0)</f>
        <v/>
      </c>
      <c r="AF18" s="2">
        <f>VLOOKUP(AF$4,'DB Services ISM'!$A:$S,MATCH($B18,'DB Services ISM'!$A$1:$S$1,0),0)</f>
        <v/>
      </c>
      <c r="AG18" s="33" t="n"/>
      <c r="AH18" s="22">
        <f>AF18-AE18</f>
        <v/>
      </c>
      <c r="AI18" s="34">
        <f>AVERAGE(AD18:AF18)</f>
        <v/>
      </c>
      <c r="AJ18" s="34">
        <f>AVERAGE(AA18:AF18)</f>
        <v/>
      </c>
      <c r="AM18" s="35" t="n"/>
    </row>
    <row r="19">
      <c r="B19" s="3" t="inlineStr">
        <is>
          <t>Professional, Scientific &amp; Technical Services</t>
        </is>
      </c>
      <c r="C19" s="2">
        <f>VLOOKUP(C$4,'DB Services ISM'!$A:$S,MATCH($B19,'DB Services ISM'!$A$1:$S$1,0),0)</f>
        <v/>
      </c>
      <c r="D19" s="2">
        <f>VLOOKUP(D$4,'DB Services ISM'!$A:$S,MATCH($B19,'DB Services ISM'!$A$1:$S$1,0),0)</f>
        <v/>
      </c>
      <c r="E19" s="2">
        <f>VLOOKUP(E$4,'DB Services ISM'!$A:$S,MATCH($B19,'DB Services ISM'!$A$1:$S$1,0),0)</f>
        <v/>
      </c>
      <c r="F19" s="2">
        <f>VLOOKUP(F$4,'DB Services ISM'!$A:$S,MATCH($B19,'DB Services ISM'!$A$1:$S$1,0),0)</f>
        <v/>
      </c>
      <c r="G19" s="2">
        <f>VLOOKUP(G$4,'DB Services ISM'!$A:$S,MATCH($B19,'DB Services ISM'!$A$1:$S$1,0),0)</f>
        <v/>
      </c>
      <c r="H19" s="2">
        <f>VLOOKUP(H$4,'DB Services ISM'!$A:$S,MATCH($B19,'DB Services ISM'!$A$1:$S$1,0),0)</f>
        <v/>
      </c>
      <c r="I19" s="2">
        <f>VLOOKUP(I$4,'DB Services ISM'!$A:$S,MATCH($B19,'DB Services ISM'!$A$1:$S$1,0),0)</f>
        <v/>
      </c>
      <c r="J19" s="2">
        <f>VLOOKUP(J$4,'DB Services ISM'!$A:$S,MATCH($B19,'DB Services ISM'!$A$1:$S$1,0),0)</f>
        <v/>
      </c>
      <c r="K19" s="2">
        <f>VLOOKUP(K$4,'DB Services ISM'!$A:$S,MATCH($B19,'DB Services ISM'!$A$1:$S$1,0),0)</f>
        <v/>
      </c>
      <c r="L19" s="2">
        <f>VLOOKUP(L$4,'DB Services ISM'!$A:$S,MATCH($B19,'DB Services ISM'!$A$1:$S$1,0),0)</f>
        <v/>
      </c>
      <c r="M19" s="2">
        <f>VLOOKUP(M$4,'DB Services ISM'!$A:$S,MATCH($B19,'DB Services ISM'!$A$1:$S$1,0),0)</f>
        <v/>
      </c>
      <c r="N19" s="2">
        <f>VLOOKUP(N$4,'DB Services ISM'!$A:$S,MATCH($B19,'DB Services ISM'!$A$1:$S$1,0),0)</f>
        <v/>
      </c>
      <c r="O19" s="2">
        <f>VLOOKUP(O$4,'DB Services ISM'!$A:$S,MATCH($B19,'DB Services ISM'!$A$1:$S$1,0),0)</f>
        <v/>
      </c>
      <c r="P19" s="2">
        <f>VLOOKUP(P$4,'DB Services ISM'!$A:$S,MATCH($B19,'DB Services ISM'!$A$1:$S$1,0),0)</f>
        <v/>
      </c>
      <c r="Q19" s="2">
        <f>VLOOKUP(Q$4,'DB Services ISM'!$A:$S,MATCH($B19,'DB Services ISM'!$A$1:$S$1,0),0)</f>
        <v/>
      </c>
      <c r="R19" s="2">
        <f>VLOOKUP(R$4,'DB Services ISM'!$A:$S,MATCH($B19,'DB Services ISM'!$A$1:$S$1,0),0)</f>
        <v/>
      </c>
      <c r="S19" s="2">
        <f>VLOOKUP(S$4,'DB Services ISM'!$A:$S,MATCH($B19,'DB Services ISM'!$A$1:$S$1,0),0)</f>
        <v/>
      </c>
      <c r="T19" s="2">
        <f>VLOOKUP(T$4,'DB Services ISM'!$A:$S,MATCH($B19,'DB Services ISM'!$A$1:$S$1,0),0)</f>
        <v/>
      </c>
      <c r="U19" s="2">
        <f>VLOOKUP(U$4,'DB Services ISM'!$A:$S,MATCH($B19,'DB Services ISM'!$A$1:$S$1,0),0)</f>
        <v/>
      </c>
      <c r="V19" s="2">
        <f>VLOOKUP(V$4,'DB Services ISM'!$A:$S,MATCH($B19,'DB Services ISM'!$A$1:$S$1,0),0)</f>
        <v/>
      </c>
      <c r="W19" s="2">
        <f>VLOOKUP(W$4,'DB Services ISM'!$A:$S,MATCH($B19,'DB Services ISM'!$A$1:$S$1,0),0)</f>
        <v/>
      </c>
      <c r="X19" s="2">
        <f>VLOOKUP(X$4,'DB Services ISM'!$A:$S,MATCH($B19,'DB Services ISM'!$A$1:$S$1,0),0)</f>
        <v/>
      </c>
      <c r="Y19" s="2">
        <f>VLOOKUP(Y$4,'DB Services ISM'!$A:$S,MATCH($B19,'DB Services ISM'!$A$1:$S$1,0),0)</f>
        <v/>
      </c>
      <c r="Z19" s="2">
        <f>VLOOKUP(Z$4,'DB Services ISM'!$A:$S,MATCH($B19,'DB Services ISM'!$A$1:$S$1,0),0)</f>
        <v/>
      </c>
      <c r="AA19" s="2">
        <f>VLOOKUP(AA$4,'DB Services ISM'!$A:$S,MATCH($B19,'DB Services ISM'!$A$1:$S$1,0),0)</f>
        <v/>
      </c>
      <c r="AB19" s="2">
        <f>VLOOKUP(AB$4,'DB Services ISM'!$A:$S,MATCH($B19,'DB Services ISM'!$A$1:$S$1,0),0)</f>
        <v/>
      </c>
      <c r="AC19" s="2">
        <f>VLOOKUP(AC$4,'DB Services ISM'!$A:$S,MATCH($B19,'DB Services ISM'!$A$1:$S$1,0),0)</f>
        <v/>
      </c>
      <c r="AD19" s="2">
        <f>VLOOKUP(AD$4,'DB Services ISM'!$A:$S,MATCH($B19,'DB Services ISM'!$A$1:$S$1,0),0)</f>
        <v/>
      </c>
      <c r="AE19" s="2">
        <f>VLOOKUP(AE$4,'DB Services ISM'!$A:$S,MATCH($B19,'DB Services ISM'!$A$1:$S$1,0),0)</f>
        <v/>
      </c>
      <c r="AF19" s="2">
        <f>VLOOKUP(AF$4,'DB Services ISM'!$A:$S,MATCH($B19,'DB Services ISM'!$A$1:$S$1,0),0)</f>
        <v/>
      </c>
      <c r="AG19" s="33" t="n"/>
      <c r="AH19" s="22">
        <f>AF19-AE19</f>
        <v/>
      </c>
      <c r="AI19" s="34">
        <f>AVERAGE(AD19:AF19)</f>
        <v/>
      </c>
      <c r="AJ19" s="34">
        <f>AVERAGE(AA19:AF19)</f>
        <v/>
      </c>
    </row>
    <row r="20">
      <c r="B20" s="3" t="inlineStr">
        <is>
          <t>Agriculture, Forestry, Fishing &amp; Hunting</t>
        </is>
      </c>
      <c r="C20" s="2">
        <f>VLOOKUP(C$4,'DB Services ISM'!$A:$S,MATCH($B20,'DB Services ISM'!$A$1:$S$1,0),0)</f>
        <v/>
      </c>
      <c r="D20" s="2">
        <f>VLOOKUP(D$4,'DB Services ISM'!$A:$S,MATCH($B20,'DB Services ISM'!$A$1:$S$1,0),0)</f>
        <v/>
      </c>
      <c r="E20" s="2">
        <f>VLOOKUP(E$4,'DB Services ISM'!$A:$S,MATCH($B20,'DB Services ISM'!$A$1:$S$1,0),0)</f>
        <v/>
      </c>
      <c r="F20" s="2">
        <f>VLOOKUP(F$4,'DB Services ISM'!$A:$S,MATCH($B20,'DB Services ISM'!$A$1:$S$1,0),0)</f>
        <v/>
      </c>
      <c r="G20" s="2">
        <f>VLOOKUP(G$4,'DB Services ISM'!$A:$S,MATCH($B20,'DB Services ISM'!$A$1:$S$1,0),0)</f>
        <v/>
      </c>
      <c r="H20" s="2">
        <f>VLOOKUP(H$4,'DB Services ISM'!$A:$S,MATCH($B20,'DB Services ISM'!$A$1:$S$1,0),0)</f>
        <v/>
      </c>
      <c r="I20" s="2">
        <f>VLOOKUP(I$4,'DB Services ISM'!$A:$S,MATCH($B20,'DB Services ISM'!$A$1:$S$1,0),0)</f>
        <v/>
      </c>
      <c r="J20" s="2">
        <f>VLOOKUP(J$4,'DB Services ISM'!$A:$S,MATCH($B20,'DB Services ISM'!$A$1:$S$1,0),0)</f>
        <v/>
      </c>
      <c r="K20" s="2">
        <f>VLOOKUP(K$4,'DB Services ISM'!$A:$S,MATCH($B20,'DB Services ISM'!$A$1:$S$1,0),0)</f>
        <v/>
      </c>
      <c r="L20" s="2">
        <f>VLOOKUP(L$4,'DB Services ISM'!$A:$S,MATCH($B20,'DB Services ISM'!$A$1:$S$1,0),0)</f>
        <v/>
      </c>
      <c r="M20" s="2">
        <f>VLOOKUP(M$4,'DB Services ISM'!$A:$S,MATCH($B20,'DB Services ISM'!$A$1:$S$1,0),0)</f>
        <v/>
      </c>
      <c r="N20" s="2">
        <f>VLOOKUP(N$4,'DB Services ISM'!$A:$S,MATCH($B20,'DB Services ISM'!$A$1:$S$1,0),0)</f>
        <v/>
      </c>
      <c r="O20" s="2">
        <f>VLOOKUP(O$4,'DB Services ISM'!$A:$S,MATCH($B20,'DB Services ISM'!$A$1:$S$1,0),0)</f>
        <v/>
      </c>
      <c r="P20" s="2">
        <f>VLOOKUP(P$4,'DB Services ISM'!$A:$S,MATCH($B20,'DB Services ISM'!$A$1:$S$1,0),0)</f>
        <v/>
      </c>
      <c r="Q20" s="2">
        <f>VLOOKUP(Q$4,'DB Services ISM'!$A:$S,MATCH($B20,'DB Services ISM'!$A$1:$S$1,0),0)</f>
        <v/>
      </c>
      <c r="R20" s="2">
        <f>VLOOKUP(R$4,'DB Services ISM'!$A:$S,MATCH($B20,'DB Services ISM'!$A$1:$S$1,0),0)</f>
        <v/>
      </c>
      <c r="S20" s="2">
        <f>VLOOKUP(S$4,'DB Services ISM'!$A:$S,MATCH($B20,'DB Services ISM'!$A$1:$S$1,0),0)</f>
        <v/>
      </c>
      <c r="T20" s="2">
        <f>VLOOKUP(T$4,'DB Services ISM'!$A:$S,MATCH($B20,'DB Services ISM'!$A$1:$S$1,0),0)</f>
        <v/>
      </c>
      <c r="U20" s="2">
        <f>VLOOKUP(U$4,'DB Services ISM'!$A:$S,MATCH($B20,'DB Services ISM'!$A$1:$S$1,0),0)</f>
        <v/>
      </c>
      <c r="V20" s="2">
        <f>VLOOKUP(V$4,'DB Services ISM'!$A:$S,MATCH($B20,'DB Services ISM'!$A$1:$S$1,0),0)</f>
        <v/>
      </c>
      <c r="W20" s="2">
        <f>VLOOKUP(W$4,'DB Services ISM'!$A:$S,MATCH($B20,'DB Services ISM'!$A$1:$S$1,0),0)</f>
        <v/>
      </c>
      <c r="X20" s="2">
        <f>VLOOKUP(X$4,'DB Services ISM'!$A:$S,MATCH($B20,'DB Services ISM'!$A$1:$S$1,0),0)</f>
        <v/>
      </c>
      <c r="Y20" s="2">
        <f>VLOOKUP(Y$4,'DB Services ISM'!$A:$S,MATCH($B20,'DB Services ISM'!$A$1:$S$1,0),0)</f>
        <v/>
      </c>
      <c r="Z20" s="2">
        <f>VLOOKUP(Z$4,'DB Services ISM'!$A:$S,MATCH($B20,'DB Services ISM'!$A$1:$S$1,0),0)</f>
        <v/>
      </c>
      <c r="AA20" s="2">
        <f>VLOOKUP(AA$4,'DB Services ISM'!$A:$S,MATCH($B20,'DB Services ISM'!$A$1:$S$1,0),0)</f>
        <v/>
      </c>
      <c r="AB20" s="2">
        <f>VLOOKUP(AB$4,'DB Services ISM'!$A:$S,MATCH($B20,'DB Services ISM'!$A$1:$S$1,0),0)</f>
        <v/>
      </c>
      <c r="AC20" s="2">
        <f>VLOOKUP(AC$4,'DB Services ISM'!$A:$S,MATCH($B20,'DB Services ISM'!$A$1:$S$1,0),0)</f>
        <v/>
      </c>
      <c r="AD20" s="2">
        <f>VLOOKUP(AD$4,'DB Services ISM'!$A:$S,MATCH($B20,'DB Services ISM'!$A$1:$S$1,0),0)</f>
        <v/>
      </c>
      <c r="AE20" s="2">
        <f>VLOOKUP(AE$4,'DB Services ISM'!$A:$S,MATCH($B20,'DB Services ISM'!$A$1:$S$1,0),0)</f>
        <v/>
      </c>
      <c r="AF20" s="2">
        <f>VLOOKUP(AF$4,'DB Services ISM'!$A:$S,MATCH($B20,'DB Services ISM'!$A$1:$S$1,0),0)</f>
        <v/>
      </c>
      <c r="AG20" s="33" t="n"/>
      <c r="AH20" s="22">
        <f>AF20-AE20</f>
        <v/>
      </c>
      <c r="AI20" s="34">
        <f>AVERAGE(AD20:AF20)</f>
        <v/>
      </c>
      <c r="AJ20" s="34">
        <f>AVERAGE(AA20:AF20)</f>
        <v/>
      </c>
    </row>
    <row r="21">
      <c r="B21" s="3" t="inlineStr">
        <is>
          <t>Information</t>
        </is>
      </c>
      <c r="C21" s="2">
        <f>VLOOKUP(C$4,'DB Services ISM'!$A:$S,MATCH($B21,'DB Services ISM'!$A$1:$S$1,0),0)</f>
        <v/>
      </c>
      <c r="D21" s="2">
        <f>VLOOKUP(D$4,'DB Services ISM'!$A:$S,MATCH($B21,'DB Services ISM'!$A$1:$S$1,0),0)</f>
        <v/>
      </c>
      <c r="E21" s="2">
        <f>VLOOKUP(E$4,'DB Services ISM'!$A:$S,MATCH($B21,'DB Services ISM'!$A$1:$S$1,0),0)</f>
        <v/>
      </c>
      <c r="F21" s="2">
        <f>VLOOKUP(F$4,'DB Services ISM'!$A:$S,MATCH($B21,'DB Services ISM'!$A$1:$S$1,0),0)</f>
        <v/>
      </c>
      <c r="G21" s="2">
        <f>VLOOKUP(G$4,'DB Services ISM'!$A:$S,MATCH($B21,'DB Services ISM'!$A$1:$S$1,0),0)</f>
        <v/>
      </c>
      <c r="H21" s="2">
        <f>VLOOKUP(H$4,'DB Services ISM'!$A:$S,MATCH($B21,'DB Services ISM'!$A$1:$S$1,0),0)</f>
        <v/>
      </c>
      <c r="I21" s="2">
        <f>VLOOKUP(I$4,'DB Services ISM'!$A:$S,MATCH($B21,'DB Services ISM'!$A$1:$S$1,0),0)</f>
        <v/>
      </c>
      <c r="J21" s="2">
        <f>VLOOKUP(J$4,'DB Services ISM'!$A:$S,MATCH($B21,'DB Services ISM'!$A$1:$S$1,0),0)</f>
        <v/>
      </c>
      <c r="K21" s="2">
        <f>VLOOKUP(K$4,'DB Services ISM'!$A:$S,MATCH($B21,'DB Services ISM'!$A$1:$S$1,0),0)</f>
        <v/>
      </c>
      <c r="L21" s="2">
        <f>VLOOKUP(L$4,'DB Services ISM'!$A:$S,MATCH($B21,'DB Services ISM'!$A$1:$S$1,0),0)</f>
        <v/>
      </c>
      <c r="M21" s="2">
        <f>VLOOKUP(M$4,'DB Services ISM'!$A:$S,MATCH($B21,'DB Services ISM'!$A$1:$S$1,0),0)</f>
        <v/>
      </c>
      <c r="N21" s="2">
        <f>VLOOKUP(N$4,'DB Services ISM'!$A:$S,MATCH($B21,'DB Services ISM'!$A$1:$S$1,0),0)</f>
        <v/>
      </c>
      <c r="O21" s="2">
        <f>VLOOKUP(O$4,'DB Services ISM'!$A:$S,MATCH($B21,'DB Services ISM'!$A$1:$S$1,0),0)</f>
        <v/>
      </c>
      <c r="P21" s="2">
        <f>VLOOKUP(P$4,'DB Services ISM'!$A:$S,MATCH($B21,'DB Services ISM'!$A$1:$S$1,0),0)</f>
        <v/>
      </c>
      <c r="Q21" s="2">
        <f>VLOOKUP(Q$4,'DB Services ISM'!$A:$S,MATCH($B21,'DB Services ISM'!$A$1:$S$1,0),0)</f>
        <v/>
      </c>
      <c r="R21" s="2">
        <f>VLOOKUP(R$4,'DB Services ISM'!$A:$S,MATCH($B21,'DB Services ISM'!$A$1:$S$1,0),0)</f>
        <v/>
      </c>
      <c r="S21" s="2">
        <f>VLOOKUP(S$4,'DB Services ISM'!$A:$S,MATCH($B21,'DB Services ISM'!$A$1:$S$1,0),0)</f>
        <v/>
      </c>
      <c r="T21" s="2">
        <f>VLOOKUP(T$4,'DB Services ISM'!$A:$S,MATCH($B21,'DB Services ISM'!$A$1:$S$1,0),0)</f>
        <v/>
      </c>
      <c r="U21" s="2">
        <f>VLOOKUP(U$4,'DB Services ISM'!$A:$S,MATCH($B21,'DB Services ISM'!$A$1:$S$1,0),0)</f>
        <v/>
      </c>
      <c r="V21" s="2">
        <f>VLOOKUP(V$4,'DB Services ISM'!$A:$S,MATCH($B21,'DB Services ISM'!$A$1:$S$1,0),0)</f>
        <v/>
      </c>
      <c r="W21" s="2">
        <f>VLOOKUP(W$4,'DB Services ISM'!$A:$S,MATCH($B21,'DB Services ISM'!$A$1:$S$1,0),0)</f>
        <v/>
      </c>
      <c r="X21" s="2">
        <f>VLOOKUP(X$4,'DB Services ISM'!$A:$S,MATCH($B21,'DB Services ISM'!$A$1:$S$1,0),0)</f>
        <v/>
      </c>
      <c r="Y21" s="2">
        <f>VLOOKUP(Y$4,'DB Services ISM'!$A:$S,MATCH($B21,'DB Services ISM'!$A$1:$S$1,0),0)</f>
        <v/>
      </c>
      <c r="Z21" s="2">
        <f>VLOOKUP(Z$4,'DB Services ISM'!$A:$S,MATCH($B21,'DB Services ISM'!$A$1:$S$1,0),0)</f>
        <v/>
      </c>
      <c r="AA21" s="2">
        <f>VLOOKUP(AA$4,'DB Services ISM'!$A:$S,MATCH($B21,'DB Services ISM'!$A$1:$S$1,0),0)</f>
        <v/>
      </c>
      <c r="AB21" s="2">
        <f>VLOOKUP(AB$4,'DB Services ISM'!$A:$S,MATCH($B21,'DB Services ISM'!$A$1:$S$1,0),0)</f>
        <v/>
      </c>
      <c r="AC21" s="2">
        <f>VLOOKUP(AC$4,'DB Services ISM'!$A:$S,MATCH($B21,'DB Services ISM'!$A$1:$S$1,0),0)</f>
        <v/>
      </c>
      <c r="AD21" s="2">
        <f>VLOOKUP(AD$4,'DB Services ISM'!$A:$S,MATCH($B21,'DB Services ISM'!$A$1:$S$1,0),0)</f>
        <v/>
      </c>
      <c r="AE21" s="2">
        <f>VLOOKUP(AE$4,'DB Services ISM'!$A:$S,MATCH($B21,'DB Services ISM'!$A$1:$S$1,0),0)</f>
        <v/>
      </c>
      <c r="AF21" s="2">
        <f>VLOOKUP(AF$4,'DB Services ISM'!$A:$S,MATCH($B21,'DB Services ISM'!$A$1:$S$1,0),0)</f>
        <v/>
      </c>
      <c r="AG21" s="33" t="n"/>
      <c r="AH21" s="22">
        <f>AF21-AE21</f>
        <v/>
      </c>
      <c r="AI21" s="34">
        <f>AVERAGE(AD21:AF21)</f>
        <v/>
      </c>
      <c r="AJ21" s="34">
        <f>AVERAGE(AA21:AF21)</f>
        <v/>
      </c>
    </row>
    <row r="22">
      <c r="B22" s="3" t="inlineStr">
        <is>
          <t>Educational Services</t>
        </is>
      </c>
      <c r="C22" s="2">
        <f>VLOOKUP(C$4,'DB Services ISM'!$A:$S,MATCH($B22,'DB Services ISM'!$A$1:$S$1,0),0)</f>
        <v/>
      </c>
      <c r="D22" s="2">
        <f>VLOOKUP(D$4,'DB Services ISM'!$A:$S,MATCH($B22,'DB Services ISM'!$A$1:$S$1,0),0)</f>
        <v/>
      </c>
      <c r="E22" s="2">
        <f>VLOOKUP(E$4,'DB Services ISM'!$A:$S,MATCH($B22,'DB Services ISM'!$A$1:$S$1,0),0)</f>
        <v/>
      </c>
      <c r="F22" s="2">
        <f>VLOOKUP(F$4,'DB Services ISM'!$A:$S,MATCH($B22,'DB Services ISM'!$A$1:$S$1,0),0)</f>
        <v/>
      </c>
      <c r="G22" s="2">
        <f>VLOOKUP(G$4,'DB Services ISM'!$A:$S,MATCH($B22,'DB Services ISM'!$A$1:$S$1,0),0)</f>
        <v/>
      </c>
      <c r="H22" s="2">
        <f>VLOOKUP(H$4,'DB Services ISM'!$A:$S,MATCH($B22,'DB Services ISM'!$A$1:$S$1,0),0)</f>
        <v/>
      </c>
      <c r="I22" s="2">
        <f>VLOOKUP(I$4,'DB Services ISM'!$A:$S,MATCH($B22,'DB Services ISM'!$A$1:$S$1,0),0)</f>
        <v/>
      </c>
      <c r="J22" s="2">
        <f>VLOOKUP(J$4,'DB Services ISM'!$A:$S,MATCH($B22,'DB Services ISM'!$A$1:$S$1,0),0)</f>
        <v/>
      </c>
      <c r="K22" s="2">
        <f>VLOOKUP(K$4,'DB Services ISM'!$A:$S,MATCH($B22,'DB Services ISM'!$A$1:$S$1,0),0)</f>
        <v/>
      </c>
      <c r="L22" s="2">
        <f>VLOOKUP(L$4,'DB Services ISM'!$A:$S,MATCH($B22,'DB Services ISM'!$A$1:$S$1,0),0)</f>
        <v/>
      </c>
      <c r="M22" s="2">
        <f>VLOOKUP(M$4,'DB Services ISM'!$A:$S,MATCH($B22,'DB Services ISM'!$A$1:$S$1,0),0)</f>
        <v/>
      </c>
      <c r="N22" s="2">
        <f>VLOOKUP(N$4,'DB Services ISM'!$A:$S,MATCH($B22,'DB Services ISM'!$A$1:$S$1,0),0)</f>
        <v/>
      </c>
      <c r="O22" s="2">
        <f>VLOOKUP(O$4,'DB Services ISM'!$A:$S,MATCH($B22,'DB Services ISM'!$A$1:$S$1,0),0)</f>
        <v/>
      </c>
      <c r="P22" s="2">
        <f>VLOOKUP(P$4,'DB Services ISM'!$A:$S,MATCH($B22,'DB Services ISM'!$A$1:$S$1,0),0)</f>
        <v/>
      </c>
      <c r="Q22" s="2">
        <f>VLOOKUP(Q$4,'DB Services ISM'!$A:$S,MATCH($B22,'DB Services ISM'!$A$1:$S$1,0),0)</f>
        <v/>
      </c>
      <c r="R22" s="2">
        <f>VLOOKUP(R$4,'DB Services ISM'!$A:$S,MATCH($B22,'DB Services ISM'!$A$1:$S$1,0),0)</f>
        <v/>
      </c>
      <c r="S22" s="2">
        <f>VLOOKUP(S$4,'DB Services ISM'!$A:$S,MATCH($B22,'DB Services ISM'!$A$1:$S$1,0),0)</f>
        <v/>
      </c>
      <c r="T22" s="2">
        <f>VLOOKUP(T$4,'DB Services ISM'!$A:$S,MATCH($B22,'DB Services ISM'!$A$1:$S$1,0),0)</f>
        <v/>
      </c>
      <c r="U22" s="2">
        <f>VLOOKUP(U$4,'DB Services ISM'!$A:$S,MATCH($B22,'DB Services ISM'!$A$1:$S$1,0),0)</f>
        <v/>
      </c>
      <c r="V22" s="2">
        <f>VLOOKUP(V$4,'DB Services ISM'!$A:$S,MATCH($B22,'DB Services ISM'!$A$1:$S$1,0),0)</f>
        <v/>
      </c>
      <c r="W22" s="2">
        <f>VLOOKUP(W$4,'DB Services ISM'!$A:$S,MATCH($B22,'DB Services ISM'!$A$1:$S$1,0),0)</f>
        <v/>
      </c>
      <c r="X22" s="2">
        <f>VLOOKUP(X$4,'DB Services ISM'!$A:$S,MATCH($B22,'DB Services ISM'!$A$1:$S$1,0),0)</f>
        <v/>
      </c>
      <c r="Y22" s="2">
        <f>VLOOKUP(Y$4,'DB Services ISM'!$A:$S,MATCH($B22,'DB Services ISM'!$A$1:$S$1,0),0)</f>
        <v/>
      </c>
      <c r="Z22" s="2">
        <f>VLOOKUP(Z$4,'DB Services ISM'!$A:$S,MATCH($B22,'DB Services ISM'!$A$1:$S$1,0),0)</f>
        <v/>
      </c>
      <c r="AA22" s="2">
        <f>VLOOKUP(AA$4,'DB Services ISM'!$A:$S,MATCH($B22,'DB Services ISM'!$A$1:$S$1,0),0)</f>
        <v/>
      </c>
      <c r="AB22" s="2">
        <f>VLOOKUP(AB$4,'DB Services ISM'!$A:$S,MATCH($B22,'DB Services ISM'!$A$1:$S$1,0),0)</f>
        <v/>
      </c>
      <c r="AC22" s="2">
        <f>VLOOKUP(AC$4,'DB Services ISM'!$A:$S,MATCH($B22,'DB Services ISM'!$A$1:$S$1,0),0)</f>
        <v/>
      </c>
      <c r="AD22" s="2">
        <f>VLOOKUP(AD$4,'DB Services ISM'!$A:$S,MATCH($B22,'DB Services ISM'!$A$1:$S$1,0),0)</f>
        <v/>
      </c>
      <c r="AE22" s="2">
        <f>VLOOKUP(AE$4,'DB Services ISM'!$A:$S,MATCH($B22,'DB Services ISM'!$A$1:$S$1,0),0)</f>
        <v/>
      </c>
      <c r="AF22" s="2">
        <f>VLOOKUP(AF$4,'DB Services ISM'!$A:$S,MATCH($B22,'DB Services ISM'!$A$1:$S$1,0),0)</f>
        <v/>
      </c>
      <c r="AG22" s="33" t="n"/>
      <c r="AH22" s="22">
        <f>AF22-AE22</f>
        <v/>
      </c>
      <c r="AI22" s="34">
        <f>AVERAGE(AD22:AF22)</f>
        <v/>
      </c>
      <c r="AJ22" s="34">
        <f>AVERAGE(AA22:AF22)</f>
        <v/>
      </c>
    </row>
    <row r="23">
      <c r="B23" s="4" t="inlineStr">
        <is>
          <t>Management of Companies &amp; Support Services</t>
        </is>
      </c>
      <c r="C23" s="2">
        <f>VLOOKUP(C$4,'DB Services ISM'!$A:$S,MATCH($B23,'DB Services ISM'!$A$1:$S$1,0),0)</f>
        <v/>
      </c>
      <c r="D23" s="2">
        <f>VLOOKUP(D$4,'DB Services ISM'!$A:$S,MATCH($B23,'DB Services ISM'!$A$1:$S$1,0),0)</f>
        <v/>
      </c>
      <c r="E23" s="2">
        <f>VLOOKUP(E$4,'DB Services ISM'!$A:$S,MATCH($B23,'DB Services ISM'!$A$1:$S$1,0),0)</f>
        <v/>
      </c>
      <c r="F23" s="2">
        <f>VLOOKUP(F$4,'DB Services ISM'!$A:$S,MATCH($B23,'DB Services ISM'!$A$1:$S$1,0),0)</f>
        <v/>
      </c>
      <c r="G23" s="2">
        <f>VLOOKUP(G$4,'DB Services ISM'!$A:$S,MATCH($B23,'DB Services ISM'!$A$1:$S$1,0),0)</f>
        <v/>
      </c>
      <c r="H23" s="2">
        <f>VLOOKUP(H$4,'DB Services ISM'!$A:$S,MATCH($B23,'DB Services ISM'!$A$1:$S$1,0),0)</f>
        <v/>
      </c>
      <c r="I23" s="2">
        <f>VLOOKUP(I$4,'DB Services ISM'!$A:$S,MATCH($B23,'DB Services ISM'!$A$1:$S$1,0),0)</f>
        <v/>
      </c>
      <c r="J23" s="2">
        <f>VLOOKUP(J$4,'DB Services ISM'!$A:$S,MATCH($B23,'DB Services ISM'!$A$1:$S$1,0),0)</f>
        <v/>
      </c>
      <c r="K23" s="2">
        <f>VLOOKUP(K$4,'DB Services ISM'!$A:$S,MATCH($B23,'DB Services ISM'!$A$1:$S$1,0),0)</f>
        <v/>
      </c>
      <c r="L23" s="2">
        <f>VLOOKUP(L$4,'DB Services ISM'!$A:$S,MATCH($B23,'DB Services ISM'!$A$1:$S$1,0),0)</f>
        <v/>
      </c>
      <c r="M23" s="2">
        <f>VLOOKUP(M$4,'DB Services ISM'!$A:$S,MATCH($B23,'DB Services ISM'!$A$1:$S$1,0),0)</f>
        <v/>
      </c>
      <c r="N23" s="2">
        <f>VLOOKUP(N$4,'DB Services ISM'!$A:$S,MATCH($B23,'DB Services ISM'!$A$1:$S$1,0),0)</f>
        <v/>
      </c>
      <c r="O23" s="2">
        <f>VLOOKUP(O$4,'DB Services ISM'!$A:$S,MATCH($B23,'DB Services ISM'!$A$1:$S$1,0),0)</f>
        <v/>
      </c>
      <c r="P23" s="2">
        <f>VLOOKUP(P$4,'DB Services ISM'!$A:$S,MATCH($B23,'DB Services ISM'!$A$1:$S$1,0),0)</f>
        <v/>
      </c>
      <c r="Q23" s="2">
        <f>VLOOKUP(Q$4,'DB Services ISM'!$A:$S,MATCH($B23,'DB Services ISM'!$A$1:$S$1,0),0)</f>
        <v/>
      </c>
      <c r="R23" s="2">
        <f>VLOOKUP(R$4,'DB Services ISM'!$A:$S,MATCH($B23,'DB Services ISM'!$A$1:$S$1,0),0)</f>
        <v/>
      </c>
      <c r="S23" s="2">
        <f>VLOOKUP(S$4,'DB Services ISM'!$A:$S,MATCH($B23,'DB Services ISM'!$A$1:$S$1,0),0)</f>
        <v/>
      </c>
      <c r="T23" s="2">
        <f>VLOOKUP(T$4,'DB Services ISM'!$A:$S,MATCH($B23,'DB Services ISM'!$A$1:$S$1,0),0)</f>
        <v/>
      </c>
      <c r="U23" s="2">
        <f>VLOOKUP(U$4,'DB Services ISM'!$A:$S,MATCH($B23,'DB Services ISM'!$A$1:$S$1,0),0)</f>
        <v/>
      </c>
      <c r="V23" s="2">
        <f>VLOOKUP(V$4,'DB Services ISM'!$A:$S,MATCH($B23,'DB Services ISM'!$A$1:$S$1,0),0)</f>
        <v/>
      </c>
      <c r="W23" s="2">
        <f>VLOOKUP(W$4,'DB Services ISM'!$A:$S,MATCH($B23,'DB Services ISM'!$A$1:$S$1,0),0)</f>
        <v/>
      </c>
      <c r="X23" s="2">
        <f>VLOOKUP(X$4,'DB Services ISM'!$A:$S,MATCH($B23,'DB Services ISM'!$A$1:$S$1,0),0)</f>
        <v/>
      </c>
      <c r="Y23" s="2">
        <f>VLOOKUP(Y$4,'DB Services ISM'!$A:$S,MATCH($B23,'DB Services ISM'!$A$1:$S$1,0),0)</f>
        <v/>
      </c>
      <c r="Z23" s="2">
        <f>VLOOKUP(Z$4,'DB Services ISM'!$A:$S,MATCH($B23,'DB Services ISM'!$A$1:$S$1,0),0)</f>
        <v/>
      </c>
      <c r="AA23" s="2">
        <f>VLOOKUP(AA$4,'DB Services ISM'!$A:$S,MATCH($B23,'DB Services ISM'!$A$1:$S$1,0),0)</f>
        <v/>
      </c>
      <c r="AB23" s="2">
        <f>VLOOKUP(AB$4,'DB Services ISM'!$A:$S,MATCH($B23,'DB Services ISM'!$A$1:$S$1,0),0)</f>
        <v/>
      </c>
      <c r="AC23" s="2">
        <f>VLOOKUP(AC$4,'DB Services ISM'!$A:$S,MATCH($B23,'DB Services ISM'!$A$1:$S$1,0),0)</f>
        <v/>
      </c>
      <c r="AD23" s="2">
        <f>VLOOKUP(AD$4,'DB Services ISM'!$A:$S,MATCH($B23,'DB Services ISM'!$A$1:$S$1,0),0)</f>
        <v/>
      </c>
      <c r="AE23" s="2">
        <f>VLOOKUP(AE$4,'DB Services ISM'!$A:$S,MATCH($B23,'DB Services ISM'!$A$1:$S$1,0),0)</f>
        <v/>
      </c>
      <c r="AF23" s="2">
        <f>VLOOKUP(AF$4,'DB Services ISM'!$A:$S,MATCH($B23,'DB Services ISM'!$A$1:$S$1,0),0)</f>
        <v/>
      </c>
      <c r="AG23" s="33" t="n"/>
      <c r="AH23" s="22">
        <f>AF23-AE23</f>
        <v/>
      </c>
      <c r="AI23" s="34">
        <f>AVERAGE(AD23:AF23)</f>
        <v/>
      </c>
      <c r="AJ23" s="34">
        <f>AVERAGE(AA23:AF23)</f>
        <v/>
      </c>
    </row>
    <row r="24">
      <c r="B24" s="33" t="n"/>
      <c r="C24" s="36" t="n">
        <v>1</v>
      </c>
      <c r="D24" s="36" t="n">
        <v>2</v>
      </c>
      <c r="E24" s="36" t="n">
        <v>3</v>
      </c>
      <c r="F24" s="36" t="n">
        <v>4</v>
      </c>
      <c r="G24" s="36" t="n">
        <v>5</v>
      </c>
      <c r="H24" s="36" t="n">
        <v>6</v>
      </c>
      <c r="I24" s="36" t="n">
        <v>7</v>
      </c>
      <c r="J24" s="36" t="n">
        <v>8</v>
      </c>
      <c r="K24" s="36" t="n">
        <v>9</v>
      </c>
      <c r="L24" s="36" t="n">
        <v>10</v>
      </c>
      <c r="M24" s="36" t="n">
        <v>11</v>
      </c>
      <c r="N24" s="36" t="n">
        <v>12</v>
      </c>
      <c r="O24" s="36" t="n">
        <v>13</v>
      </c>
      <c r="P24" s="36" t="n">
        <v>14</v>
      </c>
      <c r="Q24" s="36" t="n">
        <v>15</v>
      </c>
      <c r="R24" s="36" t="n">
        <v>16</v>
      </c>
      <c r="S24" s="36" t="n">
        <v>17</v>
      </c>
      <c r="T24" s="36" t="n">
        <v>18</v>
      </c>
      <c r="U24" s="36" t="n">
        <v>19</v>
      </c>
      <c r="V24" s="36" t="n">
        <v>20</v>
      </c>
      <c r="W24" s="36" t="n">
        <v>21</v>
      </c>
      <c r="X24" s="36" t="n">
        <v>22</v>
      </c>
      <c r="Y24" s="36" t="n">
        <v>23</v>
      </c>
      <c r="Z24" s="36" t="n">
        <v>24</v>
      </c>
      <c r="AA24" s="36" t="n">
        <v>25</v>
      </c>
      <c r="AB24" s="36" t="n">
        <v>26</v>
      </c>
      <c r="AC24" s="36" t="n">
        <v>27</v>
      </c>
      <c r="AD24" s="36" t="n">
        <v>28</v>
      </c>
      <c r="AE24" s="36" t="n">
        <v>29</v>
      </c>
      <c r="AF24" s="36" t="n">
        <v>30</v>
      </c>
      <c r="AG24" s="33" t="n"/>
      <c r="AH24" s="33" t="n"/>
      <c r="AI24" s="33" t="n"/>
      <c r="AJ24" s="33" t="n"/>
    </row>
    <row r="25" ht="16" customHeight="1" s="65" thickBot="1">
      <c r="C25" s="37" t="n"/>
      <c r="D25" s="37" t="n"/>
      <c r="E25" s="37" t="n"/>
      <c r="F25" s="37" t="n"/>
      <c r="G25" s="37" t="n"/>
      <c r="H25" s="37" t="n"/>
      <c r="I25" s="37" t="n"/>
      <c r="J25" s="37" t="n"/>
      <c r="K25" s="37" t="n"/>
      <c r="L25" s="37" t="n"/>
      <c r="M25" s="37" t="n"/>
      <c r="N25" s="37" t="n"/>
      <c r="O25" s="37" t="n"/>
      <c r="P25" s="37" t="n"/>
      <c r="Q25" s="37" t="n"/>
      <c r="R25" s="37" t="n"/>
      <c r="S25" s="37" t="n"/>
      <c r="T25" s="37" t="n"/>
      <c r="U25" s="37" t="n"/>
      <c r="V25" s="37" t="n"/>
      <c r="W25" s="37" t="n"/>
      <c r="X25" s="37" t="n"/>
      <c r="Y25" s="37" t="n"/>
      <c r="Z25" s="37" t="n"/>
      <c r="AA25" s="37" t="n"/>
      <c r="AB25" s="37" t="n"/>
      <c r="AC25" s="37" t="n"/>
      <c r="AD25" s="37" t="n"/>
      <c r="AE25" s="37" t="n"/>
      <c r="AF25" s="37" t="n"/>
    </row>
    <row r="26" ht="16" customHeight="1" s="65" thickBot="1">
      <c r="B26" s="86" t="inlineStr">
        <is>
          <t>Business Activity</t>
        </is>
      </c>
      <c r="C26" s="31" t="n">
        <v>43831</v>
      </c>
      <c r="D26" s="31" t="n">
        <v>43862</v>
      </c>
      <c r="E26" s="31" t="n">
        <v>43891</v>
      </c>
      <c r="F26" s="31" t="n">
        <v>43922</v>
      </c>
      <c r="G26" s="31" t="n">
        <v>43952</v>
      </c>
      <c r="H26" s="31" t="n">
        <v>43983</v>
      </c>
      <c r="I26" s="31" t="n">
        <v>44013</v>
      </c>
      <c r="J26" s="31" t="n">
        <v>44044</v>
      </c>
      <c r="K26" s="31" t="n">
        <v>44075</v>
      </c>
      <c r="L26" s="31" t="n">
        <v>44105</v>
      </c>
      <c r="M26" s="31" t="n">
        <v>44136</v>
      </c>
      <c r="N26" s="31" t="n">
        <v>44166</v>
      </c>
      <c r="O26" s="31" t="n">
        <v>44197</v>
      </c>
      <c r="P26" s="31" t="n">
        <v>44228</v>
      </c>
      <c r="Q26" s="31" t="n">
        <v>44256</v>
      </c>
      <c r="R26" s="31" t="n">
        <v>44287</v>
      </c>
      <c r="S26" s="31" t="n">
        <v>44317</v>
      </c>
      <c r="T26" s="31" t="n">
        <v>44348</v>
      </c>
      <c r="U26" s="31" t="n">
        <v>44378</v>
      </c>
      <c r="V26" s="31" t="n">
        <v>44409</v>
      </c>
      <c r="W26" s="31" t="n">
        <v>44440</v>
      </c>
      <c r="X26" s="31" t="n">
        <v>44470</v>
      </c>
      <c r="Y26" s="31" t="n">
        <v>44501</v>
      </c>
      <c r="Z26" s="31" t="n">
        <v>44531</v>
      </c>
      <c r="AA26" s="31" t="n">
        <v>44562</v>
      </c>
      <c r="AB26" s="31" t="n">
        <v>44593</v>
      </c>
      <c r="AC26" s="31" t="n">
        <v>44621</v>
      </c>
      <c r="AD26" s="31" t="n">
        <v>44652</v>
      </c>
      <c r="AE26" s="31" t="n">
        <v>44682</v>
      </c>
      <c r="AF26" s="31" t="n">
        <v>44713</v>
      </c>
      <c r="AG26" s="10" t="n"/>
      <c r="AH26" s="88" t="inlineStr">
        <is>
          <t>mom</t>
        </is>
      </c>
      <c r="AI26" s="88" t="inlineStr">
        <is>
          <t>3 months</t>
        </is>
      </c>
      <c r="AJ26" s="88" t="inlineStr">
        <is>
          <t>6 months</t>
        </is>
      </c>
    </row>
    <row r="27" ht="16" customHeight="1" s="65" thickBot="1">
      <c r="B27" s="87" t="n"/>
      <c r="C27" s="32" t="n"/>
      <c r="D27" s="32" t="n"/>
      <c r="E27" s="32" t="n"/>
      <c r="F27" s="32" t="n"/>
      <c r="G27" s="32" t="n"/>
      <c r="H27" s="32" t="n"/>
      <c r="I27" s="32" t="n"/>
      <c r="J27" s="32" t="n"/>
      <c r="K27" s="32" t="n"/>
      <c r="L27" s="32" t="n"/>
      <c r="M27" s="32" t="n"/>
      <c r="N27" s="32" t="n"/>
      <c r="O27" s="32" t="n"/>
      <c r="P27" s="32" t="n"/>
      <c r="Q27" s="32" t="n"/>
      <c r="R27" s="32" t="n"/>
      <c r="S27" s="32" t="n"/>
      <c r="T27" s="32" t="n"/>
      <c r="U27" s="32" t="n"/>
      <c r="V27" s="32" t="n"/>
      <c r="W27" s="32" t="n"/>
      <c r="X27" s="32" t="n"/>
      <c r="Y27" s="32" t="n"/>
      <c r="Z27" s="32" t="n"/>
      <c r="AA27" s="32" t="n"/>
      <c r="AB27" s="32" t="n"/>
      <c r="AC27" s="32" t="n"/>
      <c r="AD27" s="32" t="n"/>
      <c r="AE27" s="32" t="n"/>
      <c r="AF27" s="32" t="n"/>
      <c r="AG27" s="10" t="n"/>
      <c r="AH27" s="89" t="n"/>
      <c r="AI27" s="89" t="n"/>
      <c r="AJ27" s="89" t="n"/>
    </row>
    <row r="28">
      <c r="B28" s="3" t="inlineStr">
        <is>
          <t>Utilities</t>
        </is>
      </c>
      <c r="C28" s="2">
        <f>VLOOKUP(C$26,'DB Business'!$A:$S,MATCH($B28,'DB Business'!$A$1:$S$1,0),0)</f>
        <v/>
      </c>
      <c r="D28" s="2">
        <f>VLOOKUP(D$26,'DB Business'!$A:$S,MATCH($B28,'DB Business'!$A$1:$S$1,0),0)</f>
        <v/>
      </c>
      <c r="E28" s="2">
        <f>VLOOKUP(E$26,'DB Business'!$A:$S,MATCH($B28,'DB Business'!$A$1:$S$1,0),0)</f>
        <v/>
      </c>
      <c r="F28" s="2">
        <f>VLOOKUP(F$26,'DB Business'!$A:$S,MATCH($B28,'DB Business'!$A$1:$S$1,0),0)</f>
        <v/>
      </c>
      <c r="G28" s="2">
        <f>VLOOKUP(G$26,'DB Business'!$A:$S,MATCH($B28,'DB Business'!$A$1:$S$1,0),0)</f>
        <v/>
      </c>
      <c r="H28" s="2">
        <f>VLOOKUP(H$26,'DB Business'!$A:$S,MATCH($B28,'DB Business'!$A$1:$S$1,0),0)</f>
        <v/>
      </c>
      <c r="I28" s="2">
        <f>VLOOKUP(I$26,'DB Business'!$A:$S,MATCH($B28,'DB Business'!$A$1:$S$1,0),0)</f>
        <v/>
      </c>
      <c r="J28" s="2">
        <f>VLOOKUP(J$26,'DB Business'!$A:$S,MATCH($B28,'DB Business'!$A$1:$S$1,0),0)</f>
        <v/>
      </c>
      <c r="K28" s="2">
        <f>VLOOKUP(K$26,'DB Business'!$A:$S,MATCH($B28,'DB Business'!$A$1:$S$1,0),0)</f>
        <v/>
      </c>
      <c r="L28" s="2">
        <f>VLOOKUP(L$26,'DB Business'!$A:$S,MATCH($B28,'DB Business'!$A$1:$S$1,0),0)</f>
        <v/>
      </c>
      <c r="M28" s="2">
        <f>VLOOKUP(M$26,'DB Business'!$A:$S,MATCH($B28,'DB Business'!$A$1:$S$1,0),0)</f>
        <v/>
      </c>
      <c r="N28" s="2">
        <f>VLOOKUP(N$26,'DB Business'!$A:$S,MATCH($B28,'DB Business'!$A$1:$S$1,0),0)</f>
        <v/>
      </c>
      <c r="O28" s="2">
        <f>VLOOKUP(O$26,'DB Business'!$A:$S,MATCH($B28,'DB Business'!$A$1:$S$1,0),0)</f>
        <v/>
      </c>
      <c r="P28" s="2">
        <f>VLOOKUP(P$26,'DB Business'!$A:$S,MATCH($B28,'DB Business'!$A$1:$S$1,0),0)</f>
        <v/>
      </c>
      <c r="Q28" s="2">
        <f>VLOOKUP(Q$26,'DB Business'!$A:$S,MATCH($B28,'DB Business'!$A$1:$S$1,0),0)</f>
        <v/>
      </c>
      <c r="R28" s="2">
        <f>VLOOKUP(R$26,'DB Business'!$A:$S,MATCH($B28,'DB Business'!$A$1:$S$1,0),0)</f>
        <v/>
      </c>
      <c r="S28" s="2">
        <f>VLOOKUP(S$26,'DB Business'!$A:$S,MATCH($B28,'DB Business'!$A$1:$S$1,0),0)</f>
        <v/>
      </c>
      <c r="T28" s="2">
        <f>VLOOKUP(T$26,'DB Business'!$A:$S,MATCH($B28,'DB Business'!$A$1:$S$1,0),0)</f>
        <v/>
      </c>
      <c r="U28" s="2">
        <f>VLOOKUP(U$26,'DB Business'!$A:$S,MATCH($B28,'DB Business'!$A$1:$S$1,0),0)</f>
        <v/>
      </c>
      <c r="V28" s="2">
        <f>VLOOKUP(V$26,'DB Business'!$A:$S,MATCH($B28,'DB Business'!$A$1:$S$1,0),0)</f>
        <v/>
      </c>
      <c r="W28" s="2">
        <f>VLOOKUP(W$26,'DB Business'!$A:$S,MATCH($B28,'DB Business'!$A$1:$S$1,0),0)</f>
        <v/>
      </c>
      <c r="X28" s="2">
        <f>VLOOKUP(X$26,'DB Business'!$A:$S,MATCH($B28,'DB Business'!$A$1:$S$1,0),0)</f>
        <v/>
      </c>
      <c r="Y28" s="2">
        <f>VLOOKUP(Y$26,'DB Business'!$A:$S,MATCH($B28,'DB Business'!$A$1:$S$1,0),0)</f>
        <v/>
      </c>
      <c r="Z28" s="2">
        <f>VLOOKUP(Z$26,'DB Business'!$A:$S,MATCH($B28,'DB Business'!$A$1:$S$1,0),0)</f>
        <v/>
      </c>
      <c r="AA28" s="2">
        <f>VLOOKUP(AA$26,'DB Business'!$A:$S,MATCH($B28,'DB Business'!$A$1:$S$1,0),0)</f>
        <v/>
      </c>
      <c r="AB28" s="2">
        <f>VLOOKUP(AB$26,'DB Business'!$A:$S,MATCH($B28,'DB Business'!$A$1:$S$1,0),0)</f>
        <v/>
      </c>
      <c r="AC28" s="2">
        <f>VLOOKUP(AC$26,'DB Business'!$A:$S,MATCH($B28,'DB Business'!$A$1:$S$1,0),0)</f>
        <v/>
      </c>
      <c r="AD28" s="2">
        <f>VLOOKUP(AD$26,'DB Business'!$A:$S,MATCH($B28,'DB Business'!$A$1:$S$1,0),0)</f>
        <v/>
      </c>
      <c r="AE28" s="2">
        <f>VLOOKUP(AE$26,'DB Business'!$A:$S,MATCH($B28,'DB Business'!$A$1:$S$1,0),0)</f>
        <v/>
      </c>
      <c r="AF28" s="2">
        <f>VLOOKUP(AF$26,'DB Business'!$A:$S,MATCH($B28,'DB Business'!$A$1:$S$1,0),0)</f>
        <v/>
      </c>
      <c r="AH28" s="22">
        <f>AF28-AE28</f>
        <v/>
      </c>
      <c r="AI28" s="34">
        <f>AVERAGE(AD28:AF28)</f>
        <v/>
      </c>
      <c r="AJ28" s="34">
        <f>AVERAGE(AA28:AF28)</f>
        <v/>
      </c>
    </row>
    <row r="29">
      <c r="B29" s="3" t="inlineStr">
        <is>
          <t>Retail Trade</t>
        </is>
      </c>
      <c r="C29" s="2">
        <f>VLOOKUP(C$26,'DB Business'!$A:$S,MATCH($B29,'DB Business'!$A$1:$S$1,0),0)</f>
        <v/>
      </c>
      <c r="D29" s="2">
        <f>VLOOKUP(D$26,'DB Business'!$A:$S,MATCH($B29,'DB Business'!$A$1:$S$1,0),0)</f>
        <v/>
      </c>
      <c r="E29" s="2">
        <f>VLOOKUP(E$26,'DB Business'!$A:$S,MATCH($B29,'DB Business'!$A$1:$S$1,0),0)</f>
        <v/>
      </c>
      <c r="F29" s="2">
        <f>VLOOKUP(F$26,'DB Business'!$A:$S,MATCH($B29,'DB Business'!$A$1:$S$1,0),0)</f>
        <v/>
      </c>
      <c r="G29" s="2">
        <f>VLOOKUP(G$26,'DB Business'!$A:$S,MATCH($B29,'DB Business'!$A$1:$S$1,0),0)</f>
        <v/>
      </c>
      <c r="H29" s="2">
        <f>VLOOKUP(H$26,'DB Business'!$A:$S,MATCH($B29,'DB Business'!$A$1:$S$1,0),0)</f>
        <v/>
      </c>
      <c r="I29" s="2">
        <f>VLOOKUP(I$26,'DB Business'!$A:$S,MATCH($B29,'DB Business'!$A$1:$S$1,0),0)</f>
        <v/>
      </c>
      <c r="J29" s="2">
        <f>VLOOKUP(J$26,'DB Business'!$A:$S,MATCH($B29,'DB Business'!$A$1:$S$1,0),0)</f>
        <v/>
      </c>
      <c r="K29" s="2">
        <f>VLOOKUP(K$26,'DB Business'!$A:$S,MATCH($B29,'DB Business'!$A$1:$S$1,0),0)</f>
        <v/>
      </c>
      <c r="L29" s="2">
        <f>VLOOKUP(L$26,'DB Business'!$A:$S,MATCH($B29,'DB Business'!$A$1:$S$1,0),0)</f>
        <v/>
      </c>
      <c r="M29" s="2">
        <f>VLOOKUP(M$26,'DB Business'!$A:$S,MATCH($B29,'DB Business'!$A$1:$S$1,0),0)</f>
        <v/>
      </c>
      <c r="N29" s="2">
        <f>VLOOKUP(N$26,'DB Business'!$A:$S,MATCH($B29,'DB Business'!$A$1:$S$1,0),0)</f>
        <v/>
      </c>
      <c r="O29" s="2">
        <f>VLOOKUP(O$26,'DB Business'!$A:$S,MATCH($B29,'DB Business'!$A$1:$S$1,0),0)</f>
        <v/>
      </c>
      <c r="P29" s="2">
        <f>VLOOKUP(P$26,'DB Business'!$A:$S,MATCH($B29,'DB Business'!$A$1:$S$1,0),0)</f>
        <v/>
      </c>
      <c r="Q29" s="2">
        <f>VLOOKUP(Q$26,'DB Business'!$A:$S,MATCH($B29,'DB Business'!$A$1:$S$1,0),0)</f>
        <v/>
      </c>
      <c r="R29" s="2">
        <f>VLOOKUP(R$26,'DB Business'!$A:$S,MATCH($B29,'DB Business'!$A$1:$S$1,0),0)</f>
        <v/>
      </c>
      <c r="S29" s="2">
        <f>VLOOKUP(S$26,'DB Business'!$A:$S,MATCH($B29,'DB Business'!$A$1:$S$1,0),0)</f>
        <v/>
      </c>
      <c r="T29" s="2">
        <f>VLOOKUP(T$26,'DB Business'!$A:$S,MATCH($B29,'DB Business'!$A$1:$S$1,0),0)</f>
        <v/>
      </c>
      <c r="U29" s="2">
        <f>VLOOKUP(U$26,'DB Business'!$A:$S,MATCH($B29,'DB Business'!$A$1:$S$1,0),0)</f>
        <v/>
      </c>
      <c r="V29" s="2">
        <f>VLOOKUP(V$26,'DB Business'!$A:$S,MATCH($B29,'DB Business'!$A$1:$S$1,0),0)</f>
        <v/>
      </c>
      <c r="W29" s="2">
        <f>VLOOKUP(W$26,'DB Business'!$A:$S,MATCH($B29,'DB Business'!$A$1:$S$1,0),0)</f>
        <v/>
      </c>
      <c r="X29" s="2">
        <f>VLOOKUP(X$26,'DB Business'!$A:$S,MATCH($B29,'DB Business'!$A$1:$S$1,0),0)</f>
        <v/>
      </c>
      <c r="Y29" s="2">
        <f>VLOOKUP(Y$26,'DB Business'!$A:$S,MATCH($B29,'DB Business'!$A$1:$S$1,0),0)</f>
        <v/>
      </c>
      <c r="Z29" s="2">
        <f>VLOOKUP(Z$26,'DB Business'!$A:$S,MATCH($B29,'DB Business'!$A$1:$S$1,0),0)</f>
        <v/>
      </c>
      <c r="AA29" s="2">
        <f>VLOOKUP(AA$26,'DB Business'!$A:$S,MATCH($B29,'DB Business'!$A$1:$S$1,0),0)</f>
        <v/>
      </c>
      <c r="AB29" s="2">
        <f>VLOOKUP(AB$26,'DB Business'!$A:$S,MATCH($B29,'DB Business'!$A$1:$S$1,0),0)</f>
        <v/>
      </c>
      <c r="AC29" s="2">
        <f>VLOOKUP(AC$26,'DB Business'!$A:$S,MATCH($B29,'DB Business'!$A$1:$S$1,0),0)</f>
        <v/>
      </c>
      <c r="AD29" s="2">
        <f>VLOOKUP(AD$26,'DB Business'!$A:$S,MATCH($B29,'DB Business'!$A$1:$S$1,0),0)</f>
        <v/>
      </c>
      <c r="AE29" s="2">
        <f>VLOOKUP(AE$26,'DB Business'!$A:$S,MATCH($B29,'DB Business'!$A$1:$S$1,0),0)</f>
        <v/>
      </c>
      <c r="AF29" s="2">
        <f>VLOOKUP(AF$26,'DB Business'!$A:$S,MATCH($B29,'DB Business'!$A$1:$S$1,0),0)</f>
        <v/>
      </c>
      <c r="AH29" s="22">
        <f>AF29-AE29</f>
        <v/>
      </c>
      <c r="AI29" s="34">
        <f>AVERAGE(AD29:AF29)</f>
        <v/>
      </c>
      <c r="AJ29" s="34">
        <f>AVERAGE(AA29:AF29)</f>
        <v/>
      </c>
    </row>
    <row r="30">
      <c r="B30" s="3" t="inlineStr">
        <is>
          <t>Arts, Entertainment &amp; Recreation</t>
        </is>
      </c>
      <c r="C30" s="2">
        <f>VLOOKUP(C$26,'DB Business'!$A:$S,MATCH($B30,'DB Business'!$A$1:$S$1,0),0)</f>
        <v/>
      </c>
      <c r="D30" s="2">
        <f>VLOOKUP(D$26,'DB Business'!$A:$S,MATCH($B30,'DB Business'!$A$1:$S$1,0),0)</f>
        <v/>
      </c>
      <c r="E30" s="2">
        <f>VLOOKUP(E$26,'DB Business'!$A:$S,MATCH($B30,'DB Business'!$A$1:$S$1,0),0)</f>
        <v/>
      </c>
      <c r="F30" s="2">
        <f>VLOOKUP(F$26,'DB Business'!$A:$S,MATCH($B30,'DB Business'!$A$1:$S$1,0),0)</f>
        <v/>
      </c>
      <c r="G30" s="2">
        <f>VLOOKUP(G$26,'DB Business'!$A:$S,MATCH($B30,'DB Business'!$A$1:$S$1,0),0)</f>
        <v/>
      </c>
      <c r="H30" s="2">
        <f>VLOOKUP(H$26,'DB Business'!$A:$S,MATCH($B30,'DB Business'!$A$1:$S$1,0),0)</f>
        <v/>
      </c>
      <c r="I30" s="2">
        <f>VLOOKUP(I$26,'DB Business'!$A:$S,MATCH($B30,'DB Business'!$A$1:$S$1,0),0)</f>
        <v/>
      </c>
      <c r="J30" s="2">
        <f>VLOOKUP(J$26,'DB Business'!$A:$S,MATCH($B30,'DB Business'!$A$1:$S$1,0),0)</f>
        <v/>
      </c>
      <c r="K30" s="2">
        <f>VLOOKUP(K$26,'DB Business'!$A:$S,MATCH($B30,'DB Business'!$A$1:$S$1,0),0)</f>
        <v/>
      </c>
      <c r="L30" s="2">
        <f>VLOOKUP(L$26,'DB Business'!$A:$S,MATCH($B30,'DB Business'!$A$1:$S$1,0),0)</f>
        <v/>
      </c>
      <c r="M30" s="2">
        <f>VLOOKUP(M$26,'DB Business'!$A:$S,MATCH($B30,'DB Business'!$A$1:$S$1,0),0)</f>
        <v/>
      </c>
      <c r="N30" s="2">
        <f>VLOOKUP(N$26,'DB Business'!$A:$S,MATCH($B30,'DB Business'!$A$1:$S$1,0),0)</f>
        <v/>
      </c>
      <c r="O30" s="2">
        <f>VLOOKUP(O$26,'DB Business'!$A:$S,MATCH($B30,'DB Business'!$A$1:$S$1,0),0)</f>
        <v/>
      </c>
      <c r="P30" s="2">
        <f>VLOOKUP(P$26,'DB Business'!$A:$S,MATCH($B30,'DB Business'!$A$1:$S$1,0),0)</f>
        <v/>
      </c>
      <c r="Q30" s="2">
        <f>VLOOKUP(Q$26,'DB Business'!$A:$S,MATCH($B30,'DB Business'!$A$1:$S$1,0),0)</f>
        <v/>
      </c>
      <c r="R30" s="2">
        <f>VLOOKUP(R$26,'DB Business'!$A:$S,MATCH($B30,'DB Business'!$A$1:$S$1,0),0)</f>
        <v/>
      </c>
      <c r="S30" s="2">
        <f>VLOOKUP(S$26,'DB Business'!$A:$S,MATCH($B30,'DB Business'!$A$1:$S$1,0),0)</f>
        <v/>
      </c>
      <c r="T30" s="2">
        <f>VLOOKUP(T$26,'DB Business'!$A:$S,MATCH($B30,'DB Business'!$A$1:$S$1,0),0)</f>
        <v/>
      </c>
      <c r="U30" s="2">
        <f>VLOOKUP(U$26,'DB Business'!$A:$S,MATCH($B30,'DB Business'!$A$1:$S$1,0),0)</f>
        <v/>
      </c>
      <c r="V30" s="2">
        <f>VLOOKUP(V$26,'DB Business'!$A:$S,MATCH($B30,'DB Business'!$A$1:$S$1,0),0)</f>
        <v/>
      </c>
      <c r="W30" s="2">
        <f>VLOOKUP(W$26,'DB Business'!$A:$S,MATCH($B30,'DB Business'!$A$1:$S$1,0),0)</f>
        <v/>
      </c>
      <c r="X30" s="2">
        <f>VLOOKUP(X$26,'DB Business'!$A:$S,MATCH($B30,'DB Business'!$A$1:$S$1,0),0)</f>
        <v/>
      </c>
      <c r="Y30" s="2">
        <f>VLOOKUP(Y$26,'DB Business'!$A:$S,MATCH($B30,'DB Business'!$A$1:$S$1,0),0)</f>
        <v/>
      </c>
      <c r="Z30" s="2">
        <f>VLOOKUP(Z$26,'DB Business'!$A:$S,MATCH($B30,'DB Business'!$A$1:$S$1,0),0)</f>
        <v/>
      </c>
      <c r="AA30" s="2">
        <f>VLOOKUP(AA$26,'DB Business'!$A:$S,MATCH($B30,'DB Business'!$A$1:$S$1,0),0)</f>
        <v/>
      </c>
      <c r="AB30" s="2">
        <f>VLOOKUP(AB$26,'DB Business'!$A:$S,MATCH($B30,'DB Business'!$A$1:$S$1,0),0)</f>
        <v/>
      </c>
      <c r="AC30" s="2">
        <f>VLOOKUP(AC$26,'DB Business'!$A:$S,MATCH($B30,'DB Business'!$A$1:$S$1,0),0)</f>
        <v/>
      </c>
      <c r="AD30" s="2">
        <f>VLOOKUP(AD$26,'DB Business'!$A:$S,MATCH($B30,'DB Business'!$A$1:$S$1,0),0)</f>
        <v/>
      </c>
      <c r="AE30" s="2">
        <f>VLOOKUP(AE$26,'DB Business'!$A:$S,MATCH($B30,'DB Business'!$A$1:$S$1,0),0)</f>
        <v/>
      </c>
      <c r="AF30" s="2">
        <f>VLOOKUP(AF$26,'DB Business'!$A:$S,MATCH($B30,'DB Business'!$A$1:$S$1,0),0)</f>
        <v/>
      </c>
      <c r="AH30" s="22">
        <f>AF30-AE30</f>
        <v/>
      </c>
      <c r="AI30" s="34">
        <f>AVERAGE(AD30:AF30)</f>
        <v/>
      </c>
      <c r="AJ30" s="34">
        <f>AVERAGE(AA30:AF30)</f>
        <v/>
      </c>
    </row>
    <row r="31">
      <c r="B31" s="3" t="inlineStr">
        <is>
          <t>Other Services</t>
        </is>
      </c>
      <c r="C31" s="2">
        <f>VLOOKUP(C$26,'DB Business'!$A:$S,MATCH($B31,'DB Business'!$A$1:$S$1,0),0)</f>
        <v/>
      </c>
      <c r="D31" s="2">
        <f>VLOOKUP(D$26,'DB Business'!$A:$S,MATCH($B31,'DB Business'!$A$1:$S$1,0),0)</f>
        <v/>
      </c>
      <c r="E31" s="2">
        <f>VLOOKUP(E$26,'DB Business'!$A:$S,MATCH($B31,'DB Business'!$A$1:$S$1,0),0)</f>
        <v/>
      </c>
      <c r="F31" s="2">
        <f>VLOOKUP(F$26,'DB Business'!$A:$S,MATCH($B31,'DB Business'!$A$1:$S$1,0),0)</f>
        <v/>
      </c>
      <c r="G31" s="2">
        <f>VLOOKUP(G$26,'DB Business'!$A:$S,MATCH($B31,'DB Business'!$A$1:$S$1,0),0)</f>
        <v/>
      </c>
      <c r="H31" s="2">
        <f>VLOOKUP(H$26,'DB Business'!$A:$S,MATCH($B31,'DB Business'!$A$1:$S$1,0),0)</f>
        <v/>
      </c>
      <c r="I31" s="2">
        <f>VLOOKUP(I$26,'DB Business'!$A:$S,MATCH($B31,'DB Business'!$A$1:$S$1,0),0)</f>
        <v/>
      </c>
      <c r="J31" s="2">
        <f>VLOOKUP(J$26,'DB Business'!$A:$S,MATCH($B31,'DB Business'!$A$1:$S$1,0),0)</f>
        <v/>
      </c>
      <c r="K31" s="2">
        <f>VLOOKUP(K$26,'DB Business'!$A:$S,MATCH($B31,'DB Business'!$A$1:$S$1,0),0)</f>
        <v/>
      </c>
      <c r="L31" s="2">
        <f>VLOOKUP(L$26,'DB Business'!$A:$S,MATCH($B31,'DB Business'!$A$1:$S$1,0),0)</f>
        <v/>
      </c>
      <c r="M31" s="2">
        <f>VLOOKUP(M$26,'DB Business'!$A:$S,MATCH($B31,'DB Business'!$A$1:$S$1,0),0)</f>
        <v/>
      </c>
      <c r="N31" s="2">
        <f>VLOOKUP(N$26,'DB Business'!$A:$S,MATCH($B31,'DB Business'!$A$1:$S$1,0),0)</f>
        <v/>
      </c>
      <c r="O31" s="2">
        <f>VLOOKUP(O$26,'DB Business'!$A:$S,MATCH($B31,'DB Business'!$A$1:$S$1,0),0)</f>
        <v/>
      </c>
      <c r="P31" s="2">
        <f>VLOOKUP(P$26,'DB Business'!$A:$S,MATCH($B31,'DB Business'!$A$1:$S$1,0),0)</f>
        <v/>
      </c>
      <c r="Q31" s="2">
        <f>VLOOKUP(Q$26,'DB Business'!$A:$S,MATCH($B31,'DB Business'!$A$1:$S$1,0),0)</f>
        <v/>
      </c>
      <c r="R31" s="2">
        <f>VLOOKUP(R$26,'DB Business'!$A:$S,MATCH($B31,'DB Business'!$A$1:$S$1,0),0)</f>
        <v/>
      </c>
      <c r="S31" s="2">
        <f>VLOOKUP(S$26,'DB Business'!$A:$S,MATCH($B31,'DB Business'!$A$1:$S$1,0),0)</f>
        <v/>
      </c>
      <c r="T31" s="2">
        <f>VLOOKUP(T$26,'DB Business'!$A:$S,MATCH($B31,'DB Business'!$A$1:$S$1,0),0)</f>
        <v/>
      </c>
      <c r="U31" s="2">
        <f>VLOOKUP(U$26,'DB Business'!$A:$S,MATCH($B31,'DB Business'!$A$1:$S$1,0),0)</f>
        <v/>
      </c>
      <c r="V31" s="2">
        <f>VLOOKUP(V$26,'DB Business'!$A:$S,MATCH($B31,'DB Business'!$A$1:$S$1,0),0)</f>
        <v/>
      </c>
      <c r="W31" s="2">
        <f>VLOOKUP(W$26,'DB Business'!$A:$S,MATCH($B31,'DB Business'!$A$1:$S$1,0),0)</f>
        <v/>
      </c>
      <c r="X31" s="2">
        <f>VLOOKUP(X$26,'DB Business'!$A:$S,MATCH($B31,'DB Business'!$A$1:$S$1,0),0)</f>
        <v/>
      </c>
      <c r="Y31" s="2">
        <f>VLOOKUP(Y$26,'DB Business'!$A:$S,MATCH($B31,'DB Business'!$A$1:$S$1,0),0)</f>
        <v/>
      </c>
      <c r="Z31" s="2">
        <f>VLOOKUP(Z$26,'DB Business'!$A:$S,MATCH($B31,'DB Business'!$A$1:$S$1,0),0)</f>
        <v/>
      </c>
      <c r="AA31" s="2">
        <f>VLOOKUP(AA$26,'DB Business'!$A:$S,MATCH($B31,'DB Business'!$A$1:$S$1,0),0)</f>
        <v/>
      </c>
      <c r="AB31" s="2">
        <f>VLOOKUP(AB$26,'DB Business'!$A:$S,MATCH($B31,'DB Business'!$A$1:$S$1,0),0)</f>
        <v/>
      </c>
      <c r="AC31" s="2">
        <f>VLOOKUP(AC$26,'DB Business'!$A:$S,MATCH($B31,'DB Business'!$A$1:$S$1,0),0)</f>
        <v/>
      </c>
      <c r="AD31" s="2">
        <f>VLOOKUP(AD$26,'DB Business'!$A:$S,MATCH($B31,'DB Business'!$A$1:$S$1,0),0)</f>
        <v/>
      </c>
      <c r="AE31" s="2">
        <f>VLOOKUP(AE$26,'DB Business'!$A:$S,MATCH($B31,'DB Business'!$A$1:$S$1,0),0)</f>
        <v/>
      </c>
      <c r="AF31" s="2">
        <f>VLOOKUP(AF$26,'DB Business'!$A:$S,MATCH($B31,'DB Business'!$A$1:$S$1,0),0)</f>
        <v/>
      </c>
      <c r="AH31" s="22">
        <f>AF31-AE31</f>
        <v/>
      </c>
      <c r="AI31" s="34">
        <f>AVERAGE(AD31:AF31)</f>
        <v/>
      </c>
      <c r="AJ31" s="34">
        <f>AVERAGE(AA31:AF31)</f>
        <v/>
      </c>
    </row>
    <row r="32">
      <c r="B32" s="3" t="inlineStr">
        <is>
          <t>Health Care &amp; Social Assistance</t>
        </is>
      </c>
      <c r="C32" s="2">
        <f>VLOOKUP(C$26,'DB Business'!$A:$S,MATCH($B32,'DB Business'!$A$1:$S$1,0),0)</f>
        <v/>
      </c>
      <c r="D32" s="2">
        <f>VLOOKUP(D$26,'DB Business'!$A:$S,MATCH($B32,'DB Business'!$A$1:$S$1,0),0)</f>
        <v/>
      </c>
      <c r="E32" s="2">
        <f>VLOOKUP(E$26,'DB Business'!$A:$S,MATCH($B32,'DB Business'!$A$1:$S$1,0),0)</f>
        <v/>
      </c>
      <c r="F32" s="2">
        <f>VLOOKUP(F$26,'DB Business'!$A:$S,MATCH($B32,'DB Business'!$A$1:$S$1,0),0)</f>
        <v/>
      </c>
      <c r="G32" s="2">
        <f>VLOOKUP(G$26,'DB Business'!$A:$S,MATCH($B32,'DB Business'!$A$1:$S$1,0),0)</f>
        <v/>
      </c>
      <c r="H32" s="2">
        <f>VLOOKUP(H$26,'DB Business'!$A:$S,MATCH($B32,'DB Business'!$A$1:$S$1,0),0)</f>
        <v/>
      </c>
      <c r="I32" s="2">
        <f>VLOOKUP(I$26,'DB Business'!$A:$S,MATCH($B32,'DB Business'!$A$1:$S$1,0),0)</f>
        <v/>
      </c>
      <c r="J32" s="2">
        <f>VLOOKUP(J$26,'DB Business'!$A:$S,MATCH($B32,'DB Business'!$A$1:$S$1,0),0)</f>
        <v/>
      </c>
      <c r="K32" s="2">
        <f>VLOOKUP(K$26,'DB Business'!$A:$S,MATCH($B32,'DB Business'!$A$1:$S$1,0),0)</f>
        <v/>
      </c>
      <c r="L32" s="2">
        <f>VLOOKUP(L$26,'DB Business'!$A:$S,MATCH($B32,'DB Business'!$A$1:$S$1,0),0)</f>
        <v/>
      </c>
      <c r="M32" s="2">
        <f>VLOOKUP(M$26,'DB Business'!$A:$S,MATCH($B32,'DB Business'!$A$1:$S$1,0),0)</f>
        <v/>
      </c>
      <c r="N32" s="2">
        <f>VLOOKUP(N$26,'DB Business'!$A:$S,MATCH($B32,'DB Business'!$A$1:$S$1,0),0)</f>
        <v/>
      </c>
      <c r="O32" s="2">
        <f>VLOOKUP(O$26,'DB Business'!$A:$S,MATCH($B32,'DB Business'!$A$1:$S$1,0),0)</f>
        <v/>
      </c>
      <c r="P32" s="2">
        <f>VLOOKUP(P$26,'DB Business'!$A:$S,MATCH($B32,'DB Business'!$A$1:$S$1,0),0)</f>
        <v/>
      </c>
      <c r="Q32" s="2">
        <f>VLOOKUP(Q$26,'DB Business'!$A:$S,MATCH($B32,'DB Business'!$A$1:$S$1,0),0)</f>
        <v/>
      </c>
      <c r="R32" s="2">
        <f>VLOOKUP(R$26,'DB Business'!$A:$S,MATCH($B32,'DB Business'!$A$1:$S$1,0),0)</f>
        <v/>
      </c>
      <c r="S32" s="2">
        <f>VLOOKUP(S$26,'DB Business'!$A:$S,MATCH($B32,'DB Business'!$A$1:$S$1,0),0)</f>
        <v/>
      </c>
      <c r="T32" s="2">
        <f>VLOOKUP(T$26,'DB Business'!$A:$S,MATCH($B32,'DB Business'!$A$1:$S$1,0),0)</f>
        <v/>
      </c>
      <c r="U32" s="2">
        <f>VLOOKUP(U$26,'DB Business'!$A:$S,MATCH($B32,'DB Business'!$A$1:$S$1,0),0)</f>
        <v/>
      </c>
      <c r="V32" s="2">
        <f>VLOOKUP(V$26,'DB Business'!$A:$S,MATCH($B32,'DB Business'!$A$1:$S$1,0),0)</f>
        <v/>
      </c>
      <c r="W32" s="2">
        <f>VLOOKUP(W$26,'DB Business'!$A:$S,MATCH($B32,'DB Business'!$A$1:$S$1,0),0)</f>
        <v/>
      </c>
      <c r="X32" s="2">
        <f>VLOOKUP(X$26,'DB Business'!$A:$S,MATCH($B32,'DB Business'!$A$1:$S$1,0),0)</f>
        <v/>
      </c>
      <c r="Y32" s="2">
        <f>VLOOKUP(Y$26,'DB Business'!$A:$S,MATCH($B32,'DB Business'!$A$1:$S$1,0),0)</f>
        <v/>
      </c>
      <c r="Z32" s="2">
        <f>VLOOKUP(Z$26,'DB Business'!$A:$S,MATCH($B32,'DB Business'!$A$1:$S$1,0),0)</f>
        <v/>
      </c>
      <c r="AA32" s="2">
        <f>VLOOKUP(AA$26,'DB Business'!$A:$S,MATCH($B32,'DB Business'!$A$1:$S$1,0),0)</f>
        <v/>
      </c>
      <c r="AB32" s="2">
        <f>VLOOKUP(AB$26,'DB Business'!$A:$S,MATCH($B32,'DB Business'!$A$1:$S$1,0),0)</f>
        <v/>
      </c>
      <c r="AC32" s="2">
        <f>VLOOKUP(AC$26,'DB Business'!$A:$S,MATCH($B32,'DB Business'!$A$1:$S$1,0),0)</f>
        <v/>
      </c>
      <c r="AD32" s="2">
        <f>VLOOKUP(AD$26,'DB Business'!$A:$S,MATCH($B32,'DB Business'!$A$1:$S$1,0),0)</f>
        <v/>
      </c>
      <c r="AE32" s="2">
        <f>VLOOKUP(AE$26,'DB Business'!$A:$S,MATCH($B32,'DB Business'!$A$1:$S$1,0),0)</f>
        <v/>
      </c>
      <c r="AF32" s="2">
        <f>VLOOKUP(AF$26,'DB Business'!$A:$S,MATCH($B32,'DB Business'!$A$1:$S$1,0),0)</f>
        <v/>
      </c>
      <c r="AH32" s="22">
        <f>AF32-AE32</f>
        <v/>
      </c>
      <c r="AI32" s="34">
        <f>AVERAGE(AD32:AF32)</f>
        <v/>
      </c>
      <c r="AJ32" s="34">
        <f>AVERAGE(AA32:AF32)</f>
        <v/>
      </c>
    </row>
    <row r="33">
      <c r="B33" s="3" t="inlineStr">
        <is>
          <t>Accommodation &amp; Food Services</t>
        </is>
      </c>
      <c r="C33" s="2">
        <f>VLOOKUP(C$26,'DB Business'!$A:$S,MATCH($B33,'DB Business'!$A$1:$S$1,0),0)</f>
        <v/>
      </c>
      <c r="D33" s="2">
        <f>VLOOKUP(D$26,'DB Business'!$A:$S,MATCH($B33,'DB Business'!$A$1:$S$1,0),0)</f>
        <v/>
      </c>
      <c r="E33" s="2">
        <f>VLOOKUP(E$26,'DB Business'!$A:$S,MATCH($B33,'DB Business'!$A$1:$S$1,0),0)</f>
        <v/>
      </c>
      <c r="F33" s="2">
        <f>VLOOKUP(F$26,'DB Business'!$A:$S,MATCH($B33,'DB Business'!$A$1:$S$1,0),0)</f>
        <v/>
      </c>
      <c r="G33" s="2">
        <f>VLOOKUP(G$26,'DB Business'!$A:$S,MATCH($B33,'DB Business'!$A$1:$S$1,0),0)</f>
        <v/>
      </c>
      <c r="H33" s="2">
        <f>VLOOKUP(H$26,'DB Business'!$A:$S,MATCH($B33,'DB Business'!$A$1:$S$1,0),0)</f>
        <v/>
      </c>
      <c r="I33" s="2">
        <f>VLOOKUP(I$26,'DB Business'!$A:$S,MATCH($B33,'DB Business'!$A$1:$S$1,0),0)</f>
        <v/>
      </c>
      <c r="J33" s="2">
        <f>VLOOKUP(J$26,'DB Business'!$A:$S,MATCH($B33,'DB Business'!$A$1:$S$1,0),0)</f>
        <v/>
      </c>
      <c r="K33" s="2">
        <f>VLOOKUP(K$26,'DB Business'!$A:$S,MATCH($B33,'DB Business'!$A$1:$S$1,0),0)</f>
        <v/>
      </c>
      <c r="L33" s="2">
        <f>VLOOKUP(L$26,'DB Business'!$A:$S,MATCH($B33,'DB Business'!$A$1:$S$1,0),0)</f>
        <v/>
      </c>
      <c r="M33" s="2">
        <f>VLOOKUP(M$26,'DB Business'!$A:$S,MATCH($B33,'DB Business'!$A$1:$S$1,0),0)</f>
        <v/>
      </c>
      <c r="N33" s="2">
        <f>VLOOKUP(N$26,'DB Business'!$A:$S,MATCH($B33,'DB Business'!$A$1:$S$1,0),0)</f>
        <v/>
      </c>
      <c r="O33" s="2">
        <f>VLOOKUP(O$26,'DB Business'!$A:$S,MATCH($B33,'DB Business'!$A$1:$S$1,0),0)</f>
        <v/>
      </c>
      <c r="P33" s="2">
        <f>VLOOKUP(P$26,'DB Business'!$A:$S,MATCH($B33,'DB Business'!$A$1:$S$1,0),0)</f>
        <v/>
      </c>
      <c r="Q33" s="2">
        <f>VLOOKUP(Q$26,'DB Business'!$A:$S,MATCH($B33,'DB Business'!$A$1:$S$1,0),0)</f>
        <v/>
      </c>
      <c r="R33" s="2">
        <f>VLOOKUP(R$26,'DB Business'!$A:$S,MATCH($B33,'DB Business'!$A$1:$S$1,0),0)</f>
        <v/>
      </c>
      <c r="S33" s="2">
        <f>VLOOKUP(S$26,'DB Business'!$A:$S,MATCH($B33,'DB Business'!$A$1:$S$1,0),0)</f>
        <v/>
      </c>
      <c r="T33" s="2">
        <f>VLOOKUP(T$26,'DB Business'!$A:$S,MATCH($B33,'DB Business'!$A$1:$S$1,0),0)</f>
        <v/>
      </c>
      <c r="U33" s="2">
        <f>VLOOKUP(U$26,'DB Business'!$A:$S,MATCH($B33,'DB Business'!$A$1:$S$1,0),0)</f>
        <v/>
      </c>
      <c r="V33" s="2">
        <f>VLOOKUP(V$26,'DB Business'!$A:$S,MATCH($B33,'DB Business'!$A$1:$S$1,0),0)</f>
        <v/>
      </c>
      <c r="W33" s="2">
        <f>VLOOKUP(W$26,'DB Business'!$A:$S,MATCH($B33,'DB Business'!$A$1:$S$1,0),0)</f>
        <v/>
      </c>
      <c r="X33" s="2">
        <f>VLOOKUP(X$26,'DB Business'!$A:$S,MATCH($B33,'DB Business'!$A$1:$S$1,0),0)</f>
        <v/>
      </c>
      <c r="Y33" s="2">
        <f>VLOOKUP(Y$26,'DB Business'!$A:$S,MATCH($B33,'DB Business'!$A$1:$S$1,0),0)</f>
        <v/>
      </c>
      <c r="Z33" s="2">
        <f>VLOOKUP(Z$26,'DB Business'!$A:$S,MATCH($B33,'DB Business'!$A$1:$S$1,0),0)</f>
        <v/>
      </c>
      <c r="AA33" s="2">
        <f>VLOOKUP(AA$26,'DB Business'!$A:$S,MATCH($B33,'DB Business'!$A$1:$S$1,0),0)</f>
        <v/>
      </c>
      <c r="AB33" s="2">
        <f>VLOOKUP(AB$26,'DB Business'!$A:$S,MATCH($B33,'DB Business'!$A$1:$S$1,0),0)</f>
        <v/>
      </c>
      <c r="AC33" s="2">
        <f>VLOOKUP(AC$26,'DB Business'!$A:$S,MATCH($B33,'DB Business'!$A$1:$S$1,0),0)</f>
        <v/>
      </c>
      <c r="AD33" s="2">
        <f>VLOOKUP(AD$26,'DB Business'!$A:$S,MATCH($B33,'DB Business'!$A$1:$S$1,0),0)</f>
        <v/>
      </c>
      <c r="AE33" s="2">
        <f>VLOOKUP(AE$26,'DB Business'!$A:$S,MATCH($B33,'DB Business'!$A$1:$S$1,0),0)</f>
        <v/>
      </c>
      <c r="AF33" s="2">
        <f>VLOOKUP(AF$26,'DB Business'!$A:$S,MATCH($B33,'DB Business'!$A$1:$S$1,0),0)</f>
        <v/>
      </c>
      <c r="AH33" s="22">
        <f>AF33-AE33</f>
        <v/>
      </c>
      <c r="AI33" s="34">
        <f>AVERAGE(AD33:AF33)</f>
        <v/>
      </c>
      <c r="AJ33" s="34">
        <f>AVERAGE(AA33:AF33)</f>
        <v/>
      </c>
    </row>
    <row r="34">
      <c r="B34" s="3" t="inlineStr">
        <is>
          <t>Transportation &amp; Warehousing</t>
        </is>
      </c>
      <c r="C34" s="2">
        <f>VLOOKUP(C$26,'DB Business'!$A:$S,MATCH($B34,'DB Business'!$A$1:$S$1,0),0)</f>
        <v/>
      </c>
      <c r="D34" s="2">
        <f>VLOOKUP(D$26,'DB Business'!$A:$S,MATCH($B34,'DB Business'!$A$1:$S$1,0),0)</f>
        <v/>
      </c>
      <c r="E34" s="2">
        <f>VLOOKUP(E$26,'DB Business'!$A:$S,MATCH($B34,'DB Business'!$A$1:$S$1,0),0)</f>
        <v/>
      </c>
      <c r="F34" s="2">
        <f>VLOOKUP(F$26,'DB Business'!$A:$S,MATCH($B34,'DB Business'!$A$1:$S$1,0),0)</f>
        <v/>
      </c>
      <c r="G34" s="2">
        <f>VLOOKUP(G$26,'DB Business'!$A:$S,MATCH($B34,'DB Business'!$A$1:$S$1,0),0)</f>
        <v/>
      </c>
      <c r="H34" s="2">
        <f>VLOOKUP(H$26,'DB Business'!$A:$S,MATCH($B34,'DB Business'!$A$1:$S$1,0),0)</f>
        <v/>
      </c>
      <c r="I34" s="2">
        <f>VLOOKUP(I$26,'DB Business'!$A:$S,MATCH($B34,'DB Business'!$A$1:$S$1,0),0)</f>
        <v/>
      </c>
      <c r="J34" s="2">
        <f>VLOOKUP(J$26,'DB Business'!$A:$S,MATCH($B34,'DB Business'!$A$1:$S$1,0),0)</f>
        <v/>
      </c>
      <c r="K34" s="2">
        <f>VLOOKUP(K$26,'DB Business'!$A:$S,MATCH($B34,'DB Business'!$A$1:$S$1,0),0)</f>
        <v/>
      </c>
      <c r="L34" s="2">
        <f>VLOOKUP(L$26,'DB Business'!$A:$S,MATCH($B34,'DB Business'!$A$1:$S$1,0),0)</f>
        <v/>
      </c>
      <c r="M34" s="2">
        <f>VLOOKUP(M$26,'DB Business'!$A:$S,MATCH($B34,'DB Business'!$A$1:$S$1,0),0)</f>
        <v/>
      </c>
      <c r="N34" s="2">
        <f>VLOOKUP(N$26,'DB Business'!$A:$S,MATCH($B34,'DB Business'!$A$1:$S$1,0),0)</f>
        <v/>
      </c>
      <c r="O34" s="2">
        <f>VLOOKUP(O$26,'DB Business'!$A:$S,MATCH($B34,'DB Business'!$A$1:$S$1,0),0)</f>
        <v/>
      </c>
      <c r="P34" s="2">
        <f>VLOOKUP(P$26,'DB Business'!$A:$S,MATCH($B34,'DB Business'!$A$1:$S$1,0),0)</f>
        <v/>
      </c>
      <c r="Q34" s="2">
        <f>VLOOKUP(Q$26,'DB Business'!$A:$S,MATCH($B34,'DB Business'!$A$1:$S$1,0),0)</f>
        <v/>
      </c>
      <c r="R34" s="2">
        <f>VLOOKUP(R$26,'DB Business'!$A:$S,MATCH($B34,'DB Business'!$A$1:$S$1,0),0)</f>
        <v/>
      </c>
      <c r="S34" s="2">
        <f>VLOOKUP(S$26,'DB Business'!$A:$S,MATCH($B34,'DB Business'!$A$1:$S$1,0),0)</f>
        <v/>
      </c>
      <c r="T34" s="2">
        <f>VLOOKUP(T$26,'DB Business'!$A:$S,MATCH($B34,'DB Business'!$A$1:$S$1,0),0)</f>
        <v/>
      </c>
      <c r="U34" s="2">
        <f>VLOOKUP(U$26,'DB Business'!$A:$S,MATCH($B34,'DB Business'!$A$1:$S$1,0),0)</f>
        <v/>
      </c>
      <c r="V34" s="2">
        <f>VLOOKUP(V$26,'DB Business'!$A:$S,MATCH($B34,'DB Business'!$A$1:$S$1,0),0)</f>
        <v/>
      </c>
      <c r="W34" s="2">
        <f>VLOOKUP(W$26,'DB Business'!$A:$S,MATCH($B34,'DB Business'!$A$1:$S$1,0),0)</f>
        <v/>
      </c>
      <c r="X34" s="2">
        <f>VLOOKUP(X$26,'DB Business'!$A:$S,MATCH($B34,'DB Business'!$A$1:$S$1,0),0)</f>
        <v/>
      </c>
      <c r="Y34" s="2">
        <f>VLOOKUP(Y$26,'DB Business'!$A:$S,MATCH($B34,'DB Business'!$A$1:$S$1,0),0)</f>
        <v/>
      </c>
      <c r="Z34" s="2">
        <f>VLOOKUP(Z$26,'DB Business'!$A:$S,MATCH($B34,'DB Business'!$A$1:$S$1,0),0)</f>
        <v/>
      </c>
      <c r="AA34" s="2">
        <f>VLOOKUP(AA$26,'DB Business'!$A:$S,MATCH($B34,'DB Business'!$A$1:$S$1,0),0)</f>
        <v/>
      </c>
      <c r="AB34" s="2">
        <f>VLOOKUP(AB$26,'DB Business'!$A:$S,MATCH($B34,'DB Business'!$A$1:$S$1,0),0)</f>
        <v/>
      </c>
      <c r="AC34" s="2">
        <f>VLOOKUP(AC$26,'DB Business'!$A:$S,MATCH($B34,'DB Business'!$A$1:$S$1,0),0)</f>
        <v/>
      </c>
      <c r="AD34" s="2">
        <f>VLOOKUP(AD$26,'DB Business'!$A:$S,MATCH($B34,'DB Business'!$A$1:$S$1,0),0)</f>
        <v/>
      </c>
      <c r="AE34" s="2">
        <f>VLOOKUP(AE$26,'DB Business'!$A:$S,MATCH($B34,'DB Business'!$A$1:$S$1,0),0)</f>
        <v/>
      </c>
      <c r="AF34" s="2">
        <f>VLOOKUP(AF$26,'DB Business'!$A:$S,MATCH($B34,'DB Business'!$A$1:$S$1,0),0)</f>
        <v/>
      </c>
      <c r="AH34" s="22">
        <f>AF34-AE34</f>
        <v/>
      </c>
      <c r="AI34" s="34">
        <f>AVERAGE(AD34:AF34)</f>
        <v/>
      </c>
      <c r="AJ34" s="34">
        <f>AVERAGE(AA34:AF34)</f>
        <v/>
      </c>
    </row>
    <row r="35">
      <c r="B35" s="3" t="inlineStr">
        <is>
          <t>Finance &amp; Insurance</t>
        </is>
      </c>
      <c r="C35" s="2">
        <f>VLOOKUP(C$26,'DB Business'!$A:$S,MATCH($B35,'DB Business'!$A$1:$S$1,0),0)</f>
        <v/>
      </c>
      <c r="D35" s="2">
        <f>VLOOKUP(D$26,'DB Business'!$A:$S,MATCH($B35,'DB Business'!$A$1:$S$1,0),0)</f>
        <v/>
      </c>
      <c r="E35" s="2">
        <f>VLOOKUP(E$26,'DB Business'!$A:$S,MATCH($B35,'DB Business'!$A$1:$S$1,0),0)</f>
        <v/>
      </c>
      <c r="F35" s="2">
        <f>VLOOKUP(F$26,'DB Business'!$A:$S,MATCH($B35,'DB Business'!$A$1:$S$1,0),0)</f>
        <v/>
      </c>
      <c r="G35" s="2">
        <f>VLOOKUP(G$26,'DB Business'!$A:$S,MATCH($B35,'DB Business'!$A$1:$S$1,0),0)</f>
        <v/>
      </c>
      <c r="H35" s="2">
        <f>VLOOKUP(H$26,'DB Business'!$A:$S,MATCH($B35,'DB Business'!$A$1:$S$1,0),0)</f>
        <v/>
      </c>
      <c r="I35" s="2">
        <f>VLOOKUP(I$26,'DB Business'!$A:$S,MATCH($B35,'DB Business'!$A$1:$S$1,0),0)</f>
        <v/>
      </c>
      <c r="J35" s="2">
        <f>VLOOKUP(J$26,'DB Business'!$A:$S,MATCH($B35,'DB Business'!$A$1:$S$1,0),0)</f>
        <v/>
      </c>
      <c r="K35" s="2">
        <f>VLOOKUP(K$26,'DB Business'!$A:$S,MATCH($B35,'DB Business'!$A$1:$S$1,0),0)</f>
        <v/>
      </c>
      <c r="L35" s="2">
        <f>VLOOKUP(L$26,'DB Business'!$A:$S,MATCH($B35,'DB Business'!$A$1:$S$1,0),0)</f>
        <v/>
      </c>
      <c r="M35" s="2">
        <f>VLOOKUP(M$26,'DB Business'!$A:$S,MATCH($B35,'DB Business'!$A$1:$S$1,0),0)</f>
        <v/>
      </c>
      <c r="N35" s="2">
        <f>VLOOKUP(N$26,'DB Business'!$A:$S,MATCH($B35,'DB Business'!$A$1:$S$1,0),0)</f>
        <v/>
      </c>
      <c r="O35" s="2">
        <f>VLOOKUP(O$26,'DB Business'!$A:$S,MATCH($B35,'DB Business'!$A$1:$S$1,0),0)</f>
        <v/>
      </c>
      <c r="P35" s="2">
        <f>VLOOKUP(P$26,'DB Business'!$A:$S,MATCH($B35,'DB Business'!$A$1:$S$1,0),0)</f>
        <v/>
      </c>
      <c r="Q35" s="2">
        <f>VLOOKUP(Q$26,'DB Business'!$A:$S,MATCH($B35,'DB Business'!$A$1:$S$1,0),0)</f>
        <v/>
      </c>
      <c r="R35" s="2">
        <f>VLOOKUP(R$26,'DB Business'!$A:$S,MATCH($B35,'DB Business'!$A$1:$S$1,0),0)</f>
        <v/>
      </c>
      <c r="S35" s="2">
        <f>VLOOKUP(S$26,'DB Business'!$A:$S,MATCH($B35,'DB Business'!$A$1:$S$1,0),0)</f>
        <v/>
      </c>
      <c r="T35" s="2">
        <f>VLOOKUP(T$26,'DB Business'!$A:$S,MATCH($B35,'DB Business'!$A$1:$S$1,0),0)</f>
        <v/>
      </c>
      <c r="U35" s="2">
        <f>VLOOKUP(U$26,'DB Business'!$A:$S,MATCH($B35,'DB Business'!$A$1:$S$1,0),0)</f>
        <v/>
      </c>
      <c r="V35" s="2">
        <f>VLOOKUP(V$26,'DB Business'!$A:$S,MATCH($B35,'DB Business'!$A$1:$S$1,0),0)</f>
        <v/>
      </c>
      <c r="W35" s="2">
        <f>VLOOKUP(W$26,'DB Business'!$A:$S,MATCH($B35,'DB Business'!$A$1:$S$1,0),0)</f>
        <v/>
      </c>
      <c r="X35" s="2">
        <f>VLOOKUP(X$26,'DB Business'!$A:$S,MATCH($B35,'DB Business'!$A$1:$S$1,0),0)</f>
        <v/>
      </c>
      <c r="Y35" s="2">
        <f>VLOOKUP(Y$26,'DB Business'!$A:$S,MATCH($B35,'DB Business'!$A$1:$S$1,0),0)</f>
        <v/>
      </c>
      <c r="Z35" s="2">
        <f>VLOOKUP(Z$26,'DB Business'!$A:$S,MATCH($B35,'DB Business'!$A$1:$S$1,0),0)</f>
        <v/>
      </c>
      <c r="AA35" s="2">
        <f>VLOOKUP(AA$26,'DB Business'!$A:$S,MATCH($B35,'DB Business'!$A$1:$S$1,0),0)</f>
        <v/>
      </c>
      <c r="AB35" s="2">
        <f>VLOOKUP(AB$26,'DB Business'!$A:$S,MATCH($B35,'DB Business'!$A$1:$S$1,0),0)</f>
        <v/>
      </c>
      <c r="AC35" s="2">
        <f>VLOOKUP(AC$26,'DB Business'!$A:$S,MATCH($B35,'DB Business'!$A$1:$S$1,0),0)</f>
        <v/>
      </c>
      <c r="AD35" s="2">
        <f>VLOOKUP(AD$26,'DB Business'!$A:$S,MATCH($B35,'DB Business'!$A$1:$S$1,0),0)</f>
        <v/>
      </c>
      <c r="AE35" s="2">
        <f>VLOOKUP(AE$26,'DB Business'!$A:$S,MATCH($B35,'DB Business'!$A$1:$S$1,0),0)</f>
        <v/>
      </c>
      <c r="AF35" s="2">
        <f>VLOOKUP(AF$26,'DB Business'!$A:$S,MATCH($B35,'DB Business'!$A$1:$S$1,0),0)</f>
        <v/>
      </c>
      <c r="AH35" s="22">
        <f>AF35-AE35</f>
        <v/>
      </c>
      <c r="AI35" s="34">
        <f>AVERAGE(AD35:AF35)</f>
        <v/>
      </c>
      <c r="AJ35" s="34">
        <f>AVERAGE(AA35:AF35)</f>
        <v/>
      </c>
    </row>
    <row r="36">
      <c r="B36" s="3" t="inlineStr">
        <is>
          <t>Real Estate, Rental &amp; Leasing</t>
        </is>
      </c>
      <c r="C36" s="2">
        <f>VLOOKUP(C$26,'DB Business'!$A:$S,MATCH($B36,'DB Business'!$A$1:$S$1,0),0)</f>
        <v/>
      </c>
      <c r="D36" s="2">
        <f>VLOOKUP(D$26,'DB Business'!$A:$S,MATCH($B36,'DB Business'!$A$1:$S$1,0),0)</f>
        <v/>
      </c>
      <c r="E36" s="2">
        <f>VLOOKUP(E$26,'DB Business'!$A:$S,MATCH($B36,'DB Business'!$A$1:$S$1,0),0)</f>
        <v/>
      </c>
      <c r="F36" s="2">
        <f>VLOOKUP(F$26,'DB Business'!$A:$S,MATCH($B36,'DB Business'!$A$1:$S$1,0),0)</f>
        <v/>
      </c>
      <c r="G36" s="2">
        <f>VLOOKUP(G$26,'DB Business'!$A:$S,MATCH($B36,'DB Business'!$A$1:$S$1,0),0)</f>
        <v/>
      </c>
      <c r="H36" s="2">
        <f>VLOOKUP(H$26,'DB Business'!$A:$S,MATCH($B36,'DB Business'!$A$1:$S$1,0),0)</f>
        <v/>
      </c>
      <c r="I36" s="2">
        <f>VLOOKUP(I$26,'DB Business'!$A:$S,MATCH($B36,'DB Business'!$A$1:$S$1,0),0)</f>
        <v/>
      </c>
      <c r="J36" s="2">
        <f>VLOOKUP(J$26,'DB Business'!$A:$S,MATCH($B36,'DB Business'!$A$1:$S$1,0),0)</f>
        <v/>
      </c>
      <c r="K36" s="2">
        <f>VLOOKUP(K$26,'DB Business'!$A:$S,MATCH($B36,'DB Business'!$A$1:$S$1,0),0)</f>
        <v/>
      </c>
      <c r="L36" s="2">
        <f>VLOOKUP(L$26,'DB Business'!$A:$S,MATCH($B36,'DB Business'!$A$1:$S$1,0),0)</f>
        <v/>
      </c>
      <c r="M36" s="2">
        <f>VLOOKUP(M$26,'DB Business'!$A:$S,MATCH($B36,'DB Business'!$A$1:$S$1,0),0)</f>
        <v/>
      </c>
      <c r="N36" s="2">
        <f>VLOOKUP(N$26,'DB Business'!$A:$S,MATCH($B36,'DB Business'!$A$1:$S$1,0),0)</f>
        <v/>
      </c>
      <c r="O36" s="2">
        <f>VLOOKUP(O$26,'DB Business'!$A:$S,MATCH($B36,'DB Business'!$A$1:$S$1,0),0)</f>
        <v/>
      </c>
      <c r="P36" s="2">
        <f>VLOOKUP(P$26,'DB Business'!$A:$S,MATCH($B36,'DB Business'!$A$1:$S$1,0),0)</f>
        <v/>
      </c>
      <c r="Q36" s="2">
        <f>VLOOKUP(Q$26,'DB Business'!$A:$S,MATCH($B36,'DB Business'!$A$1:$S$1,0),0)</f>
        <v/>
      </c>
      <c r="R36" s="2">
        <f>VLOOKUP(R$26,'DB Business'!$A:$S,MATCH($B36,'DB Business'!$A$1:$S$1,0),0)</f>
        <v/>
      </c>
      <c r="S36" s="2">
        <f>VLOOKUP(S$26,'DB Business'!$A:$S,MATCH($B36,'DB Business'!$A$1:$S$1,0),0)</f>
        <v/>
      </c>
      <c r="T36" s="2">
        <f>VLOOKUP(T$26,'DB Business'!$A:$S,MATCH($B36,'DB Business'!$A$1:$S$1,0),0)</f>
        <v/>
      </c>
      <c r="U36" s="2">
        <f>VLOOKUP(U$26,'DB Business'!$A:$S,MATCH($B36,'DB Business'!$A$1:$S$1,0),0)</f>
        <v/>
      </c>
      <c r="V36" s="2">
        <f>VLOOKUP(V$26,'DB Business'!$A:$S,MATCH($B36,'DB Business'!$A$1:$S$1,0),0)</f>
        <v/>
      </c>
      <c r="W36" s="2">
        <f>VLOOKUP(W$26,'DB Business'!$A:$S,MATCH($B36,'DB Business'!$A$1:$S$1,0),0)</f>
        <v/>
      </c>
      <c r="X36" s="2">
        <f>VLOOKUP(X$26,'DB Business'!$A:$S,MATCH($B36,'DB Business'!$A$1:$S$1,0),0)</f>
        <v/>
      </c>
      <c r="Y36" s="2">
        <f>VLOOKUP(Y$26,'DB Business'!$A:$S,MATCH($B36,'DB Business'!$A$1:$S$1,0),0)</f>
        <v/>
      </c>
      <c r="Z36" s="2">
        <f>VLOOKUP(Z$26,'DB Business'!$A:$S,MATCH($B36,'DB Business'!$A$1:$S$1,0),0)</f>
        <v/>
      </c>
      <c r="AA36" s="2">
        <f>VLOOKUP(AA$26,'DB Business'!$A:$S,MATCH($B36,'DB Business'!$A$1:$S$1,0),0)</f>
        <v/>
      </c>
      <c r="AB36" s="2">
        <f>VLOOKUP(AB$26,'DB Business'!$A:$S,MATCH($B36,'DB Business'!$A$1:$S$1,0),0)</f>
        <v/>
      </c>
      <c r="AC36" s="2">
        <f>VLOOKUP(AC$26,'DB Business'!$A:$S,MATCH($B36,'DB Business'!$A$1:$S$1,0),0)</f>
        <v/>
      </c>
      <c r="AD36" s="2">
        <f>VLOOKUP(AD$26,'DB Business'!$A:$S,MATCH($B36,'DB Business'!$A$1:$S$1,0),0)</f>
        <v/>
      </c>
      <c r="AE36" s="2">
        <f>VLOOKUP(AE$26,'DB Business'!$A:$S,MATCH($B36,'DB Business'!$A$1:$S$1,0),0)</f>
        <v/>
      </c>
      <c r="AF36" s="2">
        <f>VLOOKUP(AF$26,'DB Business'!$A:$S,MATCH($B36,'DB Business'!$A$1:$S$1,0),0)</f>
        <v/>
      </c>
      <c r="AH36" s="22">
        <f>AF36-AE36</f>
        <v/>
      </c>
      <c r="AI36" s="34">
        <f>AVERAGE(AD36:AF36)</f>
        <v/>
      </c>
      <c r="AJ36" s="34">
        <f>AVERAGE(AA36:AF36)</f>
        <v/>
      </c>
    </row>
    <row r="37">
      <c r="B37" s="3" t="inlineStr">
        <is>
          <t>Public Administration</t>
        </is>
      </c>
      <c r="C37" s="2">
        <f>VLOOKUP(C$26,'DB Business'!$A:$S,MATCH($B37,'DB Business'!$A$1:$S$1,0),0)</f>
        <v/>
      </c>
      <c r="D37" s="2">
        <f>VLOOKUP(D$26,'DB Business'!$A:$S,MATCH($B37,'DB Business'!$A$1:$S$1,0),0)</f>
        <v/>
      </c>
      <c r="E37" s="2">
        <f>VLOOKUP(E$26,'DB Business'!$A:$S,MATCH($B37,'DB Business'!$A$1:$S$1,0),0)</f>
        <v/>
      </c>
      <c r="F37" s="2">
        <f>VLOOKUP(F$26,'DB Business'!$A:$S,MATCH($B37,'DB Business'!$A$1:$S$1,0),0)</f>
        <v/>
      </c>
      <c r="G37" s="2">
        <f>VLOOKUP(G$26,'DB Business'!$A:$S,MATCH($B37,'DB Business'!$A$1:$S$1,0),0)</f>
        <v/>
      </c>
      <c r="H37" s="2">
        <f>VLOOKUP(H$26,'DB Business'!$A:$S,MATCH($B37,'DB Business'!$A$1:$S$1,0),0)</f>
        <v/>
      </c>
      <c r="I37" s="2">
        <f>VLOOKUP(I$26,'DB Business'!$A:$S,MATCH($B37,'DB Business'!$A$1:$S$1,0),0)</f>
        <v/>
      </c>
      <c r="J37" s="2">
        <f>VLOOKUP(J$26,'DB Business'!$A:$S,MATCH($B37,'DB Business'!$A$1:$S$1,0),0)</f>
        <v/>
      </c>
      <c r="K37" s="2">
        <f>VLOOKUP(K$26,'DB Business'!$A:$S,MATCH($B37,'DB Business'!$A$1:$S$1,0),0)</f>
        <v/>
      </c>
      <c r="L37" s="2">
        <f>VLOOKUP(L$26,'DB Business'!$A:$S,MATCH($B37,'DB Business'!$A$1:$S$1,0),0)</f>
        <v/>
      </c>
      <c r="M37" s="2">
        <f>VLOOKUP(M$26,'DB Business'!$A:$S,MATCH($B37,'DB Business'!$A$1:$S$1,0),0)</f>
        <v/>
      </c>
      <c r="N37" s="2">
        <f>VLOOKUP(N$26,'DB Business'!$A:$S,MATCH($B37,'DB Business'!$A$1:$S$1,0),0)</f>
        <v/>
      </c>
      <c r="O37" s="2">
        <f>VLOOKUP(O$26,'DB Business'!$A:$S,MATCH($B37,'DB Business'!$A$1:$S$1,0),0)</f>
        <v/>
      </c>
      <c r="P37" s="2">
        <f>VLOOKUP(P$26,'DB Business'!$A:$S,MATCH($B37,'DB Business'!$A$1:$S$1,0),0)</f>
        <v/>
      </c>
      <c r="Q37" s="2">
        <f>VLOOKUP(Q$26,'DB Business'!$A:$S,MATCH($B37,'DB Business'!$A$1:$S$1,0),0)</f>
        <v/>
      </c>
      <c r="R37" s="2">
        <f>VLOOKUP(R$26,'DB Business'!$A:$S,MATCH($B37,'DB Business'!$A$1:$S$1,0),0)</f>
        <v/>
      </c>
      <c r="S37" s="2">
        <f>VLOOKUP(S$26,'DB Business'!$A:$S,MATCH($B37,'DB Business'!$A$1:$S$1,0),0)</f>
        <v/>
      </c>
      <c r="T37" s="2">
        <f>VLOOKUP(T$26,'DB Business'!$A:$S,MATCH($B37,'DB Business'!$A$1:$S$1,0),0)</f>
        <v/>
      </c>
      <c r="U37" s="2">
        <f>VLOOKUP(U$26,'DB Business'!$A:$S,MATCH($B37,'DB Business'!$A$1:$S$1,0),0)</f>
        <v/>
      </c>
      <c r="V37" s="2">
        <f>VLOOKUP(V$26,'DB Business'!$A:$S,MATCH($B37,'DB Business'!$A$1:$S$1,0),0)</f>
        <v/>
      </c>
      <c r="W37" s="2">
        <f>VLOOKUP(W$26,'DB Business'!$A:$S,MATCH($B37,'DB Business'!$A$1:$S$1,0),0)</f>
        <v/>
      </c>
      <c r="X37" s="2">
        <f>VLOOKUP(X$26,'DB Business'!$A:$S,MATCH($B37,'DB Business'!$A$1:$S$1,0),0)</f>
        <v/>
      </c>
      <c r="Y37" s="2">
        <f>VLOOKUP(Y$26,'DB Business'!$A:$S,MATCH($B37,'DB Business'!$A$1:$S$1,0),0)</f>
        <v/>
      </c>
      <c r="Z37" s="2">
        <f>VLOOKUP(Z$26,'DB Business'!$A:$S,MATCH($B37,'DB Business'!$A$1:$S$1,0),0)</f>
        <v/>
      </c>
      <c r="AA37" s="2">
        <f>VLOOKUP(AA$26,'DB Business'!$A:$S,MATCH($B37,'DB Business'!$A$1:$S$1,0),0)</f>
        <v/>
      </c>
      <c r="AB37" s="2">
        <f>VLOOKUP(AB$26,'DB Business'!$A:$S,MATCH($B37,'DB Business'!$A$1:$S$1,0),0)</f>
        <v/>
      </c>
      <c r="AC37" s="2">
        <f>VLOOKUP(AC$26,'DB Business'!$A:$S,MATCH($B37,'DB Business'!$A$1:$S$1,0),0)</f>
        <v/>
      </c>
      <c r="AD37" s="2">
        <f>VLOOKUP(AD$26,'DB Business'!$A:$S,MATCH($B37,'DB Business'!$A$1:$S$1,0),0)</f>
        <v/>
      </c>
      <c r="AE37" s="2">
        <f>VLOOKUP(AE$26,'DB Business'!$A:$S,MATCH($B37,'DB Business'!$A$1:$S$1,0),0)</f>
        <v/>
      </c>
      <c r="AF37" s="2">
        <f>VLOOKUP(AF$26,'DB Business'!$A:$S,MATCH($B37,'DB Business'!$A$1:$S$1,0),0)</f>
        <v/>
      </c>
      <c r="AH37" s="22">
        <f>AF37-AE37</f>
        <v/>
      </c>
      <c r="AI37" s="34">
        <f>AVERAGE(AD37:AF37)</f>
        <v/>
      </c>
      <c r="AJ37" s="34">
        <f>AVERAGE(AA37:AF37)</f>
        <v/>
      </c>
    </row>
    <row r="38">
      <c r="B38" s="3" t="inlineStr">
        <is>
          <t>Agriculture, Forestry, Fishing &amp; Hunting</t>
        </is>
      </c>
      <c r="C38" s="2">
        <f>VLOOKUP(C$26,'DB Business'!$A:$S,MATCH($B38,'DB Business'!$A$1:$S$1,0),0)</f>
        <v/>
      </c>
      <c r="D38" s="2">
        <f>VLOOKUP(D$26,'DB Business'!$A:$S,MATCH($B38,'DB Business'!$A$1:$S$1,0),0)</f>
        <v/>
      </c>
      <c r="E38" s="2">
        <f>VLOOKUP(E$26,'DB Business'!$A:$S,MATCH($B38,'DB Business'!$A$1:$S$1,0),0)</f>
        <v/>
      </c>
      <c r="F38" s="2">
        <f>VLOOKUP(F$26,'DB Business'!$A:$S,MATCH($B38,'DB Business'!$A$1:$S$1,0),0)</f>
        <v/>
      </c>
      <c r="G38" s="2">
        <f>VLOOKUP(G$26,'DB Business'!$A:$S,MATCH($B38,'DB Business'!$A$1:$S$1,0),0)</f>
        <v/>
      </c>
      <c r="H38" s="2">
        <f>VLOOKUP(H$26,'DB Business'!$A:$S,MATCH($B38,'DB Business'!$A$1:$S$1,0),0)</f>
        <v/>
      </c>
      <c r="I38" s="2">
        <f>VLOOKUP(I$26,'DB Business'!$A:$S,MATCH($B38,'DB Business'!$A$1:$S$1,0),0)</f>
        <v/>
      </c>
      <c r="J38" s="2">
        <f>VLOOKUP(J$26,'DB Business'!$A:$S,MATCH($B38,'DB Business'!$A$1:$S$1,0),0)</f>
        <v/>
      </c>
      <c r="K38" s="2">
        <f>VLOOKUP(K$26,'DB Business'!$A:$S,MATCH($B38,'DB Business'!$A$1:$S$1,0),0)</f>
        <v/>
      </c>
      <c r="L38" s="2">
        <f>VLOOKUP(L$26,'DB Business'!$A:$S,MATCH($B38,'DB Business'!$A$1:$S$1,0),0)</f>
        <v/>
      </c>
      <c r="M38" s="2">
        <f>VLOOKUP(M$26,'DB Business'!$A:$S,MATCH($B38,'DB Business'!$A$1:$S$1,0),0)</f>
        <v/>
      </c>
      <c r="N38" s="2">
        <f>VLOOKUP(N$26,'DB Business'!$A:$S,MATCH($B38,'DB Business'!$A$1:$S$1,0),0)</f>
        <v/>
      </c>
      <c r="O38" s="2">
        <f>VLOOKUP(O$26,'DB Business'!$A:$S,MATCH($B38,'DB Business'!$A$1:$S$1,0),0)</f>
        <v/>
      </c>
      <c r="P38" s="2">
        <f>VLOOKUP(P$26,'DB Business'!$A:$S,MATCH($B38,'DB Business'!$A$1:$S$1,0),0)</f>
        <v/>
      </c>
      <c r="Q38" s="2">
        <f>VLOOKUP(Q$26,'DB Business'!$A:$S,MATCH($B38,'DB Business'!$A$1:$S$1,0),0)</f>
        <v/>
      </c>
      <c r="R38" s="2">
        <f>VLOOKUP(R$26,'DB Business'!$A:$S,MATCH($B38,'DB Business'!$A$1:$S$1,0),0)</f>
        <v/>
      </c>
      <c r="S38" s="2">
        <f>VLOOKUP(S$26,'DB Business'!$A:$S,MATCH($B38,'DB Business'!$A$1:$S$1,0),0)</f>
        <v/>
      </c>
      <c r="T38" s="2">
        <f>VLOOKUP(T$26,'DB Business'!$A:$S,MATCH($B38,'DB Business'!$A$1:$S$1,0),0)</f>
        <v/>
      </c>
      <c r="U38" s="2">
        <f>VLOOKUP(U$26,'DB Business'!$A:$S,MATCH($B38,'DB Business'!$A$1:$S$1,0),0)</f>
        <v/>
      </c>
      <c r="V38" s="2">
        <f>VLOOKUP(V$26,'DB Business'!$A:$S,MATCH($B38,'DB Business'!$A$1:$S$1,0),0)</f>
        <v/>
      </c>
      <c r="W38" s="2">
        <f>VLOOKUP(W$26,'DB Business'!$A:$S,MATCH($B38,'DB Business'!$A$1:$S$1,0),0)</f>
        <v/>
      </c>
      <c r="X38" s="2">
        <f>VLOOKUP(X$26,'DB Business'!$A:$S,MATCH($B38,'DB Business'!$A$1:$S$1,0),0)</f>
        <v/>
      </c>
      <c r="Y38" s="2">
        <f>VLOOKUP(Y$26,'DB Business'!$A:$S,MATCH($B38,'DB Business'!$A$1:$S$1,0),0)</f>
        <v/>
      </c>
      <c r="Z38" s="2">
        <f>VLOOKUP(Z$26,'DB Business'!$A:$S,MATCH($B38,'DB Business'!$A$1:$S$1,0),0)</f>
        <v/>
      </c>
      <c r="AA38" s="2">
        <f>VLOOKUP(AA$26,'DB Business'!$A:$S,MATCH($B38,'DB Business'!$A$1:$S$1,0),0)</f>
        <v/>
      </c>
      <c r="AB38" s="2">
        <f>VLOOKUP(AB$26,'DB Business'!$A:$S,MATCH($B38,'DB Business'!$A$1:$S$1,0),0)</f>
        <v/>
      </c>
      <c r="AC38" s="2">
        <f>VLOOKUP(AC$26,'DB Business'!$A:$S,MATCH($B38,'DB Business'!$A$1:$S$1,0),0)</f>
        <v/>
      </c>
      <c r="AD38" s="2">
        <f>VLOOKUP(AD$26,'DB Business'!$A:$S,MATCH($B38,'DB Business'!$A$1:$S$1,0),0)</f>
        <v/>
      </c>
      <c r="AE38" s="2">
        <f>VLOOKUP(AE$26,'DB Business'!$A:$S,MATCH($B38,'DB Business'!$A$1:$S$1,0),0)</f>
        <v/>
      </c>
      <c r="AF38" s="2">
        <f>VLOOKUP(AF$26,'DB Business'!$A:$S,MATCH($B38,'DB Business'!$A$1:$S$1,0),0)</f>
        <v/>
      </c>
      <c r="AH38" s="22">
        <f>AF38-AE38</f>
        <v/>
      </c>
      <c r="AI38" s="34">
        <f>AVERAGE(AD38:AF38)</f>
        <v/>
      </c>
      <c r="AJ38" s="34">
        <f>AVERAGE(AA38:AF38)</f>
        <v/>
      </c>
    </row>
    <row r="39">
      <c r="B39" s="3" t="inlineStr">
        <is>
          <t>Construction</t>
        </is>
      </c>
      <c r="C39" s="2">
        <f>VLOOKUP(C$26,'DB Business'!$A:$S,MATCH($B39,'DB Business'!$A$1:$S$1,0),0)</f>
        <v/>
      </c>
      <c r="D39" s="2">
        <f>VLOOKUP(D$26,'DB Business'!$A:$S,MATCH($B39,'DB Business'!$A$1:$S$1,0),0)</f>
        <v/>
      </c>
      <c r="E39" s="2">
        <f>VLOOKUP(E$26,'DB Business'!$A:$S,MATCH($B39,'DB Business'!$A$1:$S$1,0),0)</f>
        <v/>
      </c>
      <c r="F39" s="2">
        <f>VLOOKUP(F$26,'DB Business'!$A:$S,MATCH($B39,'DB Business'!$A$1:$S$1,0),0)</f>
        <v/>
      </c>
      <c r="G39" s="2">
        <f>VLOOKUP(G$26,'DB Business'!$A:$S,MATCH($B39,'DB Business'!$A$1:$S$1,0),0)</f>
        <v/>
      </c>
      <c r="H39" s="2">
        <f>VLOOKUP(H$26,'DB Business'!$A:$S,MATCH($B39,'DB Business'!$A$1:$S$1,0),0)</f>
        <v/>
      </c>
      <c r="I39" s="2">
        <f>VLOOKUP(I$26,'DB Business'!$A:$S,MATCH($B39,'DB Business'!$A$1:$S$1,0),0)</f>
        <v/>
      </c>
      <c r="J39" s="2">
        <f>VLOOKUP(J$26,'DB Business'!$A:$S,MATCH($B39,'DB Business'!$A$1:$S$1,0),0)</f>
        <v/>
      </c>
      <c r="K39" s="2">
        <f>VLOOKUP(K$26,'DB Business'!$A:$S,MATCH($B39,'DB Business'!$A$1:$S$1,0),0)</f>
        <v/>
      </c>
      <c r="L39" s="2">
        <f>VLOOKUP(L$26,'DB Business'!$A:$S,MATCH($B39,'DB Business'!$A$1:$S$1,0),0)</f>
        <v/>
      </c>
      <c r="M39" s="2">
        <f>VLOOKUP(M$26,'DB Business'!$A:$S,MATCH($B39,'DB Business'!$A$1:$S$1,0),0)</f>
        <v/>
      </c>
      <c r="N39" s="2">
        <f>VLOOKUP(N$26,'DB Business'!$A:$S,MATCH($B39,'DB Business'!$A$1:$S$1,0),0)</f>
        <v/>
      </c>
      <c r="O39" s="2">
        <f>VLOOKUP(O$26,'DB Business'!$A:$S,MATCH($B39,'DB Business'!$A$1:$S$1,0),0)</f>
        <v/>
      </c>
      <c r="P39" s="2">
        <f>VLOOKUP(P$26,'DB Business'!$A:$S,MATCH($B39,'DB Business'!$A$1:$S$1,0),0)</f>
        <v/>
      </c>
      <c r="Q39" s="2">
        <f>VLOOKUP(Q$26,'DB Business'!$A:$S,MATCH($B39,'DB Business'!$A$1:$S$1,0),0)</f>
        <v/>
      </c>
      <c r="R39" s="2">
        <f>VLOOKUP(R$26,'DB Business'!$A:$S,MATCH($B39,'DB Business'!$A$1:$S$1,0),0)</f>
        <v/>
      </c>
      <c r="S39" s="2">
        <f>VLOOKUP(S$26,'DB Business'!$A:$S,MATCH($B39,'DB Business'!$A$1:$S$1,0),0)</f>
        <v/>
      </c>
      <c r="T39" s="2">
        <f>VLOOKUP(T$26,'DB Business'!$A:$S,MATCH($B39,'DB Business'!$A$1:$S$1,0),0)</f>
        <v/>
      </c>
      <c r="U39" s="2">
        <f>VLOOKUP(U$26,'DB Business'!$A:$S,MATCH($B39,'DB Business'!$A$1:$S$1,0),0)</f>
        <v/>
      </c>
      <c r="V39" s="2">
        <f>VLOOKUP(V$26,'DB Business'!$A:$S,MATCH($B39,'DB Business'!$A$1:$S$1,0),0)</f>
        <v/>
      </c>
      <c r="W39" s="2">
        <f>VLOOKUP(W$26,'DB Business'!$A:$S,MATCH($B39,'DB Business'!$A$1:$S$1,0),0)</f>
        <v/>
      </c>
      <c r="X39" s="2">
        <f>VLOOKUP(X$26,'DB Business'!$A:$S,MATCH($B39,'DB Business'!$A$1:$S$1,0),0)</f>
        <v/>
      </c>
      <c r="Y39" s="2">
        <f>VLOOKUP(Y$26,'DB Business'!$A:$S,MATCH($B39,'DB Business'!$A$1:$S$1,0),0)</f>
        <v/>
      </c>
      <c r="Z39" s="2">
        <f>VLOOKUP(Z$26,'DB Business'!$A:$S,MATCH($B39,'DB Business'!$A$1:$S$1,0),0)</f>
        <v/>
      </c>
      <c r="AA39" s="2">
        <f>VLOOKUP(AA$26,'DB Business'!$A:$S,MATCH($B39,'DB Business'!$A$1:$S$1,0),0)</f>
        <v/>
      </c>
      <c r="AB39" s="2">
        <f>VLOOKUP(AB$26,'DB Business'!$A:$S,MATCH($B39,'DB Business'!$A$1:$S$1,0),0)</f>
        <v/>
      </c>
      <c r="AC39" s="2">
        <f>VLOOKUP(AC$26,'DB Business'!$A:$S,MATCH($B39,'DB Business'!$A$1:$S$1,0),0)</f>
        <v/>
      </c>
      <c r="AD39" s="2">
        <f>VLOOKUP(AD$26,'DB Business'!$A:$S,MATCH($B39,'DB Business'!$A$1:$S$1,0),0)</f>
        <v/>
      </c>
      <c r="AE39" s="2">
        <f>VLOOKUP(AE$26,'DB Business'!$A:$S,MATCH($B39,'DB Business'!$A$1:$S$1,0),0)</f>
        <v/>
      </c>
      <c r="AF39" s="2">
        <f>VLOOKUP(AF$26,'DB Business'!$A:$S,MATCH($B39,'DB Business'!$A$1:$S$1,0),0)</f>
        <v/>
      </c>
      <c r="AH39" s="22">
        <f>AF39-AE39</f>
        <v/>
      </c>
      <c r="AI39" s="34">
        <f>AVERAGE(AD39:AF39)</f>
        <v/>
      </c>
      <c r="AJ39" s="34">
        <f>AVERAGE(AA39:AF39)</f>
        <v/>
      </c>
    </row>
    <row r="40">
      <c r="B40" s="3" t="inlineStr">
        <is>
          <t>Professional, Scientific &amp; Technical Services</t>
        </is>
      </c>
      <c r="C40" s="2">
        <f>VLOOKUP(C$26,'DB Business'!$A:$S,MATCH($B40,'DB Business'!$A$1:$S$1,0),0)</f>
        <v/>
      </c>
      <c r="D40" s="2">
        <f>VLOOKUP(D$26,'DB Business'!$A:$S,MATCH($B40,'DB Business'!$A$1:$S$1,0),0)</f>
        <v/>
      </c>
      <c r="E40" s="2">
        <f>VLOOKUP(E$26,'DB Business'!$A:$S,MATCH($B40,'DB Business'!$A$1:$S$1,0),0)</f>
        <v/>
      </c>
      <c r="F40" s="2">
        <f>VLOOKUP(F$26,'DB Business'!$A:$S,MATCH($B40,'DB Business'!$A$1:$S$1,0),0)</f>
        <v/>
      </c>
      <c r="G40" s="2">
        <f>VLOOKUP(G$26,'DB Business'!$A:$S,MATCH($B40,'DB Business'!$A$1:$S$1,0),0)</f>
        <v/>
      </c>
      <c r="H40" s="2">
        <f>VLOOKUP(H$26,'DB Business'!$A:$S,MATCH($B40,'DB Business'!$A$1:$S$1,0),0)</f>
        <v/>
      </c>
      <c r="I40" s="2">
        <f>VLOOKUP(I$26,'DB Business'!$A:$S,MATCH($B40,'DB Business'!$A$1:$S$1,0),0)</f>
        <v/>
      </c>
      <c r="J40" s="2">
        <f>VLOOKUP(J$26,'DB Business'!$A:$S,MATCH($B40,'DB Business'!$A$1:$S$1,0),0)</f>
        <v/>
      </c>
      <c r="K40" s="2">
        <f>VLOOKUP(K$26,'DB Business'!$A:$S,MATCH($B40,'DB Business'!$A$1:$S$1,0),0)</f>
        <v/>
      </c>
      <c r="L40" s="2">
        <f>VLOOKUP(L$26,'DB Business'!$A:$S,MATCH($B40,'DB Business'!$A$1:$S$1,0),0)</f>
        <v/>
      </c>
      <c r="M40" s="2">
        <f>VLOOKUP(M$26,'DB Business'!$A:$S,MATCH($B40,'DB Business'!$A$1:$S$1,0),0)</f>
        <v/>
      </c>
      <c r="N40" s="2">
        <f>VLOOKUP(N$26,'DB Business'!$A:$S,MATCH($B40,'DB Business'!$A$1:$S$1,0),0)</f>
        <v/>
      </c>
      <c r="O40" s="2">
        <f>VLOOKUP(O$26,'DB Business'!$A:$S,MATCH($B40,'DB Business'!$A$1:$S$1,0),0)</f>
        <v/>
      </c>
      <c r="P40" s="2">
        <f>VLOOKUP(P$26,'DB Business'!$A:$S,MATCH($B40,'DB Business'!$A$1:$S$1,0),0)</f>
        <v/>
      </c>
      <c r="Q40" s="2">
        <f>VLOOKUP(Q$26,'DB Business'!$A:$S,MATCH($B40,'DB Business'!$A$1:$S$1,0),0)</f>
        <v/>
      </c>
      <c r="R40" s="2">
        <f>VLOOKUP(R$26,'DB Business'!$A:$S,MATCH($B40,'DB Business'!$A$1:$S$1,0),0)</f>
        <v/>
      </c>
      <c r="S40" s="2">
        <f>VLOOKUP(S$26,'DB Business'!$A:$S,MATCH($B40,'DB Business'!$A$1:$S$1,0),0)</f>
        <v/>
      </c>
      <c r="T40" s="2">
        <f>VLOOKUP(T$26,'DB Business'!$A:$S,MATCH($B40,'DB Business'!$A$1:$S$1,0),0)</f>
        <v/>
      </c>
      <c r="U40" s="2">
        <f>VLOOKUP(U$26,'DB Business'!$A:$S,MATCH($B40,'DB Business'!$A$1:$S$1,0),0)</f>
        <v/>
      </c>
      <c r="V40" s="2">
        <f>VLOOKUP(V$26,'DB Business'!$A:$S,MATCH($B40,'DB Business'!$A$1:$S$1,0),0)</f>
        <v/>
      </c>
      <c r="W40" s="2">
        <f>VLOOKUP(W$26,'DB Business'!$A:$S,MATCH($B40,'DB Business'!$A$1:$S$1,0),0)</f>
        <v/>
      </c>
      <c r="X40" s="2">
        <f>VLOOKUP(X$26,'DB Business'!$A:$S,MATCH($B40,'DB Business'!$A$1:$S$1,0),0)</f>
        <v/>
      </c>
      <c r="Y40" s="2">
        <f>VLOOKUP(Y$26,'DB Business'!$A:$S,MATCH($B40,'DB Business'!$A$1:$S$1,0),0)</f>
        <v/>
      </c>
      <c r="Z40" s="2">
        <f>VLOOKUP(Z$26,'DB Business'!$A:$S,MATCH($B40,'DB Business'!$A$1:$S$1,0),0)</f>
        <v/>
      </c>
      <c r="AA40" s="2">
        <f>VLOOKUP(AA$26,'DB Business'!$A:$S,MATCH($B40,'DB Business'!$A$1:$S$1,0),0)</f>
        <v/>
      </c>
      <c r="AB40" s="2">
        <f>VLOOKUP(AB$26,'DB Business'!$A:$S,MATCH($B40,'DB Business'!$A$1:$S$1,0),0)</f>
        <v/>
      </c>
      <c r="AC40" s="2">
        <f>VLOOKUP(AC$26,'DB Business'!$A:$S,MATCH($B40,'DB Business'!$A$1:$S$1,0),0)</f>
        <v/>
      </c>
      <c r="AD40" s="2">
        <f>VLOOKUP(AD$26,'DB Business'!$A:$S,MATCH($B40,'DB Business'!$A$1:$S$1,0),0)</f>
        <v/>
      </c>
      <c r="AE40" s="2">
        <f>VLOOKUP(AE$26,'DB Business'!$A:$S,MATCH($B40,'DB Business'!$A$1:$S$1,0),0)</f>
        <v/>
      </c>
      <c r="AF40" s="2">
        <f>VLOOKUP(AF$26,'DB Business'!$A:$S,MATCH($B40,'DB Business'!$A$1:$S$1,0),0)</f>
        <v/>
      </c>
      <c r="AH40" s="22">
        <f>AF40-AE40</f>
        <v/>
      </c>
      <c r="AI40" s="34">
        <f>AVERAGE(AD40:AF40)</f>
        <v/>
      </c>
      <c r="AJ40" s="34">
        <f>AVERAGE(AA40:AF40)</f>
        <v/>
      </c>
    </row>
    <row r="41">
      <c r="B41" s="3" t="inlineStr">
        <is>
          <t>Wholesale Trade</t>
        </is>
      </c>
      <c r="C41" s="2">
        <f>VLOOKUP(C$26,'DB Business'!$A:$S,MATCH($B41,'DB Business'!$A$1:$S$1,0),0)</f>
        <v/>
      </c>
      <c r="D41" s="2">
        <f>VLOOKUP(D$26,'DB Business'!$A:$S,MATCH($B41,'DB Business'!$A$1:$S$1,0),0)</f>
        <v/>
      </c>
      <c r="E41" s="2">
        <f>VLOOKUP(E$26,'DB Business'!$A:$S,MATCH($B41,'DB Business'!$A$1:$S$1,0),0)</f>
        <v/>
      </c>
      <c r="F41" s="2">
        <f>VLOOKUP(F$26,'DB Business'!$A:$S,MATCH($B41,'DB Business'!$A$1:$S$1,0),0)</f>
        <v/>
      </c>
      <c r="G41" s="2">
        <f>VLOOKUP(G$26,'DB Business'!$A:$S,MATCH($B41,'DB Business'!$A$1:$S$1,0),0)</f>
        <v/>
      </c>
      <c r="H41" s="2">
        <f>VLOOKUP(H$26,'DB Business'!$A:$S,MATCH($B41,'DB Business'!$A$1:$S$1,0),0)</f>
        <v/>
      </c>
      <c r="I41" s="2">
        <f>VLOOKUP(I$26,'DB Business'!$A:$S,MATCH($B41,'DB Business'!$A$1:$S$1,0),0)</f>
        <v/>
      </c>
      <c r="J41" s="2">
        <f>VLOOKUP(J$26,'DB Business'!$A:$S,MATCH($B41,'DB Business'!$A$1:$S$1,0),0)</f>
        <v/>
      </c>
      <c r="K41" s="2">
        <f>VLOOKUP(K$26,'DB Business'!$A:$S,MATCH($B41,'DB Business'!$A$1:$S$1,0),0)</f>
        <v/>
      </c>
      <c r="L41" s="2">
        <f>VLOOKUP(L$26,'DB Business'!$A:$S,MATCH($B41,'DB Business'!$A$1:$S$1,0),0)</f>
        <v/>
      </c>
      <c r="M41" s="2">
        <f>VLOOKUP(M$26,'DB Business'!$A:$S,MATCH($B41,'DB Business'!$A$1:$S$1,0),0)</f>
        <v/>
      </c>
      <c r="N41" s="2">
        <f>VLOOKUP(N$26,'DB Business'!$A:$S,MATCH($B41,'DB Business'!$A$1:$S$1,0),0)</f>
        <v/>
      </c>
      <c r="O41" s="2">
        <f>VLOOKUP(O$26,'DB Business'!$A:$S,MATCH($B41,'DB Business'!$A$1:$S$1,0),0)</f>
        <v/>
      </c>
      <c r="P41" s="2">
        <f>VLOOKUP(P$26,'DB Business'!$A:$S,MATCH($B41,'DB Business'!$A$1:$S$1,0),0)</f>
        <v/>
      </c>
      <c r="Q41" s="2">
        <f>VLOOKUP(Q$26,'DB Business'!$A:$S,MATCH($B41,'DB Business'!$A$1:$S$1,0),0)</f>
        <v/>
      </c>
      <c r="R41" s="2">
        <f>VLOOKUP(R$26,'DB Business'!$A:$S,MATCH($B41,'DB Business'!$A$1:$S$1,0),0)</f>
        <v/>
      </c>
      <c r="S41" s="2">
        <f>VLOOKUP(S$26,'DB Business'!$A:$S,MATCH($B41,'DB Business'!$A$1:$S$1,0),0)</f>
        <v/>
      </c>
      <c r="T41" s="2">
        <f>VLOOKUP(T$26,'DB Business'!$A:$S,MATCH($B41,'DB Business'!$A$1:$S$1,0),0)</f>
        <v/>
      </c>
      <c r="U41" s="2">
        <f>VLOOKUP(U$26,'DB Business'!$A:$S,MATCH($B41,'DB Business'!$A$1:$S$1,0),0)</f>
        <v/>
      </c>
      <c r="V41" s="2">
        <f>VLOOKUP(V$26,'DB Business'!$A:$S,MATCH($B41,'DB Business'!$A$1:$S$1,0),0)</f>
        <v/>
      </c>
      <c r="W41" s="2">
        <f>VLOOKUP(W$26,'DB Business'!$A:$S,MATCH($B41,'DB Business'!$A$1:$S$1,0),0)</f>
        <v/>
      </c>
      <c r="X41" s="2">
        <f>VLOOKUP(X$26,'DB Business'!$A:$S,MATCH($B41,'DB Business'!$A$1:$S$1,0),0)</f>
        <v/>
      </c>
      <c r="Y41" s="2">
        <f>VLOOKUP(Y$26,'DB Business'!$A:$S,MATCH($B41,'DB Business'!$A$1:$S$1,0),0)</f>
        <v/>
      </c>
      <c r="Z41" s="2">
        <f>VLOOKUP(Z$26,'DB Business'!$A:$S,MATCH($B41,'DB Business'!$A$1:$S$1,0),0)</f>
        <v/>
      </c>
      <c r="AA41" s="2">
        <f>VLOOKUP(AA$26,'DB Business'!$A:$S,MATCH($B41,'DB Business'!$A$1:$S$1,0),0)</f>
        <v/>
      </c>
      <c r="AB41" s="2">
        <f>VLOOKUP(AB$26,'DB Business'!$A:$S,MATCH($B41,'DB Business'!$A$1:$S$1,0),0)</f>
        <v/>
      </c>
      <c r="AC41" s="2">
        <f>VLOOKUP(AC$26,'DB Business'!$A:$S,MATCH($B41,'DB Business'!$A$1:$S$1,0),0)</f>
        <v/>
      </c>
      <c r="AD41" s="2">
        <f>VLOOKUP(AD$26,'DB Business'!$A:$S,MATCH($B41,'DB Business'!$A$1:$S$1,0),0)</f>
        <v/>
      </c>
      <c r="AE41" s="2">
        <f>VLOOKUP(AE$26,'DB Business'!$A:$S,MATCH($B41,'DB Business'!$A$1:$S$1,0),0)</f>
        <v/>
      </c>
      <c r="AF41" s="2">
        <f>VLOOKUP(AF$26,'DB Business'!$A:$S,MATCH($B41,'DB Business'!$A$1:$S$1,0),0)</f>
        <v/>
      </c>
      <c r="AH41" s="22">
        <f>AF41-AE41</f>
        <v/>
      </c>
      <c r="AI41" s="34">
        <f>AVERAGE(AD41:AF41)</f>
        <v/>
      </c>
      <c r="AJ41" s="34">
        <f>AVERAGE(AA41:AF41)</f>
        <v/>
      </c>
    </row>
    <row r="42">
      <c r="B42" s="3" t="inlineStr">
        <is>
          <t>Management of Companies &amp; Support Services</t>
        </is>
      </c>
      <c r="C42" s="2">
        <f>VLOOKUP(C$26,'DB Business'!$A:$S,MATCH($B42,'DB Business'!$A$1:$S$1,0),0)</f>
        <v/>
      </c>
      <c r="D42" s="2">
        <f>VLOOKUP(D$26,'DB Business'!$A:$S,MATCH($B42,'DB Business'!$A$1:$S$1,0),0)</f>
        <v/>
      </c>
      <c r="E42" s="2">
        <f>VLOOKUP(E$26,'DB Business'!$A:$S,MATCH($B42,'DB Business'!$A$1:$S$1,0),0)</f>
        <v/>
      </c>
      <c r="F42" s="2">
        <f>VLOOKUP(F$26,'DB Business'!$A:$S,MATCH($B42,'DB Business'!$A$1:$S$1,0),0)</f>
        <v/>
      </c>
      <c r="G42" s="2">
        <f>VLOOKUP(G$26,'DB Business'!$A:$S,MATCH($B42,'DB Business'!$A$1:$S$1,0),0)</f>
        <v/>
      </c>
      <c r="H42" s="2">
        <f>VLOOKUP(H$26,'DB Business'!$A:$S,MATCH($B42,'DB Business'!$A$1:$S$1,0),0)</f>
        <v/>
      </c>
      <c r="I42" s="2">
        <f>VLOOKUP(I$26,'DB Business'!$A:$S,MATCH($B42,'DB Business'!$A$1:$S$1,0),0)</f>
        <v/>
      </c>
      <c r="J42" s="2">
        <f>VLOOKUP(J$26,'DB Business'!$A:$S,MATCH($B42,'DB Business'!$A$1:$S$1,0),0)</f>
        <v/>
      </c>
      <c r="K42" s="2">
        <f>VLOOKUP(K$26,'DB Business'!$A:$S,MATCH($B42,'DB Business'!$A$1:$S$1,0),0)</f>
        <v/>
      </c>
      <c r="L42" s="2">
        <f>VLOOKUP(L$26,'DB Business'!$A:$S,MATCH($B42,'DB Business'!$A$1:$S$1,0),0)</f>
        <v/>
      </c>
      <c r="M42" s="2">
        <f>VLOOKUP(M$26,'DB Business'!$A:$S,MATCH($B42,'DB Business'!$A$1:$S$1,0),0)</f>
        <v/>
      </c>
      <c r="N42" s="2">
        <f>VLOOKUP(N$26,'DB Business'!$A:$S,MATCH($B42,'DB Business'!$A$1:$S$1,0),0)</f>
        <v/>
      </c>
      <c r="O42" s="2">
        <f>VLOOKUP(O$26,'DB Business'!$A:$S,MATCH($B42,'DB Business'!$A$1:$S$1,0),0)</f>
        <v/>
      </c>
      <c r="P42" s="2">
        <f>VLOOKUP(P$26,'DB Business'!$A:$S,MATCH($B42,'DB Business'!$A$1:$S$1,0),0)</f>
        <v/>
      </c>
      <c r="Q42" s="2">
        <f>VLOOKUP(Q$26,'DB Business'!$A:$S,MATCH($B42,'DB Business'!$A$1:$S$1,0),0)</f>
        <v/>
      </c>
      <c r="R42" s="2">
        <f>VLOOKUP(R$26,'DB Business'!$A:$S,MATCH($B42,'DB Business'!$A$1:$S$1,0),0)</f>
        <v/>
      </c>
      <c r="S42" s="2">
        <f>VLOOKUP(S$26,'DB Business'!$A:$S,MATCH($B42,'DB Business'!$A$1:$S$1,0),0)</f>
        <v/>
      </c>
      <c r="T42" s="2">
        <f>VLOOKUP(T$26,'DB Business'!$A:$S,MATCH($B42,'DB Business'!$A$1:$S$1,0),0)</f>
        <v/>
      </c>
      <c r="U42" s="2">
        <f>VLOOKUP(U$26,'DB Business'!$A:$S,MATCH($B42,'DB Business'!$A$1:$S$1,0),0)</f>
        <v/>
      </c>
      <c r="V42" s="2">
        <f>VLOOKUP(V$26,'DB Business'!$A:$S,MATCH($B42,'DB Business'!$A$1:$S$1,0),0)</f>
        <v/>
      </c>
      <c r="W42" s="2">
        <f>VLOOKUP(W$26,'DB Business'!$A:$S,MATCH($B42,'DB Business'!$A$1:$S$1,0),0)</f>
        <v/>
      </c>
      <c r="X42" s="2">
        <f>VLOOKUP(X$26,'DB Business'!$A:$S,MATCH($B42,'DB Business'!$A$1:$S$1,0),0)</f>
        <v/>
      </c>
      <c r="Y42" s="2">
        <f>VLOOKUP(Y$26,'DB Business'!$A:$S,MATCH($B42,'DB Business'!$A$1:$S$1,0),0)</f>
        <v/>
      </c>
      <c r="Z42" s="2">
        <f>VLOOKUP(Z$26,'DB Business'!$A:$S,MATCH($B42,'DB Business'!$A$1:$S$1,0),0)</f>
        <v/>
      </c>
      <c r="AA42" s="2">
        <f>VLOOKUP(AA$26,'DB Business'!$A:$S,MATCH($B42,'DB Business'!$A$1:$S$1,0),0)</f>
        <v/>
      </c>
      <c r="AB42" s="2">
        <f>VLOOKUP(AB$26,'DB Business'!$A:$S,MATCH($B42,'DB Business'!$A$1:$S$1,0),0)</f>
        <v/>
      </c>
      <c r="AC42" s="2">
        <f>VLOOKUP(AC$26,'DB Business'!$A:$S,MATCH($B42,'DB Business'!$A$1:$S$1,0),0)</f>
        <v/>
      </c>
      <c r="AD42" s="2">
        <f>VLOOKUP(AD$26,'DB Business'!$A:$S,MATCH($B42,'DB Business'!$A$1:$S$1,0),0)</f>
        <v/>
      </c>
      <c r="AE42" s="2">
        <f>VLOOKUP(AE$26,'DB Business'!$A:$S,MATCH($B42,'DB Business'!$A$1:$S$1,0),0)</f>
        <v/>
      </c>
      <c r="AF42" s="2">
        <f>VLOOKUP(AF$26,'DB Business'!$A:$S,MATCH($B42,'DB Business'!$A$1:$S$1,0),0)</f>
        <v/>
      </c>
      <c r="AH42" s="22">
        <f>AF42-AE42</f>
        <v/>
      </c>
      <c r="AI42" s="34">
        <f>AVERAGE(AD42:AF42)</f>
        <v/>
      </c>
      <c r="AJ42" s="34">
        <f>AVERAGE(AA42:AF42)</f>
        <v/>
      </c>
    </row>
    <row r="43">
      <c r="B43" s="3" t="inlineStr">
        <is>
          <t>Mining</t>
        </is>
      </c>
      <c r="C43" s="2">
        <f>VLOOKUP(C$26,'DB Business'!$A:$S,MATCH($B43,'DB Business'!$A$1:$S$1,0),0)</f>
        <v/>
      </c>
      <c r="D43" s="2">
        <f>VLOOKUP(D$26,'DB Business'!$A:$S,MATCH($B43,'DB Business'!$A$1:$S$1,0),0)</f>
        <v/>
      </c>
      <c r="E43" s="2">
        <f>VLOOKUP(E$26,'DB Business'!$A:$S,MATCH($B43,'DB Business'!$A$1:$S$1,0),0)</f>
        <v/>
      </c>
      <c r="F43" s="2">
        <f>VLOOKUP(F$26,'DB Business'!$A:$S,MATCH($B43,'DB Business'!$A$1:$S$1,0),0)</f>
        <v/>
      </c>
      <c r="G43" s="2">
        <f>VLOOKUP(G$26,'DB Business'!$A:$S,MATCH($B43,'DB Business'!$A$1:$S$1,0),0)</f>
        <v/>
      </c>
      <c r="H43" s="2">
        <f>VLOOKUP(H$26,'DB Business'!$A:$S,MATCH($B43,'DB Business'!$A$1:$S$1,0),0)</f>
        <v/>
      </c>
      <c r="I43" s="2">
        <f>VLOOKUP(I$26,'DB Business'!$A:$S,MATCH($B43,'DB Business'!$A$1:$S$1,0),0)</f>
        <v/>
      </c>
      <c r="J43" s="2">
        <f>VLOOKUP(J$26,'DB Business'!$A:$S,MATCH($B43,'DB Business'!$A$1:$S$1,0),0)</f>
        <v/>
      </c>
      <c r="K43" s="2">
        <f>VLOOKUP(K$26,'DB Business'!$A:$S,MATCH($B43,'DB Business'!$A$1:$S$1,0),0)</f>
        <v/>
      </c>
      <c r="L43" s="2">
        <f>VLOOKUP(L$26,'DB Business'!$A:$S,MATCH($B43,'DB Business'!$A$1:$S$1,0),0)</f>
        <v/>
      </c>
      <c r="M43" s="2">
        <f>VLOOKUP(M$26,'DB Business'!$A:$S,MATCH($B43,'DB Business'!$A$1:$S$1,0),0)</f>
        <v/>
      </c>
      <c r="N43" s="2">
        <f>VLOOKUP(N$26,'DB Business'!$A:$S,MATCH($B43,'DB Business'!$A$1:$S$1,0),0)</f>
        <v/>
      </c>
      <c r="O43" s="2">
        <f>VLOOKUP(O$26,'DB Business'!$A:$S,MATCH($B43,'DB Business'!$A$1:$S$1,0),0)</f>
        <v/>
      </c>
      <c r="P43" s="2">
        <f>VLOOKUP(P$26,'DB Business'!$A:$S,MATCH($B43,'DB Business'!$A$1:$S$1,0),0)</f>
        <v/>
      </c>
      <c r="Q43" s="2">
        <f>VLOOKUP(Q$26,'DB Business'!$A:$S,MATCH($B43,'DB Business'!$A$1:$S$1,0),0)</f>
        <v/>
      </c>
      <c r="R43" s="2">
        <f>VLOOKUP(R$26,'DB Business'!$A:$S,MATCH($B43,'DB Business'!$A$1:$S$1,0),0)</f>
        <v/>
      </c>
      <c r="S43" s="2">
        <f>VLOOKUP(S$26,'DB Business'!$A:$S,MATCH($B43,'DB Business'!$A$1:$S$1,0),0)</f>
        <v/>
      </c>
      <c r="T43" s="2">
        <f>VLOOKUP(T$26,'DB Business'!$A:$S,MATCH($B43,'DB Business'!$A$1:$S$1,0),0)</f>
        <v/>
      </c>
      <c r="U43" s="2">
        <f>VLOOKUP(U$26,'DB Business'!$A:$S,MATCH($B43,'DB Business'!$A$1:$S$1,0),0)</f>
        <v/>
      </c>
      <c r="V43" s="2">
        <f>VLOOKUP(V$26,'DB Business'!$A:$S,MATCH($B43,'DB Business'!$A$1:$S$1,0),0)</f>
        <v/>
      </c>
      <c r="W43" s="2">
        <f>VLOOKUP(W$26,'DB Business'!$A:$S,MATCH($B43,'DB Business'!$A$1:$S$1,0),0)</f>
        <v/>
      </c>
      <c r="X43" s="2">
        <f>VLOOKUP(X$26,'DB Business'!$A:$S,MATCH($B43,'DB Business'!$A$1:$S$1,0),0)</f>
        <v/>
      </c>
      <c r="Y43" s="2">
        <f>VLOOKUP(Y$26,'DB Business'!$A:$S,MATCH($B43,'DB Business'!$A$1:$S$1,0),0)</f>
        <v/>
      </c>
      <c r="Z43" s="2">
        <f>VLOOKUP(Z$26,'DB Business'!$A:$S,MATCH($B43,'DB Business'!$A$1:$S$1,0),0)</f>
        <v/>
      </c>
      <c r="AA43" s="2">
        <f>VLOOKUP(AA$26,'DB Business'!$A:$S,MATCH($B43,'DB Business'!$A$1:$S$1,0),0)</f>
        <v/>
      </c>
      <c r="AB43" s="2">
        <f>VLOOKUP(AB$26,'DB Business'!$A:$S,MATCH($B43,'DB Business'!$A$1:$S$1,0),0)</f>
        <v/>
      </c>
      <c r="AC43" s="2">
        <f>VLOOKUP(AC$26,'DB Business'!$A:$S,MATCH($B43,'DB Business'!$A$1:$S$1,0),0)</f>
        <v/>
      </c>
      <c r="AD43" s="2">
        <f>VLOOKUP(AD$26,'DB Business'!$A:$S,MATCH($B43,'DB Business'!$A$1:$S$1,0),0)</f>
        <v/>
      </c>
      <c r="AE43" s="2">
        <f>VLOOKUP(AE$26,'DB Business'!$A:$S,MATCH($B43,'DB Business'!$A$1:$S$1,0),0)</f>
        <v/>
      </c>
      <c r="AF43" s="2">
        <f>VLOOKUP(AF$26,'DB Business'!$A:$S,MATCH($B43,'DB Business'!$A$1:$S$1,0),0)</f>
        <v/>
      </c>
      <c r="AH43" s="22">
        <f>AF43-AE43</f>
        <v/>
      </c>
      <c r="AI43" s="34">
        <f>AVERAGE(AD43:AF43)</f>
        <v/>
      </c>
      <c r="AJ43" s="34">
        <f>AVERAGE(AA43:AF43)</f>
        <v/>
      </c>
    </row>
    <row r="44">
      <c r="B44" s="3" t="inlineStr">
        <is>
          <t>Information</t>
        </is>
      </c>
      <c r="C44" s="2">
        <f>VLOOKUP(C$26,'DB Business'!$A:$S,MATCH($B44,'DB Business'!$A$1:$S$1,0),0)</f>
        <v/>
      </c>
      <c r="D44" s="2">
        <f>VLOOKUP(D$26,'DB Business'!$A:$S,MATCH($B44,'DB Business'!$A$1:$S$1,0),0)</f>
        <v/>
      </c>
      <c r="E44" s="2">
        <f>VLOOKUP(E$26,'DB Business'!$A:$S,MATCH($B44,'DB Business'!$A$1:$S$1,0),0)</f>
        <v/>
      </c>
      <c r="F44" s="2">
        <f>VLOOKUP(F$26,'DB Business'!$A:$S,MATCH($B44,'DB Business'!$A$1:$S$1,0),0)</f>
        <v/>
      </c>
      <c r="G44" s="2">
        <f>VLOOKUP(G$26,'DB Business'!$A:$S,MATCH($B44,'DB Business'!$A$1:$S$1,0),0)</f>
        <v/>
      </c>
      <c r="H44" s="2">
        <f>VLOOKUP(H$26,'DB Business'!$A:$S,MATCH($B44,'DB Business'!$A$1:$S$1,0),0)</f>
        <v/>
      </c>
      <c r="I44" s="2">
        <f>VLOOKUP(I$26,'DB Business'!$A:$S,MATCH($B44,'DB Business'!$A$1:$S$1,0),0)</f>
        <v/>
      </c>
      <c r="J44" s="2">
        <f>VLOOKUP(J$26,'DB Business'!$A:$S,MATCH($B44,'DB Business'!$A$1:$S$1,0),0)</f>
        <v/>
      </c>
      <c r="K44" s="2">
        <f>VLOOKUP(K$26,'DB Business'!$A:$S,MATCH($B44,'DB Business'!$A$1:$S$1,0),0)</f>
        <v/>
      </c>
      <c r="L44" s="2">
        <f>VLOOKUP(L$26,'DB Business'!$A:$S,MATCH($B44,'DB Business'!$A$1:$S$1,0),0)</f>
        <v/>
      </c>
      <c r="M44" s="2">
        <f>VLOOKUP(M$26,'DB Business'!$A:$S,MATCH($B44,'DB Business'!$A$1:$S$1,0),0)</f>
        <v/>
      </c>
      <c r="N44" s="2">
        <f>VLOOKUP(N$26,'DB Business'!$A:$S,MATCH($B44,'DB Business'!$A$1:$S$1,0),0)</f>
        <v/>
      </c>
      <c r="O44" s="2">
        <f>VLOOKUP(O$26,'DB Business'!$A:$S,MATCH($B44,'DB Business'!$A$1:$S$1,0),0)</f>
        <v/>
      </c>
      <c r="P44" s="2">
        <f>VLOOKUP(P$26,'DB Business'!$A:$S,MATCH($B44,'DB Business'!$A$1:$S$1,0),0)</f>
        <v/>
      </c>
      <c r="Q44" s="2">
        <f>VLOOKUP(Q$26,'DB Business'!$A:$S,MATCH($B44,'DB Business'!$A$1:$S$1,0),0)</f>
        <v/>
      </c>
      <c r="R44" s="2">
        <f>VLOOKUP(R$26,'DB Business'!$A:$S,MATCH($B44,'DB Business'!$A$1:$S$1,0),0)</f>
        <v/>
      </c>
      <c r="S44" s="2">
        <f>VLOOKUP(S$26,'DB Business'!$A:$S,MATCH($B44,'DB Business'!$A$1:$S$1,0),0)</f>
        <v/>
      </c>
      <c r="T44" s="2">
        <f>VLOOKUP(T$26,'DB Business'!$A:$S,MATCH($B44,'DB Business'!$A$1:$S$1,0),0)</f>
        <v/>
      </c>
      <c r="U44" s="2">
        <f>VLOOKUP(U$26,'DB Business'!$A:$S,MATCH($B44,'DB Business'!$A$1:$S$1,0),0)</f>
        <v/>
      </c>
      <c r="V44" s="2">
        <f>VLOOKUP(V$26,'DB Business'!$A:$S,MATCH($B44,'DB Business'!$A$1:$S$1,0),0)</f>
        <v/>
      </c>
      <c r="W44" s="2">
        <f>VLOOKUP(W$26,'DB Business'!$A:$S,MATCH($B44,'DB Business'!$A$1:$S$1,0),0)</f>
        <v/>
      </c>
      <c r="X44" s="2">
        <f>VLOOKUP(X$26,'DB Business'!$A:$S,MATCH($B44,'DB Business'!$A$1:$S$1,0),0)</f>
        <v/>
      </c>
      <c r="Y44" s="2">
        <f>VLOOKUP(Y$26,'DB Business'!$A:$S,MATCH($B44,'DB Business'!$A$1:$S$1,0),0)</f>
        <v/>
      </c>
      <c r="Z44" s="2">
        <f>VLOOKUP(Z$26,'DB Business'!$A:$S,MATCH($B44,'DB Business'!$A$1:$S$1,0),0)</f>
        <v/>
      </c>
      <c r="AA44" s="2">
        <f>VLOOKUP(AA$26,'DB Business'!$A:$S,MATCH($B44,'DB Business'!$A$1:$S$1,0),0)</f>
        <v/>
      </c>
      <c r="AB44" s="2">
        <f>VLOOKUP(AB$26,'DB Business'!$A:$S,MATCH($B44,'DB Business'!$A$1:$S$1,0),0)</f>
        <v/>
      </c>
      <c r="AC44" s="2">
        <f>VLOOKUP(AC$26,'DB Business'!$A:$S,MATCH($B44,'DB Business'!$A$1:$S$1,0),0)</f>
        <v/>
      </c>
      <c r="AD44" s="2">
        <f>VLOOKUP(AD$26,'DB Business'!$A:$S,MATCH($B44,'DB Business'!$A$1:$S$1,0),0)</f>
        <v/>
      </c>
      <c r="AE44" s="2">
        <f>VLOOKUP(AE$26,'DB Business'!$A:$S,MATCH($B44,'DB Business'!$A$1:$S$1,0),0)</f>
        <v/>
      </c>
      <c r="AF44" s="2">
        <f>VLOOKUP(AF$26,'DB Business'!$A:$S,MATCH($B44,'DB Business'!$A$1:$S$1,0),0)</f>
        <v/>
      </c>
      <c r="AH44" s="22">
        <f>AF44-AE44</f>
        <v/>
      </c>
      <c r="AI44" s="34">
        <f>AVERAGE(AD44:AF44)</f>
        <v/>
      </c>
      <c r="AJ44" s="34">
        <f>AVERAGE(AA44:AF44)</f>
        <v/>
      </c>
    </row>
    <row r="45">
      <c r="B45" s="4" t="inlineStr">
        <is>
          <t>Educational Services</t>
        </is>
      </c>
      <c r="C45" s="2">
        <f>VLOOKUP(C$26,'DB Business'!$A:$S,MATCH($B45,'DB Business'!$A$1:$S$1,0),0)</f>
        <v/>
      </c>
      <c r="D45" s="2">
        <f>VLOOKUP(D$26,'DB Business'!$A:$S,MATCH($B45,'DB Business'!$A$1:$S$1,0),0)</f>
        <v/>
      </c>
      <c r="E45" s="2">
        <f>VLOOKUP(E$26,'DB Business'!$A:$S,MATCH($B45,'DB Business'!$A$1:$S$1,0),0)</f>
        <v/>
      </c>
      <c r="F45" s="2">
        <f>VLOOKUP(F$26,'DB Business'!$A:$S,MATCH($B45,'DB Business'!$A$1:$S$1,0),0)</f>
        <v/>
      </c>
      <c r="G45" s="2">
        <f>VLOOKUP(G$26,'DB Business'!$A:$S,MATCH($B45,'DB Business'!$A$1:$S$1,0),0)</f>
        <v/>
      </c>
      <c r="H45" s="2">
        <f>VLOOKUP(H$26,'DB Business'!$A:$S,MATCH($B45,'DB Business'!$A$1:$S$1,0),0)</f>
        <v/>
      </c>
      <c r="I45" s="2">
        <f>VLOOKUP(I$26,'DB Business'!$A:$S,MATCH($B45,'DB Business'!$A$1:$S$1,0),0)</f>
        <v/>
      </c>
      <c r="J45" s="2">
        <f>VLOOKUP(J$26,'DB Business'!$A:$S,MATCH($B45,'DB Business'!$A$1:$S$1,0),0)</f>
        <v/>
      </c>
      <c r="K45" s="2">
        <f>VLOOKUP(K$26,'DB Business'!$A:$S,MATCH($B45,'DB Business'!$A$1:$S$1,0),0)</f>
        <v/>
      </c>
      <c r="L45" s="2">
        <f>VLOOKUP(L$26,'DB Business'!$A:$S,MATCH($B45,'DB Business'!$A$1:$S$1,0),0)</f>
        <v/>
      </c>
      <c r="M45" s="2">
        <f>VLOOKUP(M$26,'DB Business'!$A:$S,MATCH($B45,'DB Business'!$A$1:$S$1,0),0)</f>
        <v/>
      </c>
      <c r="N45" s="2">
        <f>VLOOKUP(N$26,'DB Business'!$A:$S,MATCH($B45,'DB Business'!$A$1:$S$1,0),0)</f>
        <v/>
      </c>
      <c r="O45" s="2">
        <f>VLOOKUP(O$26,'DB Business'!$A:$S,MATCH($B45,'DB Business'!$A$1:$S$1,0),0)</f>
        <v/>
      </c>
      <c r="P45" s="2">
        <f>VLOOKUP(P$26,'DB Business'!$A:$S,MATCH($B45,'DB Business'!$A$1:$S$1,0),0)</f>
        <v/>
      </c>
      <c r="Q45" s="2">
        <f>VLOOKUP(Q$26,'DB Business'!$A:$S,MATCH($B45,'DB Business'!$A$1:$S$1,0),0)</f>
        <v/>
      </c>
      <c r="R45" s="2">
        <f>VLOOKUP(R$26,'DB Business'!$A:$S,MATCH($B45,'DB Business'!$A$1:$S$1,0),0)</f>
        <v/>
      </c>
      <c r="S45" s="2">
        <f>VLOOKUP(S$26,'DB Business'!$A:$S,MATCH($B45,'DB Business'!$A$1:$S$1,0),0)</f>
        <v/>
      </c>
      <c r="T45" s="2">
        <f>VLOOKUP(T$26,'DB Business'!$A:$S,MATCH($B45,'DB Business'!$A$1:$S$1,0),0)</f>
        <v/>
      </c>
      <c r="U45" s="2">
        <f>VLOOKUP(U$26,'DB Business'!$A:$S,MATCH($B45,'DB Business'!$A$1:$S$1,0),0)</f>
        <v/>
      </c>
      <c r="V45" s="2">
        <f>VLOOKUP(V$26,'DB Business'!$A:$S,MATCH($B45,'DB Business'!$A$1:$S$1,0),0)</f>
        <v/>
      </c>
      <c r="W45" s="2">
        <f>VLOOKUP(W$26,'DB Business'!$A:$S,MATCH($B45,'DB Business'!$A$1:$S$1,0),0)</f>
        <v/>
      </c>
      <c r="X45" s="2">
        <f>VLOOKUP(X$26,'DB Business'!$A:$S,MATCH($B45,'DB Business'!$A$1:$S$1,0),0)</f>
        <v/>
      </c>
      <c r="Y45" s="2">
        <f>VLOOKUP(Y$26,'DB Business'!$A:$S,MATCH($B45,'DB Business'!$A$1:$S$1,0),0)</f>
        <v/>
      </c>
      <c r="Z45" s="2">
        <f>VLOOKUP(Z$26,'DB Business'!$A:$S,MATCH($B45,'DB Business'!$A$1:$S$1,0),0)</f>
        <v/>
      </c>
      <c r="AA45" s="2">
        <f>VLOOKUP(AA$26,'DB Business'!$A:$S,MATCH($B45,'DB Business'!$A$1:$S$1,0),0)</f>
        <v/>
      </c>
      <c r="AB45" s="2">
        <f>VLOOKUP(AB$26,'DB Business'!$A:$S,MATCH($B45,'DB Business'!$A$1:$S$1,0),0)</f>
        <v/>
      </c>
      <c r="AC45" s="2">
        <f>VLOOKUP(AC$26,'DB Business'!$A:$S,MATCH($B45,'DB Business'!$A$1:$S$1,0),0)</f>
        <v/>
      </c>
      <c r="AD45" s="2">
        <f>VLOOKUP(AD$26,'DB Business'!$A:$S,MATCH($B45,'DB Business'!$A$1:$S$1,0),0)</f>
        <v/>
      </c>
      <c r="AE45" s="2">
        <f>VLOOKUP(AE$26,'DB Business'!$A:$S,MATCH($B45,'DB Business'!$A$1:$S$1,0),0)</f>
        <v/>
      </c>
      <c r="AF45" s="2">
        <f>VLOOKUP(AF$26,'DB Business'!$A:$S,MATCH($B45,'DB Business'!$A$1:$S$1,0),0)</f>
        <v/>
      </c>
      <c r="AH45" s="22">
        <f>AF45-AE45</f>
        <v/>
      </c>
      <c r="AI45" s="34">
        <f>AVERAGE(AD45:AF45)</f>
        <v/>
      </c>
      <c r="AJ45" s="34">
        <f>AVERAGE(AA45:AF45)</f>
        <v/>
      </c>
    </row>
    <row r="46">
      <c r="C46" s="37" t="n"/>
      <c r="D46" s="37" t="n"/>
      <c r="E46" s="37" t="n"/>
      <c r="F46" s="37" t="n"/>
      <c r="G46" s="37" t="n"/>
      <c r="H46" s="37" t="n"/>
      <c r="I46" s="37" t="n"/>
      <c r="J46" s="37" t="n"/>
      <c r="K46" s="37" t="n"/>
      <c r="L46" s="37" t="n"/>
      <c r="M46" s="37" t="n"/>
      <c r="N46" s="37" t="n"/>
      <c r="O46" s="37" t="n"/>
      <c r="P46" s="37" t="n"/>
      <c r="Q46" s="37" t="n"/>
      <c r="R46" s="37" t="n"/>
      <c r="S46" s="37" t="n"/>
      <c r="T46" s="37" t="n"/>
      <c r="U46" s="37" t="n"/>
      <c r="V46" s="37" t="n"/>
      <c r="W46" s="37" t="n"/>
      <c r="X46" s="37" t="n"/>
      <c r="Y46" s="37" t="n"/>
      <c r="Z46" s="37" t="n"/>
      <c r="AA46" s="37" t="n"/>
      <c r="AB46" s="37" t="n"/>
      <c r="AC46" s="37" t="n"/>
      <c r="AD46" s="37" t="n"/>
      <c r="AE46" s="37" t="n"/>
      <c r="AF46" s="37" t="n"/>
    </row>
    <row r="47" ht="16" customHeight="1" s="65" thickBot="1">
      <c r="C47" s="37" t="n"/>
      <c r="D47" s="37" t="n"/>
      <c r="E47" s="37" t="n"/>
      <c r="F47" s="37" t="n"/>
      <c r="G47" s="37" t="n"/>
      <c r="H47" s="37" t="n"/>
      <c r="I47" s="37" t="n"/>
      <c r="J47" s="37" t="n"/>
      <c r="K47" s="37" t="n"/>
      <c r="L47" s="37" t="n"/>
      <c r="M47" s="37" t="n"/>
      <c r="N47" s="37" t="n"/>
      <c r="O47" s="37" t="n"/>
      <c r="P47" s="37" t="n"/>
      <c r="Q47" s="37" t="n"/>
      <c r="R47" s="37" t="n"/>
      <c r="S47" s="37" t="n"/>
      <c r="T47" s="37" t="n"/>
      <c r="U47" s="37" t="n"/>
      <c r="V47" s="37" t="n"/>
      <c r="W47" s="37" t="n"/>
      <c r="X47" s="37" t="n"/>
      <c r="Y47" s="37" t="n"/>
      <c r="Z47" s="37" t="n"/>
      <c r="AA47" s="37" t="n"/>
      <c r="AB47" s="37" t="n"/>
      <c r="AC47" s="37" t="n"/>
      <c r="AD47" s="37" t="n"/>
      <c r="AE47" s="37" t="n"/>
      <c r="AF47" s="37" t="n"/>
    </row>
    <row r="48" ht="16" customHeight="1" s="65" thickBot="1">
      <c r="B48" s="86" t="inlineStr">
        <is>
          <t>New Orders</t>
        </is>
      </c>
      <c r="C48" s="31" t="n">
        <v>43831</v>
      </c>
      <c r="D48" s="31" t="n">
        <v>43862</v>
      </c>
      <c r="E48" s="31" t="n">
        <v>43891</v>
      </c>
      <c r="F48" s="31" t="n">
        <v>43922</v>
      </c>
      <c r="G48" s="31" t="n">
        <v>43952</v>
      </c>
      <c r="H48" s="31" t="n">
        <v>43983</v>
      </c>
      <c r="I48" s="31" t="n">
        <v>44013</v>
      </c>
      <c r="J48" s="31" t="n">
        <v>44044</v>
      </c>
      <c r="K48" s="31" t="n">
        <v>44075</v>
      </c>
      <c r="L48" s="31" t="n">
        <v>44105</v>
      </c>
      <c r="M48" s="31" t="n">
        <v>44136</v>
      </c>
      <c r="N48" s="31" t="n">
        <v>44166</v>
      </c>
      <c r="O48" s="31" t="n">
        <v>44197</v>
      </c>
      <c r="P48" s="31" t="n">
        <v>44228</v>
      </c>
      <c r="Q48" s="31" t="n">
        <v>44256</v>
      </c>
      <c r="R48" s="31" t="n">
        <v>44287</v>
      </c>
      <c r="S48" s="31" t="n">
        <v>44317</v>
      </c>
      <c r="T48" s="31" t="n">
        <v>44348</v>
      </c>
      <c r="U48" s="31" t="n">
        <v>44378</v>
      </c>
      <c r="V48" s="31" t="n">
        <v>44409</v>
      </c>
      <c r="W48" s="31" t="n">
        <v>44440</v>
      </c>
      <c r="X48" s="31" t="n">
        <v>44470</v>
      </c>
      <c r="Y48" s="31" t="n">
        <v>44501</v>
      </c>
      <c r="Z48" s="31" t="n">
        <v>44531</v>
      </c>
      <c r="AA48" s="31" t="n">
        <v>44562</v>
      </c>
      <c r="AB48" s="31" t="n">
        <v>44593</v>
      </c>
      <c r="AC48" s="31" t="n">
        <v>44621</v>
      </c>
      <c r="AD48" s="31" t="n">
        <v>44652</v>
      </c>
      <c r="AE48" s="31" t="n">
        <v>44682</v>
      </c>
      <c r="AF48" s="31" t="n">
        <v>44713</v>
      </c>
      <c r="AG48" s="10" t="n"/>
      <c r="AH48" s="88" t="inlineStr">
        <is>
          <t>mom</t>
        </is>
      </c>
      <c r="AI48" s="88" t="inlineStr">
        <is>
          <t>3 months</t>
        </is>
      </c>
      <c r="AJ48" s="88" t="inlineStr">
        <is>
          <t>6 months</t>
        </is>
      </c>
    </row>
    <row r="49" ht="16" customHeight="1" s="65" thickBot="1">
      <c r="B49" s="87" t="n"/>
      <c r="C49" s="32" t="n"/>
      <c r="D49" s="32" t="n"/>
      <c r="E49" s="32" t="n"/>
      <c r="F49" s="32" t="n"/>
      <c r="G49" s="32" t="n"/>
      <c r="H49" s="32" t="n"/>
      <c r="I49" s="32" t="n"/>
      <c r="J49" s="32" t="n"/>
      <c r="K49" s="32" t="n"/>
      <c r="L49" s="32" t="n"/>
      <c r="M49" s="32" t="n"/>
      <c r="N49" s="32" t="n"/>
      <c r="O49" s="32" t="n"/>
      <c r="P49" s="32" t="n"/>
      <c r="Q49" s="32" t="n"/>
      <c r="R49" s="32" t="n"/>
      <c r="S49" s="32" t="n"/>
      <c r="T49" s="32" t="n"/>
      <c r="U49" s="32" t="n"/>
      <c r="V49" s="32" t="n"/>
      <c r="W49" s="32" t="n"/>
      <c r="X49" s="32" t="n"/>
      <c r="Y49" s="32" t="n"/>
      <c r="Z49" s="32" t="n"/>
      <c r="AA49" s="32" t="n"/>
      <c r="AB49" s="32" t="n"/>
      <c r="AC49" s="32" t="n"/>
      <c r="AD49" s="32" t="n"/>
      <c r="AE49" s="32" t="n"/>
      <c r="AF49" s="32" t="n"/>
      <c r="AG49" s="10" t="n"/>
      <c r="AH49" s="89" t="n"/>
      <c r="AI49" s="89" t="n"/>
      <c r="AJ49" s="89" t="n"/>
    </row>
    <row r="50">
      <c r="B50" s="3" t="inlineStr">
        <is>
          <t>Retail Trade</t>
        </is>
      </c>
      <c r="C50" s="22">
        <f>VLOOKUP(C$48,'DB New Orders'!$A:$S,MATCH($B50,'DB New Orders'!$A$1:$S$1,0),0)</f>
        <v/>
      </c>
      <c r="D50" s="22">
        <f>VLOOKUP(D$48,'DB New Orders'!$A:$S,MATCH($B50,'DB New Orders'!$A$1:$S$1,0),0)</f>
        <v/>
      </c>
      <c r="E50" s="22">
        <f>VLOOKUP(E$48,'DB New Orders'!$A:$S,MATCH($B50,'DB New Orders'!$A$1:$S$1,0),0)</f>
        <v/>
      </c>
      <c r="F50" s="22">
        <f>VLOOKUP(F$48,'DB New Orders'!$A:$S,MATCH($B50,'DB New Orders'!$A$1:$S$1,0),0)</f>
        <v/>
      </c>
      <c r="G50" s="22">
        <f>VLOOKUP(G$48,'DB New Orders'!$A:$S,MATCH($B50,'DB New Orders'!$A$1:$S$1,0),0)</f>
        <v/>
      </c>
      <c r="H50" s="22">
        <f>VLOOKUP(H$48,'DB New Orders'!$A:$S,MATCH($B50,'DB New Orders'!$A$1:$S$1,0),0)</f>
        <v/>
      </c>
      <c r="I50" s="22">
        <f>VLOOKUP(I$48,'DB New Orders'!$A:$S,MATCH($B50,'DB New Orders'!$A$1:$S$1,0),0)</f>
        <v/>
      </c>
      <c r="J50" s="22">
        <f>VLOOKUP(J$48,'DB New Orders'!$A:$S,MATCH($B50,'DB New Orders'!$A$1:$S$1,0),0)</f>
        <v/>
      </c>
      <c r="K50" s="22">
        <f>VLOOKUP(K$48,'DB New Orders'!$A:$S,MATCH($B50,'DB New Orders'!$A$1:$S$1,0),0)</f>
        <v/>
      </c>
      <c r="L50" s="22">
        <f>VLOOKUP(L$48,'DB New Orders'!$A:$S,MATCH($B50,'DB New Orders'!$A$1:$S$1,0),0)</f>
        <v/>
      </c>
      <c r="M50" s="22">
        <f>VLOOKUP(M$48,'DB New Orders'!$A:$S,MATCH($B50,'DB New Orders'!$A$1:$S$1,0),0)</f>
        <v/>
      </c>
      <c r="N50" s="22">
        <f>VLOOKUP(N$48,'DB New Orders'!$A:$S,MATCH($B50,'DB New Orders'!$A$1:$S$1,0),0)</f>
        <v/>
      </c>
      <c r="O50" s="22">
        <f>VLOOKUP(O$48,'DB New Orders'!$A:$S,MATCH($B50,'DB New Orders'!$A$1:$S$1,0),0)</f>
        <v/>
      </c>
      <c r="P50" s="22">
        <f>VLOOKUP(P$48,'DB New Orders'!$A:$S,MATCH($B50,'DB New Orders'!$A$1:$S$1,0),0)</f>
        <v/>
      </c>
      <c r="Q50" s="22">
        <f>VLOOKUP(Q$48,'DB New Orders'!$A:$S,MATCH($B50,'DB New Orders'!$A$1:$S$1,0),0)</f>
        <v/>
      </c>
      <c r="R50" s="22">
        <f>VLOOKUP(R$48,'DB New Orders'!$A:$S,MATCH($B50,'DB New Orders'!$A$1:$S$1,0),0)</f>
        <v/>
      </c>
      <c r="S50" s="22">
        <f>VLOOKUP(S$48,'DB New Orders'!$A:$S,MATCH($B50,'DB New Orders'!$A$1:$S$1,0),0)</f>
        <v/>
      </c>
      <c r="T50" s="22">
        <f>VLOOKUP(T$48,'DB New Orders'!$A:$S,MATCH($B50,'DB New Orders'!$A$1:$S$1,0),0)</f>
        <v/>
      </c>
      <c r="U50" s="22">
        <f>VLOOKUP(U$48,'DB New Orders'!$A:$S,MATCH($B50,'DB New Orders'!$A$1:$S$1,0),0)</f>
        <v/>
      </c>
      <c r="V50" s="22">
        <f>VLOOKUP(V$48,'DB New Orders'!$A:$S,MATCH($B50,'DB New Orders'!$A$1:$S$1,0),0)</f>
        <v/>
      </c>
      <c r="W50" s="22">
        <f>VLOOKUP(W$48,'DB New Orders'!$A:$S,MATCH($B50,'DB New Orders'!$A$1:$S$1,0),0)</f>
        <v/>
      </c>
      <c r="X50" s="22">
        <f>VLOOKUP(X$48,'DB New Orders'!$A:$S,MATCH($B50,'DB New Orders'!$A$1:$S$1,0),0)</f>
        <v/>
      </c>
      <c r="Y50" s="22">
        <f>VLOOKUP(Y$48,'DB New Orders'!$A:$S,MATCH($B50,'DB New Orders'!$A$1:$S$1,0),0)</f>
        <v/>
      </c>
      <c r="Z50" s="22">
        <f>VLOOKUP(Z$48,'DB New Orders'!$A:$S,MATCH($B50,'DB New Orders'!$A$1:$S$1,0),0)</f>
        <v/>
      </c>
      <c r="AA50" s="22">
        <f>VLOOKUP(AA$48,'DB New Orders'!$A:$S,MATCH($B50,'DB New Orders'!$A$1:$S$1,0),0)</f>
        <v/>
      </c>
      <c r="AB50" s="22">
        <f>VLOOKUP(AB$48,'DB New Orders'!$A:$S,MATCH($B50,'DB New Orders'!$A$1:$S$1,0),0)</f>
        <v/>
      </c>
      <c r="AC50" s="22">
        <f>VLOOKUP(AC$48,'DB New Orders'!$A:$S,MATCH($B50,'DB New Orders'!$A$1:$S$1,0),0)</f>
        <v/>
      </c>
      <c r="AD50" s="22">
        <f>VLOOKUP(AD$48,'DB New Orders'!$A:$S,MATCH($B50,'DB New Orders'!$A$1:$S$1,0),0)</f>
        <v/>
      </c>
      <c r="AE50" s="22">
        <f>VLOOKUP(AE$48,'DB New Orders'!$A:$S,MATCH($B50,'DB New Orders'!$A$1:$S$1,0),0)</f>
        <v/>
      </c>
      <c r="AF50" s="22">
        <f>VLOOKUP(AF$48,'DB New Orders'!$A:$S,MATCH($B50,'DB New Orders'!$A$1:$S$1,0),0)</f>
        <v/>
      </c>
      <c r="AH50" s="22">
        <f>AF50-AE50</f>
        <v/>
      </c>
      <c r="AI50" s="34">
        <f>AVERAGE(AD50:AF50)</f>
        <v/>
      </c>
      <c r="AJ50" s="34">
        <f>AVERAGE(AA50:AF50)</f>
        <v/>
      </c>
    </row>
    <row r="51">
      <c r="B51" s="3" t="inlineStr">
        <is>
          <t>Finance &amp; Insurance</t>
        </is>
      </c>
      <c r="C51" s="22">
        <f>VLOOKUP(C$48,'DB New Orders'!$A:$S,MATCH($B51,'DB New Orders'!$A$1:$S$1,0),0)</f>
        <v/>
      </c>
      <c r="D51" s="22">
        <f>VLOOKUP(D$48,'DB New Orders'!$A:$S,MATCH($B51,'DB New Orders'!$A$1:$S$1,0),0)</f>
        <v/>
      </c>
      <c r="E51" s="22">
        <f>VLOOKUP(E$48,'DB New Orders'!$A:$S,MATCH($B51,'DB New Orders'!$A$1:$S$1,0),0)</f>
        <v/>
      </c>
      <c r="F51" s="22">
        <f>VLOOKUP(F$48,'DB New Orders'!$A:$S,MATCH($B51,'DB New Orders'!$A$1:$S$1,0),0)</f>
        <v/>
      </c>
      <c r="G51" s="22">
        <f>VLOOKUP(G$48,'DB New Orders'!$A:$S,MATCH($B51,'DB New Orders'!$A$1:$S$1,0),0)</f>
        <v/>
      </c>
      <c r="H51" s="22">
        <f>VLOOKUP(H$48,'DB New Orders'!$A:$S,MATCH($B51,'DB New Orders'!$A$1:$S$1,0),0)</f>
        <v/>
      </c>
      <c r="I51" s="22">
        <f>VLOOKUP(I$48,'DB New Orders'!$A:$S,MATCH($B51,'DB New Orders'!$A$1:$S$1,0),0)</f>
        <v/>
      </c>
      <c r="J51" s="22">
        <f>VLOOKUP(J$48,'DB New Orders'!$A:$S,MATCH($B51,'DB New Orders'!$A$1:$S$1,0),0)</f>
        <v/>
      </c>
      <c r="K51" s="22">
        <f>VLOOKUP(K$48,'DB New Orders'!$A:$S,MATCH($B51,'DB New Orders'!$A$1:$S$1,0),0)</f>
        <v/>
      </c>
      <c r="L51" s="22">
        <f>VLOOKUP(L$48,'DB New Orders'!$A:$S,MATCH($B51,'DB New Orders'!$A$1:$S$1,0),0)</f>
        <v/>
      </c>
      <c r="M51" s="22">
        <f>VLOOKUP(M$48,'DB New Orders'!$A:$S,MATCH($B51,'DB New Orders'!$A$1:$S$1,0),0)</f>
        <v/>
      </c>
      <c r="N51" s="22">
        <f>VLOOKUP(N$48,'DB New Orders'!$A:$S,MATCH($B51,'DB New Orders'!$A$1:$S$1,0),0)</f>
        <v/>
      </c>
      <c r="O51" s="22">
        <f>VLOOKUP(O$48,'DB New Orders'!$A:$S,MATCH($B51,'DB New Orders'!$A$1:$S$1,0),0)</f>
        <v/>
      </c>
      <c r="P51" s="22">
        <f>VLOOKUP(P$48,'DB New Orders'!$A:$S,MATCH($B51,'DB New Orders'!$A$1:$S$1,0),0)</f>
        <v/>
      </c>
      <c r="Q51" s="22">
        <f>VLOOKUP(Q$48,'DB New Orders'!$A:$S,MATCH($B51,'DB New Orders'!$A$1:$S$1,0),0)</f>
        <v/>
      </c>
      <c r="R51" s="22">
        <f>VLOOKUP(R$48,'DB New Orders'!$A:$S,MATCH($B51,'DB New Orders'!$A$1:$S$1,0),0)</f>
        <v/>
      </c>
      <c r="S51" s="22">
        <f>VLOOKUP(S$48,'DB New Orders'!$A:$S,MATCH($B51,'DB New Orders'!$A$1:$S$1,0),0)</f>
        <v/>
      </c>
      <c r="T51" s="22">
        <f>VLOOKUP(T$48,'DB New Orders'!$A:$S,MATCH($B51,'DB New Orders'!$A$1:$S$1,0),0)</f>
        <v/>
      </c>
      <c r="U51" s="22">
        <f>VLOOKUP(U$48,'DB New Orders'!$A:$S,MATCH($B51,'DB New Orders'!$A$1:$S$1,0),0)</f>
        <v/>
      </c>
      <c r="V51" s="22">
        <f>VLOOKUP(V$48,'DB New Orders'!$A:$S,MATCH($B51,'DB New Orders'!$A$1:$S$1,0),0)</f>
        <v/>
      </c>
      <c r="W51" s="22">
        <f>VLOOKUP(W$48,'DB New Orders'!$A:$S,MATCH($B51,'DB New Orders'!$A$1:$S$1,0),0)</f>
        <v/>
      </c>
      <c r="X51" s="22">
        <f>VLOOKUP(X$48,'DB New Orders'!$A:$S,MATCH($B51,'DB New Orders'!$A$1:$S$1,0),0)</f>
        <v/>
      </c>
      <c r="Y51" s="22">
        <f>VLOOKUP(Y$48,'DB New Orders'!$A:$S,MATCH($B51,'DB New Orders'!$A$1:$S$1,0),0)</f>
        <v/>
      </c>
      <c r="Z51" s="22">
        <f>VLOOKUP(Z$48,'DB New Orders'!$A:$S,MATCH($B51,'DB New Orders'!$A$1:$S$1,0),0)</f>
        <v/>
      </c>
      <c r="AA51" s="22">
        <f>VLOOKUP(AA$48,'DB New Orders'!$A:$S,MATCH($B51,'DB New Orders'!$A$1:$S$1,0),0)</f>
        <v/>
      </c>
      <c r="AB51" s="22">
        <f>VLOOKUP(AB$48,'DB New Orders'!$A:$S,MATCH($B51,'DB New Orders'!$A$1:$S$1,0),0)</f>
        <v/>
      </c>
      <c r="AC51" s="22">
        <f>VLOOKUP(AC$48,'DB New Orders'!$A:$S,MATCH($B51,'DB New Orders'!$A$1:$S$1,0),0)</f>
        <v/>
      </c>
      <c r="AD51" s="22">
        <f>VLOOKUP(AD$48,'DB New Orders'!$A:$S,MATCH($B51,'DB New Orders'!$A$1:$S$1,0),0)</f>
        <v/>
      </c>
      <c r="AE51" s="22">
        <f>VLOOKUP(AE$48,'DB New Orders'!$A:$S,MATCH($B51,'DB New Orders'!$A$1:$S$1,0),0)</f>
        <v/>
      </c>
      <c r="AF51" s="22">
        <f>VLOOKUP(AF$48,'DB New Orders'!$A:$S,MATCH($B51,'DB New Orders'!$A$1:$S$1,0),0)</f>
        <v/>
      </c>
      <c r="AH51" s="22">
        <f>AF51-AE51</f>
        <v/>
      </c>
      <c r="AI51" s="34">
        <f>AVERAGE(AD51:AF51)</f>
        <v/>
      </c>
      <c r="AJ51" s="34">
        <f>AVERAGE(AA51:AF51)</f>
        <v/>
      </c>
    </row>
    <row r="52">
      <c r="B52" s="3" t="inlineStr">
        <is>
          <t>Health Care &amp; Social Assistance</t>
        </is>
      </c>
      <c r="C52" s="22">
        <f>VLOOKUP(C$48,'DB New Orders'!$A:$S,MATCH($B52,'DB New Orders'!$A$1:$S$1,0),0)</f>
        <v/>
      </c>
      <c r="D52" s="22">
        <f>VLOOKUP(D$48,'DB New Orders'!$A:$S,MATCH($B52,'DB New Orders'!$A$1:$S$1,0),0)</f>
        <v/>
      </c>
      <c r="E52" s="22">
        <f>VLOOKUP(E$48,'DB New Orders'!$A:$S,MATCH($B52,'DB New Orders'!$A$1:$S$1,0),0)</f>
        <v/>
      </c>
      <c r="F52" s="22">
        <f>VLOOKUP(F$48,'DB New Orders'!$A:$S,MATCH($B52,'DB New Orders'!$A$1:$S$1,0),0)</f>
        <v/>
      </c>
      <c r="G52" s="22">
        <f>VLOOKUP(G$48,'DB New Orders'!$A:$S,MATCH($B52,'DB New Orders'!$A$1:$S$1,0),0)</f>
        <v/>
      </c>
      <c r="H52" s="22">
        <f>VLOOKUP(H$48,'DB New Orders'!$A:$S,MATCH($B52,'DB New Orders'!$A$1:$S$1,0),0)</f>
        <v/>
      </c>
      <c r="I52" s="22">
        <f>VLOOKUP(I$48,'DB New Orders'!$A:$S,MATCH($B52,'DB New Orders'!$A$1:$S$1,0),0)</f>
        <v/>
      </c>
      <c r="J52" s="22">
        <f>VLOOKUP(J$48,'DB New Orders'!$A:$S,MATCH($B52,'DB New Orders'!$A$1:$S$1,0),0)</f>
        <v/>
      </c>
      <c r="K52" s="22">
        <f>VLOOKUP(K$48,'DB New Orders'!$A:$S,MATCH($B52,'DB New Orders'!$A$1:$S$1,0),0)</f>
        <v/>
      </c>
      <c r="L52" s="22">
        <f>VLOOKUP(L$48,'DB New Orders'!$A:$S,MATCH($B52,'DB New Orders'!$A$1:$S$1,0),0)</f>
        <v/>
      </c>
      <c r="M52" s="22">
        <f>VLOOKUP(M$48,'DB New Orders'!$A:$S,MATCH($B52,'DB New Orders'!$A$1:$S$1,0),0)</f>
        <v/>
      </c>
      <c r="N52" s="22">
        <f>VLOOKUP(N$48,'DB New Orders'!$A:$S,MATCH($B52,'DB New Orders'!$A$1:$S$1,0),0)</f>
        <v/>
      </c>
      <c r="O52" s="22">
        <f>VLOOKUP(O$48,'DB New Orders'!$A:$S,MATCH($B52,'DB New Orders'!$A$1:$S$1,0),0)</f>
        <v/>
      </c>
      <c r="P52" s="22">
        <f>VLOOKUP(P$48,'DB New Orders'!$A:$S,MATCH($B52,'DB New Orders'!$A$1:$S$1,0),0)</f>
        <v/>
      </c>
      <c r="Q52" s="22">
        <f>VLOOKUP(Q$48,'DB New Orders'!$A:$S,MATCH($B52,'DB New Orders'!$A$1:$S$1,0),0)</f>
        <v/>
      </c>
      <c r="R52" s="22">
        <f>VLOOKUP(R$48,'DB New Orders'!$A:$S,MATCH($B52,'DB New Orders'!$A$1:$S$1,0),0)</f>
        <v/>
      </c>
      <c r="S52" s="22">
        <f>VLOOKUP(S$48,'DB New Orders'!$A:$S,MATCH($B52,'DB New Orders'!$A$1:$S$1,0),0)</f>
        <v/>
      </c>
      <c r="T52" s="22">
        <f>VLOOKUP(T$48,'DB New Orders'!$A:$S,MATCH($B52,'DB New Orders'!$A$1:$S$1,0),0)</f>
        <v/>
      </c>
      <c r="U52" s="22">
        <f>VLOOKUP(U$48,'DB New Orders'!$A:$S,MATCH($B52,'DB New Orders'!$A$1:$S$1,0),0)</f>
        <v/>
      </c>
      <c r="V52" s="22">
        <f>VLOOKUP(V$48,'DB New Orders'!$A:$S,MATCH($B52,'DB New Orders'!$A$1:$S$1,0),0)</f>
        <v/>
      </c>
      <c r="W52" s="22">
        <f>VLOOKUP(W$48,'DB New Orders'!$A:$S,MATCH($B52,'DB New Orders'!$A$1:$S$1,0),0)</f>
        <v/>
      </c>
      <c r="X52" s="22">
        <f>VLOOKUP(X$48,'DB New Orders'!$A:$S,MATCH($B52,'DB New Orders'!$A$1:$S$1,0),0)</f>
        <v/>
      </c>
      <c r="Y52" s="22">
        <f>VLOOKUP(Y$48,'DB New Orders'!$A:$S,MATCH($B52,'DB New Orders'!$A$1:$S$1,0),0)</f>
        <v/>
      </c>
      <c r="Z52" s="22">
        <f>VLOOKUP(Z$48,'DB New Orders'!$A:$S,MATCH($B52,'DB New Orders'!$A$1:$S$1,0),0)</f>
        <v/>
      </c>
      <c r="AA52" s="22">
        <f>VLOOKUP(AA$48,'DB New Orders'!$A:$S,MATCH($B52,'DB New Orders'!$A$1:$S$1,0),0)</f>
        <v/>
      </c>
      <c r="AB52" s="22">
        <f>VLOOKUP(AB$48,'DB New Orders'!$A:$S,MATCH($B52,'DB New Orders'!$A$1:$S$1,0),0)</f>
        <v/>
      </c>
      <c r="AC52" s="22">
        <f>VLOOKUP(AC$48,'DB New Orders'!$A:$S,MATCH($B52,'DB New Orders'!$A$1:$S$1,0),0)</f>
        <v/>
      </c>
      <c r="AD52" s="22">
        <f>VLOOKUP(AD$48,'DB New Orders'!$A:$S,MATCH($B52,'DB New Orders'!$A$1:$S$1,0),0)</f>
        <v/>
      </c>
      <c r="AE52" s="22">
        <f>VLOOKUP(AE$48,'DB New Orders'!$A:$S,MATCH($B52,'DB New Orders'!$A$1:$S$1,0),0)</f>
        <v/>
      </c>
      <c r="AF52" s="22">
        <f>VLOOKUP(AF$48,'DB New Orders'!$A:$S,MATCH($B52,'DB New Orders'!$A$1:$S$1,0),0)</f>
        <v/>
      </c>
      <c r="AH52" s="22">
        <f>AF52-AE52</f>
        <v/>
      </c>
      <c r="AI52" s="34">
        <f>AVERAGE(AD52:AF52)</f>
        <v/>
      </c>
      <c r="AJ52" s="34">
        <f>AVERAGE(AA52:AF52)</f>
        <v/>
      </c>
    </row>
    <row r="53">
      <c r="B53" s="3" t="inlineStr">
        <is>
          <t>Utilities</t>
        </is>
      </c>
      <c r="C53" s="22">
        <f>VLOOKUP(C$48,'DB New Orders'!$A:$S,MATCH($B53,'DB New Orders'!$A$1:$S$1,0),0)</f>
        <v/>
      </c>
      <c r="D53" s="22">
        <f>VLOOKUP(D$48,'DB New Orders'!$A:$S,MATCH($B53,'DB New Orders'!$A$1:$S$1,0),0)</f>
        <v/>
      </c>
      <c r="E53" s="22">
        <f>VLOOKUP(E$48,'DB New Orders'!$A:$S,MATCH($B53,'DB New Orders'!$A$1:$S$1,0),0)</f>
        <v/>
      </c>
      <c r="F53" s="22">
        <f>VLOOKUP(F$48,'DB New Orders'!$A:$S,MATCH($B53,'DB New Orders'!$A$1:$S$1,0),0)</f>
        <v/>
      </c>
      <c r="G53" s="22">
        <f>VLOOKUP(G$48,'DB New Orders'!$A:$S,MATCH($B53,'DB New Orders'!$A$1:$S$1,0),0)</f>
        <v/>
      </c>
      <c r="H53" s="22">
        <f>VLOOKUP(H$48,'DB New Orders'!$A:$S,MATCH($B53,'DB New Orders'!$A$1:$S$1,0),0)</f>
        <v/>
      </c>
      <c r="I53" s="22">
        <f>VLOOKUP(I$48,'DB New Orders'!$A:$S,MATCH($B53,'DB New Orders'!$A$1:$S$1,0),0)</f>
        <v/>
      </c>
      <c r="J53" s="22">
        <f>VLOOKUP(J$48,'DB New Orders'!$A:$S,MATCH($B53,'DB New Orders'!$A$1:$S$1,0),0)</f>
        <v/>
      </c>
      <c r="K53" s="22">
        <f>VLOOKUP(K$48,'DB New Orders'!$A:$S,MATCH($B53,'DB New Orders'!$A$1:$S$1,0),0)</f>
        <v/>
      </c>
      <c r="L53" s="22">
        <f>VLOOKUP(L$48,'DB New Orders'!$A:$S,MATCH($B53,'DB New Orders'!$A$1:$S$1,0),0)</f>
        <v/>
      </c>
      <c r="M53" s="22">
        <f>VLOOKUP(M$48,'DB New Orders'!$A:$S,MATCH($B53,'DB New Orders'!$A$1:$S$1,0),0)</f>
        <v/>
      </c>
      <c r="N53" s="22">
        <f>VLOOKUP(N$48,'DB New Orders'!$A:$S,MATCH($B53,'DB New Orders'!$A$1:$S$1,0),0)</f>
        <v/>
      </c>
      <c r="O53" s="22">
        <f>VLOOKUP(O$48,'DB New Orders'!$A:$S,MATCH($B53,'DB New Orders'!$A$1:$S$1,0),0)</f>
        <v/>
      </c>
      <c r="P53" s="22">
        <f>VLOOKUP(P$48,'DB New Orders'!$A:$S,MATCH($B53,'DB New Orders'!$A$1:$S$1,0),0)</f>
        <v/>
      </c>
      <c r="Q53" s="22">
        <f>VLOOKUP(Q$48,'DB New Orders'!$A:$S,MATCH($B53,'DB New Orders'!$A$1:$S$1,0),0)</f>
        <v/>
      </c>
      <c r="R53" s="22">
        <f>VLOOKUP(R$48,'DB New Orders'!$A:$S,MATCH($B53,'DB New Orders'!$A$1:$S$1,0),0)</f>
        <v/>
      </c>
      <c r="S53" s="22">
        <f>VLOOKUP(S$48,'DB New Orders'!$A:$S,MATCH($B53,'DB New Orders'!$A$1:$S$1,0),0)</f>
        <v/>
      </c>
      <c r="T53" s="22">
        <f>VLOOKUP(T$48,'DB New Orders'!$A:$S,MATCH($B53,'DB New Orders'!$A$1:$S$1,0),0)</f>
        <v/>
      </c>
      <c r="U53" s="22">
        <f>VLOOKUP(U$48,'DB New Orders'!$A:$S,MATCH($B53,'DB New Orders'!$A$1:$S$1,0),0)</f>
        <v/>
      </c>
      <c r="V53" s="22">
        <f>VLOOKUP(V$48,'DB New Orders'!$A:$S,MATCH($B53,'DB New Orders'!$A$1:$S$1,0),0)</f>
        <v/>
      </c>
      <c r="W53" s="22">
        <f>VLOOKUP(W$48,'DB New Orders'!$A:$S,MATCH($B53,'DB New Orders'!$A$1:$S$1,0),0)</f>
        <v/>
      </c>
      <c r="X53" s="22">
        <f>VLOOKUP(X$48,'DB New Orders'!$A:$S,MATCH($B53,'DB New Orders'!$A$1:$S$1,0),0)</f>
        <v/>
      </c>
      <c r="Y53" s="22">
        <f>VLOOKUP(Y$48,'DB New Orders'!$A:$S,MATCH($B53,'DB New Orders'!$A$1:$S$1,0),0)</f>
        <v/>
      </c>
      <c r="Z53" s="22">
        <f>VLOOKUP(Z$48,'DB New Orders'!$A:$S,MATCH($B53,'DB New Orders'!$A$1:$S$1,0),0)</f>
        <v/>
      </c>
      <c r="AA53" s="22">
        <f>VLOOKUP(AA$48,'DB New Orders'!$A:$S,MATCH($B53,'DB New Orders'!$A$1:$S$1,0),0)</f>
        <v/>
      </c>
      <c r="AB53" s="22">
        <f>VLOOKUP(AB$48,'DB New Orders'!$A:$S,MATCH($B53,'DB New Orders'!$A$1:$S$1,0),0)</f>
        <v/>
      </c>
      <c r="AC53" s="22">
        <f>VLOOKUP(AC$48,'DB New Orders'!$A:$S,MATCH($B53,'DB New Orders'!$A$1:$S$1,0),0)</f>
        <v/>
      </c>
      <c r="AD53" s="22">
        <f>VLOOKUP(AD$48,'DB New Orders'!$A:$S,MATCH($B53,'DB New Orders'!$A$1:$S$1,0),0)</f>
        <v/>
      </c>
      <c r="AE53" s="22">
        <f>VLOOKUP(AE$48,'DB New Orders'!$A:$S,MATCH($B53,'DB New Orders'!$A$1:$S$1,0),0)</f>
        <v/>
      </c>
      <c r="AF53" s="22">
        <f>VLOOKUP(AF$48,'DB New Orders'!$A:$S,MATCH($B53,'DB New Orders'!$A$1:$S$1,0),0)</f>
        <v/>
      </c>
      <c r="AH53" s="22">
        <f>AF53-AE53</f>
        <v/>
      </c>
      <c r="AI53" s="34">
        <f>AVERAGE(AD53:AF53)</f>
        <v/>
      </c>
      <c r="AJ53" s="34">
        <f>AVERAGE(AA53:AF53)</f>
        <v/>
      </c>
    </row>
    <row r="54">
      <c r="B54" s="3" t="inlineStr">
        <is>
          <t>Other Services</t>
        </is>
      </c>
      <c r="C54" s="22">
        <f>VLOOKUP(C$48,'DB New Orders'!$A:$S,MATCH($B54,'DB New Orders'!$A$1:$S$1,0),0)</f>
        <v/>
      </c>
      <c r="D54" s="22">
        <f>VLOOKUP(D$48,'DB New Orders'!$A:$S,MATCH($B54,'DB New Orders'!$A$1:$S$1,0),0)</f>
        <v/>
      </c>
      <c r="E54" s="22">
        <f>VLOOKUP(E$48,'DB New Orders'!$A:$S,MATCH($B54,'DB New Orders'!$A$1:$S$1,0),0)</f>
        <v/>
      </c>
      <c r="F54" s="22">
        <f>VLOOKUP(F$48,'DB New Orders'!$A:$S,MATCH($B54,'DB New Orders'!$A$1:$S$1,0),0)</f>
        <v/>
      </c>
      <c r="G54" s="22">
        <f>VLOOKUP(G$48,'DB New Orders'!$A:$S,MATCH($B54,'DB New Orders'!$A$1:$S$1,0),0)</f>
        <v/>
      </c>
      <c r="H54" s="22">
        <f>VLOOKUP(H$48,'DB New Orders'!$A:$S,MATCH($B54,'DB New Orders'!$A$1:$S$1,0),0)</f>
        <v/>
      </c>
      <c r="I54" s="22">
        <f>VLOOKUP(I$48,'DB New Orders'!$A:$S,MATCH($B54,'DB New Orders'!$A$1:$S$1,0),0)</f>
        <v/>
      </c>
      <c r="J54" s="22">
        <f>VLOOKUP(J$48,'DB New Orders'!$A:$S,MATCH($B54,'DB New Orders'!$A$1:$S$1,0),0)</f>
        <v/>
      </c>
      <c r="K54" s="22">
        <f>VLOOKUP(K$48,'DB New Orders'!$A:$S,MATCH($B54,'DB New Orders'!$A$1:$S$1,0),0)</f>
        <v/>
      </c>
      <c r="L54" s="22">
        <f>VLOOKUP(L$48,'DB New Orders'!$A:$S,MATCH($B54,'DB New Orders'!$A$1:$S$1,0),0)</f>
        <v/>
      </c>
      <c r="M54" s="22">
        <f>VLOOKUP(M$48,'DB New Orders'!$A:$S,MATCH($B54,'DB New Orders'!$A$1:$S$1,0),0)</f>
        <v/>
      </c>
      <c r="N54" s="22">
        <f>VLOOKUP(N$48,'DB New Orders'!$A:$S,MATCH($B54,'DB New Orders'!$A$1:$S$1,0),0)</f>
        <v/>
      </c>
      <c r="O54" s="22">
        <f>VLOOKUP(O$48,'DB New Orders'!$A:$S,MATCH($B54,'DB New Orders'!$A$1:$S$1,0),0)</f>
        <v/>
      </c>
      <c r="P54" s="22">
        <f>VLOOKUP(P$48,'DB New Orders'!$A:$S,MATCH($B54,'DB New Orders'!$A$1:$S$1,0),0)</f>
        <v/>
      </c>
      <c r="Q54" s="22">
        <f>VLOOKUP(Q$48,'DB New Orders'!$A:$S,MATCH($B54,'DB New Orders'!$A$1:$S$1,0),0)</f>
        <v/>
      </c>
      <c r="R54" s="22">
        <f>VLOOKUP(R$48,'DB New Orders'!$A:$S,MATCH($B54,'DB New Orders'!$A$1:$S$1,0),0)</f>
        <v/>
      </c>
      <c r="S54" s="22">
        <f>VLOOKUP(S$48,'DB New Orders'!$A:$S,MATCH($B54,'DB New Orders'!$A$1:$S$1,0),0)</f>
        <v/>
      </c>
      <c r="T54" s="22">
        <f>VLOOKUP(T$48,'DB New Orders'!$A:$S,MATCH($B54,'DB New Orders'!$A$1:$S$1,0),0)</f>
        <v/>
      </c>
      <c r="U54" s="22">
        <f>VLOOKUP(U$48,'DB New Orders'!$A:$S,MATCH($B54,'DB New Orders'!$A$1:$S$1,0),0)</f>
        <v/>
      </c>
      <c r="V54" s="22">
        <f>VLOOKUP(V$48,'DB New Orders'!$A:$S,MATCH($B54,'DB New Orders'!$A$1:$S$1,0),0)</f>
        <v/>
      </c>
      <c r="W54" s="22">
        <f>VLOOKUP(W$48,'DB New Orders'!$A:$S,MATCH($B54,'DB New Orders'!$A$1:$S$1,0),0)</f>
        <v/>
      </c>
      <c r="X54" s="22">
        <f>VLOOKUP(X$48,'DB New Orders'!$A:$S,MATCH($B54,'DB New Orders'!$A$1:$S$1,0),0)</f>
        <v/>
      </c>
      <c r="Y54" s="22">
        <f>VLOOKUP(Y$48,'DB New Orders'!$A:$S,MATCH($B54,'DB New Orders'!$A$1:$S$1,0),0)</f>
        <v/>
      </c>
      <c r="Z54" s="22">
        <f>VLOOKUP(Z$48,'DB New Orders'!$A:$S,MATCH($B54,'DB New Orders'!$A$1:$S$1,0),0)</f>
        <v/>
      </c>
      <c r="AA54" s="22">
        <f>VLOOKUP(AA$48,'DB New Orders'!$A:$S,MATCH($B54,'DB New Orders'!$A$1:$S$1,0),0)</f>
        <v/>
      </c>
      <c r="AB54" s="22">
        <f>VLOOKUP(AB$48,'DB New Orders'!$A:$S,MATCH($B54,'DB New Orders'!$A$1:$S$1,0),0)</f>
        <v/>
      </c>
      <c r="AC54" s="22">
        <f>VLOOKUP(AC$48,'DB New Orders'!$A:$S,MATCH($B54,'DB New Orders'!$A$1:$S$1,0),0)</f>
        <v/>
      </c>
      <c r="AD54" s="22">
        <f>VLOOKUP(AD$48,'DB New Orders'!$A:$S,MATCH($B54,'DB New Orders'!$A$1:$S$1,0),0)</f>
        <v/>
      </c>
      <c r="AE54" s="22">
        <f>VLOOKUP(AE$48,'DB New Orders'!$A:$S,MATCH($B54,'DB New Orders'!$A$1:$S$1,0),0)</f>
        <v/>
      </c>
      <c r="AF54" s="22">
        <f>VLOOKUP(AF$48,'DB New Orders'!$A:$S,MATCH($B54,'DB New Orders'!$A$1:$S$1,0),0)</f>
        <v/>
      </c>
      <c r="AH54" s="22">
        <f>AF54-AE54</f>
        <v/>
      </c>
      <c r="AI54" s="34">
        <f>AVERAGE(AD54:AF54)</f>
        <v/>
      </c>
      <c r="AJ54" s="34">
        <f>AVERAGE(AA54:AF54)</f>
        <v/>
      </c>
    </row>
    <row r="55">
      <c r="B55" s="3" t="inlineStr">
        <is>
          <t>Real Estate, Rental &amp; Leasing</t>
        </is>
      </c>
      <c r="C55" s="22">
        <f>VLOOKUP(C$48,'DB New Orders'!$A:$S,MATCH($B55,'DB New Orders'!$A$1:$S$1,0),0)</f>
        <v/>
      </c>
      <c r="D55" s="22">
        <f>VLOOKUP(D$48,'DB New Orders'!$A:$S,MATCH($B55,'DB New Orders'!$A$1:$S$1,0),0)</f>
        <v/>
      </c>
      <c r="E55" s="22">
        <f>VLOOKUP(E$48,'DB New Orders'!$A:$S,MATCH($B55,'DB New Orders'!$A$1:$S$1,0),0)</f>
        <v/>
      </c>
      <c r="F55" s="22">
        <f>VLOOKUP(F$48,'DB New Orders'!$A:$S,MATCH($B55,'DB New Orders'!$A$1:$S$1,0),0)</f>
        <v/>
      </c>
      <c r="G55" s="22">
        <f>VLOOKUP(G$48,'DB New Orders'!$A:$S,MATCH($B55,'DB New Orders'!$A$1:$S$1,0),0)</f>
        <v/>
      </c>
      <c r="H55" s="22">
        <f>VLOOKUP(H$48,'DB New Orders'!$A:$S,MATCH($B55,'DB New Orders'!$A$1:$S$1,0),0)</f>
        <v/>
      </c>
      <c r="I55" s="22">
        <f>VLOOKUP(I$48,'DB New Orders'!$A:$S,MATCH($B55,'DB New Orders'!$A$1:$S$1,0),0)</f>
        <v/>
      </c>
      <c r="J55" s="22">
        <f>VLOOKUP(J$48,'DB New Orders'!$A:$S,MATCH($B55,'DB New Orders'!$A$1:$S$1,0),0)</f>
        <v/>
      </c>
      <c r="K55" s="22">
        <f>VLOOKUP(K$48,'DB New Orders'!$A:$S,MATCH($B55,'DB New Orders'!$A$1:$S$1,0),0)</f>
        <v/>
      </c>
      <c r="L55" s="22">
        <f>VLOOKUP(L$48,'DB New Orders'!$A:$S,MATCH($B55,'DB New Orders'!$A$1:$S$1,0),0)</f>
        <v/>
      </c>
      <c r="M55" s="22">
        <f>VLOOKUP(M$48,'DB New Orders'!$A:$S,MATCH($B55,'DB New Orders'!$A$1:$S$1,0),0)</f>
        <v/>
      </c>
      <c r="N55" s="22">
        <f>VLOOKUP(N$48,'DB New Orders'!$A:$S,MATCH($B55,'DB New Orders'!$A$1:$S$1,0),0)</f>
        <v/>
      </c>
      <c r="O55" s="22">
        <f>VLOOKUP(O$48,'DB New Orders'!$A:$S,MATCH($B55,'DB New Orders'!$A$1:$S$1,0),0)</f>
        <v/>
      </c>
      <c r="P55" s="22">
        <f>VLOOKUP(P$48,'DB New Orders'!$A:$S,MATCH($B55,'DB New Orders'!$A$1:$S$1,0),0)</f>
        <v/>
      </c>
      <c r="Q55" s="22">
        <f>VLOOKUP(Q$48,'DB New Orders'!$A:$S,MATCH($B55,'DB New Orders'!$A$1:$S$1,0),0)</f>
        <v/>
      </c>
      <c r="R55" s="22">
        <f>VLOOKUP(R$48,'DB New Orders'!$A:$S,MATCH($B55,'DB New Orders'!$A$1:$S$1,0),0)</f>
        <v/>
      </c>
      <c r="S55" s="22">
        <f>VLOOKUP(S$48,'DB New Orders'!$A:$S,MATCH($B55,'DB New Orders'!$A$1:$S$1,0),0)</f>
        <v/>
      </c>
      <c r="T55" s="22">
        <f>VLOOKUP(T$48,'DB New Orders'!$A:$S,MATCH($B55,'DB New Orders'!$A$1:$S$1,0),0)</f>
        <v/>
      </c>
      <c r="U55" s="22">
        <f>VLOOKUP(U$48,'DB New Orders'!$A:$S,MATCH($B55,'DB New Orders'!$A$1:$S$1,0),0)</f>
        <v/>
      </c>
      <c r="V55" s="22">
        <f>VLOOKUP(V$48,'DB New Orders'!$A:$S,MATCH($B55,'DB New Orders'!$A$1:$S$1,0),0)</f>
        <v/>
      </c>
      <c r="W55" s="22">
        <f>VLOOKUP(W$48,'DB New Orders'!$A:$S,MATCH($B55,'DB New Orders'!$A$1:$S$1,0),0)</f>
        <v/>
      </c>
      <c r="X55" s="22">
        <f>VLOOKUP(X$48,'DB New Orders'!$A:$S,MATCH($B55,'DB New Orders'!$A$1:$S$1,0),0)</f>
        <v/>
      </c>
      <c r="Y55" s="22">
        <f>VLOOKUP(Y$48,'DB New Orders'!$A:$S,MATCH($B55,'DB New Orders'!$A$1:$S$1,0),0)</f>
        <v/>
      </c>
      <c r="Z55" s="22">
        <f>VLOOKUP(Z$48,'DB New Orders'!$A:$S,MATCH($B55,'DB New Orders'!$A$1:$S$1,0),0)</f>
        <v/>
      </c>
      <c r="AA55" s="22">
        <f>VLOOKUP(AA$48,'DB New Orders'!$A:$S,MATCH($B55,'DB New Orders'!$A$1:$S$1,0),0)</f>
        <v/>
      </c>
      <c r="AB55" s="22">
        <f>VLOOKUP(AB$48,'DB New Orders'!$A:$S,MATCH($B55,'DB New Orders'!$A$1:$S$1,0),0)</f>
        <v/>
      </c>
      <c r="AC55" s="22">
        <f>VLOOKUP(AC$48,'DB New Orders'!$A:$S,MATCH($B55,'DB New Orders'!$A$1:$S$1,0),0)</f>
        <v/>
      </c>
      <c r="AD55" s="22">
        <f>VLOOKUP(AD$48,'DB New Orders'!$A:$S,MATCH($B55,'DB New Orders'!$A$1:$S$1,0),0)</f>
        <v/>
      </c>
      <c r="AE55" s="22">
        <f>VLOOKUP(AE$48,'DB New Orders'!$A:$S,MATCH($B55,'DB New Orders'!$A$1:$S$1,0),0)</f>
        <v/>
      </c>
      <c r="AF55" s="22">
        <f>VLOOKUP(AF$48,'DB New Orders'!$A:$S,MATCH($B55,'DB New Orders'!$A$1:$S$1,0),0)</f>
        <v/>
      </c>
      <c r="AH55" s="22">
        <f>AF55-AE55</f>
        <v/>
      </c>
      <c r="AI55" s="34">
        <f>AVERAGE(AD55:AF55)</f>
        <v/>
      </c>
      <c r="AJ55" s="34">
        <f>AVERAGE(AA55:AF55)</f>
        <v/>
      </c>
    </row>
    <row r="56">
      <c r="B56" s="3" t="inlineStr">
        <is>
          <t>Transportation &amp; Warehousing</t>
        </is>
      </c>
      <c r="C56" s="22">
        <f>VLOOKUP(C$48,'DB New Orders'!$A:$S,MATCH($B56,'DB New Orders'!$A$1:$S$1,0),0)</f>
        <v/>
      </c>
      <c r="D56" s="22">
        <f>VLOOKUP(D$48,'DB New Orders'!$A:$S,MATCH($B56,'DB New Orders'!$A$1:$S$1,0),0)</f>
        <v/>
      </c>
      <c r="E56" s="22">
        <f>VLOOKUP(E$48,'DB New Orders'!$A:$S,MATCH($B56,'DB New Orders'!$A$1:$S$1,0),0)</f>
        <v/>
      </c>
      <c r="F56" s="22">
        <f>VLOOKUP(F$48,'DB New Orders'!$A:$S,MATCH($B56,'DB New Orders'!$A$1:$S$1,0),0)</f>
        <v/>
      </c>
      <c r="G56" s="22">
        <f>VLOOKUP(G$48,'DB New Orders'!$A:$S,MATCH($B56,'DB New Orders'!$A$1:$S$1,0),0)</f>
        <v/>
      </c>
      <c r="H56" s="22">
        <f>VLOOKUP(H$48,'DB New Orders'!$A:$S,MATCH($B56,'DB New Orders'!$A$1:$S$1,0),0)</f>
        <v/>
      </c>
      <c r="I56" s="22">
        <f>VLOOKUP(I$48,'DB New Orders'!$A:$S,MATCH($B56,'DB New Orders'!$A$1:$S$1,0),0)</f>
        <v/>
      </c>
      <c r="J56" s="22">
        <f>VLOOKUP(J$48,'DB New Orders'!$A:$S,MATCH($B56,'DB New Orders'!$A$1:$S$1,0),0)</f>
        <v/>
      </c>
      <c r="K56" s="22">
        <f>VLOOKUP(K$48,'DB New Orders'!$A:$S,MATCH($B56,'DB New Orders'!$A$1:$S$1,0),0)</f>
        <v/>
      </c>
      <c r="L56" s="22">
        <f>VLOOKUP(L$48,'DB New Orders'!$A:$S,MATCH($B56,'DB New Orders'!$A$1:$S$1,0),0)</f>
        <v/>
      </c>
      <c r="M56" s="22">
        <f>VLOOKUP(M$48,'DB New Orders'!$A:$S,MATCH($B56,'DB New Orders'!$A$1:$S$1,0),0)</f>
        <v/>
      </c>
      <c r="N56" s="22">
        <f>VLOOKUP(N$48,'DB New Orders'!$A:$S,MATCH($B56,'DB New Orders'!$A$1:$S$1,0),0)</f>
        <v/>
      </c>
      <c r="O56" s="22">
        <f>VLOOKUP(O$48,'DB New Orders'!$A:$S,MATCH($B56,'DB New Orders'!$A$1:$S$1,0),0)</f>
        <v/>
      </c>
      <c r="P56" s="22">
        <f>VLOOKUP(P$48,'DB New Orders'!$A:$S,MATCH($B56,'DB New Orders'!$A$1:$S$1,0),0)</f>
        <v/>
      </c>
      <c r="Q56" s="22">
        <f>VLOOKUP(Q$48,'DB New Orders'!$A:$S,MATCH($B56,'DB New Orders'!$A$1:$S$1,0),0)</f>
        <v/>
      </c>
      <c r="R56" s="22">
        <f>VLOOKUP(R$48,'DB New Orders'!$A:$S,MATCH($B56,'DB New Orders'!$A$1:$S$1,0),0)</f>
        <v/>
      </c>
      <c r="S56" s="22">
        <f>VLOOKUP(S$48,'DB New Orders'!$A:$S,MATCH($B56,'DB New Orders'!$A$1:$S$1,0),0)</f>
        <v/>
      </c>
      <c r="T56" s="22">
        <f>VLOOKUP(T$48,'DB New Orders'!$A:$S,MATCH($B56,'DB New Orders'!$A$1:$S$1,0),0)</f>
        <v/>
      </c>
      <c r="U56" s="22">
        <f>VLOOKUP(U$48,'DB New Orders'!$A:$S,MATCH($B56,'DB New Orders'!$A$1:$S$1,0),0)</f>
        <v/>
      </c>
      <c r="V56" s="22">
        <f>VLOOKUP(V$48,'DB New Orders'!$A:$S,MATCH($B56,'DB New Orders'!$A$1:$S$1,0),0)</f>
        <v/>
      </c>
      <c r="W56" s="22">
        <f>VLOOKUP(W$48,'DB New Orders'!$A:$S,MATCH($B56,'DB New Orders'!$A$1:$S$1,0),0)</f>
        <v/>
      </c>
      <c r="X56" s="22">
        <f>VLOOKUP(X$48,'DB New Orders'!$A:$S,MATCH($B56,'DB New Orders'!$A$1:$S$1,0),0)</f>
        <v/>
      </c>
      <c r="Y56" s="22">
        <f>VLOOKUP(Y$48,'DB New Orders'!$A:$S,MATCH($B56,'DB New Orders'!$A$1:$S$1,0),0)</f>
        <v/>
      </c>
      <c r="Z56" s="22">
        <f>VLOOKUP(Z$48,'DB New Orders'!$A:$S,MATCH($B56,'DB New Orders'!$A$1:$S$1,0),0)</f>
        <v/>
      </c>
      <c r="AA56" s="22">
        <f>VLOOKUP(AA$48,'DB New Orders'!$A:$S,MATCH($B56,'DB New Orders'!$A$1:$S$1,0),0)</f>
        <v/>
      </c>
      <c r="AB56" s="22">
        <f>VLOOKUP(AB$48,'DB New Orders'!$A:$S,MATCH($B56,'DB New Orders'!$A$1:$S$1,0),0)</f>
        <v/>
      </c>
      <c r="AC56" s="22">
        <f>VLOOKUP(AC$48,'DB New Orders'!$A:$S,MATCH($B56,'DB New Orders'!$A$1:$S$1,0),0)</f>
        <v/>
      </c>
      <c r="AD56" s="22">
        <f>VLOOKUP(AD$48,'DB New Orders'!$A:$S,MATCH($B56,'DB New Orders'!$A$1:$S$1,0),0)</f>
        <v/>
      </c>
      <c r="AE56" s="22">
        <f>VLOOKUP(AE$48,'DB New Orders'!$A:$S,MATCH($B56,'DB New Orders'!$A$1:$S$1,0),0)</f>
        <v/>
      </c>
      <c r="AF56" s="22">
        <f>VLOOKUP(AF$48,'DB New Orders'!$A:$S,MATCH($B56,'DB New Orders'!$A$1:$S$1,0),0)</f>
        <v/>
      </c>
      <c r="AH56" s="22">
        <f>AF56-AE56</f>
        <v/>
      </c>
      <c r="AI56" s="34">
        <f>AVERAGE(AD56:AF56)</f>
        <v/>
      </c>
      <c r="AJ56" s="34">
        <f>AVERAGE(AA56:AF56)</f>
        <v/>
      </c>
    </row>
    <row r="57">
      <c r="B57" s="3" t="inlineStr">
        <is>
          <t>Accommodation &amp; Food Services</t>
        </is>
      </c>
      <c r="C57" s="22">
        <f>VLOOKUP(C$48,'DB New Orders'!$A:$S,MATCH($B57,'DB New Orders'!$A$1:$S$1,0),0)</f>
        <v/>
      </c>
      <c r="D57" s="22">
        <f>VLOOKUP(D$48,'DB New Orders'!$A:$S,MATCH($B57,'DB New Orders'!$A$1:$S$1,0),0)</f>
        <v/>
      </c>
      <c r="E57" s="22">
        <f>VLOOKUP(E$48,'DB New Orders'!$A:$S,MATCH($B57,'DB New Orders'!$A$1:$S$1,0),0)</f>
        <v/>
      </c>
      <c r="F57" s="22">
        <f>VLOOKUP(F$48,'DB New Orders'!$A:$S,MATCH($B57,'DB New Orders'!$A$1:$S$1,0),0)</f>
        <v/>
      </c>
      <c r="G57" s="22">
        <f>VLOOKUP(G$48,'DB New Orders'!$A:$S,MATCH($B57,'DB New Orders'!$A$1:$S$1,0),0)</f>
        <v/>
      </c>
      <c r="H57" s="22">
        <f>VLOOKUP(H$48,'DB New Orders'!$A:$S,MATCH($B57,'DB New Orders'!$A$1:$S$1,0),0)</f>
        <v/>
      </c>
      <c r="I57" s="22">
        <f>VLOOKUP(I$48,'DB New Orders'!$A:$S,MATCH($B57,'DB New Orders'!$A$1:$S$1,0),0)</f>
        <v/>
      </c>
      <c r="J57" s="22">
        <f>VLOOKUP(J$48,'DB New Orders'!$A:$S,MATCH($B57,'DB New Orders'!$A$1:$S$1,0),0)</f>
        <v/>
      </c>
      <c r="K57" s="22">
        <f>VLOOKUP(K$48,'DB New Orders'!$A:$S,MATCH($B57,'DB New Orders'!$A$1:$S$1,0),0)</f>
        <v/>
      </c>
      <c r="L57" s="22">
        <f>VLOOKUP(L$48,'DB New Orders'!$A:$S,MATCH($B57,'DB New Orders'!$A$1:$S$1,0),0)</f>
        <v/>
      </c>
      <c r="M57" s="22">
        <f>VLOOKUP(M$48,'DB New Orders'!$A:$S,MATCH($B57,'DB New Orders'!$A$1:$S$1,0),0)</f>
        <v/>
      </c>
      <c r="N57" s="22">
        <f>VLOOKUP(N$48,'DB New Orders'!$A:$S,MATCH($B57,'DB New Orders'!$A$1:$S$1,0),0)</f>
        <v/>
      </c>
      <c r="O57" s="22">
        <f>VLOOKUP(O$48,'DB New Orders'!$A:$S,MATCH($B57,'DB New Orders'!$A$1:$S$1,0),0)</f>
        <v/>
      </c>
      <c r="P57" s="22">
        <f>VLOOKUP(P$48,'DB New Orders'!$A:$S,MATCH($B57,'DB New Orders'!$A$1:$S$1,0),0)</f>
        <v/>
      </c>
      <c r="Q57" s="22">
        <f>VLOOKUP(Q$48,'DB New Orders'!$A:$S,MATCH($B57,'DB New Orders'!$A$1:$S$1,0),0)</f>
        <v/>
      </c>
      <c r="R57" s="22">
        <f>VLOOKUP(R$48,'DB New Orders'!$A:$S,MATCH($B57,'DB New Orders'!$A$1:$S$1,0),0)</f>
        <v/>
      </c>
      <c r="S57" s="22">
        <f>VLOOKUP(S$48,'DB New Orders'!$A:$S,MATCH($B57,'DB New Orders'!$A$1:$S$1,0),0)</f>
        <v/>
      </c>
      <c r="T57" s="22">
        <f>VLOOKUP(T$48,'DB New Orders'!$A:$S,MATCH($B57,'DB New Orders'!$A$1:$S$1,0),0)</f>
        <v/>
      </c>
      <c r="U57" s="22">
        <f>VLOOKUP(U$48,'DB New Orders'!$A:$S,MATCH($B57,'DB New Orders'!$A$1:$S$1,0),0)</f>
        <v/>
      </c>
      <c r="V57" s="22">
        <f>VLOOKUP(V$48,'DB New Orders'!$A:$S,MATCH($B57,'DB New Orders'!$A$1:$S$1,0),0)</f>
        <v/>
      </c>
      <c r="W57" s="22">
        <f>VLOOKUP(W$48,'DB New Orders'!$A:$S,MATCH($B57,'DB New Orders'!$A$1:$S$1,0),0)</f>
        <v/>
      </c>
      <c r="X57" s="22">
        <f>VLOOKUP(X$48,'DB New Orders'!$A:$S,MATCH($B57,'DB New Orders'!$A$1:$S$1,0),0)</f>
        <v/>
      </c>
      <c r="Y57" s="22">
        <f>VLOOKUP(Y$48,'DB New Orders'!$A:$S,MATCH($B57,'DB New Orders'!$A$1:$S$1,0),0)</f>
        <v/>
      </c>
      <c r="Z57" s="22">
        <f>VLOOKUP(Z$48,'DB New Orders'!$A:$S,MATCH($B57,'DB New Orders'!$A$1:$S$1,0),0)</f>
        <v/>
      </c>
      <c r="AA57" s="22">
        <f>VLOOKUP(AA$48,'DB New Orders'!$A:$S,MATCH($B57,'DB New Orders'!$A$1:$S$1,0),0)</f>
        <v/>
      </c>
      <c r="AB57" s="22">
        <f>VLOOKUP(AB$48,'DB New Orders'!$A:$S,MATCH($B57,'DB New Orders'!$A$1:$S$1,0),0)</f>
        <v/>
      </c>
      <c r="AC57" s="22">
        <f>VLOOKUP(AC$48,'DB New Orders'!$A:$S,MATCH($B57,'DB New Orders'!$A$1:$S$1,0),0)</f>
        <v/>
      </c>
      <c r="AD57" s="22">
        <f>VLOOKUP(AD$48,'DB New Orders'!$A:$S,MATCH($B57,'DB New Orders'!$A$1:$S$1,0),0)</f>
        <v/>
      </c>
      <c r="AE57" s="22">
        <f>VLOOKUP(AE$48,'DB New Orders'!$A:$S,MATCH($B57,'DB New Orders'!$A$1:$S$1,0),0)</f>
        <v/>
      </c>
      <c r="AF57" s="22">
        <f>VLOOKUP(AF$48,'DB New Orders'!$A:$S,MATCH($B57,'DB New Orders'!$A$1:$S$1,0),0)</f>
        <v/>
      </c>
      <c r="AH57" s="22">
        <f>AF57-AE57</f>
        <v/>
      </c>
      <c r="AI57" s="34">
        <f>AVERAGE(AD57:AF57)</f>
        <v/>
      </c>
      <c r="AJ57" s="34">
        <f>AVERAGE(AA57:AF57)</f>
        <v/>
      </c>
    </row>
    <row r="58">
      <c r="B58" s="3" t="inlineStr">
        <is>
          <t>Construction</t>
        </is>
      </c>
      <c r="C58" s="22">
        <f>VLOOKUP(C$48,'DB New Orders'!$A:$S,MATCH($B58,'DB New Orders'!$A$1:$S$1,0),0)</f>
        <v/>
      </c>
      <c r="D58" s="22">
        <f>VLOOKUP(D$48,'DB New Orders'!$A:$S,MATCH($B58,'DB New Orders'!$A$1:$S$1,0),0)</f>
        <v/>
      </c>
      <c r="E58" s="22">
        <f>VLOOKUP(E$48,'DB New Orders'!$A:$S,MATCH($B58,'DB New Orders'!$A$1:$S$1,0),0)</f>
        <v/>
      </c>
      <c r="F58" s="22">
        <f>VLOOKUP(F$48,'DB New Orders'!$A:$S,MATCH($B58,'DB New Orders'!$A$1:$S$1,0),0)</f>
        <v/>
      </c>
      <c r="G58" s="22">
        <f>VLOOKUP(G$48,'DB New Orders'!$A:$S,MATCH($B58,'DB New Orders'!$A$1:$S$1,0),0)</f>
        <v/>
      </c>
      <c r="H58" s="22">
        <f>VLOOKUP(H$48,'DB New Orders'!$A:$S,MATCH($B58,'DB New Orders'!$A$1:$S$1,0),0)</f>
        <v/>
      </c>
      <c r="I58" s="22">
        <f>VLOOKUP(I$48,'DB New Orders'!$A:$S,MATCH($B58,'DB New Orders'!$A$1:$S$1,0),0)</f>
        <v/>
      </c>
      <c r="J58" s="22">
        <f>VLOOKUP(J$48,'DB New Orders'!$A:$S,MATCH($B58,'DB New Orders'!$A$1:$S$1,0),0)</f>
        <v/>
      </c>
      <c r="K58" s="22">
        <f>VLOOKUP(K$48,'DB New Orders'!$A:$S,MATCH($B58,'DB New Orders'!$A$1:$S$1,0),0)</f>
        <v/>
      </c>
      <c r="L58" s="22">
        <f>VLOOKUP(L$48,'DB New Orders'!$A:$S,MATCH($B58,'DB New Orders'!$A$1:$S$1,0),0)</f>
        <v/>
      </c>
      <c r="M58" s="22">
        <f>VLOOKUP(M$48,'DB New Orders'!$A:$S,MATCH($B58,'DB New Orders'!$A$1:$S$1,0),0)</f>
        <v/>
      </c>
      <c r="N58" s="22">
        <f>VLOOKUP(N$48,'DB New Orders'!$A:$S,MATCH($B58,'DB New Orders'!$A$1:$S$1,0),0)</f>
        <v/>
      </c>
      <c r="O58" s="22">
        <f>VLOOKUP(O$48,'DB New Orders'!$A:$S,MATCH($B58,'DB New Orders'!$A$1:$S$1,0),0)</f>
        <v/>
      </c>
      <c r="P58" s="22">
        <f>VLOOKUP(P$48,'DB New Orders'!$A:$S,MATCH($B58,'DB New Orders'!$A$1:$S$1,0),0)</f>
        <v/>
      </c>
      <c r="Q58" s="22">
        <f>VLOOKUP(Q$48,'DB New Orders'!$A:$S,MATCH($B58,'DB New Orders'!$A$1:$S$1,0),0)</f>
        <v/>
      </c>
      <c r="R58" s="22">
        <f>VLOOKUP(R$48,'DB New Orders'!$A:$S,MATCH($B58,'DB New Orders'!$A$1:$S$1,0),0)</f>
        <v/>
      </c>
      <c r="S58" s="22">
        <f>VLOOKUP(S$48,'DB New Orders'!$A:$S,MATCH($B58,'DB New Orders'!$A$1:$S$1,0),0)</f>
        <v/>
      </c>
      <c r="T58" s="22">
        <f>VLOOKUP(T$48,'DB New Orders'!$A:$S,MATCH($B58,'DB New Orders'!$A$1:$S$1,0),0)</f>
        <v/>
      </c>
      <c r="U58" s="22">
        <f>VLOOKUP(U$48,'DB New Orders'!$A:$S,MATCH($B58,'DB New Orders'!$A$1:$S$1,0),0)</f>
        <v/>
      </c>
      <c r="V58" s="22">
        <f>VLOOKUP(V$48,'DB New Orders'!$A:$S,MATCH($B58,'DB New Orders'!$A$1:$S$1,0),0)</f>
        <v/>
      </c>
      <c r="W58" s="22">
        <f>VLOOKUP(W$48,'DB New Orders'!$A:$S,MATCH($B58,'DB New Orders'!$A$1:$S$1,0),0)</f>
        <v/>
      </c>
      <c r="X58" s="22">
        <f>VLOOKUP(X$48,'DB New Orders'!$A:$S,MATCH($B58,'DB New Orders'!$A$1:$S$1,0),0)</f>
        <v/>
      </c>
      <c r="Y58" s="22">
        <f>VLOOKUP(Y$48,'DB New Orders'!$A:$S,MATCH($B58,'DB New Orders'!$A$1:$S$1,0),0)</f>
        <v/>
      </c>
      <c r="Z58" s="22">
        <f>VLOOKUP(Z$48,'DB New Orders'!$A:$S,MATCH($B58,'DB New Orders'!$A$1:$S$1,0),0)</f>
        <v/>
      </c>
      <c r="AA58" s="22">
        <f>VLOOKUP(AA$48,'DB New Orders'!$A:$S,MATCH($B58,'DB New Orders'!$A$1:$S$1,0),0)</f>
        <v/>
      </c>
      <c r="AB58" s="22">
        <f>VLOOKUP(AB$48,'DB New Orders'!$A:$S,MATCH($B58,'DB New Orders'!$A$1:$S$1,0),0)</f>
        <v/>
      </c>
      <c r="AC58" s="22">
        <f>VLOOKUP(AC$48,'DB New Orders'!$A:$S,MATCH($B58,'DB New Orders'!$A$1:$S$1,0),0)</f>
        <v/>
      </c>
      <c r="AD58" s="22">
        <f>VLOOKUP(AD$48,'DB New Orders'!$A:$S,MATCH($B58,'DB New Orders'!$A$1:$S$1,0),0)</f>
        <v/>
      </c>
      <c r="AE58" s="22">
        <f>VLOOKUP(AE$48,'DB New Orders'!$A:$S,MATCH($B58,'DB New Orders'!$A$1:$S$1,0),0)</f>
        <v/>
      </c>
      <c r="AF58" s="22">
        <f>VLOOKUP(AF$48,'DB New Orders'!$A:$S,MATCH($B58,'DB New Orders'!$A$1:$S$1,0),0)</f>
        <v/>
      </c>
      <c r="AH58" s="22">
        <f>AF58-AE58</f>
        <v/>
      </c>
      <c r="AI58" s="34">
        <f>AVERAGE(AD58:AF58)</f>
        <v/>
      </c>
      <c r="AJ58" s="34">
        <f>AVERAGE(AA58:AF58)</f>
        <v/>
      </c>
    </row>
    <row r="59">
      <c r="B59" s="3" t="inlineStr">
        <is>
          <t>Agriculture, Forestry, Fishing &amp; Hunting</t>
        </is>
      </c>
      <c r="C59" s="22">
        <f>VLOOKUP(C$48,'DB New Orders'!$A:$S,MATCH($B59,'DB New Orders'!$A$1:$S$1,0),0)</f>
        <v/>
      </c>
      <c r="D59" s="22">
        <f>VLOOKUP(D$48,'DB New Orders'!$A:$S,MATCH($B59,'DB New Orders'!$A$1:$S$1,0),0)</f>
        <v/>
      </c>
      <c r="E59" s="22">
        <f>VLOOKUP(E$48,'DB New Orders'!$A:$S,MATCH($B59,'DB New Orders'!$A$1:$S$1,0),0)</f>
        <v/>
      </c>
      <c r="F59" s="22">
        <f>VLOOKUP(F$48,'DB New Orders'!$A:$S,MATCH($B59,'DB New Orders'!$A$1:$S$1,0),0)</f>
        <v/>
      </c>
      <c r="G59" s="22">
        <f>VLOOKUP(G$48,'DB New Orders'!$A:$S,MATCH($B59,'DB New Orders'!$A$1:$S$1,0),0)</f>
        <v/>
      </c>
      <c r="H59" s="22">
        <f>VLOOKUP(H$48,'DB New Orders'!$A:$S,MATCH($B59,'DB New Orders'!$A$1:$S$1,0),0)</f>
        <v/>
      </c>
      <c r="I59" s="22">
        <f>VLOOKUP(I$48,'DB New Orders'!$A:$S,MATCH($B59,'DB New Orders'!$A$1:$S$1,0),0)</f>
        <v/>
      </c>
      <c r="J59" s="22">
        <f>VLOOKUP(J$48,'DB New Orders'!$A:$S,MATCH($B59,'DB New Orders'!$A$1:$S$1,0),0)</f>
        <v/>
      </c>
      <c r="K59" s="22">
        <f>VLOOKUP(K$48,'DB New Orders'!$A:$S,MATCH($B59,'DB New Orders'!$A$1:$S$1,0),0)</f>
        <v/>
      </c>
      <c r="L59" s="22">
        <f>VLOOKUP(L$48,'DB New Orders'!$A:$S,MATCH($B59,'DB New Orders'!$A$1:$S$1,0),0)</f>
        <v/>
      </c>
      <c r="M59" s="22">
        <f>VLOOKUP(M$48,'DB New Orders'!$A:$S,MATCH($B59,'DB New Orders'!$A$1:$S$1,0),0)</f>
        <v/>
      </c>
      <c r="N59" s="22">
        <f>VLOOKUP(N$48,'DB New Orders'!$A:$S,MATCH($B59,'DB New Orders'!$A$1:$S$1,0),0)</f>
        <v/>
      </c>
      <c r="O59" s="22">
        <f>VLOOKUP(O$48,'DB New Orders'!$A:$S,MATCH($B59,'DB New Orders'!$A$1:$S$1,0),0)</f>
        <v/>
      </c>
      <c r="P59" s="22">
        <f>VLOOKUP(P$48,'DB New Orders'!$A:$S,MATCH($B59,'DB New Orders'!$A$1:$S$1,0),0)</f>
        <v/>
      </c>
      <c r="Q59" s="22">
        <f>VLOOKUP(Q$48,'DB New Orders'!$A:$S,MATCH($B59,'DB New Orders'!$A$1:$S$1,0),0)</f>
        <v/>
      </c>
      <c r="R59" s="22">
        <f>VLOOKUP(R$48,'DB New Orders'!$A:$S,MATCH($B59,'DB New Orders'!$A$1:$S$1,0),0)</f>
        <v/>
      </c>
      <c r="S59" s="22">
        <f>VLOOKUP(S$48,'DB New Orders'!$A:$S,MATCH($B59,'DB New Orders'!$A$1:$S$1,0),0)</f>
        <v/>
      </c>
      <c r="T59" s="22">
        <f>VLOOKUP(T$48,'DB New Orders'!$A:$S,MATCH($B59,'DB New Orders'!$A$1:$S$1,0),0)</f>
        <v/>
      </c>
      <c r="U59" s="22">
        <f>VLOOKUP(U$48,'DB New Orders'!$A:$S,MATCH($B59,'DB New Orders'!$A$1:$S$1,0),0)</f>
        <v/>
      </c>
      <c r="V59" s="22">
        <f>VLOOKUP(V$48,'DB New Orders'!$A:$S,MATCH($B59,'DB New Orders'!$A$1:$S$1,0),0)</f>
        <v/>
      </c>
      <c r="W59" s="22">
        <f>VLOOKUP(W$48,'DB New Orders'!$A:$S,MATCH($B59,'DB New Orders'!$A$1:$S$1,0),0)</f>
        <v/>
      </c>
      <c r="X59" s="22">
        <f>VLOOKUP(X$48,'DB New Orders'!$A:$S,MATCH($B59,'DB New Orders'!$A$1:$S$1,0),0)</f>
        <v/>
      </c>
      <c r="Y59" s="22">
        <f>VLOOKUP(Y$48,'DB New Orders'!$A:$S,MATCH($B59,'DB New Orders'!$A$1:$S$1,0),0)</f>
        <v/>
      </c>
      <c r="Z59" s="22">
        <f>VLOOKUP(Z$48,'DB New Orders'!$A:$S,MATCH($B59,'DB New Orders'!$A$1:$S$1,0),0)</f>
        <v/>
      </c>
      <c r="AA59" s="22">
        <f>VLOOKUP(AA$48,'DB New Orders'!$A:$S,MATCH($B59,'DB New Orders'!$A$1:$S$1,0),0)</f>
        <v/>
      </c>
      <c r="AB59" s="22">
        <f>VLOOKUP(AB$48,'DB New Orders'!$A:$S,MATCH($B59,'DB New Orders'!$A$1:$S$1,0),0)</f>
        <v/>
      </c>
      <c r="AC59" s="22">
        <f>VLOOKUP(AC$48,'DB New Orders'!$A:$S,MATCH($B59,'DB New Orders'!$A$1:$S$1,0),0)</f>
        <v/>
      </c>
      <c r="AD59" s="22">
        <f>VLOOKUP(AD$48,'DB New Orders'!$A:$S,MATCH($B59,'DB New Orders'!$A$1:$S$1,0),0)</f>
        <v/>
      </c>
      <c r="AE59" s="22">
        <f>VLOOKUP(AE$48,'DB New Orders'!$A:$S,MATCH($B59,'DB New Orders'!$A$1:$S$1,0),0)</f>
        <v/>
      </c>
      <c r="AF59" s="22">
        <f>VLOOKUP(AF$48,'DB New Orders'!$A:$S,MATCH($B59,'DB New Orders'!$A$1:$S$1,0),0)</f>
        <v/>
      </c>
      <c r="AH59" s="22">
        <f>AF59-AE59</f>
        <v/>
      </c>
      <c r="AI59" s="34">
        <f>AVERAGE(AD59:AF59)</f>
        <v/>
      </c>
      <c r="AJ59" s="34">
        <f>AVERAGE(AA59:AF59)</f>
        <v/>
      </c>
    </row>
    <row r="60">
      <c r="B60" s="3" t="inlineStr">
        <is>
          <t>Arts, Entertainment &amp; Recreation</t>
        </is>
      </c>
      <c r="C60" s="22">
        <f>VLOOKUP(C$48,'DB New Orders'!$A:$S,MATCH($B60,'DB New Orders'!$A$1:$S$1,0),0)</f>
        <v/>
      </c>
      <c r="D60" s="22">
        <f>VLOOKUP(D$48,'DB New Orders'!$A:$S,MATCH($B60,'DB New Orders'!$A$1:$S$1,0),0)</f>
        <v/>
      </c>
      <c r="E60" s="22">
        <f>VLOOKUP(E$48,'DB New Orders'!$A:$S,MATCH($B60,'DB New Orders'!$A$1:$S$1,0),0)</f>
        <v/>
      </c>
      <c r="F60" s="22">
        <f>VLOOKUP(F$48,'DB New Orders'!$A:$S,MATCH($B60,'DB New Orders'!$A$1:$S$1,0),0)</f>
        <v/>
      </c>
      <c r="G60" s="22">
        <f>VLOOKUP(G$48,'DB New Orders'!$A:$S,MATCH($B60,'DB New Orders'!$A$1:$S$1,0),0)</f>
        <v/>
      </c>
      <c r="H60" s="22">
        <f>VLOOKUP(H$48,'DB New Orders'!$A:$S,MATCH($B60,'DB New Orders'!$A$1:$S$1,0),0)</f>
        <v/>
      </c>
      <c r="I60" s="22">
        <f>VLOOKUP(I$48,'DB New Orders'!$A:$S,MATCH($B60,'DB New Orders'!$A$1:$S$1,0),0)</f>
        <v/>
      </c>
      <c r="J60" s="22">
        <f>VLOOKUP(J$48,'DB New Orders'!$A:$S,MATCH($B60,'DB New Orders'!$A$1:$S$1,0),0)</f>
        <v/>
      </c>
      <c r="K60" s="22">
        <f>VLOOKUP(K$48,'DB New Orders'!$A:$S,MATCH($B60,'DB New Orders'!$A$1:$S$1,0),0)</f>
        <v/>
      </c>
      <c r="L60" s="22">
        <f>VLOOKUP(L$48,'DB New Orders'!$A:$S,MATCH($B60,'DB New Orders'!$A$1:$S$1,0),0)</f>
        <v/>
      </c>
      <c r="M60" s="22">
        <f>VLOOKUP(M$48,'DB New Orders'!$A:$S,MATCH($B60,'DB New Orders'!$A$1:$S$1,0),0)</f>
        <v/>
      </c>
      <c r="N60" s="22">
        <f>VLOOKUP(N$48,'DB New Orders'!$A:$S,MATCH($B60,'DB New Orders'!$A$1:$S$1,0),0)</f>
        <v/>
      </c>
      <c r="O60" s="22">
        <f>VLOOKUP(O$48,'DB New Orders'!$A:$S,MATCH($B60,'DB New Orders'!$A$1:$S$1,0),0)</f>
        <v/>
      </c>
      <c r="P60" s="22">
        <f>VLOOKUP(P$48,'DB New Orders'!$A:$S,MATCH($B60,'DB New Orders'!$A$1:$S$1,0),0)</f>
        <v/>
      </c>
      <c r="Q60" s="22">
        <f>VLOOKUP(Q$48,'DB New Orders'!$A:$S,MATCH($B60,'DB New Orders'!$A$1:$S$1,0),0)</f>
        <v/>
      </c>
      <c r="R60" s="22">
        <f>VLOOKUP(R$48,'DB New Orders'!$A:$S,MATCH($B60,'DB New Orders'!$A$1:$S$1,0),0)</f>
        <v/>
      </c>
      <c r="S60" s="22">
        <f>VLOOKUP(S$48,'DB New Orders'!$A:$S,MATCH($B60,'DB New Orders'!$A$1:$S$1,0),0)</f>
        <v/>
      </c>
      <c r="T60" s="22">
        <f>VLOOKUP(T$48,'DB New Orders'!$A:$S,MATCH($B60,'DB New Orders'!$A$1:$S$1,0),0)</f>
        <v/>
      </c>
      <c r="U60" s="22">
        <f>VLOOKUP(U$48,'DB New Orders'!$A:$S,MATCH($B60,'DB New Orders'!$A$1:$S$1,0),0)</f>
        <v/>
      </c>
      <c r="V60" s="22">
        <f>VLOOKUP(V$48,'DB New Orders'!$A:$S,MATCH($B60,'DB New Orders'!$A$1:$S$1,0),0)</f>
        <v/>
      </c>
      <c r="W60" s="22">
        <f>VLOOKUP(W$48,'DB New Orders'!$A:$S,MATCH($B60,'DB New Orders'!$A$1:$S$1,0),0)</f>
        <v/>
      </c>
      <c r="X60" s="22">
        <f>VLOOKUP(X$48,'DB New Orders'!$A:$S,MATCH($B60,'DB New Orders'!$A$1:$S$1,0),0)</f>
        <v/>
      </c>
      <c r="Y60" s="22">
        <f>VLOOKUP(Y$48,'DB New Orders'!$A:$S,MATCH($B60,'DB New Orders'!$A$1:$S$1,0),0)</f>
        <v/>
      </c>
      <c r="Z60" s="22">
        <f>VLOOKUP(Z$48,'DB New Orders'!$A:$S,MATCH($B60,'DB New Orders'!$A$1:$S$1,0),0)</f>
        <v/>
      </c>
      <c r="AA60" s="22">
        <f>VLOOKUP(AA$48,'DB New Orders'!$A:$S,MATCH($B60,'DB New Orders'!$A$1:$S$1,0),0)</f>
        <v/>
      </c>
      <c r="AB60" s="22">
        <f>VLOOKUP(AB$48,'DB New Orders'!$A:$S,MATCH($B60,'DB New Orders'!$A$1:$S$1,0),0)</f>
        <v/>
      </c>
      <c r="AC60" s="22">
        <f>VLOOKUP(AC$48,'DB New Orders'!$A:$S,MATCH($B60,'DB New Orders'!$A$1:$S$1,0),0)</f>
        <v/>
      </c>
      <c r="AD60" s="22">
        <f>VLOOKUP(AD$48,'DB New Orders'!$A:$S,MATCH($B60,'DB New Orders'!$A$1:$S$1,0),0)</f>
        <v/>
      </c>
      <c r="AE60" s="22">
        <f>VLOOKUP(AE$48,'DB New Orders'!$A:$S,MATCH($B60,'DB New Orders'!$A$1:$S$1,0),0)</f>
        <v/>
      </c>
      <c r="AF60" s="22">
        <f>VLOOKUP(AF$48,'DB New Orders'!$A:$S,MATCH($B60,'DB New Orders'!$A$1:$S$1,0),0)</f>
        <v/>
      </c>
      <c r="AH60" s="22">
        <f>AF60-AE60</f>
        <v/>
      </c>
      <c r="AI60" s="34">
        <f>AVERAGE(AD60:AF60)</f>
        <v/>
      </c>
      <c r="AJ60" s="34">
        <f>AVERAGE(AA60:AF60)</f>
        <v/>
      </c>
    </row>
    <row r="61">
      <c r="B61" s="3" t="inlineStr">
        <is>
          <t>Mining</t>
        </is>
      </c>
      <c r="C61" s="22">
        <f>VLOOKUP(C$48,'DB New Orders'!$A:$S,MATCH($B61,'DB New Orders'!$A$1:$S$1,0),0)</f>
        <v/>
      </c>
      <c r="D61" s="22">
        <f>VLOOKUP(D$48,'DB New Orders'!$A:$S,MATCH($B61,'DB New Orders'!$A$1:$S$1,0),0)</f>
        <v/>
      </c>
      <c r="E61" s="22">
        <f>VLOOKUP(E$48,'DB New Orders'!$A:$S,MATCH($B61,'DB New Orders'!$A$1:$S$1,0),0)</f>
        <v/>
      </c>
      <c r="F61" s="22">
        <f>VLOOKUP(F$48,'DB New Orders'!$A:$S,MATCH($B61,'DB New Orders'!$A$1:$S$1,0),0)</f>
        <v/>
      </c>
      <c r="G61" s="22">
        <f>VLOOKUP(G$48,'DB New Orders'!$A:$S,MATCH($B61,'DB New Orders'!$A$1:$S$1,0),0)</f>
        <v/>
      </c>
      <c r="H61" s="22">
        <f>VLOOKUP(H$48,'DB New Orders'!$A:$S,MATCH($B61,'DB New Orders'!$A$1:$S$1,0),0)</f>
        <v/>
      </c>
      <c r="I61" s="22">
        <f>VLOOKUP(I$48,'DB New Orders'!$A:$S,MATCH($B61,'DB New Orders'!$A$1:$S$1,0),0)</f>
        <v/>
      </c>
      <c r="J61" s="22">
        <f>VLOOKUP(J$48,'DB New Orders'!$A:$S,MATCH($B61,'DB New Orders'!$A$1:$S$1,0),0)</f>
        <v/>
      </c>
      <c r="K61" s="22">
        <f>VLOOKUP(K$48,'DB New Orders'!$A:$S,MATCH($B61,'DB New Orders'!$A$1:$S$1,0),0)</f>
        <v/>
      </c>
      <c r="L61" s="22">
        <f>VLOOKUP(L$48,'DB New Orders'!$A:$S,MATCH($B61,'DB New Orders'!$A$1:$S$1,0),0)</f>
        <v/>
      </c>
      <c r="M61" s="22">
        <f>VLOOKUP(M$48,'DB New Orders'!$A:$S,MATCH($B61,'DB New Orders'!$A$1:$S$1,0),0)</f>
        <v/>
      </c>
      <c r="N61" s="22">
        <f>VLOOKUP(N$48,'DB New Orders'!$A:$S,MATCH($B61,'DB New Orders'!$A$1:$S$1,0),0)</f>
        <v/>
      </c>
      <c r="O61" s="22">
        <f>VLOOKUP(O$48,'DB New Orders'!$A:$S,MATCH($B61,'DB New Orders'!$A$1:$S$1,0),0)</f>
        <v/>
      </c>
      <c r="P61" s="22">
        <f>VLOOKUP(P$48,'DB New Orders'!$A:$S,MATCH($B61,'DB New Orders'!$A$1:$S$1,0),0)</f>
        <v/>
      </c>
      <c r="Q61" s="22">
        <f>VLOOKUP(Q$48,'DB New Orders'!$A:$S,MATCH($B61,'DB New Orders'!$A$1:$S$1,0),0)</f>
        <v/>
      </c>
      <c r="R61" s="22">
        <f>VLOOKUP(R$48,'DB New Orders'!$A:$S,MATCH($B61,'DB New Orders'!$A$1:$S$1,0),0)</f>
        <v/>
      </c>
      <c r="S61" s="22">
        <f>VLOOKUP(S$48,'DB New Orders'!$A:$S,MATCH($B61,'DB New Orders'!$A$1:$S$1,0),0)</f>
        <v/>
      </c>
      <c r="T61" s="22">
        <f>VLOOKUP(T$48,'DB New Orders'!$A:$S,MATCH($B61,'DB New Orders'!$A$1:$S$1,0),0)</f>
        <v/>
      </c>
      <c r="U61" s="22">
        <f>VLOOKUP(U$48,'DB New Orders'!$A:$S,MATCH($B61,'DB New Orders'!$A$1:$S$1,0),0)</f>
        <v/>
      </c>
      <c r="V61" s="22">
        <f>VLOOKUP(V$48,'DB New Orders'!$A:$S,MATCH($B61,'DB New Orders'!$A$1:$S$1,0),0)</f>
        <v/>
      </c>
      <c r="W61" s="22">
        <f>VLOOKUP(W$48,'DB New Orders'!$A:$S,MATCH($B61,'DB New Orders'!$A$1:$S$1,0),0)</f>
        <v/>
      </c>
      <c r="X61" s="22">
        <f>VLOOKUP(X$48,'DB New Orders'!$A:$S,MATCH($B61,'DB New Orders'!$A$1:$S$1,0),0)</f>
        <v/>
      </c>
      <c r="Y61" s="22">
        <f>VLOOKUP(Y$48,'DB New Orders'!$A:$S,MATCH($B61,'DB New Orders'!$A$1:$S$1,0),0)</f>
        <v/>
      </c>
      <c r="Z61" s="22">
        <f>VLOOKUP(Z$48,'DB New Orders'!$A:$S,MATCH($B61,'DB New Orders'!$A$1:$S$1,0),0)</f>
        <v/>
      </c>
      <c r="AA61" s="22">
        <f>VLOOKUP(AA$48,'DB New Orders'!$A:$S,MATCH($B61,'DB New Orders'!$A$1:$S$1,0),0)</f>
        <v/>
      </c>
      <c r="AB61" s="22">
        <f>VLOOKUP(AB$48,'DB New Orders'!$A:$S,MATCH($B61,'DB New Orders'!$A$1:$S$1,0),0)</f>
        <v/>
      </c>
      <c r="AC61" s="22">
        <f>VLOOKUP(AC$48,'DB New Orders'!$A:$S,MATCH($B61,'DB New Orders'!$A$1:$S$1,0),0)</f>
        <v/>
      </c>
      <c r="AD61" s="22">
        <f>VLOOKUP(AD$48,'DB New Orders'!$A:$S,MATCH($B61,'DB New Orders'!$A$1:$S$1,0),0)</f>
        <v/>
      </c>
      <c r="AE61" s="22">
        <f>VLOOKUP(AE$48,'DB New Orders'!$A:$S,MATCH($B61,'DB New Orders'!$A$1:$S$1,0),0)</f>
        <v/>
      </c>
      <c r="AF61" s="22">
        <f>VLOOKUP(AF$48,'DB New Orders'!$A:$S,MATCH($B61,'DB New Orders'!$A$1:$S$1,0),0)</f>
        <v/>
      </c>
      <c r="AH61" s="22">
        <f>AF61-AE61</f>
        <v/>
      </c>
      <c r="AI61" s="34">
        <f>AVERAGE(AD61:AF61)</f>
        <v/>
      </c>
      <c r="AJ61" s="34">
        <f>AVERAGE(AA61:AF61)</f>
        <v/>
      </c>
    </row>
    <row r="62">
      <c r="B62" s="3" t="inlineStr">
        <is>
          <t>Professional, Scientific &amp; Technical Services</t>
        </is>
      </c>
      <c r="C62" s="22">
        <f>VLOOKUP(C$48,'DB New Orders'!$A:$S,MATCH($B62,'DB New Orders'!$A$1:$S$1,0),0)</f>
        <v/>
      </c>
      <c r="D62" s="22">
        <f>VLOOKUP(D$48,'DB New Orders'!$A:$S,MATCH($B62,'DB New Orders'!$A$1:$S$1,0),0)</f>
        <v/>
      </c>
      <c r="E62" s="22">
        <f>VLOOKUP(E$48,'DB New Orders'!$A:$S,MATCH($B62,'DB New Orders'!$A$1:$S$1,0),0)</f>
        <v/>
      </c>
      <c r="F62" s="22">
        <f>VLOOKUP(F$48,'DB New Orders'!$A:$S,MATCH($B62,'DB New Orders'!$A$1:$S$1,0),0)</f>
        <v/>
      </c>
      <c r="G62" s="22">
        <f>VLOOKUP(G$48,'DB New Orders'!$A:$S,MATCH($B62,'DB New Orders'!$A$1:$S$1,0),0)</f>
        <v/>
      </c>
      <c r="H62" s="22">
        <f>VLOOKUP(H$48,'DB New Orders'!$A:$S,MATCH($B62,'DB New Orders'!$A$1:$S$1,0),0)</f>
        <v/>
      </c>
      <c r="I62" s="22">
        <f>VLOOKUP(I$48,'DB New Orders'!$A:$S,MATCH($B62,'DB New Orders'!$A$1:$S$1,0),0)</f>
        <v/>
      </c>
      <c r="J62" s="22">
        <f>VLOOKUP(J$48,'DB New Orders'!$A:$S,MATCH($B62,'DB New Orders'!$A$1:$S$1,0),0)</f>
        <v/>
      </c>
      <c r="K62" s="22">
        <f>VLOOKUP(K$48,'DB New Orders'!$A:$S,MATCH($B62,'DB New Orders'!$A$1:$S$1,0),0)</f>
        <v/>
      </c>
      <c r="L62" s="22">
        <f>VLOOKUP(L$48,'DB New Orders'!$A:$S,MATCH($B62,'DB New Orders'!$A$1:$S$1,0),0)</f>
        <v/>
      </c>
      <c r="M62" s="22">
        <f>VLOOKUP(M$48,'DB New Orders'!$A:$S,MATCH($B62,'DB New Orders'!$A$1:$S$1,0),0)</f>
        <v/>
      </c>
      <c r="N62" s="22">
        <f>VLOOKUP(N$48,'DB New Orders'!$A:$S,MATCH($B62,'DB New Orders'!$A$1:$S$1,0),0)</f>
        <v/>
      </c>
      <c r="O62" s="22">
        <f>VLOOKUP(O$48,'DB New Orders'!$A:$S,MATCH($B62,'DB New Orders'!$A$1:$S$1,0),0)</f>
        <v/>
      </c>
      <c r="P62" s="22">
        <f>VLOOKUP(P$48,'DB New Orders'!$A:$S,MATCH($B62,'DB New Orders'!$A$1:$S$1,0),0)</f>
        <v/>
      </c>
      <c r="Q62" s="22">
        <f>VLOOKUP(Q$48,'DB New Orders'!$A:$S,MATCH($B62,'DB New Orders'!$A$1:$S$1,0),0)</f>
        <v/>
      </c>
      <c r="R62" s="22">
        <f>VLOOKUP(R$48,'DB New Orders'!$A:$S,MATCH($B62,'DB New Orders'!$A$1:$S$1,0),0)</f>
        <v/>
      </c>
      <c r="S62" s="22">
        <f>VLOOKUP(S$48,'DB New Orders'!$A:$S,MATCH($B62,'DB New Orders'!$A$1:$S$1,0),0)</f>
        <v/>
      </c>
      <c r="T62" s="22">
        <f>VLOOKUP(T$48,'DB New Orders'!$A:$S,MATCH($B62,'DB New Orders'!$A$1:$S$1,0),0)</f>
        <v/>
      </c>
      <c r="U62" s="22">
        <f>VLOOKUP(U$48,'DB New Orders'!$A:$S,MATCH($B62,'DB New Orders'!$A$1:$S$1,0),0)</f>
        <v/>
      </c>
      <c r="V62" s="22">
        <f>VLOOKUP(V$48,'DB New Orders'!$A:$S,MATCH($B62,'DB New Orders'!$A$1:$S$1,0),0)</f>
        <v/>
      </c>
      <c r="W62" s="22">
        <f>VLOOKUP(W$48,'DB New Orders'!$A:$S,MATCH($B62,'DB New Orders'!$A$1:$S$1,0),0)</f>
        <v/>
      </c>
      <c r="X62" s="22">
        <f>VLOOKUP(X$48,'DB New Orders'!$A:$S,MATCH($B62,'DB New Orders'!$A$1:$S$1,0),0)</f>
        <v/>
      </c>
      <c r="Y62" s="22">
        <f>VLOOKUP(Y$48,'DB New Orders'!$A:$S,MATCH($B62,'DB New Orders'!$A$1:$S$1,0),0)</f>
        <v/>
      </c>
      <c r="Z62" s="22">
        <f>VLOOKUP(Z$48,'DB New Orders'!$A:$S,MATCH($B62,'DB New Orders'!$A$1:$S$1,0),0)</f>
        <v/>
      </c>
      <c r="AA62" s="22">
        <f>VLOOKUP(AA$48,'DB New Orders'!$A:$S,MATCH($B62,'DB New Orders'!$A$1:$S$1,0),0)</f>
        <v/>
      </c>
      <c r="AB62" s="22">
        <f>VLOOKUP(AB$48,'DB New Orders'!$A:$S,MATCH($B62,'DB New Orders'!$A$1:$S$1,0),0)</f>
        <v/>
      </c>
      <c r="AC62" s="22">
        <f>VLOOKUP(AC$48,'DB New Orders'!$A:$S,MATCH($B62,'DB New Orders'!$A$1:$S$1,0),0)</f>
        <v/>
      </c>
      <c r="AD62" s="22">
        <f>VLOOKUP(AD$48,'DB New Orders'!$A:$S,MATCH($B62,'DB New Orders'!$A$1:$S$1,0),0)</f>
        <v/>
      </c>
      <c r="AE62" s="22">
        <f>VLOOKUP(AE$48,'DB New Orders'!$A:$S,MATCH($B62,'DB New Orders'!$A$1:$S$1,0),0)</f>
        <v/>
      </c>
      <c r="AF62" s="22">
        <f>VLOOKUP(AF$48,'DB New Orders'!$A:$S,MATCH($B62,'DB New Orders'!$A$1:$S$1,0),0)</f>
        <v/>
      </c>
      <c r="AH62" s="22">
        <f>AF62-AE62</f>
        <v/>
      </c>
      <c r="AI62" s="34">
        <f>AVERAGE(AD62:AF62)</f>
        <v/>
      </c>
      <c r="AJ62" s="34">
        <f>AVERAGE(AA62:AF62)</f>
        <v/>
      </c>
    </row>
    <row r="63">
      <c r="B63" s="3" t="inlineStr">
        <is>
          <t>Wholesale Trade</t>
        </is>
      </c>
      <c r="C63" s="22">
        <f>VLOOKUP(C$48,'DB New Orders'!$A:$S,MATCH($B63,'DB New Orders'!$A$1:$S$1,0),0)</f>
        <v/>
      </c>
      <c r="D63" s="22">
        <f>VLOOKUP(D$48,'DB New Orders'!$A:$S,MATCH($B63,'DB New Orders'!$A$1:$S$1,0),0)</f>
        <v/>
      </c>
      <c r="E63" s="22">
        <f>VLOOKUP(E$48,'DB New Orders'!$A:$S,MATCH($B63,'DB New Orders'!$A$1:$S$1,0),0)</f>
        <v/>
      </c>
      <c r="F63" s="22">
        <f>VLOOKUP(F$48,'DB New Orders'!$A:$S,MATCH($B63,'DB New Orders'!$A$1:$S$1,0),0)</f>
        <v/>
      </c>
      <c r="G63" s="22">
        <f>VLOOKUP(G$48,'DB New Orders'!$A:$S,MATCH($B63,'DB New Orders'!$A$1:$S$1,0),0)</f>
        <v/>
      </c>
      <c r="H63" s="22">
        <f>VLOOKUP(H$48,'DB New Orders'!$A:$S,MATCH($B63,'DB New Orders'!$A$1:$S$1,0),0)</f>
        <v/>
      </c>
      <c r="I63" s="22">
        <f>VLOOKUP(I$48,'DB New Orders'!$A:$S,MATCH($B63,'DB New Orders'!$A$1:$S$1,0),0)</f>
        <v/>
      </c>
      <c r="J63" s="22">
        <f>VLOOKUP(J$48,'DB New Orders'!$A:$S,MATCH($B63,'DB New Orders'!$A$1:$S$1,0),0)</f>
        <v/>
      </c>
      <c r="K63" s="22">
        <f>VLOOKUP(K$48,'DB New Orders'!$A:$S,MATCH($B63,'DB New Orders'!$A$1:$S$1,0),0)</f>
        <v/>
      </c>
      <c r="L63" s="22">
        <f>VLOOKUP(L$48,'DB New Orders'!$A:$S,MATCH($B63,'DB New Orders'!$A$1:$S$1,0),0)</f>
        <v/>
      </c>
      <c r="M63" s="22">
        <f>VLOOKUP(M$48,'DB New Orders'!$A:$S,MATCH($B63,'DB New Orders'!$A$1:$S$1,0),0)</f>
        <v/>
      </c>
      <c r="N63" s="22">
        <f>VLOOKUP(N$48,'DB New Orders'!$A:$S,MATCH($B63,'DB New Orders'!$A$1:$S$1,0),0)</f>
        <v/>
      </c>
      <c r="O63" s="22">
        <f>VLOOKUP(O$48,'DB New Orders'!$A:$S,MATCH($B63,'DB New Orders'!$A$1:$S$1,0),0)</f>
        <v/>
      </c>
      <c r="P63" s="22">
        <f>VLOOKUP(P$48,'DB New Orders'!$A:$S,MATCH($B63,'DB New Orders'!$A$1:$S$1,0),0)</f>
        <v/>
      </c>
      <c r="Q63" s="22">
        <f>VLOOKUP(Q$48,'DB New Orders'!$A:$S,MATCH($B63,'DB New Orders'!$A$1:$S$1,0),0)</f>
        <v/>
      </c>
      <c r="R63" s="22">
        <f>VLOOKUP(R$48,'DB New Orders'!$A:$S,MATCH($B63,'DB New Orders'!$A$1:$S$1,0),0)</f>
        <v/>
      </c>
      <c r="S63" s="22">
        <f>VLOOKUP(S$48,'DB New Orders'!$A:$S,MATCH($B63,'DB New Orders'!$A$1:$S$1,0),0)</f>
        <v/>
      </c>
      <c r="T63" s="22">
        <f>VLOOKUP(T$48,'DB New Orders'!$A:$S,MATCH($B63,'DB New Orders'!$A$1:$S$1,0),0)</f>
        <v/>
      </c>
      <c r="U63" s="22">
        <f>VLOOKUP(U$48,'DB New Orders'!$A:$S,MATCH($B63,'DB New Orders'!$A$1:$S$1,0),0)</f>
        <v/>
      </c>
      <c r="V63" s="22">
        <f>VLOOKUP(V$48,'DB New Orders'!$A:$S,MATCH($B63,'DB New Orders'!$A$1:$S$1,0),0)</f>
        <v/>
      </c>
      <c r="W63" s="22">
        <f>VLOOKUP(W$48,'DB New Orders'!$A:$S,MATCH($B63,'DB New Orders'!$A$1:$S$1,0),0)</f>
        <v/>
      </c>
      <c r="X63" s="22">
        <f>VLOOKUP(X$48,'DB New Orders'!$A:$S,MATCH($B63,'DB New Orders'!$A$1:$S$1,0),0)</f>
        <v/>
      </c>
      <c r="Y63" s="22">
        <f>VLOOKUP(Y$48,'DB New Orders'!$A:$S,MATCH($B63,'DB New Orders'!$A$1:$S$1,0),0)</f>
        <v/>
      </c>
      <c r="Z63" s="22">
        <f>VLOOKUP(Z$48,'DB New Orders'!$A:$S,MATCH($B63,'DB New Orders'!$A$1:$S$1,0),0)</f>
        <v/>
      </c>
      <c r="AA63" s="22">
        <f>VLOOKUP(AA$48,'DB New Orders'!$A:$S,MATCH($B63,'DB New Orders'!$A$1:$S$1,0),0)</f>
        <v/>
      </c>
      <c r="AB63" s="22">
        <f>VLOOKUP(AB$48,'DB New Orders'!$A:$S,MATCH($B63,'DB New Orders'!$A$1:$S$1,0),0)</f>
        <v/>
      </c>
      <c r="AC63" s="22">
        <f>VLOOKUP(AC$48,'DB New Orders'!$A:$S,MATCH($B63,'DB New Orders'!$A$1:$S$1,0),0)</f>
        <v/>
      </c>
      <c r="AD63" s="22">
        <f>VLOOKUP(AD$48,'DB New Orders'!$A:$S,MATCH($B63,'DB New Orders'!$A$1:$S$1,0),0)</f>
        <v/>
      </c>
      <c r="AE63" s="22">
        <f>VLOOKUP(AE$48,'DB New Orders'!$A:$S,MATCH($B63,'DB New Orders'!$A$1:$S$1,0),0)</f>
        <v/>
      </c>
      <c r="AF63" s="22">
        <f>VLOOKUP(AF$48,'DB New Orders'!$A:$S,MATCH($B63,'DB New Orders'!$A$1:$S$1,0),0)</f>
        <v/>
      </c>
      <c r="AH63" s="22">
        <f>AF63-AE63</f>
        <v/>
      </c>
      <c r="AI63" s="34">
        <f>AVERAGE(AD63:AF63)</f>
        <v/>
      </c>
      <c r="AJ63" s="34">
        <f>AVERAGE(AA63:AF63)</f>
        <v/>
      </c>
    </row>
    <row r="64">
      <c r="B64" s="3" t="inlineStr">
        <is>
          <t>Public Administration</t>
        </is>
      </c>
      <c r="C64" s="22">
        <f>VLOOKUP(C$48,'DB New Orders'!$A:$S,MATCH($B64,'DB New Orders'!$A$1:$S$1,0),0)</f>
        <v/>
      </c>
      <c r="D64" s="22">
        <f>VLOOKUP(D$48,'DB New Orders'!$A:$S,MATCH($B64,'DB New Orders'!$A$1:$S$1,0),0)</f>
        <v/>
      </c>
      <c r="E64" s="22">
        <f>VLOOKUP(E$48,'DB New Orders'!$A:$S,MATCH($B64,'DB New Orders'!$A$1:$S$1,0),0)</f>
        <v/>
      </c>
      <c r="F64" s="22">
        <f>VLOOKUP(F$48,'DB New Orders'!$A:$S,MATCH($B64,'DB New Orders'!$A$1:$S$1,0),0)</f>
        <v/>
      </c>
      <c r="G64" s="22">
        <f>VLOOKUP(G$48,'DB New Orders'!$A:$S,MATCH($B64,'DB New Orders'!$A$1:$S$1,0),0)</f>
        <v/>
      </c>
      <c r="H64" s="22">
        <f>VLOOKUP(H$48,'DB New Orders'!$A:$S,MATCH($B64,'DB New Orders'!$A$1:$S$1,0),0)</f>
        <v/>
      </c>
      <c r="I64" s="22">
        <f>VLOOKUP(I$48,'DB New Orders'!$A:$S,MATCH($B64,'DB New Orders'!$A$1:$S$1,0),0)</f>
        <v/>
      </c>
      <c r="J64" s="22">
        <f>VLOOKUP(J$48,'DB New Orders'!$A:$S,MATCH($B64,'DB New Orders'!$A$1:$S$1,0),0)</f>
        <v/>
      </c>
      <c r="K64" s="22">
        <f>VLOOKUP(K$48,'DB New Orders'!$A:$S,MATCH($B64,'DB New Orders'!$A$1:$S$1,0),0)</f>
        <v/>
      </c>
      <c r="L64" s="22">
        <f>VLOOKUP(L$48,'DB New Orders'!$A:$S,MATCH($B64,'DB New Orders'!$A$1:$S$1,0),0)</f>
        <v/>
      </c>
      <c r="M64" s="22">
        <f>VLOOKUP(M$48,'DB New Orders'!$A:$S,MATCH($B64,'DB New Orders'!$A$1:$S$1,0),0)</f>
        <v/>
      </c>
      <c r="N64" s="22">
        <f>VLOOKUP(N$48,'DB New Orders'!$A:$S,MATCH($B64,'DB New Orders'!$A$1:$S$1,0),0)</f>
        <v/>
      </c>
      <c r="O64" s="22">
        <f>VLOOKUP(O$48,'DB New Orders'!$A:$S,MATCH($B64,'DB New Orders'!$A$1:$S$1,0),0)</f>
        <v/>
      </c>
      <c r="P64" s="22">
        <f>VLOOKUP(P$48,'DB New Orders'!$A:$S,MATCH($B64,'DB New Orders'!$A$1:$S$1,0),0)</f>
        <v/>
      </c>
      <c r="Q64" s="22">
        <f>VLOOKUP(Q$48,'DB New Orders'!$A:$S,MATCH($B64,'DB New Orders'!$A$1:$S$1,0),0)</f>
        <v/>
      </c>
      <c r="R64" s="22">
        <f>VLOOKUP(R$48,'DB New Orders'!$A:$S,MATCH($B64,'DB New Orders'!$A$1:$S$1,0),0)</f>
        <v/>
      </c>
      <c r="S64" s="22">
        <f>VLOOKUP(S$48,'DB New Orders'!$A:$S,MATCH($B64,'DB New Orders'!$A$1:$S$1,0),0)</f>
        <v/>
      </c>
      <c r="T64" s="22">
        <f>VLOOKUP(T$48,'DB New Orders'!$A:$S,MATCH($B64,'DB New Orders'!$A$1:$S$1,0),0)</f>
        <v/>
      </c>
      <c r="U64" s="22">
        <f>VLOOKUP(U$48,'DB New Orders'!$A:$S,MATCH($B64,'DB New Orders'!$A$1:$S$1,0),0)</f>
        <v/>
      </c>
      <c r="V64" s="22">
        <f>VLOOKUP(V$48,'DB New Orders'!$A:$S,MATCH($B64,'DB New Orders'!$A$1:$S$1,0),0)</f>
        <v/>
      </c>
      <c r="W64" s="22">
        <f>VLOOKUP(W$48,'DB New Orders'!$A:$S,MATCH($B64,'DB New Orders'!$A$1:$S$1,0),0)</f>
        <v/>
      </c>
      <c r="X64" s="22">
        <f>VLOOKUP(X$48,'DB New Orders'!$A:$S,MATCH($B64,'DB New Orders'!$A$1:$S$1,0),0)</f>
        <v/>
      </c>
      <c r="Y64" s="22">
        <f>VLOOKUP(Y$48,'DB New Orders'!$A:$S,MATCH($B64,'DB New Orders'!$A$1:$S$1,0),0)</f>
        <v/>
      </c>
      <c r="Z64" s="22">
        <f>VLOOKUP(Z$48,'DB New Orders'!$A:$S,MATCH($B64,'DB New Orders'!$A$1:$S$1,0),0)</f>
        <v/>
      </c>
      <c r="AA64" s="22">
        <f>VLOOKUP(AA$48,'DB New Orders'!$A:$S,MATCH($B64,'DB New Orders'!$A$1:$S$1,0),0)</f>
        <v/>
      </c>
      <c r="AB64" s="22">
        <f>VLOOKUP(AB$48,'DB New Orders'!$A:$S,MATCH($B64,'DB New Orders'!$A$1:$S$1,0),0)</f>
        <v/>
      </c>
      <c r="AC64" s="22">
        <f>VLOOKUP(AC$48,'DB New Orders'!$A:$S,MATCH($B64,'DB New Orders'!$A$1:$S$1,0),0)</f>
        <v/>
      </c>
      <c r="AD64" s="22">
        <f>VLOOKUP(AD$48,'DB New Orders'!$A:$S,MATCH($B64,'DB New Orders'!$A$1:$S$1,0),0)</f>
        <v/>
      </c>
      <c r="AE64" s="22">
        <f>VLOOKUP(AE$48,'DB New Orders'!$A:$S,MATCH($B64,'DB New Orders'!$A$1:$S$1,0),0)</f>
        <v/>
      </c>
      <c r="AF64" s="22">
        <f>VLOOKUP(AF$48,'DB New Orders'!$A:$S,MATCH($B64,'DB New Orders'!$A$1:$S$1,0),0)</f>
        <v/>
      </c>
      <c r="AH64" s="22">
        <f>AF64-AE64</f>
        <v/>
      </c>
      <c r="AI64" s="34">
        <f>AVERAGE(AD64:AF64)</f>
        <v/>
      </c>
      <c r="AJ64" s="34">
        <f>AVERAGE(AA64:AF64)</f>
        <v/>
      </c>
    </row>
    <row r="65">
      <c r="B65" s="3" t="inlineStr">
        <is>
          <t>Information</t>
        </is>
      </c>
      <c r="C65" s="22">
        <f>VLOOKUP(C$48,'DB New Orders'!$A:$S,MATCH($B65,'DB New Orders'!$A$1:$S$1,0),0)</f>
        <v/>
      </c>
      <c r="D65" s="22">
        <f>VLOOKUP(D$48,'DB New Orders'!$A:$S,MATCH($B65,'DB New Orders'!$A$1:$S$1,0),0)</f>
        <v/>
      </c>
      <c r="E65" s="22">
        <f>VLOOKUP(E$48,'DB New Orders'!$A:$S,MATCH($B65,'DB New Orders'!$A$1:$S$1,0),0)</f>
        <v/>
      </c>
      <c r="F65" s="22">
        <f>VLOOKUP(F$48,'DB New Orders'!$A:$S,MATCH($B65,'DB New Orders'!$A$1:$S$1,0),0)</f>
        <v/>
      </c>
      <c r="G65" s="22">
        <f>VLOOKUP(G$48,'DB New Orders'!$A:$S,MATCH($B65,'DB New Orders'!$A$1:$S$1,0),0)</f>
        <v/>
      </c>
      <c r="H65" s="22">
        <f>VLOOKUP(H$48,'DB New Orders'!$A:$S,MATCH($B65,'DB New Orders'!$A$1:$S$1,0),0)</f>
        <v/>
      </c>
      <c r="I65" s="22">
        <f>VLOOKUP(I$48,'DB New Orders'!$A:$S,MATCH($B65,'DB New Orders'!$A$1:$S$1,0),0)</f>
        <v/>
      </c>
      <c r="J65" s="22">
        <f>VLOOKUP(J$48,'DB New Orders'!$A:$S,MATCH($B65,'DB New Orders'!$A$1:$S$1,0),0)</f>
        <v/>
      </c>
      <c r="K65" s="22">
        <f>VLOOKUP(K$48,'DB New Orders'!$A:$S,MATCH($B65,'DB New Orders'!$A$1:$S$1,0),0)</f>
        <v/>
      </c>
      <c r="L65" s="22">
        <f>VLOOKUP(L$48,'DB New Orders'!$A:$S,MATCH($B65,'DB New Orders'!$A$1:$S$1,0),0)</f>
        <v/>
      </c>
      <c r="M65" s="22">
        <f>VLOOKUP(M$48,'DB New Orders'!$A:$S,MATCH($B65,'DB New Orders'!$A$1:$S$1,0),0)</f>
        <v/>
      </c>
      <c r="N65" s="22">
        <f>VLOOKUP(N$48,'DB New Orders'!$A:$S,MATCH($B65,'DB New Orders'!$A$1:$S$1,0),0)</f>
        <v/>
      </c>
      <c r="O65" s="22">
        <f>VLOOKUP(O$48,'DB New Orders'!$A:$S,MATCH($B65,'DB New Orders'!$A$1:$S$1,0),0)</f>
        <v/>
      </c>
      <c r="P65" s="22">
        <f>VLOOKUP(P$48,'DB New Orders'!$A:$S,MATCH($B65,'DB New Orders'!$A$1:$S$1,0),0)</f>
        <v/>
      </c>
      <c r="Q65" s="22">
        <f>VLOOKUP(Q$48,'DB New Orders'!$A:$S,MATCH($B65,'DB New Orders'!$A$1:$S$1,0),0)</f>
        <v/>
      </c>
      <c r="R65" s="22">
        <f>VLOOKUP(R$48,'DB New Orders'!$A:$S,MATCH($B65,'DB New Orders'!$A$1:$S$1,0),0)</f>
        <v/>
      </c>
      <c r="S65" s="22">
        <f>VLOOKUP(S$48,'DB New Orders'!$A:$S,MATCH($B65,'DB New Orders'!$A$1:$S$1,0),0)</f>
        <v/>
      </c>
      <c r="T65" s="22">
        <f>VLOOKUP(T$48,'DB New Orders'!$A:$S,MATCH($B65,'DB New Orders'!$A$1:$S$1,0),0)</f>
        <v/>
      </c>
      <c r="U65" s="22">
        <f>VLOOKUP(U$48,'DB New Orders'!$A:$S,MATCH($B65,'DB New Orders'!$A$1:$S$1,0),0)</f>
        <v/>
      </c>
      <c r="V65" s="22">
        <f>VLOOKUP(V$48,'DB New Orders'!$A:$S,MATCH($B65,'DB New Orders'!$A$1:$S$1,0),0)</f>
        <v/>
      </c>
      <c r="W65" s="22">
        <f>VLOOKUP(W$48,'DB New Orders'!$A:$S,MATCH($B65,'DB New Orders'!$A$1:$S$1,0),0)</f>
        <v/>
      </c>
      <c r="X65" s="22">
        <f>VLOOKUP(X$48,'DB New Orders'!$A:$S,MATCH($B65,'DB New Orders'!$A$1:$S$1,0),0)</f>
        <v/>
      </c>
      <c r="Y65" s="22">
        <f>VLOOKUP(Y$48,'DB New Orders'!$A:$S,MATCH($B65,'DB New Orders'!$A$1:$S$1,0),0)</f>
        <v/>
      </c>
      <c r="Z65" s="22">
        <f>VLOOKUP(Z$48,'DB New Orders'!$A:$S,MATCH($B65,'DB New Orders'!$A$1:$S$1,0),0)</f>
        <v/>
      </c>
      <c r="AA65" s="22">
        <f>VLOOKUP(AA$48,'DB New Orders'!$A:$S,MATCH($B65,'DB New Orders'!$A$1:$S$1,0),0)</f>
        <v/>
      </c>
      <c r="AB65" s="22">
        <f>VLOOKUP(AB$48,'DB New Orders'!$A:$S,MATCH($B65,'DB New Orders'!$A$1:$S$1,0),0)</f>
        <v/>
      </c>
      <c r="AC65" s="22">
        <f>VLOOKUP(AC$48,'DB New Orders'!$A:$S,MATCH($B65,'DB New Orders'!$A$1:$S$1,0),0)</f>
        <v/>
      </c>
      <c r="AD65" s="22">
        <f>VLOOKUP(AD$48,'DB New Orders'!$A:$S,MATCH($B65,'DB New Orders'!$A$1:$S$1,0),0)</f>
        <v/>
      </c>
      <c r="AE65" s="22">
        <f>VLOOKUP(AE$48,'DB New Orders'!$A:$S,MATCH($B65,'DB New Orders'!$A$1:$S$1,0),0)</f>
        <v/>
      </c>
      <c r="AF65" s="22">
        <f>VLOOKUP(AF$48,'DB New Orders'!$A:$S,MATCH($B65,'DB New Orders'!$A$1:$S$1,0),0)</f>
        <v/>
      </c>
      <c r="AH65" s="22">
        <f>AF65-AE65</f>
        <v/>
      </c>
      <c r="AI65" s="34">
        <f>AVERAGE(AD65:AF65)</f>
        <v/>
      </c>
      <c r="AJ65" s="34">
        <f>AVERAGE(AA65:AF65)</f>
        <v/>
      </c>
    </row>
    <row r="66">
      <c r="B66" s="3" t="inlineStr">
        <is>
          <t>Management of Companies &amp; Support Services</t>
        </is>
      </c>
      <c r="C66" s="22">
        <f>VLOOKUP(C$48,'DB New Orders'!$A:$S,MATCH($B66,'DB New Orders'!$A$1:$S$1,0),0)</f>
        <v/>
      </c>
      <c r="D66" s="22">
        <f>VLOOKUP(D$48,'DB New Orders'!$A:$S,MATCH($B66,'DB New Orders'!$A$1:$S$1,0),0)</f>
        <v/>
      </c>
      <c r="E66" s="22">
        <f>VLOOKUP(E$48,'DB New Orders'!$A:$S,MATCH($B66,'DB New Orders'!$A$1:$S$1,0),0)</f>
        <v/>
      </c>
      <c r="F66" s="22">
        <f>VLOOKUP(F$48,'DB New Orders'!$A:$S,MATCH($B66,'DB New Orders'!$A$1:$S$1,0),0)</f>
        <v/>
      </c>
      <c r="G66" s="22">
        <f>VLOOKUP(G$48,'DB New Orders'!$A:$S,MATCH($B66,'DB New Orders'!$A$1:$S$1,0),0)</f>
        <v/>
      </c>
      <c r="H66" s="22">
        <f>VLOOKUP(H$48,'DB New Orders'!$A:$S,MATCH($B66,'DB New Orders'!$A$1:$S$1,0),0)</f>
        <v/>
      </c>
      <c r="I66" s="22">
        <f>VLOOKUP(I$48,'DB New Orders'!$A:$S,MATCH($B66,'DB New Orders'!$A$1:$S$1,0),0)</f>
        <v/>
      </c>
      <c r="J66" s="22">
        <f>VLOOKUP(J$48,'DB New Orders'!$A:$S,MATCH($B66,'DB New Orders'!$A$1:$S$1,0),0)</f>
        <v/>
      </c>
      <c r="K66" s="22">
        <f>VLOOKUP(K$48,'DB New Orders'!$A:$S,MATCH($B66,'DB New Orders'!$A$1:$S$1,0),0)</f>
        <v/>
      </c>
      <c r="L66" s="22">
        <f>VLOOKUP(L$48,'DB New Orders'!$A:$S,MATCH($B66,'DB New Orders'!$A$1:$S$1,0),0)</f>
        <v/>
      </c>
      <c r="M66" s="22">
        <f>VLOOKUP(M$48,'DB New Orders'!$A:$S,MATCH($B66,'DB New Orders'!$A$1:$S$1,0),0)</f>
        <v/>
      </c>
      <c r="N66" s="22">
        <f>VLOOKUP(N$48,'DB New Orders'!$A:$S,MATCH($B66,'DB New Orders'!$A$1:$S$1,0),0)</f>
        <v/>
      </c>
      <c r="O66" s="22">
        <f>VLOOKUP(O$48,'DB New Orders'!$A:$S,MATCH($B66,'DB New Orders'!$A$1:$S$1,0),0)</f>
        <v/>
      </c>
      <c r="P66" s="22">
        <f>VLOOKUP(P$48,'DB New Orders'!$A:$S,MATCH($B66,'DB New Orders'!$A$1:$S$1,0),0)</f>
        <v/>
      </c>
      <c r="Q66" s="22">
        <f>VLOOKUP(Q$48,'DB New Orders'!$A:$S,MATCH($B66,'DB New Orders'!$A$1:$S$1,0),0)</f>
        <v/>
      </c>
      <c r="R66" s="22">
        <f>VLOOKUP(R$48,'DB New Orders'!$A:$S,MATCH($B66,'DB New Orders'!$A$1:$S$1,0),0)</f>
        <v/>
      </c>
      <c r="S66" s="22">
        <f>VLOOKUP(S$48,'DB New Orders'!$A:$S,MATCH($B66,'DB New Orders'!$A$1:$S$1,0),0)</f>
        <v/>
      </c>
      <c r="T66" s="22">
        <f>VLOOKUP(T$48,'DB New Orders'!$A:$S,MATCH($B66,'DB New Orders'!$A$1:$S$1,0),0)</f>
        <v/>
      </c>
      <c r="U66" s="22">
        <f>VLOOKUP(U$48,'DB New Orders'!$A:$S,MATCH($B66,'DB New Orders'!$A$1:$S$1,0),0)</f>
        <v/>
      </c>
      <c r="V66" s="22">
        <f>VLOOKUP(V$48,'DB New Orders'!$A:$S,MATCH($B66,'DB New Orders'!$A$1:$S$1,0),0)</f>
        <v/>
      </c>
      <c r="W66" s="22">
        <f>VLOOKUP(W$48,'DB New Orders'!$A:$S,MATCH($B66,'DB New Orders'!$A$1:$S$1,0),0)</f>
        <v/>
      </c>
      <c r="X66" s="22">
        <f>VLOOKUP(X$48,'DB New Orders'!$A:$S,MATCH($B66,'DB New Orders'!$A$1:$S$1,0),0)</f>
        <v/>
      </c>
      <c r="Y66" s="22">
        <f>VLOOKUP(Y$48,'DB New Orders'!$A:$S,MATCH($B66,'DB New Orders'!$A$1:$S$1,0),0)</f>
        <v/>
      </c>
      <c r="Z66" s="22">
        <f>VLOOKUP(Z$48,'DB New Orders'!$A:$S,MATCH($B66,'DB New Orders'!$A$1:$S$1,0),0)</f>
        <v/>
      </c>
      <c r="AA66" s="22">
        <f>VLOOKUP(AA$48,'DB New Orders'!$A:$S,MATCH($B66,'DB New Orders'!$A$1:$S$1,0),0)</f>
        <v/>
      </c>
      <c r="AB66" s="22">
        <f>VLOOKUP(AB$48,'DB New Orders'!$A:$S,MATCH($B66,'DB New Orders'!$A$1:$S$1,0),0)</f>
        <v/>
      </c>
      <c r="AC66" s="22">
        <f>VLOOKUP(AC$48,'DB New Orders'!$A:$S,MATCH($B66,'DB New Orders'!$A$1:$S$1,0),0)</f>
        <v/>
      </c>
      <c r="AD66" s="22">
        <f>VLOOKUP(AD$48,'DB New Orders'!$A:$S,MATCH($B66,'DB New Orders'!$A$1:$S$1,0),0)</f>
        <v/>
      </c>
      <c r="AE66" s="22">
        <f>VLOOKUP(AE$48,'DB New Orders'!$A:$S,MATCH($B66,'DB New Orders'!$A$1:$S$1,0),0)</f>
        <v/>
      </c>
      <c r="AF66" s="22">
        <f>VLOOKUP(AF$48,'DB New Orders'!$A:$S,MATCH($B66,'DB New Orders'!$A$1:$S$1,0),0)</f>
        <v/>
      </c>
      <c r="AH66" s="22">
        <f>AF66-AE66</f>
        <v/>
      </c>
      <c r="AI66" s="34">
        <f>AVERAGE(AD66:AF66)</f>
        <v/>
      </c>
      <c r="AJ66" s="34">
        <f>AVERAGE(AA66:AF66)</f>
        <v/>
      </c>
    </row>
    <row r="67">
      <c r="B67" s="4" t="inlineStr">
        <is>
          <t>Educational Services</t>
        </is>
      </c>
      <c r="C67" s="22">
        <f>VLOOKUP(C$48,'DB New Orders'!$A:$S,MATCH($B67,'DB New Orders'!$A$1:$S$1,0),0)</f>
        <v/>
      </c>
      <c r="D67" s="22">
        <f>VLOOKUP(D$48,'DB New Orders'!$A:$S,MATCH($B67,'DB New Orders'!$A$1:$S$1,0),0)</f>
        <v/>
      </c>
      <c r="E67" s="22">
        <f>VLOOKUP(E$48,'DB New Orders'!$A:$S,MATCH($B67,'DB New Orders'!$A$1:$S$1,0),0)</f>
        <v/>
      </c>
      <c r="F67" s="22">
        <f>VLOOKUP(F$48,'DB New Orders'!$A:$S,MATCH($B67,'DB New Orders'!$A$1:$S$1,0),0)</f>
        <v/>
      </c>
      <c r="G67" s="22">
        <f>VLOOKUP(G$48,'DB New Orders'!$A:$S,MATCH($B67,'DB New Orders'!$A$1:$S$1,0),0)</f>
        <v/>
      </c>
      <c r="H67" s="22">
        <f>VLOOKUP(H$48,'DB New Orders'!$A:$S,MATCH($B67,'DB New Orders'!$A$1:$S$1,0),0)</f>
        <v/>
      </c>
      <c r="I67" s="22">
        <f>VLOOKUP(I$48,'DB New Orders'!$A:$S,MATCH($B67,'DB New Orders'!$A$1:$S$1,0),0)</f>
        <v/>
      </c>
      <c r="J67" s="22">
        <f>VLOOKUP(J$48,'DB New Orders'!$A:$S,MATCH($B67,'DB New Orders'!$A$1:$S$1,0),0)</f>
        <v/>
      </c>
      <c r="K67" s="22">
        <f>VLOOKUP(K$48,'DB New Orders'!$A:$S,MATCH($B67,'DB New Orders'!$A$1:$S$1,0),0)</f>
        <v/>
      </c>
      <c r="L67" s="22">
        <f>VLOOKUP(L$48,'DB New Orders'!$A:$S,MATCH($B67,'DB New Orders'!$A$1:$S$1,0),0)</f>
        <v/>
      </c>
      <c r="M67" s="22">
        <f>VLOOKUP(M$48,'DB New Orders'!$A:$S,MATCH($B67,'DB New Orders'!$A$1:$S$1,0),0)</f>
        <v/>
      </c>
      <c r="N67" s="22">
        <f>VLOOKUP(N$48,'DB New Orders'!$A:$S,MATCH($B67,'DB New Orders'!$A$1:$S$1,0),0)</f>
        <v/>
      </c>
      <c r="O67" s="22">
        <f>VLOOKUP(O$48,'DB New Orders'!$A:$S,MATCH($B67,'DB New Orders'!$A$1:$S$1,0),0)</f>
        <v/>
      </c>
      <c r="P67" s="22">
        <f>VLOOKUP(P$48,'DB New Orders'!$A:$S,MATCH($B67,'DB New Orders'!$A$1:$S$1,0),0)</f>
        <v/>
      </c>
      <c r="Q67" s="22">
        <f>VLOOKUP(Q$48,'DB New Orders'!$A:$S,MATCH($B67,'DB New Orders'!$A$1:$S$1,0),0)</f>
        <v/>
      </c>
      <c r="R67" s="22">
        <f>VLOOKUP(R$48,'DB New Orders'!$A:$S,MATCH($B67,'DB New Orders'!$A$1:$S$1,0),0)</f>
        <v/>
      </c>
      <c r="S67" s="22">
        <f>VLOOKUP(S$48,'DB New Orders'!$A:$S,MATCH($B67,'DB New Orders'!$A$1:$S$1,0),0)</f>
        <v/>
      </c>
      <c r="T67" s="22">
        <f>VLOOKUP(T$48,'DB New Orders'!$A:$S,MATCH($B67,'DB New Orders'!$A$1:$S$1,0),0)</f>
        <v/>
      </c>
      <c r="U67" s="22">
        <f>VLOOKUP(U$48,'DB New Orders'!$A:$S,MATCH($B67,'DB New Orders'!$A$1:$S$1,0),0)</f>
        <v/>
      </c>
      <c r="V67" s="22">
        <f>VLOOKUP(V$48,'DB New Orders'!$A:$S,MATCH($B67,'DB New Orders'!$A$1:$S$1,0),0)</f>
        <v/>
      </c>
      <c r="W67" s="22">
        <f>VLOOKUP(W$48,'DB New Orders'!$A:$S,MATCH($B67,'DB New Orders'!$A$1:$S$1,0),0)</f>
        <v/>
      </c>
      <c r="X67" s="22">
        <f>VLOOKUP(X$48,'DB New Orders'!$A:$S,MATCH($B67,'DB New Orders'!$A$1:$S$1,0),0)</f>
        <v/>
      </c>
      <c r="Y67" s="22">
        <f>VLOOKUP(Y$48,'DB New Orders'!$A:$S,MATCH($B67,'DB New Orders'!$A$1:$S$1,0),0)</f>
        <v/>
      </c>
      <c r="Z67" s="22">
        <f>VLOOKUP(Z$48,'DB New Orders'!$A:$S,MATCH($B67,'DB New Orders'!$A$1:$S$1,0),0)</f>
        <v/>
      </c>
      <c r="AA67" s="22">
        <f>VLOOKUP(AA$48,'DB New Orders'!$A:$S,MATCH($B67,'DB New Orders'!$A$1:$S$1,0),0)</f>
        <v/>
      </c>
      <c r="AB67" s="22">
        <f>VLOOKUP(AB$48,'DB New Orders'!$A:$S,MATCH($B67,'DB New Orders'!$A$1:$S$1,0),0)</f>
        <v/>
      </c>
      <c r="AC67" s="22">
        <f>VLOOKUP(AC$48,'DB New Orders'!$A:$S,MATCH($B67,'DB New Orders'!$A$1:$S$1,0),0)</f>
        <v/>
      </c>
      <c r="AD67" s="22">
        <f>VLOOKUP(AD$48,'DB New Orders'!$A:$S,MATCH($B67,'DB New Orders'!$A$1:$S$1,0),0)</f>
        <v/>
      </c>
      <c r="AE67" s="22">
        <f>VLOOKUP(AE$48,'DB New Orders'!$A:$S,MATCH($B67,'DB New Orders'!$A$1:$S$1,0),0)</f>
        <v/>
      </c>
      <c r="AF67" s="22">
        <f>VLOOKUP(AF$48,'DB New Orders'!$A:$S,MATCH($B67,'DB New Orders'!$A$1:$S$1,0),0)</f>
        <v/>
      </c>
      <c r="AH67" s="22">
        <f>AF67-AE67</f>
        <v/>
      </c>
      <c r="AI67" s="34">
        <f>AVERAGE(AD67:AF67)</f>
        <v/>
      </c>
      <c r="AJ67" s="34">
        <f>AVERAGE(AA67:AF67)</f>
        <v/>
      </c>
    </row>
    <row r="68">
      <c r="C68" s="37" t="n"/>
      <c r="D68" s="37" t="n"/>
      <c r="E68" s="37" t="n"/>
      <c r="F68" s="37" t="n"/>
      <c r="G68" s="37" t="n"/>
      <c r="H68" s="37" t="n"/>
      <c r="I68" s="37" t="n"/>
      <c r="J68" s="37" t="n"/>
      <c r="K68" s="37" t="n"/>
      <c r="L68" s="37" t="n"/>
      <c r="M68" s="37" t="n"/>
      <c r="N68" s="37" t="n"/>
      <c r="O68" s="37" t="n"/>
      <c r="P68" s="37" t="n"/>
      <c r="Q68" s="37" t="n"/>
      <c r="R68" s="37" t="n"/>
      <c r="S68" s="37" t="n"/>
      <c r="T68" s="37" t="n"/>
      <c r="U68" s="37" t="n"/>
      <c r="V68" s="37" t="n"/>
      <c r="W68" s="37" t="n"/>
      <c r="X68" s="37" t="n"/>
      <c r="Y68" s="37" t="n"/>
      <c r="Z68" s="37" t="n"/>
      <c r="AA68" s="37" t="n"/>
      <c r="AB68" s="37" t="n"/>
      <c r="AC68" s="37" t="n"/>
      <c r="AD68" s="37" t="n"/>
      <c r="AE68" s="37" t="n"/>
      <c r="AF68" s="37" t="n"/>
    </row>
  </sheetData>
  <mergeCells count="14">
    <mergeCell ref="B48:B49"/>
    <mergeCell ref="AH48:AH49"/>
    <mergeCell ref="AI48:AI49"/>
    <mergeCell ref="AJ48:AJ49"/>
    <mergeCell ref="AH1:AJ1"/>
    <mergeCell ref="AI3:AJ3"/>
    <mergeCell ref="B4:B5"/>
    <mergeCell ref="AH4:AH5"/>
    <mergeCell ref="AI4:AI5"/>
    <mergeCell ref="AJ4:AJ5"/>
    <mergeCell ref="B26:B27"/>
    <mergeCell ref="AH26:AH27"/>
    <mergeCell ref="AI26:AI27"/>
    <mergeCell ref="AJ26:AJ27"/>
  </mergeCells>
  <conditionalFormatting sqref="AH6:AH23">
    <cfRule type="cellIs" priority="1236" operator="equal" dxfId="6">
      <formula>0</formula>
    </cfRule>
    <cfRule type="cellIs" priority="1237" operator="lessThan" dxfId="7">
      <formula>0</formula>
    </cfRule>
    <cfRule type="cellIs" priority="1238" operator="greaterThan" dxfId="6">
      <formula>0</formula>
    </cfRule>
    <cfRule type="colorScale" priority="1239">
      <colorScale>
        <cfvo type="min"/>
        <cfvo type="percentile" val="50"/>
        <cfvo type="max"/>
        <color rgb="FFF8696B"/>
        <color rgb="FFFFEB84"/>
        <color rgb="FF63BE7B"/>
      </colorScale>
    </cfRule>
    <cfRule type="colorScale" priority="1240">
      <colorScale>
        <cfvo type="min"/>
        <cfvo type="percentile" val="50"/>
        <cfvo type="max"/>
        <color rgb="FFF8696B"/>
        <color rgb="FFFFEB84"/>
        <color rgb="FF63BE7B"/>
      </colorScale>
    </cfRule>
  </conditionalFormatting>
  <conditionalFormatting sqref="AI6:AI23">
    <cfRule type="cellIs" priority="1231" operator="equal" dxfId="6">
      <formula>0</formula>
    </cfRule>
    <cfRule type="cellIs" priority="1232" operator="lessThan" dxfId="7">
      <formula>0</formula>
    </cfRule>
    <cfRule type="cellIs" priority="1233" operator="greaterThan" dxfId="6">
      <formula>0</formula>
    </cfRule>
    <cfRule type="colorScale" priority="1234">
      <colorScale>
        <cfvo type="min"/>
        <cfvo type="percentile" val="50"/>
        <cfvo type="max"/>
        <color rgb="FFF8696B"/>
        <color rgb="FFFFEB84"/>
        <color rgb="FF63BE7B"/>
      </colorScale>
    </cfRule>
    <cfRule type="colorScale" priority="1235">
      <colorScale>
        <cfvo type="min"/>
        <cfvo type="percentile" val="50"/>
        <cfvo type="max"/>
        <color rgb="FFF8696B"/>
        <color rgb="FFFFEB84"/>
        <color rgb="FF63BE7B"/>
      </colorScale>
    </cfRule>
  </conditionalFormatting>
  <conditionalFormatting sqref="AJ6:AJ23">
    <cfRule type="cellIs" priority="1226" operator="equal" dxfId="6">
      <formula>0</formula>
    </cfRule>
    <cfRule type="cellIs" priority="1227" operator="lessThan" dxfId="7">
      <formula>0</formula>
    </cfRule>
    <cfRule type="cellIs" priority="1228" operator="greaterThan" dxfId="6">
      <formula>0</formula>
    </cfRule>
    <cfRule type="colorScale" priority="1229">
      <colorScale>
        <cfvo type="min"/>
        <cfvo type="percentile" val="50"/>
        <cfvo type="max"/>
        <color rgb="FFF8696B"/>
        <color rgb="FFFFEB84"/>
        <color rgb="FF63BE7B"/>
      </colorScale>
    </cfRule>
    <cfRule type="colorScale" priority="1230">
      <colorScale>
        <cfvo type="min"/>
        <cfvo type="percentile" val="50"/>
        <cfvo type="max"/>
        <color rgb="FFF8696B"/>
        <color rgb="FFFFEB84"/>
        <color rgb="FF63BE7B"/>
      </colorScale>
    </cfRule>
  </conditionalFormatting>
  <conditionalFormatting sqref="C50:C67">
    <cfRule type="cellIs" priority="1003" operator="equal" dxfId="6">
      <formula>0</formula>
    </cfRule>
    <cfRule type="cellIs" priority="1004" operator="lessThan" dxfId="7">
      <formula>0</formula>
    </cfRule>
    <cfRule type="cellIs" priority="1005" operator="greaterThan" dxfId="6">
      <formula>0</formula>
    </cfRule>
    <cfRule type="colorScale" priority="1006">
      <colorScale>
        <cfvo type="min"/>
        <cfvo type="percentile" val="50"/>
        <cfvo type="max"/>
        <color rgb="FFF8696B"/>
        <color rgb="FFFFEB84"/>
        <color rgb="FF63BE7B"/>
      </colorScale>
    </cfRule>
    <cfRule type="colorScale" priority="1007">
      <colorScale>
        <cfvo type="min"/>
        <cfvo type="percentile" val="50"/>
        <cfvo type="max"/>
        <color rgb="FFF8696B"/>
        <color rgb="FFFFEB84"/>
        <color rgb="FF63BE7B"/>
      </colorScale>
    </cfRule>
  </conditionalFormatting>
  <conditionalFormatting sqref="C6:C23">
    <cfRule type="colorScale" priority="1001">
      <colorScale>
        <cfvo type="min"/>
        <cfvo type="percentile" val="50"/>
        <cfvo type="max"/>
        <color rgb="FFF8696B"/>
        <color rgb="FFFFEB84"/>
        <color rgb="FF63BE7B"/>
      </colorScale>
    </cfRule>
    <cfRule type="colorScale" priority="1002">
      <colorScale>
        <cfvo type="min"/>
        <cfvo type="percentile" val="50"/>
        <cfvo type="max"/>
        <color rgb="FFF8696B"/>
        <color rgb="FFFFEB84"/>
        <color rgb="FF63BE7B"/>
      </colorScale>
    </cfRule>
  </conditionalFormatting>
  <conditionalFormatting sqref="C28:C45">
    <cfRule type="colorScale" priority="998">
      <colorScale>
        <cfvo type="min"/>
        <cfvo type="percentile" val="50"/>
        <cfvo type="max"/>
        <color rgb="FFF8696B"/>
        <color rgb="FFFFEB84"/>
        <color rgb="FF63BE7B"/>
      </colorScale>
    </cfRule>
    <cfRule type="colorScale" priority="999">
      <colorScale>
        <cfvo type="min"/>
        <cfvo type="percentile" val="50"/>
        <cfvo type="max"/>
        <color rgb="FFF8696B"/>
        <color rgb="FFFFEB84"/>
        <color rgb="FF63BE7B"/>
      </colorScale>
    </cfRule>
    <cfRule type="colorScale" priority="1000">
      <colorScale>
        <cfvo type="min"/>
        <cfvo type="percentile" val="50"/>
        <cfvo type="max"/>
        <color rgb="FFF8696B"/>
        <color rgb="FFFFEB84"/>
        <color rgb="FF63BE7B"/>
      </colorScale>
    </cfRule>
  </conditionalFormatting>
  <conditionalFormatting sqref="D50:D67">
    <cfRule type="cellIs" priority="993" operator="equal" dxfId="6">
      <formula>0</formula>
    </cfRule>
    <cfRule type="cellIs" priority="994" operator="lessThan" dxfId="7">
      <formula>0</formula>
    </cfRule>
    <cfRule type="cellIs" priority="995" operator="greaterThan" dxfId="6">
      <formula>0</formula>
    </cfRule>
    <cfRule type="colorScale" priority="996">
      <colorScale>
        <cfvo type="min"/>
        <cfvo type="percentile" val="50"/>
        <cfvo type="max"/>
        <color rgb="FFF8696B"/>
        <color rgb="FFFFEB84"/>
        <color rgb="FF63BE7B"/>
      </colorScale>
    </cfRule>
    <cfRule type="colorScale" priority="997">
      <colorScale>
        <cfvo type="min"/>
        <cfvo type="percentile" val="50"/>
        <cfvo type="max"/>
        <color rgb="FFF8696B"/>
        <color rgb="FFFFEB84"/>
        <color rgb="FF63BE7B"/>
      </colorScale>
    </cfRule>
  </conditionalFormatting>
  <conditionalFormatting sqref="D6:D23">
    <cfRule type="colorScale" priority="991">
      <colorScale>
        <cfvo type="min"/>
        <cfvo type="percentile" val="50"/>
        <cfvo type="max"/>
        <color rgb="FFF8696B"/>
        <color rgb="FFFFEB84"/>
        <color rgb="FF63BE7B"/>
      </colorScale>
    </cfRule>
    <cfRule type="colorScale" priority="992">
      <colorScale>
        <cfvo type="min"/>
        <cfvo type="percentile" val="50"/>
        <cfvo type="max"/>
        <color rgb="FFF8696B"/>
        <color rgb="FFFFEB84"/>
        <color rgb="FF63BE7B"/>
      </colorScale>
    </cfRule>
  </conditionalFormatting>
  <conditionalFormatting sqref="D28:D45">
    <cfRule type="colorScale" priority="988">
      <colorScale>
        <cfvo type="min"/>
        <cfvo type="percentile" val="50"/>
        <cfvo type="max"/>
        <color rgb="FFF8696B"/>
        <color rgb="FFFFEB84"/>
        <color rgb="FF63BE7B"/>
      </colorScale>
    </cfRule>
    <cfRule type="colorScale" priority="989">
      <colorScale>
        <cfvo type="min"/>
        <cfvo type="percentile" val="50"/>
        <cfvo type="max"/>
        <color rgb="FFF8696B"/>
        <color rgb="FFFFEB84"/>
        <color rgb="FF63BE7B"/>
      </colorScale>
    </cfRule>
    <cfRule type="colorScale" priority="990">
      <colorScale>
        <cfvo type="min"/>
        <cfvo type="percentile" val="50"/>
        <cfvo type="max"/>
        <color rgb="FFF8696B"/>
        <color rgb="FFFFEB84"/>
        <color rgb="FF63BE7B"/>
      </colorScale>
    </cfRule>
  </conditionalFormatting>
  <conditionalFormatting sqref="E50:E67">
    <cfRule type="cellIs" priority="953" operator="equal" dxfId="6">
      <formula>0</formula>
    </cfRule>
    <cfRule type="cellIs" priority="954" operator="lessThan" dxfId="7">
      <formula>0</formula>
    </cfRule>
    <cfRule type="cellIs" priority="955" operator="greaterThan" dxfId="6">
      <formula>0</formula>
    </cfRule>
    <cfRule type="colorScale" priority="956">
      <colorScale>
        <cfvo type="min"/>
        <cfvo type="percentile" val="50"/>
        <cfvo type="max"/>
        <color rgb="FFF8696B"/>
        <color rgb="FFFFEB84"/>
        <color rgb="FF63BE7B"/>
      </colorScale>
    </cfRule>
    <cfRule type="colorScale" priority="957">
      <colorScale>
        <cfvo type="min"/>
        <cfvo type="percentile" val="50"/>
        <cfvo type="max"/>
        <color rgb="FFF8696B"/>
        <color rgb="FFFFEB84"/>
        <color rgb="FF63BE7B"/>
      </colorScale>
    </cfRule>
  </conditionalFormatting>
  <conditionalFormatting sqref="E6:E23">
    <cfRule type="colorScale" priority="951">
      <colorScale>
        <cfvo type="min"/>
        <cfvo type="percentile" val="50"/>
        <cfvo type="max"/>
        <color rgb="FFF8696B"/>
        <color rgb="FFFFEB84"/>
        <color rgb="FF63BE7B"/>
      </colorScale>
    </cfRule>
    <cfRule type="colorScale" priority="952">
      <colorScale>
        <cfvo type="min"/>
        <cfvo type="percentile" val="50"/>
        <cfvo type="max"/>
        <color rgb="FFF8696B"/>
        <color rgb="FFFFEB84"/>
        <color rgb="FF63BE7B"/>
      </colorScale>
    </cfRule>
  </conditionalFormatting>
  <conditionalFormatting sqref="E28:E45">
    <cfRule type="colorScale" priority="948">
      <colorScale>
        <cfvo type="min"/>
        <cfvo type="percentile" val="50"/>
        <cfvo type="max"/>
        <color rgb="FFF8696B"/>
        <color rgb="FFFFEB84"/>
        <color rgb="FF63BE7B"/>
      </colorScale>
    </cfRule>
    <cfRule type="colorScale" priority="949">
      <colorScale>
        <cfvo type="min"/>
        <cfvo type="percentile" val="50"/>
        <cfvo type="max"/>
        <color rgb="FFF8696B"/>
        <color rgb="FFFFEB84"/>
        <color rgb="FF63BE7B"/>
      </colorScale>
    </cfRule>
    <cfRule type="colorScale" priority="950">
      <colorScale>
        <cfvo type="min"/>
        <cfvo type="percentile" val="50"/>
        <cfvo type="max"/>
        <color rgb="FFF8696B"/>
        <color rgb="FFFFEB84"/>
        <color rgb="FF63BE7B"/>
      </colorScale>
    </cfRule>
  </conditionalFormatting>
  <conditionalFormatting sqref="F50:F67">
    <cfRule type="cellIs" priority="913" operator="equal" dxfId="6">
      <formula>0</formula>
    </cfRule>
    <cfRule type="cellIs" priority="914" operator="lessThan" dxfId="7">
      <formula>0</formula>
    </cfRule>
    <cfRule type="cellIs" priority="915" operator="greaterThan" dxfId="6">
      <formula>0</formula>
    </cfRule>
    <cfRule type="colorScale" priority="916">
      <colorScale>
        <cfvo type="min"/>
        <cfvo type="percentile" val="50"/>
        <cfvo type="max"/>
        <color rgb="FFF8696B"/>
        <color rgb="FFFFEB84"/>
        <color rgb="FF63BE7B"/>
      </colorScale>
    </cfRule>
    <cfRule type="colorScale" priority="917">
      <colorScale>
        <cfvo type="min"/>
        <cfvo type="percentile" val="50"/>
        <cfvo type="max"/>
        <color rgb="FFF8696B"/>
        <color rgb="FFFFEB84"/>
        <color rgb="FF63BE7B"/>
      </colorScale>
    </cfRule>
  </conditionalFormatting>
  <conditionalFormatting sqref="F6:F23">
    <cfRule type="colorScale" priority="911">
      <colorScale>
        <cfvo type="min"/>
        <cfvo type="percentile" val="50"/>
        <cfvo type="max"/>
        <color rgb="FFF8696B"/>
        <color rgb="FFFFEB84"/>
        <color rgb="FF63BE7B"/>
      </colorScale>
    </cfRule>
    <cfRule type="colorScale" priority="912">
      <colorScale>
        <cfvo type="min"/>
        <cfvo type="percentile" val="50"/>
        <cfvo type="max"/>
        <color rgb="FFF8696B"/>
        <color rgb="FFFFEB84"/>
        <color rgb="FF63BE7B"/>
      </colorScale>
    </cfRule>
  </conditionalFormatting>
  <conditionalFormatting sqref="F28:F45">
    <cfRule type="colorScale" priority="908">
      <colorScale>
        <cfvo type="min"/>
        <cfvo type="percentile" val="50"/>
        <cfvo type="max"/>
        <color rgb="FFF8696B"/>
        <color rgb="FFFFEB84"/>
        <color rgb="FF63BE7B"/>
      </colorScale>
    </cfRule>
    <cfRule type="colorScale" priority="909">
      <colorScale>
        <cfvo type="min"/>
        <cfvo type="percentile" val="50"/>
        <cfvo type="max"/>
        <color rgb="FFF8696B"/>
        <color rgb="FFFFEB84"/>
        <color rgb="FF63BE7B"/>
      </colorScale>
    </cfRule>
    <cfRule type="colorScale" priority="910">
      <colorScale>
        <cfvo type="min"/>
        <cfvo type="percentile" val="50"/>
        <cfvo type="max"/>
        <color rgb="FFF8696B"/>
        <color rgb="FFFFEB84"/>
        <color rgb="FF63BE7B"/>
      </colorScale>
    </cfRule>
  </conditionalFormatting>
  <conditionalFormatting sqref="G50:G67">
    <cfRule type="cellIs" priority="873" operator="equal" dxfId="6">
      <formula>0</formula>
    </cfRule>
    <cfRule type="cellIs" priority="874" operator="lessThan" dxfId="7">
      <formula>0</formula>
    </cfRule>
    <cfRule type="cellIs" priority="875" operator="greaterThan" dxfId="6">
      <formula>0</formula>
    </cfRule>
    <cfRule type="colorScale" priority="876">
      <colorScale>
        <cfvo type="min"/>
        <cfvo type="percentile" val="50"/>
        <cfvo type="max"/>
        <color rgb="FFF8696B"/>
        <color rgb="FFFFEB84"/>
        <color rgb="FF63BE7B"/>
      </colorScale>
    </cfRule>
    <cfRule type="colorScale" priority="877">
      <colorScale>
        <cfvo type="min"/>
        <cfvo type="percentile" val="50"/>
        <cfvo type="max"/>
        <color rgb="FFF8696B"/>
        <color rgb="FFFFEB84"/>
        <color rgb="FF63BE7B"/>
      </colorScale>
    </cfRule>
  </conditionalFormatting>
  <conditionalFormatting sqref="G6:G23">
    <cfRule type="colorScale" priority="871">
      <colorScale>
        <cfvo type="min"/>
        <cfvo type="percentile" val="50"/>
        <cfvo type="max"/>
        <color rgb="FFF8696B"/>
        <color rgb="FFFFEB84"/>
        <color rgb="FF63BE7B"/>
      </colorScale>
    </cfRule>
    <cfRule type="colorScale" priority="872">
      <colorScale>
        <cfvo type="min"/>
        <cfvo type="percentile" val="50"/>
        <cfvo type="max"/>
        <color rgb="FFF8696B"/>
        <color rgb="FFFFEB84"/>
        <color rgb="FF63BE7B"/>
      </colorScale>
    </cfRule>
  </conditionalFormatting>
  <conditionalFormatting sqref="G28:G45">
    <cfRule type="colorScale" priority="868">
      <colorScale>
        <cfvo type="min"/>
        <cfvo type="percentile" val="50"/>
        <cfvo type="max"/>
        <color rgb="FFF8696B"/>
        <color rgb="FFFFEB84"/>
        <color rgb="FF63BE7B"/>
      </colorScale>
    </cfRule>
    <cfRule type="colorScale" priority="869">
      <colorScale>
        <cfvo type="min"/>
        <cfvo type="percentile" val="50"/>
        <cfvo type="max"/>
        <color rgb="FFF8696B"/>
        <color rgb="FFFFEB84"/>
        <color rgb="FF63BE7B"/>
      </colorScale>
    </cfRule>
    <cfRule type="colorScale" priority="870">
      <colorScale>
        <cfvo type="min"/>
        <cfvo type="percentile" val="50"/>
        <cfvo type="max"/>
        <color rgb="FFF8696B"/>
        <color rgb="FFFFEB84"/>
        <color rgb="FF63BE7B"/>
      </colorScale>
    </cfRule>
  </conditionalFormatting>
  <conditionalFormatting sqref="H50:H67">
    <cfRule type="cellIs" priority="803" operator="equal" dxfId="6">
      <formula>0</formula>
    </cfRule>
    <cfRule type="cellIs" priority="804" operator="lessThan" dxfId="7">
      <formula>0</formula>
    </cfRule>
    <cfRule type="cellIs" priority="805" operator="greaterThan" dxfId="6">
      <formula>0</formula>
    </cfRule>
    <cfRule type="colorScale" priority="806">
      <colorScale>
        <cfvo type="min"/>
        <cfvo type="percentile" val="50"/>
        <cfvo type="max"/>
        <color rgb="FFF8696B"/>
        <color rgb="FFFFEB84"/>
        <color rgb="FF63BE7B"/>
      </colorScale>
    </cfRule>
    <cfRule type="colorScale" priority="807">
      <colorScale>
        <cfvo type="min"/>
        <cfvo type="percentile" val="50"/>
        <cfvo type="max"/>
        <color rgb="FFF8696B"/>
        <color rgb="FFFFEB84"/>
        <color rgb="FF63BE7B"/>
      </colorScale>
    </cfRule>
  </conditionalFormatting>
  <conditionalFormatting sqref="H6:H23">
    <cfRule type="colorScale" priority="801">
      <colorScale>
        <cfvo type="min"/>
        <cfvo type="percentile" val="50"/>
        <cfvo type="max"/>
        <color rgb="FFF8696B"/>
        <color rgb="FFFFEB84"/>
        <color rgb="FF63BE7B"/>
      </colorScale>
    </cfRule>
    <cfRule type="colorScale" priority="802">
      <colorScale>
        <cfvo type="min"/>
        <cfvo type="percentile" val="50"/>
        <cfvo type="max"/>
        <color rgb="FFF8696B"/>
        <color rgb="FFFFEB84"/>
        <color rgb="FF63BE7B"/>
      </colorScale>
    </cfRule>
  </conditionalFormatting>
  <conditionalFormatting sqref="H28:H45">
    <cfRule type="colorScale" priority="798">
      <colorScale>
        <cfvo type="min"/>
        <cfvo type="percentile" val="50"/>
        <cfvo type="max"/>
        <color rgb="FFF8696B"/>
        <color rgb="FFFFEB84"/>
        <color rgb="FF63BE7B"/>
      </colorScale>
    </cfRule>
    <cfRule type="colorScale" priority="799">
      <colorScale>
        <cfvo type="min"/>
        <cfvo type="percentile" val="50"/>
        <cfvo type="max"/>
        <color rgb="FFF8696B"/>
        <color rgb="FFFFEB84"/>
        <color rgb="FF63BE7B"/>
      </colorScale>
    </cfRule>
    <cfRule type="colorScale" priority="800">
      <colorScale>
        <cfvo type="min"/>
        <cfvo type="percentile" val="50"/>
        <cfvo type="max"/>
        <color rgb="FFF8696B"/>
        <color rgb="FFFFEB84"/>
        <color rgb="FF63BE7B"/>
      </colorScale>
    </cfRule>
  </conditionalFormatting>
  <conditionalFormatting sqref="I50:I67">
    <cfRule type="cellIs" priority="763" operator="equal" dxfId="6">
      <formula>0</formula>
    </cfRule>
    <cfRule type="cellIs" priority="764" operator="lessThan" dxfId="7">
      <formula>0</formula>
    </cfRule>
    <cfRule type="cellIs" priority="765" operator="greaterThan" dxfId="6">
      <formula>0</formula>
    </cfRule>
    <cfRule type="colorScale" priority="766">
      <colorScale>
        <cfvo type="min"/>
        <cfvo type="percentile" val="50"/>
        <cfvo type="max"/>
        <color rgb="FFF8696B"/>
        <color rgb="FFFFEB84"/>
        <color rgb="FF63BE7B"/>
      </colorScale>
    </cfRule>
    <cfRule type="colorScale" priority="767">
      <colorScale>
        <cfvo type="min"/>
        <cfvo type="percentile" val="50"/>
        <cfvo type="max"/>
        <color rgb="FFF8696B"/>
        <color rgb="FFFFEB84"/>
        <color rgb="FF63BE7B"/>
      </colorScale>
    </cfRule>
  </conditionalFormatting>
  <conditionalFormatting sqref="I6:I23">
    <cfRule type="colorScale" priority="761">
      <colorScale>
        <cfvo type="min"/>
        <cfvo type="percentile" val="50"/>
        <cfvo type="max"/>
        <color rgb="FFF8696B"/>
        <color rgb="FFFFEB84"/>
        <color rgb="FF63BE7B"/>
      </colorScale>
    </cfRule>
    <cfRule type="colorScale" priority="762">
      <colorScale>
        <cfvo type="min"/>
        <cfvo type="percentile" val="50"/>
        <cfvo type="max"/>
        <color rgb="FFF8696B"/>
        <color rgb="FFFFEB84"/>
        <color rgb="FF63BE7B"/>
      </colorScale>
    </cfRule>
  </conditionalFormatting>
  <conditionalFormatting sqref="I28:I45">
    <cfRule type="colorScale" priority="758">
      <colorScale>
        <cfvo type="min"/>
        <cfvo type="percentile" val="50"/>
        <cfvo type="max"/>
        <color rgb="FFF8696B"/>
        <color rgb="FFFFEB84"/>
        <color rgb="FF63BE7B"/>
      </colorScale>
    </cfRule>
    <cfRule type="colorScale" priority="759">
      <colorScale>
        <cfvo type="min"/>
        <cfvo type="percentile" val="50"/>
        <cfvo type="max"/>
        <color rgb="FFF8696B"/>
        <color rgb="FFFFEB84"/>
        <color rgb="FF63BE7B"/>
      </colorScale>
    </cfRule>
    <cfRule type="colorScale" priority="760">
      <colorScale>
        <cfvo type="min"/>
        <cfvo type="percentile" val="50"/>
        <cfvo type="max"/>
        <color rgb="FFF8696B"/>
        <color rgb="FFFFEB84"/>
        <color rgb="FF63BE7B"/>
      </colorScale>
    </cfRule>
  </conditionalFormatting>
  <conditionalFormatting sqref="J50:J67">
    <cfRule type="cellIs" priority="723" operator="equal" dxfId="6">
      <formula>0</formula>
    </cfRule>
    <cfRule type="cellIs" priority="724" operator="lessThan" dxfId="7">
      <formula>0</formula>
    </cfRule>
    <cfRule type="cellIs" priority="725" operator="greaterThan" dxfId="6">
      <formula>0</formula>
    </cfRule>
    <cfRule type="colorScale" priority="726">
      <colorScale>
        <cfvo type="min"/>
        <cfvo type="percentile" val="50"/>
        <cfvo type="max"/>
        <color rgb="FFF8696B"/>
        <color rgb="FFFFEB84"/>
        <color rgb="FF63BE7B"/>
      </colorScale>
    </cfRule>
    <cfRule type="colorScale" priority="727">
      <colorScale>
        <cfvo type="min"/>
        <cfvo type="percentile" val="50"/>
        <cfvo type="max"/>
        <color rgb="FFF8696B"/>
        <color rgb="FFFFEB84"/>
        <color rgb="FF63BE7B"/>
      </colorScale>
    </cfRule>
  </conditionalFormatting>
  <conditionalFormatting sqref="J6:J23">
    <cfRule type="colorScale" priority="721">
      <colorScale>
        <cfvo type="min"/>
        <cfvo type="percentile" val="50"/>
        <cfvo type="max"/>
        <color rgb="FFF8696B"/>
        <color rgb="FFFFEB84"/>
        <color rgb="FF63BE7B"/>
      </colorScale>
    </cfRule>
    <cfRule type="colorScale" priority="722">
      <colorScale>
        <cfvo type="min"/>
        <cfvo type="percentile" val="50"/>
        <cfvo type="max"/>
        <color rgb="FFF8696B"/>
        <color rgb="FFFFEB84"/>
        <color rgb="FF63BE7B"/>
      </colorScale>
    </cfRule>
  </conditionalFormatting>
  <conditionalFormatting sqref="J28:J45">
    <cfRule type="colorScale" priority="718">
      <colorScale>
        <cfvo type="min"/>
        <cfvo type="percentile" val="50"/>
        <cfvo type="max"/>
        <color rgb="FFF8696B"/>
        <color rgb="FFFFEB84"/>
        <color rgb="FF63BE7B"/>
      </colorScale>
    </cfRule>
    <cfRule type="colorScale" priority="719">
      <colorScale>
        <cfvo type="min"/>
        <cfvo type="percentile" val="50"/>
        <cfvo type="max"/>
        <color rgb="FFF8696B"/>
        <color rgb="FFFFEB84"/>
        <color rgb="FF63BE7B"/>
      </colorScale>
    </cfRule>
    <cfRule type="colorScale" priority="720">
      <colorScale>
        <cfvo type="min"/>
        <cfvo type="percentile" val="50"/>
        <cfvo type="max"/>
        <color rgb="FFF8696B"/>
        <color rgb="FFFFEB84"/>
        <color rgb="FF63BE7B"/>
      </colorScale>
    </cfRule>
  </conditionalFormatting>
  <conditionalFormatting sqref="K50:K67">
    <cfRule type="cellIs" priority="683" operator="equal" dxfId="6">
      <formula>0</formula>
    </cfRule>
    <cfRule type="cellIs" priority="684" operator="lessThan" dxfId="7">
      <formula>0</formula>
    </cfRule>
    <cfRule type="cellIs" priority="685" operator="greaterThan" dxfId="6">
      <formula>0</formula>
    </cfRule>
    <cfRule type="colorScale" priority="686">
      <colorScale>
        <cfvo type="min"/>
        <cfvo type="percentile" val="50"/>
        <cfvo type="max"/>
        <color rgb="FFF8696B"/>
        <color rgb="FFFFEB84"/>
        <color rgb="FF63BE7B"/>
      </colorScale>
    </cfRule>
    <cfRule type="colorScale" priority="687">
      <colorScale>
        <cfvo type="min"/>
        <cfvo type="percentile" val="50"/>
        <cfvo type="max"/>
        <color rgb="FFF8696B"/>
        <color rgb="FFFFEB84"/>
        <color rgb="FF63BE7B"/>
      </colorScale>
    </cfRule>
  </conditionalFormatting>
  <conditionalFormatting sqref="K28:K45">
    <cfRule type="colorScale" priority="678">
      <colorScale>
        <cfvo type="min"/>
        <cfvo type="percentile" val="50"/>
        <cfvo type="max"/>
        <color rgb="FFF8696B"/>
        <color rgb="FFFFEB84"/>
        <color rgb="FF63BE7B"/>
      </colorScale>
    </cfRule>
    <cfRule type="colorScale" priority="679">
      <colorScale>
        <cfvo type="min"/>
        <cfvo type="percentile" val="50"/>
        <cfvo type="max"/>
        <color rgb="FFF8696B"/>
        <color rgb="FFFFEB84"/>
        <color rgb="FF63BE7B"/>
      </colorScale>
    </cfRule>
    <cfRule type="colorScale" priority="680">
      <colorScale>
        <cfvo type="min"/>
        <cfvo type="percentile" val="50"/>
        <cfvo type="max"/>
        <color rgb="FFF8696B"/>
        <color rgb="FFFFEB84"/>
        <color rgb="FF63BE7B"/>
      </colorScale>
    </cfRule>
  </conditionalFormatting>
  <conditionalFormatting sqref="K6:K23">
    <cfRule type="colorScale" priority="676">
      <colorScale>
        <cfvo type="min"/>
        <cfvo type="percentile" val="50"/>
        <cfvo type="max"/>
        <color rgb="FFF8696B"/>
        <color rgb="FFFFEB84"/>
        <color rgb="FF63BE7B"/>
      </colorScale>
    </cfRule>
    <cfRule type="colorScale" priority="677">
      <colorScale>
        <cfvo type="min"/>
        <cfvo type="percentile" val="50"/>
        <cfvo type="max"/>
        <color rgb="FFF8696B"/>
        <color rgb="FFFFEB84"/>
        <color rgb="FF63BE7B"/>
      </colorScale>
    </cfRule>
  </conditionalFormatting>
  <conditionalFormatting sqref="L50:L67">
    <cfRule type="cellIs" priority="641" operator="equal" dxfId="6">
      <formula>0</formula>
    </cfRule>
    <cfRule type="cellIs" priority="642" operator="lessThan" dxfId="7">
      <formula>0</formula>
    </cfRule>
    <cfRule type="cellIs" priority="643" operator="greaterThan" dxfId="6">
      <formula>0</formula>
    </cfRule>
    <cfRule type="colorScale" priority="644">
      <colorScale>
        <cfvo type="min"/>
        <cfvo type="percentile" val="50"/>
        <cfvo type="max"/>
        <color rgb="FFF8696B"/>
        <color rgb="FFFFEB84"/>
        <color rgb="FF63BE7B"/>
      </colorScale>
    </cfRule>
    <cfRule type="colorScale" priority="645">
      <colorScale>
        <cfvo type="min"/>
        <cfvo type="percentile" val="50"/>
        <cfvo type="max"/>
        <color rgb="FFF8696B"/>
        <color rgb="FFFFEB84"/>
        <color rgb="FF63BE7B"/>
      </colorScale>
    </cfRule>
  </conditionalFormatting>
  <conditionalFormatting sqref="L28:L45">
    <cfRule type="colorScale" priority="638">
      <colorScale>
        <cfvo type="min"/>
        <cfvo type="percentile" val="50"/>
        <cfvo type="max"/>
        <color rgb="FFF8696B"/>
        <color rgb="FFFFEB84"/>
        <color rgb="FF63BE7B"/>
      </colorScale>
    </cfRule>
    <cfRule type="colorScale" priority="639">
      <colorScale>
        <cfvo type="min"/>
        <cfvo type="percentile" val="50"/>
        <cfvo type="max"/>
        <color rgb="FFF8696B"/>
        <color rgb="FFFFEB84"/>
        <color rgb="FF63BE7B"/>
      </colorScale>
    </cfRule>
    <cfRule type="colorScale" priority="640">
      <colorScale>
        <cfvo type="min"/>
        <cfvo type="percentile" val="50"/>
        <cfvo type="max"/>
        <color rgb="FFF8696B"/>
        <color rgb="FFFFEB84"/>
        <color rgb="FF63BE7B"/>
      </colorScale>
    </cfRule>
  </conditionalFormatting>
  <conditionalFormatting sqref="L6:L23">
    <cfRule type="colorScale" priority="636">
      <colorScale>
        <cfvo type="min"/>
        <cfvo type="percentile" val="50"/>
        <cfvo type="max"/>
        <color rgb="FFF8696B"/>
        <color rgb="FFFFEB84"/>
        <color rgb="FF63BE7B"/>
      </colorScale>
    </cfRule>
    <cfRule type="colorScale" priority="637">
      <colorScale>
        <cfvo type="min"/>
        <cfvo type="percentile" val="50"/>
        <cfvo type="max"/>
        <color rgb="FFF8696B"/>
        <color rgb="FFFFEB84"/>
        <color rgb="FF63BE7B"/>
      </colorScale>
    </cfRule>
  </conditionalFormatting>
  <conditionalFormatting sqref="M50:M67">
    <cfRule type="cellIs" priority="601" operator="equal" dxfId="6">
      <formula>0</formula>
    </cfRule>
    <cfRule type="cellIs" priority="602" operator="lessThan" dxfId="7">
      <formula>0</formula>
    </cfRule>
    <cfRule type="cellIs" priority="603" operator="greaterThan" dxfId="6">
      <formula>0</formula>
    </cfRule>
    <cfRule type="colorScale" priority="604">
      <colorScale>
        <cfvo type="min"/>
        <cfvo type="percentile" val="50"/>
        <cfvo type="max"/>
        <color rgb="FFF8696B"/>
        <color rgb="FFFFEB84"/>
        <color rgb="FF63BE7B"/>
      </colorScale>
    </cfRule>
    <cfRule type="colorScale" priority="605">
      <colorScale>
        <cfvo type="min"/>
        <cfvo type="percentile" val="50"/>
        <cfvo type="max"/>
        <color rgb="FFF8696B"/>
        <color rgb="FFFFEB84"/>
        <color rgb="FF63BE7B"/>
      </colorScale>
    </cfRule>
  </conditionalFormatting>
  <conditionalFormatting sqref="M28:M45">
    <cfRule type="colorScale" priority="598">
      <colorScale>
        <cfvo type="min"/>
        <cfvo type="percentile" val="50"/>
        <cfvo type="max"/>
        <color rgb="FFF8696B"/>
        <color rgb="FFFFEB84"/>
        <color rgb="FF63BE7B"/>
      </colorScale>
    </cfRule>
    <cfRule type="colorScale" priority="599">
      <colorScale>
        <cfvo type="min"/>
        <cfvo type="percentile" val="50"/>
        <cfvo type="max"/>
        <color rgb="FFF8696B"/>
        <color rgb="FFFFEB84"/>
        <color rgb="FF63BE7B"/>
      </colorScale>
    </cfRule>
    <cfRule type="colorScale" priority="600">
      <colorScale>
        <cfvo type="min"/>
        <cfvo type="percentile" val="50"/>
        <cfvo type="max"/>
        <color rgb="FFF8696B"/>
        <color rgb="FFFFEB84"/>
        <color rgb="FF63BE7B"/>
      </colorScale>
    </cfRule>
  </conditionalFormatting>
  <conditionalFormatting sqref="M6:M23">
    <cfRule type="colorScale" priority="596">
      <colorScale>
        <cfvo type="min"/>
        <cfvo type="percentile" val="50"/>
        <cfvo type="max"/>
        <color rgb="FFF8696B"/>
        <color rgb="FFFFEB84"/>
        <color rgb="FF63BE7B"/>
      </colorScale>
    </cfRule>
    <cfRule type="colorScale" priority="597">
      <colorScale>
        <cfvo type="min"/>
        <cfvo type="percentile" val="50"/>
        <cfvo type="max"/>
        <color rgb="FFF8696B"/>
        <color rgb="FFFFEB84"/>
        <color rgb="FF63BE7B"/>
      </colorScale>
    </cfRule>
  </conditionalFormatting>
  <conditionalFormatting sqref="N50:N67">
    <cfRule type="cellIs" priority="561" operator="equal" dxfId="6">
      <formula>0</formula>
    </cfRule>
    <cfRule type="cellIs" priority="562" operator="lessThan" dxfId="7">
      <formula>0</formula>
    </cfRule>
    <cfRule type="cellIs" priority="563" operator="greaterThan" dxfId="6">
      <formula>0</formula>
    </cfRule>
    <cfRule type="colorScale" priority="564">
      <colorScale>
        <cfvo type="min"/>
        <cfvo type="percentile" val="50"/>
        <cfvo type="max"/>
        <color rgb="FFF8696B"/>
        <color rgb="FFFFEB84"/>
        <color rgb="FF63BE7B"/>
      </colorScale>
    </cfRule>
    <cfRule type="colorScale" priority="565">
      <colorScale>
        <cfvo type="min"/>
        <cfvo type="percentile" val="50"/>
        <cfvo type="max"/>
        <color rgb="FFF8696B"/>
        <color rgb="FFFFEB84"/>
        <color rgb="FF63BE7B"/>
      </colorScale>
    </cfRule>
  </conditionalFormatting>
  <conditionalFormatting sqref="N28:N45">
    <cfRule type="colorScale" priority="558">
      <colorScale>
        <cfvo type="min"/>
        <cfvo type="percentile" val="50"/>
        <cfvo type="max"/>
        <color rgb="FFF8696B"/>
        <color rgb="FFFFEB84"/>
        <color rgb="FF63BE7B"/>
      </colorScale>
    </cfRule>
    <cfRule type="colorScale" priority="559">
      <colorScale>
        <cfvo type="min"/>
        <cfvo type="percentile" val="50"/>
        <cfvo type="max"/>
        <color rgb="FFF8696B"/>
        <color rgb="FFFFEB84"/>
        <color rgb="FF63BE7B"/>
      </colorScale>
    </cfRule>
    <cfRule type="colorScale" priority="560">
      <colorScale>
        <cfvo type="min"/>
        <cfvo type="percentile" val="50"/>
        <cfvo type="max"/>
        <color rgb="FFF8696B"/>
        <color rgb="FFFFEB84"/>
        <color rgb="FF63BE7B"/>
      </colorScale>
    </cfRule>
  </conditionalFormatting>
  <conditionalFormatting sqref="N6:N23">
    <cfRule type="colorScale" priority="556">
      <colorScale>
        <cfvo type="min"/>
        <cfvo type="percentile" val="50"/>
        <cfvo type="max"/>
        <color rgb="FFF8696B"/>
        <color rgb="FFFFEB84"/>
        <color rgb="FF63BE7B"/>
      </colorScale>
    </cfRule>
    <cfRule type="colorScale" priority="557">
      <colorScale>
        <cfvo type="min"/>
        <cfvo type="percentile" val="50"/>
        <cfvo type="max"/>
        <color rgb="FFF8696B"/>
        <color rgb="FFFFEB84"/>
        <color rgb="FF63BE7B"/>
      </colorScale>
    </cfRule>
  </conditionalFormatting>
  <conditionalFormatting sqref="O50:O67">
    <cfRule type="cellIs" priority="521" operator="equal" dxfId="6">
      <formula>0</formula>
    </cfRule>
    <cfRule type="cellIs" priority="522" operator="lessThan" dxfId="7">
      <formula>0</formula>
    </cfRule>
    <cfRule type="cellIs" priority="523" operator="greaterThan" dxfId="6">
      <formula>0</formula>
    </cfRule>
    <cfRule type="colorScale" priority="524">
      <colorScale>
        <cfvo type="min"/>
        <cfvo type="percentile" val="50"/>
        <cfvo type="max"/>
        <color rgb="FFF8696B"/>
        <color rgb="FFFFEB84"/>
        <color rgb="FF63BE7B"/>
      </colorScale>
    </cfRule>
    <cfRule type="colorScale" priority="525">
      <colorScale>
        <cfvo type="min"/>
        <cfvo type="percentile" val="50"/>
        <cfvo type="max"/>
        <color rgb="FFF8696B"/>
        <color rgb="FFFFEB84"/>
        <color rgb="FF63BE7B"/>
      </colorScale>
    </cfRule>
  </conditionalFormatting>
  <conditionalFormatting sqref="O28:O45">
    <cfRule type="colorScale" priority="518">
      <colorScale>
        <cfvo type="min"/>
        <cfvo type="percentile" val="50"/>
        <cfvo type="max"/>
        <color rgb="FFF8696B"/>
        <color rgb="FFFFEB84"/>
        <color rgb="FF63BE7B"/>
      </colorScale>
    </cfRule>
    <cfRule type="colorScale" priority="519">
      <colorScale>
        <cfvo type="min"/>
        <cfvo type="percentile" val="50"/>
        <cfvo type="max"/>
        <color rgb="FFF8696B"/>
        <color rgb="FFFFEB84"/>
        <color rgb="FF63BE7B"/>
      </colorScale>
    </cfRule>
    <cfRule type="colorScale" priority="520">
      <colorScale>
        <cfvo type="min"/>
        <cfvo type="percentile" val="50"/>
        <cfvo type="max"/>
        <color rgb="FFF8696B"/>
        <color rgb="FFFFEB84"/>
        <color rgb="FF63BE7B"/>
      </colorScale>
    </cfRule>
  </conditionalFormatting>
  <conditionalFormatting sqref="O6:O23">
    <cfRule type="colorScale" priority="516">
      <colorScale>
        <cfvo type="min"/>
        <cfvo type="percentile" val="50"/>
        <cfvo type="max"/>
        <color rgb="FFF8696B"/>
        <color rgb="FFFFEB84"/>
        <color rgb="FF63BE7B"/>
      </colorScale>
    </cfRule>
    <cfRule type="colorScale" priority="517">
      <colorScale>
        <cfvo type="min"/>
        <cfvo type="percentile" val="50"/>
        <cfvo type="max"/>
        <color rgb="FFF8696B"/>
        <color rgb="FFFFEB84"/>
        <color rgb="FF63BE7B"/>
      </colorScale>
    </cfRule>
  </conditionalFormatting>
  <conditionalFormatting sqref="P50:P67">
    <cfRule type="cellIs" priority="481" operator="equal" dxfId="6">
      <formula>0</formula>
    </cfRule>
    <cfRule type="cellIs" priority="482" operator="lessThan" dxfId="7">
      <formula>0</formula>
    </cfRule>
    <cfRule type="cellIs" priority="483" operator="greaterThan" dxfId="6">
      <formula>0</formula>
    </cfRule>
    <cfRule type="colorScale" priority="484">
      <colorScale>
        <cfvo type="min"/>
        <cfvo type="percentile" val="50"/>
        <cfvo type="max"/>
        <color rgb="FFF8696B"/>
        <color rgb="FFFFEB84"/>
        <color rgb="FF63BE7B"/>
      </colorScale>
    </cfRule>
    <cfRule type="colorScale" priority="485">
      <colorScale>
        <cfvo type="min"/>
        <cfvo type="percentile" val="50"/>
        <cfvo type="max"/>
        <color rgb="FFF8696B"/>
        <color rgb="FFFFEB84"/>
        <color rgb="FF63BE7B"/>
      </colorScale>
    </cfRule>
  </conditionalFormatting>
  <conditionalFormatting sqref="P28:P45">
    <cfRule type="colorScale" priority="478">
      <colorScale>
        <cfvo type="min"/>
        <cfvo type="percentile" val="50"/>
        <cfvo type="max"/>
        <color rgb="FFF8696B"/>
        <color rgb="FFFFEB84"/>
        <color rgb="FF63BE7B"/>
      </colorScale>
    </cfRule>
    <cfRule type="colorScale" priority="479">
      <colorScale>
        <cfvo type="min"/>
        <cfvo type="percentile" val="50"/>
        <cfvo type="max"/>
        <color rgb="FFF8696B"/>
        <color rgb="FFFFEB84"/>
        <color rgb="FF63BE7B"/>
      </colorScale>
    </cfRule>
    <cfRule type="colorScale" priority="480">
      <colorScale>
        <cfvo type="min"/>
        <cfvo type="percentile" val="50"/>
        <cfvo type="max"/>
        <color rgb="FFF8696B"/>
        <color rgb="FFFFEB84"/>
        <color rgb="FF63BE7B"/>
      </colorScale>
    </cfRule>
  </conditionalFormatting>
  <conditionalFormatting sqref="P6:P23">
    <cfRule type="colorScale" priority="476">
      <colorScale>
        <cfvo type="min"/>
        <cfvo type="percentile" val="50"/>
        <cfvo type="max"/>
        <color rgb="FFF8696B"/>
        <color rgb="FFFFEB84"/>
        <color rgb="FF63BE7B"/>
      </colorScale>
    </cfRule>
    <cfRule type="colorScale" priority="477">
      <colorScale>
        <cfvo type="min"/>
        <cfvo type="percentile" val="50"/>
        <cfvo type="max"/>
        <color rgb="FFF8696B"/>
        <color rgb="FFFFEB84"/>
        <color rgb="FF63BE7B"/>
      </colorScale>
    </cfRule>
  </conditionalFormatting>
  <conditionalFormatting sqref="Q50:Q67">
    <cfRule type="cellIs" priority="441" operator="equal" dxfId="6">
      <formula>0</formula>
    </cfRule>
    <cfRule type="cellIs" priority="442" operator="lessThan" dxfId="7">
      <formula>0</formula>
    </cfRule>
    <cfRule type="cellIs" priority="443" operator="greaterThan" dxfId="6">
      <formula>0</formula>
    </cfRule>
    <cfRule type="colorScale" priority="444">
      <colorScale>
        <cfvo type="min"/>
        <cfvo type="percentile" val="50"/>
        <cfvo type="max"/>
        <color rgb="FFF8696B"/>
        <color rgb="FFFFEB84"/>
        <color rgb="FF63BE7B"/>
      </colorScale>
    </cfRule>
    <cfRule type="colorScale" priority="445">
      <colorScale>
        <cfvo type="min"/>
        <cfvo type="percentile" val="50"/>
        <cfvo type="max"/>
        <color rgb="FFF8696B"/>
        <color rgb="FFFFEB84"/>
        <color rgb="FF63BE7B"/>
      </colorScale>
    </cfRule>
  </conditionalFormatting>
  <conditionalFormatting sqref="Q28:Q45">
    <cfRule type="colorScale" priority="438">
      <colorScale>
        <cfvo type="min"/>
        <cfvo type="percentile" val="50"/>
        <cfvo type="max"/>
        <color rgb="FFF8696B"/>
        <color rgb="FFFFEB84"/>
        <color rgb="FF63BE7B"/>
      </colorScale>
    </cfRule>
    <cfRule type="colorScale" priority="439">
      <colorScale>
        <cfvo type="min"/>
        <cfvo type="percentile" val="50"/>
        <cfvo type="max"/>
        <color rgb="FFF8696B"/>
        <color rgb="FFFFEB84"/>
        <color rgb="FF63BE7B"/>
      </colorScale>
    </cfRule>
    <cfRule type="colorScale" priority="440">
      <colorScale>
        <cfvo type="min"/>
        <cfvo type="percentile" val="50"/>
        <cfvo type="max"/>
        <color rgb="FFF8696B"/>
        <color rgb="FFFFEB84"/>
        <color rgb="FF63BE7B"/>
      </colorScale>
    </cfRule>
  </conditionalFormatting>
  <conditionalFormatting sqref="Q6:Q23">
    <cfRule type="colorScale" priority="436">
      <colorScale>
        <cfvo type="min"/>
        <cfvo type="percentile" val="50"/>
        <cfvo type="max"/>
        <color rgb="FFF8696B"/>
        <color rgb="FFFFEB84"/>
        <color rgb="FF63BE7B"/>
      </colorScale>
    </cfRule>
    <cfRule type="colorScale" priority="437">
      <colorScale>
        <cfvo type="min"/>
        <cfvo type="percentile" val="50"/>
        <cfvo type="max"/>
        <color rgb="FFF8696B"/>
        <color rgb="FFFFEB84"/>
        <color rgb="FF63BE7B"/>
      </colorScale>
    </cfRule>
  </conditionalFormatting>
  <conditionalFormatting sqref="R50:R67">
    <cfRule type="cellIs" priority="356" operator="equal" dxfId="6">
      <formula>0</formula>
    </cfRule>
    <cfRule type="cellIs" priority="357" operator="lessThan" dxfId="7">
      <formula>0</formula>
    </cfRule>
    <cfRule type="cellIs" priority="358" operator="greaterThan" dxfId="6">
      <formula>0</formula>
    </cfRule>
    <cfRule type="colorScale" priority="359">
      <colorScale>
        <cfvo type="min"/>
        <cfvo type="percentile" val="50"/>
        <cfvo type="max"/>
        <color rgb="FFF8696B"/>
        <color rgb="FFFFEB84"/>
        <color rgb="FF63BE7B"/>
      </colorScale>
    </cfRule>
    <cfRule type="colorScale" priority="360">
      <colorScale>
        <cfvo type="min"/>
        <cfvo type="percentile" val="50"/>
        <cfvo type="max"/>
        <color rgb="FFF8696B"/>
        <color rgb="FFFFEB84"/>
        <color rgb="FF63BE7B"/>
      </colorScale>
    </cfRule>
  </conditionalFormatting>
  <conditionalFormatting sqref="R28:R45">
    <cfRule type="colorScale" priority="353">
      <colorScale>
        <cfvo type="min"/>
        <cfvo type="percentile" val="50"/>
        <cfvo type="max"/>
        <color rgb="FFF8696B"/>
        <color rgb="FFFFEB84"/>
        <color rgb="FF63BE7B"/>
      </colorScale>
    </cfRule>
    <cfRule type="colorScale" priority="354">
      <colorScale>
        <cfvo type="min"/>
        <cfvo type="percentile" val="50"/>
        <cfvo type="max"/>
        <color rgb="FFF8696B"/>
        <color rgb="FFFFEB84"/>
        <color rgb="FF63BE7B"/>
      </colorScale>
    </cfRule>
    <cfRule type="colorScale" priority="355">
      <colorScale>
        <cfvo type="min"/>
        <cfvo type="percentile" val="50"/>
        <cfvo type="max"/>
        <color rgb="FFF8696B"/>
        <color rgb="FFFFEB84"/>
        <color rgb="FF63BE7B"/>
      </colorScale>
    </cfRule>
  </conditionalFormatting>
  <conditionalFormatting sqref="R6:R23">
    <cfRule type="colorScale" priority="351">
      <colorScale>
        <cfvo type="min"/>
        <cfvo type="percentile" val="50"/>
        <cfvo type="max"/>
        <color rgb="FFF8696B"/>
        <color rgb="FFFFEB84"/>
        <color rgb="FF63BE7B"/>
      </colorScale>
    </cfRule>
    <cfRule type="colorScale" priority="352">
      <colorScale>
        <cfvo type="min"/>
        <cfvo type="percentile" val="50"/>
        <cfvo type="max"/>
        <color rgb="FFF8696B"/>
        <color rgb="FFFFEB84"/>
        <color rgb="FF63BE7B"/>
      </colorScale>
    </cfRule>
  </conditionalFormatting>
  <conditionalFormatting sqref="S50:S67">
    <cfRule type="cellIs" priority="316" operator="equal" dxfId="6">
      <formula>0</formula>
    </cfRule>
    <cfRule type="cellIs" priority="317" operator="lessThan" dxfId="7">
      <formula>0</formula>
    </cfRule>
    <cfRule type="cellIs" priority="318" operator="greaterThan" dxfId="6">
      <formula>0</formula>
    </cfRule>
    <cfRule type="colorScale" priority="319">
      <colorScale>
        <cfvo type="min"/>
        <cfvo type="percentile" val="50"/>
        <cfvo type="max"/>
        <color rgb="FFF8696B"/>
        <color rgb="FFFFEB84"/>
        <color rgb="FF63BE7B"/>
      </colorScale>
    </cfRule>
    <cfRule type="colorScale" priority="320">
      <colorScale>
        <cfvo type="min"/>
        <cfvo type="percentile" val="50"/>
        <cfvo type="max"/>
        <color rgb="FFF8696B"/>
        <color rgb="FFFFEB84"/>
        <color rgb="FF63BE7B"/>
      </colorScale>
    </cfRule>
  </conditionalFormatting>
  <conditionalFormatting sqref="S28:S45">
    <cfRule type="colorScale" priority="313">
      <colorScale>
        <cfvo type="min"/>
        <cfvo type="percentile" val="50"/>
        <cfvo type="max"/>
        <color rgb="FFF8696B"/>
        <color rgb="FFFFEB84"/>
        <color rgb="FF63BE7B"/>
      </colorScale>
    </cfRule>
    <cfRule type="colorScale" priority="314">
      <colorScale>
        <cfvo type="min"/>
        <cfvo type="percentile" val="50"/>
        <cfvo type="max"/>
        <color rgb="FFF8696B"/>
        <color rgb="FFFFEB84"/>
        <color rgb="FF63BE7B"/>
      </colorScale>
    </cfRule>
    <cfRule type="colorScale" priority="315">
      <colorScale>
        <cfvo type="min"/>
        <cfvo type="percentile" val="50"/>
        <cfvo type="max"/>
        <color rgb="FFF8696B"/>
        <color rgb="FFFFEB84"/>
        <color rgb="FF63BE7B"/>
      </colorScale>
    </cfRule>
  </conditionalFormatting>
  <conditionalFormatting sqref="S6:S23">
    <cfRule type="colorScale" priority="311">
      <colorScale>
        <cfvo type="min"/>
        <cfvo type="percentile" val="50"/>
        <cfvo type="max"/>
        <color rgb="FFF8696B"/>
        <color rgb="FFFFEB84"/>
        <color rgb="FF63BE7B"/>
      </colorScale>
    </cfRule>
    <cfRule type="colorScale" priority="312">
      <colorScale>
        <cfvo type="min"/>
        <cfvo type="percentile" val="50"/>
        <cfvo type="max"/>
        <color rgb="FFF8696B"/>
        <color rgb="FFFFEB84"/>
        <color rgb="FF63BE7B"/>
      </colorScale>
    </cfRule>
  </conditionalFormatting>
  <conditionalFormatting sqref="T50:T67">
    <cfRule type="cellIs" priority="276" operator="equal" dxfId="6">
      <formula>0</formula>
    </cfRule>
    <cfRule type="cellIs" priority="277" operator="lessThan" dxfId="7">
      <formula>0</formula>
    </cfRule>
    <cfRule type="cellIs" priority="278" operator="greaterThan" dxfId="6">
      <formula>0</formula>
    </cfRule>
    <cfRule type="colorScale" priority="279">
      <colorScale>
        <cfvo type="min"/>
        <cfvo type="percentile" val="50"/>
        <cfvo type="max"/>
        <color rgb="FFF8696B"/>
        <color rgb="FFFFEB84"/>
        <color rgb="FF63BE7B"/>
      </colorScale>
    </cfRule>
    <cfRule type="colorScale" priority="280">
      <colorScale>
        <cfvo type="min"/>
        <cfvo type="percentile" val="50"/>
        <cfvo type="max"/>
        <color rgb="FFF8696B"/>
        <color rgb="FFFFEB84"/>
        <color rgb="FF63BE7B"/>
      </colorScale>
    </cfRule>
  </conditionalFormatting>
  <conditionalFormatting sqref="T28:T45">
    <cfRule type="colorScale" priority="273">
      <colorScale>
        <cfvo type="min"/>
        <cfvo type="percentile" val="50"/>
        <cfvo type="max"/>
        <color rgb="FFF8696B"/>
        <color rgb="FFFFEB84"/>
        <color rgb="FF63BE7B"/>
      </colorScale>
    </cfRule>
    <cfRule type="colorScale" priority="274">
      <colorScale>
        <cfvo type="min"/>
        <cfvo type="percentile" val="50"/>
        <cfvo type="max"/>
        <color rgb="FFF8696B"/>
        <color rgb="FFFFEB84"/>
        <color rgb="FF63BE7B"/>
      </colorScale>
    </cfRule>
    <cfRule type="colorScale" priority="275">
      <colorScale>
        <cfvo type="min"/>
        <cfvo type="percentile" val="50"/>
        <cfvo type="max"/>
        <color rgb="FFF8696B"/>
        <color rgb="FFFFEB84"/>
        <color rgb="FF63BE7B"/>
      </colorScale>
    </cfRule>
  </conditionalFormatting>
  <conditionalFormatting sqref="T6:T23">
    <cfRule type="colorScale" priority="271">
      <colorScale>
        <cfvo type="min"/>
        <cfvo type="percentile" val="50"/>
        <cfvo type="max"/>
        <color rgb="FFF8696B"/>
        <color rgb="FFFFEB84"/>
        <color rgb="FF63BE7B"/>
      </colorScale>
    </cfRule>
    <cfRule type="colorScale" priority="272">
      <colorScale>
        <cfvo type="min"/>
        <cfvo type="percentile" val="50"/>
        <cfvo type="max"/>
        <color rgb="FFF8696B"/>
        <color rgb="FFFFEB84"/>
        <color rgb="FF63BE7B"/>
      </colorScale>
    </cfRule>
  </conditionalFormatting>
  <conditionalFormatting sqref="U50:U67">
    <cfRule type="cellIs" priority="236" operator="equal" dxfId="6">
      <formula>0</formula>
    </cfRule>
    <cfRule type="cellIs" priority="237" operator="lessThan" dxfId="7">
      <formula>0</formula>
    </cfRule>
    <cfRule type="cellIs" priority="238" operator="greaterThan" dxfId="6">
      <formula>0</formula>
    </cfRule>
    <cfRule type="colorScale" priority="239">
      <colorScale>
        <cfvo type="min"/>
        <cfvo type="percentile" val="50"/>
        <cfvo type="max"/>
        <color rgb="FFF8696B"/>
        <color rgb="FFFFEB84"/>
        <color rgb="FF63BE7B"/>
      </colorScale>
    </cfRule>
    <cfRule type="colorScale" priority="240">
      <colorScale>
        <cfvo type="min"/>
        <cfvo type="percentile" val="50"/>
        <cfvo type="max"/>
        <color rgb="FFF8696B"/>
        <color rgb="FFFFEB84"/>
        <color rgb="FF63BE7B"/>
      </colorScale>
    </cfRule>
  </conditionalFormatting>
  <conditionalFormatting sqref="U28:U45">
    <cfRule type="colorScale" priority="233">
      <colorScale>
        <cfvo type="min"/>
        <cfvo type="percentile" val="50"/>
        <cfvo type="max"/>
        <color rgb="FFF8696B"/>
        <color rgb="FFFFEB84"/>
        <color rgb="FF63BE7B"/>
      </colorScale>
    </cfRule>
    <cfRule type="colorScale" priority="234">
      <colorScale>
        <cfvo type="min"/>
        <cfvo type="percentile" val="50"/>
        <cfvo type="max"/>
        <color rgb="FFF8696B"/>
        <color rgb="FFFFEB84"/>
        <color rgb="FF63BE7B"/>
      </colorScale>
    </cfRule>
    <cfRule type="colorScale" priority="235">
      <colorScale>
        <cfvo type="min"/>
        <cfvo type="percentile" val="50"/>
        <cfvo type="max"/>
        <color rgb="FFF8696B"/>
        <color rgb="FFFFEB84"/>
        <color rgb="FF63BE7B"/>
      </colorScale>
    </cfRule>
  </conditionalFormatting>
  <conditionalFormatting sqref="U6:U23">
    <cfRule type="colorScale" priority="231">
      <colorScale>
        <cfvo type="min"/>
        <cfvo type="percentile" val="50"/>
        <cfvo type="max"/>
        <color rgb="FFF8696B"/>
        <color rgb="FFFFEB84"/>
        <color rgb="FF63BE7B"/>
      </colorScale>
    </cfRule>
    <cfRule type="colorScale" priority="232">
      <colorScale>
        <cfvo type="min"/>
        <cfvo type="percentile" val="50"/>
        <cfvo type="max"/>
        <color rgb="FFF8696B"/>
        <color rgb="FFFFEB84"/>
        <color rgb="FF63BE7B"/>
      </colorScale>
    </cfRule>
  </conditionalFormatting>
  <conditionalFormatting sqref="V50:V67">
    <cfRule type="cellIs" priority="196" operator="equal" dxfId="6">
      <formula>0</formula>
    </cfRule>
    <cfRule type="cellIs" priority="197" operator="lessThan" dxfId="7">
      <formula>0</formula>
    </cfRule>
    <cfRule type="cellIs" priority="198" operator="greaterThan" dxfId="6">
      <formula>0</formula>
    </cfRule>
    <cfRule type="colorScale" priority="199">
      <colorScale>
        <cfvo type="min"/>
        <cfvo type="percentile" val="50"/>
        <cfvo type="max"/>
        <color rgb="FFF8696B"/>
        <color rgb="FFFFEB84"/>
        <color rgb="FF63BE7B"/>
      </colorScale>
    </cfRule>
    <cfRule type="colorScale" priority="200">
      <colorScale>
        <cfvo type="min"/>
        <cfvo type="percentile" val="50"/>
        <cfvo type="max"/>
        <color rgb="FFF8696B"/>
        <color rgb="FFFFEB84"/>
        <color rgb="FF63BE7B"/>
      </colorScale>
    </cfRule>
  </conditionalFormatting>
  <conditionalFormatting sqref="V28:V45">
    <cfRule type="colorScale" priority="193">
      <colorScale>
        <cfvo type="min"/>
        <cfvo type="percentile" val="50"/>
        <cfvo type="max"/>
        <color rgb="FFF8696B"/>
        <color rgb="FFFFEB84"/>
        <color rgb="FF63BE7B"/>
      </colorScale>
    </cfRule>
    <cfRule type="colorScale" priority="194">
      <colorScale>
        <cfvo type="min"/>
        <cfvo type="percentile" val="50"/>
        <cfvo type="max"/>
        <color rgb="FFF8696B"/>
        <color rgb="FFFFEB84"/>
        <color rgb="FF63BE7B"/>
      </colorScale>
    </cfRule>
    <cfRule type="colorScale" priority="195">
      <colorScale>
        <cfvo type="min"/>
        <cfvo type="percentile" val="50"/>
        <cfvo type="max"/>
        <color rgb="FFF8696B"/>
        <color rgb="FFFFEB84"/>
        <color rgb="FF63BE7B"/>
      </colorScale>
    </cfRule>
  </conditionalFormatting>
  <conditionalFormatting sqref="V6:V23">
    <cfRule type="colorScale" priority="191">
      <colorScale>
        <cfvo type="min"/>
        <cfvo type="percentile" val="50"/>
        <cfvo type="max"/>
        <color rgb="FFF8696B"/>
        <color rgb="FFFFEB84"/>
        <color rgb="FF63BE7B"/>
      </colorScale>
    </cfRule>
    <cfRule type="colorScale" priority="192">
      <colorScale>
        <cfvo type="min"/>
        <cfvo type="percentile" val="50"/>
        <cfvo type="max"/>
        <color rgb="FFF8696B"/>
        <color rgb="FFFFEB84"/>
        <color rgb="FF63BE7B"/>
      </colorScale>
    </cfRule>
  </conditionalFormatting>
  <conditionalFormatting sqref="W50:W67">
    <cfRule type="cellIs" priority="156" operator="equal" dxfId="6">
      <formula>0</formula>
    </cfRule>
    <cfRule type="cellIs" priority="157" operator="lessThan" dxfId="7">
      <formula>0</formula>
    </cfRule>
    <cfRule type="cellIs" priority="158" operator="greaterThan" dxfId="6">
      <formula>0</formula>
    </cfRule>
    <cfRule type="colorScale" priority="159">
      <colorScale>
        <cfvo type="min"/>
        <cfvo type="percentile" val="50"/>
        <cfvo type="max"/>
        <color rgb="FFF8696B"/>
        <color rgb="FFFFEB84"/>
        <color rgb="FF63BE7B"/>
      </colorScale>
    </cfRule>
    <cfRule type="colorScale" priority="160">
      <colorScale>
        <cfvo type="min"/>
        <cfvo type="percentile" val="50"/>
        <cfvo type="max"/>
        <color rgb="FFF8696B"/>
        <color rgb="FFFFEB84"/>
        <color rgb="FF63BE7B"/>
      </colorScale>
    </cfRule>
  </conditionalFormatting>
  <conditionalFormatting sqref="W28:W45">
    <cfRule type="colorScale" priority="153">
      <colorScale>
        <cfvo type="min"/>
        <cfvo type="percentile" val="50"/>
        <cfvo type="max"/>
        <color rgb="FFF8696B"/>
        <color rgb="FFFFEB84"/>
        <color rgb="FF63BE7B"/>
      </colorScale>
    </cfRule>
    <cfRule type="colorScale" priority="154">
      <colorScale>
        <cfvo type="min"/>
        <cfvo type="percentile" val="50"/>
        <cfvo type="max"/>
        <color rgb="FFF8696B"/>
        <color rgb="FFFFEB84"/>
        <color rgb="FF63BE7B"/>
      </colorScale>
    </cfRule>
    <cfRule type="colorScale" priority="155">
      <colorScale>
        <cfvo type="min"/>
        <cfvo type="percentile" val="50"/>
        <cfvo type="max"/>
        <color rgb="FFF8696B"/>
        <color rgb="FFFFEB84"/>
        <color rgb="FF63BE7B"/>
      </colorScale>
    </cfRule>
  </conditionalFormatting>
  <conditionalFormatting sqref="W6:W23 AA6:AF23">
    <cfRule type="colorScale" priority="151">
      <colorScale>
        <cfvo type="min"/>
        <cfvo type="percentile" val="50"/>
        <cfvo type="max"/>
        <color rgb="FFF8696B"/>
        <color rgb="FFFFEB84"/>
        <color rgb="FF63BE7B"/>
      </colorScale>
    </cfRule>
    <cfRule type="colorScale" priority="152">
      <colorScale>
        <cfvo type="min"/>
        <cfvo type="percentile" val="50"/>
        <cfvo type="max"/>
        <color rgb="FFF8696B"/>
        <color rgb="FFFFEB84"/>
        <color rgb="FF63BE7B"/>
      </colorScale>
    </cfRule>
  </conditionalFormatting>
  <conditionalFormatting sqref="X50:X67 AA50:AF67">
    <cfRule type="cellIs" priority="116" operator="equal" dxfId="6">
      <formula>0</formula>
    </cfRule>
    <cfRule type="cellIs" priority="117" operator="lessThan" dxfId="7">
      <formula>0</formula>
    </cfRule>
    <cfRule type="cellIs" priority="118" operator="greaterThan" dxfId="6">
      <formula>0</formula>
    </cfRule>
    <cfRule type="colorScale" priority="119">
      <colorScale>
        <cfvo type="min"/>
        <cfvo type="percentile" val="50"/>
        <cfvo type="max"/>
        <color rgb="FFF8696B"/>
        <color rgb="FFFFEB84"/>
        <color rgb="FF63BE7B"/>
      </colorScale>
    </cfRule>
    <cfRule type="colorScale" priority="120">
      <colorScale>
        <cfvo type="min"/>
        <cfvo type="percentile" val="50"/>
        <cfvo type="max"/>
        <color rgb="FFF8696B"/>
        <color rgb="FFFFEB84"/>
        <color rgb="FF63BE7B"/>
      </colorScale>
    </cfRule>
  </conditionalFormatting>
  <conditionalFormatting sqref="X28:X45 AA28:AF45">
    <cfRule type="colorScale" priority="113">
      <colorScale>
        <cfvo type="min"/>
        <cfvo type="percentile" val="50"/>
        <cfvo type="max"/>
        <color rgb="FFF8696B"/>
        <color rgb="FFFFEB84"/>
        <color rgb="FF63BE7B"/>
      </colorScale>
    </cfRule>
    <cfRule type="colorScale" priority="114">
      <colorScale>
        <cfvo type="min"/>
        <cfvo type="percentile" val="50"/>
        <cfvo type="max"/>
        <color rgb="FFF8696B"/>
        <color rgb="FFFFEB84"/>
        <color rgb="FF63BE7B"/>
      </colorScale>
    </cfRule>
    <cfRule type="colorScale" priority="115">
      <colorScale>
        <cfvo type="min"/>
        <cfvo type="percentile" val="50"/>
        <cfvo type="max"/>
        <color rgb="FFF8696B"/>
        <color rgb="FFFFEB84"/>
        <color rgb="FF63BE7B"/>
      </colorScale>
    </cfRule>
  </conditionalFormatting>
  <conditionalFormatting sqref="X6:X23">
    <cfRule type="colorScale" priority="111">
      <colorScale>
        <cfvo type="min"/>
        <cfvo type="percentile" val="50"/>
        <cfvo type="max"/>
        <color rgb="FFF8696B"/>
        <color rgb="FFFFEB84"/>
        <color rgb="FF63BE7B"/>
      </colorScale>
    </cfRule>
    <cfRule type="colorScale" priority="112">
      <colorScale>
        <cfvo type="min"/>
        <cfvo type="percentile" val="50"/>
        <cfvo type="max"/>
        <color rgb="FFF8696B"/>
        <color rgb="FFFFEB84"/>
        <color rgb="FF63BE7B"/>
      </colorScale>
    </cfRule>
  </conditionalFormatting>
  <conditionalFormatting sqref="Y50:Y67">
    <cfRule type="cellIs" priority="76" operator="equal" dxfId="6">
      <formula>0</formula>
    </cfRule>
    <cfRule type="cellIs" priority="77" operator="lessThan" dxfId="7">
      <formula>0</formula>
    </cfRule>
    <cfRule type="cellIs" priority="78" operator="greaterThan" dxfId="6">
      <formula>0</formula>
    </cfRule>
    <cfRule type="colorScale" priority="79">
      <colorScale>
        <cfvo type="min"/>
        <cfvo type="percentile" val="50"/>
        <cfvo type="max"/>
        <color rgb="FFF8696B"/>
        <color rgb="FFFFEB84"/>
        <color rgb="FF63BE7B"/>
      </colorScale>
    </cfRule>
    <cfRule type="colorScale" priority="80">
      <colorScale>
        <cfvo type="min"/>
        <cfvo type="percentile" val="50"/>
        <cfvo type="max"/>
        <color rgb="FFF8696B"/>
        <color rgb="FFFFEB84"/>
        <color rgb="FF63BE7B"/>
      </colorScale>
    </cfRule>
  </conditionalFormatting>
  <conditionalFormatting sqref="Y28:Y45">
    <cfRule type="colorScale" priority="73">
      <colorScale>
        <cfvo type="min"/>
        <cfvo type="percentile" val="50"/>
        <cfvo type="max"/>
        <color rgb="FFF8696B"/>
        <color rgb="FFFFEB84"/>
        <color rgb="FF63BE7B"/>
      </colorScale>
    </cfRule>
    <cfRule type="colorScale" priority="74">
      <colorScale>
        <cfvo type="min"/>
        <cfvo type="percentile" val="50"/>
        <cfvo type="max"/>
        <color rgb="FFF8696B"/>
        <color rgb="FFFFEB84"/>
        <color rgb="FF63BE7B"/>
      </colorScale>
    </cfRule>
    <cfRule type="colorScale" priority="75">
      <colorScale>
        <cfvo type="min"/>
        <cfvo type="percentile" val="50"/>
        <cfvo type="max"/>
        <color rgb="FFF8696B"/>
        <color rgb="FFFFEB84"/>
        <color rgb="FF63BE7B"/>
      </colorScale>
    </cfRule>
  </conditionalFormatting>
  <conditionalFormatting sqref="Y6:Y23">
    <cfRule type="colorScale" priority="71">
      <colorScale>
        <cfvo type="min"/>
        <cfvo type="percentile" val="50"/>
        <cfvo type="max"/>
        <color rgb="FFF8696B"/>
        <color rgb="FFFFEB84"/>
        <color rgb="FF63BE7B"/>
      </colorScale>
    </cfRule>
    <cfRule type="colorScale" priority="72">
      <colorScale>
        <cfvo type="min"/>
        <cfvo type="percentile" val="50"/>
        <cfvo type="max"/>
        <color rgb="FFF8696B"/>
        <color rgb="FFFFEB84"/>
        <color rgb="FF63BE7B"/>
      </colorScale>
    </cfRule>
  </conditionalFormatting>
  <conditionalFormatting sqref="Z50:Z67">
    <cfRule type="cellIs" priority="36" operator="equal" dxfId="6">
      <formula>0</formula>
    </cfRule>
    <cfRule type="cellIs" priority="37" operator="lessThan" dxfId="7">
      <formula>0</formula>
    </cfRule>
    <cfRule type="cellIs" priority="38" operator="greaterThan" dxfId="6">
      <formula>0</formula>
    </cfRule>
    <cfRule type="colorScale" priority="39">
      <colorScale>
        <cfvo type="min"/>
        <cfvo type="percentile" val="50"/>
        <cfvo type="max"/>
        <color rgb="FFF8696B"/>
        <color rgb="FFFFEB84"/>
        <color rgb="FF63BE7B"/>
      </colorScale>
    </cfRule>
    <cfRule type="colorScale" priority="40">
      <colorScale>
        <cfvo type="min"/>
        <cfvo type="percentile" val="50"/>
        <cfvo type="max"/>
        <color rgb="FFF8696B"/>
        <color rgb="FFFFEB84"/>
        <color rgb="FF63BE7B"/>
      </colorScale>
    </cfRule>
  </conditionalFormatting>
  <conditionalFormatting sqref="Z28:Z45">
    <cfRule type="colorScale" priority="33">
      <colorScale>
        <cfvo type="min"/>
        <cfvo type="percentile" val="50"/>
        <cfvo type="max"/>
        <color rgb="FFF8696B"/>
        <color rgb="FFFFEB84"/>
        <color rgb="FF63BE7B"/>
      </colorScale>
    </cfRule>
    <cfRule type="colorScale" priority="34">
      <colorScale>
        <cfvo type="min"/>
        <cfvo type="percentile" val="50"/>
        <cfvo type="max"/>
        <color rgb="FFF8696B"/>
        <color rgb="FFFFEB84"/>
        <color rgb="FF63BE7B"/>
      </colorScale>
    </cfRule>
    <cfRule type="colorScale" priority="35">
      <colorScale>
        <cfvo type="min"/>
        <cfvo type="percentile" val="50"/>
        <cfvo type="max"/>
        <color rgb="FFF8696B"/>
        <color rgb="FFFFEB84"/>
        <color rgb="FF63BE7B"/>
      </colorScale>
    </cfRule>
  </conditionalFormatting>
  <conditionalFormatting sqref="Z6:Z23">
    <cfRule type="colorScale" priority="31">
      <colorScale>
        <cfvo type="min"/>
        <cfvo type="percentile" val="50"/>
        <cfvo type="max"/>
        <color rgb="FFF8696B"/>
        <color rgb="FFFFEB84"/>
        <color rgb="FF63BE7B"/>
      </colorScale>
    </cfRule>
    <cfRule type="colorScale" priority="32">
      <colorScale>
        <cfvo type="min"/>
        <cfvo type="percentile" val="50"/>
        <cfvo type="max"/>
        <color rgb="FFF8696B"/>
        <color rgb="FFFFEB84"/>
        <color rgb="FF63BE7B"/>
      </colorScale>
    </cfRule>
  </conditionalFormatting>
  <conditionalFormatting sqref="AH28:AH45">
    <cfRule type="cellIs" priority="26" operator="equal" dxfId="6">
      <formula>0</formula>
    </cfRule>
    <cfRule type="cellIs" priority="27" operator="lessThan" dxfId="7">
      <formula>0</formula>
    </cfRule>
    <cfRule type="cellIs" priority="28" operator="greaterThan" dxfId="6">
      <formula>0</formula>
    </cfRule>
    <cfRule type="colorScale" priority="29">
      <colorScale>
        <cfvo type="min"/>
        <cfvo type="percentile" val="50"/>
        <cfvo type="max"/>
        <color rgb="FFF8696B"/>
        <color rgb="FFFFEB84"/>
        <color rgb="FF63BE7B"/>
      </colorScale>
    </cfRule>
    <cfRule type="colorScale" priority="30">
      <colorScale>
        <cfvo type="min"/>
        <cfvo type="percentile" val="50"/>
        <cfvo type="max"/>
        <color rgb="FFF8696B"/>
        <color rgb="FFFFEB84"/>
        <color rgb="FF63BE7B"/>
      </colorScale>
    </cfRule>
  </conditionalFormatting>
  <conditionalFormatting sqref="AI28:AI45">
    <cfRule type="cellIs" priority="21" operator="equal" dxfId="6">
      <formula>0</formula>
    </cfRule>
    <cfRule type="cellIs" priority="22" operator="lessThan" dxfId="7">
      <formula>0</formula>
    </cfRule>
    <cfRule type="cellIs" priority="23" operator="greaterThan" dxfId="6">
      <formula>0</formula>
    </cfRule>
    <cfRule type="colorScale" priority="24">
      <colorScale>
        <cfvo type="min"/>
        <cfvo type="percentile" val="50"/>
        <cfvo type="max"/>
        <color rgb="FFF8696B"/>
        <color rgb="FFFFEB84"/>
        <color rgb="FF63BE7B"/>
      </colorScale>
    </cfRule>
    <cfRule type="colorScale" priority="25">
      <colorScale>
        <cfvo type="min"/>
        <cfvo type="percentile" val="50"/>
        <cfvo type="max"/>
        <color rgb="FFF8696B"/>
        <color rgb="FFFFEB84"/>
        <color rgb="FF63BE7B"/>
      </colorScale>
    </cfRule>
  </conditionalFormatting>
  <conditionalFormatting sqref="AJ28:AJ45">
    <cfRule type="cellIs" priority="16" operator="equal" dxfId="6">
      <formula>0</formula>
    </cfRule>
    <cfRule type="cellIs" priority="17" operator="lessThan" dxfId="7">
      <formula>0</formula>
    </cfRule>
    <cfRule type="cellIs" priority="18" operator="greaterThan" dxfId="6">
      <formula>0</formula>
    </cfRule>
    <cfRule type="colorScale" priority="19">
      <colorScale>
        <cfvo type="min"/>
        <cfvo type="percentile" val="50"/>
        <cfvo type="max"/>
        <color rgb="FFF8696B"/>
        <color rgb="FFFFEB84"/>
        <color rgb="FF63BE7B"/>
      </colorScale>
    </cfRule>
    <cfRule type="colorScale" priority="20">
      <colorScale>
        <cfvo type="min"/>
        <cfvo type="percentile" val="50"/>
        <cfvo type="max"/>
        <color rgb="FFF8696B"/>
        <color rgb="FFFFEB84"/>
        <color rgb="FF63BE7B"/>
      </colorScale>
    </cfRule>
  </conditionalFormatting>
  <conditionalFormatting sqref="AH50:AH67">
    <cfRule type="cellIs" priority="11" operator="equal" dxfId="6">
      <formula>0</formula>
    </cfRule>
    <cfRule type="cellIs" priority="12" operator="lessThan" dxfId="7">
      <formula>0</formula>
    </cfRule>
    <cfRule type="cellIs" priority="13" operator="greaterThan" dxfId="6">
      <formula>0</formula>
    </cfRule>
    <cfRule type="colorScale" priority="14">
      <colorScale>
        <cfvo type="min"/>
        <cfvo type="percentile" val="50"/>
        <cfvo type="max"/>
        <color rgb="FFF8696B"/>
        <color rgb="FFFFEB84"/>
        <color rgb="FF63BE7B"/>
      </colorScale>
    </cfRule>
    <cfRule type="colorScale" priority="15">
      <colorScale>
        <cfvo type="min"/>
        <cfvo type="percentile" val="50"/>
        <cfvo type="max"/>
        <color rgb="FFF8696B"/>
        <color rgb="FFFFEB84"/>
        <color rgb="FF63BE7B"/>
      </colorScale>
    </cfRule>
  </conditionalFormatting>
  <conditionalFormatting sqref="AI50:AI67">
    <cfRule type="cellIs" priority="6" operator="equal" dxfId="6">
      <formula>0</formula>
    </cfRule>
    <cfRule type="cellIs" priority="7" operator="lessThan" dxfId="7">
      <formula>0</formula>
    </cfRule>
    <cfRule type="cellIs" priority="8" operator="greaterThan" dxfId="6">
      <formula>0</formula>
    </cfRule>
    <cfRule type="colorScale" priority="9">
      <colorScale>
        <cfvo type="min"/>
        <cfvo type="percentile" val="50"/>
        <cfvo type="max"/>
        <color rgb="FFF8696B"/>
        <color rgb="FFFFEB84"/>
        <color rgb="FF63BE7B"/>
      </colorScale>
    </cfRule>
    <cfRule type="colorScale" priority="10">
      <colorScale>
        <cfvo type="min"/>
        <cfvo type="percentile" val="50"/>
        <cfvo type="max"/>
        <color rgb="FFF8696B"/>
        <color rgb="FFFFEB84"/>
        <color rgb="FF63BE7B"/>
      </colorScale>
    </cfRule>
  </conditionalFormatting>
  <conditionalFormatting sqref="AJ50:AJ67">
    <cfRule type="cellIs" priority="1" operator="equal" dxfId="6">
      <formula>0</formula>
    </cfRule>
    <cfRule type="cellIs" priority="2" operator="lessThan" dxfId="7">
      <formula>0</formula>
    </cfRule>
    <cfRule type="cellIs" priority="3" operator="greaterThan" dxfId="6">
      <formula>0</formula>
    </cfRule>
    <cfRule type="colorScale" priority="4">
      <colorScale>
        <cfvo type="min"/>
        <cfvo type="percentile" val="50"/>
        <cfvo type="max"/>
        <color rgb="FFF8696B"/>
        <color rgb="FFFFEB84"/>
        <color rgb="FF63BE7B"/>
      </colorScale>
    </cfRule>
    <cfRule type="colorScale" priority="5">
      <colorScale>
        <cfvo type="min"/>
        <cfvo type="percentile" val="50"/>
        <cfvo type="max"/>
        <color rgb="FFF8696B"/>
        <color rgb="FFFFEB84"/>
        <color rgb="FF63BE7B"/>
      </colorScale>
    </cfRule>
  </conditionalFormatting>
  <pageMargins left="0.7" right="0.7" top="0.75" bottom="0.75" header="0.3" footer="0.3"/>
  <pageSetup orientation="portrait" paperSize="9"/>
</worksheet>
</file>

<file path=xl/worksheets/sheet10.xml><?xml version="1.0" encoding="utf-8"?>
<worksheet xmlns="http://schemas.openxmlformats.org/spreadsheetml/2006/main">
  <sheetPr>
    <outlinePr summaryBelow="1" summaryRight="1"/>
    <pageSetUpPr/>
  </sheetPr>
  <dimension ref="A1:L305"/>
  <sheetViews>
    <sheetView zoomScale="170" zoomScaleNormal="170" workbookViewId="0">
      <pane xSplit="1" ySplit="5" topLeftCell="B281" activePane="bottomRight" state="frozen"/>
      <selection pane="topRight" activeCell="B1" sqref="B1"/>
      <selection pane="bottomLeft" activeCell="A6" sqref="A6"/>
      <selection pane="bottomRight" activeCell="N308" sqref="N308"/>
    </sheetView>
  </sheetViews>
  <sheetFormatPr baseColWidth="10" defaultColWidth="9.1640625" defaultRowHeight="15"/>
  <cols>
    <col width="12" customWidth="1" style="70" min="1" max="1"/>
    <col width="13.1640625" customWidth="1" style="70" min="2" max="2"/>
    <col width="11.5" customWidth="1" style="70" min="3" max="9"/>
    <col width="12.1640625" customWidth="1" style="70" min="10" max="10"/>
    <col width="11.5" customWidth="1" style="70" min="11" max="11"/>
    <col width="15.33203125" customWidth="1" style="70" min="12" max="12"/>
    <col width="9.1640625" customWidth="1" style="70" min="13" max="27"/>
    <col width="9.1640625" customWidth="1" style="70" min="28" max="16384"/>
  </cols>
  <sheetData>
    <row r="1">
      <c r="A1" s="28" t="n"/>
      <c r="B1" s="28" t="n"/>
      <c r="J1" s="45" t="n"/>
    </row>
    <row r="2">
      <c r="C2" s="45" t="n"/>
      <c r="D2" s="45" t="n"/>
    </row>
    <row r="3">
      <c r="C3" s="45" t="n"/>
      <c r="D3" s="45" t="n"/>
    </row>
    <row r="4" ht="16" customHeight="1" s="65" thickBot="1">
      <c r="C4" s="45" t="n"/>
      <c r="D4" s="45" t="n"/>
    </row>
    <row r="5" ht="39" customHeight="1" s="65" thickBot="1">
      <c r="A5" s="46" t="inlineStr">
        <is>
          <t>Date</t>
        </is>
      </c>
      <c r="B5" s="47" t="inlineStr">
        <is>
          <t>New Orders</t>
        </is>
      </c>
      <c r="C5" s="47" t="inlineStr">
        <is>
          <t>Imports</t>
        </is>
      </c>
      <c r="D5" s="47" t="inlineStr">
        <is>
          <t>Backlog Of Orders</t>
        </is>
      </c>
      <c r="E5" s="47" t="inlineStr">
        <is>
          <t>Prices</t>
        </is>
      </c>
      <c r="F5" s="47" t="inlineStr">
        <is>
          <t>Business Activity</t>
        </is>
      </c>
      <c r="G5" s="47" t="inlineStr">
        <is>
          <t>Inventory Sentiment</t>
        </is>
      </c>
      <c r="H5" s="47" t="inlineStr">
        <is>
          <t>Inventories</t>
        </is>
      </c>
      <c r="I5" s="47" t="inlineStr">
        <is>
          <t>Deliveries</t>
        </is>
      </c>
      <c r="J5" s="47" t="inlineStr">
        <is>
          <t>Employment</t>
        </is>
      </c>
      <c r="K5" s="47" t="inlineStr">
        <is>
          <t>Exports</t>
        </is>
      </c>
      <c r="L5" s="48" t="inlineStr">
        <is>
          <t>ISM Services</t>
        </is>
      </c>
    </row>
    <row r="6" ht="14.25" customHeight="1" s="65">
      <c r="A6" s="49" t="n">
        <v>35612</v>
      </c>
      <c r="B6" s="50">
        <f>IF(VLOOKUP(Table91213[[#This Row],[Date]],'DB Details'!$A:$Q,2)=0,"",VLOOKUP(Table91213[[#This Row],[Date]],'DB Details'!$A:$Q,2))</f>
        <v/>
      </c>
      <c r="C6" s="51">
        <f>IF(VLOOKUP(Table91213[[#This Row],[Date]],'DB Details'!$A:$Q,3)=0,"",VLOOKUP(Table91213[[#This Row],[Date]],'DB Details'!$A:$Q,3))</f>
        <v/>
      </c>
      <c r="D6" s="51">
        <f>IF(VLOOKUP(Table91213[[#This Row],[Date]],'DB Details'!$A:$Q,4)=0,"",VLOOKUP(Table91213[[#This Row],[Date]],'DB Details'!$A:$Q,4))</f>
        <v/>
      </c>
      <c r="E6" s="52">
        <f>IF(VLOOKUP(Table91213[[#This Row],[Date]],'DB Details'!$A:$Q,5)=0,"",VLOOKUP(Table91213[[#This Row],[Date]],'DB Details'!$A:$Q,5))</f>
        <v/>
      </c>
      <c r="F6" s="51">
        <f>IF(VLOOKUP(Table91213[[#This Row],[Date]],'DB Details'!$A:$Q,6)=0,"",VLOOKUP(Table91213[[#This Row],[Date]],'DB Details'!$A:$Q,6))</f>
        <v/>
      </c>
      <c r="G6" s="52">
        <f>IF(VLOOKUP(Table91213[[#This Row],[Date]],'DB Details'!$A:$Q,7)=0,"",VLOOKUP(Table91213[[#This Row],[Date]],'DB Details'!$A:$Q,7))</f>
        <v/>
      </c>
      <c r="H6" s="52">
        <f>IF(VLOOKUP(Table91213[[#This Row],[Date]],'DB Details'!$A:$Q,8)=0,"",VLOOKUP(Table91213[[#This Row],[Date]],'DB Details'!$A:$Q,8))</f>
        <v/>
      </c>
      <c r="I6" s="52">
        <f>IF(VLOOKUP(Table91213[[#This Row],[Date]],'DB Details'!$A:$Q,9)=0,"",VLOOKUP(Table91213[[#This Row],[Date]],'DB Details'!$A:$Q,9))</f>
        <v/>
      </c>
      <c r="J6" s="52">
        <f>IF(VLOOKUP(Table91213[[#This Row],[Date]],'DB Details'!$A:$Q,10)=0,"",VLOOKUP(Table91213[[#This Row],[Date]],'DB Details'!$A:$Q,10))</f>
        <v/>
      </c>
      <c r="K6" s="52">
        <f>IF(VLOOKUP(Table91213[[#This Row],[Date]],'DB Details'!$A:$Q,11)=0,"",VLOOKUP(Table91213[[#This Row],[Date]],'DB Details'!$A:$Q,11))</f>
        <v/>
      </c>
      <c r="L6" s="50">
        <f>IF(VLOOKUP(Table91213[[#This Row],[Date]],'DB Details'!$A:$Q,12)=0,"",VLOOKUP(Table91213[[#This Row],[Date]],'DB Details'!$A:$Q,12))</f>
        <v/>
      </c>
    </row>
    <row r="7" ht="14.25" customHeight="1" s="65">
      <c r="A7" s="53" t="n">
        <v>35643</v>
      </c>
      <c r="B7" s="50">
        <f>IF(VLOOKUP(Table91213[[#This Row],[Date]],'DB Details'!$A:$Q,2)=0,"",VLOOKUP(Table91213[[#This Row],[Date]],'DB Details'!$A:$Q,2))</f>
        <v/>
      </c>
      <c r="C7" s="51">
        <f>IF(VLOOKUP(Table91213[[#This Row],[Date]],'DB Details'!$A:$Q,3)=0,"",VLOOKUP(Table91213[[#This Row],[Date]],'DB Details'!$A:$Q,3))</f>
        <v/>
      </c>
      <c r="D7" s="51">
        <f>IF(VLOOKUP(Table91213[[#This Row],[Date]],'DB Details'!$A:$Q,4)=0,"",VLOOKUP(Table91213[[#This Row],[Date]],'DB Details'!$A:$Q,4))</f>
        <v/>
      </c>
      <c r="E7" s="52">
        <f>IF(VLOOKUP(Table91213[[#This Row],[Date]],'DB Details'!$A:$Q,5)=0,"",VLOOKUP(Table91213[[#This Row],[Date]],'DB Details'!$A:$Q,5))</f>
        <v/>
      </c>
      <c r="F7" s="51">
        <f>IF(VLOOKUP(Table91213[[#This Row],[Date]],'DB Details'!$A:$Q,6)=0,"",VLOOKUP(Table91213[[#This Row],[Date]],'DB Details'!$A:$Q,6))</f>
        <v/>
      </c>
      <c r="G7" s="52">
        <f>IF(VLOOKUP(Table91213[[#This Row],[Date]],'DB Details'!$A:$Q,7)=0,"",VLOOKUP(Table91213[[#This Row],[Date]],'DB Details'!$A:$Q,7))</f>
        <v/>
      </c>
      <c r="H7" s="52">
        <f>IF(VLOOKUP(Table91213[[#This Row],[Date]],'DB Details'!$A:$Q,8)=0,"",VLOOKUP(Table91213[[#This Row],[Date]],'DB Details'!$A:$Q,8))</f>
        <v/>
      </c>
      <c r="I7" s="52">
        <f>IF(VLOOKUP(Table91213[[#This Row],[Date]],'DB Details'!$A:$Q,9)=0,"",VLOOKUP(Table91213[[#This Row],[Date]],'DB Details'!$A:$Q,9))</f>
        <v/>
      </c>
      <c r="J7" s="52">
        <f>IF(VLOOKUP(Table91213[[#This Row],[Date]],'DB Details'!$A:$Q,10)=0,"",VLOOKUP(Table91213[[#This Row],[Date]],'DB Details'!$A:$Q,10))</f>
        <v/>
      </c>
      <c r="K7" s="52">
        <f>IF(VLOOKUP(Table91213[[#This Row],[Date]],'DB Details'!$A:$Q,11)=0,"",VLOOKUP(Table91213[[#This Row],[Date]],'DB Details'!$A:$Q,11))</f>
        <v/>
      </c>
      <c r="L7" s="50">
        <f>IF(VLOOKUP(Table91213[[#This Row],[Date]],'DB Details'!$A:$Q,12)=0,"",VLOOKUP(Table91213[[#This Row],[Date]],'DB Details'!$A:$Q,12))</f>
        <v/>
      </c>
    </row>
    <row r="8" ht="14.25" customHeight="1" s="65">
      <c r="A8" s="49" t="n">
        <v>35674</v>
      </c>
      <c r="B8" s="50">
        <f>IF(VLOOKUP(Table91213[[#This Row],[Date]],'DB Details'!$A:$Q,2)=0,"",VLOOKUP(Table91213[[#This Row],[Date]],'DB Details'!$A:$Q,2))</f>
        <v/>
      </c>
      <c r="C8" s="51">
        <f>IF(VLOOKUP(Table91213[[#This Row],[Date]],'DB Details'!$A:$Q,3)=0,"",VLOOKUP(Table91213[[#This Row],[Date]],'DB Details'!$A:$Q,3))</f>
        <v/>
      </c>
      <c r="D8" s="51">
        <f>IF(VLOOKUP(Table91213[[#This Row],[Date]],'DB Details'!$A:$Q,4)=0,"",VLOOKUP(Table91213[[#This Row],[Date]],'DB Details'!$A:$Q,4))</f>
        <v/>
      </c>
      <c r="E8" s="52">
        <f>IF(VLOOKUP(Table91213[[#This Row],[Date]],'DB Details'!$A:$Q,5)=0,"",VLOOKUP(Table91213[[#This Row],[Date]],'DB Details'!$A:$Q,5))</f>
        <v/>
      </c>
      <c r="F8" s="51">
        <f>IF(VLOOKUP(Table91213[[#This Row],[Date]],'DB Details'!$A:$Q,6)=0,"",VLOOKUP(Table91213[[#This Row],[Date]],'DB Details'!$A:$Q,6))</f>
        <v/>
      </c>
      <c r="G8" s="52">
        <f>IF(VLOOKUP(Table91213[[#This Row],[Date]],'DB Details'!$A:$Q,7)=0,"",VLOOKUP(Table91213[[#This Row],[Date]],'DB Details'!$A:$Q,7))</f>
        <v/>
      </c>
      <c r="H8" s="52">
        <f>IF(VLOOKUP(Table91213[[#This Row],[Date]],'DB Details'!$A:$Q,8)=0,"",VLOOKUP(Table91213[[#This Row],[Date]],'DB Details'!$A:$Q,8))</f>
        <v/>
      </c>
      <c r="I8" s="52">
        <f>IF(VLOOKUP(Table91213[[#This Row],[Date]],'DB Details'!$A:$Q,9)=0,"",VLOOKUP(Table91213[[#This Row],[Date]],'DB Details'!$A:$Q,9))</f>
        <v/>
      </c>
      <c r="J8" s="52">
        <f>IF(VLOOKUP(Table91213[[#This Row],[Date]],'DB Details'!$A:$Q,10)=0,"",VLOOKUP(Table91213[[#This Row],[Date]],'DB Details'!$A:$Q,10))</f>
        <v/>
      </c>
      <c r="K8" s="52">
        <f>IF(VLOOKUP(Table91213[[#This Row],[Date]],'DB Details'!$A:$Q,11)=0,"",VLOOKUP(Table91213[[#This Row],[Date]],'DB Details'!$A:$Q,11))</f>
        <v/>
      </c>
      <c r="L8" s="50">
        <f>IF(VLOOKUP(Table91213[[#This Row],[Date]],'DB Details'!$A:$Q,12)=0,"",VLOOKUP(Table91213[[#This Row],[Date]],'DB Details'!$A:$Q,12))</f>
        <v/>
      </c>
    </row>
    <row r="9" ht="14.25" customHeight="1" s="65">
      <c r="A9" s="53" t="n">
        <v>35704</v>
      </c>
      <c r="B9" s="50">
        <f>IF(VLOOKUP(Table91213[[#This Row],[Date]],'DB Details'!$A:$Q,2)=0,"",VLOOKUP(Table91213[[#This Row],[Date]],'DB Details'!$A:$Q,2))</f>
        <v/>
      </c>
      <c r="C9" s="51">
        <f>IF(VLOOKUP(Table91213[[#This Row],[Date]],'DB Details'!$A:$Q,3)=0,"",VLOOKUP(Table91213[[#This Row],[Date]],'DB Details'!$A:$Q,3))</f>
        <v/>
      </c>
      <c r="D9" s="51">
        <f>IF(VLOOKUP(Table91213[[#This Row],[Date]],'DB Details'!$A:$Q,4)=0,"",VLOOKUP(Table91213[[#This Row],[Date]],'DB Details'!$A:$Q,4))</f>
        <v/>
      </c>
      <c r="E9" s="52">
        <f>IF(VLOOKUP(Table91213[[#This Row],[Date]],'DB Details'!$A:$Q,5)=0,"",VLOOKUP(Table91213[[#This Row],[Date]],'DB Details'!$A:$Q,5))</f>
        <v/>
      </c>
      <c r="F9" s="51">
        <f>IF(VLOOKUP(Table91213[[#This Row],[Date]],'DB Details'!$A:$Q,6)=0,"",VLOOKUP(Table91213[[#This Row],[Date]],'DB Details'!$A:$Q,6))</f>
        <v/>
      </c>
      <c r="G9" s="52">
        <f>IF(VLOOKUP(Table91213[[#This Row],[Date]],'DB Details'!$A:$Q,7)=0,"",VLOOKUP(Table91213[[#This Row],[Date]],'DB Details'!$A:$Q,7))</f>
        <v/>
      </c>
      <c r="H9" s="52">
        <f>IF(VLOOKUP(Table91213[[#This Row],[Date]],'DB Details'!$A:$Q,8)=0,"",VLOOKUP(Table91213[[#This Row],[Date]],'DB Details'!$A:$Q,8))</f>
        <v/>
      </c>
      <c r="I9" s="52">
        <f>IF(VLOOKUP(Table91213[[#This Row],[Date]],'DB Details'!$A:$Q,9)=0,"",VLOOKUP(Table91213[[#This Row],[Date]],'DB Details'!$A:$Q,9))</f>
        <v/>
      </c>
      <c r="J9" s="52">
        <f>IF(VLOOKUP(Table91213[[#This Row],[Date]],'DB Details'!$A:$Q,10)=0,"",VLOOKUP(Table91213[[#This Row],[Date]],'DB Details'!$A:$Q,10))</f>
        <v/>
      </c>
      <c r="K9" s="52">
        <f>IF(VLOOKUP(Table91213[[#This Row],[Date]],'DB Details'!$A:$Q,11)=0,"",VLOOKUP(Table91213[[#This Row],[Date]],'DB Details'!$A:$Q,11))</f>
        <v/>
      </c>
      <c r="L9" s="50">
        <f>IF(VLOOKUP(Table91213[[#This Row],[Date]],'DB Details'!$A:$Q,12)=0,"",VLOOKUP(Table91213[[#This Row],[Date]],'DB Details'!$A:$Q,12))</f>
        <v/>
      </c>
    </row>
    <row r="10" ht="14.25" customHeight="1" s="65">
      <c r="A10" s="49" t="n">
        <v>35735</v>
      </c>
      <c r="B10" s="50">
        <f>IF(VLOOKUP(Table91213[[#This Row],[Date]],'DB Details'!$A:$Q,2)=0,"",VLOOKUP(Table91213[[#This Row],[Date]],'DB Details'!$A:$Q,2))</f>
        <v/>
      </c>
      <c r="C10" s="51">
        <f>IF(VLOOKUP(Table91213[[#This Row],[Date]],'DB Details'!$A:$Q,3)=0,"",VLOOKUP(Table91213[[#This Row],[Date]],'DB Details'!$A:$Q,3))</f>
        <v/>
      </c>
      <c r="D10" s="51">
        <f>IF(VLOOKUP(Table91213[[#This Row],[Date]],'DB Details'!$A:$Q,4)=0,"",VLOOKUP(Table91213[[#This Row],[Date]],'DB Details'!$A:$Q,4))</f>
        <v/>
      </c>
      <c r="E10" s="52">
        <f>IF(VLOOKUP(Table91213[[#This Row],[Date]],'DB Details'!$A:$Q,5)=0,"",VLOOKUP(Table91213[[#This Row],[Date]],'DB Details'!$A:$Q,5))</f>
        <v/>
      </c>
      <c r="F10" s="51">
        <f>IF(VLOOKUP(Table91213[[#This Row],[Date]],'DB Details'!$A:$Q,6)=0,"",VLOOKUP(Table91213[[#This Row],[Date]],'DB Details'!$A:$Q,6))</f>
        <v/>
      </c>
      <c r="G10" s="52">
        <f>IF(VLOOKUP(Table91213[[#This Row],[Date]],'DB Details'!$A:$Q,7)=0,"",VLOOKUP(Table91213[[#This Row],[Date]],'DB Details'!$A:$Q,7))</f>
        <v/>
      </c>
      <c r="H10" s="52">
        <f>IF(VLOOKUP(Table91213[[#This Row],[Date]],'DB Details'!$A:$Q,8)=0,"",VLOOKUP(Table91213[[#This Row],[Date]],'DB Details'!$A:$Q,8))</f>
        <v/>
      </c>
      <c r="I10" s="52">
        <f>IF(VLOOKUP(Table91213[[#This Row],[Date]],'DB Details'!$A:$Q,9)=0,"",VLOOKUP(Table91213[[#This Row],[Date]],'DB Details'!$A:$Q,9))</f>
        <v/>
      </c>
      <c r="J10" s="52">
        <f>IF(VLOOKUP(Table91213[[#This Row],[Date]],'DB Details'!$A:$Q,10)=0,"",VLOOKUP(Table91213[[#This Row],[Date]],'DB Details'!$A:$Q,10))</f>
        <v/>
      </c>
      <c r="K10" s="52">
        <f>IF(VLOOKUP(Table91213[[#This Row],[Date]],'DB Details'!$A:$Q,11)=0,"",VLOOKUP(Table91213[[#This Row],[Date]],'DB Details'!$A:$Q,11))</f>
        <v/>
      </c>
      <c r="L10" s="50">
        <f>IF(VLOOKUP(Table91213[[#This Row],[Date]],'DB Details'!$A:$Q,12)=0,"",VLOOKUP(Table91213[[#This Row],[Date]],'DB Details'!$A:$Q,12))</f>
        <v/>
      </c>
    </row>
    <row r="11" ht="14.25" customHeight="1" s="65">
      <c r="A11" s="53" t="n">
        <v>35765</v>
      </c>
      <c r="B11" s="50">
        <f>IF(VLOOKUP(Table91213[[#This Row],[Date]],'DB Details'!$A:$Q,2)=0,"",VLOOKUP(Table91213[[#This Row],[Date]],'DB Details'!$A:$Q,2))</f>
        <v/>
      </c>
      <c r="C11" s="51">
        <f>IF(VLOOKUP(Table91213[[#This Row],[Date]],'DB Details'!$A:$Q,3)=0,"",VLOOKUP(Table91213[[#This Row],[Date]],'DB Details'!$A:$Q,3))</f>
        <v/>
      </c>
      <c r="D11" s="51">
        <f>IF(VLOOKUP(Table91213[[#This Row],[Date]],'DB Details'!$A:$Q,4)=0,"",VLOOKUP(Table91213[[#This Row],[Date]],'DB Details'!$A:$Q,4))</f>
        <v/>
      </c>
      <c r="E11" s="52">
        <f>IF(VLOOKUP(Table91213[[#This Row],[Date]],'DB Details'!$A:$Q,5)=0,"",VLOOKUP(Table91213[[#This Row],[Date]],'DB Details'!$A:$Q,5))</f>
        <v/>
      </c>
      <c r="F11" s="51">
        <f>IF(VLOOKUP(Table91213[[#This Row],[Date]],'DB Details'!$A:$Q,6)=0,"",VLOOKUP(Table91213[[#This Row],[Date]],'DB Details'!$A:$Q,6))</f>
        <v/>
      </c>
      <c r="G11" s="52">
        <f>IF(VLOOKUP(Table91213[[#This Row],[Date]],'DB Details'!$A:$Q,7)=0,"",VLOOKUP(Table91213[[#This Row],[Date]],'DB Details'!$A:$Q,7))</f>
        <v/>
      </c>
      <c r="H11" s="52">
        <f>IF(VLOOKUP(Table91213[[#This Row],[Date]],'DB Details'!$A:$Q,8)=0,"",VLOOKUP(Table91213[[#This Row],[Date]],'DB Details'!$A:$Q,8))</f>
        <v/>
      </c>
      <c r="I11" s="52">
        <f>IF(VLOOKUP(Table91213[[#This Row],[Date]],'DB Details'!$A:$Q,9)=0,"",VLOOKUP(Table91213[[#This Row],[Date]],'DB Details'!$A:$Q,9))</f>
        <v/>
      </c>
      <c r="J11" s="52">
        <f>IF(VLOOKUP(Table91213[[#This Row],[Date]],'DB Details'!$A:$Q,10)=0,"",VLOOKUP(Table91213[[#This Row],[Date]],'DB Details'!$A:$Q,10))</f>
        <v/>
      </c>
      <c r="K11" s="52">
        <f>IF(VLOOKUP(Table91213[[#This Row],[Date]],'DB Details'!$A:$Q,11)=0,"",VLOOKUP(Table91213[[#This Row],[Date]],'DB Details'!$A:$Q,11))</f>
        <v/>
      </c>
      <c r="L11" s="50">
        <f>IF(VLOOKUP(Table91213[[#This Row],[Date]],'DB Details'!$A:$Q,12)=0,"",VLOOKUP(Table91213[[#This Row],[Date]],'DB Details'!$A:$Q,12))</f>
        <v/>
      </c>
    </row>
    <row r="12" ht="14.25" customHeight="1" s="65">
      <c r="A12" s="49" t="n">
        <v>35796</v>
      </c>
      <c r="B12" s="50">
        <f>IF(VLOOKUP(Table91213[[#This Row],[Date]],'DB Details'!$A:$Q,2)=0,"",VLOOKUP(Table91213[[#This Row],[Date]],'DB Details'!$A:$Q,2))</f>
        <v/>
      </c>
      <c r="C12" s="51">
        <f>IF(VLOOKUP(Table91213[[#This Row],[Date]],'DB Details'!$A:$Q,3)=0,"",VLOOKUP(Table91213[[#This Row],[Date]],'DB Details'!$A:$Q,3))</f>
        <v/>
      </c>
      <c r="D12" s="51">
        <f>IF(VLOOKUP(Table91213[[#This Row],[Date]],'DB Details'!$A:$Q,4)=0,"",VLOOKUP(Table91213[[#This Row],[Date]],'DB Details'!$A:$Q,4))</f>
        <v/>
      </c>
      <c r="E12" s="52">
        <f>IF(VLOOKUP(Table91213[[#This Row],[Date]],'DB Details'!$A:$Q,5)=0,"",VLOOKUP(Table91213[[#This Row],[Date]],'DB Details'!$A:$Q,5))</f>
        <v/>
      </c>
      <c r="F12" s="51">
        <f>IF(VLOOKUP(Table91213[[#This Row],[Date]],'DB Details'!$A:$Q,6)=0,"",VLOOKUP(Table91213[[#This Row],[Date]],'DB Details'!$A:$Q,6))</f>
        <v/>
      </c>
      <c r="G12" s="52">
        <f>IF(VLOOKUP(Table91213[[#This Row],[Date]],'DB Details'!$A:$Q,7)=0,"",VLOOKUP(Table91213[[#This Row],[Date]],'DB Details'!$A:$Q,7))</f>
        <v/>
      </c>
      <c r="H12" s="52">
        <f>IF(VLOOKUP(Table91213[[#This Row],[Date]],'DB Details'!$A:$Q,8)=0,"",VLOOKUP(Table91213[[#This Row],[Date]],'DB Details'!$A:$Q,8))</f>
        <v/>
      </c>
      <c r="I12" s="52">
        <f>IF(VLOOKUP(Table91213[[#This Row],[Date]],'DB Details'!$A:$Q,9)=0,"",VLOOKUP(Table91213[[#This Row],[Date]],'DB Details'!$A:$Q,9))</f>
        <v/>
      </c>
      <c r="J12" s="52">
        <f>IF(VLOOKUP(Table91213[[#This Row],[Date]],'DB Details'!$A:$Q,10)=0,"",VLOOKUP(Table91213[[#This Row],[Date]],'DB Details'!$A:$Q,10))</f>
        <v/>
      </c>
      <c r="K12" s="52">
        <f>IF(VLOOKUP(Table91213[[#This Row],[Date]],'DB Details'!$A:$Q,11)=0,"",VLOOKUP(Table91213[[#This Row],[Date]],'DB Details'!$A:$Q,11))</f>
        <v/>
      </c>
      <c r="L12" s="50">
        <f>IF(VLOOKUP(Table91213[[#This Row],[Date]],'DB Details'!$A:$Q,12)=0,"",VLOOKUP(Table91213[[#This Row],[Date]],'DB Details'!$A:$Q,12))</f>
        <v/>
      </c>
    </row>
    <row r="13" ht="14.25" customHeight="1" s="65">
      <c r="A13" s="53" t="n">
        <v>35827</v>
      </c>
      <c r="B13" s="50">
        <f>IF(VLOOKUP(Table91213[[#This Row],[Date]],'DB Details'!$A:$Q,2)=0,"",VLOOKUP(Table91213[[#This Row],[Date]],'DB Details'!$A:$Q,2))</f>
        <v/>
      </c>
      <c r="C13" s="51">
        <f>IF(VLOOKUP(Table91213[[#This Row],[Date]],'DB Details'!$A:$Q,3)=0,"",VLOOKUP(Table91213[[#This Row],[Date]],'DB Details'!$A:$Q,3))</f>
        <v/>
      </c>
      <c r="D13" s="51">
        <f>IF(VLOOKUP(Table91213[[#This Row],[Date]],'DB Details'!$A:$Q,4)=0,"",VLOOKUP(Table91213[[#This Row],[Date]],'DB Details'!$A:$Q,4))</f>
        <v/>
      </c>
      <c r="E13" s="52">
        <f>IF(VLOOKUP(Table91213[[#This Row],[Date]],'DB Details'!$A:$Q,5)=0,"",VLOOKUP(Table91213[[#This Row],[Date]],'DB Details'!$A:$Q,5))</f>
        <v/>
      </c>
      <c r="F13" s="51">
        <f>IF(VLOOKUP(Table91213[[#This Row],[Date]],'DB Details'!$A:$Q,6)=0,"",VLOOKUP(Table91213[[#This Row],[Date]],'DB Details'!$A:$Q,6))</f>
        <v/>
      </c>
      <c r="G13" s="52">
        <f>IF(VLOOKUP(Table91213[[#This Row],[Date]],'DB Details'!$A:$Q,7)=0,"",VLOOKUP(Table91213[[#This Row],[Date]],'DB Details'!$A:$Q,7))</f>
        <v/>
      </c>
      <c r="H13" s="52">
        <f>IF(VLOOKUP(Table91213[[#This Row],[Date]],'DB Details'!$A:$Q,8)=0,"",VLOOKUP(Table91213[[#This Row],[Date]],'DB Details'!$A:$Q,8))</f>
        <v/>
      </c>
      <c r="I13" s="52">
        <f>IF(VLOOKUP(Table91213[[#This Row],[Date]],'DB Details'!$A:$Q,9)=0,"",VLOOKUP(Table91213[[#This Row],[Date]],'DB Details'!$A:$Q,9))</f>
        <v/>
      </c>
      <c r="J13" s="52">
        <f>IF(VLOOKUP(Table91213[[#This Row],[Date]],'DB Details'!$A:$Q,10)=0,"",VLOOKUP(Table91213[[#This Row],[Date]],'DB Details'!$A:$Q,10))</f>
        <v/>
      </c>
      <c r="K13" s="52">
        <f>IF(VLOOKUP(Table91213[[#This Row],[Date]],'DB Details'!$A:$Q,11)=0,"",VLOOKUP(Table91213[[#This Row],[Date]],'DB Details'!$A:$Q,11))</f>
        <v/>
      </c>
      <c r="L13" s="50">
        <f>IF(VLOOKUP(Table91213[[#This Row],[Date]],'DB Details'!$A:$Q,12)=0,"",VLOOKUP(Table91213[[#This Row],[Date]],'DB Details'!$A:$Q,12))</f>
        <v/>
      </c>
    </row>
    <row r="14" ht="14.25" customHeight="1" s="65">
      <c r="A14" s="49" t="n">
        <v>35855</v>
      </c>
      <c r="B14" s="50">
        <f>IF(VLOOKUP(Table91213[[#This Row],[Date]],'DB Details'!$A:$Q,2)=0,"",VLOOKUP(Table91213[[#This Row],[Date]],'DB Details'!$A:$Q,2))</f>
        <v/>
      </c>
      <c r="C14" s="51">
        <f>IF(VLOOKUP(Table91213[[#This Row],[Date]],'DB Details'!$A:$Q,3)=0,"",VLOOKUP(Table91213[[#This Row],[Date]],'DB Details'!$A:$Q,3))</f>
        <v/>
      </c>
      <c r="D14" s="51">
        <f>IF(VLOOKUP(Table91213[[#This Row],[Date]],'DB Details'!$A:$Q,4)=0,"",VLOOKUP(Table91213[[#This Row],[Date]],'DB Details'!$A:$Q,4))</f>
        <v/>
      </c>
      <c r="E14" s="52">
        <f>IF(VLOOKUP(Table91213[[#This Row],[Date]],'DB Details'!$A:$Q,5)=0,"",VLOOKUP(Table91213[[#This Row],[Date]],'DB Details'!$A:$Q,5))</f>
        <v/>
      </c>
      <c r="F14" s="51">
        <f>IF(VLOOKUP(Table91213[[#This Row],[Date]],'DB Details'!$A:$Q,6)=0,"",VLOOKUP(Table91213[[#This Row],[Date]],'DB Details'!$A:$Q,6))</f>
        <v/>
      </c>
      <c r="G14" s="52">
        <f>IF(VLOOKUP(Table91213[[#This Row],[Date]],'DB Details'!$A:$Q,7)=0,"",VLOOKUP(Table91213[[#This Row],[Date]],'DB Details'!$A:$Q,7))</f>
        <v/>
      </c>
      <c r="H14" s="52">
        <f>IF(VLOOKUP(Table91213[[#This Row],[Date]],'DB Details'!$A:$Q,8)=0,"",VLOOKUP(Table91213[[#This Row],[Date]],'DB Details'!$A:$Q,8))</f>
        <v/>
      </c>
      <c r="I14" s="52">
        <f>IF(VLOOKUP(Table91213[[#This Row],[Date]],'DB Details'!$A:$Q,9)=0,"",VLOOKUP(Table91213[[#This Row],[Date]],'DB Details'!$A:$Q,9))</f>
        <v/>
      </c>
      <c r="J14" s="52">
        <f>IF(VLOOKUP(Table91213[[#This Row],[Date]],'DB Details'!$A:$Q,10)=0,"",VLOOKUP(Table91213[[#This Row],[Date]],'DB Details'!$A:$Q,10))</f>
        <v/>
      </c>
      <c r="K14" s="52">
        <f>IF(VLOOKUP(Table91213[[#This Row],[Date]],'DB Details'!$A:$Q,11)=0,"",VLOOKUP(Table91213[[#This Row],[Date]],'DB Details'!$A:$Q,11))</f>
        <v/>
      </c>
      <c r="L14" s="50">
        <f>IF(VLOOKUP(Table91213[[#This Row],[Date]],'DB Details'!$A:$Q,12)=0,"",VLOOKUP(Table91213[[#This Row],[Date]],'DB Details'!$A:$Q,12))</f>
        <v/>
      </c>
    </row>
    <row r="15">
      <c r="A15" s="53" t="n">
        <v>35886</v>
      </c>
      <c r="B15" s="50">
        <f>IF(VLOOKUP(Table91213[[#This Row],[Date]],'DB Details'!$A:$Q,2)=0,"",VLOOKUP(Table91213[[#This Row],[Date]],'DB Details'!$A:$Q,2))</f>
        <v/>
      </c>
      <c r="C15" s="51">
        <f>IF(VLOOKUP(Table91213[[#This Row],[Date]],'DB Details'!$A:$Q,3)=0,"",VLOOKUP(Table91213[[#This Row],[Date]],'DB Details'!$A:$Q,3))</f>
        <v/>
      </c>
      <c r="D15" s="51">
        <f>IF(VLOOKUP(Table91213[[#This Row],[Date]],'DB Details'!$A:$Q,4)=0,"",VLOOKUP(Table91213[[#This Row],[Date]],'DB Details'!$A:$Q,4))</f>
        <v/>
      </c>
      <c r="E15" s="52">
        <f>IF(VLOOKUP(Table91213[[#This Row],[Date]],'DB Details'!$A:$Q,5)=0,"",VLOOKUP(Table91213[[#This Row],[Date]],'DB Details'!$A:$Q,5))</f>
        <v/>
      </c>
      <c r="F15" s="51">
        <f>IF(VLOOKUP(Table91213[[#This Row],[Date]],'DB Details'!$A:$Q,6)=0,"",VLOOKUP(Table91213[[#This Row],[Date]],'DB Details'!$A:$Q,6))</f>
        <v/>
      </c>
      <c r="G15" s="52">
        <f>IF(VLOOKUP(Table91213[[#This Row],[Date]],'DB Details'!$A:$Q,7)=0,"",VLOOKUP(Table91213[[#This Row],[Date]],'DB Details'!$A:$Q,7))</f>
        <v/>
      </c>
      <c r="H15" s="52">
        <f>IF(VLOOKUP(Table91213[[#This Row],[Date]],'DB Details'!$A:$Q,8)=0,"",VLOOKUP(Table91213[[#This Row],[Date]],'DB Details'!$A:$Q,8))</f>
        <v/>
      </c>
      <c r="I15" s="52">
        <f>IF(VLOOKUP(Table91213[[#This Row],[Date]],'DB Details'!$A:$Q,9)=0,"",VLOOKUP(Table91213[[#This Row],[Date]],'DB Details'!$A:$Q,9))</f>
        <v/>
      </c>
      <c r="J15" s="52">
        <f>IF(VLOOKUP(Table91213[[#This Row],[Date]],'DB Details'!$A:$Q,10)=0,"",VLOOKUP(Table91213[[#This Row],[Date]],'DB Details'!$A:$Q,10))</f>
        <v/>
      </c>
      <c r="K15" s="52">
        <f>IF(VLOOKUP(Table91213[[#This Row],[Date]],'DB Details'!$A:$Q,11)=0,"",VLOOKUP(Table91213[[#This Row],[Date]],'DB Details'!$A:$Q,11))</f>
        <v/>
      </c>
      <c r="L15" s="50">
        <f>IF(VLOOKUP(Table91213[[#This Row],[Date]],'DB Details'!$A:$Q,12)=0,"",VLOOKUP(Table91213[[#This Row],[Date]],'DB Details'!$A:$Q,12))</f>
        <v/>
      </c>
    </row>
    <row r="16">
      <c r="A16" s="53" t="n">
        <v>35916</v>
      </c>
      <c r="B16" s="50">
        <f>IF(VLOOKUP(Table91213[[#This Row],[Date]],'DB Details'!$A:$Q,2)=0,"",VLOOKUP(Table91213[[#This Row],[Date]],'DB Details'!$A:$Q,2))</f>
        <v/>
      </c>
      <c r="C16" s="51">
        <f>IF(VLOOKUP(Table91213[[#This Row],[Date]],'DB Details'!$A:$Q,3)=0,"",VLOOKUP(Table91213[[#This Row],[Date]],'DB Details'!$A:$Q,3))</f>
        <v/>
      </c>
      <c r="D16" s="51">
        <f>IF(VLOOKUP(Table91213[[#This Row],[Date]],'DB Details'!$A:$Q,4)=0,"",VLOOKUP(Table91213[[#This Row],[Date]],'DB Details'!$A:$Q,4))</f>
        <v/>
      </c>
      <c r="E16" s="52">
        <f>IF(VLOOKUP(Table91213[[#This Row],[Date]],'DB Details'!$A:$Q,5)=0,"",VLOOKUP(Table91213[[#This Row],[Date]],'DB Details'!$A:$Q,5))</f>
        <v/>
      </c>
      <c r="F16" s="51">
        <f>IF(VLOOKUP(Table91213[[#This Row],[Date]],'DB Details'!$A:$Q,6)=0,"",VLOOKUP(Table91213[[#This Row],[Date]],'DB Details'!$A:$Q,6))</f>
        <v/>
      </c>
      <c r="G16" s="52">
        <f>IF(VLOOKUP(Table91213[[#This Row],[Date]],'DB Details'!$A:$Q,7)=0,"",VLOOKUP(Table91213[[#This Row],[Date]],'DB Details'!$A:$Q,7))</f>
        <v/>
      </c>
      <c r="H16" s="52">
        <f>IF(VLOOKUP(Table91213[[#This Row],[Date]],'DB Details'!$A:$Q,8)=0,"",VLOOKUP(Table91213[[#This Row],[Date]],'DB Details'!$A:$Q,8))</f>
        <v/>
      </c>
      <c r="I16" s="52">
        <f>IF(VLOOKUP(Table91213[[#This Row],[Date]],'DB Details'!$A:$Q,9)=0,"",VLOOKUP(Table91213[[#This Row],[Date]],'DB Details'!$A:$Q,9))</f>
        <v/>
      </c>
      <c r="J16" s="52">
        <f>IF(VLOOKUP(Table91213[[#This Row],[Date]],'DB Details'!$A:$Q,10)=0,"",VLOOKUP(Table91213[[#This Row],[Date]],'DB Details'!$A:$Q,10))</f>
        <v/>
      </c>
      <c r="K16" s="52">
        <f>IF(VLOOKUP(Table91213[[#This Row],[Date]],'DB Details'!$A:$Q,11)=0,"",VLOOKUP(Table91213[[#This Row],[Date]],'DB Details'!$A:$Q,11))</f>
        <v/>
      </c>
      <c r="L16" s="50">
        <f>IF(VLOOKUP(Table91213[[#This Row],[Date]],'DB Details'!$A:$Q,12)=0,"",VLOOKUP(Table91213[[#This Row],[Date]],'DB Details'!$A:$Q,12))</f>
        <v/>
      </c>
    </row>
    <row r="17">
      <c r="A17" s="53" t="n">
        <v>35947</v>
      </c>
      <c r="B17" s="50">
        <f>IF(VLOOKUP(Table91213[[#This Row],[Date]],'DB Details'!$A:$Q,2)=0,"",VLOOKUP(Table91213[[#This Row],[Date]],'DB Details'!$A:$Q,2))</f>
        <v/>
      </c>
      <c r="C17" s="51">
        <f>IF(VLOOKUP(Table91213[[#This Row],[Date]],'DB Details'!$A:$Q,3)=0,"",VLOOKUP(Table91213[[#This Row],[Date]],'DB Details'!$A:$Q,3))</f>
        <v/>
      </c>
      <c r="D17" s="51">
        <f>IF(VLOOKUP(Table91213[[#This Row],[Date]],'DB Details'!$A:$Q,4)=0,"",VLOOKUP(Table91213[[#This Row],[Date]],'DB Details'!$A:$Q,4))</f>
        <v/>
      </c>
      <c r="E17" s="52">
        <f>IF(VLOOKUP(Table91213[[#This Row],[Date]],'DB Details'!$A:$Q,5)=0,"",VLOOKUP(Table91213[[#This Row],[Date]],'DB Details'!$A:$Q,5))</f>
        <v/>
      </c>
      <c r="F17" s="51">
        <f>IF(VLOOKUP(Table91213[[#This Row],[Date]],'DB Details'!$A:$Q,6)=0,"",VLOOKUP(Table91213[[#This Row],[Date]],'DB Details'!$A:$Q,6))</f>
        <v/>
      </c>
      <c r="G17" s="52">
        <f>IF(VLOOKUP(Table91213[[#This Row],[Date]],'DB Details'!$A:$Q,7)=0,"",VLOOKUP(Table91213[[#This Row],[Date]],'DB Details'!$A:$Q,7))</f>
        <v/>
      </c>
      <c r="H17" s="52">
        <f>IF(VLOOKUP(Table91213[[#This Row],[Date]],'DB Details'!$A:$Q,8)=0,"",VLOOKUP(Table91213[[#This Row],[Date]],'DB Details'!$A:$Q,8))</f>
        <v/>
      </c>
      <c r="I17" s="52">
        <f>IF(VLOOKUP(Table91213[[#This Row],[Date]],'DB Details'!$A:$Q,9)=0,"",VLOOKUP(Table91213[[#This Row],[Date]],'DB Details'!$A:$Q,9))</f>
        <v/>
      </c>
      <c r="J17" s="52">
        <f>IF(VLOOKUP(Table91213[[#This Row],[Date]],'DB Details'!$A:$Q,10)=0,"",VLOOKUP(Table91213[[#This Row],[Date]],'DB Details'!$A:$Q,10))</f>
        <v/>
      </c>
      <c r="K17" s="52">
        <f>IF(VLOOKUP(Table91213[[#This Row],[Date]],'DB Details'!$A:$Q,11)=0,"",VLOOKUP(Table91213[[#This Row],[Date]],'DB Details'!$A:$Q,11))</f>
        <v/>
      </c>
      <c r="L17" s="50">
        <f>IF(VLOOKUP(Table91213[[#This Row],[Date]],'DB Details'!$A:$Q,12)=0,"",VLOOKUP(Table91213[[#This Row],[Date]],'DB Details'!$A:$Q,12))</f>
        <v/>
      </c>
    </row>
    <row r="18">
      <c r="A18" s="53" t="n">
        <v>35977</v>
      </c>
      <c r="B18" s="50">
        <f>IF(VLOOKUP(Table91213[[#This Row],[Date]],'DB Details'!$A:$Q,2)=0,"",VLOOKUP(Table91213[[#This Row],[Date]],'DB Details'!$A:$Q,2))</f>
        <v/>
      </c>
      <c r="C18" s="51">
        <f>IF(VLOOKUP(Table91213[[#This Row],[Date]],'DB Details'!$A:$Q,3)=0,"",VLOOKUP(Table91213[[#This Row],[Date]],'DB Details'!$A:$Q,3))</f>
        <v/>
      </c>
      <c r="D18" s="51">
        <f>IF(VLOOKUP(Table91213[[#This Row],[Date]],'DB Details'!$A:$Q,4)=0,"",VLOOKUP(Table91213[[#This Row],[Date]],'DB Details'!$A:$Q,4))</f>
        <v/>
      </c>
      <c r="E18" s="52">
        <f>IF(VLOOKUP(Table91213[[#This Row],[Date]],'DB Details'!$A:$Q,5)=0,"",VLOOKUP(Table91213[[#This Row],[Date]],'DB Details'!$A:$Q,5))</f>
        <v/>
      </c>
      <c r="F18" s="51">
        <f>IF(VLOOKUP(Table91213[[#This Row],[Date]],'DB Details'!$A:$Q,6)=0,"",VLOOKUP(Table91213[[#This Row],[Date]],'DB Details'!$A:$Q,6))</f>
        <v/>
      </c>
      <c r="G18" s="52">
        <f>IF(VLOOKUP(Table91213[[#This Row],[Date]],'DB Details'!$A:$Q,7)=0,"",VLOOKUP(Table91213[[#This Row],[Date]],'DB Details'!$A:$Q,7))</f>
        <v/>
      </c>
      <c r="H18" s="52">
        <f>IF(VLOOKUP(Table91213[[#This Row],[Date]],'DB Details'!$A:$Q,8)=0,"",VLOOKUP(Table91213[[#This Row],[Date]],'DB Details'!$A:$Q,8))</f>
        <v/>
      </c>
      <c r="I18" s="52">
        <f>IF(VLOOKUP(Table91213[[#This Row],[Date]],'DB Details'!$A:$Q,9)=0,"",VLOOKUP(Table91213[[#This Row],[Date]],'DB Details'!$A:$Q,9))</f>
        <v/>
      </c>
      <c r="J18" s="52">
        <f>IF(VLOOKUP(Table91213[[#This Row],[Date]],'DB Details'!$A:$Q,10)=0,"",VLOOKUP(Table91213[[#This Row],[Date]],'DB Details'!$A:$Q,10))</f>
        <v/>
      </c>
      <c r="K18" s="52">
        <f>IF(VLOOKUP(Table91213[[#This Row],[Date]],'DB Details'!$A:$Q,11)=0,"",VLOOKUP(Table91213[[#This Row],[Date]],'DB Details'!$A:$Q,11))</f>
        <v/>
      </c>
      <c r="L18" s="50">
        <f>IF(VLOOKUP(Table91213[[#This Row],[Date]],'DB Details'!$A:$Q,12)=0,"",VLOOKUP(Table91213[[#This Row],[Date]],'DB Details'!$A:$Q,12))</f>
        <v/>
      </c>
    </row>
    <row r="19">
      <c r="A19" s="53" t="n">
        <v>36008</v>
      </c>
      <c r="B19" s="50">
        <f>IF(VLOOKUP(Table91213[[#This Row],[Date]],'DB Details'!$A:$Q,2)=0,"",VLOOKUP(Table91213[[#This Row],[Date]],'DB Details'!$A:$Q,2))</f>
        <v/>
      </c>
      <c r="C19" s="51">
        <f>IF(VLOOKUP(Table91213[[#This Row],[Date]],'DB Details'!$A:$Q,3)=0,"",VLOOKUP(Table91213[[#This Row],[Date]],'DB Details'!$A:$Q,3))</f>
        <v/>
      </c>
      <c r="D19" s="51">
        <f>IF(VLOOKUP(Table91213[[#This Row],[Date]],'DB Details'!$A:$Q,4)=0,"",VLOOKUP(Table91213[[#This Row],[Date]],'DB Details'!$A:$Q,4))</f>
        <v/>
      </c>
      <c r="E19" s="52">
        <f>IF(VLOOKUP(Table91213[[#This Row],[Date]],'DB Details'!$A:$Q,5)=0,"",VLOOKUP(Table91213[[#This Row],[Date]],'DB Details'!$A:$Q,5))</f>
        <v/>
      </c>
      <c r="F19" s="51">
        <f>IF(VLOOKUP(Table91213[[#This Row],[Date]],'DB Details'!$A:$Q,6)=0,"",VLOOKUP(Table91213[[#This Row],[Date]],'DB Details'!$A:$Q,6))</f>
        <v/>
      </c>
      <c r="G19" s="52">
        <f>IF(VLOOKUP(Table91213[[#This Row],[Date]],'DB Details'!$A:$Q,7)=0,"",VLOOKUP(Table91213[[#This Row],[Date]],'DB Details'!$A:$Q,7))</f>
        <v/>
      </c>
      <c r="H19" s="52">
        <f>IF(VLOOKUP(Table91213[[#This Row],[Date]],'DB Details'!$A:$Q,8)=0,"",VLOOKUP(Table91213[[#This Row],[Date]],'DB Details'!$A:$Q,8))</f>
        <v/>
      </c>
      <c r="I19" s="52">
        <f>IF(VLOOKUP(Table91213[[#This Row],[Date]],'DB Details'!$A:$Q,9)=0,"",VLOOKUP(Table91213[[#This Row],[Date]],'DB Details'!$A:$Q,9))</f>
        <v/>
      </c>
      <c r="J19" s="52">
        <f>IF(VLOOKUP(Table91213[[#This Row],[Date]],'DB Details'!$A:$Q,10)=0,"",VLOOKUP(Table91213[[#This Row],[Date]],'DB Details'!$A:$Q,10))</f>
        <v/>
      </c>
      <c r="K19" s="52">
        <f>IF(VLOOKUP(Table91213[[#This Row],[Date]],'DB Details'!$A:$Q,11)=0,"",VLOOKUP(Table91213[[#This Row],[Date]],'DB Details'!$A:$Q,11))</f>
        <v/>
      </c>
      <c r="L19" s="50">
        <f>IF(VLOOKUP(Table91213[[#This Row],[Date]],'DB Details'!$A:$Q,12)=0,"",VLOOKUP(Table91213[[#This Row],[Date]],'DB Details'!$A:$Q,12))</f>
        <v/>
      </c>
    </row>
    <row r="20">
      <c r="A20" s="53" t="n">
        <v>36039</v>
      </c>
      <c r="B20" s="50">
        <f>IF(VLOOKUP(Table91213[[#This Row],[Date]],'DB Details'!$A:$Q,2)=0,"",VLOOKUP(Table91213[[#This Row],[Date]],'DB Details'!$A:$Q,2))</f>
        <v/>
      </c>
      <c r="C20" s="51">
        <f>IF(VLOOKUP(Table91213[[#This Row],[Date]],'DB Details'!$A:$Q,3)=0,"",VLOOKUP(Table91213[[#This Row],[Date]],'DB Details'!$A:$Q,3))</f>
        <v/>
      </c>
      <c r="D20" s="51">
        <f>IF(VLOOKUP(Table91213[[#This Row],[Date]],'DB Details'!$A:$Q,4)=0,"",VLOOKUP(Table91213[[#This Row],[Date]],'DB Details'!$A:$Q,4))</f>
        <v/>
      </c>
      <c r="E20" s="52">
        <f>IF(VLOOKUP(Table91213[[#This Row],[Date]],'DB Details'!$A:$Q,5)=0,"",VLOOKUP(Table91213[[#This Row],[Date]],'DB Details'!$A:$Q,5))</f>
        <v/>
      </c>
      <c r="F20" s="51">
        <f>IF(VLOOKUP(Table91213[[#This Row],[Date]],'DB Details'!$A:$Q,6)=0,"",VLOOKUP(Table91213[[#This Row],[Date]],'DB Details'!$A:$Q,6))</f>
        <v/>
      </c>
      <c r="G20" s="52">
        <f>IF(VLOOKUP(Table91213[[#This Row],[Date]],'DB Details'!$A:$Q,7)=0,"",VLOOKUP(Table91213[[#This Row],[Date]],'DB Details'!$A:$Q,7))</f>
        <v/>
      </c>
      <c r="H20" s="52">
        <f>IF(VLOOKUP(Table91213[[#This Row],[Date]],'DB Details'!$A:$Q,8)=0,"",VLOOKUP(Table91213[[#This Row],[Date]],'DB Details'!$A:$Q,8))</f>
        <v/>
      </c>
      <c r="I20" s="52">
        <f>IF(VLOOKUP(Table91213[[#This Row],[Date]],'DB Details'!$A:$Q,9)=0,"",VLOOKUP(Table91213[[#This Row],[Date]],'DB Details'!$A:$Q,9))</f>
        <v/>
      </c>
      <c r="J20" s="52">
        <f>IF(VLOOKUP(Table91213[[#This Row],[Date]],'DB Details'!$A:$Q,10)=0,"",VLOOKUP(Table91213[[#This Row],[Date]],'DB Details'!$A:$Q,10))</f>
        <v/>
      </c>
      <c r="K20" s="52">
        <f>IF(VLOOKUP(Table91213[[#This Row],[Date]],'DB Details'!$A:$Q,11)=0,"",VLOOKUP(Table91213[[#This Row],[Date]],'DB Details'!$A:$Q,11))</f>
        <v/>
      </c>
      <c r="L20" s="50">
        <f>IF(VLOOKUP(Table91213[[#This Row],[Date]],'DB Details'!$A:$Q,12)=0,"",VLOOKUP(Table91213[[#This Row],[Date]],'DB Details'!$A:$Q,12))</f>
        <v/>
      </c>
    </row>
    <row r="21">
      <c r="A21" s="53" t="n">
        <v>36069</v>
      </c>
      <c r="B21" s="50">
        <f>IF(VLOOKUP(Table91213[[#This Row],[Date]],'DB Details'!$A:$Q,2)=0,"",VLOOKUP(Table91213[[#This Row],[Date]],'DB Details'!$A:$Q,2))</f>
        <v/>
      </c>
      <c r="C21" s="51">
        <f>IF(VLOOKUP(Table91213[[#This Row],[Date]],'DB Details'!$A:$Q,3)=0,"",VLOOKUP(Table91213[[#This Row],[Date]],'DB Details'!$A:$Q,3))</f>
        <v/>
      </c>
      <c r="D21" s="51">
        <f>IF(VLOOKUP(Table91213[[#This Row],[Date]],'DB Details'!$A:$Q,4)=0,"",VLOOKUP(Table91213[[#This Row],[Date]],'DB Details'!$A:$Q,4))</f>
        <v/>
      </c>
      <c r="E21" s="52">
        <f>IF(VLOOKUP(Table91213[[#This Row],[Date]],'DB Details'!$A:$Q,5)=0,"",VLOOKUP(Table91213[[#This Row],[Date]],'DB Details'!$A:$Q,5))</f>
        <v/>
      </c>
      <c r="F21" s="51">
        <f>IF(VLOOKUP(Table91213[[#This Row],[Date]],'DB Details'!$A:$Q,6)=0,"",VLOOKUP(Table91213[[#This Row],[Date]],'DB Details'!$A:$Q,6))</f>
        <v/>
      </c>
      <c r="G21" s="52">
        <f>IF(VLOOKUP(Table91213[[#This Row],[Date]],'DB Details'!$A:$Q,7)=0,"",VLOOKUP(Table91213[[#This Row],[Date]],'DB Details'!$A:$Q,7))</f>
        <v/>
      </c>
      <c r="H21" s="52">
        <f>IF(VLOOKUP(Table91213[[#This Row],[Date]],'DB Details'!$A:$Q,8)=0,"",VLOOKUP(Table91213[[#This Row],[Date]],'DB Details'!$A:$Q,8))</f>
        <v/>
      </c>
      <c r="I21" s="52">
        <f>IF(VLOOKUP(Table91213[[#This Row],[Date]],'DB Details'!$A:$Q,9)=0,"",VLOOKUP(Table91213[[#This Row],[Date]],'DB Details'!$A:$Q,9))</f>
        <v/>
      </c>
      <c r="J21" s="52">
        <f>IF(VLOOKUP(Table91213[[#This Row],[Date]],'DB Details'!$A:$Q,10)=0,"",VLOOKUP(Table91213[[#This Row],[Date]],'DB Details'!$A:$Q,10))</f>
        <v/>
      </c>
      <c r="K21" s="52">
        <f>IF(VLOOKUP(Table91213[[#This Row],[Date]],'DB Details'!$A:$Q,11)=0,"",VLOOKUP(Table91213[[#This Row],[Date]],'DB Details'!$A:$Q,11))</f>
        <v/>
      </c>
      <c r="L21" s="50">
        <f>IF(VLOOKUP(Table91213[[#This Row],[Date]],'DB Details'!$A:$Q,12)=0,"",VLOOKUP(Table91213[[#This Row],[Date]],'DB Details'!$A:$Q,12))</f>
        <v/>
      </c>
    </row>
    <row r="22">
      <c r="A22" s="53" t="n">
        <v>36100</v>
      </c>
      <c r="B22" s="50">
        <f>IF(VLOOKUP(Table91213[[#This Row],[Date]],'DB Details'!$A:$Q,2)=0,"",VLOOKUP(Table91213[[#This Row],[Date]],'DB Details'!$A:$Q,2))</f>
        <v/>
      </c>
      <c r="C22" s="51">
        <f>IF(VLOOKUP(Table91213[[#This Row],[Date]],'DB Details'!$A:$Q,3)=0,"",VLOOKUP(Table91213[[#This Row],[Date]],'DB Details'!$A:$Q,3))</f>
        <v/>
      </c>
      <c r="D22" s="51">
        <f>IF(VLOOKUP(Table91213[[#This Row],[Date]],'DB Details'!$A:$Q,4)=0,"",VLOOKUP(Table91213[[#This Row],[Date]],'DB Details'!$A:$Q,4))</f>
        <v/>
      </c>
      <c r="E22" s="52">
        <f>IF(VLOOKUP(Table91213[[#This Row],[Date]],'DB Details'!$A:$Q,5)=0,"",VLOOKUP(Table91213[[#This Row],[Date]],'DB Details'!$A:$Q,5))</f>
        <v/>
      </c>
      <c r="F22" s="51">
        <f>IF(VLOOKUP(Table91213[[#This Row],[Date]],'DB Details'!$A:$Q,6)=0,"",VLOOKUP(Table91213[[#This Row],[Date]],'DB Details'!$A:$Q,6))</f>
        <v/>
      </c>
      <c r="G22" s="52">
        <f>IF(VLOOKUP(Table91213[[#This Row],[Date]],'DB Details'!$A:$Q,7)=0,"",VLOOKUP(Table91213[[#This Row],[Date]],'DB Details'!$A:$Q,7))</f>
        <v/>
      </c>
      <c r="H22" s="52">
        <f>IF(VLOOKUP(Table91213[[#This Row],[Date]],'DB Details'!$A:$Q,8)=0,"",VLOOKUP(Table91213[[#This Row],[Date]],'DB Details'!$A:$Q,8))</f>
        <v/>
      </c>
      <c r="I22" s="52">
        <f>IF(VLOOKUP(Table91213[[#This Row],[Date]],'DB Details'!$A:$Q,9)=0,"",VLOOKUP(Table91213[[#This Row],[Date]],'DB Details'!$A:$Q,9))</f>
        <v/>
      </c>
      <c r="J22" s="52">
        <f>IF(VLOOKUP(Table91213[[#This Row],[Date]],'DB Details'!$A:$Q,10)=0,"",VLOOKUP(Table91213[[#This Row],[Date]],'DB Details'!$A:$Q,10))</f>
        <v/>
      </c>
      <c r="K22" s="52">
        <f>IF(VLOOKUP(Table91213[[#This Row],[Date]],'DB Details'!$A:$Q,11)=0,"",VLOOKUP(Table91213[[#This Row],[Date]],'DB Details'!$A:$Q,11))</f>
        <v/>
      </c>
      <c r="L22" s="50">
        <f>IF(VLOOKUP(Table91213[[#This Row],[Date]],'DB Details'!$A:$Q,12)=0,"",VLOOKUP(Table91213[[#This Row],[Date]],'DB Details'!$A:$Q,12))</f>
        <v/>
      </c>
    </row>
    <row r="23">
      <c r="A23" s="53" t="n">
        <v>36130</v>
      </c>
      <c r="B23" s="50">
        <f>IF(VLOOKUP(Table91213[[#This Row],[Date]],'DB Details'!$A:$Q,2)=0,"",VLOOKUP(Table91213[[#This Row],[Date]],'DB Details'!$A:$Q,2))</f>
        <v/>
      </c>
      <c r="C23" s="51">
        <f>IF(VLOOKUP(Table91213[[#This Row],[Date]],'DB Details'!$A:$Q,3)=0,"",VLOOKUP(Table91213[[#This Row],[Date]],'DB Details'!$A:$Q,3))</f>
        <v/>
      </c>
      <c r="D23" s="51">
        <f>IF(VLOOKUP(Table91213[[#This Row],[Date]],'DB Details'!$A:$Q,4)=0,"",VLOOKUP(Table91213[[#This Row],[Date]],'DB Details'!$A:$Q,4))</f>
        <v/>
      </c>
      <c r="E23" s="52">
        <f>IF(VLOOKUP(Table91213[[#This Row],[Date]],'DB Details'!$A:$Q,5)=0,"",VLOOKUP(Table91213[[#This Row],[Date]],'DB Details'!$A:$Q,5))</f>
        <v/>
      </c>
      <c r="F23" s="51">
        <f>IF(VLOOKUP(Table91213[[#This Row],[Date]],'DB Details'!$A:$Q,6)=0,"",VLOOKUP(Table91213[[#This Row],[Date]],'DB Details'!$A:$Q,6))</f>
        <v/>
      </c>
      <c r="G23" s="52">
        <f>IF(VLOOKUP(Table91213[[#This Row],[Date]],'DB Details'!$A:$Q,7)=0,"",VLOOKUP(Table91213[[#This Row],[Date]],'DB Details'!$A:$Q,7))</f>
        <v/>
      </c>
      <c r="H23" s="52">
        <f>IF(VLOOKUP(Table91213[[#This Row],[Date]],'DB Details'!$A:$Q,8)=0,"",VLOOKUP(Table91213[[#This Row],[Date]],'DB Details'!$A:$Q,8))</f>
        <v/>
      </c>
      <c r="I23" s="52">
        <f>IF(VLOOKUP(Table91213[[#This Row],[Date]],'DB Details'!$A:$Q,9)=0,"",VLOOKUP(Table91213[[#This Row],[Date]],'DB Details'!$A:$Q,9))</f>
        <v/>
      </c>
      <c r="J23" s="52">
        <f>IF(VLOOKUP(Table91213[[#This Row],[Date]],'DB Details'!$A:$Q,10)=0,"",VLOOKUP(Table91213[[#This Row],[Date]],'DB Details'!$A:$Q,10))</f>
        <v/>
      </c>
      <c r="K23" s="52">
        <f>IF(VLOOKUP(Table91213[[#This Row],[Date]],'DB Details'!$A:$Q,11)=0,"",VLOOKUP(Table91213[[#This Row],[Date]],'DB Details'!$A:$Q,11))</f>
        <v/>
      </c>
      <c r="L23" s="50">
        <f>IF(VLOOKUP(Table91213[[#This Row],[Date]],'DB Details'!$A:$Q,12)=0,"",VLOOKUP(Table91213[[#This Row],[Date]],'DB Details'!$A:$Q,12))</f>
        <v/>
      </c>
    </row>
    <row r="24">
      <c r="A24" s="53" t="n">
        <v>36161</v>
      </c>
      <c r="B24" s="50">
        <f>IF(VLOOKUP(Table91213[[#This Row],[Date]],'DB Details'!$A:$Q,2)=0,"",VLOOKUP(Table91213[[#This Row],[Date]],'DB Details'!$A:$Q,2))</f>
        <v/>
      </c>
      <c r="C24" s="51">
        <f>IF(VLOOKUP(Table91213[[#This Row],[Date]],'DB Details'!$A:$Q,3)=0,"",VLOOKUP(Table91213[[#This Row],[Date]],'DB Details'!$A:$Q,3))</f>
        <v/>
      </c>
      <c r="D24" s="51">
        <f>IF(VLOOKUP(Table91213[[#This Row],[Date]],'DB Details'!$A:$Q,4)=0,"",VLOOKUP(Table91213[[#This Row],[Date]],'DB Details'!$A:$Q,4))</f>
        <v/>
      </c>
      <c r="E24" s="52">
        <f>IF(VLOOKUP(Table91213[[#This Row],[Date]],'DB Details'!$A:$Q,5)=0,"",VLOOKUP(Table91213[[#This Row],[Date]],'DB Details'!$A:$Q,5))</f>
        <v/>
      </c>
      <c r="F24" s="51">
        <f>IF(VLOOKUP(Table91213[[#This Row],[Date]],'DB Details'!$A:$Q,6)=0,"",VLOOKUP(Table91213[[#This Row],[Date]],'DB Details'!$A:$Q,6))</f>
        <v/>
      </c>
      <c r="G24" s="52">
        <f>IF(VLOOKUP(Table91213[[#This Row],[Date]],'DB Details'!$A:$Q,7)=0,"",VLOOKUP(Table91213[[#This Row],[Date]],'DB Details'!$A:$Q,7))</f>
        <v/>
      </c>
      <c r="H24" s="52">
        <f>IF(VLOOKUP(Table91213[[#This Row],[Date]],'DB Details'!$A:$Q,8)=0,"",VLOOKUP(Table91213[[#This Row],[Date]],'DB Details'!$A:$Q,8))</f>
        <v/>
      </c>
      <c r="I24" s="52">
        <f>IF(VLOOKUP(Table91213[[#This Row],[Date]],'DB Details'!$A:$Q,9)=0,"",VLOOKUP(Table91213[[#This Row],[Date]],'DB Details'!$A:$Q,9))</f>
        <v/>
      </c>
      <c r="J24" s="52">
        <f>IF(VLOOKUP(Table91213[[#This Row],[Date]],'DB Details'!$A:$Q,10)=0,"",VLOOKUP(Table91213[[#This Row],[Date]],'DB Details'!$A:$Q,10))</f>
        <v/>
      </c>
      <c r="K24" s="52">
        <f>IF(VLOOKUP(Table91213[[#This Row],[Date]],'DB Details'!$A:$Q,11)=0,"",VLOOKUP(Table91213[[#This Row],[Date]],'DB Details'!$A:$Q,11))</f>
        <v/>
      </c>
      <c r="L24" s="50">
        <f>IF(VLOOKUP(Table91213[[#This Row],[Date]],'DB Details'!$A:$Q,12)=0,"",VLOOKUP(Table91213[[#This Row],[Date]],'DB Details'!$A:$Q,12))</f>
        <v/>
      </c>
    </row>
    <row r="25">
      <c r="A25" s="53" t="n">
        <v>36192</v>
      </c>
      <c r="B25" s="50">
        <f>IF(VLOOKUP(Table91213[[#This Row],[Date]],'DB Details'!$A:$Q,2)=0,"",VLOOKUP(Table91213[[#This Row],[Date]],'DB Details'!$A:$Q,2))</f>
        <v/>
      </c>
      <c r="C25" s="51">
        <f>IF(VLOOKUP(Table91213[[#This Row],[Date]],'DB Details'!$A:$Q,3)=0,"",VLOOKUP(Table91213[[#This Row],[Date]],'DB Details'!$A:$Q,3))</f>
        <v/>
      </c>
      <c r="D25" s="51">
        <f>IF(VLOOKUP(Table91213[[#This Row],[Date]],'DB Details'!$A:$Q,4)=0,"",VLOOKUP(Table91213[[#This Row],[Date]],'DB Details'!$A:$Q,4))</f>
        <v/>
      </c>
      <c r="E25" s="52">
        <f>IF(VLOOKUP(Table91213[[#This Row],[Date]],'DB Details'!$A:$Q,5)=0,"",VLOOKUP(Table91213[[#This Row],[Date]],'DB Details'!$A:$Q,5))</f>
        <v/>
      </c>
      <c r="F25" s="51">
        <f>IF(VLOOKUP(Table91213[[#This Row],[Date]],'DB Details'!$A:$Q,6)=0,"",VLOOKUP(Table91213[[#This Row],[Date]],'DB Details'!$A:$Q,6))</f>
        <v/>
      </c>
      <c r="G25" s="52">
        <f>IF(VLOOKUP(Table91213[[#This Row],[Date]],'DB Details'!$A:$Q,7)=0,"",VLOOKUP(Table91213[[#This Row],[Date]],'DB Details'!$A:$Q,7))</f>
        <v/>
      </c>
      <c r="H25" s="52">
        <f>IF(VLOOKUP(Table91213[[#This Row],[Date]],'DB Details'!$A:$Q,8)=0,"",VLOOKUP(Table91213[[#This Row],[Date]],'DB Details'!$A:$Q,8))</f>
        <v/>
      </c>
      <c r="I25" s="52">
        <f>IF(VLOOKUP(Table91213[[#This Row],[Date]],'DB Details'!$A:$Q,9)=0,"",VLOOKUP(Table91213[[#This Row],[Date]],'DB Details'!$A:$Q,9))</f>
        <v/>
      </c>
      <c r="J25" s="52">
        <f>IF(VLOOKUP(Table91213[[#This Row],[Date]],'DB Details'!$A:$Q,10)=0,"",VLOOKUP(Table91213[[#This Row],[Date]],'DB Details'!$A:$Q,10))</f>
        <v/>
      </c>
      <c r="K25" s="52">
        <f>IF(VLOOKUP(Table91213[[#This Row],[Date]],'DB Details'!$A:$Q,11)=0,"",VLOOKUP(Table91213[[#This Row],[Date]],'DB Details'!$A:$Q,11))</f>
        <v/>
      </c>
      <c r="L25" s="50">
        <f>IF(VLOOKUP(Table91213[[#This Row],[Date]],'DB Details'!$A:$Q,12)=0,"",VLOOKUP(Table91213[[#This Row],[Date]],'DB Details'!$A:$Q,12))</f>
        <v/>
      </c>
    </row>
    <row r="26">
      <c r="A26" s="53" t="n">
        <v>36220</v>
      </c>
      <c r="B26" s="50">
        <f>IF(VLOOKUP(Table91213[[#This Row],[Date]],'DB Details'!$A:$Q,2)=0,"",VLOOKUP(Table91213[[#This Row],[Date]],'DB Details'!$A:$Q,2))</f>
        <v/>
      </c>
      <c r="C26" s="51">
        <f>IF(VLOOKUP(Table91213[[#This Row],[Date]],'DB Details'!$A:$Q,3)=0,"",VLOOKUP(Table91213[[#This Row],[Date]],'DB Details'!$A:$Q,3))</f>
        <v/>
      </c>
      <c r="D26" s="51">
        <f>IF(VLOOKUP(Table91213[[#This Row],[Date]],'DB Details'!$A:$Q,4)=0,"",VLOOKUP(Table91213[[#This Row],[Date]],'DB Details'!$A:$Q,4))</f>
        <v/>
      </c>
      <c r="E26" s="52">
        <f>IF(VLOOKUP(Table91213[[#This Row],[Date]],'DB Details'!$A:$Q,5)=0,"",VLOOKUP(Table91213[[#This Row],[Date]],'DB Details'!$A:$Q,5))</f>
        <v/>
      </c>
      <c r="F26" s="51">
        <f>IF(VLOOKUP(Table91213[[#This Row],[Date]],'DB Details'!$A:$Q,6)=0,"",VLOOKUP(Table91213[[#This Row],[Date]],'DB Details'!$A:$Q,6))</f>
        <v/>
      </c>
      <c r="G26" s="52">
        <f>IF(VLOOKUP(Table91213[[#This Row],[Date]],'DB Details'!$A:$Q,7)=0,"",VLOOKUP(Table91213[[#This Row],[Date]],'DB Details'!$A:$Q,7))</f>
        <v/>
      </c>
      <c r="H26" s="52">
        <f>IF(VLOOKUP(Table91213[[#This Row],[Date]],'DB Details'!$A:$Q,8)=0,"",VLOOKUP(Table91213[[#This Row],[Date]],'DB Details'!$A:$Q,8))</f>
        <v/>
      </c>
      <c r="I26" s="52">
        <f>IF(VLOOKUP(Table91213[[#This Row],[Date]],'DB Details'!$A:$Q,9)=0,"",VLOOKUP(Table91213[[#This Row],[Date]],'DB Details'!$A:$Q,9))</f>
        <v/>
      </c>
      <c r="J26" s="52">
        <f>IF(VLOOKUP(Table91213[[#This Row],[Date]],'DB Details'!$A:$Q,10)=0,"",VLOOKUP(Table91213[[#This Row],[Date]],'DB Details'!$A:$Q,10))</f>
        <v/>
      </c>
      <c r="K26" s="52">
        <f>IF(VLOOKUP(Table91213[[#This Row],[Date]],'DB Details'!$A:$Q,11)=0,"",VLOOKUP(Table91213[[#This Row],[Date]],'DB Details'!$A:$Q,11))</f>
        <v/>
      </c>
      <c r="L26" s="50">
        <f>IF(VLOOKUP(Table91213[[#This Row],[Date]],'DB Details'!$A:$Q,12)=0,"",VLOOKUP(Table91213[[#This Row],[Date]],'DB Details'!$A:$Q,12))</f>
        <v/>
      </c>
    </row>
    <row r="27">
      <c r="A27" s="53" t="n">
        <v>36251</v>
      </c>
      <c r="B27" s="50">
        <f>IF(VLOOKUP(Table91213[[#This Row],[Date]],'DB Details'!$A:$Q,2)=0,"",VLOOKUP(Table91213[[#This Row],[Date]],'DB Details'!$A:$Q,2))</f>
        <v/>
      </c>
      <c r="C27" s="51">
        <f>IF(VLOOKUP(Table91213[[#This Row],[Date]],'DB Details'!$A:$Q,3)=0,"",VLOOKUP(Table91213[[#This Row],[Date]],'DB Details'!$A:$Q,3))</f>
        <v/>
      </c>
      <c r="D27" s="51">
        <f>IF(VLOOKUP(Table91213[[#This Row],[Date]],'DB Details'!$A:$Q,4)=0,"",VLOOKUP(Table91213[[#This Row],[Date]],'DB Details'!$A:$Q,4))</f>
        <v/>
      </c>
      <c r="E27" s="52">
        <f>IF(VLOOKUP(Table91213[[#This Row],[Date]],'DB Details'!$A:$Q,5)=0,"",VLOOKUP(Table91213[[#This Row],[Date]],'DB Details'!$A:$Q,5))</f>
        <v/>
      </c>
      <c r="F27" s="51">
        <f>IF(VLOOKUP(Table91213[[#This Row],[Date]],'DB Details'!$A:$Q,6)=0,"",VLOOKUP(Table91213[[#This Row],[Date]],'DB Details'!$A:$Q,6))</f>
        <v/>
      </c>
      <c r="G27" s="52">
        <f>IF(VLOOKUP(Table91213[[#This Row],[Date]],'DB Details'!$A:$Q,7)=0,"",VLOOKUP(Table91213[[#This Row],[Date]],'DB Details'!$A:$Q,7))</f>
        <v/>
      </c>
      <c r="H27" s="52">
        <f>IF(VLOOKUP(Table91213[[#This Row],[Date]],'DB Details'!$A:$Q,8)=0,"",VLOOKUP(Table91213[[#This Row],[Date]],'DB Details'!$A:$Q,8))</f>
        <v/>
      </c>
      <c r="I27" s="52">
        <f>IF(VLOOKUP(Table91213[[#This Row],[Date]],'DB Details'!$A:$Q,9)=0,"",VLOOKUP(Table91213[[#This Row],[Date]],'DB Details'!$A:$Q,9))</f>
        <v/>
      </c>
      <c r="J27" s="52">
        <f>IF(VLOOKUP(Table91213[[#This Row],[Date]],'DB Details'!$A:$Q,10)=0,"",VLOOKUP(Table91213[[#This Row],[Date]],'DB Details'!$A:$Q,10))</f>
        <v/>
      </c>
      <c r="K27" s="52">
        <f>IF(VLOOKUP(Table91213[[#This Row],[Date]],'DB Details'!$A:$Q,11)=0,"",VLOOKUP(Table91213[[#This Row],[Date]],'DB Details'!$A:$Q,11))</f>
        <v/>
      </c>
      <c r="L27" s="50">
        <f>IF(VLOOKUP(Table91213[[#This Row],[Date]],'DB Details'!$A:$Q,12)=0,"",VLOOKUP(Table91213[[#This Row],[Date]],'DB Details'!$A:$Q,12))</f>
        <v/>
      </c>
    </row>
    <row r="28">
      <c r="A28" s="53" t="n">
        <v>36281</v>
      </c>
      <c r="B28" s="50">
        <f>IF(VLOOKUP(Table91213[[#This Row],[Date]],'DB Details'!$A:$Q,2)=0,"",VLOOKUP(Table91213[[#This Row],[Date]],'DB Details'!$A:$Q,2))</f>
        <v/>
      </c>
      <c r="C28" s="51">
        <f>IF(VLOOKUP(Table91213[[#This Row],[Date]],'DB Details'!$A:$Q,3)=0,"",VLOOKUP(Table91213[[#This Row],[Date]],'DB Details'!$A:$Q,3))</f>
        <v/>
      </c>
      <c r="D28" s="51">
        <f>IF(VLOOKUP(Table91213[[#This Row],[Date]],'DB Details'!$A:$Q,4)=0,"",VLOOKUP(Table91213[[#This Row],[Date]],'DB Details'!$A:$Q,4))</f>
        <v/>
      </c>
      <c r="E28" s="52">
        <f>IF(VLOOKUP(Table91213[[#This Row],[Date]],'DB Details'!$A:$Q,5)=0,"",VLOOKUP(Table91213[[#This Row],[Date]],'DB Details'!$A:$Q,5))</f>
        <v/>
      </c>
      <c r="F28" s="51">
        <f>IF(VLOOKUP(Table91213[[#This Row],[Date]],'DB Details'!$A:$Q,6)=0,"",VLOOKUP(Table91213[[#This Row],[Date]],'DB Details'!$A:$Q,6))</f>
        <v/>
      </c>
      <c r="G28" s="52">
        <f>IF(VLOOKUP(Table91213[[#This Row],[Date]],'DB Details'!$A:$Q,7)=0,"",VLOOKUP(Table91213[[#This Row],[Date]],'DB Details'!$A:$Q,7))</f>
        <v/>
      </c>
      <c r="H28" s="52">
        <f>IF(VLOOKUP(Table91213[[#This Row],[Date]],'DB Details'!$A:$Q,8)=0,"",VLOOKUP(Table91213[[#This Row],[Date]],'DB Details'!$A:$Q,8))</f>
        <v/>
      </c>
      <c r="I28" s="52">
        <f>IF(VLOOKUP(Table91213[[#This Row],[Date]],'DB Details'!$A:$Q,9)=0,"",VLOOKUP(Table91213[[#This Row],[Date]],'DB Details'!$A:$Q,9))</f>
        <v/>
      </c>
      <c r="J28" s="52">
        <f>IF(VLOOKUP(Table91213[[#This Row],[Date]],'DB Details'!$A:$Q,10)=0,"",VLOOKUP(Table91213[[#This Row],[Date]],'DB Details'!$A:$Q,10))</f>
        <v/>
      </c>
      <c r="K28" s="52">
        <f>IF(VLOOKUP(Table91213[[#This Row],[Date]],'DB Details'!$A:$Q,11)=0,"",VLOOKUP(Table91213[[#This Row],[Date]],'DB Details'!$A:$Q,11))</f>
        <v/>
      </c>
      <c r="L28" s="50">
        <f>IF(VLOOKUP(Table91213[[#This Row],[Date]],'DB Details'!$A:$Q,12)=0,"",VLOOKUP(Table91213[[#This Row],[Date]],'DB Details'!$A:$Q,12))</f>
        <v/>
      </c>
    </row>
    <row r="29">
      <c r="A29" s="53" t="n">
        <v>36312</v>
      </c>
      <c r="B29" s="50">
        <f>IF(VLOOKUP(Table91213[[#This Row],[Date]],'DB Details'!$A:$Q,2)=0,"",VLOOKUP(Table91213[[#This Row],[Date]],'DB Details'!$A:$Q,2))</f>
        <v/>
      </c>
      <c r="C29" s="51">
        <f>IF(VLOOKUP(Table91213[[#This Row],[Date]],'DB Details'!$A:$Q,3)=0,"",VLOOKUP(Table91213[[#This Row],[Date]],'DB Details'!$A:$Q,3))</f>
        <v/>
      </c>
      <c r="D29" s="51">
        <f>IF(VLOOKUP(Table91213[[#This Row],[Date]],'DB Details'!$A:$Q,4)=0,"",VLOOKUP(Table91213[[#This Row],[Date]],'DB Details'!$A:$Q,4))</f>
        <v/>
      </c>
      <c r="E29" s="52">
        <f>IF(VLOOKUP(Table91213[[#This Row],[Date]],'DB Details'!$A:$Q,5)=0,"",VLOOKUP(Table91213[[#This Row],[Date]],'DB Details'!$A:$Q,5))</f>
        <v/>
      </c>
      <c r="F29" s="51">
        <f>IF(VLOOKUP(Table91213[[#This Row],[Date]],'DB Details'!$A:$Q,6)=0,"",VLOOKUP(Table91213[[#This Row],[Date]],'DB Details'!$A:$Q,6))</f>
        <v/>
      </c>
      <c r="G29" s="52">
        <f>IF(VLOOKUP(Table91213[[#This Row],[Date]],'DB Details'!$A:$Q,7)=0,"",VLOOKUP(Table91213[[#This Row],[Date]],'DB Details'!$A:$Q,7))</f>
        <v/>
      </c>
      <c r="H29" s="52">
        <f>IF(VLOOKUP(Table91213[[#This Row],[Date]],'DB Details'!$A:$Q,8)=0,"",VLOOKUP(Table91213[[#This Row],[Date]],'DB Details'!$A:$Q,8))</f>
        <v/>
      </c>
      <c r="I29" s="52">
        <f>IF(VLOOKUP(Table91213[[#This Row],[Date]],'DB Details'!$A:$Q,9)=0,"",VLOOKUP(Table91213[[#This Row],[Date]],'DB Details'!$A:$Q,9))</f>
        <v/>
      </c>
      <c r="J29" s="52">
        <f>IF(VLOOKUP(Table91213[[#This Row],[Date]],'DB Details'!$A:$Q,10)=0,"",VLOOKUP(Table91213[[#This Row],[Date]],'DB Details'!$A:$Q,10))</f>
        <v/>
      </c>
      <c r="K29" s="52">
        <f>IF(VLOOKUP(Table91213[[#This Row],[Date]],'DB Details'!$A:$Q,11)=0,"",VLOOKUP(Table91213[[#This Row],[Date]],'DB Details'!$A:$Q,11))</f>
        <v/>
      </c>
      <c r="L29" s="50">
        <f>IF(VLOOKUP(Table91213[[#This Row],[Date]],'DB Details'!$A:$Q,12)=0,"",VLOOKUP(Table91213[[#This Row],[Date]],'DB Details'!$A:$Q,12))</f>
        <v/>
      </c>
    </row>
    <row r="30">
      <c r="A30" s="53" t="n">
        <v>36342</v>
      </c>
      <c r="B30" s="50">
        <f>IF(VLOOKUP(Table91213[[#This Row],[Date]],'DB Details'!$A:$Q,2)=0,"",VLOOKUP(Table91213[[#This Row],[Date]],'DB Details'!$A:$Q,2))</f>
        <v/>
      </c>
      <c r="C30" s="51">
        <f>IF(VLOOKUP(Table91213[[#This Row],[Date]],'DB Details'!$A:$Q,3)=0,"",VLOOKUP(Table91213[[#This Row],[Date]],'DB Details'!$A:$Q,3))</f>
        <v/>
      </c>
      <c r="D30" s="51">
        <f>IF(VLOOKUP(Table91213[[#This Row],[Date]],'DB Details'!$A:$Q,4)=0,"",VLOOKUP(Table91213[[#This Row],[Date]],'DB Details'!$A:$Q,4))</f>
        <v/>
      </c>
      <c r="E30" s="52">
        <f>IF(VLOOKUP(Table91213[[#This Row],[Date]],'DB Details'!$A:$Q,5)=0,"",VLOOKUP(Table91213[[#This Row],[Date]],'DB Details'!$A:$Q,5))</f>
        <v/>
      </c>
      <c r="F30" s="51">
        <f>IF(VLOOKUP(Table91213[[#This Row],[Date]],'DB Details'!$A:$Q,6)=0,"",VLOOKUP(Table91213[[#This Row],[Date]],'DB Details'!$A:$Q,6))</f>
        <v/>
      </c>
      <c r="G30" s="52">
        <f>IF(VLOOKUP(Table91213[[#This Row],[Date]],'DB Details'!$A:$Q,7)=0,"",VLOOKUP(Table91213[[#This Row],[Date]],'DB Details'!$A:$Q,7))</f>
        <v/>
      </c>
      <c r="H30" s="52">
        <f>IF(VLOOKUP(Table91213[[#This Row],[Date]],'DB Details'!$A:$Q,8)=0,"",VLOOKUP(Table91213[[#This Row],[Date]],'DB Details'!$A:$Q,8))</f>
        <v/>
      </c>
      <c r="I30" s="52">
        <f>IF(VLOOKUP(Table91213[[#This Row],[Date]],'DB Details'!$A:$Q,9)=0,"",VLOOKUP(Table91213[[#This Row],[Date]],'DB Details'!$A:$Q,9))</f>
        <v/>
      </c>
      <c r="J30" s="52">
        <f>IF(VLOOKUP(Table91213[[#This Row],[Date]],'DB Details'!$A:$Q,10)=0,"",VLOOKUP(Table91213[[#This Row],[Date]],'DB Details'!$A:$Q,10))</f>
        <v/>
      </c>
      <c r="K30" s="52">
        <f>IF(VLOOKUP(Table91213[[#This Row],[Date]],'DB Details'!$A:$Q,11)=0,"",VLOOKUP(Table91213[[#This Row],[Date]],'DB Details'!$A:$Q,11))</f>
        <v/>
      </c>
      <c r="L30" s="50">
        <f>IF(VLOOKUP(Table91213[[#This Row],[Date]],'DB Details'!$A:$Q,12)=0,"",VLOOKUP(Table91213[[#This Row],[Date]],'DB Details'!$A:$Q,12))</f>
        <v/>
      </c>
    </row>
    <row r="31">
      <c r="A31" s="53" t="n">
        <v>36373</v>
      </c>
      <c r="B31" s="50">
        <f>IF(VLOOKUP(Table91213[[#This Row],[Date]],'DB Details'!$A:$Q,2)=0,"",VLOOKUP(Table91213[[#This Row],[Date]],'DB Details'!$A:$Q,2))</f>
        <v/>
      </c>
      <c r="C31" s="51">
        <f>IF(VLOOKUP(Table91213[[#This Row],[Date]],'DB Details'!$A:$Q,3)=0,"",VLOOKUP(Table91213[[#This Row],[Date]],'DB Details'!$A:$Q,3))</f>
        <v/>
      </c>
      <c r="D31" s="51">
        <f>IF(VLOOKUP(Table91213[[#This Row],[Date]],'DB Details'!$A:$Q,4)=0,"",VLOOKUP(Table91213[[#This Row],[Date]],'DB Details'!$A:$Q,4))</f>
        <v/>
      </c>
      <c r="E31" s="52">
        <f>IF(VLOOKUP(Table91213[[#This Row],[Date]],'DB Details'!$A:$Q,5)=0,"",VLOOKUP(Table91213[[#This Row],[Date]],'DB Details'!$A:$Q,5))</f>
        <v/>
      </c>
      <c r="F31" s="51">
        <f>IF(VLOOKUP(Table91213[[#This Row],[Date]],'DB Details'!$A:$Q,6)=0,"",VLOOKUP(Table91213[[#This Row],[Date]],'DB Details'!$A:$Q,6))</f>
        <v/>
      </c>
      <c r="G31" s="52">
        <f>IF(VLOOKUP(Table91213[[#This Row],[Date]],'DB Details'!$A:$Q,7)=0,"",VLOOKUP(Table91213[[#This Row],[Date]],'DB Details'!$A:$Q,7))</f>
        <v/>
      </c>
      <c r="H31" s="52">
        <f>IF(VLOOKUP(Table91213[[#This Row],[Date]],'DB Details'!$A:$Q,8)=0,"",VLOOKUP(Table91213[[#This Row],[Date]],'DB Details'!$A:$Q,8))</f>
        <v/>
      </c>
      <c r="I31" s="52">
        <f>IF(VLOOKUP(Table91213[[#This Row],[Date]],'DB Details'!$A:$Q,9)=0,"",VLOOKUP(Table91213[[#This Row],[Date]],'DB Details'!$A:$Q,9))</f>
        <v/>
      </c>
      <c r="J31" s="52">
        <f>IF(VLOOKUP(Table91213[[#This Row],[Date]],'DB Details'!$A:$Q,10)=0,"",VLOOKUP(Table91213[[#This Row],[Date]],'DB Details'!$A:$Q,10))</f>
        <v/>
      </c>
      <c r="K31" s="52">
        <f>IF(VLOOKUP(Table91213[[#This Row],[Date]],'DB Details'!$A:$Q,11)=0,"",VLOOKUP(Table91213[[#This Row],[Date]],'DB Details'!$A:$Q,11))</f>
        <v/>
      </c>
      <c r="L31" s="50">
        <f>IF(VLOOKUP(Table91213[[#This Row],[Date]],'DB Details'!$A:$Q,12)=0,"",VLOOKUP(Table91213[[#This Row],[Date]],'DB Details'!$A:$Q,12))</f>
        <v/>
      </c>
    </row>
    <row r="32">
      <c r="A32" s="53" t="n">
        <v>36404</v>
      </c>
      <c r="B32" s="50">
        <f>IF(VLOOKUP(Table91213[[#This Row],[Date]],'DB Details'!$A:$Q,2)=0,"",VLOOKUP(Table91213[[#This Row],[Date]],'DB Details'!$A:$Q,2))</f>
        <v/>
      </c>
      <c r="C32" s="51">
        <f>IF(VLOOKUP(Table91213[[#This Row],[Date]],'DB Details'!$A:$Q,3)=0,"",VLOOKUP(Table91213[[#This Row],[Date]],'DB Details'!$A:$Q,3))</f>
        <v/>
      </c>
      <c r="D32" s="51">
        <f>IF(VLOOKUP(Table91213[[#This Row],[Date]],'DB Details'!$A:$Q,4)=0,"",VLOOKUP(Table91213[[#This Row],[Date]],'DB Details'!$A:$Q,4))</f>
        <v/>
      </c>
      <c r="E32" s="52">
        <f>IF(VLOOKUP(Table91213[[#This Row],[Date]],'DB Details'!$A:$Q,5)=0,"",VLOOKUP(Table91213[[#This Row],[Date]],'DB Details'!$A:$Q,5))</f>
        <v/>
      </c>
      <c r="F32" s="51">
        <f>IF(VLOOKUP(Table91213[[#This Row],[Date]],'DB Details'!$A:$Q,6)=0,"",VLOOKUP(Table91213[[#This Row],[Date]],'DB Details'!$A:$Q,6))</f>
        <v/>
      </c>
      <c r="G32" s="52">
        <f>IF(VLOOKUP(Table91213[[#This Row],[Date]],'DB Details'!$A:$Q,7)=0,"",VLOOKUP(Table91213[[#This Row],[Date]],'DB Details'!$A:$Q,7))</f>
        <v/>
      </c>
      <c r="H32" s="52">
        <f>IF(VLOOKUP(Table91213[[#This Row],[Date]],'DB Details'!$A:$Q,8)=0,"",VLOOKUP(Table91213[[#This Row],[Date]],'DB Details'!$A:$Q,8))</f>
        <v/>
      </c>
      <c r="I32" s="52">
        <f>IF(VLOOKUP(Table91213[[#This Row],[Date]],'DB Details'!$A:$Q,9)=0,"",VLOOKUP(Table91213[[#This Row],[Date]],'DB Details'!$A:$Q,9))</f>
        <v/>
      </c>
      <c r="J32" s="52">
        <f>IF(VLOOKUP(Table91213[[#This Row],[Date]],'DB Details'!$A:$Q,10)=0,"",VLOOKUP(Table91213[[#This Row],[Date]],'DB Details'!$A:$Q,10))</f>
        <v/>
      </c>
      <c r="K32" s="52">
        <f>IF(VLOOKUP(Table91213[[#This Row],[Date]],'DB Details'!$A:$Q,11)=0,"",VLOOKUP(Table91213[[#This Row],[Date]],'DB Details'!$A:$Q,11))</f>
        <v/>
      </c>
      <c r="L32" s="50">
        <f>IF(VLOOKUP(Table91213[[#This Row],[Date]],'DB Details'!$A:$Q,12)=0,"",VLOOKUP(Table91213[[#This Row],[Date]],'DB Details'!$A:$Q,12))</f>
        <v/>
      </c>
    </row>
    <row r="33">
      <c r="A33" s="53" t="n">
        <v>36434</v>
      </c>
      <c r="B33" s="50">
        <f>IF(VLOOKUP(Table91213[[#This Row],[Date]],'DB Details'!$A:$Q,2)=0,"",VLOOKUP(Table91213[[#This Row],[Date]],'DB Details'!$A:$Q,2))</f>
        <v/>
      </c>
      <c r="C33" s="51">
        <f>IF(VLOOKUP(Table91213[[#This Row],[Date]],'DB Details'!$A:$Q,3)=0,"",VLOOKUP(Table91213[[#This Row],[Date]],'DB Details'!$A:$Q,3))</f>
        <v/>
      </c>
      <c r="D33" s="51">
        <f>IF(VLOOKUP(Table91213[[#This Row],[Date]],'DB Details'!$A:$Q,4)=0,"",VLOOKUP(Table91213[[#This Row],[Date]],'DB Details'!$A:$Q,4))</f>
        <v/>
      </c>
      <c r="E33" s="52">
        <f>IF(VLOOKUP(Table91213[[#This Row],[Date]],'DB Details'!$A:$Q,5)=0,"",VLOOKUP(Table91213[[#This Row],[Date]],'DB Details'!$A:$Q,5))</f>
        <v/>
      </c>
      <c r="F33" s="51">
        <f>IF(VLOOKUP(Table91213[[#This Row],[Date]],'DB Details'!$A:$Q,6)=0,"",VLOOKUP(Table91213[[#This Row],[Date]],'DB Details'!$A:$Q,6))</f>
        <v/>
      </c>
      <c r="G33" s="52">
        <f>IF(VLOOKUP(Table91213[[#This Row],[Date]],'DB Details'!$A:$Q,7)=0,"",VLOOKUP(Table91213[[#This Row],[Date]],'DB Details'!$A:$Q,7))</f>
        <v/>
      </c>
      <c r="H33" s="52">
        <f>IF(VLOOKUP(Table91213[[#This Row],[Date]],'DB Details'!$A:$Q,8)=0,"",VLOOKUP(Table91213[[#This Row],[Date]],'DB Details'!$A:$Q,8))</f>
        <v/>
      </c>
      <c r="I33" s="52">
        <f>IF(VLOOKUP(Table91213[[#This Row],[Date]],'DB Details'!$A:$Q,9)=0,"",VLOOKUP(Table91213[[#This Row],[Date]],'DB Details'!$A:$Q,9))</f>
        <v/>
      </c>
      <c r="J33" s="52">
        <f>IF(VLOOKUP(Table91213[[#This Row],[Date]],'DB Details'!$A:$Q,10)=0,"",VLOOKUP(Table91213[[#This Row],[Date]],'DB Details'!$A:$Q,10))</f>
        <v/>
      </c>
      <c r="K33" s="52">
        <f>IF(VLOOKUP(Table91213[[#This Row],[Date]],'DB Details'!$A:$Q,11)=0,"",VLOOKUP(Table91213[[#This Row],[Date]],'DB Details'!$A:$Q,11))</f>
        <v/>
      </c>
      <c r="L33" s="50">
        <f>IF(VLOOKUP(Table91213[[#This Row],[Date]],'DB Details'!$A:$Q,12)=0,"",VLOOKUP(Table91213[[#This Row],[Date]],'DB Details'!$A:$Q,12))</f>
        <v/>
      </c>
    </row>
    <row r="34">
      <c r="A34" s="53" t="n">
        <v>36465</v>
      </c>
      <c r="B34" s="50">
        <f>IF(VLOOKUP(Table91213[[#This Row],[Date]],'DB Details'!$A:$Q,2)=0,"",VLOOKUP(Table91213[[#This Row],[Date]],'DB Details'!$A:$Q,2))</f>
        <v/>
      </c>
      <c r="C34" s="51">
        <f>IF(VLOOKUP(Table91213[[#This Row],[Date]],'DB Details'!$A:$Q,3)=0,"",VLOOKUP(Table91213[[#This Row],[Date]],'DB Details'!$A:$Q,3))</f>
        <v/>
      </c>
      <c r="D34" s="51">
        <f>IF(VLOOKUP(Table91213[[#This Row],[Date]],'DB Details'!$A:$Q,4)=0,"",VLOOKUP(Table91213[[#This Row],[Date]],'DB Details'!$A:$Q,4))</f>
        <v/>
      </c>
      <c r="E34" s="52">
        <f>IF(VLOOKUP(Table91213[[#This Row],[Date]],'DB Details'!$A:$Q,5)=0,"",VLOOKUP(Table91213[[#This Row],[Date]],'DB Details'!$A:$Q,5))</f>
        <v/>
      </c>
      <c r="F34" s="51">
        <f>IF(VLOOKUP(Table91213[[#This Row],[Date]],'DB Details'!$A:$Q,6)=0,"",VLOOKUP(Table91213[[#This Row],[Date]],'DB Details'!$A:$Q,6))</f>
        <v/>
      </c>
      <c r="G34" s="52">
        <f>IF(VLOOKUP(Table91213[[#This Row],[Date]],'DB Details'!$A:$Q,7)=0,"",VLOOKUP(Table91213[[#This Row],[Date]],'DB Details'!$A:$Q,7))</f>
        <v/>
      </c>
      <c r="H34" s="52">
        <f>IF(VLOOKUP(Table91213[[#This Row],[Date]],'DB Details'!$A:$Q,8)=0,"",VLOOKUP(Table91213[[#This Row],[Date]],'DB Details'!$A:$Q,8))</f>
        <v/>
      </c>
      <c r="I34" s="52">
        <f>IF(VLOOKUP(Table91213[[#This Row],[Date]],'DB Details'!$A:$Q,9)=0,"",VLOOKUP(Table91213[[#This Row],[Date]],'DB Details'!$A:$Q,9))</f>
        <v/>
      </c>
      <c r="J34" s="52">
        <f>IF(VLOOKUP(Table91213[[#This Row],[Date]],'DB Details'!$A:$Q,10)=0,"",VLOOKUP(Table91213[[#This Row],[Date]],'DB Details'!$A:$Q,10))</f>
        <v/>
      </c>
      <c r="K34" s="52">
        <f>IF(VLOOKUP(Table91213[[#This Row],[Date]],'DB Details'!$A:$Q,11)=0,"",VLOOKUP(Table91213[[#This Row],[Date]],'DB Details'!$A:$Q,11))</f>
        <v/>
      </c>
      <c r="L34" s="50">
        <f>IF(VLOOKUP(Table91213[[#This Row],[Date]],'DB Details'!$A:$Q,12)=0,"",VLOOKUP(Table91213[[#This Row],[Date]],'DB Details'!$A:$Q,12))</f>
        <v/>
      </c>
    </row>
    <row r="35">
      <c r="A35" s="53" t="n">
        <v>36495</v>
      </c>
      <c r="B35" s="50">
        <f>IF(VLOOKUP(Table91213[[#This Row],[Date]],'DB Details'!$A:$Q,2)=0,"",VLOOKUP(Table91213[[#This Row],[Date]],'DB Details'!$A:$Q,2))</f>
        <v/>
      </c>
      <c r="C35" s="51">
        <f>IF(VLOOKUP(Table91213[[#This Row],[Date]],'DB Details'!$A:$Q,3)=0,"",VLOOKUP(Table91213[[#This Row],[Date]],'DB Details'!$A:$Q,3))</f>
        <v/>
      </c>
      <c r="D35" s="51">
        <f>IF(VLOOKUP(Table91213[[#This Row],[Date]],'DB Details'!$A:$Q,4)=0,"",VLOOKUP(Table91213[[#This Row],[Date]],'DB Details'!$A:$Q,4))</f>
        <v/>
      </c>
      <c r="E35" s="52">
        <f>IF(VLOOKUP(Table91213[[#This Row],[Date]],'DB Details'!$A:$Q,5)=0,"",VLOOKUP(Table91213[[#This Row],[Date]],'DB Details'!$A:$Q,5))</f>
        <v/>
      </c>
      <c r="F35" s="51">
        <f>IF(VLOOKUP(Table91213[[#This Row],[Date]],'DB Details'!$A:$Q,6)=0,"",VLOOKUP(Table91213[[#This Row],[Date]],'DB Details'!$A:$Q,6))</f>
        <v/>
      </c>
      <c r="G35" s="52">
        <f>IF(VLOOKUP(Table91213[[#This Row],[Date]],'DB Details'!$A:$Q,7)=0,"",VLOOKUP(Table91213[[#This Row],[Date]],'DB Details'!$A:$Q,7))</f>
        <v/>
      </c>
      <c r="H35" s="52">
        <f>IF(VLOOKUP(Table91213[[#This Row],[Date]],'DB Details'!$A:$Q,8)=0,"",VLOOKUP(Table91213[[#This Row],[Date]],'DB Details'!$A:$Q,8))</f>
        <v/>
      </c>
      <c r="I35" s="52">
        <f>IF(VLOOKUP(Table91213[[#This Row],[Date]],'DB Details'!$A:$Q,9)=0,"",VLOOKUP(Table91213[[#This Row],[Date]],'DB Details'!$A:$Q,9))</f>
        <v/>
      </c>
      <c r="J35" s="52">
        <f>IF(VLOOKUP(Table91213[[#This Row],[Date]],'DB Details'!$A:$Q,10)=0,"",VLOOKUP(Table91213[[#This Row],[Date]],'DB Details'!$A:$Q,10))</f>
        <v/>
      </c>
      <c r="K35" s="52">
        <f>IF(VLOOKUP(Table91213[[#This Row],[Date]],'DB Details'!$A:$Q,11)=0,"",VLOOKUP(Table91213[[#This Row],[Date]],'DB Details'!$A:$Q,11))</f>
        <v/>
      </c>
      <c r="L35" s="50">
        <f>IF(VLOOKUP(Table91213[[#This Row],[Date]],'DB Details'!$A:$Q,12)=0,"",VLOOKUP(Table91213[[#This Row],[Date]],'DB Details'!$A:$Q,12))</f>
        <v/>
      </c>
    </row>
    <row r="36">
      <c r="A36" s="53" t="n">
        <v>36526</v>
      </c>
      <c r="B36" s="50">
        <f>IF(VLOOKUP(Table91213[[#This Row],[Date]],'DB Details'!$A:$Q,2)=0,"",VLOOKUP(Table91213[[#This Row],[Date]],'DB Details'!$A:$Q,2))</f>
        <v/>
      </c>
      <c r="C36" s="51">
        <f>IF(VLOOKUP(Table91213[[#This Row],[Date]],'DB Details'!$A:$Q,3)=0,"",VLOOKUP(Table91213[[#This Row],[Date]],'DB Details'!$A:$Q,3))</f>
        <v/>
      </c>
      <c r="D36" s="51">
        <f>IF(VLOOKUP(Table91213[[#This Row],[Date]],'DB Details'!$A:$Q,4)=0,"",VLOOKUP(Table91213[[#This Row],[Date]],'DB Details'!$A:$Q,4))</f>
        <v/>
      </c>
      <c r="E36" s="52">
        <f>IF(VLOOKUP(Table91213[[#This Row],[Date]],'DB Details'!$A:$Q,5)=0,"",VLOOKUP(Table91213[[#This Row],[Date]],'DB Details'!$A:$Q,5))</f>
        <v/>
      </c>
      <c r="F36" s="51">
        <f>IF(VLOOKUP(Table91213[[#This Row],[Date]],'DB Details'!$A:$Q,6)=0,"",VLOOKUP(Table91213[[#This Row],[Date]],'DB Details'!$A:$Q,6))</f>
        <v/>
      </c>
      <c r="G36" s="52">
        <f>IF(VLOOKUP(Table91213[[#This Row],[Date]],'DB Details'!$A:$Q,7)=0,"",VLOOKUP(Table91213[[#This Row],[Date]],'DB Details'!$A:$Q,7))</f>
        <v/>
      </c>
      <c r="H36" s="52">
        <f>IF(VLOOKUP(Table91213[[#This Row],[Date]],'DB Details'!$A:$Q,8)=0,"",VLOOKUP(Table91213[[#This Row],[Date]],'DB Details'!$A:$Q,8))</f>
        <v/>
      </c>
      <c r="I36" s="52">
        <f>IF(VLOOKUP(Table91213[[#This Row],[Date]],'DB Details'!$A:$Q,9)=0,"",VLOOKUP(Table91213[[#This Row],[Date]],'DB Details'!$A:$Q,9))</f>
        <v/>
      </c>
      <c r="J36" s="52">
        <f>IF(VLOOKUP(Table91213[[#This Row],[Date]],'DB Details'!$A:$Q,10)=0,"",VLOOKUP(Table91213[[#This Row],[Date]],'DB Details'!$A:$Q,10))</f>
        <v/>
      </c>
      <c r="K36" s="52">
        <f>IF(VLOOKUP(Table91213[[#This Row],[Date]],'DB Details'!$A:$Q,11)=0,"",VLOOKUP(Table91213[[#This Row],[Date]],'DB Details'!$A:$Q,11))</f>
        <v/>
      </c>
      <c r="L36" s="50">
        <f>IF(VLOOKUP(Table91213[[#This Row],[Date]],'DB Details'!$A:$Q,12)=0,"",VLOOKUP(Table91213[[#This Row],[Date]],'DB Details'!$A:$Q,12))</f>
        <v/>
      </c>
    </row>
    <row r="37">
      <c r="A37" s="53" t="n">
        <v>36557</v>
      </c>
      <c r="B37" s="50">
        <f>IF(VLOOKUP(Table91213[[#This Row],[Date]],'DB Details'!$A:$Q,2)=0,"",VLOOKUP(Table91213[[#This Row],[Date]],'DB Details'!$A:$Q,2))</f>
        <v/>
      </c>
      <c r="C37" s="51">
        <f>IF(VLOOKUP(Table91213[[#This Row],[Date]],'DB Details'!$A:$Q,3)=0,"",VLOOKUP(Table91213[[#This Row],[Date]],'DB Details'!$A:$Q,3))</f>
        <v/>
      </c>
      <c r="D37" s="51">
        <f>IF(VLOOKUP(Table91213[[#This Row],[Date]],'DB Details'!$A:$Q,4)=0,"",VLOOKUP(Table91213[[#This Row],[Date]],'DB Details'!$A:$Q,4))</f>
        <v/>
      </c>
      <c r="E37" s="52">
        <f>IF(VLOOKUP(Table91213[[#This Row],[Date]],'DB Details'!$A:$Q,5)=0,"",VLOOKUP(Table91213[[#This Row],[Date]],'DB Details'!$A:$Q,5))</f>
        <v/>
      </c>
      <c r="F37" s="51">
        <f>IF(VLOOKUP(Table91213[[#This Row],[Date]],'DB Details'!$A:$Q,6)=0,"",VLOOKUP(Table91213[[#This Row],[Date]],'DB Details'!$A:$Q,6))</f>
        <v/>
      </c>
      <c r="G37" s="52">
        <f>IF(VLOOKUP(Table91213[[#This Row],[Date]],'DB Details'!$A:$Q,7)=0,"",VLOOKUP(Table91213[[#This Row],[Date]],'DB Details'!$A:$Q,7))</f>
        <v/>
      </c>
      <c r="H37" s="52">
        <f>IF(VLOOKUP(Table91213[[#This Row],[Date]],'DB Details'!$A:$Q,8)=0,"",VLOOKUP(Table91213[[#This Row],[Date]],'DB Details'!$A:$Q,8))</f>
        <v/>
      </c>
      <c r="I37" s="52">
        <f>IF(VLOOKUP(Table91213[[#This Row],[Date]],'DB Details'!$A:$Q,9)=0,"",VLOOKUP(Table91213[[#This Row],[Date]],'DB Details'!$A:$Q,9))</f>
        <v/>
      </c>
      <c r="J37" s="52">
        <f>IF(VLOOKUP(Table91213[[#This Row],[Date]],'DB Details'!$A:$Q,10)=0,"",VLOOKUP(Table91213[[#This Row],[Date]],'DB Details'!$A:$Q,10))</f>
        <v/>
      </c>
      <c r="K37" s="52">
        <f>IF(VLOOKUP(Table91213[[#This Row],[Date]],'DB Details'!$A:$Q,11)=0,"",VLOOKUP(Table91213[[#This Row],[Date]],'DB Details'!$A:$Q,11))</f>
        <v/>
      </c>
      <c r="L37" s="50">
        <f>IF(VLOOKUP(Table91213[[#This Row],[Date]],'DB Details'!$A:$Q,12)=0,"",VLOOKUP(Table91213[[#This Row],[Date]],'DB Details'!$A:$Q,12))</f>
        <v/>
      </c>
    </row>
    <row r="38">
      <c r="A38" s="53" t="n">
        <v>36586</v>
      </c>
      <c r="B38" s="50">
        <f>IF(VLOOKUP(Table91213[[#This Row],[Date]],'DB Details'!$A:$Q,2)=0,"",VLOOKUP(Table91213[[#This Row],[Date]],'DB Details'!$A:$Q,2))</f>
        <v/>
      </c>
      <c r="C38" s="51">
        <f>IF(VLOOKUP(Table91213[[#This Row],[Date]],'DB Details'!$A:$Q,3)=0,"",VLOOKUP(Table91213[[#This Row],[Date]],'DB Details'!$A:$Q,3))</f>
        <v/>
      </c>
      <c r="D38" s="51">
        <f>IF(VLOOKUP(Table91213[[#This Row],[Date]],'DB Details'!$A:$Q,4)=0,"",VLOOKUP(Table91213[[#This Row],[Date]],'DB Details'!$A:$Q,4))</f>
        <v/>
      </c>
      <c r="E38" s="52">
        <f>IF(VLOOKUP(Table91213[[#This Row],[Date]],'DB Details'!$A:$Q,5)=0,"",VLOOKUP(Table91213[[#This Row],[Date]],'DB Details'!$A:$Q,5))</f>
        <v/>
      </c>
      <c r="F38" s="51">
        <f>IF(VLOOKUP(Table91213[[#This Row],[Date]],'DB Details'!$A:$Q,6)=0,"",VLOOKUP(Table91213[[#This Row],[Date]],'DB Details'!$A:$Q,6))</f>
        <v/>
      </c>
      <c r="G38" s="52">
        <f>IF(VLOOKUP(Table91213[[#This Row],[Date]],'DB Details'!$A:$Q,7)=0,"",VLOOKUP(Table91213[[#This Row],[Date]],'DB Details'!$A:$Q,7))</f>
        <v/>
      </c>
      <c r="H38" s="52">
        <f>IF(VLOOKUP(Table91213[[#This Row],[Date]],'DB Details'!$A:$Q,8)=0,"",VLOOKUP(Table91213[[#This Row],[Date]],'DB Details'!$A:$Q,8))</f>
        <v/>
      </c>
      <c r="I38" s="52">
        <f>IF(VLOOKUP(Table91213[[#This Row],[Date]],'DB Details'!$A:$Q,9)=0,"",VLOOKUP(Table91213[[#This Row],[Date]],'DB Details'!$A:$Q,9))</f>
        <v/>
      </c>
      <c r="J38" s="52">
        <f>IF(VLOOKUP(Table91213[[#This Row],[Date]],'DB Details'!$A:$Q,10)=0,"",VLOOKUP(Table91213[[#This Row],[Date]],'DB Details'!$A:$Q,10))</f>
        <v/>
      </c>
      <c r="K38" s="52">
        <f>IF(VLOOKUP(Table91213[[#This Row],[Date]],'DB Details'!$A:$Q,11)=0,"",VLOOKUP(Table91213[[#This Row],[Date]],'DB Details'!$A:$Q,11))</f>
        <v/>
      </c>
      <c r="L38" s="50">
        <f>IF(VLOOKUP(Table91213[[#This Row],[Date]],'DB Details'!$A:$Q,12)=0,"",VLOOKUP(Table91213[[#This Row],[Date]],'DB Details'!$A:$Q,12))</f>
        <v/>
      </c>
    </row>
    <row r="39">
      <c r="A39" s="53" t="n">
        <v>36617</v>
      </c>
      <c r="B39" s="50">
        <f>IF(VLOOKUP(Table91213[[#This Row],[Date]],'DB Details'!$A:$Q,2)=0,"",VLOOKUP(Table91213[[#This Row],[Date]],'DB Details'!$A:$Q,2))</f>
        <v/>
      </c>
      <c r="C39" s="51">
        <f>IF(VLOOKUP(Table91213[[#This Row],[Date]],'DB Details'!$A:$Q,3)=0,"",VLOOKUP(Table91213[[#This Row],[Date]],'DB Details'!$A:$Q,3))</f>
        <v/>
      </c>
      <c r="D39" s="51">
        <f>IF(VLOOKUP(Table91213[[#This Row],[Date]],'DB Details'!$A:$Q,4)=0,"",VLOOKUP(Table91213[[#This Row],[Date]],'DB Details'!$A:$Q,4))</f>
        <v/>
      </c>
      <c r="E39" s="52">
        <f>IF(VLOOKUP(Table91213[[#This Row],[Date]],'DB Details'!$A:$Q,5)=0,"",VLOOKUP(Table91213[[#This Row],[Date]],'DB Details'!$A:$Q,5))</f>
        <v/>
      </c>
      <c r="F39" s="51">
        <f>IF(VLOOKUP(Table91213[[#This Row],[Date]],'DB Details'!$A:$Q,6)=0,"",VLOOKUP(Table91213[[#This Row],[Date]],'DB Details'!$A:$Q,6))</f>
        <v/>
      </c>
      <c r="G39" s="52">
        <f>IF(VLOOKUP(Table91213[[#This Row],[Date]],'DB Details'!$A:$Q,7)=0,"",VLOOKUP(Table91213[[#This Row],[Date]],'DB Details'!$A:$Q,7))</f>
        <v/>
      </c>
      <c r="H39" s="52">
        <f>IF(VLOOKUP(Table91213[[#This Row],[Date]],'DB Details'!$A:$Q,8)=0,"",VLOOKUP(Table91213[[#This Row],[Date]],'DB Details'!$A:$Q,8))</f>
        <v/>
      </c>
      <c r="I39" s="52">
        <f>IF(VLOOKUP(Table91213[[#This Row],[Date]],'DB Details'!$A:$Q,9)=0,"",VLOOKUP(Table91213[[#This Row],[Date]],'DB Details'!$A:$Q,9))</f>
        <v/>
      </c>
      <c r="J39" s="52">
        <f>IF(VLOOKUP(Table91213[[#This Row],[Date]],'DB Details'!$A:$Q,10)=0,"",VLOOKUP(Table91213[[#This Row],[Date]],'DB Details'!$A:$Q,10))</f>
        <v/>
      </c>
      <c r="K39" s="52">
        <f>IF(VLOOKUP(Table91213[[#This Row],[Date]],'DB Details'!$A:$Q,11)=0,"",VLOOKUP(Table91213[[#This Row],[Date]],'DB Details'!$A:$Q,11))</f>
        <v/>
      </c>
      <c r="L39" s="50">
        <f>IF(VLOOKUP(Table91213[[#This Row],[Date]],'DB Details'!$A:$Q,12)=0,"",VLOOKUP(Table91213[[#This Row],[Date]],'DB Details'!$A:$Q,12))</f>
        <v/>
      </c>
    </row>
    <row r="40">
      <c r="A40" s="53" t="n">
        <v>36647</v>
      </c>
      <c r="B40" s="50">
        <f>IF(VLOOKUP(Table91213[[#This Row],[Date]],'DB Details'!$A:$Q,2)=0,"",VLOOKUP(Table91213[[#This Row],[Date]],'DB Details'!$A:$Q,2))</f>
        <v/>
      </c>
      <c r="C40" s="51">
        <f>IF(VLOOKUP(Table91213[[#This Row],[Date]],'DB Details'!$A:$Q,3)=0,"",VLOOKUP(Table91213[[#This Row],[Date]],'DB Details'!$A:$Q,3))</f>
        <v/>
      </c>
      <c r="D40" s="51">
        <f>IF(VLOOKUP(Table91213[[#This Row],[Date]],'DB Details'!$A:$Q,4)=0,"",VLOOKUP(Table91213[[#This Row],[Date]],'DB Details'!$A:$Q,4))</f>
        <v/>
      </c>
      <c r="E40" s="52">
        <f>IF(VLOOKUP(Table91213[[#This Row],[Date]],'DB Details'!$A:$Q,5)=0,"",VLOOKUP(Table91213[[#This Row],[Date]],'DB Details'!$A:$Q,5))</f>
        <v/>
      </c>
      <c r="F40" s="51">
        <f>IF(VLOOKUP(Table91213[[#This Row],[Date]],'DB Details'!$A:$Q,6)=0,"",VLOOKUP(Table91213[[#This Row],[Date]],'DB Details'!$A:$Q,6))</f>
        <v/>
      </c>
      <c r="G40" s="52">
        <f>IF(VLOOKUP(Table91213[[#This Row],[Date]],'DB Details'!$A:$Q,7)=0,"",VLOOKUP(Table91213[[#This Row],[Date]],'DB Details'!$A:$Q,7))</f>
        <v/>
      </c>
      <c r="H40" s="52">
        <f>IF(VLOOKUP(Table91213[[#This Row],[Date]],'DB Details'!$A:$Q,8)=0,"",VLOOKUP(Table91213[[#This Row],[Date]],'DB Details'!$A:$Q,8))</f>
        <v/>
      </c>
      <c r="I40" s="52">
        <f>IF(VLOOKUP(Table91213[[#This Row],[Date]],'DB Details'!$A:$Q,9)=0,"",VLOOKUP(Table91213[[#This Row],[Date]],'DB Details'!$A:$Q,9))</f>
        <v/>
      </c>
      <c r="J40" s="52">
        <f>IF(VLOOKUP(Table91213[[#This Row],[Date]],'DB Details'!$A:$Q,10)=0,"",VLOOKUP(Table91213[[#This Row],[Date]],'DB Details'!$A:$Q,10))</f>
        <v/>
      </c>
      <c r="K40" s="52">
        <f>IF(VLOOKUP(Table91213[[#This Row],[Date]],'DB Details'!$A:$Q,11)=0,"",VLOOKUP(Table91213[[#This Row],[Date]],'DB Details'!$A:$Q,11))</f>
        <v/>
      </c>
      <c r="L40" s="50">
        <f>IF(VLOOKUP(Table91213[[#This Row],[Date]],'DB Details'!$A:$Q,12)=0,"",VLOOKUP(Table91213[[#This Row],[Date]],'DB Details'!$A:$Q,12))</f>
        <v/>
      </c>
    </row>
    <row r="41">
      <c r="A41" s="53" t="n">
        <v>36678</v>
      </c>
      <c r="B41" s="50">
        <f>IF(VLOOKUP(Table91213[[#This Row],[Date]],'DB Details'!$A:$Q,2)=0,"",VLOOKUP(Table91213[[#This Row],[Date]],'DB Details'!$A:$Q,2))</f>
        <v/>
      </c>
      <c r="C41" s="51">
        <f>IF(VLOOKUP(Table91213[[#This Row],[Date]],'DB Details'!$A:$Q,3)=0,"",VLOOKUP(Table91213[[#This Row],[Date]],'DB Details'!$A:$Q,3))</f>
        <v/>
      </c>
      <c r="D41" s="51">
        <f>IF(VLOOKUP(Table91213[[#This Row],[Date]],'DB Details'!$A:$Q,4)=0,"",VLOOKUP(Table91213[[#This Row],[Date]],'DB Details'!$A:$Q,4))</f>
        <v/>
      </c>
      <c r="E41" s="52">
        <f>IF(VLOOKUP(Table91213[[#This Row],[Date]],'DB Details'!$A:$Q,5)=0,"",VLOOKUP(Table91213[[#This Row],[Date]],'DB Details'!$A:$Q,5))</f>
        <v/>
      </c>
      <c r="F41" s="51">
        <f>IF(VLOOKUP(Table91213[[#This Row],[Date]],'DB Details'!$A:$Q,6)=0,"",VLOOKUP(Table91213[[#This Row],[Date]],'DB Details'!$A:$Q,6))</f>
        <v/>
      </c>
      <c r="G41" s="52">
        <f>IF(VLOOKUP(Table91213[[#This Row],[Date]],'DB Details'!$A:$Q,7)=0,"",VLOOKUP(Table91213[[#This Row],[Date]],'DB Details'!$A:$Q,7))</f>
        <v/>
      </c>
      <c r="H41" s="52">
        <f>IF(VLOOKUP(Table91213[[#This Row],[Date]],'DB Details'!$A:$Q,8)=0,"",VLOOKUP(Table91213[[#This Row],[Date]],'DB Details'!$A:$Q,8))</f>
        <v/>
      </c>
      <c r="I41" s="52">
        <f>IF(VLOOKUP(Table91213[[#This Row],[Date]],'DB Details'!$A:$Q,9)=0,"",VLOOKUP(Table91213[[#This Row],[Date]],'DB Details'!$A:$Q,9))</f>
        <v/>
      </c>
      <c r="J41" s="52">
        <f>IF(VLOOKUP(Table91213[[#This Row],[Date]],'DB Details'!$A:$Q,10)=0,"",VLOOKUP(Table91213[[#This Row],[Date]],'DB Details'!$A:$Q,10))</f>
        <v/>
      </c>
      <c r="K41" s="52">
        <f>IF(VLOOKUP(Table91213[[#This Row],[Date]],'DB Details'!$A:$Q,11)=0,"",VLOOKUP(Table91213[[#This Row],[Date]],'DB Details'!$A:$Q,11))</f>
        <v/>
      </c>
      <c r="L41" s="50">
        <f>IF(VLOOKUP(Table91213[[#This Row],[Date]],'DB Details'!$A:$Q,12)=0,"",VLOOKUP(Table91213[[#This Row],[Date]],'DB Details'!$A:$Q,12))</f>
        <v/>
      </c>
    </row>
    <row r="42">
      <c r="A42" s="53" t="n">
        <v>36708</v>
      </c>
      <c r="B42" s="50">
        <f>IF(VLOOKUP(Table91213[[#This Row],[Date]],'DB Details'!$A:$Q,2)=0,"",VLOOKUP(Table91213[[#This Row],[Date]],'DB Details'!$A:$Q,2))</f>
        <v/>
      </c>
      <c r="C42" s="51">
        <f>IF(VLOOKUP(Table91213[[#This Row],[Date]],'DB Details'!$A:$Q,3)=0,"",VLOOKUP(Table91213[[#This Row],[Date]],'DB Details'!$A:$Q,3))</f>
        <v/>
      </c>
      <c r="D42" s="51">
        <f>IF(VLOOKUP(Table91213[[#This Row],[Date]],'DB Details'!$A:$Q,4)=0,"",VLOOKUP(Table91213[[#This Row],[Date]],'DB Details'!$A:$Q,4))</f>
        <v/>
      </c>
      <c r="E42" s="52">
        <f>IF(VLOOKUP(Table91213[[#This Row],[Date]],'DB Details'!$A:$Q,5)=0,"",VLOOKUP(Table91213[[#This Row],[Date]],'DB Details'!$A:$Q,5))</f>
        <v/>
      </c>
      <c r="F42" s="51">
        <f>IF(VLOOKUP(Table91213[[#This Row],[Date]],'DB Details'!$A:$Q,6)=0,"",VLOOKUP(Table91213[[#This Row],[Date]],'DB Details'!$A:$Q,6))</f>
        <v/>
      </c>
      <c r="G42" s="52">
        <f>IF(VLOOKUP(Table91213[[#This Row],[Date]],'DB Details'!$A:$Q,7)=0,"",VLOOKUP(Table91213[[#This Row],[Date]],'DB Details'!$A:$Q,7))</f>
        <v/>
      </c>
      <c r="H42" s="52">
        <f>IF(VLOOKUP(Table91213[[#This Row],[Date]],'DB Details'!$A:$Q,8)=0,"",VLOOKUP(Table91213[[#This Row],[Date]],'DB Details'!$A:$Q,8))</f>
        <v/>
      </c>
      <c r="I42" s="52">
        <f>IF(VLOOKUP(Table91213[[#This Row],[Date]],'DB Details'!$A:$Q,9)=0,"",VLOOKUP(Table91213[[#This Row],[Date]],'DB Details'!$A:$Q,9))</f>
        <v/>
      </c>
      <c r="J42" s="52">
        <f>IF(VLOOKUP(Table91213[[#This Row],[Date]],'DB Details'!$A:$Q,10)=0,"",VLOOKUP(Table91213[[#This Row],[Date]],'DB Details'!$A:$Q,10))</f>
        <v/>
      </c>
      <c r="K42" s="52">
        <f>IF(VLOOKUP(Table91213[[#This Row],[Date]],'DB Details'!$A:$Q,11)=0,"",VLOOKUP(Table91213[[#This Row],[Date]],'DB Details'!$A:$Q,11))</f>
        <v/>
      </c>
      <c r="L42" s="50">
        <f>IF(VLOOKUP(Table91213[[#This Row],[Date]],'DB Details'!$A:$Q,12)=0,"",VLOOKUP(Table91213[[#This Row],[Date]],'DB Details'!$A:$Q,12))</f>
        <v/>
      </c>
    </row>
    <row r="43">
      <c r="A43" s="53" t="n">
        <v>36739</v>
      </c>
      <c r="B43" s="50">
        <f>IF(VLOOKUP(Table91213[[#This Row],[Date]],'DB Details'!$A:$Q,2)=0,"",VLOOKUP(Table91213[[#This Row],[Date]],'DB Details'!$A:$Q,2))</f>
        <v/>
      </c>
      <c r="C43" s="51">
        <f>IF(VLOOKUP(Table91213[[#This Row],[Date]],'DB Details'!$A:$Q,3)=0,"",VLOOKUP(Table91213[[#This Row],[Date]],'DB Details'!$A:$Q,3))</f>
        <v/>
      </c>
      <c r="D43" s="51">
        <f>IF(VLOOKUP(Table91213[[#This Row],[Date]],'DB Details'!$A:$Q,4)=0,"",VLOOKUP(Table91213[[#This Row],[Date]],'DB Details'!$A:$Q,4))</f>
        <v/>
      </c>
      <c r="E43" s="52">
        <f>IF(VLOOKUP(Table91213[[#This Row],[Date]],'DB Details'!$A:$Q,5)=0,"",VLOOKUP(Table91213[[#This Row],[Date]],'DB Details'!$A:$Q,5))</f>
        <v/>
      </c>
      <c r="F43" s="51">
        <f>IF(VLOOKUP(Table91213[[#This Row],[Date]],'DB Details'!$A:$Q,6)=0,"",VLOOKUP(Table91213[[#This Row],[Date]],'DB Details'!$A:$Q,6))</f>
        <v/>
      </c>
      <c r="G43" s="52">
        <f>IF(VLOOKUP(Table91213[[#This Row],[Date]],'DB Details'!$A:$Q,7)=0,"",VLOOKUP(Table91213[[#This Row],[Date]],'DB Details'!$A:$Q,7))</f>
        <v/>
      </c>
      <c r="H43" s="52">
        <f>IF(VLOOKUP(Table91213[[#This Row],[Date]],'DB Details'!$A:$Q,8)=0,"",VLOOKUP(Table91213[[#This Row],[Date]],'DB Details'!$A:$Q,8))</f>
        <v/>
      </c>
      <c r="I43" s="52">
        <f>IF(VLOOKUP(Table91213[[#This Row],[Date]],'DB Details'!$A:$Q,9)=0,"",VLOOKUP(Table91213[[#This Row],[Date]],'DB Details'!$A:$Q,9))</f>
        <v/>
      </c>
      <c r="J43" s="52">
        <f>IF(VLOOKUP(Table91213[[#This Row],[Date]],'DB Details'!$A:$Q,10)=0,"",VLOOKUP(Table91213[[#This Row],[Date]],'DB Details'!$A:$Q,10))</f>
        <v/>
      </c>
      <c r="K43" s="52">
        <f>IF(VLOOKUP(Table91213[[#This Row],[Date]],'DB Details'!$A:$Q,11)=0,"",VLOOKUP(Table91213[[#This Row],[Date]],'DB Details'!$A:$Q,11))</f>
        <v/>
      </c>
      <c r="L43" s="50">
        <f>IF(VLOOKUP(Table91213[[#This Row],[Date]],'DB Details'!$A:$Q,12)=0,"",VLOOKUP(Table91213[[#This Row],[Date]],'DB Details'!$A:$Q,12))</f>
        <v/>
      </c>
    </row>
    <row r="44">
      <c r="A44" s="53" t="n">
        <v>36770</v>
      </c>
      <c r="B44" s="50">
        <f>IF(VLOOKUP(Table91213[[#This Row],[Date]],'DB Details'!$A:$Q,2)=0,"",VLOOKUP(Table91213[[#This Row],[Date]],'DB Details'!$A:$Q,2))</f>
        <v/>
      </c>
      <c r="C44" s="51">
        <f>IF(VLOOKUP(Table91213[[#This Row],[Date]],'DB Details'!$A:$Q,3)=0,"",VLOOKUP(Table91213[[#This Row],[Date]],'DB Details'!$A:$Q,3))</f>
        <v/>
      </c>
      <c r="D44" s="51">
        <f>IF(VLOOKUP(Table91213[[#This Row],[Date]],'DB Details'!$A:$Q,4)=0,"",VLOOKUP(Table91213[[#This Row],[Date]],'DB Details'!$A:$Q,4))</f>
        <v/>
      </c>
      <c r="E44" s="52">
        <f>IF(VLOOKUP(Table91213[[#This Row],[Date]],'DB Details'!$A:$Q,5)=0,"",VLOOKUP(Table91213[[#This Row],[Date]],'DB Details'!$A:$Q,5))</f>
        <v/>
      </c>
      <c r="F44" s="51">
        <f>IF(VLOOKUP(Table91213[[#This Row],[Date]],'DB Details'!$A:$Q,6)=0,"",VLOOKUP(Table91213[[#This Row],[Date]],'DB Details'!$A:$Q,6))</f>
        <v/>
      </c>
      <c r="G44" s="52">
        <f>IF(VLOOKUP(Table91213[[#This Row],[Date]],'DB Details'!$A:$Q,7)=0,"",VLOOKUP(Table91213[[#This Row],[Date]],'DB Details'!$A:$Q,7))</f>
        <v/>
      </c>
      <c r="H44" s="52">
        <f>IF(VLOOKUP(Table91213[[#This Row],[Date]],'DB Details'!$A:$Q,8)=0,"",VLOOKUP(Table91213[[#This Row],[Date]],'DB Details'!$A:$Q,8))</f>
        <v/>
      </c>
      <c r="I44" s="52">
        <f>IF(VLOOKUP(Table91213[[#This Row],[Date]],'DB Details'!$A:$Q,9)=0,"",VLOOKUP(Table91213[[#This Row],[Date]],'DB Details'!$A:$Q,9))</f>
        <v/>
      </c>
      <c r="J44" s="52">
        <f>IF(VLOOKUP(Table91213[[#This Row],[Date]],'DB Details'!$A:$Q,10)=0,"",VLOOKUP(Table91213[[#This Row],[Date]],'DB Details'!$A:$Q,10))</f>
        <v/>
      </c>
      <c r="K44" s="52">
        <f>IF(VLOOKUP(Table91213[[#This Row],[Date]],'DB Details'!$A:$Q,11)=0,"",VLOOKUP(Table91213[[#This Row],[Date]],'DB Details'!$A:$Q,11))</f>
        <v/>
      </c>
      <c r="L44" s="50">
        <f>IF(VLOOKUP(Table91213[[#This Row],[Date]],'DB Details'!$A:$Q,12)=0,"",VLOOKUP(Table91213[[#This Row],[Date]],'DB Details'!$A:$Q,12))</f>
        <v/>
      </c>
    </row>
    <row r="45">
      <c r="A45" s="53" t="n">
        <v>36800</v>
      </c>
      <c r="B45" s="50">
        <f>IF(VLOOKUP(Table91213[[#This Row],[Date]],'DB Details'!$A:$Q,2)=0,"",VLOOKUP(Table91213[[#This Row],[Date]],'DB Details'!$A:$Q,2))</f>
        <v/>
      </c>
      <c r="C45" s="51">
        <f>IF(VLOOKUP(Table91213[[#This Row],[Date]],'DB Details'!$A:$Q,3)=0,"",VLOOKUP(Table91213[[#This Row],[Date]],'DB Details'!$A:$Q,3))</f>
        <v/>
      </c>
      <c r="D45" s="51">
        <f>IF(VLOOKUP(Table91213[[#This Row],[Date]],'DB Details'!$A:$Q,4)=0,"",VLOOKUP(Table91213[[#This Row],[Date]],'DB Details'!$A:$Q,4))</f>
        <v/>
      </c>
      <c r="E45" s="52">
        <f>IF(VLOOKUP(Table91213[[#This Row],[Date]],'DB Details'!$A:$Q,5)=0,"",VLOOKUP(Table91213[[#This Row],[Date]],'DB Details'!$A:$Q,5))</f>
        <v/>
      </c>
      <c r="F45" s="51">
        <f>IF(VLOOKUP(Table91213[[#This Row],[Date]],'DB Details'!$A:$Q,6)=0,"",VLOOKUP(Table91213[[#This Row],[Date]],'DB Details'!$A:$Q,6))</f>
        <v/>
      </c>
      <c r="G45" s="52">
        <f>IF(VLOOKUP(Table91213[[#This Row],[Date]],'DB Details'!$A:$Q,7)=0,"",VLOOKUP(Table91213[[#This Row],[Date]],'DB Details'!$A:$Q,7))</f>
        <v/>
      </c>
      <c r="H45" s="52">
        <f>IF(VLOOKUP(Table91213[[#This Row],[Date]],'DB Details'!$A:$Q,8)=0,"",VLOOKUP(Table91213[[#This Row],[Date]],'DB Details'!$A:$Q,8))</f>
        <v/>
      </c>
      <c r="I45" s="52">
        <f>IF(VLOOKUP(Table91213[[#This Row],[Date]],'DB Details'!$A:$Q,9)=0,"",VLOOKUP(Table91213[[#This Row],[Date]],'DB Details'!$A:$Q,9))</f>
        <v/>
      </c>
      <c r="J45" s="52">
        <f>IF(VLOOKUP(Table91213[[#This Row],[Date]],'DB Details'!$A:$Q,10)=0,"",VLOOKUP(Table91213[[#This Row],[Date]],'DB Details'!$A:$Q,10))</f>
        <v/>
      </c>
      <c r="K45" s="52">
        <f>IF(VLOOKUP(Table91213[[#This Row],[Date]],'DB Details'!$A:$Q,11)=0,"",VLOOKUP(Table91213[[#This Row],[Date]],'DB Details'!$A:$Q,11))</f>
        <v/>
      </c>
      <c r="L45" s="50">
        <f>IF(VLOOKUP(Table91213[[#This Row],[Date]],'DB Details'!$A:$Q,12)=0,"",VLOOKUP(Table91213[[#This Row],[Date]],'DB Details'!$A:$Q,12))</f>
        <v/>
      </c>
    </row>
    <row r="46">
      <c r="A46" s="53" t="n">
        <v>36831</v>
      </c>
      <c r="B46" s="50">
        <f>IF(VLOOKUP(Table91213[[#This Row],[Date]],'DB Details'!$A:$Q,2)=0,"",VLOOKUP(Table91213[[#This Row],[Date]],'DB Details'!$A:$Q,2))</f>
        <v/>
      </c>
      <c r="C46" s="51">
        <f>IF(VLOOKUP(Table91213[[#This Row],[Date]],'DB Details'!$A:$Q,3)=0,"",VLOOKUP(Table91213[[#This Row],[Date]],'DB Details'!$A:$Q,3))</f>
        <v/>
      </c>
      <c r="D46" s="51">
        <f>IF(VLOOKUP(Table91213[[#This Row],[Date]],'DB Details'!$A:$Q,4)=0,"",VLOOKUP(Table91213[[#This Row],[Date]],'DB Details'!$A:$Q,4))</f>
        <v/>
      </c>
      <c r="E46" s="52">
        <f>IF(VLOOKUP(Table91213[[#This Row],[Date]],'DB Details'!$A:$Q,5)=0,"",VLOOKUP(Table91213[[#This Row],[Date]],'DB Details'!$A:$Q,5))</f>
        <v/>
      </c>
      <c r="F46" s="51">
        <f>IF(VLOOKUP(Table91213[[#This Row],[Date]],'DB Details'!$A:$Q,6)=0,"",VLOOKUP(Table91213[[#This Row],[Date]],'DB Details'!$A:$Q,6))</f>
        <v/>
      </c>
      <c r="G46" s="52">
        <f>IF(VLOOKUP(Table91213[[#This Row],[Date]],'DB Details'!$A:$Q,7)=0,"",VLOOKUP(Table91213[[#This Row],[Date]],'DB Details'!$A:$Q,7))</f>
        <v/>
      </c>
      <c r="H46" s="52">
        <f>IF(VLOOKUP(Table91213[[#This Row],[Date]],'DB Details'!$A:$Q,8)=0,"",VLOOKUP(Table91213[[#This Row],[Date]],'DB Details'!$A:$Q,8))</f>
        <v/>
      </c>
      <c r="I46" s="52">
        <f>IF(VLOOKUP(Table91213[[#This Row],[Date]],'DB Details'!$A:$Q,9)=0,"",VLOOKUP(Table91213[[#This Row],[Date]],'DB Details'!$A:$Q,9))</f>
        <v/>
      </c>
      <c r="J46" s="52">
        <f>IF(VLOOKUP(Table91213[[#This Row],[Date]],'DB Details'!$A:$Q,10)=0,"",VLOOKUP(Table91213[[#This Row],[Date]],'DB Details'!$A:$Q,10))</f>
        <v/>
      </c>
      <c r="K46" s="52">
        <f>IF(VLOOKUP(Table91213[[#This Row],[Date]],'DB Details'!$A:$Q,11)=0,"",VLOOKUP(Table91213[[#This Row],[Date]],'DB Details'!$A:$Q,11))</f>
        <v/>
      </c>
      <c r="L46" s="50">
        <f>IF(VLOOKUP(Table91213[[#This Row],[Date]],'DB Details'!$A:$Q,12)=0,"",VLOOKUP(Table91213[[#This Row],[Date]],'DB Details'!$A:$Q,12))</f>
        <v/>
      </c>
    </row>
    <row r="47">
      <c r="A47" s="53" t="n">
        <v>36861</v>
      </c>
      <c r="B47" s="50">
        <f>IF(VLOOKUP(Table91213[[#This Row],[Date]],'DB Details'!$A:$Q,2)=0,"",VLOOKUP(Table91213[[#This Row],[Date]],'DB Details'!$A:$Q,2))</f>
        <v/>
      </c>
      <c r="C47" s="51">
        <f>IF(VLOOKUP(Table91213[[#This Row],[Date]],'DB Details'!$A:$Q,3)=0,"",VLOOKUP(Table91213[[#This Row],[Date]],'DB Details'!$A:$Q,3))</f>
        <v/>
      </c>
      <c r="D47" s="51">
        <f>IF(VLOOKUP(Table91213[[#This Row],[Date]],'DB Details'!$A:$Q,4)=0,"",VLOOKUP(Table91213[[#This Row],[Date]],'DB Details'!$A:$Q,4))</f>
        <v/>
      </c>
      <c r="E47" s="52">
        <f>IF(VLOOKUP(Table91213[[#This Row],[Date]],'DB Details'!$A:$Q,5)=0,"",VLOOKUP(Table91213[[#This Row],[Date]],'DB Details'!$A:$Q,5))</f>
        <v/>
      </c>
      <c r="F47" s="51">
        <f>IF(VLOOKUP(Table91213[[#This Row],[Date]],'DB Details'!$A:$Q,6)=0,"",VLOOKUP(Table91213[[#This Row],[Date]],'DB Details'!$A:$Q,6))</f>
        <v/>
      </c>
      <c r="G47" s="52">
        <f>IF(VLOOKUP(Table91213[[#This Row],[Date]],'DB Details'!$A:$Q,7)=0,"",VLOOKUP(Table91213[[#This Row],[Date]],'DB Details'!$A:$Q,7))</f>
        <v/>
      </c>
      <c r="H47" s="52">
        <f>IF(VLOOKUP(Table91213[[#This Row],[Date]],'DB Details'!$A:$Q,8)=0,"",VLOOKUP(Table91213[[#This Row],[Date]],'DB Details'!$A:$Q,8))</f>
        <v/>
      </c>
      <c r="I47" s="52">
        <f>IF(VLOOKUP(Table91213[[#This Row],[Date]],'DB Details'!$A:$Q,9)=0,"",VLOOKUP(Table91213[[#This Row],[Date]],'DB Details'!$A:$Q,9))</f>
        <v/>
      </c>
      <c r="J47" s="52">
        <f>IF(VLOOKUP(Table91213[[#This Row],[Date]],'DB Details'!$A:$Q,10)=0,"",VLOOKUP(Table91213[[#This Row],[Date]],'DB Details'!$A:$Q,10))</f>
        <v/>
      </c>
      <c r="K47" s="52">
        <f>IF(VLOOKUP(Table91213[[#This Row],[Date]],'DB Details'!$A:$Q,11)=0,"",VLOOKUP(Table91213[[#This Row],[Date]],'DB Details'!$A:$Q,11))</f>
        <v/>
      </c>
      <c r="L47" s="50">
        <f>IF(VLOOKUP(Table91213[[#This Row],[Date]],'DB Details'!$A:$Q,12)=0,"",VLOOKUP(Table91213[[#This Row],[Date]],'DB Details'!$A:$Q,12))</f>
        <v/>
      </c>
    </row>
    <row r="48">
      <c r="A48" s="53" t="n">
        <v>36892</v>
      </c>
      <c r="B48" s="50">
        <f>IF(VLOOKUP(Table91213[[#This Row],[Date]],'DB Details'!$A:$Q,2)=0,"",VLOOKUP(Table91213[[#This Row],[Date]],'DB Details'!$A:$Q,2))</f>
        <v/>
      </c>
      <c r="C48" s="51">
        <f>IF(VLOOKUP(Table91213[[#This Row],[Date]],'DB Details'!$A:$Q,3)=0,"",VLOOKUP(Table91213[[#This Row],[Date]],'DB Details'!$A:$Q,3))</f>
        <v/>
      </c>
      <c r="D48" s="51">
        <f>IF(VLOOKUP(Table91213[[#This Row],[Date]],'DB Details'!$A:$Q,4)=0,"",VLOOKUP(Table91213[[#This Row],[Date]],'DB Details'!$A:$Q,4))</f>
        <v/>
      </c>
      <c r="E48" s="52">
        <f>IF(VLOOKUP(Table91213[[#This Row],[Date]],'DB Details'!$A:$Q,5)=0,"",VLOOKUP(Table91213[[#This Row],[Date]],'DB Details'!$A:$Q,5))</f>
        <v/>
      </c>
      <c r="F48" s="51">
        <f>IF(VLOOKUP(Table91213[[#This Row],[Date]],'DB Details'!$A:$Q,6)=0,"",VLOOKUP(Table91213[[#This Row],[Date]],'DB Details'!$A:$Q,6))</f>
        <v/>
      </c>
      <c r="G48" s="52">
        <f>IF(VLOOKUP(Table91213[[#This Row],[Date]],'DB Details'!$A:$Q,7)=0,"",VLOOKUP(Table91213[[#This Row],[Date]],'DB Details'!$A:$Q,7))</f>
        <v/>
      </c>
      <c r="H48" s="52">
        <f>IF(VLOOKUP(Table91213[[#This Row],[Date]],'DB Details'!$A:$Q,8)=0,"",VLOOKUP(Table91213[[#This Row],[Date]],'DB Details'!$A:$Q,8))</f>
        <v/>
      </c>
      <c r="I48" s="52">
        <f>IF(VLOOKUP(Table91213[[#This Row],[Date]],'DB Details'!$A:$Q,9)=0,"",VLOOKUP(Table91213[[#This Row],[Date]],'DB Details'!$A:$Q,9))</f>
        <v/>
      </c>
      <c r="J48" s="52">
        <f>IF(VLOOKUP(Table91213[[#This Row],[Date]],'DB Details'!$A:$Q,10)=0,"",VLOOKUP(Table91213[[#This Row],[Date]],'DB Details'!$A:$Q,10))</f>
        <v/>
      </c>
      <c r="K48" s="52">
        <f>IF(VLOOKUP(Table91213[[#This Row],[Date]],'DB Details'!$A:$Q,11)=0,"",VLOOKUP(Table91213[[#This Row],[Date]],'DB Details'!$A:$Q,11))</f>
        <v/>
      </c>
      <c r="L48" s="50">
        <f>IF(VLOOKUP(Table91213[[#This Row],[Date]],'DB Details'!$A:$Q,12)=0,"",VLOOKUP(Table91213[[#This Row],[Date]],'DB Details'!$A:$Q,12))</f>
        <v/>
      </c>
    </row>
    <row r="49">
      <c r="A49" s="53" t="n">
        <v>36923</v>
      </c>
      <c r="B49" s="50">
        <f>IF(VLOOKUP(Table91213[[#This Row],[Date]],'DB Details'!$A:$Q,2)=0,"",VLOOKUP(Table91213[[#This Row],[Date]],'DB Details'!$A:$Q,2))</f>
        <v/>
      </c>
      <c r="C49" s="51">
        <f>IF(VLOOKUP(Table91213[[#This Row],[Date]],'DB Details'!$A:$Q,3)=0,"",VLOOKUP(Table91213[[#This Row],[Date]],'DB Details'!$A:$Q,3))</f>
        <v/>
      </c>
      <c r="D49" s="51">
        <f>IF(VLOOKUP(Table91213[[#This Row],[Date]],'DB Details'!$A:$Q,4)=0,"",VLOOKUP(Table91213[[#This Row],[Date]],'DB Details'!$A:$Q,4))</f>
        <v/>
      </c>
      <c r="E49" s="52">
        <f>IF(VLOOKUP(Table91213[[#This Row],[Date]],'DB Details'!$A:$Q,5)=0,"",VLOOKUP(Table91213[[#This Row],[Date]],'DB Details'!$A:$Q,5))</f>
        <v/>
      </c>
      <c r="F49" s="51">
        <f>IF(VLOOKUP(Table91213[[#This Row],[Date]],'DB Details'!$A:$Q,6)=0,"",VLOOKUP(Table91213[[#This Row],[Date]],'DB Details'!$A:$Q,6))</f>
        <v/>
      </c>
      <c r="G49" s="52">
        <f>IF(VLOOKUP(Table91213[[#This Row],[Date]],'DB Details'!$A:$Q,7)=0,"",VLOOKUP(Table91213[[#This Row],[Date]],'DB Details'!$A:$Q,7))</f>
        <v/>
      </c>
      <c r="H49" s="52">
        <f>IF(VLOOKUP(Table91213[[#This Row],[Date]],'DB Details'!$A:$Q,8)=0,"",VLOOKUP(Table91213[[#This Row],[Date]],'DB Details'!$A:$Q,8))</f>
        <v/>
      </c>
      <c r="I49" s="52">
        <f>IF(VLOOKUP(Table91213[[#This Row],[Date]],'DB Details'!$A:$Q,9)=0,"",VLOOKUP(Table91213[[#This Row],[Date]],'DB Details'!$A:$Q,9))</f>
        <v/>
      </c>
      <c r="J49" s="52">
        <f>IF(VLOOKUP(Table91213[[#This Row],[Date]],'DB Details'!$A:$Q,10)=0,"",VLOOKUP(Table91213[[#This Row],[Date]],'DB Details'!$A:$Q,10))</f>
        <v/>
      </c>
      <c r="K49" s="52">
        <f>IF(VLOOKUP(Table91213[[#This Row],[Date]],'DB Details'!$A:$Q,11)=0,"",VLOOKUP(Table91213[[#This Row],[Date]],'DB Details'!$A:$Q,11))</f>
        <v/>
      </c>
      <c r="L49" s="50">
        <f>IF(VLOOKUP(Table91213[[#This Row],[Date]],'DB Details'!$A:$Q,12)=0,"",VLOOKUP(Table91213[[#This Row],[Date]],'DB Details'!$A:$Q,12))</f>
        <v/>
      </c>
    </row>
    <row r="50">
      <c r="A50" s="53" t="n">
        <v>36951</v>
      </c>
      <c r="B50" s="50">
        <f>IF(VLOOKUP(Table91213[[#This Row],[Date]],'DB Details'!$A:$Q,2)=0,"",VLOOKUP(Table91213[[#This Row],[Date]],'DB Details'!$A:$Q,2))</f>
        <v/>
      </c>
      <c r="C50" s="51">
        <f>IF(VLOOKUP(Table91213[[#This Row],[Date]],'DB Details'!$A:$Q,3)=0,"",VLOOKUP(Table91213[[#This Row],[Date]],'DB Details'!$A:$Q,3))</f>
        <v/>
      </c>
      <c r="D50" s="51">
        <f>IF(VLOOKUP(Table91213[[#This Row],[Date]],'DB Details'!$A:$Q,4)=0,"",VLOOKUP(Table91213[[#This Row],[Date]],'DB Details'!$A:$Q,4))</f>
        <v/>
      </c>
      <c r="E50" s="52">
        <f>IF(VLOOKUP(Table91213[[#This Row],[Date]],'DB Details'!$A:$Q,5)=0,"",VLOOKUP(Table91213[[#This Row],[Date]],'DB Details'!$A:$Q,5))</f>
        <v/>
      </c>
      <c r="F50" s="51">
        <f>IF(VLOOKUP(Table91213[[#This Row],[Date]],'DB Details'!$A:$Q,6)=0,"",VLOOKUP(Table91213[[#This Row],[Date]],'DB Details'!$A:$Q,6))</f>
        <v/>
      </c>
      <c r="G50" s="52">
        <f>IF(VLOOKUP(Table91213[[#This Row],[Date]],'DB Details'!$A:$Q,7)=0,"",VLOOKUP(Table91213[[#This Row],[Date]],'DB Details'!$A:$Q,7))</f>
        <v/>
      </c>
      <c r="H50" s="52">
        <f>IF(VLOOKUP(Table91213[[#This Row],[Date]],'DB Details'!$A:$Q,8)=0,"",VLOOKUP(Table91213[[#This Row],[Date]],'DB Details'!$A:$Q,8))</f>
        <v/>
      </c>
      <c r="I50" s="52">
        <f>IF(VLOOKUP(Table91213[[#This Row],[Date]],'DB Details'!$A:$Q,9)=0,"",VLOOKUP(Table91213[[#This Row],[Date]],'DB Details'!$A:$Q,9))</f>
        <v/>
      </c>
      <c r="J50" s="52">
        <f>IF(VLOOKUP(Table91213[[#This Row],[Date]],'DB Details'!$A:$Q,10)=0,"",VLOOKUP(Table91213[[#This Row],[Date]],'DB Details'!$A:$Q,10))</f>
        <v/>
      </c>
      <c r="K50" s="52">
        <f>IF(VLOOKUP(Table91213[[#This Row],[Date]],'DB Details'!$A:$Q,11)=0,"",VLOOKUP(Table91213[[#This Row],[Date]],'DB Details'!$A:$Q,11))</f>
        <v/>
      </c>
      <c r="L50" s="50">
        <f>IF(VLOOKUP(Table91213[[#This Row],[Date]],'DB Details'!$A:$Q,12)=0,"",VLOOKUP(Table91213[[#This Row],[Date]],'DB Details'!$A:$Q,12))</f>
        <v/>
      </c>
    </row>
    <row r="51">
      <c r="A51" s="53" t="n">
        <v>36982</v>
      </c>
      <c r="B51" s="50">
        <f>IF(VLOOKUP(Table91213[[#This Row],[Date]],'DB Details'!$A:$Q,2)=0,"",VLOOKUP(Table91213[[#This Row],[Date]],'DB Details'!$A:$Q,2))</f>
        <v/>
      </c>
      <c r="C51" s="51">
        <f>IF(VLOOKUP(Table91213[[#This Row],[Date]],'DB Details'!$A:$Q,3)=0,"",VLOOKUP(Table91213[[#This Row],[Date]],'DB Details'!$A:$Q,3))</f>
        <v/>
      </c>
      <c r="D51" s="51">
        <f>IF(VLOOKUP(Table91213[[#This Row],[Date]],'DB Details'!$A:$Q,4)=0,"",VLOOKUP(Table91213[[#This Row],[Date]],'DB Details'!$A:$Q,4))</f>
        <v/>
      </c>
      <c r="E51" s="52">
        <f>IF(VLOOKUP(Table91213[[#This Row],[Date]],'DB Details'!$A:$Q,5)=0,"",VLOOKUP(Table91213[[#This Row],[Date]],'DB Details'!$A:$Q,5))</f>
        <v/>
      </c>
      <c r="F51" s="51">
        <f>IF(VLOOKUP(Table91213[[#This Row],[Date]],'DB Details'!$A:$Q,6)=0,"",VLOOKUP(Table91213[[#This Row],[Date]],'DB Details'!$A:$Q,6))</f>
        <v/>
      </c>
      <c r="G51" s="52">
        <f>IF(VLOOKUP(Table91213[[#This Row],[Date]],'DB Details'!$A:$Q,7)=0,"",VLOOKUP(Table91213[[#This Row],[Date]],'DB Details'!$A:$Q,7))</f>
        <v/>
      </c>
      <c r="H51" s="52">
        <f>IF(VLOOKUP(Table91213[[#This Row],[Date]],'DB Details'!$A:$Q,8)=0,"",VLOOKUP(Table91213[[#This Row],[Date]],'DB Details'!$A:$Q,8))</f>
        <v/>
      </c>
      <c r="I51" s="52">
        <f>IF(VLOOKUP(Table91213[[#This Row],[Date]],'DB Details'!$A:$Q,9)=0,"",VLOOKUP(Table91213[[#This Row],[Date]],'DB Details'!$A:$Q,9))</f>
        <v/>
      </c>
      <c r="J51" s="52">
        <f>IF(VLOOKUP(Table91213[[#This Row],[Date]],'DB Details'!$A:$Q,10)=0,"",VLOOKUP(Table91213[[#This Row],[Date]],'DB Details'!$A:$Q,10))</f>
        <v/>
      </c>
      <c r="K51" s="52">
        <f>IF(VLOOKUP(Table91213[[#This Row],[Date]],'DB Details'!$A:$Q,11)=0,"",VLOOKUP(Table91213[[#This Row],[Date]],'DB Details'!$A:$Q,11))</f>
        <v/>
      </c>
      <c r="L51" s="50">
        <f>IF(VLOOKUP(Table91213[[#This Row],[Date]],'DB Details'!$A:$Q,12)=0,"",VLOOKUP(Table91213[[#This Row],[Date]],'DB Details'!$A:$Q,12))</f>
        <v/>
      </c>
    </row>
    <row r="52">
      <c r="A52" s="53" t="n">
        <v>37012</v>
      </c>
      <c r="B52" s="50">
        <f>IF(VLOOKUP(Table91213[[#This Row],[Date]],'DB Details'!$A:$Q,2)=0,"",VLOOKUP(Table91213[[#This Row],[Date]],'DB Details'!$A:$Q,2))</f>
        <v/>
      </c>
      <c r="C52" s="51">
        <f>IF(VLOOKUP(Table91213[[#This Row],[Date]],'DB Details'!$A:$Q,3)=0,"",VLOOKUP(Table91213[[#This Row],[Date]],'DB Details'!$A:$Q,3))</f>
        <v/>
      </c>
      <c r="D52" s="51">
        <f>IF(VLOOKUP(Table91213[[#This Row],[Date]],'DB Details'!$A:$Q,4)=0,"",VLOOKUP(Table91213[[#This Row],[Date]],'DB Details'!$A:$Q,4))</f>
        <v/>
      </c>
      <c r="E52" s="52">
        <f>IF(VLOOKUP(Table91213[[#This Row],[Date]],'DB Details'!$A:$Q,5)=0,"",VLOOKUP(Table91213[[#This Row],[Date]],'DB Details'!$A:$Q,5))</f>
        <v/>
      </c>
      <c r="F52" s="51">
        <f>IF(VLOOKUP(Table91213[[#This Row],[Date]],'DB Details'!$A:$Q,6)=0,"",VLOOKUP(Table91213[[#This Row],[Date]],'DB Details'!$A:$Q,6))</f>
        <v/>
      </c>
      <c r="G52" s="52">
        <f>IF(VLOOKUP(Table91213[[#This Row],[Date]],'DB Details'!$A:$Q,7)=0,"",VLOOKUP(Table91213[[#This Row],[Date]],'DB Details'!$A:$Q,7))</f>
        <v/>
      </c>
      <c r="H52" s="52">
        <f>IF(VLOOKUP(Table91213[[#This Row],[Date]],'DB Details'!$A:$Q,8)=0,"",VLOOKUP(Table91213[[#This Row],[Date]],'DB Details'!$A:$Q,8))</f>
        <v/>
      </c>
      <c r="I52" s="52">
        <f>IF(VLOOKUP(Table91213[[#This Row],[Date]],'DB Details'!$A:$Q,9)=0,"",VLOOKUP(Table91213[[#This Row],[Date]],'DB Details'!$A:$Q,9))</f>
        <v/>
      </c>
      <c r="J52" s="52">
        <f>IF(VLOOKUP(Table91213[[#This Row],[Date]],'DB Details'!$A:$Q,10)=0,"",VLOOKUP(Table91213[[#This Row],[Date]],'DB Details'!$A:$Q,10))</f>
        <v/>
      </c>
      <c r="K52" s="52">
        <f>IF(VLOOKUP(Table91213[[#This Row],[Date]],'DB Details'!$A:$Q,11)=0,"",VLOOKUP(Table91213[[#This Row],[Date]],'DB Details'!$A:$Q,11))</f>
        <v/>
      </c>
      <c r="L52" s="50">
        <f>IF(VLOOKUP(Table91213[[#This Row],[Date]],'DB Details'!$A:$Q,12)=0,"",VLOOKUP(Table91213[[#This Row],[Date]],'DB Details'!$A:$Q,12))</f>
        <v/>
      </c>
    </row>
    <row r="53">
      <c r="A53" s="53" t="n">
        <v>37043</v>
      </c>
      <c r="B53" s="50">
        <f>IF(VLOOKUP(Table91213[[#This Row],[Date]],'DB Details'!$A:$Q,2)=0,"",VLOOKUP(Table91213[[#This Row],[Date]],'DB Details'!$A:$Q,2))</f>
        <v/>
      </c>
      <c r="C53" s="51">
        <f>IF(VLOOKUP(Table91213[[#This Row],[Date]],'DB Details'!$A:$Q,3)=0,"",VLOOKUP(Table91213[[#This Row],[Date]],'DB Details'!$A:$Q,3))</f>
        <v/>
      </c>
      <c r="D53" s="51">
        <f>IF(VLOOKUP(Table91213[[#This Row],[Date]],'DB Details'!$A:$Q,4)=0,"",VLOOKUP(Table91213[[#This Row],[Date]],'DB Details'!$A:$Q,4))</f>
        <v/>
      </c>
      <c r="E53" s="52">
        <f>IF(VLOOKUP(Table91213[[#This Row],[Date]],'DB Details'!$A:$Q,5)=0,"",VLOOKUP(Table91213[[#This Row],[Date]],'DB Details'!$A:$Q,5))</f>
        <v/>
      </c>
      <c r="F53" s="51">
        <f>IF(VLOOKUP(Table91213[[#This Row],[Date]],'DB Details'!$A:$Q,6)=0,"",VLOOKUP(Table91213[[#This Row],[Date]],'DB Details'!$A:$Q,6))</f>
        <v/>
      </c>
      <c r="G53" s="52">
        <f>IF(VLOOKUP(Table91213[[#This Row],[Date]],'DB Details'!$A:$Q,7)=0,"",VLOOKUP(Table91213[[#This Row],[Date]],'DB Details'!$A:$Q,7))</f>
        <v/>
      </c>
      <c r="H53" s="52">
        <f>IF(VLOOKUP(Table91213[[#This Row],[Date]],'DB Details'!$A:$Q,8)=0,"",VLOOKUP(Table91213[[#This Row],[Date]],'DB Details'!$A:$Q,8))</f>
        <v/>
      </c>
      <c r="I53" s="52">
        <f>IF(VLOOKUP(Table91213[[#This Row],[Date]],'DB Details'!$A:$Q,9)=0,"",VLOOKUP(Table91213[[#This Row],[Date]],'DB Details'!$A:$Q,9))</f>
        <v/>
      </c>
      <c r="J53" s="52">
        <f>IF(VLOOKUP(Table91213[[#This Row],[Date]],'DB Details'!$A:$Q,10)=0,"",VLOOKUP(Table91213[[#This Row],[Date]],'DB Details'!$A:$Q,10))</f>
        <v/>
      </c>
      <c r="K53" s="52">
        <f>IF(VLOOKUP(Table91213[[#This Row],[Date]],'DB Details'!$A:$Q,11)=0,"",VLOOKUP(Table91213[[#This Row],[Date]],'DB Details'!$A:$Q,11))</f>
        <v/>
      </c>
      <c r="L53" s="50">
        <f>IF(VLOOKUP(Table91213[[#This Row],[Date]],'DB Details'!$A:$Q,12)=0,"",VLOOKUP(Table91213[[#This Row],[Date]],'DB Details'!$A:$Q,12))</f>
        <v/>
      </c>
    </row>
    <row r="54">
      <c r="A54" s="53" t="n">
        <v>37073</v>
      </c>
      <c r="B54" s="50">
        <f>IF(VLOOKUP(Table91213[[#This Row],[Date]],'DB Details'!$A:$Q,2)=0,"",VLOOKUP(Table91213[[#This Row],[Date]],'DB Details'!$A:$Q,2))</f>
        <v/>
      </c>
      <c r="C54" s="51">
        <f>IF(VLOOKUP(Table91213[[#This Row],[Date]],'DB Details'!$A:$Q,3)=0,"",VLOOKUP(Table91213[[#This Row],[Date]],'DB Details'!$A:$Q,3))</f>
        <v/>
      </c>
      <c r="D54" s="51">
        <f>IF(VLOOKUP(Table91213[[#This Row],[Date]],'DB Details'!$A:$Q,4)=0,"",VLOOKUP(Table91213[[#This Row],[Date]],'DB Details'!$A:$Q,4))</f>
        <v/>
      </c>
      <c r="E54" s="52">
        <f>IF(VLOOKUP(Table91213[[#This Row],[Date]],'DB Details'!$A:$Q,5)=0,"",VLOOKUP(Table91213[[#This Row],[Date]],'DB Details'!$A:$Q,5))</f>
        <v/>
      </c>
      <c r="F54" s="51">
        <f>IF(VLOOKUP(Table91213[[#This Row],[Date]],'DB Details'!$A:$Q,6)=0,"",VLOOKUP(Table91213[[#This Row],[Date]],'DB Details'!$A:$Q,6))</f>
        <v/>
      </c>
      <c r="G54" s="52">
        <f>IF(VLOOKUP(Table91213[[#This Row],[Date]],'DB Details'!$A:$Q,7)=0,"",VLOOKUP(Table91213[[#This Row],[Date]],'DB Details'!$A:$Q,7))</f>
        <v/>
      </c>
      <c r="H54" s="52">
        <f>IF(VLOOKUP(Table91213[[#This Row],[Date]],'DB Details'!$A:$Q,8)=0,"",VLOOKUP(Table91213[[#This Row],[Date]],'DB Details'!$A:$Q,8))</f>
        <v/>
      </c>
      <c r="I54" s="52">
        <f>IF(VLOOKUP(Table91213[[#This Row],[Date]],'DB Details'!$A:$Q,9)=0,"",VLOOKUP(Table91213[[#This Row],[Date]],'DB Details'!$A:$Q,9))</f>
        <v/>
      </c>
      <c r="J54" s="52">
        <f>IF(VLOOKUP(Table91213[[#This Row],[Date]],'DB Details'!$A:$Q,10)=0,"",VLOOKUP(Table91213[[#This Row],[Date]],'DB Details'!$A:$Q,10))</f>
        <v/>
      </c>
      <c r="K54" s="52">
        <f>IF(VLOOKUP(Table91213[[#This Row],[Date]],'DB Details'!$A:$Q,11)=0,"",VLOOKUP(Table91213[[#This Row],[Date]],'DB Details'!$A:$Q,11))</f>
        <v/>
      </c>
      <c r="L54" s="50">
        <f>IF(VLOOKUP(Table91213[[#This Row],[Date]],'DB Details'!$A:$Q,12)=0,"",VLOOKUP(Table91213[[#This Row],[Date]],'DB Details'!$A:$Q,12))</f>
        <v/>
      </c>
    </row>
    <row r="55">
      <c r="A55" s="53" t="n">
        <v>37104</v>
      </c>
      <c r="B55" s="50">
        <f>IF(VLOOKUP(Table91213[[#This Row],[Date]],'DB Details'!$A:$Q,2)=0,"",VLOOKUP(Table91213[[#This Row],[Date]],'DB Details'!$A:$Q,2))</f>
        <v/>
      </c>
      <c r="C55" s="51">
        <f>IF(VLOOKUP(Table91213[[#This Row],[Date]],'DB Details'!$A:$Q,3)=0,"",VLOOKUP(Table91213[[#This Row],[Date]],'DB Details'!$A:$Q,3))</f>
        <v/>
      </c>
      <c r="D55" s="51">
        <f>IF(VLOOKUP(Table91213[[#This Row],[Date]],'DB Details'!$A:$Q,4)=0,"",VLOOKUP(Table91213[[#This Row],[Date]],'DB Details'!$A:$Q,4))</f>
        <v/>
      </c>
      <c r="E55" s="52">
        <f>IF(VLOOKUP(Table91213[[#This Row],[Date]],'DB Details'!$A:$Q,5)=0,"",VLOOKUP(Table91213[[#This Row],[Date]],'DB Details'!$A:$Q,5))</f>
        <v/>
      </c>
      <c r="F55" s="51">
        <f>IF(VLOOKUP(Table91213[[#This Row],[Date]],'DB Details'!$A:$Q,6)=0,"",VLOOKUP(Table91213[[#This Row],[Date]],'DB Details'!$A:$Q,6))</f>
        <v/>
      </c>
      <c r="G55" s="52">
        <f>IF(VLOOKUP(Table91213[[#This Row],[Date]],'DB Details'!$A:$Q,7)=0,"",VLOOKUP(Table91213[[#This Row],[Date]],'DB Details'!$A:$Q,7))</f>
        <v/>
      </c>
      <c r="H55" s="52">
        <f>IF(VLOOKUP(Table91213[[#This Row],[Date]],'DB Details'!$A:$Q,8)=0,"",VLOOKUP(Table91213[[#This Row],[Date]],'DB Details'!$A:$Q,8))</f>
        <v/>
      </c>
      <c r="I55" s="52">
        <f>IF(VLOOKUP(Table91213[[#This Row],[Date]],'DB Details'!$A:$Q,9)=0,"",VLOOKUP(Table91213[[#This Row],[Date]],'DB Details'!$A:$Q,9))</f>
        <v/>
      </c>
      <c r="J55" s="52">
        <f>IF(VLOOKUP(Table91213[[#This Row],[Date]],'DB Details'!$A:$Q,10)=0,"",VLOOKUP(Table91213[[#This Row],[Date]],'DB Details'!$A:$Q,10))</f>
        <v/>
      </c>
      <c r="K55" s="52">
        <f>IF(VLOOKUP(Table91213[[#This Row],[Date]],'DB Details'!$A:$Q,11)=0,"",VLOOKUP(Table91213[[#This Row],[Date]],'DB Details'!$A:$Q,11))</f>
        <v/>
      </c>
      <c r="L55" s="50">
        <f>IF(VLOOKUP(Table91213[[#This Row],[Date]],'DB Details'!$A:$Q,12)=0,"",VLOOKUP(Table91213[[#This Row],[Date]],'DB Details'!$A:$Q,12))</f>
        <v/>
      </c>
    </row>
    <row r="56">
      <c r="A56" s="53" t="n">
        <v>37135</v>
      </c>
      <c r="B56" s="50">
        <f>IF(VLOOKUP(Table91213[[#This Row],[Date]],'DB Details'!$A:$Q,2)=0,"",VLOOKUP(Table91213[[#This Row],[Date]],'DB Details'!$A:$Q,2))</f>
        <v/>
      </c>
      <c r="C56" s="51">
        <f>IF(VLOOKUP(Table91213[[#This Row],[Date]],'DB Details'!$A:$Q,3)=0,"",VLOOKUP(Table91213[[#This Row],[Date]],'DB Details'!$A:$Q,3))</f>
        <v/>
      </c>
      <c r="D56" s="51">
        <f>IF(VLOOKUP(Table91213[[#This Row],[Date]],'DB Details'!$A:$Q,4)=0,"",VLOOKUP(Table91213[[#This Row],[Date]],'DB Details'!$A:$Q,4))</f>
        <v/>
      </c>
      <c r="E56" s="52">
        <f>IF(VLOOKUP(Table91213[[#This Row],[Date]],'DB Details'!$A:$Q,5)=0,"",VLOOKUP(Table91213[[#This Row],[Date]],'DB Details'!$A:$Q,5))</f>
        <v/>
      </c>
      <c r="F56" s="51">
        <f>IF(VLOOKUP(Table91213[[#This Row],[Date]],'DB Details'!$A:$Q,6)=0,"",VLOOKUP(Table91213[[#This Row],[Date]],'DB Details'!$A:$Q,6))</f>
        <v/>
      </c>
      <c r="G56" s="52">
        <f>IF(VLOOKUP(Table91213[[#This Row],[Date]],'DB Details'!$A:$Q,7)=0,"",VLOOKUP(Table91213[[#This Row],[Date]],'DB Details'!$A:$Q,7))</f>
        <v/>
      </c>
      <c r="H56" s="52">
        <f>IF(VLOOKUP(Table91213[[#This Row],[Date]],'DB Details'!$A:$Q,8)=0,"",VLOOKUP(Table91213[[#This Row],[Date]],'DB Details'!$A:$Q,8))</f>
        <v/>
      </c>
      <c r="I56" s="52">
        <f>IF(VLOOKUP(Table91213[[#This Row],[Date]],'DB Details'!$A:$Q,9)=0,"",VLOOKUP(Table91213[[#This Row],[Date]],'DB Details'!$A:$Q,9))</f>
        <v/>
      </c>
      <c r="J56" s="52">
        <f>IF(VLOOKUP(Table91213[[#This Row],[Date]],'DB Details'!$A:$Q,10)=0,"",VLOOKUP(Table91213[[#This Row],[Date]],'DB Details'!$A:$Q,10))</f>
        <v/>
      </c>
      <c r="K56" s="52">
        <f>IF(VLOOKUP(Table91213[[#This Row],[Date]],'DB Details'!$A:$Q,11)=0,"",VLOOKUP(Table91213[[#This Row],[Date]],'DB Details'!$A:$Q,11))</f>
        <v/>
      </c>
      <c r="L56" s="50">
        <f>IF(VLOOKUP(Table91213[[#This Row],[Date]],'DB Details'!$A:$Q,12)=0,"",VLOOKUP(Table91213[[#This Row],[Date]],'DB Details'!$A:$Q,12))</f>
        <v/>
      </c>
    </row>
    <row r="57">
      <c r="A57" s="53" t="n">
        <v>37165</v>
      </c>
      <c r="B57" s="50">
        <f>IF(VLOOKUP(Table91213[[#This Row],[Date]],'DB Details'!$A:$Q,2)=0,"",VLOOKUP(Table91213[[#This Row],[Date]],'DB Details'!$A:$Q,2))</f>
        <v/>
      </c>
      <c r="C57" s="51">
        <f>IF(VLOOKUP(Table91213[[#This Row],[Date]],'DB Details'!$A:$Q,3)=0,"",VLOOKUP(Table91213[[#This Row],[Date]],'DB Details'!$A:$Q,3))</f>
        <v/>
      </c>
      <c r="D57" s="51">
        <f>IF(VLOOKUP(Table91213[[#This Row],[Date]],'DB Details'!$A:$Q,4)=0,"",VLOOKUP(Table91213[[#This Row],[Date]],'DB Details'!$A:$Q,4))</f>
        <v/>
      </c>
      <c r="E57" s="52">
        <f>IF(VLOOKUP(Table91213[[#This Row],[Date]],'DB Details'!$A:$Q,5)=0,"",VLOOKUP(Table91213[[#This Row],[Date]],'DB Details'!$A:$Q,5))</f>
        <v/>
      </c>
      <c r="F57" s="51">
        <f>IF(VLOOKUP(Table91213[[#This Row],[Date]],'DB Details'!$A:$Q,6)=0,"",VLOOKUP(Table91213[[#This Row],[Date]],'DB Details'!$A:$Q,6))</f>
        <v/>
      </c>
      <c r="G57" s="52">
        <f>IF(VLOOKUP(Table91213[[#This Row],[Date]],'DB Details'!$A:$Q,7)=0,"",VLOOKUP(Table91213[[#This Row],[Date]],'DB Details'!$A:$Q,7))</f>
        <v/>
      </c>
      <c r="H57" s="52">
        <f>IF(VLOOKUP(Table91213[[#This Row],[Date]],'DB Details'!$A:$Q,8)=0,"",VLOOKUP(Table91213[[#This Row],[Date]],'DB Details'!$A:$Q,8))</f>
        <v/>
      </c>
      <c r="I57" s="52">
        <f>IF(VLOOKUP(Table91213[[#This Row],[Date]],'DB Details'!$A:$Q,9)=0,"",VLOOKUP(Table91213[[#This Row],[Date]],'DB Details'!$A:$Q,9))</f>
        <v/>
      </c>
      <c r="J57" s="52">
        <f>IF(VLOOKUP(Table91213[[#This Row],[Date]],'DB Details'!$A:$Q,10)=0,"",VLOOKUP(Table91213[[#This Row],[Date]],'DB Details'!$A:$Q,10))</f>
        <v/>
      </c>
      <c r="K57" s="52">
        <f>IF(VLOOKUP(Table91213[[#This Row],[Date]],'DB Details'!$A:$Q,11)=0,"",VLOOKUP(Table91213[[#This Row],[Date]],'DB Details'!$A:$Q,11))</f>
        <v/>
      </c>
      <c r="L57" s="50">
        <f>IF(VLOOKUP(Table91213[[#This Row],[Date]],'DB Details'!$A:$Q,12)=0,"",VLOOKUP(Table91213[[#This Row],[Date]],'DB Details'!$A:$Q,12))</f>
        <v/>
      </c>
    </row>
    <row r="58">
      <c r="A58" s="53" t="n">
        <v>37196</v>
      </c>
      <c r="B58" s="50">
        <f>IF(VLOOKUP(Table91213[[#This Row],[Date]],'DB Details'!$A:$Q,2)=0,"",VLOOKUP(Table91213[[#This Row],[Date]],'DB Details'!$A:$Q,2))</f>
        <v/>
      </c>
      <c r="C58" s="51">
        <f>IF(VLOOKUP(Table91213[[#This Row],[Date]],'DB Details'!$A:$Q,3)=0,"",VLOOKUP(Table91213[[#This Row],[Date]],'DB Details'!$A:$Q,3))</f>
        <v/>
      </c>
      <c r="D58" s="51">
        <f>IF(VLOOKUP(Table91213[[#This Row],[Date]],'DB Details'!$A:$Q,4)=0,"",VLOOKUP(Table91213[[#This Row],[Date]],'DB Details'!$A:$Q,4))</f>
        <v/>
      </c>
      <c r="E58" s="52">
        <f>IF(VLOOKUP(Table91213[[#This Row],[Date]],'DB Details'!$A:$Q,5)=0,"",VLOOKUP(Table91213[[#This Row],[Date]],'DB Details'!$A:$Q,5))</f>
        <v/>
      </c>
      <c r="F58" s="51">
        <f>IF(VLOOKUP(Table91213[[#This Row],[Date]],'DB Details'!$A:$Q,6)=0,"",VLOOKUP(Table91213[[#This Row],[Date]],'DB Details'!$A:$Q,6))</f>
        <v/>
      </c>
      <c r="G58" s="52">
        <f>IF(VLOOKUP(Table91213[[#This Row],[Date]],'DB Details'!$A:$Q,7)=0,"",VLOOKUP(Table91213[[#This Row],[Date]],'DB Details'!$A:$Q,7))</f>
        <v/>
      </c>
      <c r="H58" s="52">
        <f>IF(VLOOKUP(Table91213[[#This Row],[Date]],'DB Details'!$A:$Q,8)=0,"",VLOOKUP(Table91213[[#This Row],[Date]],'DB Details'!$A:$Q,8))</f>
        <v/>
      </c>
      <c r="I58" s="52">
        <f>IF(VLOOKUP(Table91213[[#This Row],[Date]],'DB Details'!$A:$Q,9)=0,"",VLOOKUP(Table91213[[#This Row],[Date]],'DB Details'!$A:$Q,9))</f>
        <v/>
      </c>
      <c r="J58" s="52">
        <f>IF(VLOOKUP(Table91213[[#This Row],[Date]],'DB Details'!$A:$Q,10)=0,"",VLOOKUP(Table91213[[#This Row],[Date]],'DB Details'!$A:$Q,10))</f>
        <v/>
      </c>
      <c r="K58" s="52">
        <f>IF(VLOOKUP(Table91213[[#This Row],[Date]],'DB Details'!$A:$Q,11)=0,"",VLOOKUP(Table91213[[#This Row],[Date]],'DB Details'!$A:$Q,11))</f>
        <v/>
      </c>
      <c r="L58" s="50">
        <f>IF(VLOOKUP(Table91213[[#This Row],[Date]],'DB Details'!$A:$Q,12)=0,"",VLOOKUP(Table91213[[#This Row],[Date]],'DB Details'!$A:$Q,12))</f>
        <v/>
      </c>
    </row>
    <row r="59">
      <c r="A59" s="53" t="n">
        <v>37226</v>
      </c>
      <c r="B59" s="50">
        <f>IF(VLOOKUP(Table91213[[#This Row],[Date]],'DB Details'!$A:$Q,2)=0,"",VLOOKUP(Table91213[[#This Row],[Date]],'DB Details'!$A:$Q,2))</f>
        <v/>
      </c>
      <c r="C59" s="51">
        <f>IF(VLOOKUP(Table91213[[#This Row],[Date]],'DB Details'!$A:$Q,3)=0,"",VLOOKUP(Table91213[[#This Row],[Date]],'DB Details'!$A:$Q,3))</f>
        <v/>
      </c>
      <c r="D59" s="51">
        <f>IF(VLOOKUP(Table91213[[#This Row],[Date]],'DB Details'!$A:$Q,4)=0,"",VLOOKUP(Table91213[[#This Row],[Date]],'DB Details'!$A:$Q,4))</f>
        <v/>
      </c>
      <c r="E59" s="52">
        <f>IF(VLOOKUP(Table91213[[#This Row],[Date]],'DB Details'!$A:$Q,5)=0,"",VLOOKUP(Table91213[[#This Row],[Date]],'DB Details'!$A:$Q,5))</f>
        <v/>
      </c>
      <c r="F59" s="51">
        <f>IF(VLOOKUP(Table91213[[#This Row],[Date]],'DB Details'!$A:$Q,6)=0,"",VLOOKUP(Table91213[[#This Row],[Date]],'DB Details'!$A:$Q,6))</f>
        <v/>
      </c>
      <c r="G59" s="52">
        <f>IF(VLOOKUP(Table91213[[#This Row],[Date]],'DB Details'!$A:$Q,7)=0,"",VLOOKUP(Table91213[[#This Row],[Date]],'DB Details'!$A:$Q,7))</f>
        <v/>
      </c>
      <c r="H59" s="52">
        <f>IF(VLOOKUP(Table91213[[#This Row],[Date]],'DB Details'!$A:$Q,8)=0,"",VLOOKUP(Table91213[[#This Row],[Date]],'DB Details'!$A:$Q,8))</f>
        <v/>
      </c>
      <c r="I59" s="52">
        <f>IF(VLOOKUP(Table91213[[#This Row],[Date]],'DB Details'!$A:$Q,9)=0,"",VLOOKUP(Table91213[[#This Row],[Date]],'DB Details'!$A:$Q,9))</f>
        <v/>
      </c>
      <c r="J59" s="52">
        <f>IF(VLOOKUP(Table91213[[#This Row],[Date]],'DB Details'!$A:$Q,10)=0,"",VLOOKUP(Table91213[[#This Row],[Date]],'DB Details'!$A:$Q,10))</f>
        <v/>
      </c>
      <c r="K59" s="52">
        <f>IF(VLOOKUP(Table91213[[#This Row],[Date]],'DB Details'!$A:$Q,11)=0,"",VLOOKUP(Table91213[[#This Row],[Date]],'DB Details'!$A:$Q,11))</f>
        <v/>
      </c>
      <c r="L59" s="50">
        <f>IF(VLOOKUP(Table91213[[#This Row],[Date]],'DB Details'!$A:$Q,12)=0,"",VLOOKUP(Table91213[[#This Row],[Date]],'DB Details'!$A:$Q,12))</f>
        <v/>
      </c>
    </row>
    <row r="60">
      <c r="A60" s="53" t="n">
        <v>37257</v>
      </c>
      <c r="B60" s="50">
        <f>IF(VLOOKUP(Table91213[[#This Row],[Date]],'DB Details'!$A:$Q,2)=0,"",VLOOKUP(Table91213[[#This Row],[Date]],'DB Details'!$A:$Q,2))</f>
        <v/>
      </c>
      <c r="C60" s="51">
        <f>IF(VLOOKUP(Table91213[[#This Row],[Date]],'DB Details'!$A:$Q,3)=0,"",VLOOKUP(Table91213[[#This Row],[Date]],'DB Details'!$A:$Q,3))</f>
        <v/>
      </c>
      <c r="D60" s="51">
        <f>IF(VLOOKUP(Table91213[[#This Row],[Date]],'DB Details'!$A:$Q,4)=0,"",VLOOKUP(Table91213[[#This Row],[Date]],'DB Details'!$A:$Q,4))</f>
        <v/>
      </c>
      <c r="E60" s="52">
        <f>IF(VLOOKUP(Table91213[[#This Row],[Date]],'DB Details'!$A:$Q,5)=0,"",VLOOKUP(Table91213[[#This Row],[Date]],'DB Details'!$A:$Q,5))</f>
        <v/>
      </c>
      <c r="F60" s="51">
        <f>IF(VLOOKUP(Table91213[[#This Row],[Date]],'DB Details'!$A:$Q,6)=0,"",VLOOKUP(Table91213[[#This Row],[Date]],'DB Details'!$A:$Q,6))</f>
        <v/>
      </c>
      <c r="G60" s="52">
        <f>IF(VLOOKUP(Table91213[[#This Row],[Date]],'DB Details'!$A:$Q,7)=0,"",VLOOKUP(Table91213[[#This Row],[Date]],'DB Details'!$A:$Q,7))</f>
        <v/>
      </c>
      <c r="H60" s="52">
        <f>IF(VLOOKUP(Table91213[[#This Row],[Date]],'DB Details'!$A:$Q,8)=0,"",VLOOKUP(Table91213[[#This Row],[Date]],'DB Details'!$A:$Q,8))</f>
        <v/>
      </c>
      <c r="I60" s="52">
        <f>IF(VLOOKUP(Table91213[[#This Row],[Date]],'DB Details'!$A:$Q,9)=0,"",VLOOKUP(Table91213[[#This Row],[Date]],'DB Details'!$A:$Q,9))</f>
        <v/>
      </c>
      <c r="J60" s="52">
        <f>IF(VLOOKUP(Table91213[[#This Row],[Date]],'DB Details'!$A:$Q,10)=0,"",VLOOKUP(Table91213[[#This Row],[Date]],'DB Details'!$A:$Q,10))</f>
        <v/>
      </c>
      <c r="K60" s="52">
        <f>IF(VLOOKUP(Table91213[[#This Row],[Date]],'DB Details'!$A:$Q,11)=0,"",VLOOKUP(Table91213[[#This Row],[Date]],'DB Details'!$A:$Q,11))</f>
        <v/>
      </c>
      <c r="L60" s="50">
        <f>IF(VLOOKUP(Table91213[[#This Row],[Date]],'DB Details'!$A:$Q,12)=0,"",VLOOKUP(Table91213[[#This Row],[Date]],'DB Details'!$A:$Q,12))</f>
        <v/>
      </c>
    </row>
    <row r="61">
      <c r="A61" s="53" t="n">
        <v>37288</v>
      </c>
      <c r="B61" s="50">
        <f>IF(VLOOKUP(Table91213[[#This Row],[Date]],'DB Details'!$A:$Q,2)=0,"",VLOOKUP(Table91213[[#This Row],[Date]],'DB Details'!$A:$Q,2))</f>
        <v/>
      </c>
      <c r="C61" s="51">
        <f>IF(VLOOKUP(Table91213[[#This Row],[Date]],'DB Details'!$A:$Q,3)=0,"",VLOOKUP(Table91213[[#This Row],[Date]],'DB Details'!$A:$Q,3))</f>
        <v/>
      </c>
      <c r="D61" s="51">
        <f>IF(VLOOKUP(Table91213[[#This Row],[Date]],'DB Details'!$A:$Q,4)=0,"",VLOOKUP(Table91213[[#This Row],[Date]],'DB Details'!$A:$Q,4))</f>
        <v/>
      </c>
      <c r="E61" s="52">
        <f>IF(VLOOKUP(Table91213[[#This Row],[Date]],'DB Details'!$A:$Q,5)=0,"",VLOOKUP(Table91213[[#This Row],[Date]],'DB Details'!$A:$Q,5))</f>
        <v/>
      </c>
      <c r="F61" s="51">
        <f>IF(VLOOKUP(Table91213[[#This Row],[Date]],'DB Details'!$A:$Q,6)=0,"",VLOOKUP(Table91213[[#This Row],[Date]],'DB Details'!$A:$Q,6))</f>
        <v/>
      </c>
      <c r="G61" s="52">
        <f>IF(VLOOKUP(Table91213[[#This Row],[Date]],'DB Details'!$A:$Q,7)=0,"",VLOOKUP(Table91213[[#This Row],[Date]],'DB Details'!$A:$Q,7))</f>
        <v/>
      </c>
      <c r="H61" s="52">
        <f>IF(VLOOKUP(Table91213[[#This Row],[Date]],'DB Details'!$A:$Q,8)=0,"",VLOOKUP(Table91213[[#This Row],[Date]],'DB Details'!$A:$Q,8))</f>
        <v/>
      </c>
      <c r="I61" s="52">
        <f>IF(VLOOKUP(Table91213[[#This Row],[Date]],'DB Details'!$A:$Q,9)=0,"",VLOOKUP(Table91213[[#This Row],[Date]],'DB Details'!$A:$Q,9))</f>
        <v/>
      </c>
      <c r="J61" s="52">
        <f>IF(VLOOKUP(Table91213[[#This Row],[Date]],'DB Details'!$A:$Q,10)=0,"",VLOOKUP(Table91213[[#This Row],[Date]],'DB Details'!$A:$Q,10))</f>
        <v/>
      </c>
      <c r="K61" s="52">
        <f>IF(VLOOKUP(Table91213[[#This Row],[Date]],'DB Details'!$A:$Q,11)=0,"",VLOOKUP(Table91213[[#This Row],[Date]],'DB Details'!$A:$Q,11))</f>
        <v/>
      </c>
      <c r="L61" s="50">
        <f>IF(VLOOKUP(Table91213[[#This Row],[Date]],'DB Details'!$A:$Q,12)=0,"",VLOOKUP(Table91213[[#This Row],[Date]],'DB Details'!$A:$Q,12))</f>
        <v/>
      </c>
    </row>
    <row r="62">
      <c r="A62" s="53" t="n">
        <v>37316</v>
      </c>
      <c r="B62" s="50">
        <f>IF(VLOOKUP(Table91213[[#This Row],[Date]],'DB Details'!$A:$Q,2)=0,"",VLOOKUP(Table91213[[#This Row],[Date]],'DB Details'!$A:$Q,2))</f>
        <v/>
      </c>
      <c r="C62" s="51">
        <f>IF(VLOOKUP(Table91213[[#This Row],[Date]],'DB Details'!$A:$Q,3)=0,"",VLOOKUP(Table91213[[#This Row],[Date]],'DB Details'!$A:$Q,3))</f>
        <v/>
      </c>
      <c r="D62" s="51">
        <f>IF(VLOOKUP(Table91213[[#This Row],[Date]],'DB Details'!$A:$Q,4)=0,"",VLOOKUP(Table91213[[#This Row],[Date]],'DB Details'!$A:$Q,4))</f>
        <v/>
      </c>
      <c r="E62" s="52">
        <f>IF(VLOOKUP(Table91213[[#This Row],[Date]],'DB Details'!$A:$Q,5)=0,"",VLOOKUP(Table91213[[#This Row],[Date]],'DB Details'!$A:$Q,5))</f>
        <v/>
      </c>
      <c r="F62" s="51">
        <f>IF(VLOOKUP(Table91213[[#This Row],[Date]],'DB Details'!$A:$Q,6)=0,"",VLOOKUP(Table91213[[#This Row],[Date]],'DB Details'!$A:$Q,6))</f>
        <v/>
      </c>
      <c r="G62" s="52">
        <f>IF(VLOOKUP(Table91213[[#This Row],[Date]],'DB Details'!$A:$Q,7)=0,"",VLOOKUP(Table91213[[#This Row],[Date]],'DB Details'!$A:$Q,7))</f>
        <v/>
      </c>
      <c r="H62" s="52">
        <f>IF(VLOOKUP(Table91213[[#This Row],[Date]],'DB Details'!$A:$Q,8)=0,"",VLOOKUP(Table91213[[#This Row],[Date]],'DB Details'!$A:$Q,8))</f>
        <v/>
      </c>
      <c r="I62" s="52">
        <f>IF(VLOOKUP(Table91213[[#This Row],[Date]],'DB Details'!$A:$Q,9)=0,"",VLOOKUP(Table91213[[#This Row],[Date]],'DB Details'!$A:$Q,9))</f>
        <v/>
      </c>
      <c r="J62" s="52">
        <f>IF(VLOOKUP(Table91213[[#This Row],[Date]],'DB Details'!$A:$Q,10)=0,"",VLOOKUP(Table91213[[#This Row],[Date]],'DB Details'!$A:$Q,10))</f>
        <v/>
      </c>
      <c r="K62" s="52">
        <f>IF(VLOOKUP(Table91213[[#This Row],[Date]],'DB Details'!$A:$Q,11)=0,"",VLOOKUP(Table91213[[#This Row],[Date]],'DB Details'!$A:$Q,11))</f>
        <v/>
      </c>
      <c r="L62" s="50">
        <f>IF(VLOOKUP(Table91213[[#This Row],[Date]],'DB Details'!$A:$Q,12)=0,"",VLOOKUP(Table91213[[#This Row],[Date]],'DB Details'!$A:$Q,12))</f>
        <v/>
      </c>
    </row>
    <row r="63">
      <c r="A63" s="53" t="n">
        <v>37347</v>
      </c>
      <c r="B63" s="50">
        <f>IF(VLOOKUP(Table91213[[#This Row],[Date]],'DB Details'!$A:$Q,2)=0,"",VLOOKUP(Table91213[[#This Row],[Date]],'DB Details'!$A:$Q,2))</f>
        <v/>
      </c>
      <c r="C63" s="51">
        <f>IF(VLOOKUP(Table91213[[#This Row],[Date]],'DB Details'!$A:$Q,3)=0,"",VLOOKUP(Table91213[[#This Row],[Date]],'DB Details'!$A:$Q,3))</f>
        <v/>
      </c>
      <c r="D63" s="51">
        <f>IF(VLOOKUP(Table91213[[#This Row],[Date]],'DB Details'!$A:$Q,4)=0,"",VLOOKUP(Table91213[[#This Row],[Date]],'DB Details'!$A:$Q,4))</f>
        <v/>
      </c>
      <c r="E63" s="52">
        <f>IF(VLOOKUP(Table91213[[#This Row],[Date]],'DB Details'!$A:$Q,5)=0,"",VLOOKUP(Table91213[[#This Row],[Date]],'DB Details'!$A:$Q,5))</f>
        <v/>
      </c>
      <c r="F63" s="51">
        <f>IF(VLOOKUP(Table91213[[#This Row],[Date]],'DB Details'!$A:$Q,6)=0,"",VLOOKUP(Table91213[[#This Row],[Date]],'DB Details'!$A:$Q,6))</f>
        <v/>
      </c>
      <c r="G63" s="52">
        <f>IF(VLOOKUP(Table91213[[#This Row],[Date]],'DB Details'!$A:$Q,7)=0,"",VLOOKUP(Table91213[[#This Row],[Date]],'DB Details'!$A:$Q,7))</f>
        <v/>
      </c>
      <c r="H63" s="52">
        <f>IF(VLOOKUP(Table91213[[#This Row],[Date]],'DB Details'!$A:$Q,8)=0,"",VLOOKUP(Table91213[[#This Row],[Date]],'DB Details'!$A:$Q,8))</f>
        <v/>
      </c>
      <c r="I63" s="52">
        <f>IF(VLOOKUP(Table91213[[#This Row],[Date]],'DB Details'!$A:$Q,9)=0,"",VLOOKUP(Table91213[[#This Row],[Date]],'DB Details'!$A:$Q,9))</f>
        <v/>
      </c>
      <c r="J63" s="52">
        <f>IF(VLOOKUP(Table91213[[#This Row],[Date]],'DB Details'!$A:$Q,10)=0,"",VLOOKUP(Table91213[[#This Row],[Date]],'DB Details'!$A:$Q,10))</f>
        <v/>
      </c>
      <c r="K63" s="52">
        <f>IF(VLOOKUP(Table91213[[#This Row],[Date]],'DB Details'!$A:$Q,11)=0,"",VLOOKUP(Table91213[[#This Row],[Date]],'DB Details'!$A:$Q,11))</f>
        <v/>
      </c>
      <c r="L63" s="50">
        <f>IF(VLOOKUP(Table91213[[#This Row],[Date]],'DB Details'!$A:$Q,12)=0,"",VLOOKUP(Table91213[[#This Row],[Date]],'DB Details'!$A:$Q,12))</f>
        <v/>
      </c>
    </row>
    <row r="64">
      <c r="A64" s="53" t="n">
        <v>37377</v>
      </c>
      <c r="B64" s="50">
        <f>IF(VLOOKUP(Table91213[[#This Row],[Date]],'DB Details'!$A:$Q,2)=0,"",VLOOKUP(Table91213[[#This Row],[Date]],'DB Details'!$A:$Q,2))</f>
        <v/>
      </c>
      <c r="C64" s="51">
        <f>IF(VLOOKUP(Table91213[[#This Row],[Date]],'DB Details'!$A:$Q,3)=0,"",VLOOKUP(Table91213[[#This Row],[Date]],'DB Details'!$A:$Q,3))</f>
        <v/>
      </c>
      <c r="D64" s="51">
        <f>IF(VLOOKUP(Table91213[[#This Row],[Date]],'DB Details'!$A:$Q,4)=0,"",VLOOKUP(Table91213[[#This Row],[Date]],'DB Details'!$A:$Q,4))</f>
        <v/>
      </c>
      <c r="E64" s="52">
        <f>IF(VLOOKUP(Table91213[[#This Row],[Date]],'DB Details'!$A:$Q,5)=0,"",VLOOKUP(Table91213[[#This Row],[Date]],'DB Details'!$A:$Q,5))</f>
        <v/>
      </c>
      <c r="F64" s="51">
        <f>IF(VLOOKUP(Table91213[[#This Row],[Date]],'DB Details'!$A:$Q,6)=0,"",VLOOKUP(Table91213[[#This Row],[Date]],'DB Details'!$A:$Q,6))</f>
        <v/>
      </c>
      <c r="G64" s="52">
        <f>IF(VLOOKUP(Table91213[[#This Row],[Date]],'DB Details'!$A:$Q,7)=0,"",VLOOKUP(Table91213[[#This Row],[Date]],'DB Details'!$A:$Q,7))</f>
        <v/>
      </c>
      <c r="H64" s="52">
        <f>IF(VLOOKUP(Table91213[[#This Row],[Date]],'DB Details'!$A:$Q,8)=0,"",VLOOKUP(Table91213[[#This Row],[Date]],'DB Details'!$A:$Q,8))</f>
        <v/>
      </c>
      <c r="I64" s="52">
        <f>IF(VLOOKUP(Table91213[[#This Row],[Date]],'DB Details'!$A:$Q,9)=0,"",VLOOKUP(Table91213[[#This Row],[Date]],'DB Details'!$A:$Q,9))</f>
        <v/>
      </c>
      <c r="J64" s="52">
        <f>IF(VLOOKUP(Table91213[[#This Row],[Date]],'DB Details'!$A:$Q,10)=0,"",VLOOKUP(Table91213[[#This Row],[Date]],'DB Details'!$A:$Q,10))</f>
        <v/>
      </c>
      <c r="K64" s="52">
        <f>IF(VLOOKUP(Table91213[[#This Row],[Date]],'DB Details'!$A:$Q,11)=0,"",VLOOKUP(Table91213[[#This Row],[Date]],'DB Details'!$A:$Q,11))</f>
        <v/>
      </c>
      <c r="L64" s="50">
        <f>IF(VLOOKUP(Table91213[[#This Row],[Date]],'DB Details'!$A:$Q,12)=0,"",VLOOKUP(Table91213[[#This Row],[Date]],'DB Details'!$A:$Q,12))</f>
        <v/>
      </c>
    </row>
    <row r="65">
      <c r="A65" s="53" t="n">
        <v>37408</v>
      </c>
      <c r="B65" s="50">
        <f>IF(VLOOKUP(Table91213[[#This Row],[Date]],'DB Details'!$A:$Q,2)=0,"",VLOOKUP(Table91213[[#This Row],[Date]],'DB Details'!$A:$Q,2))</f>
        <v/>
      </c>
      <c r="C65" s="51">
        <f>IF(VLOOKUP(Table91213[[#This Row],[Date]],'DB Details'!$A:$Q,3)=0,"",VLOOKUP(Table91213[[#This Row],[Date]],'DB Details'!$A:$Q,3))</f>
        <v/>
      </c>
      <c r="D65" s="51">
        <f>IF(VLOOKUP(Table91213[[#This Row],[Date]],'DB Details'!$A:$Q,4)=0,"",VLOOKUP(Table91213[[#This Row],[Date]],'DB Details'!$A:$Q,4))</f>
        <v/>
      </c>
      <c r="E65" s="52">
        <f>IF(VLOOKUP(Table91213[[#This Row],[Date]],'DB Details'!$A:$Q,5)=0,"",VLOOKUP(Table91213[[#This Row],[Date]],'DB Details'!$A:$Q,5))</f>
        <v/>
      </c>
      <c r="F65" s="51">
        <f>IF(VLOOKUP(Table91213[[#This Row],[Date]],'DB Details'!$A:$Q,6)=0,"",VLOOKUP(Table91213[[#This Row],[Date]],'DB Details'!$A:$Q,6))</f>
        <v/>
      </c>
      <c r="G65" s="52">
        <f>IF(VLOOKUP(Table91213[[#This Row],[Date]],'DB Details'!$A:$Q,7)=0,"",VLOOKUP(Table91213[[#This Row],[Date]],'DB Details'!$A:$Q,7))</f>
        <v/>
      </c>
      <c r="H65" s="52">
        <f>IF(VLOOKUP(Table91213[[#This Row],[Date]],'DB Details'!$A:$Q,8)=0,"",VLOOKUP(Table91213[[#This Row],[Date]],'DB Details'!$A:$Q,8))</f>
        <v/>
      </c>
      <c r="I65" s="52">
        <f>IF(VLOOKUP(Table91213[[#This Row],[Date]],'DB Details'!$A:$Q,9)=0,"",VLOOKUP(Table91213[[#This Row],[Date]],'DB Details'!$A:$Q,9))</f>
        <v/>
      </c>
      <c r="J65" s="52">
        <f>IF(VLOOKUP(Table91213[[#This Row],[Date]],'DB Details'!$A:$Q,10)=0,"",VLOOKUP(Table91213[[#This Row],[Date]],'DB Details'!$A:$Q,10))</f>
        <v/>
      </c>
      <c r="K65" s="52">
        <f>IF(VLOOKUP(Table91213[[#This Row],[Date]],'DB Details'!$A:$Q,11)=0,"",VLOOKUP(Table91213[[#This Row],[Date]],'DB Details'!$A:$Q,11))</f>
        <v/>
      </c>
      <c r="L65" s="50">
        <f>IF(VLOOKUP(Table91213[[#This Row],[Date]],'DB Details'!$A:$Q,12)=0,"",VLOOKUP(Table91213[[#This Row],[Date]],'DB Details'!$A:$Q,12))</f>
        <v/>
      </c>
    </row>
    <row r="66">
      <c r="A66" s="53" t="n">
        <v>37438</v>
      </c>
      <c r="B66" s="50">
        <f>IF(VLOOKUP(Table91213[[#This Row],[Date]],'DB Details'!$A:$Q,2)=0,"",VLOOKUP(Table91213[[#This Row],[Date]],'DB Details'!$A:$Q,2))</f>
        <v/>
      </c>
      <c r="C66" s="51">
        <f>IF(VLOOKUP(Table91213[[#This Row],[Date]],'DB Details'!$A:$Q,3)=0,"",VLOOKUP(Table91213[[#This Row],[Date]],'DB Details'!$A:$Q,3))</f>
        <v/>
      </c>
      <c r="D66" s="51">
        <f>IF(VLOOKUP(Table91213[[#This Row],[Date]],'DB Details'!$A:$Q,4)=0,"",VLOOKUP(Table91213[[#This Row],[Date]],'DB Details'!$A:$Q,4))</f>
        <v/>
      </c>
      <c r="E66" s="52">
        <f>IF(VLOOKUP(Table91213[[#This Row],[Date]],'DB Details'!$A:$Q,5)=0,"",VLOOKUP(Table91213[[#This Row],[Date]],'DB Details'!$A:$Q,5))</f>
        <v/>
      </c>
      <c r="F66" s="51">
        <f>IF(VLOOKUP(Table91213[[#This Row],[Date]],'DB Details'!$A:$Q,6)=0,"",VLOOKUP(Table91213[[#This Row],[Date]],'DB Details'!$A:$Q,6))</f>
        <v/>
      </c>
      <c r="G66" s="52">
        <f>IF(VLOOKUP(Table91213[[#This Row],[Date]],'DB Details'!$A:$Q,7)=0,"",VLOOKUP(Table91213[[#This Row],[Date]],'DB Details'!$A:$Q,7))</f>
        <v/>
      </c>
      <c r="H66" s="52">
        <f>IF(VLOOKUP(Table91213[[#This Row],[Date]],'DB Details'!$A:$Q,8)=0,"",VLOOKUP(Table91213[[#This Row],[Date]],'DB Details'!$A:$Q,8))</f>
        <v/>
      </c>
      <c r="I66" s="52">
        <f>IF(VLOOKUP(Table91213[[#This Row],[Date]],'DB Details'!$A:$Q,9)=0,"",VLOOKUP(Table91213[[#This Row],[Date]],'DB Details'!$A:$Q,9))</f>
        <v/>
      </c>
      <c r="J66" s="52">
        <f>IF(VLOOKUP(Table91213[[#This Row],[Date]],'DB Details'!$A:$Q,10)=0,"",VLOOKUP(Table91213[[#This Row],[Date]],'DB Details'!$A:$Q,10))</f>
        <v/>
      </c>
      <c r="K66" s="52">
        <f>IF(VLOOKUP(Table91213[[#This Row],[Date]],'DB Details'!$A:$Q,11)=0,"",VLOOKUP(Table91213[[#This Row],[Date]],'DB Details'!$A:$Q,11))</f>
        <v/>
      </c>
      <c r="L66" s="50">
        <f>IF(VLOOKUP(Table91213[[#This Row],[Date]],'DB Details'!$A:$Q,12)=0,"",VLOOKUP(Table91213[[#This Row],[Date]],'DB Details'!$A:$Q,12))</f>
        <v/>
      </c>
    </row>
    <row r="67">
      <c r="A67" s="53" t="n">
        <v>37469</v>
      </c>
      <c r="B67" s="50">
        <f>IF(VLOOKUP(Table91213[[#This Row],[Date]],'DB Details'!$A:$Q,2)=0,"",VLOOKUP(Table91213[[#This Row],[Date]],'DB Details'!$A:$Q,2))</f>
        <v/>
      </c>
      <c r="C67" s="51">
        <f>IF(VLOOKUP(Table91213[[#This Row],[Date]],'DB Details'!$A:$Q,3)=0,"",VLOOKUP(Table91213[[#This Row],[Date]],'DB Details'!$A:$Q,3))</f>
        <v/>
      </c>
      <c r="D67" s="51">
        <f>IF(VLOOKUP(Table91213[[#This Row],[Date]],'DB Details'!$A:$Q,4)=0,"",VLOOKUP(Table91213[[#This Row],[Date]],'DB Details'!$A:$Q,4))</f>
        <v/>
      </c>
      <c r="E67" s="52">
        <f>IF(VLOOKUP(Table91213[[#This Row],[Date]],'DB Details'!$A:$Q,5)=0,"",VLOOKUP(Table91213[[#This Row],[Date]],'DB Details'!$A:$Q,5))</f>
        <v/>
      </c>
      <c r="F67" s="51">
        <f>IF(VLOOKUP(Table91213[[#This Row],[Date]],'DB Details'!$A:$Q,6)=0,"",VLOOKUP(Table91213[[#This Row],[Date]],'DB Details'!$A:$Q,6))</f>
        <v/>
      </c>
      <c r="G67" s="52">
        <f>IF(VLOOKUP(Table91213[[#This Row],[Date]],'DB Details'!$A:$Q,7)=0,"",VLOOKUP(Table91213[[#This Row],[Date]],'DB Details'!$A:$Q,7))</f>
        <v/>
      </c>
      <c r="H67" s="52">
        <f>IF(VLOOKUP(Table91213[[#This Row],[Date]],'DB Details'!$A:$Q,8)=0,"",VLOOKUP(Table91213[[#This Row],[Date]],'DB Details'!$A:$Q,8))</f>
        <v/>
      </c>
      <c r="I67" s="52">
        <f>IF(VLOOKUP(Table91213[[#This Row],[Date]],'DB Details'!$A:$Q,9)=0,"",VLOOKUP(Table91213[[#This Row],[Date]],'DB Details'!$A:$Q,9))</f>
        <v/>
      </c>
      <c r="J67" s="52">
        <f>IF(VLOOKUP(Table91213[[#This Row],[Date]],'DB Details'!$A:$Q,10)=0,"",VLOOKUP(Table91213[[#This Row],[Date]],'DB Details'!$A:$Q,10))</f>
        <v/>
      </c>
      <c r="K67" s="52">
        <f>IF(VLOOKUP(Table91213[[#This Row],[Date]],'DB Details'!$A:$Q,11)=0,"",VLOOKUP(Table91213[[#This Row],[Date]],'DB Details'!$A:$Q,11))</f>
        <v/>
      </c>
      <c r="L67" s="50">
        <f>IF(VLOOKUP(Table91213[[#This Row],[Date]],'DB Details'!$A:$Q,12)=0,"",VLOOKUP(Table91213[[#This Row],[Date]],'DB Details'!$A:$Q,12))</f>
        <v/>
      </c>
    </row>
    <row r="68">
      <c r="A68" s="53" t="n">
        <v>37500</v>
      </c>
      <c r="B68" s="50">
        <f>IF(VLOOKUP(Table91213[[#This Row],[Date]],'DB Details'!$A:$Q,2)=0,"",VLOOKUP(Table91213[[#This Row],[Date]],'DB Details'!$A:$Q,2))</f>
        <v/>
      </c>
      <c r="C68" s="51">
        <f>IF(VLOOKUP(Table91213[[#This Row],[Date]],'DB Details'!$A:$Q,3)=0,"",VLOOKUP(Table91213[[#This Row],[Date]],'DB Details'!$A:$Q,3))</f>
        <v/>
      </c>
      <c r="D68" s="51">
        <f>IF(VLOOKUP(Table91213[[#This Row],[Date]],'DB Details'!$A:$Q,4)=0,"",VLOOKUP(Table91213[[#This Row],[Date]],'DB Details'!$A:$Q,4))</f>
        <v/>
      </c>
      <c r="E68" s="52">
        <f>IF(VLOOKUP(Table91213[[#This Row],[Date]],'DB Details'!$A:$Q,5)=0,"",VLOOKUP(Table91213[[#This Row],[Date]],'DB Details'!$A:$Q,5))</f>
        <v/>
      </c>
      <c r="F68" s="51">
        <f>IF(VLOOKUP(Table91213[[#This Row],[Date]],'DB Details'!$A:$Q,6)=0,"",VLOOKUP(Table91213[[#This Row],[Date]],'DB Details'!$A:$Q,6))</f>
        <v/>
      </c>
      <c r="G68" s="52">
        <f>IF(VLOOKUP(Table91213[[#This Row],[Date]],'DB Details'!$A:$Q,7)=0,"",VLOOKUP(Table91213[[#This Row],[Date]],'DB Details'!$A:$Q,7))</f>
        <v/>
      </c>
      <c r="H68" s="52">
        <f>IF(VLOOKUP(Table91213[[#This Row],[Date]],'DB Details'!$A:$Q,8)=0,"",VLOOKUP(Table91213[[#This Row],[Date]],'DB Details'!$A:$Q,8))</f>
        <v/>
      </c>
      <c r="I68" s="52">
        <f>IF(VLOOKUP(Table91213[[#This Row],[Date]],'DB Details'!$A:$Q,9)=0,"",VLOOKUP(Table91213[[#This Row],[Date]],'DB Details'!$A:$Q,9))</f>
        <v/>
      </c>
      <c r="J68" s="52">
        <f>IF(VLOOKUP(Table91213[[#This Row],[Date]],'DB Details'!$A:$Q,10)=0,"",VLOOKUP(Table91213[[#This Row],[Date]],'DB Details'!$A:$Q,10))</f>
        <v/>
      </c>
      <c r="K68" s="52">
        <f>IF(VLOOKUP(Table91213[[#This Row],[Date]],'DB Details'!$A:$Q,11)=0,"",VLOOKUP(Table91213[[#This Row],[Date]],'DB Details'!$A:$Q,11))</f>
        <v/>
      </c>
      <c r="L68" s="50">
        <f>IF(VLOOKUP(Table91213[[#This Row],[Date]],'DB Details'!$A:$Q,12)=0,"",VLOOKUP(Table91213[[#This Row],[Date]],'DB Details'!$A:$Q,12))</f>
        <v/>
      </c>
    </row>
    <row r="69">
      <c r="A69" s="53" t="n">
        <v>37530</v>
      </c>
      <c r="B69" s="50">
        <f>IF(VLOOKUP(Table91213[[#This Row],[Date]],'DB Details'!$A:$Q,2)=0,"",VLOOKUP(Table91213[[#This Row],[Date]],'DB Details'!$A:$Q,2))</f>
        <v/>
      </c>
      <c r="C69" s="51">
        <f>IF(VLOOKUP(Table91213[[#This Row],[Date]],'DB Details'!$A:$Q,3)=0,"",VLOOKUP(Table91213[[#This Row],[Date]],'DB Details'!$A:$Q,3))</f>
        <v/>
      </c>
      <c r="D69" s="51">
        <f>IF(VLOOKUP(Table91213[[#This Row],[Date]],'DB Details'!$A:$Q,4)=0,"",VLOOKUP(Table91213[[#This Row],[Date]],'DB Details'!$A:$Q,4))</f>
        <v/>
      </c>
      <c r="E69" s="52">
        <f>IF(VLOOKUP(Table91213[[#This Row],[Date]],'DB Details'!$A:$Q,5)=0,"",VLOOKUP(Table91213[[#This Row],[Date]],'DB Details'!$A:$Q,5))</f>
        <v/>
      </c>
      <c r="F69" s="51">
        <f>IF(VLOOKUP(Table91213[[#This Row],[Date]],'DB Details'!$A:$Q,6)=0,"",VLOOKUP(Table91213[[#This Row],[Date]],'DB Details'!$A:$Q,6))</f>
        <v/>
      </c>
      <c r="G69" s="52">
        <f>IF(VLOOKUP(Table91213[[#This Row],[Date]],'DB Details'!$A:$Q,7)=0,"",VLOOKUP(Table91213[[#This Row],[Date]],'DB Details'!$A:$Q,7))</f>
        <v/>
      </c>
      <c r="H69" s="52">
        <f>IF(VLOOKUP(Table91213[[#This Row],[Date]],'DB Details'!$A:$Q,8)=0,"",VLOOKUP(Table91213[[#This Row],[Date]],'DB Details'!$A:$Q,8))</f>
        <v/>
      </c>
      <c r="I69" s="52">
        <f>IF(VLOOKUP(Table91213[[#This Row],[Date]],'DB Details'!$A:$Q,9)=0,"",VLOOKUP(Table91213[[#This Row],[Date]],'DB Details'!$A:$Q,9))</f>
        <v/>
      </c>
      <c r="J69" s="52">
        <f>IF(VLOOKUP(Table91213[[#This Row],[Date]],'DB Details'!$A:$Q,10)=0,"",VLOOKUP(Table91213[[#This Row],[Date]],'DB Details'!$A:$Q,10))</f>
        <v/>
      </c>
      <c r="K69" s="52">
        <f>IF(VLOOKUP(Table91213[[#This Row],[Date]],'DB Details'!$A:$Q,11)=0,"",VLOOKUP(Table91213[[#This Row],[Date]],'DB Details'!$A:$Q,11))</f>
        <v/>
      </c>
      <c r="L69" s="50">
        <f>IF(VLOOKUP(Table91213[[#This Row],[Date]],'DB Details'!$A:$Q,12)=0,"",VLOOKUP(Table91213[[#This Row],[Date]],'DB Details'!$A:$Q,12))</f>
        <v/>
      </c>
    </row>
    <row r="70">
      <c r="A70" s="53" t="n">
        <v>37561</v>
      </c>
      <c r="B70" s="50">
        <f>IF(VLOOKUP(Table91213[[#This Row],[Date]],'DB Details'!$A:$Q,2)=0,"",VLOOKUP(Table91213[[#This Row],[Date]],'DB Details'!$A:$Q,2))</f>
        <v/>
      </c>
      <c r="C70" s="51">
        <f>IF(VLOOKUP(Table91213[[#This Row],[Date]],'DB Details'!$A:$Q,3)=0,"",VLOOKUP(Table91213[[#This Row],[Date]],'DB Details'!$A:$Q,3))</f>
        <v/>
      </c>
      <c r="D70" s="51">
        <f>IF(VLOOKUP(Table91213[[#This Row],[Date]],'DB Details'!$A:$Q,4)=0,"",VLOOKUP(Table91213[[#This Row],[Date]],'DB Details'!$A:$Q,4))</f>
        <v/>
      </c>
      <c r="E70" s="52">
        <f>IF(VLOOKUP(Table91213[[#This Row],[Date]],'DB Details'!$A:$Q,5)=0,"",VLOOKUP(Table91213[[#This Row],[Date]],'DB Details'!$A:$Q,5))</f>
        <v/>
      </c>
      <c r="F70" s="51">
        <f>IF(VLOOKUP(Table91213[[#This Row],[Date]],'DB Details'!$A:$Q,6)=0,"",VLOOKUP(Table91213[[#This Row],[Date]],'DB Details'!$A:$Q,6))</f>
        <v/>
      </c>
      <c r="G70" s="52">
        <f>IF(VLOOKUP(Table91213[[#This Row],[Date]],'DB Details'!$A:$Q,7)=0,"",VLOOKUP(Table91213[[#This Row],[Date]],'DB Details'!$A:$Q,7))</f>
        <v/>
      </c>
      <c r="H70" s="52">
        <f>IF(VLOOKUP(Table91213[[#This Row],[Date]],'DB Details'!$A:$Q,8)=0,"",VLOOKUP(Table91213[[#This Row],[Date]],'DB Details'!$A:$Q,8))</f>
        <v/>
      </c>
      <c r="I70" s="52">
        <f>IF(VLOOKUP(Table91213[[#This Row],[Date]],'DB Details'!$A:$Q,9)=0,"",VLOOKUP(Table91213[[#This Row],[Date]],'DB Details'!$A:$Q,9))</f>
        <v/>
      </c>
      <c r="J70" s="52">
        <f>IF(VLOOKUP(Table91213[[#This Row],[Date]],'DB Details'!$A:$Q,10)=0,"",VLOOKUP(Table91213[[#This Row],[Date]],'DB Details'!$A:$Q,10))</f>
        <v/>
      </c>
      <c r="K70" s="52">
        <f>IF(VLOOKUP(Table91213[[#This Row],[Date]],'DB Details'!$A:$Q,11)=0,"",VLOOKUP(Table91213[[#This Row],[Date]],'DB Details'!$A:$Q,11))</f>
        <v/>
      </c>
      <c r="L70" s="50">
        <f>IF(VLOOKUP(Table91213[[#This Row],[Date]],'DB Details'!$A:$Q,12)=0,"",VLOOKUP(Table91213[[#This Row],[Date]],'DB Details'!$A:$Q,12))</f>
        <v/>
      </c>
    </row>
    <row r="71">
      <c r="A71" s="53" t="n">
        <v>37591</v>
      </c>
      <c r="B71" s="50">
        <f>IF(VLOOKUP(Table91213[[#This Row],[Date]],'DB Details'!$A:$Q,2)=0,"",VLOOKUP(Table91213[[#This Row],[Date]],'DB Details'!$A:$Q,2))</f>
        <v/>
      </c>
      <c r="C71" s="51">
        <f>IF(VLOOKUP(Table91213[[#This Row],[Date]],'DB Details'!$A:$Q,3)=0,"",VLOOKUP(Table91213[[#This Row],[Date]],'DB Details'!$A:$Q,3))</f>
        <v/>
      </c>
      <c r="D71" s="51">
        <f>IF(VLOOKUP(Table91213[[#This Row],[Date]],'DB Details'!$A:$Q,4)=0,"",VLOOKUP(Table91213[[#This Row],[Date]],'DB Details'!$A:$Q,4))</f>
        <v/>
      </c>
      <c r="E71" s="52">
        <f>IF(VLOOKUP(Table91213[[#This Row],[Date]],'DB Details'!$A:$Q,5)=0,"",VLOOKUP(Table91213[[#This Row],[Date]],'DB Details'!$A:$Q,5))</f>
        <v/>
      </c>
      <c r="F71" s="51">
        <f>IF(VLOOKUP(Table91213[[#This Row],[Date]],'DB Details'!$A:$Q,6)=0,"",VLOOKUP(Table91213[[#This Row],[Date]],'DB Details'!$A:$Q,6))</f>
        <v/>
      </c>
      <c r="G71" s="52">
        <f>IF(VLOOKUP(Table91213[[#This Row],[Date]],'DB Details'!$A:$Q,7)=0,"",VLOOKUP(Table91213[[#This Row],[Date]],'DB Details'!$A:$Q,7))</f>
        <v/>
      </c>
      <c r="H71" s="52">
        <f>IF(VLOOKUP(Table91213[[#This Row],[Date]],'DB Details'!$A:$Q,8)=0,"",VLOOKUP(Table91213[[#This Row],[Date]],'DB Details'!$A:$Q,8))</f>
        <v/>
      </c>
      <c r="I71" s="52">
        <f>IF(VLOOKUP(Table91213[[#This Row],[Date]],'DB Details'!$A:$Q,9)=0,"",VLOOKUP(Table91213[[#This Row],[Date]],'DB Details'!$A:$Q,9))</f>
        <v/>
      </c>
      <c r="J71" s="52">
        <f>IF(VLOOKUP(Table91213[[#This Row],[Date]],'DB Details'!$A:$Q,10)=0,"",VLOOKUP(Table91213[[#This Row],[Date]],'DB Details'!$A:$Q,10))</f>
        <v/>
      </c>
      <c r="K71" s="52">
        <f>IF(VLOOKUP(Table91213[[#This Row],[Date]],'DB Details'!$A:$Q,11)=0,"",VLOOKUP(Table91213[[#This Row],[Date]],'DB Details'!$A:$Q,11))</f>
        <v/>
      </c>
      <c r="L71" s="50">
        <f>IF(VLOOKUP(Table91213[[#This Row],[Date]],'DB Details'!$A:$Q,12)=0,"",VLOOKUP(Table91213[[#This Row],[Date]],'DB Details'!$A:$Q,12))</f>
        <v/>
      </c>
    </row>
    <row r="72">
      <c r="A72" s="53" t="n">
        <v>37622</v>
      </c>
      <c r="B72" s="50">
        <f>IF(VLOOKUP(Table91213[[#This Row],[Date]],'DB Details'!$A:$Q,2)=0,"",VLOOKUP(Table91213[[#This Row],[Date]],'DB Details'!$A:$Q,2))</f>
        <v/>
      </c>
      <c r="C72" s="51">
        <f>IF(VLOOKUP(Table91213[[#This Row],[Date]],'DB Details'!$A:$Q,3)=0,"",VLOOKUP(Table91213[[#This Row],[Date]],'DB Details'!$A:$Q,3))</f>
        <v/>
      </c>
      <c r="D72" s="51">
        <f>IF(VLOOKUP(Table91213[[#This Row],[Date]],'DB Details'!$A:$Q,4)=0,"",VLOOKUP(Table91213[[#This Row],[Date]],'DB Details'!$A:$Q,4))</f>
        <v/>
      </c>
      <c r="E72" s="52">
        <f>IF(VLOOKUP(Table91213[[#This Row],[Date]],'DB Details'!$A:$Q,5)=0,"",VLOOKUP(Table91213[[#This Row],[Date]],'DB Details'!$A:$Q,5))</f>
        <v/>
      </c>
      <c r="F72" s="51">
        <f>IF(VLOOKUP(Table91213[[#This Row],[Date]],'DB Details'!$A:$Q,6)=0,"",VLOOKUP(Table91213[[#This Row],[Date]],'DB Details'!$A:$Q,6))</f>
        <v/>
      </c>
      <c r="G72" s="52">
        <f>IF(VLOOKUP(Table91213[[#This Row],[Date]],'DB Details'!$A:$Q,7)=0,"",VLOOKUP(Table91213[[#This Row],[Date]],'DB Details'!$A:$Q,7))</f>
        <v/>
      </c>
      <c r="H72" s="52">
        <f>IF(VLOOKUP(Table91213[[#This Row],[Date]],'DB Details'!$A:$Q,8)=0,"",VLOOKUP(Table91213[[#This Row],[Date]],'DB Details'!$A:$Q,8))</f>
        <v/>
      </c>
      <c r="I72" s="52">
        <f>IF(VLOOKUP(Table91213[[#This Row],[Date]],'DB Details'!$A:$Q,9)=0,"",VLOOKUP(Table91213[[#This Row],[Date]],'DB Details'!$A:$Q,9))</f>
        <v/>
      </c>
      <c r="J72" s="52">
        <f>IF(VLOOKUP(Table91213[[#This Row],[Date]],'DB Details'!$A:$Q,10)=0,"",VLOOKUP(Table91213[[#This Row],[Date]],'DB Details'!$A:$Q,10))</f>
        <v/>
      </c>
      <c r="K72" s="52">
        <f>IF(VLOOKUP(Table91213[[#This Row],[Date]],'DB Details'!$A:$Q,11)=0,"",VLOOKUP(Table91213[[#This Row],[Date]],'DB Details'!$A:$Q,11))</f>
        <v/>
      </c>
      <c r="L72" s="50">
        <f>IF(VLOOKUP(Table91213[[#This Row],[Date]],'DB Details'!$A:$Q,12)=0,"",VLOOKUP(Table91213[[#This Row],[Date]],'DB Details'!$A:$Q,12))</f>
        <v/>
      </c>
    </row>
    <row r="73">
      <c r="A73" s="53" t="n">
        <v>37653</v>
      </c>
      <c r="B73" s="50">
        <f>IF(VLOOKUP(Table91213[[#This Row],[Date]],'DB Details'!$A:$Q,2)=0,"",VLOOKUP(Table91213[[#This Row],[Date]],'DB Details'!$A:$Q,2))</f>
        <v/>
      </c>
      <c r="C73" s="51">
        <f>IF(VLOOKUP(Table91213[[#This Row],[Date]],'DB Details'!$A:$Q,3)=0,"",VLOOKUP(Table91213[[#This Row],[Date]],'DB Details'!$A:$Q,3))</f>
        <v/>
      </c>
      <c r="D73" s="51">
        <f>IF(VLOOKUP(Table91213[[#This Row],[Date]],'DB Details'!$A:$Q,4)=0,"",VLOOKUP(Table91213[[#This Row],[Date]],'DB Details'!$A:$Q,4))</f>
        <v/>
      </c>
      <c r="E73" s="52">
        <f>IF(VLOOKUP(Table91213[[#This Row],[Date]],'DB Details'!$A:$Q,5)=0,"",VLOOKUP(Table91213[[#This Row],[Date]],'DB Details'!$A:$Q,5))</f>
        <v/>
      </c>
      <c r="F73" s="51">
        <f>IF(VLOOKUP(Table91213[[#This Row],[Date]],'DB Details'!$A:$Q,6)=0,"",VLOOKUP(Table91213[[#This Row],[Date]],'DB Details'!$A:$Q,6))</f>
        <v/>
      </c>
      <c r="G73" s="52">
        <f>IF(VLOOKUP(Table91213[[#This Row],[Date]],'DB Details'!$A:$Q,7)=0,"",VLOOKUP(Table91213[[#This Row],[Date]],'DB Details'!$A:$Q,7))</f>
        <v/>
      </c>
      <c r="H73" s="52">
        <f>IF(VLOOKUP(Table91213[[#This Row],[Date]],'DB Details'!$A:$Q,8)=0,"",VLOOKUP(Table91213[[#This Row],[Date]],'DB Details'!$A:$Q,8))</f>
        <v/>
      </c>
      <c r="I73" s="52">
        <f>IF(VLOOKUP(Table91213[[#This Row],[Date]],'DB Details'!$A:$Q,9)=0,"",VLOOKUP(Table91213[[#This Row],[Date]],'DB Details'!$A:$Q,9))</f>
        <v/>
      </c>
      <c r="J73" s="52">
        <f>IF(VLOOKUP(Table91213[[#This Row],[Date]],'DB Details'!$A:$Q,10)=0,"",VLOOKUP(Table91213[[#This Row],[Date]],'DB Details'!$A:$Q,10))</f>
        <v/>
      </c>
      <c r="K73" s="52">
        <f>IF(VLOOKUP(Table91213[[#This Row],[Date]],'DB Details'!$A:$Q,11)=0,"",VLOOKUP(Table91213[[#This Row],[Date]],'DB Details'!$A:$Q,11))</f>
        <v/>
      </c>
      <c r="L73" s="50">
        <f>IF(VLOOKUP(Table91213[[#This Row],[Date]],'DB Details'!$A:$Q,12)=0,"",VLOOKUP(Table91213[[#This Row],[Date]],'DB Details'!$A:$Q,12))</f>
        <v/>
      </c>
    </row>
    <row r="74">
      <c r="A74" s="53" t="n">
        <v>37681</v>
      </c>
      <c r="B74" s="50">
        <f>IF(VLOOKUP(Table91213[[#This Row],[Date]],'DB Details'!$A:$Q,2)=0,"",VLOOKUP(Table91213[[#This Row],[Date]],'DB Details'!$A:$Q,2))</f>
        <v/>
      </c>
      <c r="C74" s="51">
        <f>IF(VLOOKUP(Table91213[[#This Row],[Date]],'DB Details'!$A:$Q,3)=0,"",VLOOKUP(Table91213[[#This Row],[Date]],'DB Details'!$A:$Q,3))</f>
        <v/>
      </c>
      <c r="D74" s="51">
        <f>IF(VLOOKUP(Table91213[[#This Row],[Date]],'DB Details'!$A:$Q,4)=0,"",VLOOKUP(Table91213[[#This Row],[Date]],'DB Details'!$A:$Q,4))</f>
        <v/>
      </c>
      <c r="E74" s="52">
        <f>IF(VLOOKUP(Table91213[[#This Row],[Date]],'DB Details'!$A:$Q,5)=0,"",VLOOKUP(Table91213[[#This Row],[Date]],'DB Details'!$A:$Q,5))</f>
        <v/>
      </c>
      <c r="F74" s="51">
        <f>IF(VLOOKUP(Table91213[[#This Row],[Date]],'DB Details'!$A:$Q,6)=0,"",VLOOKUP(Table91213[[#This Row],[Date]],'DB Details'!$A:$Q,6))</f>
        <v/>
      </c>
      <c r="G74" s="52">
        <f>IF(VLOOKUP(Table91213[[#This Row],[Date]],'DB Details'!$A:$Q,7)=0,"",VLOOKUP(Table91213[[#This Row],[Date]],'DB Details'!$A:$Q,7))</f>
        <v/>
      </c>
      <c r="H74" s="52">
        <f>IF(VLOOKUP(Table91213[[#This Row],[Date]],'DB Details'!$A:$Q,8)=0,"",VLOOKUP(Table91213[[#This Row],[Date]],'DB Details'!$A:$Q,8))</f>
        <v/>
      </c>
      <c r="I74" s="52">
        <f>IF(VLOOKUP(Table91213[[#This Row],[Date]],'DB Details'!$A:$Q,9)=0,"",VLOOKUP(Table91213[[#This Row],[Date]],'DB Details'!$A:$Q,9))</f>
        <v/>
      </c>
      <c r="J74" s="52">
        <f>IF(VLOOKUP(Table91213[[#This Row],[Date]],'DB Details'!$A:$Q,10)=0,"",VLOOKUP(Table91213[[#This Row],[Date]],'DB Details'!$A:$Q,10))</f>
        <v/>
      </c>
      <c r="K74" s="52">
        <f>IF(VLOOKUP(Table91213[[#This Row],[Date]],'DB Details'!$A:$Q,11)=0,"",VLOOKUP(Table91213[[#This Row],[Date]],'DB Details'!$A:$Q,11))</f>
        <v/>
      </c>
      <c r="L74" s="50">
        <f>IF(VLOOKUP(Table91213[[#This Row],[Date]],'DB Details'!$A:$Q,12)=0,"",VLOOKUP(Table91213[[#This Row],[Date]],'DB Details'!$A:$Q,12))</f>
        <v/>
      </c>
    </row>
    <row r="75">
      <c r="A75" s="53" t="n">
        <v>37712</v>
      </c>
      <c r="B75" s="50">
        <f>IF(VLOOKUP(Table91213[[#This Row],[Date]],'DB Details'!$A:$Q,2)=0,"",VLOOKUP(Table91213[[#This Row],[Date]],'DB Details'!$A:$Q,2))</f>
        <v/>
      </c>
      <c r="C75" s="51">
        <f>IF(VLOOKUP(Table91213[[#This Row],[Date]],'DB Details'!$A:$Q,3)=0,"",VLOOKUP(Table91213[[#This Row],[Date]],'DB Details'!$A:$Q,3))</f>
        <v/>
      </c>
      <c r="D75" s="51">
        <f>IF(VLOOKUP(Table91213[[#This Row],[Date]],'DB Details'!$A:$Q,4)=0,"",VLOOKUP(Table91213[[#This Row],[Date]],'DB Details'!$A:$Q,4))</f>
        <v/>
      </c>
      <c r="E75" s="52">
        <f>IF(VLOOKUP(Table91213[[#This Row],[Date]],'DB Details'!$A:$Q,5)=0,"",VLOOKUP(Table91213[[#This Row],[Date]],'DB Details'!$A:$Q,5))</f>
        <v/>
      </c>
      <c r="F75" s="51">
        <f>IF(VLOOKUP(Table91213[[#This Row],[Date]],'DB Details'!$A:$Q,6)=0,"",VLOOKUP(Table91213[[#This Row],[Date]],'DB Details'!$A:$Q,6))</f>
        <v/>
      </c>
      <c r="G75" s="52">
        <f>IF(VLOOKUP(Table91213[[#This Row],[Date]],'DB Details'!$A:$Q,7)=0,"",VLOOKUP(Table91213[[#This Row],[Date]],'DB Details'!$A:$Q,7))</f>
        <v/>
      </c>
      <c r="H75" s="52">
        <f>IF(VLOOKUP(Table91213[[#This Row],[Date]],'DB Details'!$A:$Q,8)=0,"",VLOOKUP(Table91213[[#This Row],[Date]],'DB Details'!$A:$Q,8))</f>
        <v/>
      </c>
      <c r="I75" s="52">
        <f>IF(VLOOKUP(Table91213[[#This Row],[Date]],'DB Details'!$A:$Q,9)=0,"",VLOOKUP(Table91213[[#This Row],[Date]],'DB Details'!$A:$Q,9))</f>
        <v/>
      </c>
      <c r="J75" s="52">
        <f>IF(VLOOKUP(Table91213[[#This Row],[Date]],'DB Details'!$A:$Q,10)=0,"",VLOOKUP(Table91213[[#This Row],[Date]],'DB Details'!$A:$Q,10))</f>
        <v/>
      </c>
      <c r="K75" s="52">
        <f>IF(VLOOKUP(Table91213[[#This Row],[Date]],'DB Details'!$A:$Q,11)=0,"",VLOOKUP(Table91213[[#This Row],[Date]],'DB Details'!$A:$Q,11))</f>
        <v/>
      </c>
      <c r="L75" s="50">
        <f>IF(VLOOKUP(Table91213[[#This Row],[Date]],'DB Details'!$A:$Q,12)=0,"",VLOOKUP(Table91213[[#This Row],[Date]],'DB Details'!$A:$Q,12))</f>
        <v/>
      </c>
    </row>
    <row r="76">
      <c r="A76" s="53" t="n">
        <v>37742</v>
      </c>
      <c r="B76" s="50">
        <f>IF(VLOOKUP(Table91213[[#This Row],[Date]],'DB Details'!$A:$Q,2)=0,"",VLOOKUP(Table91213[[#This Row],[Date]],'DB Details'!$A:$Q,2))</f>
        <v/>
      </c>
      <c r="C76" s="51">
        <f>IF(VLOOKUP(Table91213[[#This Row],[Date]],'DB Details'!$A:$Q,3)=0,"",VLOOKUP(Table91213[[#This Row],[Date]],'DB Details'!$A:$Q,3))</f>
        <v/>
      </c>
      <c r="D76" s="51">
        <f>IF(VLOOKUP(Table91213[[#This Row],[Date]],'DB Details'!$A:$Q,4)=0,"",VLOOKUP(Table91213[[#This Row],[Date]],'DB Details'!$A:$Q,4))</f>
        <v/>
      </c>
      <c r="E76" s="52">
        <f>IF(VLOOKUP(Table91213[[#This Row],[Date]],'DB Details'!$A:$Q,5)=0,"",VLOOKUP(Table91213[[#This Row],[Date]],'DB Details'!$A:$Q,5))</f>
        <v/>
      </c>
      <c r="F76" s="51">
        <f>IF(VLOOKUP(Table91213[[#This Row],[Date]],'DB Details'!$A:$Q,6)=0,"",VLOOKUP(Table91213[[#This Row],[Date]],'DB Details'!$A:$Q,6))</f>
        <v/>
      </c>
      <c r="G76" s="52">
        <f>IF(VLOOKUP(Table91213[[#This Row],[Date]],'DB Details'!$A:$Q,7)=0,"",VLOOKUP(Table91213[[#This Row],[Date]],'DB Details'!$A:$Q,7))</f>
        <v/>
      </c>
      <c r="H76" s="52">
        <f>IF(VLOOKUP(Table91213[[#This Row],[Date]],'DB Details'!$A:$Q,8)=0,"",VLOOKUP(Table91213[[#This Row],[Date]],'DB Details'!$A:$Q,8))</f>
        <v/>
      </c>
      <c r="I76" s="52">
        <f>IF(VLOOKUP(Table91213[[#This Row],[Date]],'DB Details'!$A:$Q,9)=0,"",VLOOKUP(Table91213[[#This Row],[Date]],'DB Details'!$A:$Q,9))</f>
        <v/>
      </c>
      <c r="J76" s="52">
        <f>IF(VLOOKUP(Table91213[[#This Row],[Date]],'DB Details'!$A:$Q,10)=0,"",VLOOKUP(Table91213[[#This Row],[Date]],'DB Details'!$A:$Q,10))</f>
        <v/>
      </c>
      <c r="K76" s="52">
        <f>IF(VLOOKUP(Table91213[[#This Row],[Date]],'DB Details'!$A:$Q,11)=0,"",VLOOKUP(Table91213[[#This Row],[Date]],'DB Details'!$A:$Q,11))</f>
        <v/>
      </c>
      <c r="L76" s="50">
        <f>IF(VLOOKUP(Table91213[[#This Row],[Date]],'DB Details'!$A:$Q,12)=0,"",VLOOKUP(Table91213[[#This Row],[Date]],'DB Details'!$A:$Q,12))</f>
        <v/>
      </c>
    </row>
    <row r="77">
      <c r="A77" s="53" t="n">
        <v>37773</v>
      </c>
      <c r="B77" s="50">
        <f>IF(VLOOKUP(Table91213[[#This Row],[Date]],'DB Details'!$A:$Q,2)=0,"",VLOOKUP(Table91213[[#This Row],[Date]],'DB Details'!$A:$Q,2))</f>
        <v/>
      </c>
      <c r="C77" s="51">
        <f>IF(VLOOKUP(Table91213[[#This Row],[Date]],'DB Details'!$A:$Q,3)=0,"",VLOOKUP(Table91213[[#This Row],[Date]],'DB Details'!$A:$Q,3))</f>
        <v/>
      </c>
      <c r="D77" s="51">
        <f>IF(VLOOKUP(Table91213[[#This Row],[Date]],'DB Details'!$A:$Q,4)=0,"",VLOOKUP(Table91213[[#This Row],[Date]],'DB Details'!$A:$Q,4))</f>
        <v/>
      </c>
      <c r="E77" s="52">
        <f>IF(VLOOKUP(Table91213[[#This Row],[Date]],'DB Details'!$A:$Q,5)=0,"",VLOOKUP(Table91213[[#This Row],[Date]],'DB Details'!$A:$Q,5))</f>
        <v/>
      </c>
      <c r="F77" s="51">
        <f>IF(VLOOKUP(Table91213[[#This Row],[Date]],'DB Details'!$A:$Q,6)=0,"",VLOOKUP(Table91213[[#This Row],[Date]],'DB Details'!$A:$Q,6))</f>
        <v/>
      </c>
      <c r="G77" s="52">
        <f>IF(VLOOKUP(Table91213[[#This Row],[Date]],'DB Details'!$A:$Q,7)=0,"",VLOOKUP(Table91213[[#This Row],[Date]],'DB Details'!$A:$Q,7))</f>
        <v/>
      </c>
      <c r="H77" s="52">
        <f>IF(VLOOKUP(Table91213[[#This Row],[Date]],'DB Details'!$A:$Q,8)=0,"",VLOOKUP(Table91213[[#This Row],[Date]],'DB Details'!$A:$Q,8))</f>
        <v/>
      </c>
      <c r="I77" s="52">
        <f>IF(VLOOKUP(Table91213[[#This Row],[Date]],'DB Details'!$A:$Q,9)=0,"",VLOOKUP(Table91213[[#This Row],[Date]],'DB Details'!$A:$Q,9))</f>
        <v/>
      </c>
      <c r="J77" s="52">
        <f>IF(VLOOKUP(Table91213[[#This Row],[Date]],'DB Details'!$A:$Q,10)=0,"",VLOOKUP(Table91213[[#This Row],[Date]],'DB Details'!$A:$Q,10))</f>
        <v/>
      </c>
      <c r="K77" s="52">
        <f>IF(VLOOKUP(Table91213[[#This Row],[Date]],'DB Details'!$A:$Q,11)=0,"",VLOOKUP(Table91213[[#This Row],[Date]],'DB Details'!$A:$Q,11))</f>
        <v/>
      </c>
      <c r="L77" s="50">
        <f>IF(VLOOKUP(Table91213[[#This Row],[Date]],'DB Details'!$A:$Q,12)=0,"",VLOOKUP(Table91213[[#This Row],[Date]],'DB Details'!$A:$Q,12))</f>
        <v/>
      </c>
    </row>
    <row r="78">
      <c r="A78" s="53" t="n">
        <v>37803</v>
      </c>
      <c r="B78" s="50">
        <f>IF(VLOOKUP(Table91213[[#This Row],[Date]],'DB Details'!$A:$Q,2)=0,"",VLOOKUP(Table91213[[#This Row],[Date]],'DB Details'!$A:$Q,2))</f>
        <v/>
      </c>
      <c r="C78" s="51">
        <f>IF(VLOOKUP(Table91213[[#This Row],[Date]],'DB Details'!$A:$Q,3)=0,"",VLOOKUP(Table91213[[#This Row],[Date]],'DB Details'!$A:$Q,3))</f>
        <v/>
      </c>
      <c r="D78" s="51">
        <f>IF(VLOOKUP(Table91213[[#This Row],[Date]],'DB Details'!$A:$Q,4)=0,"",VLOOKUP(Table91213[[#This Row],[Date]],'DB Details'!$A:$Q,4))</f>
        <v/>
      </c>
      <c r="E78" s="52">
        <f>IF(VLOOKUP(Table91213[[#This Row],[Date]],'DB Details'!$A:$Q,5)=0,"",VLOOKUP(Table91213[[#This Row],[Date]],'DB Details'!$A:$Q,5))</f>
        <v/>
      </c>
      <c r="F78" s="51">
        <f>IF(VLOOKUP(Table91213[[#This Row],[Date]],'DB Details'!$A:$Q,6)=0,"",VLOOKUP(Table91213[[#This Row],[Date]],'DB Details'!$A:$Q,6))</f>
        <v/>
      </c>
      <c r="G78" s="52">
        <f>IF(VLOOKUP(Table91213[[#This Row],[Date]],'DB Details'!$A:$Q,7)=0,"",VLOOKUP(Table91213[[#This Row],[Date]],'DB Details'!$A:$Q,7))</f>
        <v/>
      </c>
      <c r="H78" s="52">
        <f>IF(VLOOKUP(Table91213[[#This Row],[Date]],'DB Details'!$A:$Q,8)=0,"",VLOOKUP(Table91213[[#This Row],[Date]],'DB Details'!$A:$Q,8))</f>
        <v/>
      </c>
      <c r="I78" s="52">
        <f>IF(VLOOKUP(Table91213[[#This Row],[Date]],'DB Details'!$A:$Q,9)=0,"",VLOOKUP(Table91213[[#This Row],[Date]],'DB Details'!$A:$Q,9))</f>
        <v/>
      </c>
      <c r="J78" s="52">
        <f>IF(VLOOKUP(Table91213[[#This Row],[Date]],'DB Details'!$A:$Q,10)=0,"",VLOOKUP(Table91213[[#This Row],[Date]],'DB Details'!$A:$Q,10))</f>
        <v/>
      </c>
      <c r="K78" s="52">
        <f>IF(VLOOKUP(Table91213[[#This Row],[Date]],'DB Details'!$A:$Q,11)=0,"",VLOOKUP(Table91213[[#This Row],[Date]],'DB Details'!$A:$Q,11))</f>
        <v/>
      </c>
      <c r="L78" s="50">
        <f>IF(VLOOKUP(Table91213[[#This Row],[Date]],'DB Details'!$A:$Q,12)=0,"",VLOOKUP(Table91213[[#This Row],[Date]],'DB Details'!$A:$Q,12))</f>
        <v/>
      </c>
    </row>
    <row r="79">
      <c r="A79" s="53" t="n">
        <v>37834</v>
      </c>
      <c r="B79" s="50">
        <f>IF(VLOOKUP(Table91213[[#This Row],[Date]],'DB Details'!$A:$Q,2)=0,"",VLOOKUP(Table91213[[#This Row],[Date]],'DB Details'!$A:$Q,2))</f>
        <v/>
      </c>
      <c r="C79" s="51">
        <f>IF(VLOOKUP(Table91213[[#This Row],[Date]],'DB Details'!$A:$Q,3)=0,"",VLOOKUP(Table91213[[#This Row],[Date]],'DB Details'!$A:$Q,3))</f>
        <v/>
      </c>
      <c r="D79" s="51">
        <f>IF(VLOOKUP(Table91213[[#This Row],[Date]],'DB Details'!$A:$Q,4)=0,"",VLOOKUP(Table91213[[#This Row],[Date]],'DB Details'!$A:$Q,4))</f>
        <v/>
      </c>
      <c r="E79" s="52">
        <f>IF(VLOOKUP(Table91213[[#This Row],[Date]],'DB Details'!$A:$Q,5)=0,"",VLOOKUP(Table91213[[#This Row],[Date]],'DB Details'!$A:$Q,5))</f>
        <v/>
      </c>
      <c r="F79" s="51">
        <f>IF(VLOOKUP(Table91213[[#This Row],[Date]],'DB Details'!$A:$Q,6)=0,"",VLOOKUP(Table91213[[#This Row],[Date]],'DB Details'!$A:$Q,6))</f>
        <v/>
      </c>
      <c r="G79" s="52">
        <f>IF(VLOOKUP(Table91213[[#This Row],[Date]],'DB Details'!$A:$Q,7)=0,"",VLOOKUP(Table91213[[#This Row],[Date]],'DB Details'!$A:$Q,7))</f>
        <v/>
      </c>
      <c r="H79" s="52">
        <f>IF(VLOOKUP(Table91213[[#This Row],[Date]],'DB Details'!$A:$Q,8)=0,"",VLOOKUP(Table91213[[#This Row],[Date]],'DB Details'!$A:$Q,8))</f>
        <v/>
      </c>
      <c r="I79" s="52">
        <f>IF(VLOOKUP(Table91213[[#This Row],[Date]],'DB Details'!$A:$Q,9)=0,"",VLOOKUP(Table91213[[#This Row],[Date]],'DB Details'!$A:$Q,9))</f>
        <v/>
      </c>
      <c r="J79" s="52">
        <f>IF(VLOOKUP(Table91213[[#This Row],[Date]],'DB Details'!$A:$Q,10)=0,"",VLOOKUP(Table91213[[#This Row],[Date]],'DB Details'!$A:$Q,10))</f>
        <v/>
      </c>
      <c r="K79" s="52">
        <f>IF(VLOOKUP(Table91213[[#This Row],[Date]],'DB Details'!$A:$Q,11)=0,"",VLOOKUP(Table91213[[#This Row],[Date]],'DB Details'!$A:$Q,11))</f>
        <v/>
      </c>
      <c r="L79" s="50">
        <f>IF(VLOOKUP(Table91213[[#This Row],[Date]],'DB Details'!$A:$Q,12)=0,"",VLOOKUP(Table91213[[#This Row],[Date]],'DB Details'!$A:$Q,12))</f>
        <v/>
      </c>
    </row>
    <row r="80">
      <c r="A80" s="53" t="n">
        <v>37865</v>
      </c>
      <c r="B80" s="50">
        <f>IF(VLOOKUP(Table91213[[#This Row],[Date]],'DB Details'!$A:$Q,2)=0,"",VLOOKUP(Table91213[[#This Row],[Date]],'DB Details'!$A:$Q,2))</f>
        <v/>
      </c>
      <c r="C80" s="51">
        <f>IF(VLOOKUP(Table91213[[#This Row],[Date]],'DB Details'!$A:$Q,3)=0,"",VLOOKUP(Table91213[[#This Row],[Date]],'DB Details'!$A:$Q,3))</f>
        <v/>
      </c>
      <c r="D80" s="51">
        <f>IF(VLOOKUP(Table91213[[#This Row],[Date]],'DB Details'!$A:$Q,4)=0,"",VLOOKUP(Table91213[[#This Row],[Date]],'DB Details'!$A:$Q,4))</f>
        <v/>
      </c>
      <c r="E80" s="52">
        <f>IF(VLOOKUP(Table91213[[#This Row],[Date]],'DB Details'!$A:$Q,5)=0,"",VLOOKUP(Table91213[[#This Row],[Date]],'DB Details'!$A:$Q,5))</f>
        <v/>
      </c>
      <c r="F80" s="51">
        <f>IF(VLOOKUP(Table91213[[#This Row],[Date]],'DB Details'!$A:$Q,6)=0,"",VLOOKUP(Table91213[[#This Row],[Date]],'DB Details'!$A:$Q,6))</f>
        <v/>
      </c>
      <c r="G80" s="52">
        <f>IF(VLOOKUP(Table91213[[#This Row],[Date]],'DB Details'!$A:$Q,7)=0,"",VLOOKUP(Table91213[[#This Row],[Date]],'DB Details'!$A:$Q,7))</f>
        <v/>
      </c>
      <c r="H80" s="52">
        <f>IF(VLOOKUP(Table91213[[#This Row],[Date]],'DB Details'!$A:$Q,8)=0,"",VLOOKUP(Table91213[[#This Row],[Date]],'DB Details'!$A:$Q,8))</f>
        <v/>
      </c>
      <c r="I80" s="52">
        <f>IF(VLOOKUP(Table91213[[#This Row],[Date]],'DB Details'!$A:$Q,9)=0,"",VLOOKUP(Table91213[[#This Row],[Date]],'DB Details'!$A:$Q,9))</f>
        <v/>
      </c>
      <c r="J80" s="52">
        <f>IF(VLOOKUP(Table91213[[#This Row],[Date]],'DB Details'!$A:$Q,10)=0,"",VLOOKUP(Table91213[[#This Row],[Date]],'DB Details'!$A:$Q,10))</f>
        <v/>
      </c>
      <c r="K80" s="52">
        <f>IF(VLOOKUP(Table91213[[#This Row],[Date]],'DB Details'!$A:$Q,11)=0,"",VLOOKUP(Table91213[[#This Row],[Date]],'DB Details'!$A:$Q,11))</f>
        <v/>
      </c>
      <c r="L80" s="50">
        <f>IF(VLOOKUP(Table91213[[#This Row],[Date]],'DB Details'!$A:$Q,12)=0,"",VLOOKUP(Table91213[[#This Row],[Date]],'DB Details'!$A:$Q,12))</f>
        <v/>
      </c>
    </row>
    <row r="81">
      <c r="A81" s="53" t="n">
        <v>37895</v>
      </c>
      <c r="B81" s="50">
        <f>IF(VLOOKUP(Table91213[[#This Row],[Date]],'DB Details'!$A:$Q,2)=0,"",VLOOKUP(Table91213[[#This Row],[Date]],'DB Details'!$A:$Q,2))</f>
        <v/>
      </c>
      <c r="C81" s="51">
        <f>IF(VLOOKUP(Table91213[[#This Row],[Date]],'DB Details'!$A:$Q,3)=0,"",VLOOKUP(Table91213[[#This Row],[Date]],'DB Details'!$A:$Q,3))</f>
        <v/>
      </c>
      <c r="D81" s="51">
        <f>IF(VLOOKUP(Table91213[[#This Row],[Date]],'DB Details'!$A:$Q,4)=0,"",VLOOKUP(Table91213[[#This Row],[Date]],'DB Details'!$A:$Q,4))</f>
        <v/>
      </c>
      <c r="E81" s="52">
        <f>IF(VLOOKUP(Table91213[[#This Row],[Date]],'DB Details'!$A:$Q,5)=0,"",VLOOKUP(Table91213[[#This Row],[Date]],'DB Details'!$A:$Q,5))</f>
        <v/>
      </c>
      <c r="F81" s="51">
        <f>IF(VLOOKUP(Table91213[[#This Row],[Date]],'DB Details'!$A:$Q,6)=0,"",VLOOKUP(Table91213[[#This Row],[Date]],'DB Details'!$A:$Q,6))</f>
        <v/>
      </c>
      <c r="G81" s="52">
        <f>IF(VLOOKUP(Table91213[[#This Row],[Date]],'DB Details'!$A:$Q,7)=0,"",VLOOKUP(Table91213[[#This Row],[Date]],'DB Details'!$A:$Q,7))</f>
        <v/>
      </c>
      <c r="H81" s="52">
        <f>IF(VLOOKUP(Table91213[[#This Row],[Date]],'DB Details'!$A:$Q,8)=0,"",VLOOKUP(Table91213[[#This Row],[Date]],'DB Details'!$A:$Q,8))</f>
        <v/>
      </c>
      <c r="I81" s="52">
        <f>IF(VLOOKUP(Table91213[[#This Row],[Date]],'DB Details'!$A:$Q,9)=0,"",VLOOKUP(Table91213[[#This Row],[Date]],'DB Details'!$A:$Q,9))</f>
        <v/>
      </c>
      <c r="J81" s="52">
        <f>IF(VLOOKUP(Table91213[[#This Row],[Date]],'DB Details'!$A:$Q,10)=0,"",VLOOKUP(Table91213[[#This Row],[Date]],'DB Details'!$A:$Q,10))</f>
        <v/>
      </c>
      <c r="K81" s="52">
        <f>IF(VLOOKUP(Table91213[[#This Row],[Date]],'DB Details'!$A:$Q,11)=0,"",VLOOKUP(Table91213[[#This Row],[Date]],'DB Details'!$A:$Q,11))</f>
        <v/>
      </c>
      <c r="L81" s="50">
        <f>IF(VLOOKUP(Table91213[[#This Row],[Date]],'DB Details'!$A:$Q,12)=0,"",VLOOKUP(Table91213[[#This Row],[Date]],'DB Details'!$A:$Q,12))</f>
        <v/>
      </c>
    </row>
    <row r="82">
      <c r="A82" s="53" t="n">
        <v>37926</v>
      </c>
      <c r="B82" s="50">
        <f>IF(VLOOKUP(Table91213[[#This Row],[Date]],'DB Details'!$A:$Q,2)=0,"",VLOOKUP(Table91213[[#This Row],[Date]],'DB Details'!$A:$Q,2))</f>
        <v/>
      </c>
      <c r="C82" s="51">
        <f>IF(VLOOKUP(Table91213[[#This Row],[Date]],'DB Details'!$A:$Q,3)=0,"",VLOOKUP(Table91213[[#This Row],[Date]],'DB Details'!$A:$Q,3))</f>
        <v/>
      </c>
      <c r="D82" s="51">
        <f>IF(VLOOKUP(Table91213[[#This Row],[Date]],'DB Details'!$A:$Q,4)=0,"",VLOOKUP(Table91213[[#This Row],[Date]],'DB Details'!$A:$Q,4))</f>
        <v/>
      </c>
      <c r="E82" s="52">
        <f>IF(VLOOKUP(Table91213[[#This Row],[Date]],'DB Details'!$A:$Q,5)=0,"",VLOOKUP(Table91213[[#This Row],[Date]],'DB Details'!$A:$Q,5))</f>
        <v/>
      </c>
      <c r="F82" s="51">
        <f>IF(VLOOKUP(Table91213[[#This Row],[Date]],'DB Details'!$A:$Q,6)=0,"",VLOOKUP(Table91213[[#This Row],[Date]],'DB Details'!$A:$Q,6))</f>
        <v/>
      </c>
      <c r="G82" s="52">
        <f>IF(VLOOKUP(Table91213[[#This Row],[Date]],'DB Details'!$A:$Q,7)=0,"",VLOOKUP(Table91213[[#This Row],[Date]],'DB Details'!$A:$Q,7))</f>
        <v/>
      </c>
      <c r="H82" s="52">
        <f>IF(VLOOKUP(Table91213[[#This Row],[Date]],'DB Details'!$A:$Q,8)=0,"",VLOOKUP(Table91213[[#This Row],[Date]],'DB Details'!$A:$Q,8))</f>
        <v/>
      </c>
      <c r="I82" s="52">
        <f>IF(VLOOKUP(Table91213[[#This Row],[Date]],'DB Details'!$A:$Q,9)=0,"",VLOOKUP(Table91213[[#This Row],[Date]],'DB Details'!$A:$Q,9))</f>
        <v/>
      </c>
      <c r="J82" s="52">
        <f>IF(VLOOKUP(Table91213[[#This Row],[Date]],'DB Details'!$A:$Q,10)=0,"",VLOOKUP(Table91213[[#This Row],[Date]],'DB Details'!$A:$Q,10))</f>
        <v/>
      </c>
      <c r="K82" s="52">
        <f>IF(VLOOKUP(Table91213[[#This Row],[Date]],'DB Details'!$A:$Q,11)=0,"",VLOOKUP(Table91213[[#This Row],[Date]],'DB Details'!$A:$Q,11))</f>
        <v/>
      </c>
      <c r="L82" s="50">
        <f>IF(VLOOKUP(Table91213[[#This Row],[Date]],'DB Details'!$A:$Q,12)=0,"",VLOOKUP(Table91213[[#This Row],[Date]],'DB Details'!$A:$Q,12))</f>
        <v/>
      </c>
    </row>
    <row r="83">
      <c r="A83" s="53" t="n">
        <v>37956</v>
      </c>
      <c r="B83" s="50">
        <f>IF(VLOOKUP(Table91213[[#This Row],[Date]],'DB Details'!$A:$Q,2)=0,"",VLOOKUP(Table91213[[#This Row],[Date]],'DB Details'!$A:$Q,2))</f>
        <v/>
      </c>
      <c r="C83" s="51">
        <f>IF(VLOOKUP(Table91213[[#This Row],[Date]],'DB Details'!$A:$Q,3)=0,"",VLOOKUP(Table91213[[#This Row],[Date]],'DB Details'!$A:$Q,3))</f>
        <v/>
      </c>
      <c r="D83" s="51">
        <f>IF(VLOOKUP(Table91213[[#This Row],[Date]],'DB Details'!$A:$Q,4)=0,"",VLOOKUP(Table91213[[#This Row],[Date]],'DB Details'!$A:$Q,4))</f>
        <v/>
      </c>
      <c r="E83" s="52">
        <f>IF(VLOOKUP(Table91213[[#This Row],[Date]],'DB Details'!$A:$Q,5)=0,"",VLOOKUP(Table91213[[#This Row],[Date]],'DB Details'!$A:$Q,5))</f>
        <v/>
      </c>
      <c r="F83" s="51">
        <f>IF(VLOOKUP(Table91213[[#This Row],[Date]],'DB Details'!$A:$Q,6)=0,"",VLOOKUP(Table91213[[#This Row],[Date]],'DB Details'!$A:$Q,6))</f>
        <v/>
      </c>
      <c r="G83" s="52">
        <f>IF(VLOOKUP(Table91213[[#This Row],[Date]],'DB Details'!$A:$Q,7)=0,"",VLOOKUP(Table91213[[#This Row],[Date]],'DB Details'!$A:$Q,7))</f>
        <v/>
      </c>
      <c r="H83" s="52">
        <f>IF(VLOOKUP(Table91213[[#This Row],[Date]],'DB Details'!$A:$Q,8)=0,"",VLOOKUP(Table91213[[#This Row],[Date]],'DB Details'!$A:$Q,8))</f>
        <v/>
      </c>
      <c r="I83" s="52">
        <f>IF(VLOOKUP(Table91213[[#This Row],[Date]],'DB Details'!$A:$Q,9)=0,"",VLOOKUP(Table91213[[#This Row],[Date]],'DB Details'!$A:$Q,9))</f>
        <v/>
      </c>
      <c r="J83" s="52">
        <f>IF(VLOOKUP(Table91213[[#This Row],[Date]],'DB Details'!$A:$Q,10)=0,"",VLOOKUP(Table91213[[#This Row],[Date]],'DB Details'!$A:$Q,10))</f>
        <v/>
      </c>
      <c r="K83" s="52">
        <f>IF(VLOOKUP(Table91213[[#This Row],[Date]],'DB Details'!$A:$Q,11)=0,"",VLOOKUP(Table91213[[#This Row],[Date]],'DB Details'!$A:$Q,11))</f>
        <v/>
      </c>
      <c r="L83" s="50">
        <f>IF(VLOOKUP(Table91213[[#This Row],[Date]],'DB Details'!$A:$Q,12)=0,"",VLOOKUP(Table91213[[#This Row],[Date]],'DB Details'!$A:$Q,12))</f>
        <v/>
      </c>
    </row>
    <row r="84">
      <c r="A84" s="53" t="n">
        <v>37987</v>
      </c>
      <c r="B84" s="50">
        <f>IF(VLOOKUP(Table91213[[#This Row],[Date]],'DB Details'!$A:$Q,2)=0,"",VLOOKUP(Table91213[[#This Row],[Date]],'DB Details'!$A:$Q,2))</f>
        <v/>
      </c>
      <c r="C84" s="51">
        <f>IF(VLOOKUP(Table91213[[#This Row],[Date]],'DB Details'!$A:$Q,3)=0,"",VLOOKUP(Table91213[[#This Row],[Date]],'DB Details'!$A:$Q,3))</f>
        <v/>
      </c>
      <c r="D84" s="51">
        <f>IF(VLOOKUP(Table91213[[#This Row],[Date]],'DB Details'!$A:$Q,4)=0,"",VLOOKUP(Table91213[[#This Row],[Date]],'DB Details'!$A:$Q,4))</f>
        <v/>
      </c>
      <c r="E84" s="52">
        <f>IF(VLOOKUP(Table91213[[#This Row],[Date]],'DB Details'!$A:$Q,5)=0,"",VLOOKUP(Table91213[[#This Row],[Date]],'DB Details'!$A:$Q,5))</f>
        <v/>
      </c>
      <c r="F84" s="51">
        <f>IF(VLOOKUP(Table91213[[#This Row],[Date]],'DB Details'!$A:$Q,6)=0,"",VLOOKUP(Table91213[[#This Row],[Date]],'DB Details'!$A:$Q,6))</f>
        <v/>
      </c>
      <c r="G84" s="52">
        <f>IF(VLOOKUP(Table91213[[#This Row],[Date]],'DB Details'!$A:$Q,7)=0,"",VLOOKUP(Table91213[[#This Row],[Date]],'DB Details'!$A:$Q,7))</f>
        <v/>
      </c>
      <c r="H84" s="52">
        <f>IF(VLOOKUP(Table91213[[#This Row],[Date]],'DB Details'!$A:$Q,8)=0,"",VLOOKUP(Table91213[[#This Row],[Date]],'DB Details'!$A:$Q,8))</f>
        <v/>
      </c>
      <c r="I84" s="52">
        <f>IF(VLOOKUP(Table91213[[#This Row],[Date]],'DB Details'!$A:$Q,9)=0,"",VLOOKUP(Table91213[[#This Row],[Date]],'DB Details'!$A:$Q,9))</f>
        <v/>
      </c>
      <c r="J84" s="52">
        <f>IF(VLOOKUP(Table91213[[#This Row],[Date]],'DB Details'!$A:$Q,10)=0,"",VLOOKUP(Table91213[[#This Row],[Date]],'DB Details'!$A:$Q,10))</f>
        <v/>
      </c>
      <c r="K84" s="52">
        <f>IF(VLOOKUP(Table91213[[#This Row],[Date]],'DB Details'!$A:$Q,11)=0,"",VLOOKUP(Table91213[[#This Row],[Date]],'DB Details'!$A:$Q,11))</f>
        <v/>
      </c>
      <c r="L84" s="50">
        <f>IF(VLOOKUP(Table91213[[#This Row],[Date]],'DB Details'!$A:$Q,12)=0,"",VLOOKUP(Table91213[[#This Row],[Date]],'DB Details'!$A:$Q,12))</f>
        <v/>
      </c>
    </row>
    <row r="85">
      <c r="A85" s="53" t="n">
        <v>38018</v>
      </c>
      <c r="B85" s="50">
        <f>IF(VLOOKUP(Table91213[[#This Row],[Date]],'DB Details'!$A:$Q,2)=0,"",VLOOKUP(Table91213[[#This Row],[Date]],'DB Details'!$A:$Q,2))</f>
        <v/>
      </c>
      <c r="C85" s="51">
        <f>IF(VLOOKUP(Table91213[[#This Row],[Date]],'DB Details'!$A:$Q,3)=0,"",VLOOKUP(Table91213[[#This Row],[Date]],'DB Details'!$A:$Q,3))</f>
        <v/>
      </c>
      <c r="D85" s="51">
        <f>IF(VLOOKUP(Table91213[[#This Row],[Date]],'DB Details'!$A:$Q,4)=0,"",VLOOKUP(Table91213[[#This Row],[Date]],'DB Details'!$A:$Q,4))</f>
        <v/>
      </c>
      <c r="E85" s="52">
        <f>IF(VLOOKUP(Table91213[[#This Row],[Date]],'DB Details'!$A:$Q,5)=0,"",VLOOKUP(Table91213[[#This Row],[Date]],'DB Details'!$A:$Q,5))</f>
        <v/>
      </c>
      <c r="F85" s="51">
        <f>IF(VLOOKUP(Table91213[[#This Row],[Date]],'DB Details'!$A:$Q,6)=0,"",VLOOKUP(Table91213[[#This Row],[Date]],'DB Details'!$A:$Q,6))</f>
        <v/>
      </c>
      <c r="G85" s="52">
        <f>IF(VLOOKUP(Table91213[[#This Row],[Date]],'DB Details'!$A:$Q,7)=0,"",VLOOKUP(Table91213[[#This Row],[Date]],'DB Details'!$A:$Q,7))</f>
        <v/>
      </c>
      <c r="H85" s="52">
        <f>IF(VLOOKUP(Table91213[[#This Row],[Date]],'DB Details'!$A:$Q,8)=0,"",VLOOKUP(Table91213[[#This Row],[Date]],'DB Details'!$A:$Q,8))</f>
        <v/>
      </c>
      <c r="I85" s="52">
        <f>IF(VLOOKUP(Table91213[[#This Row],[Date]],'DB Details'!$A:$Q,9)=0,"",VLOOKUP(Table91213[[#This Row],[Date]],'DB Details'!$A:$Q,9))</f>
        <v/>
      </c>
      <c r="J85" s="52">
        <f>IF(VLOOKUP(Table91213[[#This Row],[Date]],'DB Details'!$A:$Q,10)=0,"",VLOOKUP(Table91213[[#This Row],[Date]],'DB Details'!$A:$Q,10))</f>
        <v/>
      </c>
      <c r="K85" s="52">
        <f>IF(VLOOKUP(Table91213[[#This Row],[Date]],'DB Details'!$A:$Q,11)=0,"",VLOOKUP(Table91213[[#This Row],[Date]],'DB Details'!$A:$Q,11))</f>
        <v/>
      </c>
      <c r="L85" s="50">
        <f>IF(VLOOKUP(Table91213[[#This Row],[Date]],'DB Details'!$A:$Q,12)=0,"",VLOOKUP(Table91213[[#This Row],[Date]],'DB Details'!$A:$Q,12))</f>
        <v/>
      </c>
    </row>
    <row r="86">
      <c r="A86" s="53" t="n">
        <v>38047</v>
      </c>
      <c r="B86" s="50">
        <f>IF(VLOOKUP(Table91213[[#This Row],[Date]],'DB Details'!$A:$Q,2)=0,"",VLOOKUP(Table91213[[#This Row],[Date]],'DB Details'!$A:$Q,2))</f>
        <v/>
      </c>
      <c r="C86" s="51">
        <f>IF(VLOOKUP(Table91213[[#This Row],[Date]],'DB Details'!$A:$Q,3)=0,"",VLOOKUP(Table91213[[#This Row],[Date]],'DB Details'!$A:$Q,3))</f>
        <v/>
      </c>
      <c r="D86" s="51">
        <f>IF(VLOOKUP(Table91213[[#This Row],[Date]],'DB Details'!$A:$Q,4)=0,"",VLOOKUP(Table91213[[#This Row],[Date]],'DB Details'!$A:$Q,4))</f>
        <v/>
      </c>
      <c r="E86" s="52">
        <f>IF(VLOOKUP(Table91213[[#This Row],[Date]],'DB Details'!$A:$Q,5)=0,"",VLOOKUP(Table91213[[#This Row],[Date]],'DB Details'!$A:$Q,5))</f>
        <v/>
      </c>
      <c r="F86" s="51">
        <f>IF(VLOOKUP(Table91213[[#This Row],[Date]],'DB Details'!$A:$Q,6)=0,"",VLOOKUP(Table91213[[#This Row],[Date]],'DB Details'!$A:$Q,6))</f>
        <v/>
      </c>
      <c r="G86" s="52">
        <f>IF(VLOOKUP(Table91213[[#This Row],[Date]],'DB Details'!$A:$Q,7)=0,"",VLOOKUP(Table91213[[#This Row],[Date]],'DB Details'!$A:$Q,7))</f>
        <v/>
      </c>
      <c r="H86" s="52">
        <f>IF(VLOOKUP(Table91213[[#This Row],[Date]],'DB Details'!$A:$Q,8)=0,"",VLOOKUP(Table91213[[#This Row],[Date]],'DB Details'!$A:$Q,8))</f>
        <v/>
      </c>
      <c r="I86" s="52">
        <f>IF(VLOOKUP(Table91213[[#This Row],[Date]],'DB Details'!$A:$Q,9)=0,"",VLOOKUP(Table91213[[#This Row],[Date]],'DB Details'!$A:$Q,9))</f>
        <v/>
      </c>
      <c r="J86" s="52">
        <f>IF(VLOOKUP(Table91213[[#This Row],[Date]],'DB Details'!$A:$Q,10)=0,"",VLOOKUP(Table91213[[#This Row],[Date]],'DB Details'!$A:$Q,10))</f>
        <v/>
      </c>
      <c r="K86" s="52">
        <f>IF(VLOOKUP(Table91213[[#This Row],[Date]],'DB Details'!$A:$Q,11)=0,"",VLOOKUP(Table91213[[#This Row],[Date]],'DB Details'!$A:$Q,11))</f>
        <v/>
      </c>
      <c r="L86" s="50">
        <f>IF(VLOOKUP(Table91213[[#This Row],[Date]],'DB Details'!$A:$Q,12)=0,"",VLOOKUP(Table91213[[#This Row],[Date]],'DB Details'!$A:$Q,12))</f>
        <v/>
      </c>
    </row>
    <row r="87">
      <c r="A87" s="53" t="n">
        <v>38078</v>
      </c>
      <c r="B87" s="50">
        <f>IF(VLOOKUP(Table91213[[#This Row],[Date]],'DB Details'!$A:$Q,2)=0,"",VLOOKUP(Table91213[[#This Row],[Date]],'DB Details'!$A:$Q,2))</f>
        <v/>
      </c>
      <c r="C87" s="51">
        <f>IF(VLOOKUP(Table91213[[#This Row],[Date]],'DB Details'!$A:$Q,3)=0,"",VLOOKUP(Table91213[[#This Row],[Date]],'DB Details'!$A:$Q,3))</f>
        <v/>
      </c>
      <c r="D87" s="51">
        <f>IF(VLOOKUP(Table91213[[#This Row],[Date]],'DB Details'!$A:$Q,4)=0,"",VLOOKUP(Table91213[[#This Row],[Date]],'DB Details'!$A:$Q,4))</f>
        <v/>
      </c>
      <c r="E87" s="52">
        <f>IF(VLOOKUP(Table91213[[#This Row],[Date]],'DB Details'!$A:$Q,5)=0,"",VLOOKUP(Table91213[[#This Row],[Date]],'DB Details'!$A:$Q,5))</f>
        <v/>
      </c>
      <c r="F87" s="51">
        <f>IF(VLOOKUP(Table91213[[#This Row],[Date]],'DB Details'!$A:$Q,6)=0,"",VLOOKUP(Table91213[[#This Row],[Date]],'DB Details'!$A:$Q,6))</f>
        <v/>
      </c>
      <c r="G87" s="52">
        <f>IF(VLOOKUP(Table91213[[#This Row],[Date]],'DB Details'!$A:$Q,7)=0,"",VLOOKUP(Table91213[[#This Row],[Date]],'DB Details'!$A:$Q,7))</f>
        <v/>
      </c>
      <c r="H87" s="52">
        <f>IF(VLOOKUP(Table91213[[#This Row],[Date]],'DB Details'!$A:$Q,8)=0,"",VLOOKUP(Table91213[[#This Row],[Date]],'DB Details'!$A:$Q,8))</f>
        <v/>
      </c>
      <c r="I87" s="52">
        <f>IF(VLOOKUP(Table91213[[#This Row],[Date]],'DB Details'!$A:$Q,9)=0,"",VLOOKUP(Table91213[[#This Row],[Date]],'DB Details'!$A:$Q,9))</f>
        <v/>
      </c>
      <c r="J87" s="52">
        <f>IF(VLOOKUP(Table91213[[#This Row],[Date]],'DB Details'!$A:$Q,10)=0,"",VLOOKUP(Table91213[[#This Row],[Date]],'DB Details'!$A:$Q,10))</f>
        <v/>
      </c>
      <c r="K87" s="52">
        <f>IF(VLOOKUP(Table91213[[#This Row],[Date]],'DB Details'!$A:$Q,11)=0,"",VLOOKUP(Table91213[[#This Row],[Date]],'DB Details'!$A:$Q,11))</f>
        <v/>
      </c>
      <c r="L87" s="50">
        <f>IF(VLOOKUP(Table91213[[#This Row],[Date]],'DB Details'!$A:$Q,12)=0,"",VLOOKUP(Table91213[[#This Row],[Date]],'DB Details'!$A:$Q,12))</f>
        <v/>
      </c>
    </row>
    <row r="88">
      <c r="A88" s="53" t="n">
        <v>38108</v>
      </c>
      <c r="B88" s="50">
        <f>IF(VLOOKUP(Table91213[[#This Row],[Date]],'DB Details'!$A:$Q,2)=0,"",VLOOKUP(Table91213[[#This Row],[Date]],'DB Details'!$A:$Q,2))</f>
        <v/>
      </c>
      <c r="C88" s="51">
        <f>IF(VLOOKUP(Table91213[[#This Row],[Date]],'DB Details'!$A:$Q,3)=0,"",VLOOKUP(Table91213[[#This Row],[Date]],'DB Details'!$A:$Q,3))</f>
        <v/>
      </c>
      <c r="D88" s="51">
        <f>IF(VLOOKUP(Table91213[[#This Row],[Date]],'DB Details'!$A:$Q,4)=0,"",VLOOKUP(Table91213[[#This Row],[Date]],'DB Details'!$A:$Q,4))</f>
        <v/>
      </c>
      <c r="E88" s="52">
        <f>IF(VLOOKUP(Table91213[[#This Row],[Date]],'DB Details'!$A:$Q,5)=0,"",VLOOKUP(Table91213[[#This Row],[Date]],'DB Details'!$A:$Q,5))</f>
        <v/>
      </c>
      <c r="F88" s="51">
        <f>IF(VLOOKUP(Table91213[[#This Row],[Date]],'DB Details'!$A:$Q,6)=0,"",VLOOKUP(Table91213[[#This Row],[Date]],'DB Details'!$A:$Q,6))</f>
        <v/>
      </c>
      <c r="G88" s="52">
        <f>IF(VLOOKUP(Table91213[[#This Row],[Date]],'DB Details'!$A:$Q,7)=0,"",VLOOKUP(Table91213[[#This Row],[Date]],'DB Details'!$A:$Q,7))</f>
        <v/>
      </c>
      <c r="H88" s="52">
        <f>IF(VLOOKUP(Table91213[[#This Row],[Date]],'DB Details'!$A:$Q,8)=0,"",VLOOKUP(Table91213[[#This Row],[Date]],'DB Details'!$A:$Q,8))</f>
        <v/>
      </c>
      <c r="I88" s="52">
        <f>IF(VLOOKUP(Table91213[[#This Row],[Date]],'DB Details'!$A:$Q,9)=0,"",VLOOKUP(Table91213[[#This Row],[Date]],'DB Details'!$A:$Q,9))</f>
        <v/>
      </c>
      <c r="J88" s="52">
        <f>IF(VLOOKUP(Table91213[[#This Row],[Date]],'DB Details'!$A:$Q,10)=0,"",VLOOKUP(Table91213[[#This Row],[Date]],'DB Details'!$A:$Q,10))</f>
        <v/>
      </c>
      <c r="K88" s="52">
        <f>IF(VLOOKUP(Table91213[[#This Row],[Date]],'DB Details'!$A:$Q,11)=0,"",VLOOKUP(Table91213[[#This Row],[Date]],'DB Details'!$A:$Q,11))</f>
        <v/>
      </c>
      <c r="L88" s="50">
        <f>IF(VLOOKUP(Table91213[[#This Row],[Date]],'DB Details'!$A:$Q,12)=0,"",VLOOKUP(Table91213[[#This Row],[Date]],'DB Details'!$A:$Q,12))</f>
        <v/>
      </c>
    </row>
    <row r="89">
      <c r="A89" s="53" t="n">
        <v>38139</v>
      </c>
      <c r="B89" s="50">
        <f>IF(VLOOKUP(Table91213[[#This Row],[Date]],'DB Details'!$A:$Q,2)=0,"",VLOOKUP(Table91213[[#This Row],[Date]],'DB Details'!$A:$Q,2))</f>
        <v/>
      </c>
      <c r="C89" s="51">
        <f>IF(VLOOKUP(Table91213[[#This Row],[Date]],'DB Details'!$A:$Q,3)=0,"",VLOOKUP(Table91213[[#This Row],[Date]],'DB Details'!$A:$Q,3))</f>
        <v/>
      </c>
      <c r="D89" s="51">
        <f>IF(VLOOKUP(Table91213[[#This Row],[Date]],'DB Details'!$A:$Q,4)=0,"",VLOOKUP(Table91213[[#This Row],[Date]],'DB Details'!$A:$Q,4))</f>
        <v/>
      </c>
      <c r="E89" s="52">
        <f>IF(VLOOKUP(Table91213[[#This Row],[Date]],'DB Details'!$A:$Q,5)=0,"",VLOOKUP(Table91213[[#This Row],[Date]],'DB Details'!$A:$Q,5))</f>
        <v/>
      </c>
      <c r="F89" s="51">
        <f>IF(VLOOKUP(Table91213[[#This Row],[Date]],'DB Details'!$A:$Q,6)=0,"",VLOOKUP(Table91213[[#This Row],[Date]],'DB Details'!$A:$Q,6))</f>
        <v/>
      </c>
      <c r="G89" s="52">
        <f>IF(VLOOKUP(Table91213[[#This Row],[Date]],'DB Details'!$A:$Q,7)=0,"",VLOOKUP(Table91213[[#This Row],[Date]],'DB Details'!$A:$Q,7))</f>
        <v/>
      </c>
      <c r="H89" s="52">
        <f>IF(VLOOKUP(Table91213[[#This Row],[Date]],'DB Details'!$A:$Q,8)=0,"",VLOOKUP(Table91213[[#This Row],[Date]],'DB Details'!$A:$Q,8))</f>
        <v/>
      </c>
      <c r="I89" s="52">
        <f>IF(VLOOKUP(Table91213[[#This Row],[Date]],'DB Details'!$A:$Q,9)=0,"",VLOOKUP(Table91213[[#This Row],[Date]],'DB Details'!$A:$Q,9))</f>
        <v/>
      </c>
      <c r="J89" s="52">
        <f>IF(VLOOKUP(Table91213[[#This Row],[Date]],'DB Details'!$A:$Q,10)=0,"",VLOOKUP(Table91213[[#This Row],[Date]],'DB Details'!$A:$Q,10))</f>
        <v/>
      </c>
      <c r="K89" s="52">
        <f>IF(VLOOKUP(Table91213[[#This Row],[Date]],'DB Details'!$A:$Q,11)=0,"",VLOOKUP(Table91213[[#This Row],[Date]],'DB Details'!$A:$Q,11))</f>
        <v/>
      </c>
      <c r="L89" s="50">
        <f>IF(VLOOKUP(Table91213[[#This Row],[Date]],'DB Details'!$A:$Q,12)=0,"",VLOOKUP(Table91213[[#This Row],[Date]],'DB Details'!$A:$Q,12))</f>
        <v/>
      </c>
    </row>
    <row r="90">
      <c r="A90" s="53" t="n">
        <v>38169</v>
      </c>
      <c r="B90" s="50">
        <f>IF(VLOOKUP(Table91213[[#This Row],[Date]],'DB Details'!$A:$Q,2)=0,"",VLOOKUP(Table91213[[#This Row],[Date]],'DB Details'!$A:$Q,2))</f>
        <v/>
      </c>
      <c r="C90" s="51">
        <f>IF(VLOOKUP(Table91213[[#This Row],[Date]],'DB Details'!$A:$Q,3)=0,"",VLOOKUP(Table91213[[#This Row],[Date]],'DB Details'!$A:$Q,3))</f>
        <v/>
      </c>
      <c r="D90" s="51">
        <f>IF(VLOOKUP(Table91213[[#This Row],[Date]],'DB Details'!$A:$Q,4)=0,"",VLOOKUP(Table91213[[#This Row],[Date]],'DB Details'!$A:$Q,4))</f>
        <v/>
      </c>
      <c r="E90" s="52">
        <f>IF(VLOOKUP(Table91213[[#This Row],[Date]],'DB Details'!$A:$Q,5)=0,"",VLOOKUP(Table91213[[#This Row],[Date]],'DB Details'!$A:$Q,5))</f>
        <v/>
      </c>
      <c r="F90" s="51">
        <f>IF(VLOOKUP(Table91213[[#This Row],[Date]],'DB Details'!$A:$Q,6)=0,"",VLOOKUP(Table91213[[#This Row],[Date]],'DB Details'!$A:$Q,6))</f>
        <v/>
      </c>
      <c r="G90" s="52">
        <f>IF(VLOOKUP(Table91213[[#This Row],[Date]],'DB Details'!$A:$Q,7)=0,"",VLOOKUP(Table91213[[#This Row],[Date]],'DB Details'!$A:$Q,7))</f>
        <v/>
      </c>
      <c r="H90" s="52">
        <f>IF(VLOOKUP(Table91213[[#This Row],[Date]],'DB Details'!$A:$Q,8)=0,"",VLOOKUP(Table91213[[#This Row],[Date]],'DB Details'!$A:$Q,8))</f>
        <v/>
      </c>
      <c r="I90" s="52">
        <f>IF(VLOOKUP(Table91213[[#This Row],[Date]],'DB Details'!$A:$Q,9)=0,"",VLOOKUP(Table91213[[#This Row],[Date]],'DB Details'!$A:$Q,9))</f>
        <v/>
      </c>
      <c r="J90" s="52">
        <f>IF(VLOOKUP(Table91213[[#This Row],[Date]],'DB Details'!$A:$Q,10)=0,"",VLOOKUP(Table91213[[#This Row],[Date]],'DB Details'!$A:$Q,10))</f>
        <v/>
      </c>
      <c r="K90" s="52">
        <f>IF(VLOOKUP(Table91213[[#This Row],[Date]],'DB Details'!$A:$Q,11)=0,"",VLOOKUP(Table91213[[#This Row],[Date]],'DB Details'!$A:$Q,11))</f>
        <v/>
      </c>
      <c r="L90" s="50">
        <f>IF(VLOOKUP(Table91213[[#This Row],[Date]],'DB Details'!$A:$Q,12)=0,"",VLOOKUP(Table91213[[#This Row],[Date]],'DB Details'!$A:$Q,12))</f>
        <v/>
      </c>
    </row>
    <row r="91">
      <c r="A91" s="53" t="n">
        <v>38200</v>
      </c>
      <c r="B91" s="50">
        <f>IF(VLOOKUP(Table91213[[#This Row],[Date]],'DB Details'!$A:$Q,2)=0,"",VLOOKUP(Table91213[[#This Row],[Date]],'DB Details'!$A:$Q,2))</f>
        <v/>
      </c>
      <c r="C91" s="51">
        <f>IF(VLOOKUP(Table91213[[#This Row],[Date]],'DB Details'!$A:$Q,3)=0,"",VLOOKUP(Table91213[[#This Row],[Date]],'DB Details'!$A:$Q,3))</f>
        <v/>
      </c>
      <c r="D91" s="51">
        <f>IF(VLOOKUP(Table91213[[#This Row],[Date]],'DB Details'!$A:$Q,4)=0,"",VLOOKUP(Table91213[[#This Row],[Date]],'DB Details'!$A:$Q,4))</f>
        <v/>
      </c>
      <c r="E91" s="52">
        <f>IF(VLOOKUP(Table91213[[#This Row],[Date]],'DB Details'!$A:$Q,5)=0,"",VLOOKUP(Table91213[[#This Row],[Date]],'DB Details'!$A:$Q,5))</f>
        <v/>
      </c>
      <c r="F91" s="51">
        <f>IF(VLOOKUP(Table91213[[#This Row],[Date]],'DB Details'!$A:$Q,6)=0,"",VLOOKUP(Table91213[[#This Row],[Date]],'DB Details'!$A:$Q,6))</f>
        <v/>
      </c>
      <c r="G91" s="52">
        <f>IF(VLOOKUP(Table91213[[#This Row],[Date]],'DB Details'!$A:$Q,7)=0,"",VLOOKUP(Table91213[[#This Row],[Date]],'DB Details'!$A:$Q,7))</f>
        <v/>
      </c>
      <c r="H91" s="52">
        <f>IF(VLOOKUP(Table91213[[#This Row],[Date]],'DB Details'!$A:$Q,8)=0,"",VLOOKUP(Table91213[[#This Row],[Date]],'DB Details'!$A:$Q,8))</f>
        <v/>
      </c>
      <c r="I91" s="52">
        <f>IF(VLOOKUP(Table91213[[#This Row],[Date]],'DB Details'!$A:$Q,9)=0,"",VLOOKUP(Table91213[[#This Row],[Date]],'DB Details'!$A:$Q,9))</f>
        <v/>
      </c>
      <c r="J91" s="52">
        <f>IF(VLOOKUP(Table91213[[#This Row],[Date]],'DB Details'!$A:$Q,10)=0,"",VLOOKUP(Table91213[[#This Row],[Date]],'DB Details'!$A:$Q,10))</f>
        <v/>
      </c>
      <c r="K91" s="52">
        <f>IF(VLOOKUP(Table91213[[#This Row],[Date]],'DB Details'!$A:$Q,11)=0,"",VLOOKUP(Table91213[[#This Row],[Date]],'DB Details'!$A:$Q,11))</f>
        <v/>
      </c>
      <c r="L91" s="50">
        <f>IF(VLOOKUP(Table91213[[#This Row],[Date]],'DB Details'!$A:$Q,12)=0,"",VLOOKUP(Table91213[[#This Row],[Date]],'DB Details'!$A:$Q,12))</f>
        <v/>
      </c>
    </row>
    <row r="92">
      <c r="A92" s="53" t="n">
        <v>38231</v>
      </c>
      <c r="B92" s="50">
        <f>IF(VLOOKUP(Table91213[[#This Row],[Date]],'DB Details'!$A:$Q,2)=0,"",VLOOKUP(Table91213[[#This Row],[Date]],'DB Details'!$A:$Q,2))</f>
        <v/>
      </c>
      <c r="C92" s="51">
        <f>IF(VLOOKUP(Table91213[[#This Row],[Date]],'DB Details'!$A:$Q,3)=0,"",VLOOKUP(Table91213[[#This Row],[Date]],'DB Details'!$A:$Q,3))</f>
        <v/>
      </c>
      <c r="D92" s="51">
        <f>IF(VLOOKUP(Table91213[[#This Row],[Date]],'DB Details'!$A:$Q,4)=0,"",VLOOKUP(Table91213[[#This Row],[Date]],'DB Details'!$A:$Q,4))</f>
        <v/>
      </c>
      <c r="E92" s="52">
        <f>IF(VLOOKUP(Table91213[[#This Row],[Date]],'DB Details'!$A:$Q,5)=0,"",VLOOKUP(Table91213[[#This Row],[Date]],'DB Details'!$A:$Q,5))</f>
        <v/>
      </c>
      <c r="F92" s="51">
        <f>IF(VLOOKUP(Table91213[[#This Row],[Date]],'DB Details'!$A:$Q,6)=0,"",VLOOKUP(Table91213[[#This Row],[Date]],'DB Details'!$A:$Q,6))</f>
        <v/>
      </c>
      <c r="G92" s="52">
        <f>IF(VLOOKUP(Table91213[[#This Row],[Date]],'DB Details'!$A:$Q,7)=0,"",VLOOKUP(Table91213[[#This Row],[Date]],'DB Details'!$A:$Q,7))</f>
        <v/>
      </c>
      <c r="H92" s="52">
        <f>IF(VLOOKUP(Table91213[[#This Row],[Date]],'DB Details'!$A:$Q,8)=0,"",VLOOKUP(Table91213[[#This Row],[Date]],'DB Details'!$A:$Q,8))</f>
        <v/>
      </c>
      <c r="I92" s="52">
        <f>IF(VLOOKUP(Table91213[[#This Row],[Date]],'DB Details'!$A:$Q,9)=0,"",VLOOKUP(Table91213[[#This Row],[Date]],'DB Details'!$A:$Q,9))</f>
        <v/>
      </c>
      <c r="J92" s="52">
        <f>IF(VLOOKUP(Table91213[[#This Row],[Date]],'DB Details'!$A:$Q,10)=0,"",VLOOKUP(Table91213[[#This Row],[Date]],'DB Details'!$A:$Q,10))</f>
        <v/>
      </c>
      <c r="K92" s="52">
        <f>IF(VLOOKUP(Table91213[[#This Row],[Date]],'DB Details'!$A:$Q,11)=0,"",VLOOKUP(Table91213[[#This Row],[Date]],'DB Details'!$A:$Q,11))</f>
        <v/>
      </c>
      <c r="L92" s="50">
        <f>IF(VLOOKUP(Table91213[[#This Row],[Date]],'DB Details'!$A:$Q,12)=0,"",VLOOKUP(Table91213[[#This Row],[Date]],'DB Details'!$A:$Q,12))</f>
        <v/>
      </c>
    </row>
    <row r="93">
      <c r="A93" s="53" t="n">
        <v>38261</v>
      </c>
      <c r="B93" s="50">
        <f>IF(VLOOKUP(Table91213[[#This Row],[Date]],'DB Details'!$A:$Q,2)=0,"",VLOOKUP(Table91213[[#This Row],[Date]],'DB Details'!$A:$Q,2))</f>
        <v/>
      </c>
      <c r="C93" s="51">
        <f>IF(VLOOKUP(Table91213[[#This Row],[Date]],'DB Details'!$A:$Q,3)=0,"",VLOOKUP(Table91213[[#This Row],[Date]],'DB Details'!$A:$Q,3))</f>
        <v/>
      </c>
      <c r="D93" s="51">
        <f>IF(VLOOKUP(Table91213[[#This Row],[Date]],'DB Details'!$A:$Q,4)=0,"",VLOOKUP(Table91213[[#This Row],[Date]],'DB Details'!$A:$Q,4))</f>
        <v/>
      </c>
      <c r="E93" s="52">
        <f>IF(VLOOKUP(Table91213[[#This Row],[Date]],'DB Details'!$A:$Q,5)=0,"",VLOOKUP(Table91213[[#This Row],[Date]],'DB Details'!$A:$Q,5))</f>
        <v/>
      </c>
      <c r="F93" s="51">
        <f>IF(VLOOKUP(Table91213[[#This Row],[Date]],'DB Details'!$A:$Q,6)=0,"",VLOOKUP(Table91213[[#This Row],[Date]],'DB Details'!$A:$Q,6))</f>
        <v/>
      </c>
      <c r="G93" s="52">
        <f>IF(VLOOKUP(Table91213[[#This Row],[Date]],'DB Details'!$A:$Q,7)=0,"",VLOOKUP(Table91213[[#This Row],[Date]],'DB Details'!$A:$Q,7))</f>
        <v/>
      </c>
      <c r="H93" s="52">
        <f>IF(VLOOKUP(Table91213[[#This Row],[Date]],'DB Details'!$A:$Q,8)=0,"",VLOOKUP(Table91213[[#This Row],[Date]],'DB Details'!$A:$Q,8))</f>
        <v/>
      </c>
      <c r="I93" s="52">
        <f>IF(VLOOKUP(Table91213[[#This Row],[Date]],'DB Details'!$A:$Q,9)=0,"",VLOOKUP(Table91213[[#This Row],[Date]],'DB Details'!$A:$Q,9))</f>
        <v/>
      </c>
      <c r="J93" s="52">
        <f>IF(VLOOKUP(Table91213[[#This Row],[Date]],'DB Details'!$A:$Q,10)=0,"",VLOOKUP(Table91213[[#This Row],[Date]],'DB Details'!$A:$Q,10))</f>
        <v/>
      </c>
      <c r="K93" s="52">
        <f>IF(VLOOKUP(Table91213[[#This Row],[Date]],'DB Details'!$A:$Q,11)=0,"",VLOOKUP(Table91213[[#This Row],[Date]],'DB Details'!$A:$Q,11))</f>
        <v/>
      </c>
      <c r="L93" s="50">
        <f>IF(VLOOKUP(Table91213[[#This Row],[Date]],'DB Details'!$A:$Q,12)=0,"",VLOOKUP(Table91213[[#This Row],[Date]],'DB Details'!$A:$Q,12))</f>
        <v/>
      </c>
    </row>
    <row r="94">
      <c r="A94" s="53" t="n">
        <v>38292</v>
      </c>
      <c r="B94" s="50">
        <f>IF(VLOOKUP(Table91213[[#This Row],[Date]],'DB Details'!$A:$Q,2)=0,"",VLOOKUP(Table91213[[#This Row],[Date]],'DB Details'!$A:$Q,2))</f>
        <v/>
      </c>
      <c r="C94" s="51">
        <f>IF(VLOOKUP(Table91213[[#This Row],[Date]],'DB Details'!$A:$Q,3)=0,"",VLOOKUP(Table91213[[#This Row],[Date]],'DB Details'!$A:$Q,3))</f>
        <v/>
      </c>
      <c r="D94" s="51">
        <f>IF(VLOOKUP(Table91213[[#This Row],[Date]],'DB Details'!$A:$Q,4)=0,"",VLOOKUP(Table91213[[#This Row],[Date]],'DB Details'!$A:$Q,4))</f>
        <v/>
      </c>
      <c r="E94" s="52">
        <f>IF(VLOOKUP(Table91213[[#This Row],[Date]],'DB Details'!$A:$Q,5)=0,"",VLOOKUP(Table91213[[#This Row],[Date]],'DB Details'!$A:$Q,5))</f>
        <v/>
      </c>
      <c r="F94" s="51">
        <f>IF(VLOOKUP(Table91213[[#This Row],[Date]],'DB Details'!$A:$Q,6)=0,"",VLOOKUP(Table91213[[#This Row],[Date]],'DB Details'!$A:$Q,6))</f>
        <v/>
      </c>
      <c r="G94" s="52">
        <f>IF(VLOOKUP(Table91213[[#This Row],[Date]],'DB Details'!$A:$Q,7)=0,"",VLOOKUP(Table91213[[#This Row],[Date]],'DB Details'!$A:$Q,7))</f>
        <v/>
      </c>
      <c r="H94" s="52">
        <f>IF(VLOOKUP(Table91213[[#This Row],[Date]],'DB Details'!$A:$Q,8)=0,"",VLOOKUP(Table91213[[#This Row],[Date]],'DB Details'!$A:$Q,8))</f>
        <v/>
      </c>
      <c r="I94" s="52">
        <f>IF(VLOOKUP(Table91213[[#This Row],[Date]],'DB Details'!$A:$Q,9)=0,"",VLOOKUP(Table91213[[#This Row],[Date]],'DB Details'!$A:$Q,9))</f>
        <v/>
      </c>
      <c r="J94" s="52">
        <f>IF(VLOOKUP(Table91213[[#This Row],[Date]],'DB Details'!$A:$Q,10)=0,"",VLOOKUP(Table91213[[#This Row],[Date]],'DB Details'!$A:$Q,10))</f>
        <v/>
      </c>
      <c r="K94" s="52">
        <f>IF(VLOOKUP(Table91213[[#This Row],[Date]],'DB Details'!$A:$Q,11)=0,"",VLOOKUP(Table91213[[#This Row],[Date]],'DB Details'!$A:$Q,11))</f>
        <v/>
      </c>
      <c r="L94" s="50">
        <f>IF(VLOOKUP(Table91213[[#This Row],[Date]],'DB Details'!$A:$Q,12)=0,"",VLOOKUP(Table91213[[#This Row],[Date]],'DB Details'!$A:$Q,12))</f>
        <v/>
      </c>
    </row>
    <row r="95">
      <c r="A95" s="53" t="n">
        <v>38322</v>
      </c>
      <c r="B95" s="50">
        <f>IF(VLOOKUP(Table91213[[#This Row],[Date]],'DB Details'!$A:$Q,2)=0,"",VLOOKUP(Table91213[[#This Row],[Date]],'DB Details'!$A:$Q,2))</f>
        <v/>
      </c>
      <c r="C95" s="51">
        <f>IF(VLOOKUP(Table91213[[#This Row],[Date]],'DB Details'!$A:$Q,3)=0,"",VLOOKUP(Table91213[[#This Row],[Date]],'DB Details'!$A:$Q,3))</f>
        <v/>
      </c>
      <c r="D95" s="51">
        <f>IF(VLOOKUP(Table91213[[#This Row],[Date]],'DB Details'!$A:$Q,4)=0,"",VLOOKUP(Table91213[[#This Row],[Date]],'DB Details'!$A:$Q,4))</f>
        <v/>
      </c>
      <c r="E95" s="52">
        <f>IF(VLOOKUP(Table91213[[#This Row],[Date]],'DB Details'!$A:$Q,5)=0,"",VLOOKUP(Table91213[[#This Row],[Date]],'DB Details'!$A:$Q,5))</f>
        <v/>
      </c>
      <c r="F95" s="51">
        <f>IF(VLOOKUP(Table91213[[#This Row],[Date]],'DB Details'!$A:$Q,6)=0,"",VLOOKUP(Table91213[[#This Row],[Date]],'DB Details'!$A:$Q,6))</f>
        <v/>
      </c>
      <c r="G95" s="52">
        <f>IF(VLOOKUP(Table91213[[#This Row],[Date]],'DB Details'!$A:$Q,7)=0,"",VLOOKUP(Table91213[[#This Row],[Date]],'DB Details'!$A:$Q,7))</f>
        <v/>
      </c>
      <c r="H95" s="52">
        <f>IF(VLOOKUP(Table91213[[#This Row],[Date]],'DB Details'!$A:$Q,8)=0,"",VLOOKUP(Table91213[[#This Row],[Date]],'DB Details'!$A:$Q,8))</f>
        <v/>
      </c>
      <c r="I95" s="52">
        <f>IF(VLOOKUP(Table91213[[#This Row],[Date]],'DB Details'!$A:$Q,9)=0,"",VLOOKUP(Table91213[[#This Row],[Date]],'DB Details'!$A:$Q,9))</f>
        <v/>
      </c>
      <c r="J95" s="52">
        <f>IF(VLOOKUP(Table91213[[#This Row],[Date]],'DB Details'!$A:$Q,10)=0,"",VLOOKUP(Table91213[[#This Row],[Date]],'DB Details'!$A:$Q,10))</f>
        <v/>
      </c>
      <c r="K95" s="52">
        <f>IF(VLOOKUP(Table91213[[#This Row],[Date]],'DB Details'!$A:$Q,11)=0,"",VLOOKUP(Table91213[[#This Row],[Date]],'DB Details'!$A:$Q,11))</f>
        <v/>
      </c>
      <c r="L95" s="50">
        <f>IF(VLOOKUP(Table91213[[#This Row],[Date]],'DB Details'!$A:$Q,12)=0,"",VLOOKUP(Table91213[[#This Row],[Date]],'DB Details'!$A:$Q,12))</f>
        <v/>
      </c>
    </row>
    <row r="96">
      <c r="A96" s="53" t="n">
        <v>38353</v>
      </c>
      <c r="B96" s="50">
        <f>IF(VLOOKUP(Table91213[[#This Row],[Date]],'DB Details'!$A:$Q,2)=0,"",VLOOKUP(Table91213[[#This Row],[Date]],'DB Details'!$A:$Q,2))</f>
        <v/>
      </c>
      <c r="C96" s="51">
        <f>IF(VLOOKUP(Table91213[[#This Row],[Date]],'DB Details'!$A:$Q,3)=0,"",VLOOKUP(Table91213[[#This Row],[Date]],'DB Details'!$A:$Q,3))</f>
        <v/>
      </c>
      <c r="D96" s="51">
        <f>IF(VLOOKUP(Table91213[[#This Row],[Date]],'DB Details'!$A:$Q,4)=0,"",VLOOKUP(Table91213[[#This Row],[Date]],'DB Details'!$A:$Q,4))</f>
        <v/>
      </c>
      <c r="E96" s="52">
        <f>IF(VLOOKUP(Table91213[[#This Row],[Date]],'DB Details'!$A:$Q,5)=0,"",VLOOKUP(Table91213[[#This Row],[Date]],'DB Details'!$A:$Q,5))</f>
        <v/>
      </c>
      <c r="F96" s="51">
        <f>IF(VLOOKUP(Table91213[[#This Row],[Date]],'DB Details'!$A:$Q,6)=0,"",VLOOKUP(Table91213[[#This Row],[Date]],'DB Details'!$A:$Q,6))</f>
        <v/>
      </c>
      <c r="G96" s="52">
        <f>IF(VLOOKUP(Table91213[[#This Row],[Date]],'DB Details'!$A:$Q,7)=0,"",VLOOKUP(Table91213[[#This Row],[Date]],'DB Details'!$A:$Q,7))</f>
        <v/>
      </c>
      <c r="H96" s="52">
        <f>IF(VLOOKUP(Table91213[[#This Row],[Date]],'DB Details'!$A:$Q,8)=0,"",VLOOKUP(Table91213[[#This Row],[Date]],'DB Details'!$A:$Q,8))</f>
        <v/>
      </c>
      <c r="I96" s="52">
        <f>IF(VLOOKUP(Table91213[[#This Row],[Date]],'DB Details'!$A:$Q,9)=0,"",VLOOKUP(Table91213[[#This Row],[Date]],'DB Details'!$A:$Q,9))</f>
        <v/>
      </c>
      <c r="J96" s="52">
        <f>IF(VLOOKUP(Table91213[[#This Row],[Date]],'DB Details'!$A:$Q,10)=0,"",VLOOKUP(Table91213[[#This Row],[Date]],'DB Details'!$A:$Q,10))</f>
        <v/>
      </c>
      <c r="K96" s="52">
        <f>IF(VLOOKUP(Table91213[[#This Row],[Date]],'DB Details'!$A:$Q,11)=0,"",VLOOKUP(Table91213[[#This Row],[Date]],'DB Details'!$A:$Q,11))</f>
        <v/>
      </c>
      <c r="L96" s="50">
        <f>IF(VLOOKUP(Table91213[[#This Row],[Date]],'DB Details'!$A:$Q,12)=0,"",VLOOKUP(Table91213[[#This Row],[Date]],'DB Details'!$A:$Q,12))</f>
        <v/>
      </c>
    </row>
    <row r="97">
      <c r="A97" s="53" t="n">
        <v>38384</v>
      </c>
      <c r="B97" s="50">
        <f>IF(VLOOKUP(Table91213[[#This Row],[Date]],'DB Details'!$A:$Q,2)=0,"",VLOOKUP(Table91213[[#This Row],[Date]],'DB Details'!$A:$Q,2))</f>
        <v/>
      </c>
      <c r="C97" s="51">
        <f>IF(VLOOKUP(Table91213[[#This Row],[Date]],'DB Details'!$A:$Q,3)=0,"",VLOOKUP(Table91213[[#This Row],[Date]],'DB Details'!$A:$Q,3))</f>
        <v/>
      </c>
      <c r="D97" s="51">
        <f>IF(VLOOKUP(Table91213[[#This Row],[Date]],'DB Details'!$A:$Q,4)=0,"",VLOOKUP(Table91213[[#This Row],[Date]],'DB Details'!$A:$Q,4))</f>
        <v/>
      </c>
      <c r="E97" s="52">
        <f>IF(VLOOKUP(Table91213[[#This Row],[Date]],'DB Details'!$A:$Q,5)=0,"",VLOOKUP(Table91213[[#This Row],[Date]],'DB Details'!$A:$Q,5))</f>
        <v/>
      </c>
      <c r="F97" s="51">
        <f>IF(VLOOKUP(Table91213[[#This Row],[Date]],'DB Details'!$A:$Q,6)=0,"",VLOOKUP(Table91213[[#This Row],[Date]],'DB Details'!$A:$Q,6))</f>
        <v/>
      </c>
      <c r="G97" s="52">
        <f>IF(VLOOKUP(Table91213[[#This Row],[Date]],'DB Details'!$A:$Q,7)=0,"",VLOOKUP(Table91213[[#This Row],[Date]],'DB Details'!$A:$Q,7))</f>
        <v/>
      </c>
      <c r="H97" s="52">
        <f>IF(VLOOKUP(Table91213[[#This Row],[Date]],'DB Details'!$A:$Q,8)=0,"",VLOOKUP(Table91213[[#This Row],[Date]],'DB Details'!$A:$Q,8))</f>
        <v/>
      </c>
      <c r="I97" s="52">
        <f>IF(VLOOKUP(Table91213[[#This Row],[Date]],'DB Details'!$A:$Q,9)=0,"",VLOOKUP(Table91213[[#This Row],[Date]],'DB Details'!$A:$Q,9))</f>
        <v/>
      </c>
      <c r="J97" s="52">
        <f>IF(VLOOKUP(Table91213[[#This Row],[Date]],'DB Details'!$A:$Q,10)=0,"",VLOOKUP(Table91213[[#This Row],[Date]],'DB Details'!$A:$Q,10))</f>
        <v/>
      </c>
      <c r="K97" s="52">
        <f>IF(VLOOKUP(Table91213[[#This Row],[Date]],'DB Details'!$A:$Q,11)=0,"",VLOOKUP(Table91213[[#This Row],[Date]],'DB Details'!$A:$Q,11))</f>
        <v/>
      </c>
      <c r="L97" s="50">
        <f>IF(VLOOKUP(Table91213[[#This Row],[Date]],'DB Details'!$A:$Q,12)=0,"",VLOOKUP(Table91213[[#This Row],[Date]],'DB Details'!$A:$Q,12))</f>
        <v/>
      </c>
    </row>
    <row r="98">
      <c r="A98" s="53" t="n">
        <v>38412</v>
      </c>
      <c r="B98" s="50">
        <f>IF(VLOOKUP(Table91213[[#This Row],[Date]],'DB Details'!$A:$Q,2)=0,"",VLOOKUP(Table91213[[#This Row],[Date]],'DB Details'!$A:$Q,2))</f>
        <v/>
      </c>
      <c r="C98" s="51">
        <f>IF(VLOOKUP(Table91213[[#This Row],[Date]],'DB Details'!$A:$Q,3)=0,"",VLOOKUP(Table91213[[#This Row],[Date]],'DB Details'!$A:$Q,3))</f>
        <v/>
      </c>
      <c r="D98" s="51">
        <f>IF(VLOOKUP(Table91213[[#This Row],[Date]],'DB Details'!$A:$Q,4)=0,"",VLOOKUP(Table91213[[#This Row],[Date]],'DB Details'!$A:$Q,4))</f>
        <v/>
      </c>
      <c r="E98" s="52">
        <f>IF(VLOOKUP(Table91213[[#This Row],[Date]],'DB Details'!$A:$Q,5)=0,"",VLOOKUP(Table91213[[#This Row],[Date]],'DB Details'!$A:$Q,5))</f>
        <v/>
      </c>
      <c r="F98" s="51">
        <f>IF(VLOOKUP(Table91213[[#This Row],[Date]],'DB Details'!$A:$Q,6)=0,"",VLOOKUP(Table91213[[#This Row],[Date]],'DB Details'!$A:$Q,6))</f>
        <v/>
      </c>
      <c r="G98" s="52">
        <f>IF(VLOOKUP(Table91213[[#This Row],[Date]],'DB Details'!$A:$Q,7)=0,"",VLOOKUP(Table91213[[#This Row],[Date]],'DB Details'!$A:$Q,7))</f>
        <v/>
      </c>
      <c r="H98" s="52">
        <f>IF(VLOOKUP(Table91213[[#This Row],[Date]],'DB Details'!$A:$Q,8)=0,"",VLOOKUP(Table91213[[#This Row],[Date]],'DB Details'!$A:$Q,8))</f>
        <v/>
      </c>
      <c r="I98" s="52">
        <f>IF(VLOOKUP(Table91213[[#This Row],[Date]],'DB Details'!$A:$Q,9)=0,"",VLOOKUP(Table91213[[#This Row],[Date]],'DB Details'!$A:$Q,9))</f>
        <v/>
      </c>
      <c r="J98" s="52">
        <f>IF(VLOOKUP(Table91213[[#This Row],[Date]],'DB Details'!$A:$Q,10)=0,"",VLOOKUP(Table91213[[#This Row],[Date]],'DB Details'!$A:$Q,10))</f>
        <v/>
      </c>
      <c r="K98" s="52">
        <f>IF(VLOOKUP(Table91213[[#This Row],[Date]],'DB Details'!$A:$Q,11)=0,"",VLOOKUP(Table91213[[#This Row],[Date]],'DB Details'!$A:$Q,11))</f>
        <v/>
      </c>
      <c r="L98" s="50">
        <f>IF(VLOOKUP(Table91213[[#This Row],[Date]],'DB Details'!$A:$Q,12)=0,"",VLOOKUP(Table91213[[#This Row],[Date]],'DB Details'!$A:$Q,12))</f>
        <v/>
      </c>
    </row>
    <row r="99">
      <c r="A99" s="53" t="n">
        <v>38443</v>
      </c>
      <c r="B99" s="50">
        <f>IF(VLOOKUP(Table91213[[#This Row],[Date]],'DB Details'!$A:$Q,2)=0,"",VLOOKUP(Table91213[[#This Row],[Date]],'DB Details'!$A:$Q,2))</f>
        <v/>
      </c>
      <c r="C99" s="51">
        <f>IF(VLOOKUP(Table91213[[#This Row],[Date]],'DB Details'!$A:$Q,3)=0,"",VLOOKUP(Table91213[[#This Row],[Date]],'DB Details'!$A:$Q,3))</f>
        <v/>
      </c>
      <c r="D99" s="51">
        <f>IF(VLOOKUP(Table91213[[#This Row],[Date]],'DB Details'!$A:$Q,4)=0,"",VLOOKUP(Table91213[[#This Row],[Date]],'DB Details'!$A:$Q,4))</f>
        <v/>
      </c>
      <c r="E99" s="52">
        <f>IF(VLOOKUP(Table91213[[#This Row],[Date]],'DB Details'!$A:$Q,5)=0,"",VLOOKUP(Table91213[[#This Row],[Date]],'DB Details'!$A:$Q,5))</f>
        <v/>
      </c>
      <c r="F99" s="51">
        <f>IF(VLOOKUP(Table91213[[#This Row],[Date]],'DB Details'!$A:$Q,6)=0,"",VLOOKUP(Table91213[[#This Row],[Date]],'DB Details'!$A:$Q,6))</f>
        <v/>
      </c>
      <c r="G99" s="52">
        <f>IF(VLOOKUP(Table91213[[#This Row],[Date]],'DB Details'!$A:$Q,7)=0,"",VLOOKUP(Table91213[[#This Row],[Date]],'DB Details'!$A:$Q,7))</f>
        <v/>
      </c>
      <c r="H99" s="52">
        <f>IF(VLOOKUP(Table91213[[#This Row],[Date]],'DB Details'!$A:$Q,8)=0,"",VLOOKUP(Table91213[[#This Row],[Date]],'DB Details'!$A:$Q,8))</f>
        <v/>
      </c>
      <c r="I99" s="52">
        <f>IF(VLOOKUP(Table91213[[#This Row],[Date]],'DB Details'!$A:$Q,9)=0,"",VLOOKUP(Table91213[[#This Row],[Date]],'DB Details'!$A:$Q,9))</f>
        <v/>
      </c>
      <c r="J99" s="52">
        <f>IF(VLOOKUP(Table91213[[#This Row],[Date]],'DB Details'!$A:$Q,10)=0,"",VLOOKUP(Table91213[[#This Row],[Date]],'DB Details'!$A:$Q,10))</f>
        <v/>
      </c>
      <c r="K99" s="52">
        <f>IF(VLOOKUP(Table91213[[#This Row],[Date]],'DB Details'!$A:$Q,11)=0,"",VLOOKUP(Table91213[[#This Row],[Date]],'DB Details'!$A:$Q,11))</f>
        <v/>
      </c>
      <c r="L99" s="50">
        <f>IF(VLOOKUP(Table91213[[#This Row],[Date]],'DB Details'!$A:$Q,12)=0,"",VLOOKUP(Table91213[[#This Row],[Date]],'DB Details'!$A:$Q,12))</f>
        <v/>
      </c>
    </row>
    <row r="100">
      <c r="A100" s="53" t="n">
        <v>38473</v>
      </c>
      <c r="B100" s="50">
        <f>IF(VLOOKUP(Table91213[[#This Row],[Date]],'DB Details'!$A:$Q,2)=0,"",VLOOKUP(Table91213[[#This Row],[Date]],'DB Details'!$A:$Q,2))</f>
        <v/>
      </c>
      <c r="C100" s="51">
        <f>IF(VLOOKUP(Table91213[[#This Row],[Date]],'DB Details'!$A:$Q,3)=0,"",VLOOKUP(Table91213[[#This Row],[Date]],'DB Details'!$A:$Q,3))</f>
        <v/>
      </c>
      <c r="D100" s="51">
        <f>IF(VLOOKUP(Table91213[[#This Row],[Date]],'DB Details'!$A:$Q,4)=0,"",VLOOKUP(Table91213[[#This Row],[Date]],'DB Details'!$A:$Q,4))</f>
        <v/>
      </c>
      <c r="E100" s="52">
        <f>IF(VLOOKUP(Table91213[[#This Row],[Date]],'DB Details'!$A:$Q,5)=0,"",VLOOKUP(Table91213[[#This Row],[Date]],'DB Details'!$A:$Q,5))</f>
        <v/>
      </c>
      <c r="F100" s="51">
        <f>IF(VLOOKUP(Table91213[[#This Row],[Date]],'DB Details'!$A:$Q,6)=0,"",VLOOKUP(Table91213[[#This Row],[Date]],'DB Details'!$A:$Q,6))</f>
        <v/>
      </c>
      <c r="G100" s="52">
        <f>IF(VLOOKUP(Table91213[[#This Row],[Date]],'DB Details'!$A:$Q,7)=0,"",VLOOKUP(Table91213[[#This Row],[Date]],'DB Details'!$A:$Q,7))</f>
        <v/>
      </c>
      <c r="H100" s="52">
        <f>IF(VLOOKUP(Table91213[[#This Row],[Date]],'DB Details'!$A:$Q,8)=0,"",VLOOKUP(Table91213[[#This Row],[Date]],'DB Details'!$A:$Q,8))</f>
        <v/>
      </c>
      <c r="I100" s="52">
        <f>IF(VLOOKUP(Table91213[[#This Row],[Date]],'DB Details'!$A:$Q,9)=0,"",VLOOKUP(Table91213[[#This Row],[Date]],'DB Details'!$A:$Q,9))</f>
        <v/>
      </c>
      <c r="J100" s="52">
        <f>IF(VLOOKUP(Table91213[[#This Row],[Date]],'DB Details'!$A:$Q,10)=0,"",VLOOKUP(Table91213[[#This Row],[Date]],'DB Details'!$A:$Q,10))</f>
        <v/>
      </c>
      <c r="K100" s="52">
        <f>IF(VLOOKUP(Table91213[[#This Row],[Date]],'DB Details'!$A:$Q,11)=0,"",VLOOKUP(Table91213[[#This Row],[Date]],'DB Details'!$A:$Q,11))</f>
        <v/>
      </c>
      <c r="L100" s="50">
        <f>IF(VLOOKUP(Table91213[[#This Row],[Date]],'DB Details'!$A:$Q,12)=0,"",VLOOKUP(Table91213[[#This Row],[Date]],'DB Details'!$A:$Q,12))</f>
        <v/>
      </c>
    </row>
    <row r="101">
      <c r="A101" s="53" t="n">
        <v>38504</v>
      </c>
      <c r="B101" s="50">
        <f>IF(VLOOKUP(Table91213[[#This Row],[Date]],'DB Details'!$A:$Q,2)=0,"",VLOOKUP(Table91213[[#This Row],[Date]],'DB Details'!$A:$Q,2))</f>
        <v/>
      </c>
      <c r="C101" s="51">
        <f>IF(VLOOKUP(Table91213[[#This Row],[Date]],'DB Details'!$A:$Q,3)=0,"",VLOOKUP(Table91213[[#This Row],[Date]],'DB Details'!$A:$Q,3))</f>
        <v/>
      </c>
      <c r="D101" s="51">
        <f>IF(VLOOKUP(Table91213[[#This Row],[Date]],'DB Details'!$A:$Q,4)=0,"",VLOOKUP(Table91213[[#This Row],[Date]],'DB Details'!$A:$Q,4))</f>
        <v/>
      </c>
      <c r="E101" s="52">
        <f>IF(VLOOKUP(Table91213[[#This Row],[Date]],'DB Details'!$A:$Q,5)=0,"",VLOOKUP(Table91213[[#This Row],[Date]],'DB Details'!$A:$Q,5))</f>
        <v/>
      </c>
      <c r="F101" s="51">
        <f>IF(VLOOKUP(Table91213[[#This Row],[Date]],'DB Details'!$A:$Q,6)=0,"",VLOOKUP(Table91213[[#This Row],[Date]],'DB Details'!$A:$Q,6))</f>
        <v/>
      </c>
      <c r="G101" s="52">
        <f>IF(VLOOKUP(Table91213[[#This Row],[Date]],'DB Details'!$A:$Q,7)=0,"",VLOOKUP(Table91213[[#This Row],[Date]],'DB Details'!$A:$Q,7))</f>
        <v/>
      </c>
      <c r="H101" s="52">
        <f>IF(VLOOKUP(Table91213[[#This Row],[Date]],'DB Details'!$A:$Q,8)=0,"",VLOOKUP(Table91213[[#This Row],[Date]],'DB Details'!$A:$Q,8))</f>
        <v/>
      </c>
      <c r="I101" s="52">
        <f>IF(VLOOKUP(Table91213[[#This Row],[Date]],'DB Details'!$A:$Q,9)=0,"",VLOOKUP(Table91213[[#This Row],[Date]],'DB Details'!$A:$Q,9))</f>
        <v/>
      </c>
      <c r="J101" s="52">
        <f>IF(VLOOKUP(Table91213[[#This Row],[Date]],'DB Details'!$A:$Q,10)=0,"",VLOOKUP(Table91213[[#This Row],[Date]],'DB Details'!$A:$Q,10))</f>
        <v/>
      </c>
      <c r="K101" s="52">
        <f>IF(VLOOKUP(Table91213[[#This Row],[Date]],'DB Details'!$A:$Q,11)=0,"",VLOOKUP(Table91213[[#This Row],[Date]],'DB Details'!$A:$Q,11))</f>
        <v/>
      </c>
      <c r="L101" s="50">
        <f>IF(VLOOKUP(Table91213[[#This Row],[Date]],'DB Details'!$A:$Q,12)=0,"",VLOOKUP(Table91213[[#This Row],[Date]],'DB Details'!$A:$Q,12))</f>
        <v/>
      </c>
    </row>
    <row r="102">
      <c r="A102" s="53" t="n">
        <v>38534</v>
      </c>
      <c r="B102" s="50">
        <f>IF(VLOOKUP(Table91213[[#This Row],[Date]],'DB Details'!$A:$Q,2)=0,"",VLOOKUP(Table91213[[#This Row],[Date]],'DB Details'!$A:$Q,2))</f>
        <v/>
      </c>
      <c r="C102" s="51">
        <f>IF(VLOOKUP(Table91213[[#This Row],[Date]],'DB Details'!$A:$Q,3)=0,"",VLOOKUP(Table91213[[#This Row],[Date]],'DB Details'!$A:$Q,3))</f>
        <v/>
      </c>
      <c r="D102" s="51">
        <f>IF(VLOOKUP(Table91213[[#This Row],[Date]],'DB Details'!$A:$Q,4)=0,"",VLOOKUP(Table91213[[#This Row],[Date]],'DB Details'!$A:$Q,4))</f>
        <v/>
      </c>
      <c r="E102" s="52">
        <f>IF(VLOOKUP(Table91213[[#This Row],[Date]],'DB Details'!$A:$Q,5)=0,"",VLOOKUP(Table91213[[#This Row],[Date]],'DB Details'!$A:$Q,5))</f>
        <v/>
      </c>
      <c r="F102" s="51">
        <f>IF(VLOOKUP(Table91213[[#This Row],[Date]],'DB Details'!$A:$Q,6)=0,"",VLOOKUP(Table91213[[#This Row],[Date]],'DB Details'!$A:$Q,6))</f>
        <v/>
      </c>
      <c r="G102" s="52">
        <f>IF(VLOOKUP(Table91213[[#This Row],[Date]],'DB Details'!$A:$Q,7)=0,"",VLOOKUP(Table91213[[#This Row],[Date]],'DB Details'!$A:$Q,7))</f>
        <v/>
      </c>
      <c r="H102" s="52">
        <f>IF(VLOOKUP(Table91213[[#This Row],[Date]],'DB Details'!$A:$Q,8)=0,"",VLOOKUP(Table91213[[#This Row],[Date]],'DB Details'!$A:$Q,8))</f>
        <v/>
      </c>
      <c r="I102" s="52">
        <f>IF(VLOOKUP(Table91213[[#This Row],[Date]],'DB Details'!$A:$Q,9)=0,"",VLOOKUP(Table91213[[#This Row],[Date]],'DB Details'!$A:$Q,9))</f>
        <v/>
      </c>
      <c r="J102" s="52">
        <f>IF(VLOOKUP(Table91213[[#This Row],[Date]],'DB Details'!$A:$Q,10)=0,"",VLOOKUP(Table91213[[#This Row],[Date]],'DB Details'!$A:$Q,10))</f>
        <v/>
      </c>
      <c r="K102" s="52">
        <f>IF(VLOOKUP(Table91213[[#This Row],[Date]],'DB Details'!$A:$Q,11)=0,"",VLOOKUP(Table91213[[#This Row],[Date]],'DB Details'!$A:$Q,11))</f>
        <v/>
      </c>
      <c r="L102" s="50">
        <f>IF(VLOOKUP(Table91213[[#This Row],[Date]],'DB Details'!$A:$Q,12)=0,"",VLOOKUP(Table91213[[#This Row],[Date]],'DB Details'!$A:$Q,12))</f>
        <v/>
      </c>
    </row>
    <row r="103">
      <c r="A103" s="53" t="n">
        <v>38565</v>
      </c>
      <c r="B103" s="50">
        <f>IF(VLOOKUP(Table91213[[#This Row],[Date]],'DB Details'!$A:$Q,2)=0,"",VLOOKUP(Table91213[[#This Row],[Date]],'DB Details'!$A:$Q,2))</f>
        <v/>
      </c>
      <c r="C103" s="51">
        <f>IF(VLOOKUP(Table91213[[#This Row],[Date]],'DB Details'!$A:$Q,3)=0,"",VLOOKUP(Table91213[[#This Row],[Date]],'DB Details'!$A:$Q,3))</f>
        <v/>
      </c>
      <c r="D103" s="51">
        <f>IF(VLOOKUP(Table91213[[#This Row],[Date]],'DB Details'!$A:$Q,4)=0,"",VLOOKUP(Table91213[[#This Row],[Date]],'DB Details'!$A:$Q,4))</f>
        <v/>
      </c>
      <c r="E103" s="52">
        <f>IF(VLOOKUP(Table91213[[#This Row],[Date]],'DB Details'!$A:$Q,5)=0,"",VLOOKUP(Table91213[[#This Row],[Date]],'DB Details'!$A:$Q,5))</f>
        <v/>
      </c>
      <c r="F103" s="51">
        <f>IF(VLOOKUP(Table91213[[#This Row],[Date]],'DB Details'!$A:$Q,6)=0,"",VLOOKUP(Table91213[[#This Row],[Date]],'DB Details'!$A:$Q,6))</f>
        <v/>
      </c>
      <c r="G103" s="52">
        <f>IF(VLOOKUP(Table91213[[#This Row],[Date]],'DB Details'!$A:$Q,7)=0,"",VLOOKUP(Table91213[[#This Row],[Date]],'DB Details'!$A:$Q,7))</f>
        <v/>
      </c>
      <c r="H103" s="52">
        <f>IF(VLOOKUP(Table91213[[#This Row],[Date]],'DB Details'!$A:$Q,8)=0,"",VLOOKUP(Table91213[[#This Row],[Date]],'DB Details'!$A:$Q,8))</f>
        <v/>
      </c>
      <c r="I103" s="52">
        <f>IF(VLOOKUP(Table91213[[#This Row],[Date]],'DB Details'!$A:$Q,9)=0,"",VLOOKUP(Table91213[[#This Row],[Date]],'DB Details'!$A:$Q,9))</f>
        <v/>
      </c>
      <c r="J103" s="52">
        <f>IF(VLOOKUP(Table91213[[#This Row],[Date]],'DB Details'!$A:$Q,10)=0,"",VLOOKUP(Table91213[[#This Row],[Date]],'DB Details'!$A:$Q,10))</f>
        <v/>
      </c>
      <c r="K103" s="52">
        <f>IF(VLOOKUP(Table91213[[#This Row],[Date]],'DB Details'!$A:$Q,11)=0,"",VLOOKUP(Table91213[[#This Row],[Date]],'DB Details'!$A:$Q,11))</f>
        <v/>
      </c>
      <c r="L103" s="50">
        <f>IF(VLOOKUP(Table91213[[#This Row],[Date]],'DB Details'!$A:$Q,12)=0,"",VLOOKUP(Table91213[[#This Row],[Date]],'DB Details'!$A:$Q,12))</f>
        <v/>
      </c>
    </row>
    <row r="104">
      <c r="A104" s="53" t="n">
        <v>38596</v>
      </c>
      <c r="B104" s="50">
        <f>IF(VLOOKUP(Table91213[[#This Row],[Date]],'DB Details'!$A:$Q,2)=0,"",VLOOKUP(Table91213[[#This Row],[Date]],'DB Details'!$A:$Q,2))</f>
        <v/>
      </c>
      <c r="C104" s="51">
        <f>IF(VLOOKUP(Table91213[[#This Row],[Date]],'DB Details'!$A:$Q,3)=0,"",VLOOKUP(Table91213[[#This Row],[Date]],'DB Details'!$A:$Q,3))</f>
        <v/>
      </c>
      <c r="D104" s="51">
        <f>IF(VLOOKUP(Table91213[[#This Row],[Date]],'DB Details'!$A:$Q,4)=0,"",VLOOKUP(Table91213[[#This Row],[Date]],'DB Details'!$A:$Q,4))</f>
        <v/>
      </c>
      <c r="E104" s="52">
        <f>IF(VLOOKUP(Table91213[[#This Row],[Date]],'DB Details'!$A:$Q,5)=0,"",VLOOKUP(Table91213[[#This Row],[Date]],'DB Details'!$A:$Q,5))</f>
        <v/>
      </c>
      <c r="F104" s="51">
        <f>IF(VLOOKUP(Table91213[[#This Row],[Date]],'DB Details'!$A:$Q,6)=0,"",VLOOKUP(Table91213[[#This Row],[Date]],'DB Details'!$A:$Q,6))</f>
        <v/>
      </c>
      <c r="G104" s="52">
        <f>IF(VLOOKUP(Table91213[[#This Row],[Date]],'DB Details'!$A:$Q,7)=0,"",VLOOKUP(Table91213[[#This Row],[Date]],'DB Details'!$A:$Q,7))</f>
        <v/>
      </c>
      <c r="H104" s="52">
        <f>IF(VLOOKUP(Table91213[[#This Row],[Date]],'DB Details'!$A:$Q,8)=0,"",VLOOKUP(Table91213[[#This Row],[Date]],'DB Details'!$A:$Q,8))</f>
        <v/>
      </c>
      <c r="I104" s="52">
        <f>IF(VLOOKUP(Table91213[[#This Row],[Date]],'DB Details'!$A:$Q,9)=0,"",VLOOKUP(Table91213[[#This Row],[Date]],'DB Details'!$A:$Q,9))</f>
        <v/>
      </c>
      <c r="J104" s="52">
        <f>IF(VLOOKUP(Table91213[[#This Row],[Date]],'DB Details'!$A:$Q,10)=0,"",VLOOKUP(Table91213[[#This Row],[Date]],'DB Details'!$A:$Q,10))</f>
        <v/>
      </c>
      <c r="K104" s="52">
        <f>IF(VLOOKUP(Table91213[[#This Row],[Date]],'DB Details'!$A:$Q,11)=0,"",VLOOKUP(Table91213[[#This Row],[Date]],'DB Details'!$A:$Q,11))</f>
        <v/>
      </c>
      <c r="L104" s="50">
        <f>IF(VLOOKUP(Table91213[[#This Row],[Date]],'DB Details'!$A:$Q,12)=0,"",VLOOKUP(Table91213[[#This Row],[Date]],'DB Details'!$A:$Q,12))</f>
        <v/>
      </c>
    </row>
    <row r="105">
      <c r="A105" s="53" t="n">
        <v>38626</v>
      </c>
      <c r="B105" s="50">
        <f>IF(VLOOKUP(Table91213[[#This Row],[Date]],'DB Details'!$A:$Q,2)=0,"",VLOOKUP(Table91213[[#This Row],[Date]],'DB Details'!$A:$Q,2))</f>
        <v/>
      </c>
      <c r="C105" s="51">
        <f>IF(VLOOKUP(Table91213[[#This Row],[Date]],'DB Details'!$A:$Q,3)=0,"",VLOOKUP(Table91213[[#This Row],[Date]],'DB Details'!$A:$Q,3))</f>
        <v/>
      </c>
      <c r="D105" s="51">
        <f>IF(VLOOKUP(Table91213[[#This Row],[Date]],'DB Details'!$A:$Q,4)=0,"",VLOOKUP(Table91213[[#This Row],[Date]],'DB Details'!$A:$Q,4))</f>
        <v/>
      </c>
      <c r="E105" s="52">
        <f>IF(VLOOKUP(Table91213[[#This Row],[Date]],'DB Details'!$A:$Q,5)=0,"",VLOOKUP(Table91213[[#This Row],[Date]],'DB Details'!$A:$Q,5))</f>
        <v/>
      </c>
      <c r="F105" s="51">
        <f>IF(VLOOKUP(Table91213[[#This Row],[Date]],'DB Details'!$A:$Q,6)=0,"",VLOOKUP(Table91213[[#This Row],[Date]],'DB Details'!$A:$Q,6))</f>
        <v/>
      </c>
      <c r="G105" s="52">
        <f>IF(VLOOKUP(Table91213[[#This Row],[Date]],'DB Details'!$A:$Q,7)=0,"",VLOOKUP(Table91213[[#This Row],[Date]],'DB Details'!$A:$Q,7))</f>
        <v/>
      </c>
      <c r="H105" s="52">
        <f>IF(VLOOKUP(Table91213[[#This Row],[Date]],'DB Details'!$A:$Q,8)=0,"",VLOOKUP(Table91213[[#This Row],[Date]],'DB Details'!$A:$Q,8))</f>
        <v/>
      </c>
      <c r="I105" s="52">
        <f>IF(VLOOKUP(Table91213[[#This Row],[Date]],'DB Details'!$A:$Q,9)=0,"",VLOOKUP(Table91213[[#This Row],[Date]],'DB Details'!$A:$Q,9))</f>
        <v/>
      </c>
      <c r="J105" s="52">
        <f>IF(VLOOKUP(Table91213[[#This Row],[Date]],'DB Details'!$A:$Q,10)=0,"",VLOOKUP(Table91213[[#This Row],[Date]],'DB Details'!$A:$Q,10))</f>
        <v/>
      </c>
      <c r="K105" s="52">
        <f>IF(VLOOKUP(Table91213[[#This Row],[Date]],'DB Details'!$A:$Q,11)=0,"",VLOOKUP(Table91213[[#This Row],[Date]],'DB Details'!$A:$Q,11))</f>
        <v/>
      </c>
      <c r="L105" s="50">
        <f>IF(VLOOKUP(Table91213[[#This Row],[Date]],'DB Details'!$A:$Q,12)=0,"",VLOOKUP(Table91213[[#This Row],[Date]],'DB Details'!$A:$Q,12))</f>
        <v/>
      </c>
    </row>
    <row r="106">
      <c r="A106" s="53" t="n">
        <v>38657</v>
      </c>
      <c r="B106" s="50">
        <f>IF(VLOOKUP(Table91213[[#This Row],[Date]],'DB Details'!$A:$Q,2)=0,"",VLOOKUP(Table91213[[#This Row],[Date]],'DB Details'!$A:$Q,2))</f>
        <v/>
      </c>
      <c r="C106" s="51">
        <f>IF(VLOOKUP(Table91213[[#This Row],[Date]],'DB Details'!$A:$Q,3)=0,"",VLOOKUP(Table91213[[#This Row],[Date]],'DB Details'!$A:$Q,3))</f>
        <v/>
      </c>
      <c r="D106" s="51">
        <f>IF(VLOOKUP(Table91213[[#This Row],[Date]],'DB Details'!$A:$Q,4)=0,"",VLOOKUP(Table91213[[#This Row],[Date]],'DB Details'!$A:$Q,4))</f>
        <v/>
      </c>
      <c r="E106" s="52">
        <f>IF(VLOOKUP(Table91213[[#This Row],[Date]],'DB Details'!$A:$Q,5)=0,"",VLOOKUP(Table91213[[#This Row],[Date]],'DB Details'!$A:$Q,5))</f>
        <v/>
      </c>
      <c r="F106" s="51">
        <f>IF(VLOOKUP(Table91213[[#This Row],[Date]],'DB Details'!$A:$Q,6)=0,"",VLOOKUP(Table91213[[#This Row],[Date]],'DB Details'!$A:$Q,6))</f>
        <v/>
      </c>
      <c r="G106" s="52">
        <f>IF(VLOOKUP(Table91213[[#This Row],[Date]],'DB Details'!$A:$Q,7)=0,"",VLOOKUP(Table91213[[#This Row],[Date]],'DB Details'!$A:$Q,7))</f>
        <v/>
      </c>
      <c r="H106" s="52">
        <f>IF(VLOOKUP(Table91213[[#This Row],[Date]],'DB Details'!$A:$Q,8)=0,"",VLOOKUP(Table91213[[#This Row],[Date]],'DB Details'!$A:$Q,8))</f>
        <v/>
      </c>
      <c r="I106" s="52">
        <f>IF(VLOOKUP(Table91213[[#This Row],[Date]],'DB Details'!$A:$Q,9)=0,"",VLOOKUP(Table91213[[#This Row],[Date]],'DB Details'!$A:$Q,9))</f>
        <v/>
      </c>
      <c r="J106" s="52">
        <f>IF(VLOOKUP(Table91213[[#This Row],[Date]],'DB Details'!$A:$Q,10)=0,"",VLOOKUP(Table91213[[#This Row],[Date]],'DB Details'!$A:$Q,10))</f>
        <v/>
      </c>
      <c r="K106" s="52">
        <f>IF(VLOOKUP(Table91213[[#This Row],[Date]],'DB Details'!$A:$Q,11)=0,"",VLOOKUP(Table91213[[#This Row],[Date]],'DB Details'!$A:$Q,11))</f>
        <v/>
      </c>
      <c r="L106" s="50">
        <f>IF(VLOOKUP(Table91213[[#This Row],[Date]],'DB Details'!$A:$Q,12)=0,"",VLOOKUP(Table91213[[#This Row],[Date]],'DB Details'!$A:$Q,12))</f>
        <v/>
      </c>
    </row>
    <row r="107">
      <c r="A107" s="53" t="n">
        <v>38687</v>
      </c>
      <c r="B107" s="50">
        <f>IF(VLOOKUP(Table91213[[#This Row],[Date]],'DB Details'!$A:$Q,2)=0,"",VLOOKUP(Table91213[[#This Row],[Date]],'DB Details'!$A:$Q,2))</f>
        <v/>
      </c>
      <c r="C107" s="51">
        <f>IF(VLOOKUP(Table91213[[#This Row],[Date]],'DB Details'!$A:$Q,3)=0,"",VLOOKUP(Table91213[[#This Row],[Date]],'DB Details'!$A:$Q,3))</f>
        <v/>
      </c>
      <c r="D107" s="51">
        <f>IF(VLOOKUP(Table91213[[#This Row],[Date]],'DB Details'!$A:$Q,4)=0,"",VLOOKUP(Table91213[[#This Row],[Date]],'DB Details'!$A:$Q,4))</f>
        <v/>
      </c>
      <c r="E107" s="52">
        <f>IF(VLOOKUP(Table91213[[#This Row],[Date]],'DB Details'!$A:$Q,5)=0,"",VLOOKUP(Table91213[[#This Row],[Date]],'DB Details'!$A:$Q,5))</f>
        <v/>
      </c>
      <c r="F107" s="51">
        <f>IF(VLOOKUP(Table91213[[#This Row],[Date]],'DB Details'!$A:$Q,6)=0,"",VLOOKUP(Table91213[[#This Row],[Date]],'DB Details'!$A:$Q,6))</f>
        <v/>
      </c>
      <c r="G107" s="52">
        <f>IF(VLOOKUP(Table91213[[#This Row],[Date]],'DB Details'!$A:$Q,7)=0,"",VLOOKUP(Table91213[[#This Row],[Date]],'DB Details'!$A:$Q,7))</f>
        <v/>
      </c>
      <c r="H107" s="52">
        <f>IF(VLOOKUP(Table91213[[#This Row],[Date]],'DB Details'!$A:$Q,8)=0,"",VLOOKUP(Table91213[[#This Row],[Date]],'DB Details'!$A:$Q,8))</f>
        <v/>
      </c>
      <c r="I107" s="52">
        <f>IF(VLOOKUP(Table91213[[#This Row],[Date]],'DB Details'!$A:$Q,9)=0,"",VLOOKUP(Table91213[[#This Row],[Date]],'DB Details'!$A:$Q,9))</f>
        <v/>
      </c>
      <c r="J107" s="52">
        <f>IF(VLOOKUP(Table91213[[#This Row],[Date]],'DB Details'!$A:$Q,10)=0,"",VLOOKUP(Table91213[[#This Row],[Date]],'DB Details'!$A:$Q,10))</f>
        <v/>
      </c>
      <c r="K107" s="52">
        <f>IF(VLOOKUP(Table91213[[#This Row],[Date]],'DB Details'!$A:$Q,11)=0,"",VLOOKUP(Table91213[[#This Row],[Date]],'DB Details'!$A:$Q,11))</f>
        <v/>
      </c>
      <c r="L107" s="50">
        <f>IF(VLOOKUP(Table91213[[#This Row],[Date]],'DB Details'!$A:$Q,12)=0,"",VLOOKUP(Table91213[[#This Row],[Date]],'DB Details'!$A:$Q,12))</f>
        <v/>
      </c>
    </row>
    <row r="108">
      <c r="A108" s="53" t="n">
        <v>38718</v>
      </c>
      <c r="B108" s="50">
        <f>IF(VLOOKUP(Table91213[[#This Row],[Date]],'DB Details'!$A:$Q,2)=0,"",VLOOKUP(Table91213[[#This Row],[Date]],'DB Details'!$A:$Q,2))</f>
        <v/>
      </c>
      <c r="C108" s="51">
        <f>IF(VLOOKUP(Table91213[[#This Row],[Date]],'DB Details'!$A:$Q,3)=0,"",VLOOKUP(Table91213[[#This Row],[Date]],'DB Details'!$A:$Q,3))</f>
        <v/>
      </c>
      <c r="D108" s="51">
        <f>IF(VLOOKUP(Table91213[[#This Row],[Date]],'DB Details'!$A:$Q,4)=0,"",VLOOKUP(Table91213[[#This Row],[Date]],'DB Details'!$A:$Q,4))</f>
        <v/>
      </c>
      <c r="E108" s="52">
        <f>IF(VLOOKUP(Table91213[[#This Row],[Date]],'DB Details'!$A:$Q,5)=0,"",VLOOKUP(Table91213[[#This Row],[Date]],'DB Details'!$A:$Q,5))</f>
        <v/>
      </c>
      <c r="F108" s="51">
        <f>IF(VLOOKUP(Table91213[[#This Row],[Date]],'DB Details'!$A:$Q,6)=0,"",VLOOKUP(Table91213[[#This Row],[Date]],'DB Details'!$A:$Q,6))</f>
        <v/>
      </c>
      <c r="G108" s="52">
        <f>IF(VLOOKUP(Table91213[[#This Row],[Date]],'DB Details'!$A:$Q,7)=0,"",VLOOKUP(Table91213[[#This Row],[Date]],'DB Details'!$A:$Q,7))</f>
        <v/>
      </c>
      <c r="H108" s="52">
        <f>IF(VLOOKUP(Table91213[[#This Row],[Date]],'DB Details'!$A:$Q,8)=0,"",VLOOKUP(Table91213[[#This Row],[Date]],'DB Details'!$A:$Q,8))</f>
        <v/>
      </c>
      <c r="I108" s="52">
        <f>IF(VLOOKUP(Table91213[[#This Row],[Date]],'DB Details'!$A:$Q,9)=0,"",VLOOKUP(Table91213[[#This Row],[Date]],'DB Details'!$A:$Q,9))</f>
        <v/>
      </c>
      <c r="J108" s="52">
        <f>IF(VLOOKUP(Table91213[[#This Row],[Date]],'DB Details'!$A:$Q,10)=0,"",VLOOKUP(Table91213[[#This Row],[Date]],'DB Details'!$A:$Q,10))</f>
        <v/>
      </c>
      <c r="K108" s="52">
        <f>IF(VLOOKUP(Table91213[[#This Row],[Date]],'DB Details'!$A:$Q,11)=0,"",VLOOKUP(Table91213[[#This Row],[Date]],'DB Details'!$A:$Q,11))</f>
        <v/>
      </c>
      <c r="L108" s="50">
        <f>IF(VLOOKUP(Table91213[[#This Row],[Date]],'DB Details'!$A:$Q,12)=0,"",VLOOKUP(Table91213[[#This Row],[Date]],'DB Details'!$A:$Q,12))</f>
        <v/>
      </c>
    </row>
    <row r="109">
      <c r="A109" s="53" t="n">
        <v>38749</v>
      </c>
      <c r="B109" s="50">
        <f>IF(VLOOKUP(Table91213[[#This Row],[Date]],'DB Details'!$A:$Q,2)=0,"",VLOOKUP(Table91213[[#This Row],[Date]],'DB Details'!$A:$Q,2))</f>
        <v/>
      </c>
      <c r="C109" s="51">
        <f>IF(VLOOKUP(Table91213[[#This Row],[Date]],'DB Details'!$A:$Q,3)=0,"",VLOOKUP(Table91213[[#This Row],[Date]],'DB Details'!$A:$Q,3))</f>
        <v/>
      </c>
      <c r="D109" s="51">
        <f>IF(VLOOKUP(Table91213[[#This Row],[Date]],'DB Details'!$A:$Q,4)=0,"",VLOOKUP(Table91213[[#This Row],[Date]],'DB Details'!$A:$Q,4))</f>
        <v/>
      </c>
      <c r="E109" s="52">
        <f>IF(VLOOKUP(Table91213[[#This Row],[Date]],'DB Details'!$A:$Q,5)=0,"",VLOOKUP(Table91213[[#This Row],[Date]],'DB Details'!$A:$Q,5))</f>
        <v/>
      </c>
      <c r="F109" s="51">
        <f>IF(VLOOKUP(Table91213[[#This Row],[Date]],'DB Details'!$A:$Q,6)=0,"",VLOOKUP(Table91213[[#This Row],[Date]],'DB Details'!$A:$Q,6))</f>
        <v/>
      </c>
      <c r="G109" s="52">
        <f>IF(VLOOKUP(Table91213[[#This Row],[Date]],'DB Details'!$A:$Q,7)=0,"",VLOOKUP(Table91213[[#This Row],[Date]],'DB Details'!$A:$Q,7))</f>
        <v/>
      </c>
      <c r="H109" s="52">
        <f>IF(VLOOKUP(Table91213[[#This Row],[Date]],'DB Details'!$A:$Q,8)=0,"",VLOOKUP(Table91213[[#This Row],[Date]],'DB Details'!$A:$Q,8))</f>
        <v/>
      </c>
      <c r="I109" s="52">
        <f>IF(VLOOKUP(Table91213[[#This Row],[Date]],'DB Details'!$A:$Q,9)=0,"",VLOOKUP(Table91213[[#This Row],[Date]],'DB Details'!$A:$Q,9))</f>
        <v/>
      </c>
      <c r="J109" s="52">
        <f>IF(VLOOKUP(Table91213[[#This Row],[Date]],'DB Details'!$A:$Q,10)=0,"",VLOOKUP(Table91213[[#This Row],[Date]],'DB Details'!$A:$Q,10))</f>
        <v/>
      </c>
      <c r="K109" s="52">
        <f>IF(VLOOKUP(Table91213[[#This Row],[Date]],'DB Details'!$A:$Q,11)=0,"",VLOOKUP(Table91213[[#This Row],[Date]],'DB Details'!$A:$Q,11))</f>
        <v/>
      </c>
      <c r="L109" s="50">
        <f>IF(VLOOKUP(Table91213[[#This Row],[Date]],'DB Details'!$A:$Q,12)=0,"",VLOOKUP(Table91213[[#This Row],[Date]],'DB Details'!$A:$Q,12))</f>
        <v/>
      </c>
    </row>
    <row r="110">
      <c r="A110" s="53" t="n">
        <v>38777</v>
      </c>
      <c r="B110" s="50">
        <f>IF(VLOOKUP(Table91213[[#This Row],[Date]],'DB Details'!$A:$Q,2)=0,"",VLOOKUP(Table91213[[#This Row],[Date]],'DB Details'!$A:$Q,2))</f>
        <v/>
      </c>
      <c r="C110" s="51">
        <f>IF(VLOOKUP(Table91213[[#This Row],[Date]],'DB Details'!$A:$Q,3)=0,"",VLOOKUP(Table91213[[#This Row],[Date]],'DB Details'!$A:$Q,3))</f>
        <v/>
      </c>
      <c r="D110" s="51">
        <f>IF(VLOOKUP(Table91213[[#This Row],[Date]],'DB Details'!$A:$Q,4)=0,"",VLOOKUP(Table91213[[#This Row],[Date]],'DB Details'!$A:$Q,4))</f>
        <v/>
      </c>
      <c r="E110" s="52">
        <f>IF(VLOOKUP(Table91213[[#This Row],[Date]],'DB Details'!$A:$Q,5)=0,"",VLOOKUP(Table91213[[#This Row],[Date]],'DB Details'!$A:$Q,5))</f>
        <v/>
      </c>
      <c r="F110" s="51">
        <f>IF(VLOOKUP(Table91213[[#This Row],[Date]],'DB Details'!$A:$Q,6)=0,"",VLOOKUP(Table91213[[#This Row],[Date]],'DB Details'!$A:$Q,6))</f>
        <v/>
      </c>
      <c r="G110" s="52">
        <f>IF(VLOOKUP(Table91213[[#This Row],[Date]],'DB Details'!$A:$Q,7)=0,"",VLOOKUP(Table91213[[#This Row],[Date]],'DB Details'!$A:$Q,7))</f>
        <v/>
      </c>
      <c r="H110" s="52">
        <f>IF(VLOOKUP(Table91213[[#This Row],[Date]],'DB Details'!$A:$Q,8)=0,"",VLOOKUP(Table91213[[#This Row],[Date]],'DB Details'!$A:$Q,8))</f>
        <v/>
      </c>
      <c r="I110" s="52">
        <f>IF(VLOOKUP(Table91213[[#This Row],[Date]],'DB Details'!$A:$Q,9)=0,"",VLOOKUP(Table91213[[#This Row],[Date]],'DB Details'!$A:$Q,9))</f>
        <v/>
      </c>
      <c r="J110" s="52">
        <f>IF(VLOOKUP(Table91213[[#This Row],[Date]],'DB Details'!$A:$Q,10)=0,"",VLOOKUP(Table91213[[#This Row],[Date]],'DB Details'!$A:$Q,10))</f>
        <v/>
      </c>
      <c r="K110" s="52">
        <f>IF(VLOOKUP(Table91213[[#This Row],[Date]],'DB Details'!$A:$Q,11)=0,"",VLOOKUP(Table91213[[#This Row],[Date]],'DB Details'!$A:$Q,11))</f>
        <v/>
      </c>
      <c r="L110" s="50">
        <f>IF(VLOOKUP(Table91213[[#This Row],[Date]],'DB Details'!$A:$Q,12)=0,"",VLOOKUP(Table91213[[#This Row],[Date]],'DB Details'!$A:$Q,12))</f>
        <v/>
      </c>
    </row>
    <row r="111">
      <c r="A111" s="53" t="n">
        <v>38808</v>
      </c>
      <c r="B111" s="50">
        <f>IF(VLOOKUP(Table91213[[#This Row],[Date]],'DB Details'!$A:$Q,2)=0,"",VLOOKUP(Table91213[[#This Row],[Date]],'DB Details'!$A:$Q,2))</f>
        <v/>
      </c>
      <c r="C111" s="51">
        <f>IF(VLOOKUP(Table91213[[#This Row],[Date]],'DB Details'!$A:$Q,3)=0,"",VLOOKUP(Table91213[[#This Row],[Date]],'DB Details'!$A:$Q,3))</f>
        <v/>
      </c>
      <c r="D111" s="51">
        <f>IF(VLOOKUP(Table91213[[#This Row],[Date]],'DB Details'!$A:$Q,4)=0,"",VLOOKUP(Table91213[[#This Row],[Date]],'DB Details'!$A:$Q,4))</f>
        <v/>
      </c>
      <c r="E111" s="52">
        <f>IF(VLOOKUP(Table91213[[#This Row],[Date]],'DB Details'!$A:$Q,5)=0,"",VLOOKUP(Table91213[[#This Row],[Date]],'DB Details'!$A:$Q,5))</f>
        <v/>
      </c>
      <c r="F111" s="51">
        <f>IF(VLOOKUP(Table91213[[#This Row],[Date]],'DB Details'!$A:$Q,6)=0,"",VLOOKUP(Table91213[[#This Row],[Date]],'DB Details'!$A:$Q,6))</f>
        <v/>
      </c>
      <c r="G111" s="52">
        <f>IF(VLOOKUP(Table91213[[#This Row],[Date]],'DB Details'!$A:$Q,7)=0,"",VLOOKUP(Table91213[[#This Row],[Date]],'DB Details'!$A:$Q,7))</f>
        <v/>
      </c>
      <c r="H111" s="52">
        <f>IF(VLOOKUP(Table91213[[#This Row],[Date]],'DB Details'!$A:$Q,8)=0,"",VLOOKUP(Table91213[[#This Row],[Date]],'DB Details'!$A:$Q,8))</f>
        <v/>
      </c>
      <c r="I111" s="52">
        <f>IF(VLOOKUP(Table91213[[#This Row],[Date]],'DB Details'!$A:$Q,9)=0,"",VLOOKUP(Table91213[[#This Row],[Date]],'DB Details'!$A:$Q,9))</f>
        <v/>
      </c>
      <c r="J111" s="52">
        <f>IF(VLOOKUP(Table91213[[#This Row],[Date]],'DB Details'!$A:$Q,10)=0,"",VLOOKUP(Table91213[[#This Row],[Date]],'DB Details'!$A:$Q,10))</f>
        <v/>
      </c>
      <c r="K111" s="52">
        <f>IF(VLOOKUP(Table91213[[#This Row],[Date]],'DB Details'!$A:$Q,11)=0,"",VLOOKUP(Table91213[[#This Row],[Date]],'DB Details'!$A:$Q,11))</f>
        <v/>
      </c>
      <c r="L111" s="50">
        <f>IF(VLOOKUP(Table91213[[#This Row],[Date]],'DB Details'!$A:$Q,12)=0,"",VLOOKUP(Table91213[[#This Row],[Date]],'DB Details'!$A:$Q,12))</f>
        <v/>
      </c>
    </row>
    <row r="112">
      <c r="A112" s="53" t="n">
        <v>38838</v>
      </c>
      <c r="B112" s="50">
        <f>IF(VLOOKUP(Table91213[[#This Row],[Date]],'DB Details'!$A:$Q,2)=0,"",VLOOKUP(Table91213[[#This Row],[Date]],'DB Details'!$A:$Q,2))</f>
        <v/>
      </c>
      <c r="C112" s="51">
        <f>IF(VLOOKUP(Table91213[[#This Row],[Date]],'DB Details'!$A:$Q,3)=0,"",VLOOKUP(Table91213[[#This Row],[Date]],'DB Details'!$A:$Q,3))</f>
        <v/>
      </c>
      <c r="D112" s="51">
        <f>IF(VLOOKUP(Table91213[[#This Row],[Date]],'DB Details'!$A:$Q,4)=0,"",VLOOKUP(Table91213[[#This Row],[Date]],'DB Details'!$A:$Q,4))</f>
        <v/>
      </c>
      <c r="E112" s="52">
        <f>IF(VLOOKUP(Table91213[[#This Row],[Date]],'DB Details'!$A:$Q,5)=0,"",VLOOKUP(Table91213[[#This Row],[Date]],'DB Details'!$A:$Q,5))</f>
        <v/>
      </c>
      <c r="F112" s="51">
        <f>IF(VLOOKUP(Table91213[[#This Row],[Date]],'DB Details'!$A:$Q,6)=0,"",VLOOKUP(Table91213[[#This Row],[Date]],'DB Details'!$A:$Q,6))</f>
        <v/>
      </c>
      <c r="G112" s="52">
        <f>IF(VLOOKUP(Table91213[[#This Row],[Date]],'DB Details'!$A:$Q,7)=0,"",VLOOKUP(Table91213[[#This Row],[Date]],'DB Details'!$A:$Q,7))</f>
        <v/>
      </c>
      <c r="H112" s="52">
        <f>IF(VLOOKUP(Table91213[[#This Row],[Date]],'DB Details'!$A:$Q,8)=0,"",VLOOKUP(Table91213[[#This Row],[Date]],'DB Details'!$A:$Q,8))</f>
        <v/>
      </c>
      <c r="I112" s="52">
        <f>IF(VLOOKUP(Table91213[[#This Row],[Date]],'DB Details'!$A:$Q,9)=0,"",VLOOKUP(Table91213[[#This Row],[Date]],'DB Details'!$A:$Q,9))</f>
        <v/>
      </c>
      <c r="J112" s="52">
        <f>IF(VLOOKUP(Table91213[[#This Row],[Date]],'DB Details'!$A:$Q,10)=0,"",VLOOKUP(Table91213[[#This Row],[Date]],'DB Details'!$A:$Q,10))</f>
        <v/>
      </c>
      <c r="K112" s="52">
        <f>IF(VLOOKUP(Table91213[[#This Row],[Date]],'DB Details'!$A:$Q,11)=0,"",VLOOKUP(Table91213[[#This Row],[Date]],'DB Details'!$A:$Q,11))</f>
        <v/>
      </c>
      <c r="L112" s="50">
        <f>IF(VLOOKUP(Table91213[[#This Row],[Date]],'DB Details'!$A:$Q,12)=0,"",VLOOKUP(Table91213[[#This Row],[Date]],'DB Details'!$A:$Q,12))</f>
        <v/>
      </c>
    </row>
    <row r="113">
      <c r="A113" s="53" t="n">
        <v>38869</v>
      </c>
      <c r="B113" s="50">
        <f>IF(VLOOKUP(Table91213[[#This Row],[Date]],'DB Details'!$A:$Q,2)=0,"",VLOOKUP(Table91213[[#This Row],[Date]],'DB Details'!$A:$Q,2))</f>
        <v/>
      </c>
      <c r="C113" s="51">
        <f>IF(VLOOKUP(Table91213[[#This Row],[Date]],'DB Details'!$A:$Q,3)=0,"",VLOOKUP(Table91213[[#This Row],[Date]],'DB Details'!$A:$Q,3))</f>
        <v/>
      </c>
      <c r="D113" s="51">
        <f>IF(VLOOKUP(Table91213[[#This Row],[Date]],'DB Details'!$A:$Q,4)=0,"",VLOOKUP(Table91213[[#This Row],[Date]],'DB Details'!$A:$Q,4))</f>
        <v/>
      </c>
      <c r="E113" s="52">
        <f>IF(VLOOKUP(Table91213[[#This Row],[Date]],'DB Details'!$A:$Q,5)=0,"",VLOOKUP(Table91213[[#This Row],[Date]],'DB Details'!$A:$Q,5))</f>
        <v/>
      </c>
      <c r="F113" s="51">
        <f>IF(VLOOKUP(Table91213[[#This Row],[Date]],'DB Details'!$A:$Q,6)=0,"",VLOOKUP(Table91213[[#This Row],[Date]],'DB Details'!$A:$Q,6))</f>
        <v/>
      </c>
      <c r="G113" s="52">
        <f>IF(VLOOKUP(Table91213[[#This Row],[Date]],'DB Details'!$A:$Q,7)=0,"",VLOOKUP(Table91213[[#This Row],[Date]],'DB Details'!$A:$Q,7))</f>
        <v/>
      </c>
      <c r="H113" s="52">
        <f>IF(VLOOKUP(Table91213[[#This Row],[Date]],'DB Details'!$A:$Q,8)=0,"",VLOOKUP(Table91213[[#This Row],[Date]],'DB Details'!$A:$Q,8))</f>
        <v/>
      </c>
      <c r="I113" s="52">
        <f>IF(VLOOKUP(Table91213[[#This Row],[Date]],'DB Details'!$A:$Q,9)=0,"",VLOOKUP(Table91213[[#This Row],[Date]],'DB Details'!$A:$Q,9))</f>
        <v/>
      </c>
      <c r="J113" s="52">
        <f>IF(VLOOKUP(Table91213[[#This Row],[Date]],'DB Details'!$A:$Q,10)=0,"",VLOOKUP(Table91213[[#This Row],[Date]],'DB Details'!$A:$Q,10))</f>
        <v/>
      </c>
      <c r="K113" s="52">
        <f>IF(VLOOKUP(Table91213[[#This Row],[Date]],'DB Details'!$A:$Q,11)=0,"",VLOOKUP(Table91213[[#This Row],[Date]],'DB Details'!$A:$Q,11))</f>
        <v/>
      </c>
      <c r="L113" s="50">
        <f>IF(VLOOKUP(Table91213[[#This Row],[Date]],'DB Details'!$A:$Q,12)=0,"",VLOOKUP(Table91213[[#This Row],[Date]],'DB Details'!$A:$Q,12))</f>
        <v/>
      </c>
    </row>
    <row r="114">
      <c r="A114" s="53" t="n">
        <v>38899</v>
      </c>
      <c r="B114" s="50">
        <f>IF(VLOOKUP(Table91213[[#This Row],[Date]],'DB Details'!$A:$Q,2)=0,"",VLOOKUP(Table91213[[#This Row],[Date]],'DB Details'!$A:$Q,2))</f>
        <v/>
      </c>
      <c r="C114" s="51">
        <f>IF(VLOOKUP(Table91213[[#This Row],[Date]],'DB Details'!$A:$Q,3)=0,"",VLOOKUP(Table91213[[#This Row],[Date]],'DB Details'!$A:$Q,3))</f>
        <v/>
      </c>
      <c r="D114" s="51">
        <f>IF(VLOOKUP(Table91213[[#This Row],[Date]],'DB Details'!$A:$Q,4)=0,"",VLOOKUP(Table91213[[#This Row],[Date]],'DB Details'!$A:$Q,4))</f>
        <v/>
      </c>
      <c r="E114" s="52">
        <f>IF(VLOOKUP(Table91213[[#This Row],[Date]],'DB Details'!$A:$Q,5)=0,"",VLOOKUP(Table91213[[#This Row],[Date]],'DB Details'!$A:$Q,5))</f>
        <v/>
      </c>
      <c r="F114" s="51">
        <f>IF(VLOOKUP(Table91213[[#This Row],[Date]],'DB Details'!$A:$Q,6)=0,"",VLOOKUP(Table91213[[#This Row],[Date]],'DB Details'!$A:$Q,6))</f>
        <v/>
      </c>
      <c r="G114" s="52">
        <f>IF(VLOOKUP(Table91213[[#This Row],[Date]],'DB Details'!$A:$Q,7)=0,"",VLOOKUP(Table91213[[#This Row],[Date]],'DB Details'!$A:$Q,7))</f>
        <v/>
      </c>
      <c r="H114" s="52">
        <f>IF(VLOOKUP(Table91213[[#This Row],[Date]],'DB Details'!$A:$Q,8)=0,"",VLOOKUP(Table91213[[#This Row],[Date]],'DB Details'!$A:$Q,8))</f>
        <v/>
      </c>
      <c r="I114" s="52">
        <f>IF(VLOOKUP(Table91213[[#This Row],[Date]],'DB Details'!$A:$Q,9)=0,"",VLOOKUP(Table91213[[#This Row],[Date]],'DB Details'!$A:$Q,9))</f>
        <v/>
      </c>
      <c r="J114" s="52">
        <f>IF(VLOOKUP(Table91213[[#This Row],[Date]],'DB Details'!$A:$Q,10)=0,"",VLOOKUP(Table91213[[#This Row],[Date]],'DB Details'!$A:$Q,10))</f>
        <v/>
      </c>
      <c r="K114" s="52">
        <f>IF(VLOOKUP(Table91213[[#This Row],[Date]],'DB Details'!$A:$Q,11)=0,"",VLOOKUP(Table91213[[#This Row],[Date]],'DB Details'!$A:$Q,11))</f>
        <v/>
      </c>
      <c r="L114" s="50">
        <f>IF(VLOOKUP(Table91213[[#This Row],[Date]],'DB Details'!$A:$Q,12)=0,"",VLOOKUP(Table91213[[#This Row],[Date]],'DB Details'!$A:$Q,12))</f>
        <v/>
      </c>
    </row>
    <row r="115">
      <c r="A115" s="53" t="n">
        <v>38930</v>
      </c>
      <c r="B115" s="50">
        <f>IF(VLOOKUP(Table91213[[#This Row],[Date]],'DB Details'!$A:$Q,2)=0,"",VLOOKUP(Table91213[[#This Row],[Date]],'DB Details'!$A:$Q,2))</f>
        <v/>
      </c>
      <c r="C115" s="51">
        <f>IF(VLOOKUP(Table91213[[#This Row],[Date]],'DB Details'!$A:$Q,3)=0,"",VLOOKUP(Table91213[[#This Row],[Date]],'DB Details'!$A:$Q,3))</f>
        <v/>
      </c>
      <c r="D115" s="51">
        <f>IF(VLOOKUP(Table91213[[#This Row],[Date]],'DB Details'!$A:$Q,4)=0,"",VLOOKUP(Table91213[[#This Row],[Date]],'DB Details'!$A:$Q,4))</f>
        <v/>
      </c>
      <c r="E115" s="52">
        <f>IF(VLOOKUP(Table91213[[#This Row],[Date]],'DB Details'!$A:$Q,5)=0,"",VLOOKUP(Table91213[[#This Row],[Date]],'DB Details'!$A:$Q,5))</f>
        <v/>
      </c>
      <c r="F115" s="51">
        <f>IF(VLOOKUP(Table91213[[#This Row],[Date]],'DB Details'!$A:$Q,6)=0,"",VLOOKUP(Table91213[[#This Row],[Date]],'DB Details'!$A:$Q,6))</f>
        <v/>
      </c>
      <c r="G115" s="52">
        <f>IF(VLOOKUP(Table91213[[#This Row],[Date]],'DB Details'!$A:$Q,7)=0,"",VLOOKUP(Table91213[[#This Row],[Date]],'DB Details'!$A:$Q,7))</f>
        <v/>
      </c>
      <c r="H115" s="52">
        <f>IF(VLOOKUP(Table91213[[#This Row],[Date]],'DB Details'!$A:$Q,8)=0,"",VLOOKUP(Table91213[[#This Row],[Date]],'DB Details'!$A:$Q,8))</f>
        <v/>
      </c>
      <c r="I115" s="52">
        <f>IF(VLOOKUP(Table91213[[#This Row],[Date]],'DB Details'!$A:$Q,9)=0,"",VLOOKUP(Table91213[[#This Row],[Date]],'DB Details'!$A:$Q,9))</f>
        <v/>
      </c>
      <c r="J115" s="52">
        <f>IF(VLOOKUP(Table91213[[#This Row],[Date]],'DB Details'!$A:$Q,10)=0,"",VLOOKUP(Table91213[[#This Row],[Date]],'DB Details'!$A:$Q,10))</f>
        <v/>
      </c>
      <c r="K115" s="52">
        <f>IF(VLOOKUP(Table91213[[#This Row],[Date]],'DB Details'!$A:$Q,11)=0,"",VLOOKUP(Table91213[[#This Row],[Date]],'DB Details'!$A:$Q,11))</f>
        <v/>
      </c>
      <c r="L115" s="50">
        <f>IF(VLOOKUP(Table91213[[#This Row],[Date]],'DB Details'!$A:$Q,12)=0,"",VLOOKUP(Table91213[[#This Row],[Date]],'DB Details'!$A:$Q,12))</f>
        <v/>
      </c>
    </row>
    <row r="116">
      <c r="A116" s="53" t="n">
        <v>38961</v>
      </c>
      <c r="B116" s="50">
        <f>IF(VLOOKUP(Table91213[[#This Row],[Date]],'DB Details'!$A:$Q,2)=0,"",VLOOKUP(Table91213[[#This Row],[Date]],'DB Details'!$A:$Q,2))</f>
        <v/>
      </c>
      <c r="C116" s="51">
        <f>IF(VLOOKUP(Table91213[[#This Row],[Date]],'DB Details'!$A:$Q,3)=0,"",VLOOKUP(Table91213[[#This Row],[Date]],'DB Details'!$A:$Q,3))</f>
        <v/>
      </c>
      <c r="D116" s="51">
        <f>IF(VLOOKUP(Table91213[[#This Row],[Date]],'DB Details'!$A:$Q,4)=0,"",VLOOKUP(Table91213[[#This Row],[Date]],'DB Details'!$A:$Q,4))</f>
        <v/>
      </c>
      <c r="E116" s="52">
        <f>IF(VLOOKUP(Table91213[[#This Row],[Date]],'DB Details'!$A:$Q,5)=0,"",VLOOKUP(Table91213[[#This Row],[Date]],'DB Details'!$A:$Q,5))</f>
        <v/>
      </c>
      <c r="F116" s="51">
        <f>IF(VLOOKUP(Table91213[[#This Row],[Date]],'DB Details'!$A:$Q,6)=0,"",VLOOKUP(Table91213[[#This Row],[Date]],'DB Details'!$A:$Q,6))</f>
        <v/>
      </c>
      <c r="G116" s="52">
        <f>IF(VLOOKUP(Table91213[[#This Row],[Date]],'DB Details'!$A:$Q,7)=0,"",VLOOKUP(Table91213[[#This Row],[Date]],'DB Details'!$A:$Q,7))</f>
        <v/>
      </c>
      <c r="H116" s="52">
        <f>IF(VLOOKUP(Table91213[[#This Row],[Date]],'DB Details'!$A:$Q,8)=0,"",VLOOKUP(Table91213[[#This Row],[Date]],'DB Details'!$A:$Q,8))</f>
        <v/>
      </c>
      <c r="I116" s="52">
        <f>IF(VLOOKUP(Table91213[[#This Row],[Date]],'DB Details'!$A:$Q,9)=0,"",VLOOKUP(Table91213[[#This Row],[Date]],'DB Details'!$A:$Q,9))</f>
        <v/>
      </c>
      <c r="J116" s="52">
        <f>IF(VLOOKUP(Table91213[[#This Row],[Date]],'DB Details'!$A:$Q,10)=0,"",VLOOKUP(Table91213[[#This Row],[Date]],'DB Details'!$A:$Q,10))</f>
        <v/>
      </c>
      <c r="K116" s="52">
        <f>IF(VLOOKUP(Table91213[[#This Row],[Date]],'DB Details'!$A:$Q,11)=0,"",VLOOKUP(Table91213[[#This Row],[Date]],'DB Details'!$A:$Q,11))</f>
        <v/>
      </c>
      <c r="L116" s="50">
        <f>IF(VLOOKUP(Table91213[[#This Row],[Date]],'DB Details'!$A:$Q,12)=0,"",VLOOKUP(Table91213[[#This Row],[Date]],'DB Details'!$A:$Q,12))</f>
        <v/>
      </c>
    </row>
    <row r="117">
      <c r="A117" s="53" t="n">
        <v>38991</v>
      </c>
      <c r="B117" s="50">
        <f>IF(VLOOKUP(Table91213[[#This Row],[Date]],'DB Details'!$A:$Q,2)=0,"",VLOOKUP(Table91213[[#This Row],[Date]],'DB Details'!$A:$Q,2))</f>
        <v/>
      </c>
      <c r="C117" s="51">
        <f>IF(VLOOKUP(Table91213[[#This Row],[Date]],'DB Details'!$A:$Q,3)=0,"",VLOOKUP(Table91213[[#This Row],[Date]],'DB Details'!$A:$Q,3))</f>
        <v/>
      </c>
      <c r="D117" s="51">
        <f>IF(VLOOKUP(Table91213[[#This Row],[Date]],'DB Details'!$A:$Q,4)=0,"",VLOOKUP(Table91213[[#This Row],[Date]],'DB Details'!$A:$Q,4))</f>
        <v/>
      </c>
      <c r="E117" s="52">
        <f>IF(VLOOKUP(Table91213[[#This Row],[Date]],'DB Details'!$A:$Q,5)=0,"",VLOOKUP(Table91213[[#This Row],[Date]],'DB Details'!$A:$Q,5))</f>
        <v/>
      </c>
      <c r="F117" s="51">
        <f>IF(VLOOKUP(Table91213[[#This Row],[Date]],'DB Details'!$A:$Q,6)=0,"",VLOOKUP(Table91213[[#This Row],[Date]],'DB Details'!$A:$Q,6))</f>
        <v/>
      </c>
      <c r="G117" s="52">
        <f>IF(VLOOKUP(Table91213[[#This Row],[Date]],'DB Details'!$A:$Q,7)=0,"",VLOOKUP(Table91213[[#This Row],[Date]],'DB Details'!$A:$Q,7))</f>
        <v/>
      </c>
      <c r="H117" s="52">
        <f>IF(VLOOKUP(Table91213[[#This Row],[Date]],'DB Details'!$A:$Q,8)=0,"",VLOOKUP(Table91213[[#This Row],[Date]],'DB Details'!$A:$Q,8))</f>
        <v/>
      </c>
      <c r="I117" s="52">
        <f>IF(VLOOKUP(Table91213[[#This Row],[Date]],'DB Details'!$A:$Q,9)=0,"",VLOOKUP(Table91213[[#This Row],[Date]],'DB Details'!$A:$Q,9))</f>
        <v/>
      </c>
      <c r="J117" s="52">
        <f>IF(VLOOKUP(Table91213[[#This Row],[Date]],'DB Details'!$A:$Q,10)=0,"",VLOOKUP(Table91213[[#This Row],[Date]],'DB Details'!$A:$Q,10))</f>
        <v/>
      </c>
      <c r="K117" s="52">
        <f>IF(VLOOKUP(Table91213[[#This Row],[Date]],'DB Details'!$A:$Q,11)=0,"",VLOOKUP(Table91213[[#This Row],[Date]],'DB Details'!$A:$Q,11))</f>
        <v/>
      </c>
      <c r="L117" s="50">
        <f>IF(VLOOKUP(Table91213[[#This Row],[Date]],'DB Details'!$A:$Q,12)=0,"",VLOOKUP(Table91213[[#This Row],[Date]],'DB Details'!$A:$Q,12))</f>
        <v/>
      </c>
    </row>
    <row r="118">
      <c r="A118" s="53" t="n">
        <v>39022</v>
      </c>
      <c r="B118" s="50">
        <f>IF(VLOOKUP(Table91213[[#This Row],[Date]],'DB Details'!$A:$Q,2)=0,"",VLOOKUP(Table91213[[#This Row],[Date]],'DB Details'!$A:$Q,2))</f>
        <v/>
      </c>
      <c r="C118" s="51">
        <f>IF(VLOOKUP(Table91213[[#This Row],[Date]],'DB Details'!$A:$Q,3)=0,"",VLOOKUP(Table91213[[#This Row],[Date]],'DB Details'!$A:$Q,3))</f>
        <v/>
      </c>
      <c r="D118" s="51">
        <f>IF(VLOOKUP(Table91213[[#This Row],[Date]],'DB Details'!$A:$Q,4)=0,"",VLOOKUP(Table91213[[#This Row],[Date]],'DB Details'!$A:$Q,4))</f>
        <v/>
      </c>
      <c r="E118" s="52">
        <f>IF(VLOOKUP(Table91213[[#This Row],[Date]],'DB Details'!$A:$Q,5)=0,"",VLOOKUP(Table91213[[#This Row],[Date]],'DB Details'!$A:$Q,5))</f>
        <v/>
      </c>
      <c r="F118" s="51">
        <f>IF(VLOOKUP(Table91213[[#This Row],[Date]],'DB Details'!$A:$Q,6)=0,"",VLOOKUP(Table91213[[#This Row],[Date]],'DB Details'!$A:$Q,6))</f>
        <v/>
      </c>
      <c r="G118" s="52">
        <f>IF(VLOOKUP(Table91213[[#This Row],[Date]],'DB Details'!$A:$Q,7)=0,"",VLOOKUP(Table91213[[#This Row],[Date]],'DB Details'!$A:$Q,7))</f>
        <v/>
      </c>
      <c r="H118" s="52">
        <f>IF(VLOOKUP(Table91213[[#This Row],[Date]],'DB Details'!$A:$Q,8)=0,"",VLOOKUP(Table91213[[#This Row],[Date]],'DB Details'!$A:$Q,8))</f>
        <v/>
      </c>
      <c r="I118" s="52">
        <f>IF(VLOOKUP(Table91213[[#This Row],[Date]],'DB Details'!$A:$Q,9)=0,"",VLOOKUP(Table91213[[#This Row],[Date]],'DB Details'!$A:$Q,9))</f>
        <v/>
      </c>
      <c r="J118" s="52">
        <f>IF(VLOOKUP(Table91213[[#This Row],[Date]],'DB Details'!$A:$Q,10)=0,"",VLOOKUP(Table91213[[#This Row],[Date]],'DB Details'!$A:$Q,10))</f>
        <v/>
      </c>
      <c r="K118" s="52">
        <f>IF(VLOOKUP(Table91213[[#This Row],[Date]],'DB Details'!$A:$Q,11)=0,"",VLOOKUP(Table91213[[#This Row],[Date]],'DB Details'!$A:$Q,11))</f>
        <v/>
      </c>
      <c r="L118" s="50">
        <f>IF(VLOOKUP(Table91213[[#This Row],[Date]],'DB Details'!$A:$Q,12)=0,"",VLOOKUP(Table91213[[#This Row],[Date]],'DB Details'!$A:$Q,12))</f>
        <v/>
      </c>
    </row>
    <row r="119">
      <c r="A119" s="53" t="n">
        <v>39052</v>
      </c>
      <c r="B119" s="50">
        <f>IF(VLOOKUP(Table91213[[#This Row],[Date]],'DB Details'!$A:$Q,2)=0,"",VLOOKUP(Table91213[[#This Row],[Date]],'DB Details'!$A:$Q,2))</f>
        <v/>
      </c>
      <c r="C119" s="51">
        <f>IF(VLOOKUP(Table91213[[#This Row],[Date]],'DB Details'!$A:$Q,3)=0,"",VLOOKUP(Table91213[[#This Row],[Date]],'DB Details'!$A:$Q,3))</f>
        <v/>
      </c>
      <c r="D119" s="51">
        <f>IF(VLOOKUP(Table91213[[#This Row],[Date]],'DB Details'!$A:$Q,4)=0,"",VLOOKUP(Table91213[[#This Row],[Date]],'DB Details'!$A:$Q,4))</f>
        <v/>
      </c>
      <c r="E119" s="52">
        <f>IF(VLOOKUP(Table91213[[#This Row],[Date]],'DB Details'!$A:$Q,5)=0,"",VLOOKUP(Table91213[[#This Row],[Date]],'DB Details'!$A:$Q,5))</f>
        <v/>
      </c>
      <c r="F119" s="51">
        <f>IF(VLOOKUP(Table91213[[#This Row],[Date]],'DB Details'!$A:$Q,6)=0,"",VLOOKUP(Table91213[[#This Row],[Date]],'DB Details'!$A:$Q,6))</f>
        <v/>
      </c>
      <c r="G119" s="52">
        <f>IF(VLOOKUP(Table91213[[#This Row],[Date]],'DB Details'!$A:$Q,7)=0,"",VLOOKUP(Table91213[[#This Row],[Date]],'DB Details'!$A:$Q,7))</f>
        <v/>
      </c>
      <c r="H119" s="52">
        <f>IF(VLOOKUP(Table91213[[#This Row],[Date]],'DB Details'!$A:$Q,8)=0,"",VLOOKUP(Table91213[[#This Row],[Date]],'DB Details'!$A:$Q,8))</f>
        <v/>
      </c>
      <c r="I119" s="52">
        <f>IF(VLOOKUP(Table91213[[#This Row],[Date]],'DB Details'!$A:$Q,9)=0,"",VLOOKUP(Table91213[[#This Row],[Date]],'DB Details'!$A:$Q,9))</f>
        <v/>
      </c>
      <c r="J119" s="52">
        <f>IF(VLOOKUP(Table91213[[#This Row],[Date]],'DB Details'!$A:$Q,10)=0,"",VLOOKUP(Table91213[[#This Row],[Date]],'DB Details'!$A:$Q,10))</f>
        <v/>
      </c>
      <c r="K119" s="52">
        <f>IF(VLOOKUP(Table91213[[#This Row],[Date]],'DB Details'!$A:$Q,11)=0,"",VLOOKUP(Table91213[[#This Row],[Date]],'DB Details'!$A:$Q,11))</f>
        <v/>
      </c>
      <c r="L119" s="50">
        <f>IF(VLOOKUP(Table91213[[#This Row],[Date]],'DB Details'!$A:$Q,12)=0,"",VLOOKUP(Table91213[[#This Row],[Date]],'DB Details'!$A:$Q,12))</f>
        <v/>
      </c>
    </row>
    <row r="120">
      <c r="A120" s="53" t="n">
        <v>39083</v>
      </c>
      <c r="B120" s="50">
        <f>IF(VLOOKUP(Table91213[[#This Row],[Date]],'DB Details'!$A:$Q,2)=0,"",VLOOKUP(Table91213[[#This Row],[Date]],'DB Details'!$A:$Q,2))</f>
        <v/>
      </c>
      <c r="C120" s="51">
        <f>IF(VLOOKUP(Table91213[[#This Row],[Date]],'DB Details'!$A:$Q,3)=0,"",VLOOKUP(Table91213[[#This Row],[Date]],'DB Details'!$A:$Q,3))</f>
        <v/>
      </c>
      <c r="D120" s="51">
        <f>IF(VLOOKUP(Table91213[[#This Row],[Date]],'DB Details'!$A:$Q,4)=0,"",VLOOKUP(Table91213[[#This Row],[Date]],'DB Details'!$A:$Q,4))</f>
        <v/>
      </c>
      <c r="E120" s="52">
        <f>IF(VLOOKUP(Table91213[[#This Row],[Date]],'DB Details'!$A:$Q,5)=0,"",VLOOKUP(Table91213[[#This Row],[Date]],'DB Details'!$A:$Q,5))</f>
        <v/>
      </c>
      <c r="F120" s="51">
        <f>IF(VLOOKUP(Table91213[[#This Row],[Date]],'DB Details'!$A:$Q,6)=0,"",VLOOKUP(Table91213[[#This Row],[Date]],'DB Details'!$A:$Q,6))</f>
        <v/>
      </c>
      <c r="G120" s="52">
        <f>IF(VLOOKUP(Table91213[[#This Row],[Date]],'DB Details'!$A:$Q,7)=0,"",VLOOKUP(Table91213[[#This Row],[Date]],'DB Details'!$A:$Q,7))</f>
        <v/>
      </c>
      <c r="H120" s="52">
        <f>IF(VLOOKUP(Table91213[[#This Row],[Date]],'DB Details'!$A:$Q,8)=0,"",VLOOKUP(Table91213[[#This Row],[Date]],'DB Details'!$A:$Q,8))</f>
        <v/>
      </c>
      <c r="I120" s="52">
        <f>IF(VLOOKUP(Table91213[[#This Row],[Date]],'DB Details'!$A:$Q,9)=0,"",VLOOKUP(Table91213[[#This Row],[Date]],'DB Details'!$A:$Q,9))</f>
        <v/>
      </c>
      <c r="J120" s="52">
        <f>IF(VLOOKUP(Table91213[[#This Row],[Date]],'DB Details'!$A:$Q,10)=0,"",VLOOKUP(Table91213[[#This Row],[Date]],'DB Details'!$A:$Q,10))</f>
        <v/>
      </c>
      <c r="K120" s="52">
        <f>IF(VLOOKUP(Table91213[[#This Row],[Date]],'DB Details'!$A:$Q,11)=0,"",VLOOKUP(Table91213[[#This Row],[Date]],'DB Details'!$A:$Q,11))</f>
        <v/>
      </c>
      <c r="L120" s="50">
        <f>IF(VLOOKUP(Table91213[[#This Row],[Date]],'DB Details'!$A:$Q,12)=0,"",VLOOKUP(Table91213[[#This Row],[Date]],'DB Details'!$A:$Q,12))</f>
        <v/>
      </c>
    </row>
    <row r="121">
      <c r="A121" s="53" t="n">
        <v>39114</v>
      </c>
      <c r="B121" s="50">
        <f>IF(VLOOKUP(Table91213[[#This Row],[Date]],'DB Details'!$A:$Q,2)=0,"",VLOOKUP(Table91213[[#This Row],[Date]],'DB Details'!$A:$Q,2))</f>
        <v/>
      </c>
      <c r="C121" s="51">
        <f>IF(VLOOKUP(Table91213[[#This Row],[Date]],'DB Details'!$A:$Q,3)=0,"",VLOOKUP(Table91213[[#This Row],[Date]],'DB Details'!$A:$Q,3))</f>
        <v/>
      </c>
      <c r="D121" s="51">
        <f>IF(VLOOKUP(Table91213[[#This Row],[Date]],'DB Details'!$A:$Q,4)=0,"",VLOOKUP(Table91213[[#This Row],[Date]],'DB Details'!$A:$Q,4))</f>
        <v/>
      </c>
      <c r="E121" s="52">
        <f>IF(VLOOKUP(Table91213[[#This Row],[Date]],'DB Details'!$A:$Q,5)=0,"",VLOOKUP(Table91213[[#This Row],[Date]],'DB Details'!$A:$Q,5))</f>
        <v/>
      </c>
      <c r="F121" s="51">
        <f>IF(VLOOKUP(Table91213[[#This Row],[Date]],'DB Details'!$A:$Q,6)=0,"",VLOOKUP(Table91213[[#This Row],[Date]],'DB Details'!$A:$Q,6))</f>
        <v/>
      </c>
      <c r="G121" s="52">
        <f>IF(VLOOKUP(Table91213[[#This Row],[Date]],'DB Details'!$A:$Q,7)=0,"",VLOOKUP(Table91213[[#This Row],[Date]],'DB Details'!$A:$Q,7))</f>
        <v/>
      </c>
      <c r="H121" s="52">
        <f>IF(VLOOKUP(Table91213[[#This Row],[Date]],'DB Details'!$A:$Q,8)=0,"",VLOOKUP(Table91213[[#This Row],[Date]],'DB Details'!$A:$Q,8))</f>
        <v/>
      </c>
      <c r="I121" s="52">
        <f>IF(VLOOKUP(Table91213[[#This Row],[Date]],'DB Details'!$A:$Q,9)=0,"",VLOOKUP(Table91213[[#This Row],[Date]],'DB Details'!$A:$Q,9))</f>
        <v/>
      </c>
      <c r="J121" s="52">
        <f>IF(VLOOKUP(Table91213[[#This Row],[Date]],'DB Details'!$A:$Q,10)=0,"",VLOOKUP(Table91213[[#This Row],[Date]],'DB Details'!$A:$Q,10))</f>
        <v/>
      </c>
      <c r="K121" s="52">
        <f>IF(VLOOKUP(Table91213[[#This Row],[Date]],'DB Details'!$A:$Q,11)=0,"",VLOOKUP(Table91213[[#This Row],[Date]],'DB Details'!$A:$Q,11))</f>
        <v/>
      </c>
      <c r="L121" s="50">
        <f>IF(VLOOKUP(Table91213[[#This Row],[Date]],'DB Details'!$A:$Q,12)=0,"",VLOOKUP(Table91213[[#This Row],[Date]],'DB Details'!$A:$Q,12))</f>
        <v/>
      </c>
    </row>
    <row r="122">
      <c r="A122" s="53" t="n">
        <v>39142</v>
      </c>
      <c r="B122" s="50">
        <f>IF(VLOOKUP(Table91213[[#This Row],[Date]],'DB Details'!$A:$Q,2)=0,"",VLOOKUP(Table91213[[#This Row],[Date]],'DB Details'!$A:$Q,2))</f>
        <v/>
      </c>
      <c r="C122" s="51">
        <f>IF(VLOOKUP(Table91213[[#This Row],[Date]],'DB Details'!$A:$Q,3)=0,"",VLOOKUP(Table91213[[#This Row],[Date]],'DB Details'!$A:$Q,3))</f>
        <v/>
      </c>
      <c r="D122" s="51">
        <f>IF(VLOOKUP(Table91213[[#This Row],[Date]],'DB Details'!$A:$Q,4)=0,"",VLOOKUP(Table91213[[#This Row],[Date]],'DB Details'!$A:$Q,4))</f>
        <v/>
      </c>
      <c r="E122" s="52">
        <f>IF(VLOOKUP(Table91213[[#This Row],[Date]],'DB Details'!$A:$Q,5)=0,"",VLOOKUP(Table91213[[#This Row],[Date]],'DB Details'!$A:$Q,5))</f>
        <v/>
      </c>
      <c r="F122" s="51">
        <f>IF(VLOOKUP(Table91213[[#This Row],[Date]],'DB Details'!$A:$Q,6)=0,"",VLOOKUP(Table91213[[#This Row],[Date]],'DB Details'!$A:$Q,6))</f>
        <v/>
      </c>
      <c r="G122" s="52">
        <f>IF(VLOOKUP(Table91213[[#This Row],[Date]],'DB Details'!$A:$Q,7)=0,"",VLOOKUP(Table91213[[#This Row],[Date]],'DB Details'!$A:$Q,7))</f>
        <v/>
      </c>
      <c r="H122" s="52">
        <f>IF(VLOOKUP(Table91213[[#This Row],[Date]],'DB Details'!$A:$Q,8)=0,"",VLOOKUP(Table91213[[#This Row],[Date]],'DB Details'!$A:$Q,8))</f>
        <v/>
      </c>
      <c r="I122" s="52">
        <f>IF(VLOOKUP(Table91213[[#This Row],[Date]],'DB Details'!$A:$Q,9)=0,"",VLOOKUP(Table91213[[#This Row],[Date]],'DB Details'!$A:$Q,9))</f>
        <v/>
      </c>
      <c r="J122" s="52">
        <f>IF(VLOOKUP(Table91213[[#This Row],[Date]],'DB Details'!$A:$Q,10)=0,"",VLOOKUP(Table91213[[#This Row],[Date]],'DB Details'!$A:$Q,10))</f>
        <v/>
      </c>
      <c r="K122" s="52">
        <f>IF(VLOOKUP(Table91213[[#This Row],[Date]],'DB Details'!$A:$Q,11)=0,"",VLOOKUP(Table91213[[#This Row],[Date]],'DB Details'!$A:$Q,11))</f>
        <v/>
      </c>
      <c r="L122" s="50">
        <f>IF(VLOOKUP(Table91213[[#This Row],[Date]],'DB Details'!$A:$Q,12)=0,"",VLOOKUP(Table91213[[#This Row],[Date]],'DB Details'!$A:$Q,12))</f>
        <v/>
      </c>
    </row>
    <row r="123">
      <c r="A123" s="53" t="n">
        <v>39173</v>
      </c>
      <c r="B123" s="50">
        <f>IF(VLOOKUP(Table91213[[#This Row],[Date]],'DB Details'!$A:$Q,2)=0,"",VLOOKUP(Table91213[[#This Row],[Date]],'DB Details'!$A:$Q,2))</f>
        <v/>
      </c>
      <c r="C123" s="51">
        <f>IF(VLOOKUP(Table91213[[#This Row],[Date]],'DB Details'!$A:$Q,3)=0,"",VLOOKUP(Table91213[[#This Row],[Date]],'DB Details'!$A:$Q,3))</f>
        <v/>
      </c>
      <c r="D123" s="51">
        <f>IF(VLOOKUP(Table91213[[#This Row],[Date]],'DB Details'!$A:$Q,4)=0,"",VLOOKUP(Table91213[[#This Row],[Date]],'DB Details'!$A:$Q,4))</f>
        <v/>
      </c>
      <c r="E123" s="52">
        <f>IF(VLOOKUP(Table91213[[#This Row],[Date]],'DB Details'!$A:$Q,5)=0,"",VLOOKUP(Table91213[[#This Row],[Date]],'DB Details'!$A:$Q,5))</f>
        <v/>
      </c>
      <c r="F123" s="51">
        <f>IF(VLOOKUP(Table91213[[#This Row],[Date]],'DB Details'!$A:$Q,6)=0,"",VLOOKUP(Table91213[[#This Row],[Date]],'DB Details'!$A:$Q,6))</f>
        <v/>
      </c>
      <c r="G123" s="52">
        <f>IF(VLOOKUP(Table91213[[#This Row],[Date]],'DB Details'!$A:$Q,7)=0,"",VLOOKUP(Table91213[[#This Row],[Date]],'DB Details'!$A:$Q,7))</f>
        <v/>
      </c>
      <c r="H123" s="52">
        <f>IF(VLOOKUP(Table91213[[#This Row],[Date]],'DB Details'!$A:$Q,8)=0,"",VLOOKUP(Table91213[[#This Row],[Date]],'DB Details'!$A:$Q,8))</f>
        <v/>
      </c>
      <c r="I123" s="52">
        <f>IF(VLOOKUP(Table91213[[#This Row],[Date]],'DB Details'!$A:$Q,9)=0,"",VLOOKUP(Table91213[[#This Row],[Date]],'DB Details'!$A:$Q,9))</f>
        <v/>
      </c>
      <c r="J123" s="52">
        <f>IF(VLOOKUP(Table91213[[#This Row],[Date]],'DB Details'!$A:$Q,10)=0,"",VLOOKUP(Table91213[[#This Row],[Date]],'DB Details'!$A:$Q,10))</f>
        <v/>
      </c>
      <c r="K123" s="52">
        <f>IF(VLOOKUP(Table91213[[#This Row],[Date]],'DB Details'!$A:$Q,11)=0,"",VLOOKUP(Table91213[[#This Row],[Date]],'DB Details'!$A:$Q,11))</f>
        <v/>
      </c>
      <c r="L123" s="50">
        <f>IF(VLOOKUP(Table91213[[#This Row],[Date]],'DB Details'!$A:$Q,12)=0,"",VLOOKUP(Table91213[[#This Row],[Date]],'DB Details'!$A:$Q,12))</f>
        <v/>
      </c>
    </row>
    <row r="124">
      <c r="A124" s="53" t="n">
        <v>39203</v>
      </c>
      <c r="B124" s="50">
        <f>IF(VLOOKUP(Table91213[[#This Row],[Date]],'DB Details'!$A:$Q,2)=0,"",VLOOKUP(Table91213[[#This Row],[Date]],'DB Details'!$A:$Q,2))</f>
        <v/>
      </c>
      <c r="C124" s="51">
        <f>IF(VLOOKUP(Table91213[[#This Row],[Date]],'DB Details'!$A:$Q,3)=0,"",VLOOKUP(Table91213[[#This Row],[Date]],'DB Details'!$A:$Q,3))</f>
        <v/>
      </c>
      <c r="D124" s="51">
        <f>IF(VLOOKUP(Table91213[[#This Row],[Date]],'DB Details'!$A:$Q,4)=0,"",VLOOKUP(Table91213[[#This Row],[Date]],'DB Details'!$A:$Q,4))</f>
        <v/>
      </c>
      <c r="E124" s="52">
        <f>IF(VLOOKUP(Table91213[[#This Row],[Date]],'DB Details'!$A:$Q,5)=0,"",VLOOKUP(Table91213[[#This Row],[Date]],'DB Details'!$A:$Q,5))</f>
        <v/>
      </c>
      <c r="F124" s="51">
        <f>IF(VLOOKUP(Table91213[[#This Row],[Date]],'DB Details'!$A:$Q,6)=0,"",VLOOKUP(Table91213[[#This Row],[Date]],'DB Details'!$A:$Q,6))</f>
        <v/>
      </c>
      <c r="G124" s="52">
        <f>IF(VLOOKUP(Table91213[[#This Row],[Date]],'DB Details'!$A:$Q,7)=0,"",VLOOKUP(Table91213[[#This Row],[Date]],'DB Details'!$A:$Q,7))</f>
        <v/>
      </c>
      <c r="H124" s="52">
        <f>IF(VLOOKUP(Table91213[[#This Row],[Date]],'DB Details'!$A:$Q,8)=0,"",VLOOKUP(Table91213[[#This Row],[Date]],'DB Details'!$A:$Q,8))</f>
        <v/>
      </c>
      <c r="I124" s="52">
        <f>IF(VLOOKUP(Table91213[[#This Row],[Date]],'DB Details'!$A:$Q,9)=0,"",VLOOKUP(Table91213[[#This Row],[Date]],'DB Details'!$A:$Q,9))</f>
        <v/>
      </c>
      <c r="J124" s="52">
        <f>IF(VLOOKUP(Table91213[[#This Row],[Date]],'DB Details'!$A:$Q,10)=0,"",VLOOKUP(Table91213[[#This Row],[Date]],'DB Details'!$A:$Q,10))</f>
        <v/>
      </c>
      <c r="K124" s="52">
        <f>IF(VLOOKUP(Table91213[[#This Row],[Date]],'DB Details'!$A:$Q,11)=0,"",VLOOKUP(Table91213[[#This Row],[Date]],'DB Details'!$A:$Q,11))</f>
        <v/>
      </c>
      <c r="L124" s="50">
        <f>IF(VLOOKUP(Table91213[[#This Row],[Date]],'DB Details'!$A:$Q,12)=0,"",VLOOKUP(Table91213[[#This Row],[Date]],'DB Details'!$A:$Q,12))</f>
        <v/>
      </c>
    </row>
    <row r="125">
      <c r="A125" s="53" t="n">
        <v>39234</v>
      </c>
      <c r="B125" s="50">
        <f>IF(VLOOKUP(Table91213[[#This Row],[Date]],'DB Details'!$A:$Q,2)=0,"",VLOOKUP(Table91213[[#This Row],[Date]],'DB Details'!$A:$Q,2))</f>
        <v/>
      </c>
      <c r="C125" s="51">
        <f>IF(VLOOKUP(Table91213[[#This Row],[Date]],'DB Details'!$A:$Q,3)=0,"",VLOOKUP(Table91213[[#This Row],[Date]],'DB Details'!$A:$Q,3))</f>
        <v/>
      </c>
      <c r="D125" s="51">
        <f>IF(VLOOKUP(Table91213[[#This Row],[Date]],'DB Details'!$A:$Q,4)=0,"",VLOOKUP(Table91213[[#This Row],[Date]],'DB Details'!$A:$Q,4))</f>
        <v/>
      </c>
      <c r="E125" s="52">
        <f>IF(VLOOKUP(Table91213[[#This Row],[Date]],'DB Details'!$A:$Q,5)=0,"",VLOOKUP(Table91213[[#This Row],[Date]],'DB Details'!$A:$Q,5))</f>
        <v/>
      </c>
      <c r="F125" s="51">
        <f>IF(VLOOKUP(Table91213[[#This Row],[Date]],'DB Details'!$A:$Q,6)=0,"",VLOOKUP(Table91213[[#This Row],[Date]],'DB Details'!$A:$Q,6))</f>
        <v/>
      </c>
      <c r="G125" s="52">
        <f>IF(VLOOKUP(Table91213[[#This Row],[Date]],'DB Details'!$A:$Q,7)=0,"",VLOOKUP(Table91213[[#This Row],[Date]],'DB Details'!$A:$Q,7))</f>
        <v/>
      </c>
      <c r="H125" s="52">
        <f>IF(VLOOKUP(Table91213[[#This Row],[Date]],'DB Details'!$A:$Q,8)=0,"",VLOOKUP(Table91213[[#This Row],[Date]],'DB Details'!$A:$Q,8))</f>
        <v/>
      </c>
      <c r="I125" s="52">
        <f>IF(VLOOKUP(Table91213[[#This Row],[Date]],'DB Details'!$A:$Q,9)=0,"",VLOOKUP(Table91213[[#This Row],[Date]],'DB Details'!$A:$Q,9))</f>
        <v/>
      </c>
      <c r="J125" s="52">
        <f>IF(VLOOKUP(Table91213[[#This Row],[Date]],'DB Details'!$A:$Q,10)=0,"",VLOOKUP(Table91213[[#This Row],[Date]],'DB Details'!$A:$Q,10))</f>
        <v/>
      </c>
      <c r="K125" s="52">
        <f>IF(VLOOKUP(Table91213[[#This Row],[Date]],'DB Details'!$A:$Q,11)=0,"",VLOOKUP(Table91213[[#This Row],[Date]],'DB Details'!$A:$Q,11))</f>
        <v/>
      </c>
      <c r="L125" s="50">
        <f>IF(VLOOKUP(Table91213[[#This Row],[Date]],'DB Details'!$A:$Q,12)=0,"",VLOOKUP(Table91213[[#This Row],[Date]],'DB Details'!$A:$Q,12))</f>
        <v/>
      </c>
    </row>
    <row r="126">
      <c r="A126" s="53" t="n">
        <v>39264</v>
      </c>
      <c r="B126" s="50">
        <f>IF(VLOOKUP(Table91213[[#This Row],[Date]],'DB Details'!$A:$Q,2)=0,"",VLOOKUP(Table91213[[#This Row],[Date]],'DB Details'!$A:$Q,2))</f>
        <v/>
      </c>
      <c r="C126" s="51">
        <f>IF(VLOOKUP(Table91213[[#This Row],[Date]],'DB Details'!$A:$Q,3)=0,"",VLOOKUP(Table91213[[#This Row],[Date]],'DB Details'!$A:$Q,3))</f>
        <v/>
      </c>
      <c r="D126" s="51">
        <f>IF(VLOOKUP(Table91213[[#This Row],[Date]],'DB Details'!$A:$Q,4)=0,"",VLOOKUP(Table91213[[#This Row],[Date]],'DB Details'!$A:$Q,4))</f>
        <v/>
      </c>
      <c r="E126" s="52">
        <f>IF(VLOOKUP(Table91213[[#This Row],[Date]],'DB Details'!$A:$Q,5)=0,"",VLOOKUP(Table91213[[#This Row],[Date]],'DB Details'!$A:$Q,5))</f>
        <v/>
      </c>
      <c r="F126" s="51">
        <f>IF(VLOOKUP(Table91213[[#This Row],[Date]],'DB Details'!$A:$Q,6)=0,"",VLOOKUP(Table91213[[#This Row],[Date]],'DB Details'!$A:$Q,6))</f>
        <v/>
      </c>
      <c r="G126" s="52">
        <f>IF(VLOOKUP(Table91213[[#This Row],[Date]],'DB Details'!$A:$Q,7)=0,"",VLOOKUP(Table91213[[#This Row],[Date]],'DB Details'!$A:$Q,7))</f>
        <v/>
      </c>
      <c r="H126" s="52">
        <f>IF(VLOOKUP(Table91213[[#This Row],[Date]],'DB Details'!$A:$Q,8)=0,"",VLOOKUP(Table91213[[#This Row],[Date]],'DB Details'!$A:$Q,8))</f>
        <v/>
      </c>
      <c r="I126" s="52">
        <f>IF(VLOOKUP(Table91213[[#This Row],[Date]],'DB Details'!$A:$Q,9)=0,"",VLOOKUP(Table91213[[#This Row],[Date]],'DB Details'!$A:$Q,9))</f>
        <v/>
      </c>
      <c r="J126" s="52">
        <f>IF(VLOOKUP(Table91213[[#This Row],[Date]],'DB Details'!$A:$Q,10)=0,"",VLOOKUP(Table91213[[#This Row],[Date]],'DB Details'!$A:$Q,10))</f>
        <v/>
      </c>
      <c r="K126" s="52">
        <f>IF(VLOOKUP(Table91213[[#This Row],[Date]],'DB Details'!$A:$Q,11)=0,"",VLOOKUP(Table91213[[#This Row],[Date]],'DB Details'!$A:$Q,11))</f>
        <v/>
      </c>
      <c r="L126" s="50">
        <f>IF(VLOOKUP(Table91213[[#This Row],[Date]],'DB Details'!$A:$Q,12)=0,"",VLOOKUP(Table91213[[#This Row],[Date]],'DB Details'!$A:$Q,12))</f>
        <v/>
      </c>
    </row>
    <row r="127">
      <c r="A127" s="53" t="n">
        <v>39295</v>
      </c>
      <c r="B127" s="50">
        <f>IF(VLOOKUP(Table91213[[#This Row],[Date]],'DB Details'!$A:$Q,2)=0,"",VLOOKUP(Table91213[[#This Row],[Date]],'DB Details'!$A:$Q,2))</f>
        <v/>
      </c>
      <c r="C127" s="51">
        <f>IF(VLOOKUP(Table91213[[#This Row],[Date]],'DB Details'!$A:$Q,3)=0,"",VLOOKUP(Table91213[[#This Row],[Date]],'DB Details'!$A:$Q,3))</f>
        <v/>
      </c>
      <c r="D127" s="51">
        <f>IF(VLOOKUP(Table91213[[#This Row],[Date]],'DB Details'!$A:$Q,4)=0,"",VLOOKUP(Table91213[[#This Row],[Date]],'DB Details'!$A:$Q,4))</f>
        <v/>
      </c>
      <c r="E127" s="52">
        <f>IF(VLOOKUP(Table91213[[#This Row],[Date]],'DB Details'!$A:$Q,5)=0,"",VLOOKUP(Table91213[[#This Row],[Date]],'DB Details'!$A:$Q,5))</f>
        <v/>
      </c>
      <c r="F127" s="51">
        <f>IF(VLOOKUP(Table91213[[#This Row],[Date]],'DB Details'!$A:$Q,6)=0,"",VLOOKUP(Table91213[[#This Row],[Date]],'DB Details'!$A:$Q,6))</f>
        <v/>
      </c>
      <c r="G127" s="52">
        <f>IF(VLOOKUP(Table91213[[#This Row],[Date]],'DB Details'!$A:$Q,7)=0,"",VLOOKUP(Table91213[[#This Row],[Date]],'DB Details'!$A:$Q,7))</f>
        <v/>
      </c>
      <c r="H127" s="52">
        <f>IF(VLOOKUP(Table91213[[#This Row],[Date]],'DB Details'!$A:$Q,8)=0,"",VLOOKUP(Table91213[[#This Row],[Date]],'DB Details'!$A:$Q,8))</f>
        <v/>
      </c>
      <c r="I127" s="52">
        <f>IF(VLOOKUP(Table91213[[#This Row],[Date]],'DB Details'!$A:$Q,9)=0,"",VLOOKUP(Table91213[[#This Row],[Date]],'DB Details'!$A:$Q,9))</f>
        <v/>
      </c>
      <c r="J127" s="52">
        <f>IF(VLOOKUP(Table91213[[#This Row],[Date]],'DB Details'!$A:$Q,10)=0,"",VLOOKUP(Table91213[[#This Row],[Date]],'DB Details'!$A:$Q,10))</f>
        <v/>
      </c>
      <c r="K127" s="52">
        <f>IF(VLOOKUP(Table91213[[#This Row],[Date]],'DB Details'!$A:$Q,11)=0,"",VLOOKUP(Table91213[[#This Row],[Date]],'DB Details'!$A:$Q,11))</f>
        <v/>
      </c>
      <c r="L127" s="50">
        <f>IF(VLOOKUP(Table91213[[#This Row],[Date]],'DB Details'!$A:$Q,12)=0,"",VLOOKUP(Table91213[[#This Row],[Date]],'DB Details'!$A:$Q,12))</f>
        <v/>
      </c>
    </row>
    <row r="128">
      <c r="A128" s="53" t="n">
        <v>39326</v>
      </c>
      <c r="B128" s="50">
        <f>IF(VLOOKUP(Table91213[[#This Row],[Date]],'DB Details'!$A:$Q,2)=0,"",VLOOKUP(Table91213[[#This Row],[Date]],'DB Details'!$A:$Q,2))</f>
        <v/>
      </c>
      <c r="C128" s="51">
        <f>IF(VLOOKUP(Table91213[[#This Row],[Date]],'DB Details'!$A:$Q,3)=0,"",VLOOKUP(Table91213[[#This Row],[Date]],'DB Details'!$A:$Q,3))</f>
        <v/>
      </c>
      <c r="D128" s="51">
        <f>IF(VLOOKUP(Table91213[[#This Row],[Date]],'DB Details'!$A:$Q,4)=0,"",VLOOKUP(Table91213[[#This Row],[Date]],'DB Details'!$A:$Q,4))</f>
        <v/>
      </c>
      <c r="E128" s="52">
        <f>IF(VLOOKUP(Table91213[[#This Row],[Date]],'DB Details'!$A:$Q,5)=0,"",VLOOKUP(Table91213[[#This Row],[Date]],'DB Details'!$A:$Q,5))</f>
        <v/>
      </c>
      <c r="F128" s="51">
        <f>IF(VLOOKUP(Table91213[[#This Row],[Date]],'DB Details'!$A:$Q,6)=0,"",VLOOKUP(Table91213[[#This Row],[Date]],'DB Details'!$A:$Q,6))</f>
        <v/>
      </c>
      <c r="G128" s="52">
        <f>IF(VLOOKUP(Table91213[[#This Row],[Date]],'DB Details'!$A:$Q,7)=0,"",VLOOKUP(Table91213[[#This Row],[Date]],'DB Details'!$A:$Q,7))</f>
        <v/>
      </c>
      <c r="H128" s="52">
        <f>IF(VLOOKUP(Table91213[[#This Row],[Date]],'DB Details'!$A:$Q,8)=0,"",VLOOKUP(Table91213[[#This Row],[Date]],'DB Details'!$A:$Q,8))</f>
        <v/>
      </c>
      <c r="I128" s="52">
        <f>IF(VLOOKUP(Table91213[[#This Row],[Date]],'DB Details'!$A:$Q,9)=0,"",VLOOKUP(Table91213[[#This Row],[Date]],'DB Details'!$A:$Q,9))</f>
        <v/>
      </c>
      <c r="J128" s="52">
        <f>IF(VLOOKUP(Table91213[[#This Row],[Date]],'DB Details'!$A:$Q,10)=0,"",VLOOKUP(Table91213[[#This Row],[Date]],'DB Details'!$A:$Q,10))</f>
        <v/>
      </c>
      <c r="K128" s="52">
        <f>IF(VLOOKUP(Table91213[[#This Row],[Date]],'DB Details'!$A:$Q,11)=0,"",VLOOKUP(Table91213[[#This Row],[Date]],'DB Details'!$A:$Q,11))</f>
        <v/>
      </c>
      <c r="L128" s="50">
        <f>IF(VLOOKUP(Table91213[[#This Row],[Date]],'DB Details'!$A:$Q,12)=0,"",VLOOKUP(Table91213[[#This Row],[Date]],'DB Details'!$A:$Q,12))</f>
        <v/>
      </c>
    </row>
    <row r="129">
      <c r="A129" s="53" t="n">
        <v>39356</v>
      </c>
      <c r="B129" s="50">
        <f>IF(VLOOKUP(Table91213[[#This Row],[Date]],'DB Details'!$A:$Q,2)=0,"",VLOOKUP(Table91213[[#This Row],[Date]],'DB Details'!$A:$Q,2))</f>
        <v/>
      </c>
      <c r="C129" s="51">
        <f>IF(VLOOKUP(Table91213[[#This Row],[Date]],'DB Details'!$A:$Q,3)=0,"",VLOOKUP(Table91213[[#This Row],[Date]],'DB Details'!$A:$Q,3))</f>
        <v/>
      </c>
      <c r="D129" s="51">
        <f>IF(VLOOKUP(Table91213[[#This Row],[Date]],'DB Details'!$A:$Q,4)=0,"",VLOOKUP(Table91213[[#This Row],[Date]],'DB Details'!$A:$Q,4))</f>
        <v/>
      </c>
      <c r="E129" s="52">
        <f>IF(VLOOKUP(Table91213[[#This Row],[Date]],'DB Details'!$A:$Q,5)=0,"",VLOOKUP(Table91213[[#This Row],[Date]],'DB Details'!$A:$Q,5))</f>
        <v/>
      </c>
      <c r="F129" s="51">
        <f>IF(VLOOKUP(Table91213[[#This Row],[Date]],'DB Details'!$A:$Q,6)=0,"",VLOOKUP(Table91213[[#This Row],[Date]],'DB Details'!$A:$Q,6))</f>
        <v/>
      </c>
      <c r="G129" s="52">
        <f>IF(VLOOKUP(Table91213[[#This Row],[Date]],'DB Details'!$A:$Q,7)=0,"",VLOOKUP(Table91213[[#This Row],[Date]],'DB Details'!$A:$Q,7))</f>
        <v/>
      </c>
      <c r="H129" s="52">
        <f>IF(VLOOKUP(Table91213[[#This Row],[Date]],'DB Details'!$A:$Q,8)=0,"",VLOOKUP(Table91213[[#This Row],[Date]],'DB Details'!$A:$Q,8))</f>
        <v/>
      </c>
      <c r="I129" s="52">
        <f>IF(VLOOKUP(Table91213[[#This Row],[Date]],'DB Details'!$A:$Q,9)=0,"",VLOOKUP(Table91213[[#This Row],[Date]],'DB Details'!$A:$Q,9))</f>
        <v/>
      </c>
      <c r="J129" s="52">
        <f>IF(VLOOKUP(Table91213[[#This Row],[Date]],'DB Details'!$A:$Q,10)=0,"",VLOOKUP(Table91213[[#This Row],[Date]],'DB Details'!$A:$Q,10))</f>
        <v/>
      </c>
      <c r="K129" s="52">
        <f>IF(VLOOKUP(Table91213[[#This Row],[Date]],'DB Details'!$A:$Q,11)=0,"",VLOOKUP(Table91213[[#This Row],[Date]],'DB Details'!$A:$Q,11))</f>
        <v/>
      </c>
      <c r="L129" s="50">
        <f>IF(VLOOKUP(Table91213[[#This Row],[Date]],'DB Details'!$A:$Q,12)=0,"",VLOOKUP(Table91213[[#This Row],[Date]],'DB Details'!$A:$Q,12))</f>
        <v/>
      </c>
    </row>
    <row r="130">
      <c r="A130" s="53" t="n">
        <v>39387</v>
      </c>
      <c r="B130" s="50">
        <f>IF(VLOOKUP(Table91213[[#This Row],[Date]],'DB Details'!$A:$Q,2)=0,"",VLOOKUP(Table91213[[#This Row],[Date]],'DB Details'!$A:$Q,2))</f>
        <v/>
      </c>
      <c r="C130" s="51">
        <f>IF(VLOOKUP(Table91213[[#This Row],[Date]],'DB Details'!$A:$Q,3)=0,"",VLOOKUP(Table91213[[#This Row],[Date]],'DB Details'!$A:$Q,3))</f>
        <v/>
      </c>
      <c r="D130" s="51">
        <f>IF(VLOOKUP(Table91213[[#This Row],[Date]],'DB Details'!$A:$Q,4)=0,"",VLOOKUP(Table91213[[#This Row],[Date]],'DB Details'!$A:$Q,4))</f>
        <v/>
      </c>
      <c r="E130" s="52">
        <f>IF(VLOOKUP(Table91213[[#This Row],[Date]],'DB Details'!$A:$Q,5)=0,"",VLOOKUP(Table91213[[#This Row],[Date]],'DB Details'!$A:$Q,5))</f>
        <v/>
      </c>
      <c r="F130" s="51">
        <f>IF(VLOOKUP(Table91213[[#This Row],[Date]],'DB Details'!$A:$Q,6)=0,"",VLOOKUP(Table91213[[#This Row],[Date]],'DB Details'!$A:$Q,6))</f>
        <v/>
      </c>
      <c r="G130" s="52">
        <f>IF(VLOOKUP(Table91213[[#This Row],[Date]],'DB Details'!$A:$Q,7)=0,"",VLOOKUP(Table91213[[#This Row],[Date]],'DB Details'!$A:$Q,7))</f>
        <v/>
      </c>
      <c r="H130" s="52">
        <f>IF(VLOOKUP(Table91213[[#This Row],[Date]],'DB Details'!$A:$Q,8)=0,"",VLOOKUP(Table91213[[#This Row],[Date]],'DB Details'!$A:$Q,8))</f>
        <v/>
      </c>
      <c r="I130" s="52">
        <f>IF(VLOOKUP(Table91213[[#This Row],[Date]],'DB Details'!$A:$Q,9)=0,"",VLOOKUP(Table91213[[#This Row],[Date]],'DB Details'!$A:$Q,9))</f>
        <v/>
      </c>
      <c r="J130" s="52">
        <f>IF(VLOOKUP(Table91213[[#This Row],[Date]],'DB Details'!$A:$Q,10)=0,"",VLOOKUP(Table91213[[#This Row],[Date]],'DB Details'!$A:$Q,10))</f>
        <v/>
      </c>
      <c r="K130" s="52">
        <f>IF(VLOOKUP(Table91213[[#This Row],[Date]],'DB Details'!$A:$Q,11)=0,"",VLOOKUP(Table91213[[#This Row],[Date]],'DB Details'!$A:$Q,11))</f>
        <v/>
      </c>
      <c r="L130" s="50">
        <f>IF(VLOOKUP(Table91213[[#This Row],[Date]],'DB Details'!$A:$Q,12)=0,"",VLOOKUP(Table91213[[#This Row],[Date]],'DB Details'!$A:$Q,12))</f>
        <v/>
      </c>
    </row>
    <row r="131">
      <c r="A131" s="53" t="n">
        <v>39417</v>
      </c>
      <c r="B131" s="50">
        <f>IF(VLOOKUP(Table91213[[#This Row],[Date]],'DB Details'!$A:$Q,2)=0,"",VLOOKUP(Table91213[[#This Row],[Date]],'DB Details'!$A:$Q,2))</f>
        <v/>
      </c>
      <c r="C131" s="51">
        <f>IF(VLOOKUP(Table91213[[#This Row],[Date]],'DB Details'!$A:$Q,3)=0,"",VLOOKUP(Table91213[[#This Row],[Date]],'DB Details'!$A:$Q,3))</f>
        <v/>
      </c>
      <c r="D131" s="51">
        <f>IF(VLOOKUP(Table91213[[#This Row],[Date]],'DB Details'!$A:$Q,4)=0,"",VLOOKUP(Table91213[[#This Row],[Date]],'DB Details'!$A:$Q,4))</f>
        <v/>
      </c>
      <c r="E131" s="52">
        <f>IF(VLOOKUP(Table91213[[#This Row],[Date]],'DB Details'!$A:$Q,5)=0,"",VLOOKUP(Table91213[[#This Row],[Date]],'DB Details'!$A:$Q,5))</f>
        <v/>
      </c>
      <c r="F131" s="51">
        <f>IF(VLOOKUP(Table91213[[#This Row],[Date]],'DB Details'!$A:$Q,6)=0,"",VLOOKUP(Table91213[[#This Row],[Date]],'DB Details'!$A:$Q,6))</f>
        <v/>
      </c>
      <c r="G131" s="52">
        <f>IF(VLOOKUP(Table91213[[#This Row],[Date]],'DB Details'!$A:$Q,7)=0,"",VLOOKUP(Table91213[[#This Row],[Date]],'DB Details'!$A:$Q,7))</f>
        <v/>
      </c>
      <c r="H131" s="52">
        <f>IF(VLOOKUP(Table91213[[#This Row],[Date]],'DB Details'!$A:$Q,8)=0,"",VLOOKUP(Table91213[[#This Row],[Date]],'DB Details'!$A:$Q,8))</f>
        <v/>
      </c>
      <c r="I131" s="52">
        <f>IF(VLOOKUP(Table91213[[#This Row],[Date]],'DB Details'!$A:$Q,9)=0,"",VLOOKUP(Table91213[[#This Row],[Date]],'DB Details'!$A:$Q,9))</f>
        <v/>
      </c>
      <c r="J131" s="52">
        <f>IF(VLOOKUP(Table91213[[#This Row],[Date]],'DB Details'!$A:$Q,10)=0,"",VLOOKUP(Table91213[[#This Row],[Date]],'DB Details'!$A:$Q,10))</f>
        <v/>
      </c>
      <c r="K131" s="52">
        <f>IF(VLOOKUP(Table91213[[#This Row],[Date]],'DB Details'!$A:$Q,11)=0,"",VLOOKUP(Table91213[[#This Row],[Date]],'DB Details'!$A:$Q,11))</f>
        <v/>
      </c>
      <c r="L131" s="50">
        <f>IF(VLOOKUP(Table91213[[#This Row],[Date]],'DB Details'!$A:$Q,12)=0,"",VLOOKUP(Table91213[[#This Row],[Date]],'DB Details'!$A:$Q,12))</f>
        <v/>
      </c>
    </row>
    <row r="132">
      <c r="A132" s="53" t="n">
        <v>39448</v>
      </c>
      <c r="B132" s="50">
        <f>IF(VLOOKUP(Table91213[[#This Row],[Date]],'DB Details'!$A:$Q,2)=0,"",VLOOKUP(Table91213[[#This Row],[Date]],'DB Details'!$A:$Q,2))</f>
        <v/>
      </c>
      <c r="C132" s="51">
        <f>IF(VLOOKUP(Table91213[[#This Row],[Date]],'DB Details'!$A:$Q,3)=0,"",VLOOKUP(Table91213[[#This Row],[Date]],'DB Details'!$A:$Q,3))</f>
        <v/>
      </c>
      <c r="D132" s="51">
        <f>IF(VLOOKUP(Table91213[[#This Row],[Date]],'DB Details'!$A:$Q,4)=0,"",VLOOKUP(Table91213[[#This Row],[Date]],'DB Details'!$A:$Q,4))</f>
        <v/>
      </c>
      <c r="E132" s="52">
        <f>IF(VLOOKUP(Table91213[[#This Row],[Date]],'DB Details'!$A:$Q,5)=0,"",VLOOKUP(Table91213[[#This Row],[Date]],'DB Details'!$A:$Q,5))</f>
        <v/>
      </c>
      <c r="F132" s="51">
        <f>IF(VLOOKUP(Table91213[[#This Row],[Date]],'DB Details'!$A:$Q,6)=0,"",VLOOKUP(Table91213[[#This Row],[Date]],'DB Details'!$A:$Q,6))</f>
        <v/>
      </c>
      <c r="G132" s="52">
        <f>IF(VLOOKUP(Table91213[[#This Row],[Date]],'DB Details'!$A:$Q,7)=0,"",VLOOKUP(Table91213[[#This Row],[Date]],'DB Details'!$A:$Q,7))</f>
        <v/>
      </c>
      <c r="H132" s="52">
        <f>IF(VLOOKUP(Table91213[[#This Row],[Date]],'DB Details'!$A:$Q,8)=0,"",VLOOKUP(Table91213[[#This Row],[Date]],'DB Details'!$A:$Q,8))</f>
        <v/>
      </c>
      <c r="I132" s="52">
        <f>IF(VLOOKUP(Table91213[[#This Row],[Date]],'DB Details'!$A:$Q,9)=0,"",VLOOKUP(Table91213[[#This Row],[Date]],'DB Details'!$A:$Q,9))</f>
        <v/>
      </c>
      <c r="J132" s="52">
        <f>IF(VLOOKUP(Table91213[[#This Row],[Date]],'DB Details'!$A:$Q,10)=0,"",VLOOKUP(Table91213[[#This Row],[Date]],'DB Details'!$A:$Q,10))</f>
        <v/>
      </c>
      <c r="K132" s="52">
        <f>IF(VLOOKUP(Table91213[[#This Row],[Date]],'DB Details'!$A:$Q,11)=0,"",VLOOKUP(Table91213[[#This Row],[Date]],'DB Details'!$A:$Q,11))</f>
        <v/>
      </c>
      <c r="L132" s="50">
        <f>IF(VLOOKUP(Table91213[[#This Row],[Date]],'DB Details'!$A:$Q,12)=0,"",VLOOKUP(Table91213[[#This Row],[Date]],'DB Details'!$A:$Q,12))</f>
        <v/>
      </c>
    </row>
    <row r="133">
      <c r="A133" s="53" t="n">
        <v>39479</v>
      </c>
      <c r="B133" s="50">
        <f>IF(VLOOKUP(Table91213[[#This Row],[Date]],'DB Details'!$A:$Q,2)=0,"",VLOOKUP(Table91213[[#This Row],[Date]],'DB Details'!$A:$Q,2))</f>
        <v/>
      </c>
      <c r="C133" s="51">
        <f>IF(VLOOKUP(Table91213[[#This Row],[Date]],'DB Details'!$A:$Q,3)=0,"",VLOOKUP(Table91213[[#This Row],[Date]],'DB Details'!$A:$Q,3))</f>
        <v/>
      </c>
      <c r="D133" s="51">
        <f>IF(VLOOKUP(Table91213[[#This Row],[Date]],'DB Details'!$A:$Q,4)=0,"",VLOOKUP(Table91213[[#This Row],[Date]],'DB Details'!$A:$Q,4))</f>
        <v/>
      </c>
      <c r="E133" s="52">
        <f>IF(VLOOKUP(Table91213[[#This Row],[Date]],'DB Details'!$A:$Q,5)=0,"",VLOOKUP(Table91213[[#This Row],[Date]],'DB Details'!$A:$Q,5))</f>
        <v/>
      </c>
      <c r="F133" s="51">
        <f>IF(VLOOKUP(Table91213[[#This Row],[Date]],'DB Details'!$A:$Q,6)=0,"",VLOOKUP(Table91213[[#This Row],[Date]],'DB Details'!$A:$Q,6))</f>
        <v/>
      </c>
      <c r="G133" s="52">
        <f>IF(VLOOKUP(Table91213[[#This Row],[Date]],'DB Details'!$A:$Q,7)=0,"",VLOOKUP(Table91213[[#This Row],[Date]],'DB Details'!$A:$Q,7))</f>
        <v/>
      </c>
      <c r="H133" s="52">
        <f>IF(VLOOKUP(Table91213[[#This Row],[Date]],'DB Details'!$A:$Q,8)=0,"",VLOOKUP(Table91213[[#This Row],[Date]],'DB Details'!$A:$Q,8))</f>
        <v/>
      </c>
      <c r="I133" s="52">
        <f>IF(VLOOKUP(Table91213[[#This Row],[Date]],'DB Details'!$A:$Q,9)=0,"",VLOOKUP(Table91213[[#This Row],[Date]],'DB Details'!$A:$Q,9))</f>
        <v/>
      </c>
      <c r="J133" s="52">
        <f>IF(VLOOKUP(Table91213[[#This Row],[Date]],'DB Details'!$A:$Q,10)=0,"",VLOOKUP(Table91213[[#This Row],[Date]],'DB Details'!$A:$Q,10))</f>
        <v/>
      </c>
      <c r="K133" s="52">
        <f>IF(VLOOKUP(Table91213[[#This Row],[Date]],'DB Details'!$A:$Q,11)=0,"",VLOOKUP(Table91213[[#This Row],[Date]],'DB Details'!$A:$Q,11))</f>
        <v/>
      </c>
      <c r="L133" s="50">
        <f>IF(VLOOKUP(Table91213[[#This Row],[Date]],'DB Details'!$A:$Q,12)=0,"",VLOOKUP(Table91213[[#This Row],[Date]],'DB Details'!$A:$Q,12))</f>
        <v/>
      </c>
    </row>
    <row r="134">
      <c r="A134" s="53" t="n">
        <v>39508</v>
      </c>
      <c r="B134" s="50">
        <f>IF(VLOOKUP(Table91213[[#This Row],[Date]],'DB Details'!$A:$Q,2)=0,"",VLOOKUP(Table91213[[#This Row],[Date]],'DB Details'!$A:$Q,2))</f>
        <v/>
      </c>
      <c r="C134" s="51">
        <f>IF(VLOOKUP(Table91213[[#This Row],[Date]],'DB Details'!$A:$Q,3)=0,"",VLOOKUP(Table91213[[#This Row],[Date]],'DB Details'!$A:$Q,3))</f>
        <v/>
      </c>
      <c r="D134" s="51">
        <f>IF(VLOOKUP(Table91213[[#This Row],[Date]],'DB Details'!$A:$Q,4)=0,"",VLOOKUP(Table91213[[#This Row],[Date]],'DB Details'!$A:$Q,4))</f>
        <v/>
      </c>
      <c r="E134" s="52">
        <f>IF(VLOOKUP(Table91213[[#This Row],[Date]],'DB Details'!$A:$Q,5)=0,"",VLOOKUP(Table91213[[#This Row],[Date]],'DB Details'!$A:$Q,5))</f>
        <v/>
      </c>
      <c r="F134" s="51">
        <f>IF(VLOOKUP(Table91213[[#This Row],[Date]],'DB Details'!$A:$Q,6)=0,"",VLOOKUP(Table91213[[#This Row],[Date]],'DB Details'!$A:$Q,6))</f>
        <v/>
      </c>
      <c r="G134" s="52">
        <f>IF(VLOOKUP(Table91213[[#This Row],[Date]],'DB Details'!$A:$Q,7)=0,"",VLOOKUP(Table91213[[#This Row],[Date]],'DB Details'!$A:$Q,7))</f>
        <v/>
      </c>
      <c r="H134" s="52">
        <f>IF(VLOOKUP(Table91213[[#This Row],[Date]],'DB Details'!$A:$Q,8)=0,"",VLOOKUP(Table91213[[#This Row],[Date]],'DB Details'!$A:$Q,8))</f>
        <v/>
      </c>
      <c r="I134" s="52">
        <f>IF(VLOOKUP(Table91213[[#This Row],[Date]],'DB Details'!$A:$Q,9)=0,"",VLOOKUP(Table91213[[#This Row],[Date]],'DB Details'!$A:$Q,9))</f>
        <v/>
      </c>
      <c r="J134" s="52">
        <f>IF(VLOOKUP(Table91213[[#This Row],[Date]],'DB Details'!$A:$Q,10)=0,"",VLOOKUP(Table91213[[#This Row],[Date]],'DB Details'!$A:$Q,10))</f>
        <v/>
      </c>
      <c r="K134" s="52">
        <f>IF(VLOOKUP(Table91213[[#This Row],[Date]],'DB Details'!$A:$Q,11)=0,"",VLOOKUP(Table91213[[#This Row],[Date]],'DB Details'!$A:$Q,11))</f>
        <v/>
      </c>
      <c r="L134" s="50">
        <f>IF(VLOOKUP(Table91213[[#This Row],[Date]],'DB Details'!$A:$Q,12)=0,"",VLOOKUP(Table91213[[#This Row],[Date]],'DB Details'!$A:$Q,12))</f>
        <v/>
      </c>
    </row>
    <row r="135">
      <c r="A135" s="53" t="n">
        <v>39539</v>
      </c>
      <c r="B135" s="50">
        <f>IF(VLOOKUP(Table91213[[#This Row],[Date]],'DB Details'!$A:$Q,2)=0,"",VLOOKUP(Table91213[[#This Row],[Date]],'DB Details'!$A:$Q,2))</f>
        <v/>
      </c>
      <c r="C135" s="51">
        <f>IF(VLOOKUP(Table91213[[#This Row],[Date]],'DB Details'!$A:$Q,3)=0,"",VLOOKUP(Table91213[[#This Row],[Date]],'DB Details'!$A:$Q,3))</f>
        <v/>
      </c>
      <c r="D135" s="51">
        <f>IF(VLOOKUP(Table91213[[#This Row],[Date]],'DB Details'!$A:$Q,4)=0,"",VLOOKUP(Table91213[[#This Row],[Date]],'DB Details'!$A:$Q,4))</f>
        <v/>
      </c>
      <c r="E135" s="52">
        <f>IF(VLOOKUP(Table91213[[#This Row],[Date]],'DB Details'!$A:$Q,5)=0,"",VLOOKUP(Table91213[[#This Row],[Date]],'DB Details'!$A:$Q,5))</f>
        <v/>
      </c>
      <c r="F135" s="51">
        <f>IF(VLOOKUP(Table91213[[#This Row],[Date]],'DB Details'!$A:$Q,6)=0,"",VLOOKUP(Table91213[[#This Row],[Date]],'DB Details'!$A:$Q,6))</f>
        <v/>
      </c>
      <c r="G135" s="52">
        <f>IF(VLOOKUP(Table91213[[#This Row],[Date]],'DB Details'!$A:$Q,7)=0,"",VLOOKUP(Table91213[[#This Row],[Date]],'DB Details'!$A:$Q,7))</f>
        <v/>
      </c>
      <c r="H135" s="52">
        <f>IF(VLOOKUP(Table91213[[#This Row],[Date]],'DB Details'!$A:$Q,8)=0,"",VLOOKUP(Table91213[[#This Row],[Date]],'DB Details'!$A:$Q,8))</f>
        <v/>
      </c>
      <c r="I135" s="52">
        <f>IF(VLOOKUP(Table91213[[#This Row],[Date]],'DB Details'!$A:$Q,9)=0,"",VLOOKUP(Table91213[[#This Row],[Date]],'DB Details'!$A:$Q,9))</f>
        <v/>
      </c>
      <c r="J135" s="52">
        <f>IF(VLOOKUP(Table91213[[#This Row],[Date]],'DB Details'!$A:$Q,10)=0,"",VLOOKUP(Table91213[[#This Row],[Date]],'DB Details'!$A:$Q,10))</f>
        <v/>
      </c>
      <c r="K135" s="52">
        <f>IF(VLOOKUP(Table91213[[#This Row],[Date]],'DB Details'!$A:$Q,11)=0,"",VLOOKUP(Table91213[[#This Row],[Date]],'DB Details'!$A:$Q,11))</f>
        <v/>
      </c>
      <c r="L135" s="50">
        <f>IF(VLOOKUP(Table91213[[#This Row],[Date]],'DB Details'!$A:$Q,12)=0,"",VLOOKUP(Table91213[[#This Row],[Date]],'DB Details'!$A:$Q,12))</f>
        <v/>
      </c>
    </row>
    <row r="136">
      <c r="A136" s="53" t="n">
        <v>39569</v>
      </c>
      <c r="B136" s="50">
        <f>IF(VLOOKUP(Table91213[[#This Row],[Date]],'DB Details'!$A:$Q,2)=0,"",VLOOKUP(Table91213[[#This Row],[Date]],'DB Details'!$A:$Q,2))</f>
        <v/>
      </c>
      <c r="C136" s="51">
        <f>IF(VLOOKUP(Table91213[[#This Row],[Date]],'DB Details'!$A:$Q,3)=0,"",VLOOKUP(Table91213[[#This Row],[Date]],'DB Details'!$A:$Q,3))</f>
        <v/>
      </c>
      <c r="D136" s="51">
        <f>IF(VLOOKUP(Table91213[[#This Row],[Date]],'DB Details'!$A:$Q,4)=0,"",VLOOKUP(Table91213[[#This Row],[Date]],'DB Details'!$A:$Q,4))</f>
        <v/>
      </c>
      <c r="E136" s="52">
        <f>IF(VLOOKUP(Table91213[[#This Row],[Date]],'DB Details'!$A:$Q,5)=0,"",VLOOKUP(Table91213[[#This Row],[Date]],'DB Details'!$A:$Q,5))</f>
        <v/>
      </c>
      <c r="F136" s="51">
        <f>IF(VLOOKUP(Table91213[[#This Row],[Date]],'DB Details'!$A:$Q,6)=0,"",VLOOKUP(Table91213[[#This Row],[Date]],'DB Details'!$A:$Q,6))</f>
        <v/>
      </c>
      <c r="G136" s="52">
        <f>IF(VLOOKUP(Table91213[[#This Row],[Date]],'DB Details'!$A:$Q,7)=0,"",VLOOKUP(Table91213[[#This Row],[Date]],'DB Details'!$A:$Q,7))</f>
        <v/>
      </c>
      <c r="H136" s="52">
        <f>IF(VLOOKUP(Table91213[[#This Row],[Date]],'DB Details'!$A:$Q,8)=0,"",VLOOKUP(Table91213[[#This Row],[Date]],'DB Details'!$A:$Q,8))</f>
        <v/>
      </c>
      <c r="I136" s="52">
        <f>IF(VLOOKUP(Table91213[[#This Row],[Date]],'DB Details'!$A:$Q,9)=0,"",VLOOKUP(Table91213[[#This Row],[Date]],'DB Details'!$A:$Q,9))</f>
        <v/>
      </c>
      <c r="J136" s="52">
        <f>IF(VLOOKUP(Table91213[[#This Row],[Date]],'DB Details'!$A:$Q,10)=0,"",VLOOKUP(Table91213[[#This Row],[Date]],'DB Details'!$A:$Q,10))</f>
        <v/>
      </c>
      <c r="K136" s="52">
        <f>IF(VLOOKUP(Table91213[[#This Row],[Date]],'DB Details'!$A:$Q,11)=0,"",VLOOKUP(Table91213[[#This Row],[Date]],'DB Details'!$A:$Q,11))</f>
        <v/>
      </c>
      <c r="L136" s="50">
        <f>IF(VLOOKUP(Table91213[[#This Row],[Date]],'DB Details'!$A:$Q,12)=0,"",VLOOKUP(Table91213[[#This Row],[Date]],'DB Details'!$A:$Q,12))</f>
        <v/>
      </c>
    </row>
    <row r="137">
      <c r="A137" s="53" t="n">
        <v>39600</v>
      </c>
      <c r="B137" s="50">
        <f>IF(VLOOKUP(Table91213[[#This Row],[Date]],'DB Details'!$A:$Q,2)=0,"",VLOOKUP(Table91213[[#This Row],[Date]],'DB Details'!$A:$Q,2))</f>
        <v/>
      </c>
      <c r="C137" s="51">
        <f>IF(VLOOKUP(Table91213[[#This Row],[Date]],'DB Details'!$A:$Q,3)=0,"",VLOOKUP(Table91213[[#This Row],[Date]],'DB Details'!$A:$Q,3))</f>
        <v/>
      </c>
      <c r="D137" s="51">
        <f>IF(VLOOKUP(Table91213[[#This Row],[Date]],'DB Details'!$A:$Q,4)=0,"",VLOOKUP(Table91213[[#This Row],[Date]],'DB Details'!$A:$Q,4))</f>
        <v/>
      </c>
      <c r="E137" s="52">
        <f>IF(VLOOKUP(Table91213[[#This Row],[Date]],'DB Details'!$A:$Q,5)=0,"",VLOOKUP(Table91213[[#This Row],[Date]],'DB Details'!$A:$Q,5))</f>
        <v/>
      </c>
      <c r="F137" s="51">
        <f>IF(VLOOKUP(Table91213[[#This Row],[Date]],'DB Details'!$A:$Q,6)=0,"",VLOOKUP(Table91213[[#This Row],[Date]],'DB Details'!$A:$Q,6))</f>
        <v/>
      </c>
      <c r="G137" s="52">
        <f>IF(VLOOKUP(Table91213[[#This Row],[Date]],'DB Details'!$A:$Q,7)=0,"",VLOOKUP(Table91213[[#This Row],[Date]],'DB Details'!$A:$Q,7))</f>
        <v/>
      </c>
      <c r="H137" s="52">
        <f>IF(VLOOKUP(Table91213[[#This Row],[Date]],'DB Details'!$A:$Q,8)=0,"",VLOOKUP(Table91213[[#This Row],[Date]],'DB Details'!$A:$Q,8))</f>
        <v/>
      </c>
      <c r="I137" s="52">
        <f>IF(VLOOKUP(Table91213[[#This Row],[Date]],'DB Details'!$A:$Q,9)=0,"",VLOOKUP(Table91213[[#This Row],[Date]],'DB Details'!$A:$Q,9))</f>
        <v/>
      </c>
      <c r="J137" s="52">
        <f>IF(VLOOKUP(Table91213[[#This Row],[Date]],'DB Details'!$A:$Q,10)=0,"",VLOOKUP(Table91213[[#This Row],[Date]],'DB Details'!$A:$Q,10))</f>
        <v/>
      </c>
      <c r="K137" s="52">
        <f>IF(VLOOKUP(Table91213[[#This Row],[Date]],'DB Details'!$A:$Q,11)=0,"",VLOOKUP(Table91213[[#This Row],[Date]],'DB Details'!$A:$Q,11))</f>
        <v/>
      </c>
      <c r="L137" s="50">
        <f>IF(VLOOKUP(Table91213[[#This Row],[Date]],'DB Details'!$A:$Q,12)=0,"",VLOOKUP(Table91213[[#This Row],[Date]],'DB Details'!$A:$Q,12))</f>
        <v/>
      </c>
    </row>
    <row r="138">
      <c r="A138" s="53" t="n">
        <v>39630</v>
      </c>
      <c r="B138" s="50">
        <f>IF(VLOOKUP(Table91213[[#This Row],[Date]],'DB Details'!$A:$Q,2)=0,"",VLOOKUP(Table91213[[#This Row],[Date]],'DB Details'!$A:$Q,2))</f>
        <v/>
      </c>
      <c r="C138" s="51">
        <f>IF(VLOOKUP(Table91213[[#This Row],[Date]],'DB Details'!$A:$Q,3)=0,"",VLOOKUP(Table91213[[#This Row],[Date]],'DB Details'!$A:$Q,3))</f>
        <v/>
      </c>
      <c r="D138" s="51">
        <f>IF(VLOOKUP(Table91213[[#This Row],[Date]],'DB Details'!$A:$Q,4)=0,"",VLOOKUP(Table91213[[#This Row],[Date]],'DB Details'!$A:$Q,4))</f>
        <v/>
      </c>
      <c r="E138" s="52">
        <f>IF(VLOOKUP(Table91213[[#This Row],[Date]],'DB Details'!$A:$Q,5)=0,"",VLOOKUP(Table91213[[#This Row],[Date]],'DB Details'!$A:$Q,5))</f>
        <v/>
      </c>
      <c r="F138" s="51">
        <f>IF(VLOOKUP(Table91213[[#This Row],[Date]],'DB Details'!$A:$Q,6)=0,"",VLOOKUP(Table91213[[#This Row],[Date]],'DB Details'!$A:$Q,6))</f>
        <v/>
      </c>
      <c r="G138" s="52">
        <f>IF(VLOOKUP(Table91213[[#This Row],[Date]],'DB Details'!$A:$Q,7)=0,"",VLOOKUP(Table91213[[#This Row],[Date]],'DB Details'!$A:$Q,7))</f>
        <v/>
      </c>
      <c r="H138" s="52">
        <f>IF(VLOOKUP(Table91213[[#This Row],[Date]],'DB Details'!$A:$Q,8)=0,"",VLOOKUP(Table91213[[#This Row],[Date]],'DB Details'!$A:$Q,8))</f>
        <v/>
      </c>
      <c r="I138" s="52">
        <f>IF(VLOOKUP(Table91213[[#This Row],[Date]],'DB Details'!$A:$Q,9)=0,"",VLOOKUP(Table91213[[#This Row],[Date]],'DB Details'!$A:$Q,9))</f>
        <v/>
      </c>
      <c r="J138" s="52">
        <f>IF(VLOOKUP(Table91213[[#This Row],[Date]],'DB Details'!$A:$Q,10)=0,"",VLOOKUP(Table91213[[#This Row],[Date]],'DB Details'!$A:$Q,10))</f>
        <v/>
      </c>
      <c r="K138" s="52">
        <f>IF(VLOOKUP(Table91213[[#This Row],[Date]],'DB Details'!$A:$Q,11)=0,"",VLOOKUP(Table91213[[#This Row],[Date]],'DB Details'!$A:$Q,11))</f>
        <v/>
      </c>
      <c r="L138" s="50">
        <f>IF(VLOOKUP(Table91213[[#This Row],[Date]],'DB Details'!$A:$Q,12)=0,"",VLOOKUP(Table91213[[#This Row],[Date]],'DB Details'!$A:$Q,12))</f>
        <v/>
      </c>
    </row>
    <row r="139">
      <c r="A139" s="53" t="n">
        <v>39661</v>
      </c>
      <c r="B139" s="50">
        <f>IF(VLOOKUP(Table91213[[#This Row],[Date]],'DB Details'!$A:$Q,2)=0,"",VLOOKUP(Table91213[[#This Row],[Date]],'DB Details'!$A:$Q,2))</f>
        <v/>
      </c>
      <c r="C139" s="51">
        <f>IF(VLOOKUP(Table91213[[#This Row],[Date]],'DB Details'!$A:$Q,3)=0,"",VLOOKUP(Table91213[[#This Row],[Date]],'DB Details'!$A:$Q,3))</f>
        <v/>
      </c>
      <c r="D139" s="51">
        <f>IF(VLOOKUP(Table91213[[#This Row],[Date]],'DB Details'!$A:$Q,4)=0,"",VLOOKUP(Table91213[[#This Row],[Date]],'DB Details'!$A:$Q,4))</f>
        <v/>
      </c>
      <c r="E139" s="52">
        <f>IF(VLOOKUP(Table91213[[#This Row],[Date]],'DB Details'!$A:$Q,5)=0,"",VLOOKUP(Table91213[[#This Row],[Date]],'DB Details'!$A:$Q,5))</f>
        <v/>
      </c>
      <c r="F139" s="51">
        <f>IF(VLOOKUP(Table91213[[#This Row],[Date]],'DB Details'!$A:$Q,6)=0,"",VLOOKUP(Table91213[[#This Row],[Date]],'DB Details'!$A:$Q,6))</f>
        <v/>
      </c>
      <c r="G139" s="52">
        <f>IF(VLOOKUP(Table91213[[#This Row],[Date]],'DB Details'!$A:$Q,7)=0,"",VLOOKUP(Table91213[[#This Row],[Date]],'DB Details'!$A:$Q,7))</f>
        <v/>
      </c>
      <c r="H139" s="52">
        <f>IF(VLOOKUP(Table91213[[#This Row],[Date]],'DB Details'!$A:$Q,8)=0,"",VLOOKUP(Table91213[[#This Row],[Date]],'DB Details'!$A:$Q,8))</f>
        <v/>
      </c>
      <c r="I139" s="52">
        <f>IF(VLOOKUP(Table91213[[#This Row],[Date]],'DB Details'!$A:$Q,9)=0,"",VLOOKUP(Table91213[[#This Row],[Date]],'DB Details'!$A:$Q,9))</f>
        <v/>
      </c>
      <c r="J139" s="52">
        <f>IF(VLOOKUP(Table91213[[#This Row],[Date]],'DB Details'!$A:$Q,10)=0,"",VLOOKUP(Table91213[[#This Row],[Date]],'DB Details'!$A:$Q,10))</f>
        <v/>
      </c>
      <c r="K139" s="52">
        <f>IF(VLOOKUP(Table91213[[#This Row],[Date]],'DB Details'!$A:$Q,11)=0,"",VLOOKUP(Table91213[[#This Row],[Date]],'DB Details'!$A:$Q,11))</f>
        <v/>
      </c>
      <c r="L139" s="50">
        <f>IF(VLOOKUP(Table91213[[#This Row],[Date]],'DB Details'!$A:$Q,12)=0,"",VLOOKUP(Table91213[[#This Row],[Date]],'DB Details'!$A:$Q,12))</f>
        <v/>
      </c>
    </row>
    <row r="140">
      <c r="A140" s="53" t="n">
        <v>39692</v>
      </c>
      <c r="B140" s="50">
        <f>IF(VLOOKUP(Table91213[[#This Row],[Date]],'DB Details'!$A:$Q,2)=0,"",VLOOKUP(Table91213[[#This Row],[Date]],'DB Details'!$A:$Q,2))</f>
        <v/>
      </c>
      <c r="C140" s="51">
        <f>IF(VLOOKUP(Table91213[[#This Row],[Date]],'DB Details'!$A:$Q,3)=0,"",VLOOKUP(Table91213[[#This Row],[Date]],'DB Details'!$A:$Q,3))</f>
        <v/>
      </c>
      <c r="D140" s="51">
        <f>IF(VLOOKUP(Table91213[[#This Row],[Date]],'DB Details'!$A:$Q,4)=0,"",VLOOKUP(Table91213[[#This Row],[Date]],'DB Details'!$A:$Q,4))</f>
        <v/>
      </c>
      <c r="E140" s="52">
        <f>IF(VLOOKUP(Table91213[[#This Row],[Date]],'DB Details'!$A:$Q,5)=0,"",VLOOKUP(Table91213[[#This Row],[Date]],'DB Details'!$A:$Q,5))</f>
        <v/>
      </c>
      <c r="F140" s="51">
        <f>IF(VLOOKUP(Table91213[[#This Row],[Date]],'DB Details'!$A:$Q,6)=0,"",VLOOKUP(Table91213[[#This Row],[Date]],'DB Details'!$A:$Q,6))</f>
        <v/>
      </c>
      <c r="G140" s="52">
        <f>IF(VLOOKUP(Table91213[[#This Row],[Date]],'DB Details'!$A:$Q,7)=0,"",VLOOKUP(Table91213[[#This Row],[Date]],'DB Details'!$A:$Q,7))</f>
        <v/>
      </c>
      <c r="H140" s="52">
        <f>IF(VLOOKUP(Table91213[[#This Row],[Date]],'DB Details'!$A:$Q,8)=0,"",VLOOKUP(Table91213[[#This Row],[Date]],'DB Details'!$A:$Q,8))</f>
        <v/>
      </c>
      <c r="I140" s="52">
        <f>IF(VLOOKUP(Table91213[[#This Row],[Date]],'DB Details'!$A:$Q,9)=0,"",VLOOKUP(Table91213[[#This Row],[Date]],'DB Details'!$A:$Q,9))</f>
        <v/>
      </c>
      <c r="J140" s="52">
        <f>IF(VLOOKUP(Table91213[[#This Row],[Date]],'DB Details'!$A:$Q,10)=0,"",VLOOKUP(Table91213[[#This Row],[Date]],'DB Details'!$A:$Q,10))</f>
        <v/>
      </c>
      <c r="K140" s="52">
        <f>IF(VLOOKUP(Table91213[[#This Row],[Date]],'DB Details'!$A:$Q,11)=0,"",VLOOKUP(Table91213[[#This Row],[Date]],'DB Details'!$A:$Q,11))</f>
        <v/>
      </c>
      <c r="L140" s="50">
        <f>IF(VLOOKUP(Table91213[[#This Row],[Date]],'DB Details'!$A:$Q,12)=0,"",VLOOKUP(Table91213[[#This Row],[Date]],'DB Details'!$A:$Q,12))</f>
        <v/>
      </c>
    </row>
    <row r="141">
      <c r="A141" s="53" t="n">
        <v>39722</v>
      </c>
      <c r="B141" s="50">
        <f>IF(VLOOKUP(Table91213[[#This Row],[Date]],'DB Details'!$A:$Q,2)=0,"",VLOOKUP(Table91213[[#This Row],[Date]],'DB Details'!$A:$Q,2))</f>
        <v/>
      </c>
      <c r="C141" s="51">
        <f>IF(VLOOKUP(Table91213[[#This Row],[Date]],'DB Details'!$A:$Q,3)=0,"",VLOOKUP(Table91213[[#This Row],[Date]],'DB Details'!$A:$Q,3))</f>
        <v/>
      </c>
      <c r="D141" s="51">
        <f>IF(VLOOKUP(Table91213[[#This Row],[Date]],'DB Details'!$A:$Q,4)=0,"",VLOOKUP(Table91213[[#This Row],[Date]],'DB Details'!$A:$Q,4))</f>
        <v/>
      </c>
      <c r="E141" s="52">
        <f>IF(VLOOKUP(Table91213[[#This Row],[Date]],'DB Details'!$A:$Q,5)=0,"",VLOOKUP(Table91213[[#This Row],[Date]],'DB Details'!$A:$Q,5))</f>
        <v/>
      </c>
      <c r="F141" s="51">
        <f>IF(VLOOKUP(Table91213[[#This Row],[Date]],'DB Details'!$A:$Q,6)=0,"",VLOOKUP(Table91213[[#This Row],[Date]],'DB Details'!$A:$Q,6))</f>
        <v/>
      </c>
      <c r="G141" s="52">
        <f>IF(VLOOKUP(Table91213[[#This Row],[Date]],'DB Details'!$A:$Q,7)=0,"",VLOOKUP(Table91213[[#This Row],[Date]],'DB Details'!$A:$Q,7))</f>
        <v/>
      </c>
      <c r="H141" s="52">
        <f>IF(VLOOKUP(Table91213[[#This Row],[Date]],'DB Details'!$A:$Q,8)=0,"",VLOOKUP(Table91213[[#This Row],[Date]],'DB Details'!$A:$Q,8))</f>
        <v/>
      </c>
      <c r="I141" s="52">
        <f>IF(VLOOKUP(Table91213[[#This Row],[Date]],'DB Details'!$A:$Q,9)=0,"",VLOOKUP(Table91213[[#This Row],[Date]],'DB Details'!$A:$Q,9))</f>
        <v/>
      </c>
      <c r="J141" s="52">
        <f>IF(VLOOKUP(Table91213[[#This Row],[Date]],'DB Details'!$A:$Q,10)=0,"",VLOOKUP(Table91213[[#This Row],[Date]],'DB Details'!$A:$Q,10))</f>
        <v/>
      </c>
      <c r="K141" s="52">
        <f>IF(VLOOKUP(Table91213[[#This Row],[Date]],'DB Details'!$A:$Q,11)=0,"",VLOOKUP(Table91213[[#This Row],[Date]],'DB Details'!$A:$Q,11))</f>
        <v/>
      </c>
      <c r="L141" s="50">
        <f>IF(VLOOKUP(Table91213[[#This Row],[Date]],'DB Details'!$A:$Q,12)=0,"",VLOOKUP(Table91213[[#This Row],[Date]],'DB Details'!$A:$Q,12))</f>
        <v/>
      </c>
    </row>
    <row r="142">
      <c r="A142" s="53" t="n">
        <v>39753</v>
      </c>
      <c r="B142" s="50">
        <f>IF(VLOOKUP(Table91213[[#This Row],[Date]],'DB Details'!$A:$Q,2)=0,"",VLOOKUP(Table91213[[#This Row],[Date]],'DB Details'!$A:$Q,2))</f>
        <v/>
      </c>
      <c r="C142" s="51">
        <f>IF(VLOOKUP(Table91213[[#This Row],[Date]],'DB Details'!$A:$Q,3)=0,"",VLOOKUP(Table91213[[#This Row],[Date]],'DB Details'!$A:$Q,3))</f>
        <v/>
      </c>
      <c r="D142" s="51">
        <f>IF(VLOOKUP(Table91213[[#This Row],[Date]],'DB Details'!$A:$Q,4)=0,"",VLOOKUP(Table91213[[#This Row],[Date]],'DB Details'!$A:$Q,4))</f>
        <v/>
      </c>
      <c r="E142" s="52">
        <f>IF(VLOOKUP(Table91213[[#This Row],[Date]],'DB Details'!$A:$Q,5)=0,"",VLOOKUP(Table91213[[#This Row],[Date]],'DB Details'!$A:$Q,5))</f>
        <v/>
      </c>
      <c r="F142" s="51">
        <f>IF(VLOOKUP(Table91213[[#This Row],[Date]],'DB Details'!$A:$Q,6)=0,"",VLOOKUP(Table91213[[#This Row],[Date]],'DB Details'!$A:$Q,6))</f>
        <v/>
      </c>
      <c r="G142" s="52">
        <f>IF(VLOOKUP(Table91213[[#This Row],[Date]],'DB Details'!$A:$Q,7)=0,"",VLOOKUP(Table91213[[#This Row],[Date]],'DB Details'!$A:$Q,7))</f>
        <v/>
      </c>
      <c r="H142" s="52">
        <f>IF(VLOOKUP(Table91213[[#This Row],[Date]],'DB Details'!$A:$Q,8)=0,"",VLOOKUP(Table91213[[#This Row],[Date]],'DB Details'!$A:$Q,8))</f>
        <v/>
      </c>
      <c r="I142" s="52">
        <f>IF(VLOOKUP(Table91213[[#This Row],[Date]],'DB Details'!$A:$Q,9)=0,"",VLOOKUP(Table91213[[#This Row],[Date]],'DB Details'!$A:$Q,9))</f>
        <v/>
      </c>
      <c r="J142" s="52">
        <f>IF(VLOOKUP(Table91213[[#This Row],[Date]],'DB Details'!$A:$Q,10)=0,"",VLOOKUP(Table91213[[#This Row],[Date]],'DB Details'!$A:$Q,10))</f>
        <v/>
      </c>
      <c r="K142" s="52">
        <f>IF(VLOOKUP(Table91213[[#This Row],[Date]],'DB Details'!$A:$Q,11)=0,"",VLOOKUP(Table91213[[#This Row],[Date]],'DB Details'!$A:$Q,11))</f>
        <v/>
      </c>
      <c r="L142" s="50">
        <f>IF(VLOOKUP(Table91213[[#This Row],[Date]],'DB Details'!$A:$Q,12)=0,"",VLOOKUP(Table91213[[#This Row],[Date]],'DB Details'!$A:$Q,12))</f>
        <v/>
      </c>
    </row>
    <row r="143">
      <c r="A143" s="53" t="n">
        <v>39783</v>
      </c>
      <c r="B143" s="50">
        <f>IF(VLOOKUP(Table91213[[#This Row],[Date]],'DB Details'!$A:$Q,2)=0,"",VLOOKUP(Table91213[[#This Row],[Date]],'DB Details'!$A:$Q,2))</f>
        <v/>
      </c>
      <c r="C143" s="51">
        <f>IF(VLOOKUP(Table91213[[#This Row],[Date]],'DB Details'!$A:$Q,3)=0,"",VLOOKUP(Table91213[[#This Row],[Date]],'DB Details'!$A:$Q,3))</f>
        <v/>
      </c>
      <c r="D143" s="51">
        <f>IF(VLOOKUP(Table91213[[#This Row],[Date]],'DB Details'!$A:$Q,4)=0,"",VLOOKUP(Table91213[[#This Row],[Date]],'DB Details'!$A:$Q,4))</f>
        <v/>
      </c>
      <c r="E143" s="52">
        <f>IF(VLOOKUP(Table91213[[#This Row],[Date]],'DB Details'!$A:$Q,5)=0,"",VLOOKUP(Table91213[[#This Row],[Date]],'DB Details'!$A:$Q,5))</f>
        <v/>
      </c>
      <c r="F143" s="51">
        <f>IF(VLOOKUP(Table91213[[#This Row],[Date]],'DB Details'!$A:$Q,6)=0,"",VLOOKUP(Table91213[[#This Row],[Date]],'DB Details'!$A:$Q,6))</f>
        <v/>
      </c>
      <c r="G143" s="52">
        <f>IF(VLOOKUP(Table91213[[#This Row],[Date]],'DB Details'!$A:$Q,7)=0,"",VLOOKUP(Table91213[[#This Row],[Date]],'DB Details'!$A:$Q,7))</f>
        <v/>
      </c>
      <c r="H143" s="52">
        <f>IF(VLOOKUP(Table91213[[#This Row],[Date]],'DB Details'!$A:$Q,8)=0,"",VLOOKUP(Table91213[[#This Row],[Date]],'DB Details'!$A:$Q,8))</f>
        <v/>
      </c>
      <c r="I143" s="52">
        <f>IF(VLOOKUP(Table91213[[#This Row],[Date]],'DB Details'!$A:$Q,9)=0,"",VLOOKUP(Table91213[[#This Row],[Date]],'DB Details'!$A:$Q,9))</f>
        <v/>
      </c>
      <c r="J143" s="52">
        <f>IF(VLOOKUP(Table91213[[#This Row],[Date]],'DB Details'!$A:$Q,10)=0,"",VLOOKUP(Table91213[[#This Row],[Date]],'DB Details'!$A:$Q,10))</f>
        <v/>
      </c>
      <c r="K143" s="52">
        <f>IF(VLOOKUP(Table91213[[#This Row],[Date]],'DB Details'!$A:$Q,11)=0,"",VLOOKUP(Table91213[[#This Row],[Date]],'DB Details'!$A:$Q,11))</f>
        <v/>
      </c>
      <c r="L143" s="50">
        <f>IF(VLOOKUP(Table91213[[#This Row],[Date]],'DB Details'!$A:$Q,12)=0,"",VLOOKUP(Table91213[[#This Row],[Date]],'DB Details'!$A:$Q,12))</f>
        <v/>
      </c>
    </row>
    <row r="144">
      <c r="A144" s="53" t="n">
        <v>39814</v>
      </c>
      <c r="B144" s="50">
        <f>IF(VLOOKUP(Table91213[[#This Row],[Date]],'DB Details'!$A:$Q,2)=0,"",VLOOKUP(Table91213[[#This Row],[Date]],'DB Details'!$A:$Q,2))</f>
        <v/>
      </c>
      <c r="C144" s="51">
        <f>IF(VLOOKUP(Table91213[[#This Row],[Date]],'DB Details'!$A:$Q,3)=0,"",VLOOKUP(Table91213[[#This Row],[Date]],'DB Details'!$A:$Q,3))</f>
        <v/>
      </c>
      <c r="D144" s="51">
        <f>IF(VLOOKUP(Table91213[[#This Row],[Date]],'DB Details'!$A:$Q,4)=0,"",VLOOKUP(Table91213[[#This Row],[Date]],'DB Details'!$A:$Q,4))</f>
        <v/>
      </c>
      <c r="E144" s="52">
        <f>IF(VLOOKUP(Table91213[[#This Row],[Date]],'DB Details'!$A:$Q,5)=0,"",VLOOKUP(Table91213[[#This Row],[Date]],'DB Details'!$A:$Q,5))</f>
        <v/>
      </c>
      <c r="F144" s="51">
        <f>IF(VLOOKUP(Table91213[[#This Row],[Date]],'DB Details'!$A:$Q,6)=0,"",VLOOKUP(Table91213[[#This Row],[Date]],'DB Details'!$A:$Q,6))</f>
        <v/>
      </c>
      <c r="G144" s="52">
        <f>IF(VLOOKUP(Table91213[[#This Row],[Date]],'DB Details'!$A:$Q,7)=0,"",VLOOKUP(Table91213[[#This Row],[Date]],'DB Details'!$A:$Q,7))</f>
        <v/>
      </c>
      <c r="H144" s="52">
        <f>IF(VLOOKUP(Table91213[[#This Row],[Date]],'DB Details'!$A:$Q,8)=0,"",VLOOKUP(Table91213[[#This Row],[Date]],'DB Details'!$A:$Q,8))</f>
        <v/>
      </c>
      <c r="I144" s="52">
        <f>IF(VLOOKUP(Table91213[[#This Row],[Date]],'DB Details'!$A:$Q,9)=0,"",VLOOKUP(Table91213[[#This Row],[Date]],'DB Details'!$A:$Q,9))</f>
        <v/>
      </c>
      <c r="J144" s="52">
        <f>IF(VLOOKUP(Table91213[[#This Row],[Date]],'DB Details'!$A:$Q,10)=0,"",VLOOKUP(Table91213[[#This Row],[Date]],'DB Details'!$A:$Q,10))</f>
        <v/>
      </c>
      <c r="K144" s="52">
        <f>IF(VLOOKUP(Table91213[[#This Row],[Date]],'DB Details'!$A:$Q,11)=0,"",VLOOKUP(Table91213[[#This Row],[Date]],'DB Details'!$A:$Q,11))</f>
        <v/>
      </c>
      <c r="L144" s="50">
        <f>IF(VLOOKUP(Table91213[[#This Row],[Date]],'DB Details'!$A:$Q,12)=0,"",VLOOKUP(Table91213[[#This Row],[Date]],'DB Details'!$A:$Q,12))</f>
        <v/>
      </c>
    </row>
    <row r="145">
      <c r="A145" s="53" t="n">
        <v>39845</v>
      </c>
      <c r="B145" s="50">
        <f>IF(VLOOKUP(Table91213[[#This Row],[Date]],'DB Details'!$A:$Q,2)=0,"",VLOOKUP(Table91213[[#This Row],[Date]],'DB Details'!$A:$Q,2))</f>
        <v/>
      </c>
      <c r="C145" s="51">
        <f>IF(VLOOKUP(Table91213[[#This Row],[Date]],'DB Details'!$A:$Q,3)=0,"",VLOOKUP(Table91213[[#This Row],[Date]],'DB Details'!$A:$Q,3))</f>
        <v/>
      </c>
      <c r="D145" s="51">
        <f>IF(VLOOKUP(Table91213[[#This Row],[Date]],'DB Details'!$A:$Q,4)=0,"",VLOOKUP(Table91213[[#This Row],[Date]],'DB Details'!$A:$Q,4))</f>
        <v/>
      </c>
      <c r="E145" s="52">
        <f>IF(VLOOKUP(Table91213[[#This Row],[Date]],'DB Details'!$A:$Q,5)=0,"",VLOOKUP(Table91213[[#This Row],[Date]],'DB Details'!$A:$Q,5))</f>
        <v/>
      </c>
      <c r="F145" s="51">
        <f>IF(VLOOKUP(Table91213[[#This Row],[Date]],'DB Details'!$A:$Q,6)=0,"",VLOOKUP(Table91213[[#This Row],[Date]],'DB Details'!$A:$Q,6))</f>
        <v/>
      </c>
      <c r="G145" s="52">
        <f>IF(VLOOKUP(Table91213[[#This Row],[Date]],'DB Details'!$A:$Q,7)=0,"",VLOOKUP(Table91213[[#This Row],[Date]],'DB Details'!$A:$Q,7))</f>
        <v/>
      </c>
      <c r="H145" s="52">
        <f>IF(VLOOKUP(Table91213[[#This Row],[Date]],'DB Details'!$A:$Q,8)=0,"",VLOOKUP(Table91213[[#This Row],[Date]],'DB Details'!$A:$Q,8))</f>
        <v/>
      </c>
      <c r="I145" s="52">
        <f>IF(VLOOKUP(Table91213[[#This Row],[Date]],'DB Details'!$A:$Q,9)=0,"",VLOOKUP(Table91213[[#This Row],[Date]],'DB Details'!$A:$Q,9))</f>
        <v/>
      </c>
      <c r="J145" s="52">
        <f>IF(VLOOKUP(Table91213[[#This Row],[Date]],'DB Details'!$A:$Q,10)=0,"",VLOOKUP(Table91213[[#This Row],[Date]],'DB Details'!$A:$Q,10))</f>
        <v/>
      </c>
      <c r="K145" s="52">
        <f>IF(VLOOKUP(Table91213[[#This Row],[Date]],'DB Details'!$A:$Q,11)=0,"",VLOOKUP(Table91213[[#This Row],[Date]],'DB Details'!$A:$Q,11))</f>
        <v/>
      </c>
      <c r="L145" s="50">
        <f>IF(VLOOKUP(Table91213[[#This Row],[Date]],'DB Details'!$A:$Q,12)=0,"",VLOOKUP(Table91213[[#This Row],[Date]],'DB Details'!$A:$Q,12))</f>
        <v/>
      </c>
    </row>
    <row r="146">
      <c r="A146" s="53" t="n">
        <v>39873</v>
      </c>
      <c r="B146" s="50">
        <f>IF(VLOOKUP(Table91213[[#This Row],[Date]],'DB Details'!$A:$Q,2)=0,"",VLOOKUP(Table91213[[#This Row],[Date]],'DB Details'!$A:$Q,2))</f>
        <v/>
      </c>
      <c r="C146" s="51">
        <f>IF(VLOOKUP(Table91213[[#This Row],[Date]],'DB Details'!$A:$Q,3)=0,"",VLOOKUP(Table91213[[#This Row],[Date]],'DB Details'!$A:$Q,3))</f>
        <v/>
      </c>
      <c r="D146" s="51">
        <f>IF(VLOOKUP(Table91213[[#This Row],[Date]],'DB Details'!$A:$Q,4)=0,"",VLOOKUP(Table91213[[#This Row],[Date]],'DB Details'!$A:$Q,4))</f>
        <v/>
      </c>
      <c r="E146" s="52">
        <f>IF(VLOOKUP(Table91213[[#This Row],[Date]],'DB Details'!$A:$Q,5)=0,"",VLOOKUP(Table91213[[#This Row],[Date]],'DB Details'!$A:$Q,5))</f>
        <v/>
      </c>
      <c r="F146" s="51">
        <f>IF(VLOOKUP(Table91213[[#This Row],[Date]],'DB Details'!$A:$Q,6)=0,"",VLOOKUP(Table91213[[#This Row],[Date]],'DB Details'!$A:$Q,6))</f>
        <v/>
      </c>
      <c r="G146" s="52">
        <f>IF(VLOOKUP(Table91213[[#This Row],[Date]],'DB Details'!$A:$Q,7)=0,"",VLOOKUP(Table91213[[#This Row],[Date]],'DB Details'!$A:$Q,7))</f>
        <v/>
      </c>
      <c r="H146" s="52">
        <f>IF(VLOOKUP(Table91213[[#This Row],[Date]],'DB Details'!$A:$Q,8)=0,"",VLOOKUP(Table91213[[#This Row],[Date]],'DB Details'!$A:$Q,8))</f>
        <v/>
      </c>
      <c r="I146" s="52">
        <f>IF(VLOOKUP(Table91213[[#This Row],[Date]],'DB Details'!$A:$Q,9)=0,"",VLOOKUP(Table91213[[#This Row],[Date]],'DB Details'!$A:$Q,9))</f>
        <v/>
      </c>
      <c r="J146" s="52">
        <f>IF(VLOOKUP(Table91213[[#This Row],[Date]],'DB Details'!$A:$Q,10)=0,"",VLOOKUP(Table91213[[#This Row],[Date]],'DB Details'!$A:$Q,10))</f>
        <v/>
      </c>
      <c r="K146" s="52">
        <f>IF(VLOOKUP(Table91213[[#This Row],[Date]],'DB Details'!$A:$Q,11)=0,"",VLOOKUP(Table91213[[#This Row],[Date]],'DB Details'!$A:$Q,11))</f>
        <v/>
      </c>
      <c r="L146" s="50">
        <f>IF(VLOOKUP(Table91213[[#This Row],[Date]],'DB Details'!$A:$Q,12)=0,"",VLOOKUP(Table91213[[#This Row],[Date]],'DB Details'!$A:$Q,12))</f>
        <v/>
      </c>
    </row>
    <row r="147">
      <c r="A147" s="53" t="n">
        <v>39904</v>
      </c>
      <c r="B147" s="50">
        <f>IF(VLOOKUP(Table91213[[#This Row],[Date]],'DB Details'!$A:$Q,2)=0,"",VLOOKUP(Table91213[[#This Row],[Date]],'DB Details'!$A:$Q,2))</f>
        <v/>
      </c>
      <c r="C147" s="51">
        <f>IF(VLOOKUP(Table91213[[#This Row],[Date]],'DB Details'!$A:$Q,3)=0,"",VLOOKUP(Table91213[[#This Row],[Date]],'DB Details'!$A:$Q,3))</f>
        <v/>
      </c>
      <c r="D147" s="51">
        <f>IF(VLOOKUP(Table91213[[#This Row],[Date]],'DB Details'!$A:$Q,4)=0,"",VLOOKUP(Table91213[[#This Row],[Date]],'DB Details'!$A:$Q,4))</f>
        <v/>
      </c>
      <c r="E147" s="52">
        <f>IF(VLOOKUP(Table91213[[#This Row],[Date]],'DB Details'!$A:$Q,5)=0,"",VLOOKUP(Table91213[[#This Row],[Date]],'DB Details'!$A:$Q,5))</f>
        <v/>
      </c>
      <c r="F147" s="51">
        <f>IF(VLOOKUP(Table91213[[#This Row],[Date]],'DB Details'!$A:$Q,6)=0,"",VLOOKUP(Table91213[[#This Row],[Date]],'DB Details'!$A:$Q,6))</f>
        <v/>
      </c>
      <c r="G147" s="52">
        <f>IF(VLOOKUP(Table91213[[#This Row],[Date]],'DB Details'!$A:$Q,7)=0,"",VLOOKUP(Table91213[[#This Row],[Date]],'DB Details'!$A:$Q,7))</f>
        <v/>
      </c>
      <c r="H147" s="52">
        <f>IF(VLOOKUP(Table91213[[#This Row],[Date]],'DB Details'!$A:$Q,8)=0,"",VLOOKUP(Table91213[[#This Row],[Date]],'DB Details'!$A:$Q,8))</f>
        <v/>
      </c>
      <c r="I147" s="52">
        <f>IF(VLOOKUP(Table91213[[#This Row],[Date]],'DB Details'!$A:$Q,9)=0,"",VLOOKUP(Table91213[[#This Row],[Date]],'DB Details'!$A:$Q,9))</f>
        <v/>
      </c>
      <c r="J147" s="52">
        <f>IF(VLOOKUP(Table91213[[#This Row],[Date]],'DB Details'!$A:$Q,10)=0,"",VLOOKUP(Table91213[[#This Row],[Date]],'DB Details'!$A:$Q,10))</f>
        <v/>
      </c>
      <c r="K147" s="52">
        <f>IF(VLOOKUP(Table91213[[#This Row],[Date]],'DB Details'!$A:$Q,11)=0,"",VLOOKUP(Table91213[[#This Row],[Date]],'DB Details'!$A:$Q,11))</f>
        <v/>
      </c>
      <c r="L147" s="50">
        <f>IF(VLOOKUP(Table91213[[#This Row],[Date]],'DB Details'!$A:$Q,12)=0,"",VLOOKUP(Table91213[[#This Row],[Date]],'DB Details'!$A:$Q,12))</f>
        <v/>
      </c>
    </row>
    <row r="148">
      <c r="A148" s="53" t="n">
        <v>39934</v>
      </c>
      <c r="B148" s="50">
        <f>IF(VLOOKUP(Table91213[[#This Row],[Date]],'DB Details'!$A:$Q,2)=0,"",VLOOKUP(Table91213[[#This Row],[Date]],'DB Details'!$A:$Q,2))</f>
        <v/>
      </c>
      <c r="C148" s="51">
        <f>IF(VLOOKUP(Table91213[[#This Row],[Date]],'DB Details'!$A:$Q,3)=0,"",VLOOKUP(Table91213[[#This Row],[Date]],'DB Details'!$A:$Q,3))</f>
        <v/>
      </c>
      <c r="D148" s="51">
        <f>IF(VLOOKUP(Table91213[[#This Row],[Date]],'DB Details'!$A:$Q,4)=0,"",VLOOKUP(Table91213[[#This Row],[Date]],'DB Details'!$A:$Q,4))</f>
        <v/>
      </c>
      <c r="E148" s="52">
        <f>IF(VLOOKUP(Table91213[[#This Row],[Date]],'DB Details'!$A:$Q,5)=0,"",VLOOKUP(Table91213[[#This Row],[Date]],'DB Details'!$A:$Q,5))</f>
        <v/>
      </c>
      <c r="F148" s="51">
        <f>IF(VLOOKUP(Table91213[[#This Row],[Date]],'DB Details'!$A:$Q,6)=0,"",VLOOKUP(Table91213[[#This Row],[Date]],'DB Details'!$A:$Q,6))</f>
        <v/>
      </c>
      <c r="G148" s="52">
        <f>IF(VLOOKUP(Table91213[[#This Row],[Date]],'DB Details'!$A:$Q,7)=0,"",VLOOKUP(Table91213[[#This Row],[Date]],'DB Details'!$A:$Q,7))</f>
        <v/>
      </c>
      <c r="H148" s="52">
        <f>IF(VLOOKUP(Table91213[[#This Row],[Date]],'DB Details'!$A:$Q,8)=0,"",VLOOKUP(Table91213[[#This Row],[Date]],'DB Details'!$A:$Q,8))</f>
        <v/>
      </c>
      <c r="I148" s="52">
        <f>IF(VLOOKUP(Table91213[[#This Row],[Date]],'DB Details'!$A:$Q,9)=0,"",VLOOKUP(Table91213[[#This Row],[Date]],'DB Details'!$A:$Q,9))</f>
        <v/>
      </c>
      <c r="J148" s="52">
        <f>IF(VLOOKUP(Table91213[[#This Row],[Date]],'DB Details'!$A:$Q,10)=0,"",VLOOKUP(Table91213[[#This Row],[Date]],'DB Details'!$A:$Q,10))</f>
        <v/>
      </c>
      <c r="K148" s="52">
        <f>IF(VLOOKUP(Table91213[[#This Row],[Date]],'DB Details'!$A:$Q,11)=0,"",VLOOKUP(Table91213[[#This Row],[Date]],'DB Details'!$A:$Q,11))</f>
        <v/>
      </c>
      <c r="L148" s="50">
        <f>IF(VLOOKUP(Table91213[[#This Row],[Date]],'DB Details'!$A:$Q,12)=0,"",VLOOKUP(Table91213[[#This Row],[Date]],'DB Details'!$A:$Q,12))</f>
        <v/>
      </c>
    </row>
    <row r="149">
      <c r="A149" s="53" t="n">
        <v>39965</v>
      </c>
      <c r="B149" s="50">
        <f>IF(VLOOKUP(Table91213[[#This Row],[Date]],'DB Details'!$A:$Q,2)=0,"",VLOOKUP(Table91213[[#This Row],[Date]],'DB Details'!$A:$Q,2))</f>
        <v/>
      </c>
      <c r="C149" s="51">
        <f>IF(VLOOKUP(Table91213[[#This Row],[Date]],'DB Details'!$A:$Q,3)=0,"",VLOOKUP(Table91213[[#This Row],[Date]],'DB Details'!$A:$Q,3))</f>
        <v/>
      </c>
      <c r="D149" s="51">
        <f>IF(VLOOKUP(Table91213[[#This Row],[Date]],'DB Details'!$A:$Q,4)=0,"",VLOOKUP(Table91213[[#This Row],[Date]],'DB Details'!$A:$Q,4))</f>
        <v/>
      </c>
      <c r="E149" s="52">
        <f>IF(VLOOKUP(Table91213[[#This Row],[Date]],'DB Details'!$A:$Q,5)=0,"",VLOOKUP(Table91213[[#This Row],[Date]],'DB Details'!$A:$Q,5))</f>
        <v/>
      </c>
      <c r="F149" s="51">
        <f>IF(VLOOKUP(Table91213[[#This Row],[Date]],'DB Details'!$A:$Q,6)=0,"",VLOOKUP(Table91213[[#This Row],[Date]],'DB Details'!$A:$Q,6))</f>
        <v/>
      </c>
      <c r="G149" s="52">
        <f>IF(VLOOKUP(Table91213[[#This Row],[Date]],'DB Details'!$A:$Q,7)=0,"",VLOOKUP(Table91213[[#This Row],[Date]],'DB Details'!$A:$Q,7))</f>
        <v/>
      </c>
      <c r="H149" s="52">
        <f>IF(VLOOKUP(Table91213[[#This Row],[Date]],'DB Details'!$A:$Q,8)=0,"",VLOOKUP(Table91213[[#This Row],[Date]],'DB Details'!$A:$Q,8))</f>
        <v/>
      </c>
      <c r="I149" s="52">
        <f>IF(VLOOKUP(Table91213[[#This Row],[Date]],'DB Details'!$A:$Q,9)=0,"",VLOOKUP(Table91213[[#This Row],[Date]],'DB Details'!$A:$Q,9))</f>
        <v/>
      </c>
      <c r="J149" s="52">
        <f>IF(VLOOKUP(Table91213[[#This Row],[Date]],'DB Details'!$A:$Q,10)=0,"",VLOOKUP(Table91213[[#This Row],[Date]],'DB Details'!$A:$Q,10))</f>
        <v/>
      </c>
      <c r="K149" s="52">
        <f>IF(VLOOKUP(Table91213[[#This Row],[Date]],'DB Details'!$A:$Q,11)=0,"",VLOOKUP(Table91213[[#This Row],[Date]],'DB Details'!$A:$Q,11))</f>
        <v/>
      </c>
      <c r="L149" s="50">
        <f>IF(VLOOKUP(Table91213[[#This Row],[Date]],'DB Details'!$A:$Q,12)=0,"",VLOOKUP(Table91213[[#This Row],[Date]],'DB Details'!$A:$Q,12))</f>
        <v/>
      </c>
    </row>
    <row r="150">
      <c r="A150" s="53" t="n">
        <v>39995</v>
      </c>
      <c r="B150" s="50">
        <f>IF(VLOOKUP(Table91213[[#This Row],[Date]],'DB Details'!$A:$Q,2)=0,"",VLOOKUP(Table91213[[#This Row],[Date]],'DB Details'!$A:$Q,2))</f>
        <v/>
      </c>
      <c r="C150" s="51">
        <f>IF(VLOOKUP(Table91213[[#This Row],[Date]],'DB Details'!$A:$Q,3)=0,"",VLOOKUP(Table91213[[#This Row],[Date]],'DB Details'!$A:$Q,3))</f>
        <v/>
      </c>
      <c r="D150" s="51">
        <f>IF(VLOOKUP(Table91213[[#This Row],[Date]],'DB Details'!$A:$Q,4)=0,"",VLOOKUP(Table91213[[#This Row],[Date]],'DB Details'!$A:$Q,4))</f>
        <v/>
      </c>
      <c r="E150" s="52">
        <f>IF(VLOOKUP(Table91213[[#This Row],[Date]],'DB Details'!$A:$Q,5)=0,"",VLOOKUP(Table91213[[#This Row],[Date]],'DB Details'!$A:$Q,5))</f>
        <v/>
      </c>
      <c r="F150" s="51">
        <f>IF(VLOOKUP(Table91213[[#This Row],[Date]],'DB Details'!$A:$Q,6)=0,"",VLOOKUP(Table91213[[#This Row],[Date]],'DB Details'!$A:$Q,6))</f>
        <v/>
      </c>
      <c r="G150" s="52">
        <f>IF(VLOOKUP(Table91213[[#This Row],[Date]],'DB Details'!$A:$Q,7)=0,"",VLOOKUP(Table91213[[#This Row],[Date]],'DB Details'!$A:$Q,7))</f>
        <v/>
      </c>
      <c r="H150" s="52">
        <f>IF(VLOOKUP(Table91213[[#This Row],[Date]],'DB Details'!$A:$Q,8)=0,"",VLOOKUP(Table91213[[#This Row],[Date]],'DB Details'!$A:$Q,8))</f>
        <v/>
      </c>
      <c r="I150" s="52">
        <f>IF(VLOOKUP(Table91213[[#This Row],[Date]],'DB Details'!$A:$Q,9)=0,"",VLOOKUP(Table91213[[#This Row],[Date]],'DB Details'!$A:$Q,9))</f>
        <v/>
      </c>
      <c r="J150" s="52">
        <f>IF(VLOOKUP(Table91213[[#This Row],[Date]],'DB Details'!$A:$Q,10)=0,"",VLOOKUP(Table91213[[#This Row],[Date]],'DB Details'!$A:$Q,10))</f>
        <v/>
      </c>
      <c r="K150" s="52">
        <f>IF(VLOOKUP(Table91213[[#This Row],[Date]],'DB Details'!$A:$Q,11)=0,"",VLOOKUP(Table91213[[#This Row],[Date]],'DB Details'!$A:$Q,11))</f>
        <v/>
      </c>
      <c r="L150" s="50">
        <f>IF(VLOOKUP(Table91213[[#This Row],[Date]],'DB Details'!$A:$Q,12)=0,"",VLOOKUP(Table91213[[#This Row],[Date]],'DB Details'!$A:$Q,12))</f>
        <v/>
      </c>
    </row>
    <row r="151">
      <c r="A151" s="53" t="n">
        <v>40026</v>
      </c>
      <c r="B151" s="50">
        <f>IF(VLOOKUP(Table91213[[#This Row],[Date]],'DB Details'!$A:$Q,2)=0,"",VLOOKUP(Table91213[[#This Row],[Date]],'DB Details'!$A:$Q,2))</f>
        <v/>
      </c>
      <c r="C151" s="51">
        <f>IF(VLOOKUP(Table91213[[#This Row],[Date]],'DB Details'!$A:$Q,3)=0,"",VLOOKUP(Table91213[[#This Row],[Date]],'DB Details'!$A:$Q,3))</f>
        <v/>
      </c>
      <c r="D151" s="51">
        <f>IF(VLOOKUP(Table91213[[#This Row],[Date]],'DB Details'!$A:$Q,4)=0,"",VLOOKUP(Table91213[[#This Row],[Date]],'DB Details'!$A:$Q,4))</f>
        <v/>
      </c>
      <c r="E151" s="52">
        <f>IF(VLOOKUP(Table91213[[#This Row],[Date]],'DB Details'!$A:$Q,5)=0,"",VLOOKUP(Table91213[[#This Row],[Date]],'DB Details'!$A:$Q,5))</f>
        <v/>
      </c>
      <c r="F151" s="51">
        <f>IF(VLOOKUP(Table91213[[#This Row],[Date]],'DB Details'!$A:$Q,6)=0,"",VLOOKUP(Table91213[[#This Row],[Date]],'DB Details'!$A:$Q,6))</f>
        <v/>
      </c>
      <c r="G151" s="52">
        <f>IF(VLOOKUP(Table91213[[#This Row],[Date]],'DB Details'!$A:$Q,7)=0,"",VLOOKUP(Table91213[[#This Row],[Date]],'DB Details'!$A:$Q,7))</f>
        <v/>
      </c>
      <c r="H151" s="52">
        <f>IF(VLOOKUP(Table91213[[#This Row],[Date]],'DB Details'!$A:$Q,8)=0,"",VLOOKUP(Table91213[[#This Row],[Date]],'DB Details'!$A:$Q,8))</f>
        <v/>
      </c>
      <c r="I151" s="52">
        <f>IF(VLOOKUP(Table91213[[#This Row],[Date]],'DB Details'!$A:$Q,9)=0,"",VLOOKUP(Table91213[[#This Row],[Date]],'DB Details'!$A:$Q,9))</f>
        <v/>
      </c>
      <c r="J151" s="52">
        <f>IF(VLOOKUP(Table91213[[#This Row],[Date]],'DB Details'!$A:$Q,10)=0,"",VLOOKUP(Table91213[[#This Row],[Date]],'DB Details'!$A:$Q,10))</f>
        <v/>
      </c>
      <c r="K151" s="52">
        <f>IF(VLOOKUP(Table91213[[#This Row],[Date]],'DB Details'!$A:$Q,11)=0,"",VLOOKUP(Table91213[[#This Row],[Date]],'DB Details'!$A:$Q,11))</f>
        <v/>
      </c>
      <c r="L151" s="50">
        <f>IF(VLOOKUP(Table91213[[#This Row],[Date]],'DB Details'!$A:$Q,12)=0,"",VLOOKUP(Table91213[[#This Row],[Date]],'DB Details'!$A:$Q,12))</f>
        <v/>
      </c>
    </row>
    <row r="152">
      <c r="A152" s="53" t="n">
        <v>40057</v>
      </c>
      <c r="B152" s="50">
        <f>IF(VLOOKUP(Table91213[[#This Row],[Date]],'DB Details'!$A:$Q,2)=0,"",VLOOKUP(Table91213[[#This Row],[Date]],'DB Details'!$A:$Q,2))</f>
        <v/>
      </c>
      <c r="C152" s="51">
        <f>IF(VLOOKUP(Table91213[[#This Row],[Date]],'DB Details'!$A:$Q,3)=0,"",VLOOKUP(Table91213[[#This Row],[Date]],'DB Details'!$A:$Q,3))</f>
        <v/>
      </c>
      <c r="D152" s="51">
        <f>IF(VLOOKUP(Table91213[[#This Row],[Date]],'DB Details'!$A:$Q,4)=0,"",VLOOKUP(Table91213[[#This Row],[Date]],'DB Details'!$A:$Q,4))</f>
        <v/>
      </c>
      <c r="E152" s="52">
        <f>IF(VLOOKUP(Table91213[[#This Row],[Date]],'DB Details'!$A:$Q,5)=0,"",VLOOKUP(Table91213[[#This Row],[Date]],'DB Details'!$A:$Q,5))</f>
        <v/>
      </c>
      <c r="F152" s="51">
        <f>IF(VLOOKUP(Table91213[[#This Row],[Date]],'DB Details'!$A:$Q,6)=0,"",VLOOKUP(Table91213[[#This Row],[Date]],'DB Details'!$A:$Q,6))</f>
        <v/>
      </c>
      <c r="G152" s="52">
        <f>IF(VLOOKUP(Table91213[[#This Row],[Date]],'DB Details'!$A:$Q,7)=0,"",VLOOKUP(Table91213[[#This Row],[Date]],'DB Details'!$A:$Q,7))</f>
        <v/>
      </c>
      <c r="H152" s="52">
        <f>IF(VLOOKUP(Table91213[[#This Row],[Date]],'DB Details'!$A:$Q,8)=0,"",VLOOKUP(Table91213[[#This Row],[Date]],'DB Details'!$A:$Q,8))</f>
        <v/>
      </c>
      <c r="I152" s="52">
        <f>IF(VLOOKUP(Table91213[[#This Row],[Date]],'DB Details'!$A:$Q,9)=0,"",VLOOKUP(Table91213[[#This Row],[Date]],'DB Details'!$A:$Q,9))</f>
        <v/>
      </c>
      <c r="J152" s="52">
        <f>IF(VLOOKUP(Table91213[[#This Row],[Date]],'DB Details'!$A:$Q,10)=0,"",VLOOKUP(Table91213[[#This Row],[Date]],'DB Details'!$A:$Q,10))</f>
        <v/>
      </c>
      <c r="K152" s="52">
        <f>IF(VLOOKUP(Table91213[[#This Row],[Date]],'DB Details'!$A:$Q,11)=0,"",VLOOKUP(Table91213[[#This Row],[Date]],'DB Details'!$A:$Q,11))</f>
        <v/>
      </c>
      <c r="L152" s="50">
        <f>IF(VLOOKUP(Table91213[[#This Row],[Date]],'DB Details'!$A:$Q,12)=0,"",VLOOKUP(Table91213[[#This Row],[Date]],'DB Details'!$A:$Q,12))</f>
        <v/>
      </c>
    </row>
    <row r="153">
      <c r="A153" s="53" t="n">
        <v>40087</v>
      </c>
      <c r="B153" s="50">
        <f>IF(VLOOKUP(Table91213[[#This Row],[Date]],'DB Details'!$A:$Q,2)=0,"",VLOOKUP(Table91213[[#This Row],[Date]],'DB Details'!$A:$Q,2))</f>
        <v/>
      </c>
      <c r="C153" s="51">
        <f>IF(VLOOKUP(Table91213[[#This Row],[Date]],'DB Details'!$A:$Q,3)=0,"",VLOOKUP(Table91213[[#This Row],[Date]],'DB Details'!$A:$Q,3))</f>
        <v/>
      </c>
      <c r="D153" s="51">
        <f>IF(VLOOKUP(Table91213[[#This Row],[Date]],'DB Details'!$A:$Q,4)=0,"",VLOOKUP(Table91213[[#This Row],[Date]],'DB Details'!$A:$Q,4))</f>
        <v/>
      </c>
      <c r="E153" s="52">
        <f>IF(VLOOKUP(Table91213[[#This Row],[Date]],'DB Details'!$A:$Q,5)=0,"",VLOOKUP(Table91213[[#This Row],[Date]],'DB Details'!$A:$Q,5))</f>
        <v/>
      </c>
      <c r="F153" s="51">
        <f>IF(VLOOKUP(Table91213[[#This Row],[Date]],'DB Details'!$A:$Q,6)=0,"",VLOOKUP(Table91213[[#This Row],[Date]],'DB Details'!$A:$Q,6))</f>
        <v/>
      </c>
      <c r="G153" s="52">
        <f>IF(VLOOKUP(Table91213[[#This Row],[Date]],'DB Details'!$A:$Q,7)=0,"",VLOOKUP(Table91213[[#This Row],[Date]],'DB Details'!$A:$Q,7))</f>
        <v/>
      </c>
      <c r="H153" s="52">
        <f>IF(VLOOKUP(Table91213[[#This Row],[Date]],'DB Details'!$A:$Q,8)=0,"",VLOOKUP(Table91213[[#This Row],[Date]],'DB Details'!$A:$Q,8))</f>
        <v/>
      </c>
      <c r="I153" s="52">
        <f>IF(VLOOKUP(Table91213[[#This Row],[Date]],'DB Details'!$A:$Q,9)=0,"",VLOOKUP(Table91213[[#This Row],[Date]],'DB Details'!$A:$Q,9))</f>
        <v/>
      </c>
      <c r="J153" s="52">
        <f>IF(VLOOKUP(Table91213[[#This Row],[Date]],'DB Details'!$A:$Q,10)=0,"",VLOOKUP(Table91213[[#This Row],[Date]],'DB Details'!$A:$Q,10))</f>
        <v/>
      </c>
      <c r="K153" s="52">
        <f>IF(VLOOKUP(Table91213[[#This Row],[Date]],'DB Details'!$A:$Q,11)=0,"",VLOOKUP(Table91213[[#This Row],[Date]],'DB Details'!$A:$Q,11))</f>
        <v/>
      </c>
      <c r="L153" s="50">
        <f>IF(VLOOKUP(Table91213[[#This Row],[Date]],'DB Details'!$A:$Q,12)=0,"",VLOOKUP(Table91213[[#This Row],[Date]],'DB Details'!$A:$Q,12))</f>
        <v/>
      </c>
    </row>
    <row r="154">
      <c r="A154" s="53" t="n">
        <v>40118</v>
      </c>
      <c r="B154" s="50">
        <f>IF(VLOOKUP(Table91213[[#This Row],[Date]],'DB Details'!$A:$Q,2)=0,"",VLOOKUP(Table91213[[#This Row],[Date]],'DB Details'!$A:$Q,2))</f>
        <v/>
      </c>
      <c r="C154" s="51">
        <f>IF(VLOOKUP(Table91213[[#This Row],[Date]],'DB Details'!$A:$Q,3)=0,"",VLOOKUP(Table91213[[#This Row],[Date]],'DB Details'!$A:$Q,3))</f>
        <v/>
      </c>
      <c r="D154" s="51">
        <f>IF(VLOOKUP(Table91213[[#This Row],[Date]],'DB Details'!$A:$Q,4)=0,"",VLOOKUP(Table91213[[#This Row],[Date]],'DB Details'!$A:$Q,4))</f>
        <v/>
      </c>
      <c r="E154" s="52">
        <f>IF(VLOOKUP(Table91213[[#This Row],[Date]],'DB Details'!$A:$Q,5)=0,"",VLOOKUP(Table91213[[#This Row],[Date]],'DB Details'!$A:$Q,5))</f>
        <v/>
      </c>
      <c r="F154" s="51">
        <f>IF(VLOOKUP(Table91213[[#This Row],[Date]],'DB Details'!$A:$Q,6)=0,"",VLOOKUP(Table91213[[#This Row],[Date]],'DB Details'!$A:$Q,6))</f>
        <v/>
      </c>
      <c r="G154" s="52">
        <f>IF(VLOOKUP(Table91213[[#This Row],[Date]],'DB Details'!$A:$Q,7)=0,"",VLOOKUP(Table91213[[#This Row],[Date]],'DB Details'!$A:$Q,7))</f>
        <v/>
      </c>
      <c r="H154" s="52">
        <f>IF(VLOOKUP(Table91213[[#This Row],[Date]],'DB Details'!$A:$Q,8)=0,"",VLOOKUP(Table91213[[#This Row],[Date]],'DB Details'!$A:$Q,8))</f>
        <v/>
      </c>
      <c r="I154" s="52">
        <f>IF(VLOOKUP(Table91213[[#This Row],[Date]],'DB Details'!$A:$Q,9)=0,"",VLOOKUP(Table91213[[#This Row],[Date]],'DB Details'!$A:$Q,9))</f>
        <v/>
      </c>
      <c r="J154" s="52">
        <f>IF(VLOOKUP(Table91213[[#This Row],[Date]],'DB Details'!$A:$Q,10)=0,"",VLOOKUP(Table91213[[#This Row],[Date]],'DB Details'!$A:$Q,10))</f>
        <v/>
      </c>
      <c r="K154" s="52">
        <f>IF(VLOOKUP(Table91213[[#This Row],[Date]],'DB Details'!$A:$Q,11)=0,"",VLOOKUP(Table91213[[#This Row],[Date]],'DB Details'!$A:$Q,11))</f>
        <v/>
      </c>
      <c r="L154" s="50">
        <f>IF(VLOOKUP(Table91213[[#This Row],[Date]],'DB Details'!$A:$Q,12)=0,"",VLOOKUP(Table91213[[#This Row],[Date]],'DB Details'!$A:$Q,12))</f>
        <v/>
      </c>
    </row>
    <row r="155">
      <c r="A155" s="53" t="n">
        <v>40148</v>
      </c>
      <c r="B155" s="50">
        <f>IF(VLOOKUP(Table91213[[#This Row],[Date]],'DB Details'!$A:$Q,2)=0,"",VLOOKUP(Table91213[[#This Row],[Date]],'DB Details'!$A:$Q,2))</f>
        <v/>
      </c>
      <c r="C155" s="51">
        <f>IF(VLOOKUP(Table91213[[#This Row],[Date]],'DB Details'!$A:$Q,3)=0,"",VLOOKUP(Table91213[[#This Row],[Date]],'DB Details'!$A:$Q,3))</f>
        <v/>
      </c>
      <c r="D155" s="51">
        <f>IF(VLOOKUP(Table91213[[#This Row],[Date]],'DB Details'!$A:$Q,4)=0,"",VLOOKUP(Table91213[[#This Row],[Date]],'DB Details'!$A:$Q,4))</f>
        <v/>
      </c>
      <c r="E155" s="52">
        <f>IF(VLOOKUP(Table91213[[#This Row],[Date]],'DB Details'!$A:$Q,5)=0,"",VLOOKUP(Table91213[[#This Row],[Date]],'DB Details'!$A:$Q,5))</f>
        <v/>
      </c>
      <c r="F155" s="51">
        <f>IF(VLOOKUP(Table91213[[#This Row],[Date]],'DB Details'!$A:$Q,6)=0,"",VLOOKUP(Table91213[[#This Row],[Date]],'DB Details'!$A:$Q,6))</f>
        <v/>
      </c>
      <c r="G155" s="52">
        <f>IF(VLOOKUP(Table91213[[#This Row],[Date]],'DB Details'!$A:$Q,7)=0,"",VLOOKUP(Table91213[[#This Row],[Date]],'DB Details'!$A:$Q,7))</f>
        <v/>
      </c>
      <c r="H155" s="52">
        <f>IF(VLOOKUP(Table91213[[#This Row],[Date]],'DB Details'!$A:$Q,8)=0,"",VLOOKUP(Table91213[[#This Row],[Date]],'DB Details'!$A:$Q,8))</f>
        <v/>
      </c>
      <c r="I155" s="52">
        <f>IF(VLOOKUP(Table91213[[#This Row],[Date]],'DB Details'!$A:$Q,9)=0,"",VLOOKUP(Table91213[[#This Row],[Date]],'DB Details'!$A:$Q,9))</f>
        <v/>
      </c>
      <c r="J155" s="52">
        <f>IF(VLOOKUP(Table91213[[#This Row],[Date]],'DB Details'!$A:$Q,10)=0,"",VLOOKUP(Table91213[[#This Row],[Date]],'DB Details'!$A:$Q,10))</f>
        <v/>
      </c>
      <c r="K155" s="52">
        <f>IF(VLOOKUP(Table91213[[#This Row],[Date]],'DB Details'!$A:$Q,11)=0,"",VLOOKUP(Table91213[[#This Row],[Date]],'DB Details'!$A:$Q,11))</f>
        <v/>
      </c>
      <c r="L155" s="50">
        <f>IF(VLOOKUP(Table91213[[#This Row],[Date]],'DB Details'!$A:$Q,12)=0,"",VLOOKUP(Table91213[[#This Row],[Date]],'DB Details'!$A:$Q,12))</f>
        <v/>
      </c>
    </row>
    <row r="156">
      <c r="A156" s="53" t="n">
        <v>40179</v>
      </c>
      <c r="B156" s="50">
        <f>IF(VLOOKUP(Table91213[[#This Row],[Date]],'DB Details'!$A:$Q,2)=0,"",VLOOKUP(Table91213[[#This Row],[Date]],'DB Details'!$A:$Q,2))</f>
        <v/>
      </c>
      <c r="C156" s="51">
        <f>IF(VLOOKUP(Table91213[[#This Row],[Date]],'DB Details'!$A:$Q,3)=0,"",VLOOKUP(Table91213[[#This Row],[Date]],'DB Details'!$A:$Q,3))</f>
        <v/>
      </c>
      <c r="D156" s="51">
        <f>IF(VLOOKUP(Table91213[[#This Row],[Date]],'DB Details'!$A:$Q,4)=0,"",VLOOKUP(Table91213[[#This Row],[Date]],'DB Details'!$A:$Q,4))</f>
        <v/>
      </c>
      <c r="E156" s="52">
        <f>IF(VLOOKUP(Table91213[[#This Row],[Date]],'DB Details'!$A:$Q,5)=0,"",VLOOKUP(Table91213[[#This Row],[Date]],'DB Details'!$A:$Q,5))</f>
        <v/>
      </c>
      <c r="F156" s="51">
        <f>IF(VLOOKUP(Table91213[[#This Row],[Date]],'DB Details'!$A:$Q,6)=0,"",VLOOKUP(Table91213[[#This Row],[Date]],'DB Details'!$A:$Q,6))</f>
        <v/>
      </c>
      <c r="G156" s="52">
        <f>IF(VLOOKUP(Table91213[[#This Row],[Date]],'DB Details'!$A:$Q,7)=0,"",VLOOKUP(Table91213[[#This Row],[Date]],'DB Details'!$A:$Q,7))</f>
        <v/>
      </c>
      <c r="H156" s="52">
        <f>IF(VLOOKUP(Table91213[[#This Row],[Date]],'DB Details'!$A:$Q,8)=0,"",VLOOKUP(Table91213[[#This Row],[Date]],'DB Details'!$A:$Q,8))</f>
        <v/>
      </c>
      <c r="I156" s="52">
        <f>IF(VLOOKUP(Table91213[[#This Row],[Date]],'DB Details'!$A:$Q,9)=0,"",VLOOKUP(Table91213[[#This Row],[Date]],'DB Details'!$A:$Q,9))</f>
        <v/>
      </c>
      <c r="J156" s="52">
        <f>IF(VLOOKUP(Table91213[[#This Row],[Date]],'DB Details'!$A:$Q,10)=0,"",VLOOKUP(Table91213[[#This Row],[Date]],'DB Details'!$A:$Q,10))</f>
        <v/>
      </c>
      <c r="K156" s="52">
        <f>IF(VLOOKUP(Table91213[[#This Row],[Date]],'DB Details'!$A:$Q,11)=0,"",VLOOKUP(Table91213[[#This Row],[Date]],'DB Details'!$A:$Q,11))</f>
        <v/>
      </c>
      <c r="L156" s="50">
        <f>IF(VLOOKUP(Table91213[[#This Row],[Date]],'DB Details'!$A:$Q,12)=0,"",VLOOKUP(Table91213[[#This Row],[Date]],'DB Details'!$A:$Q,12))</f>
        <v/>
      </c>
    </row>
    <row r="157">
      <c r="A157" s="53" t="n">
        <v>40210</v>
      </c>
      <c r="B157" s="50">
        <f>IF(VLOOKUP(Table91213[[#This Row],[Date]],'DB Details'!$A:$Q,2)=0,"",VLOOKUP(Table91213[[#This Row],[Date]],'DB Details'!$A:$Q,2))</f>
        <v/>
      </c>
      <c r="C157" s="51">
        <f>IF(VLOOKUP(Table91213[[#This Row],[Date]],'DB Details'!$A:$Q,3)=0,"",VLOOKUP(Table91213[[#This Row],[Date]],'DB Details'!$A:$Q,3))</f>
        <v/>
      </c>
      <c r="D157" s="51">
        <f>IF(VLOOKUP(Table91213[[#This Row],[Date]],'DB Details'!$A:$Q,4)=0,"",VLOOKUP(Table91213[[#This Row],[Date]],'DB Details'!$A:$Q,4))</f>
        <v/>
      </c>
      <c r="E157" s="52">
        <f>IF(VLOOKUP(Table91213[[#This Row],[Date]],'DB Details'!$A:$Q,5)=0,"",VLOOKUP(Table91213[[#This Row],[Date]],'DB Details'!$A:$Q,5))</f>
        <v/>
      </c>
      <c r="F157" s="51">
        <f>IF(VLOOKUP(Table91213[[#This Row],[Date]],'DB Details'!$A:$Q,6)=0,"",VLOOKUP(Table91213[[#This Row],[Date]],'DB Details'!$A:$Q,6))</f>
        <v/>
      </c>
      <c r="G157" s="52">
        <f>IF(VLOOKUP(Table91213[[#This Row],[Date]],'DB Details'!$A:$Q,7)=0,"",VLOOKUP(Table91213[[#This Row],[Date]],'DB Details'!$A:$Q,7))</f>
        <v/>
      </c>
      <c r="H157" s="52">
        <f>IF(VLOOKUP(Table91213[[#This Row],[Date]],'DB Details'!$A:$Q,8)=0,"",VLOOKUP(Table91213[[#This Row],[Date]],'DB Details'!$A:$Q,8))</f>
        <v/>
      </c>
      <c r="I157" s="52">
        <f>IF(VLOOKUP(Table91213[[#This Row],[Date]],'DB Details'!$A:$Q,9)=0,"",VLOOKUP(Table91213[[#This Row],[Date]],'DB Details'!$A:$Q,9))</f>
        <v/>
      </c>
      <c r="J157" s="52">
        <f>IF(VLOOKUP(Table91213[[#This Row],[Date]],'DB Details'!$A:$Q,10)=0,"",VLOOKUP(Table91213[[#This Row],[Date]],'DB Details'!$A:$Q,10))</f>
        <v/>
      </c>
      <c r="K157" s="52">
        <f>IF(VLOOKUP(Table91213[[#This Row],[Date]],'DB Details'!$A:$Q,11)=0,"",VLOOKUP(Table91213[[#This Row],[Date]],'DB Details'!$A:$Q,11))</f>
        <v/>
      </c>
      <c r="L157" s="50">
        <f>IF(VLOOKUP(Table91213[[#This Row],[Date]],'DB Details'!$A:$Q,12)=0,"",VLOOKUP(Table91213[[#This Row],[Date]],'DB Details'!$A:$Q,12))</f>
        <v/>
      </c>
    </row>
    <row r="158">
      <c r="A158" s="53" t="n">
        <v>40238</v>
      </c>
      <c r="B158" s="50">
        <f>IF(VLOOKUP(Table91213[[#This Row],[Date]],'DB Details'!$A:$Q,2)=0,"",VLOOKUP(Table91213[[#This Row],[Date]],'DB Details'!$A:$Q,2))</f>
        <v/>
      </c>
      <c r="C158" s="51">
        <f>IF(VLOOKUP(Table91213[[#This Row],[Date]],'DB Details'!$A:$Q,3)=0,"",VLOOKUP(Table91213[[#This Row],[Date]],'DB Details'!$A:$Q,3))</f>
        <v/>
      </c>
      <c r="D158" s="51">
        <f>IF(VLOOKUP(Table91213[[#This Row],[Date]],'DB Details'!$A:$Q,4)=0,"",VLOOKUP(Table91213[[#This Row],[Date]],'DB Details'!$A:$Q,4))</f>
        <v/>
      </c>
      <c r="E158" s="52">
        <f>IF(VLOOKUP(Table91213[[#This Row],[Date]],'DB Details'!$A:$Q,5)=0,"",VLOOKUP(Table91213[[#This Row],[Date]],'DB Details'!$A:$Q,5))</f>
        <v/>
      </c>
      <c r="F158" s="51">
        <f>IF(VLOOKUP(Table91213[[#This Row],[Date]],'DB Details'!$A:$Q,6)=0,"",VLOOKUP(Table91213[[#This Row],[Date]],'DB Details'!$A:$Q,6))</f>
        <v/>
      </c>
      <c r="G158" s="52">
        <f>IF(VLOOKUP(Table91213[[#This Row],[Date]],'DB Details'!$A:$Q,7)=0,"",VLOOKUP(Table91213[[#This Row],[Date]],'DB Details'!$A:$Q,7))</f>
        <v/>
      </c>
      <c r="H158" s="52">
        <f>IF(VLOOKUP(Table91213[[#This Row],[Date]],'DB Details'!$A:$Q,8)=0,"",VLOOKUP(Table91213[[#This Row],[Date]],'DB Details'!$A:$Q,8))</f>
        <v/>
      </c>
      <c r="I158" s="52">
        <f>IF(VLOOKUP(Table91213[[#This Row],[Date]],'DB Details'!$A:$Q,9)=0,"",VLOOKUP(Table91213[[#This Row],[Date]],'DB Details'!$A:$Q,9))</f>
        <v/>
      </c>
      <c r="J158" s="52">
        <f>IF(VLOOKUP(Table91213[[#This Row],[Date]],'DB Details'!$A:$Q,10)=0,"",VLOOKUP(Table91213[[#This Row],[Date]],'DB Details'!$A:$Q,10))</f>
        <v/>
      </c>
      <c r="K158" s="52">
        <f>IF(VLOOKUP(Table91213[[#This Row],[Date]],'DB Details'!$A:$Q,11)=0,"",VLOOKUP(Table91213[[#This Row],[Date]],'DB Details'!$A:$Q,11))</f>
        <v/>
      </c>
      <c r="L158" s="50">
        <f>IF(VLOOKUP(Table91213[[#This Row],[Date]],'DB Details'!$A:$Q,12)=0,"",VLOOKUP(Table91213[[#This Row],[Date]],'DB Details'!$A:$Q,12))</f>
        <v/>
      </c>
    </row>
    <row r="159">
      <c r="A159" s="53" t="n">
        <v>40269</v>
      </c>
      <c r="B159" s="50">
        <f>IF(VLOOKUP(Table91213[[#This Row],[Date]],'DB Details'!$A:$Q,2)=0,"",VLOOKUP(Table91213[[#This Row],[Date]],'DB Details'!$A:$Q,2))</f>
        <v/>
      </c>
      <c r="C159" s="51">
        <f>IF(VLOOKUP(Table91213[[#This Row],[Date]],'DB Details'!$A:$Q,3)=0,"",VLOOKUP(Table91213[[#This Row],[Date]],'DB Details'!$A:$Q,3))</f>
        <v/>
      </c>
      <c r="D159" s="51">
        <f>IF(VLOOKUP(Table91213[[#This Row],[Date]],'DB Details'!$A:$Q,4)=0,"",VLOOKUP(Table91213[[#This Row],[Date]],'DB Details'!$A:$Q,4))</f>
        <v/>
      </c>
      <c r="E159" s="52">
        <f>IF(VLOOKUP(Table91213[[#This Row],[Date]],'DB Details'!$A:$Q,5)=0,"",VLOOKUP(Table91213[[#This Row],[Date]],'DB Details'!$A:$Q,5))</f>
        <v/>
      </c>
      <c r="F159" s="51">
        <f>IF(VLOOKUP(Table91213[[#This Row],[Date]],'DB Details'!$A:$Q,6)=0,"",VLOOKUP(Table91213[[#This Row],[Date]],'DB Details'!$A:$Q,6))</f>
        <v/>
      </c>
      <c r="G159" s="52">
        <f>IF(VLOOKUP(Table91213[[#This Row],[Date]],'DB Details'!$A:$Q,7)=0,"",VLOOKUP(Table91213[[#This Row],[Date]],'DB Details'!$A:$Q,7))</f>
        <v/>
      </c>
      <c r="H159" s="52">
        <f>IF(VLOOKUP(Table91213[[#This Row],[Date]],'DB Details'!$A:$Q,8)=0,"",VLOOKUP(Table91213[[#This Row],[Date]],'DB Details'!$A:$Q,8))</f>
        <v/>
      </c>
      <c r="I159" s="52">
        <f>IF(VLOOKUP(Table91213[[#This Row],[Date]],'DB Details'!$A:$Q,9)=0,"",VLOOKUP(Table91213[[#This Row],[Date]],'DB Details'!$A:$Q,9))</f>
        <v/>
      </c>
      <c r="J159" s="52">
        <f>IF(VLOOKUP(Table91213[[#This Row],[Date]],'DB Details'!$A:$Q,10)=0,"",VLOOKUP(Table91213[[#This Row],[Date]],'DB Details'!$A:$Q,10))</f>
        <v/>
      </c>
      <c r="K159" s="52">
        <f>IF(VLOOKUP(Table91213[[#This Row],[Date]],'DB Details'!$A:$Q,11)=0,"",VLOOKUP(Table91213[[#This Row],[Date]],'DB Details'!$A:$Q,11))</f>
        <v/>
      </c>
      <c r="L159" s="50">
        <f>IF(VLOOKUP(Table91213[[#This Row],[Date]],'DB Details'!$A:$Q,12)=0,"",VLOOKUP(Table91213[[#This Row],[Date]],'DB Details'!$A:$Q,12))</f>
        <v/>
      </c>
    </row>
    <row r="160">
      <c r="A160" s="53" t="n">
        <v>40299</v>
      </c>
      <c r="B160" s="50">
        <f>IF(VLOOKUP(Table91213[[#This Row],[Date]],'DB Details'!$A:$Q,2)=0,"",VLOOKUP(Table91213[[#This Row],[Date]],'DB Details'!$A:$Q,2))</f>
        <v/>
      </c>
      <c r="C160" s="51">
        <f>IF(VLOOKUP(Table91213[[#This Row],[Date]],'DB Details'!$A:$Q,3)=0,"",VLOOKUP(Table91213[[#This Row],[Date]],'DB Details'!$A:$Q,3))</f>
        <v/>
      </c>
      <c r="D160" s="51">
        <f>IF(VLOOKUP(Table91213[[#This Row],[Date]],'DB Details'!$A:$Q,4)=0,"",VLOOKUP(Table91213[[#This Row],[Date]],'DB Details'!$A:$Q,4))</f>
        <v/>
      </c>
      <c r="E160" s="52">
        <f>IF(VLOOKUP(Table91213[[#This Row],[Date]],'DB Details'!$A:$Q,5)=0,"",VLOOKUP(Table91213[[#This Row],[Date]],'DB Details'!$A:$Q,5))</f>
        <v/>
      </c>
      <c r="F160" s="51">
        <f>IF(VLOOKUP(Table91213[[#This Row],[Date]],'DB Details'!$A:$Q,6)=0,"",VLOOKUP(Table91213[[#This Row],[Date]],'DB Details'!$A:$Q,6))</f>
        <v/>
      </c>
      <c r="G160" s="52">
        <f>IF(VLOOKUP(Table91213[[#This Row],[Date]],'DB Details'!$A:$Q,7)=0,"",VLOOKUP(Table91213[[#This Row],[Date]],'DB Details'!$A:$Q,7))</f>
        <v/>
      </c>
      <c r="H160" s="52">
        <f>IF(VLOOKUP(Table91213[[#This Row],[Date]],'DB Details'!$A:$Q,8)=0,"",VLOOKUP(Table91213[[#This Row],[Date]],'DB Details'!$A:$Q,8))</f>
        <v/>
      </c>
      <c r="I160" s="52">
        <f>IF(VLOOKUP(Table91213[[#This Row],[Date]],'DB Details'!$A:$Q,9)=0,"",VLOOKUP(Table91213[[#This Row],[Date]],'DB Details'!$A:$Q,9))</f>
        <v/>
      </c>
      <c r="J160" s="52">
        <f>IF(VLOOKUP(Table91213[[#This Row],[Date]],'DB Details'!$A:$Q,10)=0,"",VLOOKUP(Table91213[[#This Row],[Date]],'DB Details'!$A:$Q,10))</f>
        <v/>
      </c>
      <c r="K160" s="52">
        <f>IF(VLOOKUP(Table91213[[#This Row],[Date]],'DB Details'!$A:$Q,11)=0,"",VLOOKUP(Table91213[[#This Row],[Date]],'DB Details'!$A:$Q,11))</f>
        <v/>
      </c>
      <c r="L160" s="50">
        <f>IF(VLOOKUP(Table91213[[#This Row],[Date]],'DB Details'!$A:$Q,12)=0,"",VLOOKUP(Table91213[[#This Row],[Date]],'DB Details'!$A:$Q,12))</f>
        <v/>
      </c>
    </row>
    <row r="161">
      <c r="A161" s="53" t="n">
        <v>40330</v>
      </c>
      <c r="B161" s="50">
        <f>IF(VLOOKUP(Table91213[[#This Row],[Date]],'DB Details'!$A:$Q,2)=0,"",VLOOKUP(Table91213[[#This Row],[Date]],'DB Details'!$A:$Q,2))</f>
        <v/>
      </c>
      <c r="C161" s="51">
        <f>IF(VLOOKUP(Table91213[[#This Row],[Date]],'DB Details'!$A:$Q,3)=0,"",VLOOKUP(Table91213[[#This Row],[Date]],'DB Details'!$A:$Q,3))</f>
        <v/>
      </c>
      <c r="D161" s="51">
        <f>IF(VLOOKUP(Table91213[[#This Row],[Date]],'DB Details'!$A:$Q,4)=0,"",VLOOKUP(Table91213[[#This Row],[Date]],'DB Details'!$A:$Q,4))</f>
        <v/>
      </c>
      <c r="E161" s="52">
        <f>IF(VLOOKUP(Table91213[[#This Row],[Date]],'DB Details'!$A:$Q,5)=0,"",VLOOKUP(Table91213[[#This Row],[Date]],'DB Details'!$A:$Q,5))</f>
        <v/>
      </c>
      <c r="F161" s="51">
        <f>IF(VLOOKUP(Table91213[[#This Row],[Date]],'DB Details'!$A:$Q,6)=0,"",VLOOKUP(Table91213[[#This Row],[Date]],'DB Details'!$A:$Q,6))</f>
        <v/>
      </c>
      <c r="G161" s="52">
        <f>IF(VLOOKUP(Table91213[[#This Row],[Date]],'DB Details'!$A:$Q,7)=0,"",VLOOKUP(Table91213[[#This Row],[Date]],'DB Details'!$A:$Q,7))</f>
        <v/>
      </c>
      <c r="H161" s="52">
        <f>IF(VLOOKUP(Table91213[[#This Row],[Date]],'DB Details'!$A:$Q,8)=0,"",VLOOKUP(Table91213[[#This Row],[Date]],'DB Details'!$A:$Q,8))</f>
        <v/>
      </c>
      <c r="I161" s="52">
        <f>IF(VLOOKUP(Table91213[[#This Row],[Date]],'DB Details'!$A:$Q,9)=0,"",VLOOKUP(Table91213[[#This Row],[Date]],'DB Details'!$A:$Q,9))</f>
        <v/>
      </c>
      <c r="J161" s="52">
        <f>IF(VLOOKUP(Table91213[[#This Row],[Date]],'DB Details'!$A:$Q,10)=0,"",VLOOKUP(Table91213[[#This Row],[Date]],'DB Details'!$A:$Q,10))</f>
        <v/>
      </c>
      <c r="K161" s="52">
        <f>IF(VLOOKUP(Table91213[[#This Row],[Date]],'DB Details'!$A:$Q,11)=0,"",VLOOKUP(Table91213[[#This Row],[Date]],'DB Details'!$A:$Q,11))</f>
        <v/>
      </c>
      <c r="L161" s="50">
        <f>IF(VLOOKUP(Table91213[[#This Row],[Date]],'DB Details'!$A:$Q,12)=0,"",VLOOKUP(Table91213[[#This Row],[Date]],'DB Details'!$A:$Q,12))</f>
        <v/>
      </c>
    </row>
    <row r="162">
      <c r="A162" s="53" t="n">
        <v>40360</v>
      </c>
      <c r="B162" s="50">
        <f>IF(VLOOKUP(Table91213[[#This Row],[Date]],'DB Details'!$A:$Q,2)=0,"",VLOOKUP(Table91213[[#This Row],[Date]],'DB Details'!$A:$Q,2))</f>
        <v/>
      </c>
      <c r="C162" s="51">
        <f>IF(VLOOKUP(Table91213[[#This Row],[Date]],'DB Details'!$A:$Q,3)=0,"",VLOOKUP(Table91213[[#This Row],[Date]],'DB Details'!$A:$Q,3))</f>
        <v/>
      </c>
      <c r="D162" s="51">
        <f>IF(VLOOKUP(Table91213[[#This Row],[Date]],'DB Details'!$A:$Q,4)=0,"",VLOOKUP(Table91213[[#This Row],[Date]],'DB Details'!$A:$Q,4))</f>
        <v/>
      </c>
      <c r="E162" s="52">
        <f>IF(VLOOKUP(Table91213[[#This Row],[Date]],'DB Details'!$A:$Q,5)=0,"",VLOOKUP(Table91213[[#This Row],[Date]],'DB Details'!$A:$Q,5))</f>
        <v/>
      </c>
      <c r="F162" s="51">
        <f>IF(VLOOKUP(Table91213[[#This Row],[Date]],'DB Details'!$A:$Q,6)=0,"",VLOOKUP(Table91213[[#This Row],[Date]],'DB Details'!$A:$Q,6))</f>
        <v/>
      </c>
      <c r="G162" s="52">
        <f>IF(VLOOKUP(Table91213[[#This Row],[Date]],'DB Details'!$A:$Q,7)=0,"",VLOOKUP(Table91213[[#This Row],[Date]],'DB Details'!$A:$Q,7))</f>
        <v/>
      </c>
      <c r="H162" s="52">
        <f>IF(VLOOKUP(Table91213[[#This Row],[Date]],'DB Details'!$A:$Q,8)=0,"",VLOOKUP(Table91213[[#This Row],[Date]],'DB Details'!$A:$Q,8))</f>
        <v/>
      </c>
      <c r="I162" s="52">
        <f>IF(VLOOKUP(Table91213[[#This Row],[Date]],'DB Details'!$A:$Q,9)=0,"",VLOOKUP(Table91213[[#This Row],[Date]],'DB Details'!$A:$Q,9))</f>
        <v/>
      </c>
      <c r="J162" s="52">
        <f>IF(VLOOKUP(Table91213[[#This Row],[Date]],'DB Details'!$A:$Q,10)=0,"",VLOOKUP(Table91213[[#This Row],[Date]],'DB Details'!$A:$Q,10))</f>
        <v/>
      </c>
      <c r="K162" s="52">
        <f>IF(VLOOKUP(Table91213[[#This Row],[Date]],'DB Details'!$A:$Q,11)=0,"",VLOOKUP(Table91213[[#This Row],[Date]],'DB Details'!$A:$Q,11))</f>
        <v/>
      </c>
      <c r="L162" s="50">
        <f>IF(VLOOKUP(Table91213[[#This Row],[Date]],'DB Details'!$A:$Q,12)=0,"",VLOOKUP(Table91213[[#This Row],[Date]],'DB Details'!$A:$Q,12))</f>
        <v/>
      </c>
    </row>
    <row r="163">
      <c r="A163" s="53" t="n">
        <v>40391</v>
      </c>
      <c r="B163" s="50">
        <f>IF(VLOOKUP(Table91213[[#This Row],[Date]],'DB Details'!$A:$Q,2)=0,"",VLOOKUP(Table91213[[#This Row],[Date]],'DB Details'!$A:$Q,2))</f>
        <v/>
      </c>
      <c r="C163" s="51">
        <f>IF(VLOOKUP(Table91213[[#This Row],[Date]],'DB Details'!$A:$Q,3)=0,"",VLOOKUP(Table91213[[#This Row],[Date]],'DB Details'!$A:$Q,3))</f>
        <v/>
      </c>
      <c r="D163" s="51">
        <f>IF(VLOOKUP(Table91213[[#This Row],[Date]],'DB Details'!$A:$Q,4)=0,"",VLOOKUP(Table91213[[#This Row],[Date]],'DB Details'!$A:$Q,4))</f>
        <v/>
      </c>
      <c r="E163" s="52">
        <f>IF(VLOOKUP(Table91213[[#This Row],[Date]],'DB Details'!$A:$Q,5)=0,"",VLOOKUP(Table91213[[#This Row],[Date]],'DB Details'!$A:$Q,5))</f>
        <v/>
      </c>
      <c r="F163" s="51">
        <f>IF(VLOOKUP(Table91213[[#This Row],[Date]],'DB Details'!$A:$Q,6)=0,"",VLOOKUP(Table91213[[#This Row],[Date]],'DB Details'!$A:$Q,6))</f>
        <v/>
      </c>
      <c r="G163" s="52">
        <f>IF(VLOOKUP(Table91213[[#This Row],[Date]],'DB Details'!$A:$Q,7)=0,"",VLOOKUP(Table91213[[#This Row],[Date]],'DB Details'!$A:$Q,7))</f>
        <v/>
      </c>
      <c r="H163" s="52">
        <f>IF(VLOOKUP(Table91213[[#This Row],[Date]],'DB Details'!$A:$Q,8)=0,"",VLOOKUP(Table91213[[#This Row],[Date]],'DB Details'!$A:$Q,8))</f>
        <v/>
      </c>
      <c r="I163" s="52">
        <f>IF(VLOOKUP(Table91213[[#This Row],[Date]],'DB Details'!$A:$Q,9)=0,"",VLOOKUP(Table91213[[#This Row],[Date]],'DB Details'!$A:$Q,9))</f>
        <v/>
      </c>
      <c r="J163" s="52">
        <f>IF(VLOOKUP(Table91213[[#This Row],[Date]],'DB Details'!$A:$Q,10)=0,"",VLOOKUP(Table91213[[#This Row],[Date]],'DB Details'!$A:$Q,10))</f>
        <v/>
      </c>
      <c r="K163" s="52">
        <f>IF(VLOOKUP(Table91213[[#This Row],[Date]],'DB Details'!$A:$Q,11)=0,"",VLOOKUP(Table91213[[#This Row],[Date]],'DB Details'!$A:$Q,11))</f>
        <v/>
      </c>
      <c r="L163" s="50">
        <f>IF(VLOOKUP(Table91213[[#This Row],[Date]],'DB Details'!$A:$Q,12)=0,"",VLOOKUP(Table91213[[#This Row],[Date]],'DB Details'!$A:$Q,12))</f>
        <v/>
      </c>
    </row>
    <row r="164">
      <c r="A164" s="53" t="n">
        <v>40422</v>
      </c>
      <c r="B164" s="50">
        <f>IF(VLOOKUP(Table91213[[#This Row],[Date]],'DB Details'!$A:$Q,2)=0,"",VLOOKUP(Table91213[[#This Row],[Date]],'DB Details'!$A:$Q,2))</f>
        <v/>
      </c>
      <c r="C164" s="51">
        <f>IF(VLOOKUP(Table91213[[#This Row],[Date]],'DB Details'!$A:$Q,3)=0,"",VLOOKUP(Table91213[[#This Row],[Date]],'DB Details'!$A:$Q,3))</f>
        <v/>
      </c>
      <c r="D164" s="51">
        <f>IF(VLOOKUP(Table91213[[#This Row],[Date]],'DB Details'!$A:$Q,4)=0,"",VLOOKUP(Table91213[[#This Row],[Date]],'DB Details'!$A:$Q,4))</f>
        <v/>
      </c>
      <c r="E164" s="52">
        <f>IF(VLOOKUP(Table91213[[#This Row],[Date]],'DB Details'!$A:$Q,5)=0,"",VLOOKUP(Table91213[[#This Row],[Date]],'DB Details'!$A:$Q,5))</f>
        <v/>
      </c>
      <c r="F164" s="51">
        <f>IF(VLOOKUP(Table91213[[#This Row],[Date]],'DB Details'!$A:$Q,6)=0,"",VLOOKUP(Table91213[[#This Row],[Date]],'DB Details'!$A:$Q,6))</f>
        <v/>
      </c>
      <c r="G164" s="52">
        <f>IF(VLOOKUP(Table91213[[#This Row],[Date]],'DB Details'!$A:$Q,7)=0,"",VLOOKUP(Table91213[[#This Row],[Date]],'DB Details'!$A:$Q,7))</f>
        <v/>
      </c>
      <c r="H164" s="52">
        <f>IF(VLOOKUP(Table91213[[#This Row],[Date]],'DB Details'!$A:$Q,8)=0,"",VLOOKUP(Table91213[[#This Row],[Date]],'DB Details'!$A:$Q,8))</f>
        <v/>
      </c>
      <c r="I164" s="52">
        <f>IF(VLOOKUP(Table91213[[#This Row],[Date]],'DB Details'!$A:$Q,9)=0,"",VLOOKUP(Table91213[[#This Row],[Date]],'DB Details'!$A:$Q,9))</f>
        <v/>
      </c>
      <c r="J164" s="52">
        <f>IF(VLOOKUP(Table91213[[#This Row],[Date]],'DB Details'!$A:$Q,10)=0,"",VLOOKUP(Table91213[[#This Row],[Date]],'DB Details'!$A:$Q,10))</f>
        <v/>
      </c>
      <c r="K164" s="52">
        <f>IF(VLOOKUP(Table91213[[#This Row],[Date]],'DB Details'!$A:$Q,11)=0,"",VLOOKUP(Table91213[[#This Row],[Date]],'DB Details'!$A:$Q,11))</f>
        <v/>
      </c>
      <c r="L164" s="50">
        <f>IF(VLOOKUP(Table91213[[#This Row],[Date]],'DB Details'!$A:$Q,12)=0,"",VLOOKUP(Table91213[[#This Row],[Date]],'DB Details'!$A:$Q,12))</f>
        <v/>
      </c>
    </row>
    <row r="165">
      <c r="A165" s="53" t="n">
        <v>40452</v>
      </c>
      <c r="B165" s="50">
        <f>IF(VLOOKUP(Table91213[[#This Row],[Date]],'DB Details'!$A:$Q,2)=0,"",VLOOKUP(Table91213[[#This Row],[Date]],'DB Details'!$A:$Q,2))</f>
        <v/>
      </c>
      <c r="C165" s="51">
        <f>IF(VLOOKUP(Table91213[[#This Row],[Date]],'DB Details'!$A:$Q,3)=0,"",VLOOKUP(Table91213[[#This Row],[Date]],'DB Details'!$A:$Q,3))</f>
        <v/>
      </c>
      <c r="D165" s="51">
        <f>IF(VLOOKUP(Table91213[[#This Row],[Date]],'DB Details'!$A:$Q,4)=0,"",VLOOKUP(Table91213[[#This Row],[Date]],'DB Details'!$A:$Q,4))</f>
        <v/>
      </c>
      <c r="E165" s="52">
        <f>IF(VLOOKUP(Table91213[[#This Row],[Date]],'DB Details'!$A:$Q,5)=0,"",VLOOKUP(Table91213[[#This Row],[Date]],'DB Details'!$A:$Q,5))</f>
        <v/>
      </c>
      <c r="F165" s="51">
        <f>IF(VLOOKUP(Table91213[[#This Row],[Date]],'DB Details'!$A:$Q,6)=0,"",VLOOKUP(Table91213[[#This Row],[Date]],'DB Details'!$A:$Q,6))</f>
        <v/>
      </c>
      <c r="G165" s="52">
        <f>IF(VLOOKUP(Table91213[[#This Row],[Date]],'DB Details'!$A:$Q,7)=0,"",VLOOKUP(Table91213[[#This Row],[Date]],'DB Details'!$A:$Q,7))</f>
        <v/>
      </c>
      <c r="H165" s="52">
        <f>IF(VLOOKUP(Table91213[[#This Row],[Date]],'DB Details'!$A:$Q,8)=0,"",VLOOKUP(Table91213[[#This Row],[Date]],'DB Details'!$A:$Q,8))</f>
        <v/>
      </c>
      <c r="I165" s="52">
        <f>IF(VLOOKUP(Table91213[[#This Row],[Date]],'DB Details'!$A:$Q,9)=0,"",VLOOKUP(Table91213[[#This Row],[Date]],'DB Details'!$A:$Q,9))</f>
        <v/>
      </c>
      <c r="J165" s="52">
        <f>IF(VLOOKUP(Table91213[[#This Row],[Date]],'DB Details'!$A:$Q,10)=0,"",VLOOKUP(Table91213[[#This Row],[Date]],'DB Details'!$A:$Q,10))</f>
        <v/>
      </c>
      <c r="K165" s="52">
        <f>IF(VLOOKUP(Table91213[[#This Row],[Date]],'DB Details'!$A:$Q,11)=0,"",VLOOKUP(Table91213[[#This Row],[Date]],'DB Details'!$A:$Q,11))</f>
        <v/>
      </c>
      <c r="L165" s="50">
        <f>IF(VLOOKUP(Table91213[[#This Row],[Date]],'DB Details'!$A:$Q,12)=0,"",VLOOKUP(Table91213[[#This Row],[Date]],'DB Details'!$A:$Q,12))</f>
        <v/>
      </c>
    </row>
    <row r="166">
      <c r="A166" s="53" t="n">
        <v>40483</v>
      </c>
      <c r="B166" s="50">
        <f>IF(VLOOKUP(Table91213[[#This Row],[Date]],'DB Details'!$A:$Q,2)=0,"",VLOOKUP(Table91213[[#This Row],[Date]],'DB Details'!$A:$Q,2))</f>
        <v/>
      </c>
      <c r="C166" s="51">
        <f>IF(VLOOKUP(Table91213[[#This Row],[Date]],'DB Details'!$A:$Q,3)=0,"",VLOOKUP(Table91213[[#This Row],[Date]],'DB Details'!$A:$Q,3))</f>
        <v/>
      </c>
      <c r="D166" s="51">
        <f>IF(VLOOKUP(Table91213[[#This Row],[Date]],'DB Details'!$A:$Q,4)=0,"",VLOOKUP(Table91213[[#This Row],[Date]],'DB Details'!$A:$Q,4))</f>
        <v/>
      </c>
      <c r="E166" s="52">
        <f>IF(VLOOKUP(Table91213[[#This Row],[Date]],'DB Details'!$A:$Q,5)=0,"",VLOOKUP(Table91213[[#This Row],[Date]],'DB Details'!$A:$Q,5))</f>
        <v/>
      </c>
      <c r="F166" s="51">
        <f>IF(VLOOKUP(Table91213[[#This Row],[Date]],'DB Details'!$A:$Q,6)=0,"",VLOOKUP(Table91213[[#This Row],[Date]],'DB Details'!$A:$Q,6))</f>
        <v/>
      </c>
      <c r="G166" s="52">
        <f>IF(VLOOKUP(Table91213[[#This Row],[Date]],'DB Details'!$A:$Q,7)=0,"",VLOOKUP(Table91213[[#This Row],[Date]],'DB Details'!$A:$Q,7))</f>
        <v/>
      </c>
      <c r="H166" s="52">
        <f>IF(VLOOKUP(Table91213[[#This Row],[Date]],'DB Details'!$A:$Q,8)=0,"",VLOOKUP(Table91213[[#This Row],[Date]],'DB Details'!$A:$Q,8))</f>
        <v/>
      </c>
      <c r="I166" s="52">
        <f>IF(VLOOKUP(Table91213[[#This Row],[Date]],'DB Details'!$A:$Q,9)=0,"",VLOOKUP(Table91213[[#This Row],[Date]],'DB Details'!$A:$Q,9))</f>
        <v/>
      </c>
      <c r="J166" s="52">
        <f>IF(VLOOKUP(Table91213[[#This Row],[Date]],'DB Details'!$A:$Q,10)=0,"",VLOOKUP(Table91213[[#This Row],[Date]],'DB Details'!$A:$Q,10))</f>
        <v/>
      </c>
      <c r="K166" s="52">
        <f>IF(VLOOKUP(Table91213[[#This Row],[Date]],'DB Details'!$A:$Q,11)=0,"",VLOOKUP(Table91213[[#This Row],[Date]],'DB Details'!$A:$Q,11))</f>
        <v/>
      </c>
      <c r="L166" s="50">
        <f>IF(VLOOKUP(Table91213[[#This Row],[Date]],'DB Details'!$A:$Q,12)=0,"",VLOOKUP(Table91213[[#This Row],[Date]],'DB Details'!$A:$Q,12))</f>
        <v/>
      </c>
    </row>
    <row r="167">
      <c r="A167" s="53" t="n">
        <v>40513</v>
      </c>
      <c r="B167" s="50">
        <f>IF(VLOOKUP(Table91213[[#This Row],[Date]],'DB Details'!$A:$Q,2)=0,"",VLOOKUP(Table91213[[#This Row],[Date]],'DB Details'!$A:$Q,2))</f>
        <v/>
      </c>
      <c r="C167" s="51">
        <f>IF(VLOOKUP(Table91213[[#This Row],[Date]],'DB Details'!$A:$Q,3)=0,"",VLOOKUP(Table91213[[#This Row],[Date]],'DB Details'!$A:$Q,3))</f>
        <v/>
      </c>
      <c r="D167" s="51">
        <f>IF(VLOOKUP(Table91213[[#This Row],[Date]],'DB Details'!$A:$Q,4)=0,"",VLOOKUP(Table91213[[#This Row],[Date]],'DB Details'!$A:$Q,4))</f>
        <v/>
      </c>
      <c r="E167" s="52">
        <f>IF(VLOOKUP(Table91213[[#This Row],[Date]],'DB Details'!$A:$Q,5)=0,"",VLOOKUP(Table91213[[#This Row],[Date]],'DB Details'!$A:$Q,5))</f>
        <v/>
      </c>
      <c r="F167" s="51">
        <f>IF(VLOOKUP(Table91213[[#This Row],[Date]],'DB Details'!$A:$Q,6)=0,"",VLOOKUP(Table91213[[#This Row],[Date]],'DB Details'!$A:$Q,6))</f>
        <v/>
      </c>
      <c r="G167" s="52">
        <f>IF(VLOOKUP(Table91213[[#This Row],[Date]],'DB Details'!$A:$Q,7)=0,"",VLOOKUP(Table91213[[#This Row],[Date]],'DB Details'!$A:$Q,7))</f>
        <v/>
      </c>
      <c r="H167" s="52">
        <f>IF(VLOOKUP(Table91213[[#This Row],[Date]],'DB Details'!$A:$Q,8)=0,"",VLOOKUP(Table91213[[#This Row],[Date]],'DB Details'!$A:$Q,8))</f>
        <v/>
      </c>
      <c r="I167" s="52">
        <f>IF(VLOOKUP(Table91213[[#This Row],[Date]],'DB Details'!$A:$Q,9)=0,"",VLOOKUP(Table91213[[#This Row],[Date]],'DB Details'!$A:$Q,9))</f>
        <v/>
      </c>
      <c r="J167" s="52">
        <f>IF(VLOOKUP(Table91213[[#This Row],[Date]],'DB Details'!$A:$Q,10)=0,"",VLOOKUP(Table91213[[#This Row],[Date]],'DB Details'!$A:$Q,10))</f>
        <v/>
      </c>
      <c r="K167" s="52">
        <f>IF(VLOOKUP(Table91213[[#This Row],[Date]],'DB Details'!$A:$Q,11)=0,"",VLOOKUP(Table91213[[#This Row],[Date]],'DB Details'!$A:$Q,11))</f>
        <v/>
      </c>
      <c r="L167" s="50">
        <f>IF(VLOOKUP(Table91213[[#This Row],[Date]],'DB Details'!$A:$Q,12)=0,"",VLOOKUP(Table91213[[#This Row],[Date]],'DB Details'!$A:$Q,12))</f>
        <v/>
      </c>
    </row>
    <row r="168">
      <c r="A168" s="53" t="n">
        <v>40544</v>
      </c>
      <c r="B168" s="50">
        <f>IF(VLOOKUP(Table91213[[#This Row],[Date]],'DB Details'!$A:$Q,2)=0,"",VLOOKUP(Table91213[[#This Row],[Date]],'DB Details'!$A:$Q,2))</f>
        <v/>
      </c>
      <c r="C168" s="51">
        <f>IF(VLOOKUP(Table91213[[#This Row],[Date]],'DB Details'!$A:$Q,3)=0,"",VLOOKUP(Table91213[[#This Row],[Date]],'DB Details'!$A:$Q,3))</f>
        <v/>
      </c>
      <c r="D168" s="51">
        <f>IF(VLOOKUP(Table91213[[#This Row],[Date]],'DB Details'!$A:$Q,4)=0,"",VLOOKUP(Table91213[[#This Row],[Date]],'DB Details'!$A:$Q,4))</f>
        <v/>
      </c>
      <c r="E168" s="52">
        <f>IF(VLOOKUP(Table91213[[#This Row],[Date]],'DB Details'!$A:$Q,5)=0,"",VLOOKUP(Table91213[[#This Row],[Date]],'DB Details'!$A:$Q,5))</f>
        <v/>
      </c>
      <c r="F168" s="51">
        <f>IF(VLOOKUP(Table91213[[#This Row],[Date]],'DB Details'!$A:$Q,6)=0,"",VLOOKUP(Table91213[[#This Row],[Date]],'DB Details'!$A:$Q,6))</f>
        <v/>
      </c>
      <c r="G168" s="52">
        <f>IF(VLOOKUP(Table91213[[#This Row],[Date]],'DB Details'!$A:$Q,7)=0,"",VLOOKUP(Table91213[[#This Row],[Date]],'DB Details'!$A:$Q,7))</f>
        <v/>
      </c>
      <c r="H168" s="52">
        <f>IF(VLOOKUP(Table91213[[#This Row],[Date]],'DB Details'!$A:$Q,8)=0,"",VLOOKUP(Table91213[[#This Row],[Date]],'DB Details'!$A:$Q,8))</f>
        <v/>
      </c>
      <c r="I168" s="52">
        <f>IF(VLOOKUP(Table91213[[#This Row],[Date]],'DB Details'!$A:$Q,9)=0,"",VLOOKUP(Table91213[[#This Row],[Date]],'DB Details'!$A:$Q,9))</f>
        <v/>
      </c>
      <c r="J168" s="52">
        <f>IF(VLOOKUP(Table91213[[#This Row],[Date]],'DB Details'!$A:$Q,10)=0,"",VLOOKUP(Table91213[[#This Row],[Date]],'DB Details'!$A:$Q,10))</f>
        <v/>
      </c>
      <c r="K168" s="52">
        <f>IF(VLOOKUP(Table91213[[#This Row],[Date]],'DB Details'!$A:$Q,11)=0,"",VLOOKUP(Table91213[[#This Row],[Date]],'DB Details'!$A:$Q,11))</f>
        <v/>
      </c>
      <c r="L168" s="50">
        <f>IF(VLOOKUP(Table91213[[#This Row],[Date]],'DB Details'!$A:$Q,12)=0,"",VLOOKUP(Table91213[[#This Row],[Date]],'DB Details'!$A:$Q,12))</f>
        <v/>
      </c>
    </row>
    <row r="169">
      <c r="A169" s="53" t="n">
        <v>40575</v>
      </c>
      <c r="B169" s="50">
        <f>IF(VLOOKUP(Table91213[[#This Row],[Date]],'DB Details'!$A:$Q,2)=0,"",VLOOKUP(Table91213[[#This Row],[Date]],'DB Details'!$A:$Q,2))</f>
        <v/>
      </c>
      <c r="C169" s="51">
        <f>IF(VLOOKUP(Table91213[[#This Row],[Date]],'DB Details'!$A:$Q,3)=0,"",VLOOKUP(Table91213[[#This Row],[Date]],'DB Details'!$A:$Q,3))</f>
        <v/>
      </c>
      <c r="D169" s="51">
        <f>IF(VLOOKUP(Table91213[[#This Row],[Date]],'DB Details'!$A:$Q,4)=0,"",VLOOKUP(Table91213[[#This Row],[Date]],'DB Details'!$A:$Q,4))</f>
        <v/>
      </c>
      <c r="E169" s="52">
        <f>IF(VLOOKUP(Table91213[[#This Row],[Date]],'DB Details'!$A:$Q,5)=0,"",VLOOKUP(Table91213[[#This Row],[Date]],'DB Details'!$A:$Q,5))</f>
        <v/>
      </c>
      <c r="F169" s="51">
        <f>IF(VLOOKUP(Table91213[[#This Row],[Date]],'DB Details'!$A:$Q,6)=0,"",VLOOKUP(Table91213[[#This Row],[Date]],'DB Details'!$A:$Q,6))</f>
        <v/>
      </c>
      <c r="G169" s="52">
        <f>IF(VLOOKUP(Table91213[[#This Row],[Date]],'DB Details'!$A:$Q,7)=0,"",VLOOKUP(Table91213[[#This Row],[Date]],'DB Details'!$A:$Q,7))</f>
        <v/>
      </c>
      <c r="H169" s="52">
        <f>IF(VLOOKUP(Table91213[[#This Row],[Date]],'DB Details'!$A:$Q,8)=0,"",VLOOKUP(Table91213[[#This Row],[Date]],'DB Details'!$A:$Q,8))</f>
        <v/>
      </c>
      <c r="I169" s="52">
        <f>IF(VLOOKUP(Table91213[[#This Row],[Date]],'DB Details'!$A:$Q,9)=0,"",VLOOKUP(Table91213[[#This Row],[Date]],'DB Details'!$A:$Q,9))</f>
        <v/>
      </c>
      <c r="J169" s="52">
        <f>IF(VLOOKUP(Table91213[[#This Row],[Date]],'DB Details'!$A:$Q,10)=0,"",VLOOKUP(Table91213[[#This Row],[Date]],'DB Details'!$A:$Q,10))</f>
        <v/>
      </c>
      <c r="K169" s="52">
        <f>IF(VLOOKUP(Table91213[[#This Row],[Date]],'DB Details'!$A:$Q,11)=0,"",VLOOKUP(Table91213[[#This Row],[Date]],'DB Details'!$A:$Q,11))</f>
        <v/>
      </c>
      <c r="L169" s="50">
        <f>IF(VLOOKUP(Table91213[[#This Row],[Date]],'DB Details'!$A:$Q,12)=0,"",VLOOKUP(Table91213[[#This Row],[Date]],'DB Details'!$A:$Q,12))</f>
        <v/>
      </c>
    </row>
    <row r="170">
      <c r="A170" s="53" t="n">
        <v>40603</v>
      </c>
      <c r="B170" s="50">
        <f>IF(VLOOKUP(Table91213[[#This Row],[Date]],'DB Details'!$A:$Q,2)=0,"",VLOOKUP(Table91213[[#This Row],[Date]],'DB Details'!$A:$Q,2))</f>
        <v/>
      </c>
      <c r="C170" s="51">
        <f>IF(VLOOKUP(Table91213[[#This Row],[Date]],'DB Details'!$A:$Q,3)=0,"",VLOOKUP(Table91213[[#This Row],[Date]],'DB Details'!$A:$Q,3))</f>
        <v/>
      </c>
      <c r="D170" s="51">
        <f>IF(VLOOKUP(Table91213[[#This Row],[Date]],'DB Details'!$A:$Q,4)=0,"",VLOOKUP(Table91213[[#This Row],[Date]],'DB Details'!$A:$Q,4))</f>
        <v/>
      </c>
      <c r="E170" s="52">
        <f>IF(VLOOKUP(Table91213[[#This Row],[Date]],'DB Details'!$A:$Q,5)=0,"",VLOOKUP(Table91213[[#This Row],[Date]],'DB Details'!$A:$Q,5))</f>
        <v/>
      </c>
      <c r="F170" s="51">
        <f>IF(VLOOKUP(Table91213[[#This Row],[Date]],'DB Details'!$A:$Q,6)=0,"",VLOOKUP(Table91213[[#This Row],[Date]],'DB Details'!$A:$Q,6))</f>
        <v/>
      </c>
      <c r="G170" s="52">
        <f>IF(VLOOKUP(Table91213[[#This Row],[Date]],'DB Details'!$A:$Q,7)=0,"",VLOOKUP(Table91213[[#This Row],[Date]],'DB Details'!$A:$Q,7))</f>
        <v/>
      </c>
      <c r="H170" s="52">
        <f>IF(VLOOKUP(Table91213[[#This Row],[Date]],'DB Details'!$A:$Q,8)=0,"",VLOOKUP(Table91213[[#This Row],[Date]],'DB Details'!$A:$Q,8))</f>
        <v/>
      </c>
      <c r="I170" s="52">
        <f>IF(VLOOKUP(Table91213[[#This Row],[Date]],'DB Details'!$A:$Q,9)=0,"",VLOOKUP(Table91213[[#This Row],[Date]],'DB Details'!$A:$Q,9))</f>
        <v/>
      </c>
      <c r="J170" s="52">
        <f>IF(VLOOKUP(Table91213[[#This Row],[Date]],'DB Details'!$A:$Q,10)=0,"",VLOOKUP(Table91213[[#This Row],[Date]],'DB Details'!$A:$Q,10))</f>
        <v/>
      </c>
      <c r="K170" s="52">
        <f>IF(VLOOKUP(Table91213[[#This Row],[Date]],'DB Details'!$A:$Q,11)=0,"",VLOOKUP(Table91213[[#This Row],[Date]],'DB Details'!$A:$Q,11))</f>
        <v/>
      </c>
      <c r="L170" s="50">
        <f>IF(VLOOKUP(Table91213[[#This Row],[Date]],'DB Details'!$A:$Q,12)=0,"",VLOOKUP(Table91213[[#This Row],[Date]],'DB Details'!$A:$Q,12))</f>
        <v/>
      </c>
    </row>
    <row r="171">
      <c r="A171" s="53" t="n">
        <v>40634</v>
      </c>
      <c r="B171" s="50">
        <f>IF(VLOOKUP(Table91213[[#This Row],[Date]],'DB Details'!$A:$Q,2)=0,"",VLOOKUP(Table91213[[#This Row],[Date]],'DB Details'!$A:$Q,2))</f>
        <v/>
      </c>
      <c r="C171" s="51">
        <f>IF(VLOOKUP(Table91213[[#This Row],[Date]],'DB Details'!$A:$Q,3)=0,"",VLOOKUP(Table91213[[#This Row],[Date]],'DB Details'!$A:$Q,3))</f>
        <v/>
      </c>
      <c r="D171" s="51">
        <f>IF(VLOOKUP(Table91213[[#This Row],[Date]],'DB Details'!$A:$Q,4)=0,"",VLOOKUP(Table91213[[#This Row],[Date]],'DB Details'!$A:$Q,4))</f>
        <v/>
      </c>
      <c r="E171" s="52">
        <f>IF(VLOOKUP(Table91213[[#This Row],[Date]],'DB Details'!$A:$Q,5)=0,"",VLOOKUP(Table91213[[#This Row],[Date]],'DB Details'!$A:$Q,5))</f>
        <v/>
      </c>
      <c r="F171" s="51">
        <f>IF(VLOOKUP(Table91213[[#This Row],[Date]],'DB Details'!$A:$Q,6)=0,"",VLOOKUP(Table91213[[#This Row],[Date]],'DB Details'!$A:$Q,6))</f>
        <v/>
      </c>
      <c r="G171" s="52">
        <f>IF(VLOOKUP(Table91213[[#This Row],[Date]],'DB Details'!$A:$Q,7)=0,"",VLOOKUP(Table91213[[#This Row],[Date]],'DB Details'!$A:$Q,7))</f>
        <v/>
      </c>
      <c r="H171" s="52">
        <f>IF(VLOOKUP(Table91213[[#This Row],[Date]],'DB Details'!$A:$Q,8)=0,"",VLOOKUP(Table91213[[#This Row],[Date]],'DB Details'!$A:$Q,8))</f>
        <v/>
      </c>
      <c r="I171" s="52">
        <f>IF(VLOOKUP(Table91213[[#This Row],[Date]],'DB Details'!$A:$Q,9)=0,"",VLOOKUP(Table91213[[#This Row],[Date]],'DB Details'!$A:$Q,9))</f>
        <v/>
      </c>
      <c r="J171" s="52">
        <f>IF(VLOOKUP(Table91213[[#This Row],[Date]],'DB Details'!$A:$Q,10)=0,"",VLOOKUP(Table91213[[#This Row],[Date]],'DB Details'!$A:$Q,10))</f>
        <v/>
      </c>
      <c r="K171" s="52">
        <f>IF(VLOOKUP(Table91213[[#This Row],[Date]],'DB Details'!$A:$Q,11)=0,"",VLOOKUP(Table91213[[#This Row],[Date]],'DB Details'!$A:$Q,11))</f>
        <v/>
      </c>
      <c r="L171" s="50">
        <f>IF(VLOOKUP(Table91213[[#This Row],[Date]],'DB Details'!$A:$Q,12)=0,"",VLOOKUP(Table91213[[#This Row],[Date]],'DB Details'!$A:$Q,12))</f>
        <v/>
      </c>
    </row>
    <row r="172">
      <c r="A172" s="53" t="n">
        <v>40664</v>
      </c>
      <c r="B172" s="50">
        <f>IF(VLOOKUP(Table91213[[#This Row],[Date]],'DB Details'!$A:$Q,2)=0,"",VLOOKUP(Table91213[[#This Row],[Date]],'DB Details'!$A:$Q,2))</f>
        <v/>
      </c>
      <c r="C172" s="51">
        <f>IF(VLOOKUP(Table91213[[#This Row],[Date]],'DB Details'!$A:$Q,3)=0,"",VLOOKUP(Table91213[[#This Row],[Date]],'DB Details'!$A:$Q,3))</f>
        <v/>
      </c>
      <c r="D172" s="51">
        <f>IF(VLOOKUP(Table91213[[#This Row],[Date]],'DB Details'!$A:$Q,4)=0,"",VLOOKUP(Table91213[[#This Row],[Date]],'DB Details'!$A:$Q,4))</f>
        <v/>
      </c>
      <c r="E172" s="52">
        <f>IF(VLOOKUP(Table91213[[#This Row],[Date]],'DB Details'!$A:$Q,5)=0,"",VLOOKUP(Table91213[[#This Row],[Date]],'DB Details'!$A:$Q,5))</f>
        <v/>
      </c>
      <c r="F172" s="51">
        <f>IF(VLOOKUP(Table91213[[#This Row],[Date]],'DB Details'!$A:$Q,6)=0,"",VLOOKUP(Table91213[[#This Row],[Date]],'DB Details'!$A:$Q,6))</f>
        <v/>
      </c>
      <c r="G172" s="52">
        <f>IF(VLOOKUP(Table91213[[#This Row],[Date]],'DB Details'!$A:$Q,7)=0,"",VLOOKUP(Table91213[[#This Row],[Date]],'DB Details'!$A:$Q,7))</f>
        <v/>
      </c>
      <c r="H172" s="52">
        <f>IF(VLOOKUP(Table91213[[#This Row],[Date]],'DB Details'!$A:$Q,8)=0,"",VLOOKUP(Table91213[[#This Row],[Date]],'DB Details'!$A:$Q,8))</f>
        <v/>
      </c>
      <c r="I172" s="52">
        <f>IF(VLOOKUP(Table91213[[#This Row],[Date]],'DB Details'!$A:$Q,9)=0,"",VLOOKUP(Table91213[[#This Row],[Date]],'DB Details'!$A:$Q,9))</f>
        <v/>
      </c>
      <c r="J172" s="52">
        <f>IF(VLOOKUP(Table91213[[#This Row],[Date]],'DB Details'!$A:$Q,10)=0,"",VLOOKUP(Table91213[[#This Row],[Date]],'DB Details'!$A:$Q,10))</f>
        <v/>
      </c>
      <c r="K172" s="52">
        <f>IF(VLOOKUP(Table91213[[#This Row],[Date]],'DB Details'!$A:$Q,11)=0,"",VLOOKUP(Table91213[[#This Row],[Date]],'DB Details'!$A:$Q,11))</f>
        <v/>
      </c>
      <c r="L172" s="50">
        <f>IF(VLOOKUP(Table91213[[#This Row],[Date]],'DB Details'!$A:$Q,12)=0,"",VLOOKUP(Table91213[[#This Row],[Date]],'DB Details'!$A:$Q,12))</f>
        <v/>
      </c>
    </row>
    <row r="173">
      <c r="A173" s="53" t="n">
        <v>40695</v>
      </c>
      <c r="B173" s="50">
        <f>IF(VLOOKUP(Table91213[[#This Row],[Date]],'DB Details'!$A:$Q,2)=0,"",VLOOKUP(Table91213[[#This Row],[Date]],'DB Details'!$A:$Q,2))</f>
        <v/>
      </c>
      <c r="C173" s="51">
        <f>IF(VLOOKUP(Table91213[[#This Row],[Date]],'DB Details'!$A:$Q,3)=0,"",VLOOKUP(Table91213[[#This Row],[Date]],'DB Details'!$A:$Q,3))</f>
        <v/>
      </c>
      <c r="D173" s="51">
        <f>IF(VLOOKUP(Table91213[[#This Row],[Date]],'DB Details'!$A:$Q,4)=0,"",VLOOKUP(Table91213[[#This Row],[Date]],'DB Details'!$A:$Q,4))</f>
        <v/>
      </c>
      <c r="E173" s="52">
        <f>IF(VLOOKUP(Table91213[[#This Row],[Date]],'DB Details'!$A:$Q,5)=0,"",VLOOKUP(Table91213[[#This Row],[Date]],'DB Details'!$A:$Q,5))</f>
        <v/>
      </c>
      <c r="F173" s="51">
        <f>IF(VLOOKUP(Table91213[[#This Row],[Date]],'DB Details'!$A:$Q,6)=0,"",VLOOKUP(Table91213[[#This Row],[Date]],'DB Details'!$A:$Q,6))</f>
        <v/>
      </c>
      <c r="G173" s="52">
        <f>IF(VLOOKUP(Table91213[[#This Row],[Date]],'DB Details'!$A:$Q,7)=0,"",VLOOKUP(Table91213[[#This Row],[Date]],'DB Details'!$A:$Q,7))</f>
        <v/>
      </c>
      <c r="H173" s="52">
        <f>IF(VLOOKUP(Table91213[[#This Row],[Date]],'DB Details'!$A:$Q,8)=0,"",VLOOKUP(Table91213[[#This Row],[Date]],'DB Details'!$A:$Q,8))</f>
        <v/>
      </c>
      <c r="I173" s="52">
        <f>IF(VLOOKUP(Table91213[[#This Row],[Date]],'DB Details'!$A:$Q,9)=0,"",VLOOKUP(Table91213[[#This Row],[Date]],'DB Details'!$A:$Q,9))</f>
        <v/>
      </c>
      <c r="J173" s="52">
        <f>IF(VLOOKUP(Table91213[[#This Row],[Date]],'DB Details'!$A:$Q,10)=0,"",VLOOKUP(Table91213[[#This Row],[Date]],'DB Details'!$A:$Q,10))</f>
        <v/>
      </c>
      <c r="K173" s="52">
        <f>IF(VLOOKUP(Table91213[[#This Row],[Date]],'DB Details'!$A:$Q,11)=0,"",VLOOKUP(Table91213[[#This Row],[Date]],'DB Details'!$A:$Q,11))</f>
        <v/>
      </c>
      <c r="L173" s="50">
        <f>IF(VLOOKUP(Table91213[[#This Row],[Date]],'DB Details'!$A:$Q,12)=0,"",VLOOKUP(Table91213[[#This Row],[Date]],'DB Details'!$A:$Q,12))</f>
        <v/>
      </c>
    </row>
    <row r="174">
      <c r="A174" s="53" t="n">
        <v>40725</v>
      </c>
      <c r="B174" s="50">
        <f>IF(VLOOKUP(Table91213[[#This Row],[Date]],'DB Details'!$A:$Q,2)=0,"",VLOOKUP(Table91213[[#This Row],[Date]],'DB Details'!$A:$Q,2))</f>
        <v/>
      </c>
      <c r="C174" s="51">
        <f>IF(VLOOKUP(Table91213[[#This Row],[Date]],'DB Details'!$A:$Q,3)=0,"",VLOOKUP(Table91213[[#This Row],[Date]],'DB Details'!$A:$Q,3))</f>
        <v/>
      </c>
      <c r="D174" s="51">
        <f>IF(VLOOKUP(Table91213[[#This Row],[Date]],'DB Details'!$A:$Q,4)=0,"",VLOOKUP(Table91213[[#This Row],[Date]],'DB Details'!$A:$Q,4))</f>
        <v/>
      </c>
      <c r="E174" s="52">
        <f>IF(VLOOKUP(Table91213[[#This Row],[Date]],'DB Details'!$A:$Q,5)=0,"",VLOOKUP(Table91213[[#This Row],[Date]],'DB Details'!$A:$Q,5))</f>
        <v/>
      </c>
      <c r="F174" s="51">
        <f>IF(VLOOKUP(Table91213[[#This Row],[Date]],'DB Details'!$A:$Q,6)=0,"",VLOOKUP(Table91213[[#This Row],[Date]],'DB Details'!$A:$Q,6))</f>
        <v/>
      </c>
      <c r="G174" s="52">
        <f>IF(VLOOKUP(Table91213[[#This Row],[Date]],'DB Details'!$A:$Q,7)=0,"",VLOOKUP(Table91213[[#This Row],[Date]],'DB Details'!$A:$Q,7))</f>
        <v/>
      </c>
      <c r="H174" s="52">
        <f>IF(VLOOKUP(Table91213[[#This Row],[Date]],'DB Details'!$A:$Q,8)=0,"",VLOOKUP(Table91213[[#This Row],[Date]],'DB Details'!$A:$Q,8))</f>
        <v/>
      </c>
      <c r="I174" s="52">
        <f>IF(VLOOKUP(Table91213[[#This Row],[Date]],'DB Details'!$A:$Q,9)=0,"",VLOOKUP(Table91213[[#This Row],[Date]],'DB Details'!$A:$Q,9))</f>
        <v/>
      </c>
      <c r="J174" s="52">
        <f>IF(VLOOKUP(Table91213[[#This Row],[Date]],'DB Details'!$A:$Q,10)=0,"",VLOOKUP(Table91213[[#This Row],[Date]],'DB Details'!$A:$Q,10))</f>
        <v/>
      </c>
      <c r="K174" s="52">
        <f>IF(VLOOKUP(Table91213[[#This Row],[Date]],'DB Details'!$A:$Q,11)=0,"",VLOOKUP(Table91213[[#This Row],[Date]],'DB Details'!$A:$Q,11))</f>
        <v/>
      </c>
      <c r="L174" s="50">
        <f>IF(VLOOKUP(Table91213[[#This Row],[Date]],'DB Details'!$A:$Q,12)=0,"",VLOOKUP(Table91213[[#This Row],[Date]],'DB Details'!$A:$Q,12))</f>
        <v/>
      </c>
    </row>
    <row r="175">
      <c r="A175" s="53" t="n">
        <v>40756</v>
      </c>
      <c r="B175" s="50">
        <f>IF(VLOOKUP(Table91213[[#This Row],[Date]],'DB Details'!$A:$Q,2)=0,"",VLOOKUP(Table91213[[#This Row],[Date]],'DB Details'!$A:$Q,2))</f>
        <v/>
      </c>
      <c r="C175" s="51">
        <f>IF(VLOOKUP(Table91213[[#This Row],[Date]],'DB Details'!$A:$Q,3)=0,"",VLOOKUP(Table91213[[#This Row],[Date]],'DB Details'!$A:$Q,3))</f>
        <v/>
      </c>
      <c r="D175" s="51">
        <f>IF(VLOOKUP(Table91213[[#This Row],[Date]],'DB Details'!$A:$Q,4)=0,"",VLOOKUP(Table91213[[#This Row],[Date]],'DB Details'!$A:$Q,4))</f>
        <v/>
      </c>
      <c r="E175" s="52">
        <f>IF(VLOOKUP(Table91213[[#This Row],[Date]],'DB Details'!$A:$Q,5)=0,"",VLOOKUP(Table91213[[#This Row],[Date]],'DB Details'!$A:$Q,5))</f>
        <v/>
      </c>
      <c r="F175" s="51">
        <f>IF(VLOOKUP(Table91213[[#This Row],[Date]],'DB Details'!$A:$Q,6)=0,"",VLOOKUP(Table91213[[#This Row],[Date]],'DB Details'!$A:$Q,6))</f>
        <v/>
      </c>
      <c r="G175" s="52">
        <f>IF(VLOOKUP(Table91213[[#This Row],[Date]],'DB Details'!$A:$Q,7)=0,"",VLOOKUP(Table91213[[#This Row],[Date]],'DB Details'!$A:$Q,7))</f>
        <v/>
      </c>
      <c r="H175" s="52">
        <f>IF(VLOOKUP(Table91213[[#This Row],[Date]],'DB Details'!$A:$Q,8)=0,"",VLOOKUP(Table91213[[#This Row],[Date]],'DB Details'!$A:$Q,8))</f>
        <v/>
      </c>
      <c r="I175" s="52">
        <f>IF(VLOOKUP(Table91213[[#This Row],[Date]],'DB Details'!$A:$Q,9)=0,"",VLOOKUP(Table91213[[#This Row],[Date]],'DB Details'!$A:$Q,9))</f>
        <v/>
      </c>
      <c r="J175" s="52">
        <f>IF(VLOOKUP(Table91213[[#This Row],[Date]],'DB Details'!$A:$Q,10)=0,"",VLOOKUP(Table91213[[#This Row],[Date]],'DB Details'!$A:$Q,10))</f>
        <v/>
      </c>
      <c r="K175" s="52">
        <f>IF(VLOOKUP(Table91213[[#This Row],[Date]],'DB Details'!$A:$Q,11)=0,"",VLOOKUP(Table91213[[#This Row],[Date]],'DB Details'!$A:$Q,11))</f>
        <v/>
      </c>
      <c r="L175" s="50">
        <f>IF(VLOOKUP(Table91213[[#This Row],[Date]],'DB Details'!$A:$Q,12)=0,"",VLOOKUP(Table91213[[#This Row],[Date]],'DB Details'!$A:$Q,12))</f>
        <v/>
      </c>
    </row>
    <row r="176">
      <c r="A176" s="53" t="n">
        <v>40787</v>
      </c>
      <c r="B176" s="50">
        <f>IF(VLOOKUP(Table91213[[#This Row],[Date]],'DB Details'!$A:$Q,2)=0,"",VLOOKUP(Table91213[[#This Row],[Date]],'DB Details'!$A:$Q,2))</f>
        <v/>
      </c>
      <c r="C176" s="51">
        <f>IF(VLOOKUP(Table91213[[#This Row],[Date]],'DB Details'!$A:$Q,3)=0,"",VLOOKUP(Table91213[[#This Row],[Date]],'DB Details'!$A:$Q,3))</f>
        <v/>
      </c>
      <c r="D176" s="51">
        <f>IF(VLOOKUP(Table91213[[#This Row],[Date]],'DB Details'!$A:$Q,4)=0,"",VLOOKUP(Table91213[[#This Row],[Date]],'DB Details'!$A:$Q,4))</f>
        <v/>
      </c>
      <c r="E176" s="52">
        <f>IF(VLOOKUP(Table91213[[#This Row],[Date]],'DB Details'!$A:$Q,5)=0,"",VLOOKUP(Table91213[[#This Row],[Date]],'DB Details'!$A:$Q,5))</f>
        <v/>
      </c>
      <c r="F176" s="51">
        <f>IF(VLOOKUP(Table91213[[#This Row],[Date]],'DB Details'!$A:$Q,6)=0,"",VLOOKUP(Table91213[[#This Row],[Date]],'DB Details'!$A:$Q,6))</f>
        <v/>
      </c>
      <c r="G176" s="52">
        <f>IF(VLOOKUP(Table91213[[#This Row],[Date]],'DB Details'!$A:$Q,7)=0,"",VLOOKUP(Table91213[[#This Row],[Date]],'DB Details'!$A:$Q,7))</f>
        <v/>
      </c>
      <c r="H176" s="52">
        <f>IF(VLOOKUP(Table91213[[#This Row],[Date]],'DB Details'!$A:$Q,8)=0,"",VLOOKUP(Table91213[[#This Row],[Date]],'DB Details'!$A:$Q,8))</f>
        <v/>
      </c>
      <c r="I176" s="52">
        <f>IF(VLOOKUP(Table91213[[#This Row],[Date]],'DB Details'!$A:$Q,9)=0,"",VLOOKUP(Table91213[[#This Row],[Date]],'DB Details'!$A:$Q,9))</f>
        <v/>
      </c>
      <c r="J176" s="52">
        <f>IF(VLOOKUP(Table91213[[#This Row],[Date]],'DB Details'!$A:$Q,10)=0,"",VLOOKUP(Table91213[[#This Row],[Date]],'DB Details'!$A:$Q,10))</f>
        <v/>
      </c>
      <c r="K176" s="52">
        <f>IF(VLOOKUP(Table91213[[#This Row],[Date]],'DB Details'!$A:$Q,11)=0,"",VLOOKUP(Table91213[[#This Row],[Date]],'DB Details'!$A:$Q,11))</f>
        <v/>
      </c>
      <c r="L176" s="50">
        <f>IF(VLOOKUP(Table91213[[#This Row],[Date]],'DB Details'!$A:$Q,12)=0,"",VLOOKUP(Table91213[[#This Row],[Date]],'DB Details'!$A:$Q,12))</f>
        <v/>
      </c>
    </row>
    <row r="177">
      <c r="A177" s="53" t="n">
        <v>40817</v>
      </c>
      <c r="B177" s="50">
        <f>IF(VLOOKUP(Table91213[[#This Row],[Date]],'DB Details'!$A:$Q,2)=0,"",VLOOKUP(Table91213[[#This Row],[Date]],'DB Details'!$A:$Q,2))</f>
        <v/>
      </c>
      <c r="C177" s="51">
        <f>IF(VLOOKUP(Table91213[[#This Row],[Date]],'DB Details'!$A:$Q,3)=0,"",VLOOKUP(Table91213[[#This Row],[Date]],'DB Details'!$A:$Q,3))</f>
        <v/>
      </c>
      <c r="D177" s="51">
        <f>IF(VLOOKUP(Table91213[[#This Row],[Date]],'DB Details'!$A:$Q,4)=0,"",VLOOKUP(Table91213[[#This Row],[Date]],'DB Details'!$A:$Q,4))</f>
        <v/>
      </c>
      <c r="E177" s="52">
        <f>IF(VLOOKUP(Table91213[[#This Row],[Date]],'DB Details'!$A:$Q,5)=0,"",VLOOKUP(Table91213[[#This Row],[Date]],'DB Details'!$A:$Q,5))</f>
        <v/>
      </c>
      <c r="F177" s="51">
        <f>IF(VLOOKUP(Table91213[[#This Row],[Date]],'DB Details'!$A:$Q,6)=0,"",VLOOKUP(Table91213[[#This Row],[Date]],'DB Details'!$A:$Q,6))</f>
        <v/>
      </c>
      <c r="G177" s="52">
        <f>IF(VLOOKUP(Table91213[[#This Row],[Date]],'DB Details'!$A:$Q,7)=0,"",VLOOKUP(Table91213[[#This Row],[Date]],'DB Details'!$A:$Q,7))</f>
        <v/>
      </c>
      <c r="H177" s="52">
        <f>IF(VLOOKUP(Table91213[[#This Row],[Date]],'DB Details'!$A:$Q,8)=0,"",VLOOKUP(Table91213[[#This Row],[Date]],'DB Details'!$A:$Q,8))</f>
        <v/>
      </c>
      <c r="I177" s="52">
        <f>IF(VLOOKUP(Table91213[[#This Row],[Date]],'DB Details'!$A:$Q,9)=0,"",VLOOKUP(Table91213[[#This Row],[Date]],'DB Details'!$A:$Q,9))</f>
        <v/>
      </c>
      <c r="J177" s="52">
        <f>IF(VLOOKUP(Table91213[[#This Row],[Date]],'DB Details'!$A:$Q,10)=0,"",VLOOKUP(Table91213[[#This Row],[Date]],'DB Details'!$A:$Q,10))</f>
        <v/>
      </c>
      <c r="K177" s="52">
        <f>IF(VLOOKUP(Table91213[[#This Row],[Date]],'DB Details'!$A:$Q,11)=0,"",VLOOKUP(Table91213[[#This Row],[Date]],'DB Details'!$A:$Q,11))</f>
        <v/>
      </c>
      <c r="L177" s="50">
        <f>IF(VLOOKUP(Table91213[[#This Row],[Date]],'DB Details'!$A:$Q,12)=0,"",VLOOKUP(Table91213[[#This Row],[Date]],'DB Details'!$A:$Q,12))</f>
        <v/>
      </c>
    </row>
    <row r="178">
      <c r="A178" s="53" t="n">
        <v>40848</v>
      </c>
      <c r="B178" s="50">
        <f>IF(VLOOKUP(Table91213[[#This Row],[Date]],'DB Details'!$A:$Q,2)=0,"",VLOOKUP(Table91213[[#This Row],[Date]],'DB Details'!$A:$Q,2))</f>
        <v/>
      </c>
      <c r="C178" s="51">
        <f>IF(VLOOKUP(Table91213[[#This Row],[Date]],'DB Details'!$A:$Q,3)=0,"",VLOOKUP(Table91213[[#This Row],[Date]],'DB Details'!$A:$Q,3))</f>
        <v/>
      </c>
      <c r="D178" s="51">
        <f>IF(VLOOKUP(Table91213[[#This Row],[Date]],'DB Details'!$A:$Q,4)=0,"",VLOOKUP(Table91213[[#This Row],[Date]],'DB Details'!$A:$Q,4))</f>
        <v/>
      </c>
      <c r="E178" s="52">
        <f>IF(VLOOKUP(Table91213[[#This Row],[Date]],'DB Details'!$A:$Q,5)=0,"",VLOOKUP(Table91213[[#This Row],[Date]],'DB Details'!$A:$Q,5))</f>
        <v/>
      </c>
      <c r="F178" s="51">
        <f>IF(VLOOKUP(Table91213[[#This Row],[Date]],'DB Details'!$A:$Q,6)=0,"",VLOOKUP(Table91213[[#This Row],[Date]],'DB Details'!$A:$Q,6))</f>
        <v/>
      </c>
      <c r="G178" s="52">
        <f>IF(VLOOKUP(Table91213[[#This Row],[Date]],'DB Details'!$A:$Q,7)=0,"",VLOOKUP(Table91213[[#This Row],[Date]],'DB Details'!$A:$Q,7))</f>
        <v/>
      </c>
      <c r="H178" s="52">
        <f>IF(VLOOKUP(Table91213[[#This Row],[Date]],'DB Details'!$A:$Q,8)=0,"",VLOOKUP(Table91213[[#This Row],[Date]],'DB Details'!$A:$Q,8))</f>
        <v/>
      </c>
      <c r="I178" s="52">
        <f>IF(VLOOKUP(Table91213[[#This Row],[Date]],'DB Details'!$A:$Q,9)=0,"",VLOOKUP(Table91213[[#This Row],[Date]],'DB Details'!$A:$Q,9))</f>
        <v/>
      </c>
      <c r="J178" s="52">
        <f>IF(VLOOKUP(Table91213[[#This Row],[Date]],'DB Details'!$A:$Q,10)=0,"",VLOOKUP(Table91213[[#This Row],[Date]],'DB Details'!$A:$Q,10))</f>
        <v/>
      </c>
      <c r="K178" s="52">
        <f>IF(VLOOKUP(Table91213[[#This Row],[Date]],'DB Details'!$A:$Q,11)=0,"",VLOOKUP(Table91213[[#This Row],[Date]],'DB Details'!$A:$Q,11))</f>
        <v/>
      </c>
      <c r="L178" s="50">
        <f>IF(VLOOKUP(Table91213[[#This Row],[Date]],'DB Details'!$A:$Q,12)=0,"",VLOOKUP(Table91213[[#This Row],[Date]],'DB Details'!$A:$Q,12))</f>
        <v/>
      </c>
    </row>
    <row r="179">
      <c r="A179" s="53" t="n">
        <v>40878</v>
      </c>
      <c r="B179" s="50">
        <f>IF(VLOOKUP(Table91213[[#This Row],[Date]],'DB Details'!$A:$Q,2)=0,"",VLOOKUP(Table91213[[#This Row],[Date]],'DB Details'!$A:$Q,2))</f>
        <v/>
      </c>
      <c r="C179" s="51">
        <f>IF(VLOOKUP(Table91213[[#This Row],[Date]],'DB Details'!$A:$Q,3)=0,"",VLOOKUP(Table91213[[#This Row],[Date]],'DB Details'!$A:$Q,3))</f>
        <v/>
      </c>
      <c r="D179" s="51">
        <f>IF(VLOOKUP(Table91213[[#This Row],[Date]],'DB Details'!$A:$Q,4)=0,"",VLOOKUP(Table91213[[#This Row],[Date]],'DB Details'!$A:$Q,4))</f>
        <v/>
      </c>
      <c r="E179" s="52">
        <f>IF(VLOOKUP(Table91213[[#This Row],[Date]],'DB Details'!$A:$Q,5)=0,"",VLOOKUP(Table91213[[#This Row],[Date]],'DB Details'!$A:$Q,5))</f>
        <v/>
      </c>
      <c r="F179" s="51">
        <f>IF(VLOOKUP(Table91213[[#This Row],[Date]],'DB Details'!$A:$Q,6)=0,"",VLOOKUP(Table91213[[#This Row],[Date]],'DB Details'!$A:$Q,6))</f>
        <v/>
      </c>
      <c r="G179" s="52">
        <f>IF(VLOOKUP(Table91213[[#This Row],[Date]],'DB Details'!$A:$Q,7)=0,"",VLOOKUP(Table91213[[#This Row],[Date]],'DB Details'!$A:$Q,7))</f>
        <v/>
      </c>
      <c r="H179" s="52">
        <f>IF(VLOOKUP(Table91213[[#This Row],[Date]],'DB Details'!$A:$Q,8)=0,"",VLOOKUP(Table91213[[#This Row],[Date]],'DB Details'!$A:$Q,8))</f>
        <v/>
      </c>
      <c r="I179" s="52">
        <f>IF(VLOOKUP(Table91213[[#This Row],[Date]],'DB Details'!$A:$Q,9)=0,"",VLOOKUP(Table91213[[#This Row],[Date]],'DB Details'!$A:$Q,9))</f>
        <v/>
      </c>
      <c r="J179" s="52">
        <f>IF(VLOOKUP(Table91213[[#This Row],[Date]],'DB Details'!$A:$Q,10)=0,"",VLOOKUP(Table91213[[#This Row],[Date]],'DB Details'!$A:$Q,10))</f>
        <v/>
      </c>
      <c r="K179" s="52">
        <f>IF(VLOOKUP(Table91213[[#This Row],[Date]],'DB Details'!$A:$Q,11)=0,"",VLOOKUP(Table91213[[#This Row],[Date]],'DB Details'!$A:$Q,11))</f>
        <v/>
      </c>
      <c r="L179" s="50">
        <f>IF(VLOOKUP(Table91213[[#This Row],[Date]],'DB Details'!$A:$Q,12)=0,"",VLOOKUP(Table91213[[#This Row],[Date]],'DB Details'!$A:$Q,12))</f>
        <v/>
      </c>
    </row>
    <row r="180">
      <c r="A180" s="53" t="n">
        <v>40909</v>
      </c>
      <c r="B180" s="50">
        <f>IF(VLOOKUP(Table91213[[#This Row],[Date]],'DB Details'!$A:$Q,2)=0,"",VLOOKUP(Table91213[[#This Row],[Date]],'DB Details'!$A:$Q,2))</f>
        <v/>
      </c>
      <c r="C180" s="51">
        <f>IF(VLOOKUP(Table91213[[#This Row],[Date]],'DB Details'!$A:$Q,3)=0,"",VLOOKUP(Table91213[[#This Row],[Date]],'DB Details'!$A:$Q,3))</f>
        <v/>
      </c>
      <c r="D180" s="51">
        <f>IF(VLOOKUP(Table91213[[#This Row],[Date]],'DB Details'!$A:$Q,4)=0,"",VLOOKUP(Table91213[[#This Row],[Date]],'DB Details'!$A:$Q,4))</f>
        <v/>
      </c>
      <c r="E180" s="52">
        <f>IF(VLOOKUP(Table91213[[#This Row],[Date]],'DB Details'!$A:$Q,5)=0,"",VLOOKUP(Table91213[[#This Row],[Date]],'DB Details'!$A:$Q,5))</f>
        <v/>
      </c>
      <c r="F180" s="51">
        <f>IF(VLOOKUP(Table91213[[#This Row],[Date]],'DB Details'!$A:$Q,6)=0,"",VLOOKUP(Table91213[[#This Row],[Date]],'DB Details'!$A:$Q,6))</f>
        <v/>
      </c>
      <c r="G180" s="52">
        <f>IF(VLOOKUP(Table91213[[#This Row],[Date]],'DB Details'!$A:$Q,7)=0,"",VLOOKUP(Table91213[[#This Row],[Date]],'DB Details'!$A:$Q,7))</f>
        <v/>
      </c>
      <c r="H180" s="52">
        <f>IF(VLOOKUP(Table91213[[#This Row],[Date]],'DB Details'!$A:$Q,8)=0,"",VLOOKUP(Table91213[[#This Row],[Date]],'DB Details'!$A:$Q,8))</f>
        <v/>
      </c>
      <c r="I180" s="52">
        <f>IF(VLOOKUP(Table91213[[#This Row],[Date]],'DB Details'!$A:$Q,9)=0,"",VLOOKUP(Table91213[[#This Row],[Date]],'DB Details'!$A:$Q,9))</f>
        <v/>
      </c>
      <c r="J180" s="52">
        <f>IF(VLOOKUP(Table91213[[#This Row],[Date]],'DB Details'!$A:$Q,10)=0,"",VLOOKUP(Table91213[[#This Row],[Date]],'DB Details'!$A:$Q,10))</f>
        <v/>
      </c>
      <c r="K180" s="52">
        <f>IF(VLOOKUP(Table91213[[#This Row],[Date]],'DB Details'!$A:$Q,11)=0,"",VLOOKUP(Table91213[[#This Row],[Date]],'DB Details'!$A:$Q,11))</f>
        <v/>
      </c>
      <c r="L180" s="50">
        <f>IF(VLOOKUP(Table91213[[#This Row],[Date]],'DB Details'!$A:$Q,12)=0,"",VLOOKUP(Table91213[[#This Row],[Date]],'DB Details'!$A:$Q,12))</f>
        <v/>
      </c>
    </row>
    <row r="181">
      <c r="A181" s="53" t="n">
        <v>40940</v>
      </c>
      <c r="B181" s="50">
        <f>IF(VLOOKUP(Table91213[[#This Row],[Date]],'DB Details'!$A:$Q,2)=0,"",VLOOKUP(Table91213[[#This Row],[Date]],'DB Details'!$A:$Q,2))</f>
        <v/>
      </c>
      <c r="C181" s="51">
        <f>IF(VLOOKUP(Table91213[[#This Row],[Date]],'DB Details'!$A:$Q,3)=0,"",VLOOKUP(Table91213[[#This Row],[Date]],'DB Details'!$A:$Q,3))</f>
        <v/>
      </c>
      <c r="D181" s="51">
        <f>IF(VLOOKUP(Table91213[[#This Row],[Date]],'DB Details'!$A:$Q,4)=0,"",VLOOKUP(Table91213[[#This Row],[Date]],'DB Details'!$A:$Q,4))</f>
        <v/>
      </c>
      <c r="E181" s="52">
        <f>IF(VLOOKUP(Table91213[[#This Row],[Date]],'DB Details'!$A:$Q,5)=0,"",VLOOKUP(Table91213[[#This Row],[Date]],'DB Details'!$A:$Q,5))</f>
        <v/>
      </c>
      <c r="F181" s="51">
        <f>IF(VLOOKUP(Table91213[[#This Row],[Date]],'DB Details'!$A:$Q,6)=0,"",VLOOKUP(Table91213[[#This Row],[Date]],'DB Details'!$A:$Q,6))</f>
        <v/>
      </c>
      <c r="G181" s="52">
        <f>IF(VLOOKUP(Table91213[[#This Row],[Date]],'DB Details'!$A:$Q,7)=0,"",VLOOKUP(Table91213[[#This Row],[Date]],'DB Details'!$A:$Q,7))</f>
        <v/>
      </c>
      <c r="H181" s="52">
        <f>IF(VLOOKUP(Table91213[[#This Row],[Date]],'DB Details'!$A:$Q,8)=0,"",VLOOKUP(Table91213[[#This Row],[Date]],'DB Details'!$A:$Q,8))</f>
        <v/>
      </c>
      <c r="I181" s="52">
        <f>IF(VLOOKUP(Table91213[[#This Row],[Date]],'DB Details'!$A:$Q,9)=0,"",VLOOKUP(Table91213[[#This Row],[Date]],'DB Details'!$A:$Q,9))</f>
        <v/>
      </c>
      <c r="J181" s="52">
        <f>IF(VLOOKUP(Table91213[[#This Row],[Date]],'DB Details'!$A:$Q,10)=0,"",VLOOKUP(Table91213[[#This Row],[Date]],'DB Details'!$A:$Q,10))</f>
        <v/>
      </c>
      <c r="K181" s="52">
        <f>IF(VLOOKUP(Table91213[[#This Row],[Date]],'DB Details'!$A:$Q,11)=0,"",VLOOKUP(Table91213[[#This Row],[Date]],'DB Details'!$A:$Q,11))</f>
        <v/>
      </c>
      <c r="L181" s="50">
        <f>IF(VLOOKUP(Table91213[[#This Row],[Date]],'DB Details'!$A:$Q,12)=0,"",VLOOKUP(Table91213[[#This Row],[Date]],'DB Details'!$A:$Q,12))</f>
        <v/>
      </c>
    </row>
    <row r="182">
      <c r="A182" s="53" t="n">
        <v>40969</v>
      </c>
      <c r="B182" s="50">
        <f>IF(VLOOKUP(Table91213[[#This Row],[Date]],'DB Details'!$A:$Q,2)=0,"",VLOOKUP(Table91213[[#This Row],[Date]],'DB Details'!$A:$Q,2))</f>
        <v/>
      </c>
      <c r="C182" s="51">
        <f>IF(VLOOKUP(Table91213[[#This Row],[Date]],'DB Details'!$A:$Q,3)=0,"",VLOOKUP(Table91213[[#This Row],[Date]],'DB Details'!$A:$Q,3))</f>
        <v/>
      </c>
      <c r="D182" s="51">
        <f>IF(VLOOKUP(Table91213[[#This Row],[Date]],'DB Details'!$A:$Q,4)=0,"",VLOOKUP(Table91213[[#This Row],[Date]],'DB Details'!$A:$Q,4))</f>
        <v/>
      </c>
      <c r="E182" s="52">
        <f>IF(VLOOKUP(Table91213[[#This Row],[Date]],'DB Details'!$A:$Q,5)=0,"",VLOOKUP(Table91213[[#This Row],[Date]],'DB Details'!$A:$Q,5))</f>
        <v/>
      </c>
      <c r="F182" s="51">
        <f>IF(VLOOKUP(Table91213[[#This Row],[Date]],'DB Details'!$A:$Q,6)=0,"",VLOOKUP(Table91213[[#This Row],[Date]],'DB Details'!$A:$Q,6))</f>
        <v/>
      </c>
      <c r="G182" s="52">
        <f>IF(VLOOKUP(Table91213[[#This Row],[Date]],'DB Details'!$A:$Q,7)=0,"",VLOOKUP(Table91213[[#This Row],[Date]],'DB Details'!$A:$Q,7))</f>
        <v/>
      </c>
      <c r="H182" s="52">
        <f>IF(VLOOKUP(Table91213[[#This Row],[Date]],'DB Details'!$A:$Q,8)=0,"",VLOOKUP(Table91213[[#This Row],[Date]],'DB Details'!$A:$Q,8))</f>
        <v/>
      </c>
      <c r="I182" s="52">
        <f>IF(VLOOKUP(Table91213[[#This Row],[Date]],'DB Details'!$A:$Q,9)=0,"",VLOOKUP(Table91213[[#This Row],[Date]],'DB Details'!$A:$Q,9))</f>
        <v/>
      </c>
      <c r="J182" s="52">
        <f>IF(VLOOKUP(Table91213[[#This Row],[Date]],'DB Details'!$A:$Q,10)=0,"",VLOOKUP(Table91213[[#This Row],[Date]],'DB Details'!$A:$Q,10))</f>
        <v/>
      </c>
      <c r="K182" s="52">
        <f>IF(VLOOKUP(Table91213[[#This Row],[Date]],'DB Details'!$A:$Q,11)=0,"",VLOOKUP(Table91213[[#This Row],[Date]],'DB Details'!$A:$Q,11))</f>
        <v/>
      </c>
      <c r="L182" s="50">
        <f>IF(VLOOKUP(Table91213[[#This Row],[Date]],'DB Details'!$A:$Q,12)=0,"",VLOOKUP(Table91213[[#This Row],[Date]],'DB Details'!$A:$Q,12))</f>
        <v/>
      </c>
    </row>
    <row r="183">
      <c r="A183" s="53" t="n">
        <v>41000</v>
      </c>
      <c r="B183" s="50">
        <f>IF(VLOOKUP(Table91213[[#This Row],[Date]],'DB Details'!$A:$Q,2)=0,"",VLOOKUP(Table91213[[#This Row],[Date]],'DB Details'!$A:$Q,2))</f>
        <v/>
      </c>
      <c r="C183" s="51">
        <f>IF(VLOOKUP(Table91213[[#This Row],[Date]],'DB Details'!$A:$Q,3)=0,"",VLOOKUP(Table91213[[#This Row],[Date]],'DB Details'!$A:$Q,3))</f>
        <v/>
      </c>
      <c r="D183" s="51">
        <f>IF(VLOOKUP(Table91213[[#This Row],[Date]],'DB Details'!$A:$Q,4)=0,"",VLOOKUP(Table91213[[#This Row],[Date]],'DB Details'!$A:$Q,4))</f>
        <v/>
      </c>
      <c r="E183" s="52">
        <f>IF(VLOOKUP(Table91213[[#This Row],[Date]],'DB Details'!$A:$Q,5)=0,"",VLOOKUP(Table91213[[#This Row],[Date]],'DB Details'!$A:$Q,5))</f>
        <v/>
      </c>
      <c r="F183" s="51">
        <f>IF(VLOOKUP(Table91213[[#This Row],[Date]],'DB Details'!$A:$Q,6)=0,"",VLOOKUP(Table91213[[#This Row],[Date]],'DB Details'!$A:$Q,6))</f>
        <v/>
      </c>
      <c r="G183" s="52">
        <f>IF(VLOOKUP(Table91213[[#This Row],[Date]],'DB Details'!$A:$Q,7)=0,"",VLOOKUP(Table91213[[#This Row],[Date]],'DB Details'!$A:$Q,7))</f>
        <v/>
      </c>
      <c r="H183" s="52">
        <f>IF(VLOOKUP(Table91213[[#This Row],[Date]],'DB Details'!$A:$Q,8)=0,"",VLOOKUP(Table91213[[#This Row],[Date]],'DB Details'!$A:$Q,8))</f>
        <v/>
      </c>
      <c r="I183" s="52">
        <f>IF(VLOOKUP(Table91213[[#This Row],[Date]],'DB Details'!$A:$Q,9)=0,"",VLOOKUP(Table91213[[#This Row],[Date]],'DB Details'!$A:$Q,9))</f>
        <v/>
      </c>
      <c r="J183" s="52">
        <f>IF(VLOOKUP(Table91213[[#This Row],[Date]],'DB Details'!$A:$Q,10)=0,"",VLOOKUP(Table91213[[#This Row],[Date]],'DB Details'!$A:$Q,10))</f>
        <v/>
      </c>
      <c r="K183" s="52">
        <f>IF(VLOOKUP(Table91213[[#This Row],[Date]],'DB Details'!$A:$Q,11)=0,"",VLOOKUP(Table91213[[#This Row],[Date]],'DB Details'!$A:$Q,11))</f>
        <v/>
      </c>
      <c r="L183" s="50">
        <f>IF(VLOOKUP(Table91213[[#This Row],[Date]],'DB Details'!$A:$Q,12)=0,"",VLOOKUP(Table91213[[#This Row],[Date]],'DB Details'!$A:$Q,12))</f>
        <v/>
      </c>
    </row>
    <row r="184">
      <c r="A184" s="53" t="n">
        <v>41030</v>
      </c>
      <c r="B184" s="50">
        <f>IF(VLOOKUP(Table91213[[#This Row],[Date]],'DB Details'!$A:$Q,2)=0,"",VLOOKUP(Table91213[[#This Row],[Date]],'DB Details'!$A:$Q,2))</f>
        <v/>
      </c>
      <c r="C184" s="51">
        <f>IF(VLOOKUP(Table91213[[#This Row],[Date]],'DB Details'!$A:$Q,3)=0,"",VLOOKUP(Table91213[[#This Row],[Date]],'DB Details'!$A:$Q,3))</f>
        <v/>
      </c>
      <c r="D184" s="51">
        <f>IF(VLOOKUP(Table91213[[#This Row],[Date]],'DB Details'!$A:$Q,4)=0,"",VLOOKUP(Table91213[[#This Row],[Date]],'DB Details'!$A:$Q,4))</f>
        <v/>
      </c>
      <c r="E184" s="52">
        <f>IF(VLOOKUP(Table91213[[#This Row],[Date]],'DB Details'!$A:$Q,5)=0,"",VLOOKUP(Table91213[[#This Row],[Date]],'DB Details'!$A:$Q,5))</f>
        <v/>
      </c>
      <c r="F184" s="51">
        <f>IF(VLOOKUP(Table91213[[#This Row],[Date]],'DB Details'!$A:$Q,6)=0,"",VLOOKUP(Table91213[[#This Row],[Date]],'DB Details'!$A:$Q,6))</f>
        <v/>
      </c>
      <c r="G184" s="52">
        <f>IF(VLOOKUP(Table91213[[#This Row],[Date]],'DB Details'!$A:$Q,7)=0,"",VLOOKUP(Table91213[[#This Row],[Date]],'DB Details'!$A:$Q,7))</f>
        <v/>
      </c>
      <c r="H184" s="52">
        <f>IF(VLOOKUP(Table91213[[#This Row],[Date]],'DB Details'!$A:$Q,8)=0,"",VLOOKUP(Table91213[[#This Row],[Date]],'DB Details'!$A:$Q,8))</f>
        <v/>
      </c>
      <c r="I184" s="52">
        <f>IF(VLOOKUP(Table91213[[#This Row],[Date]],'DB Details'!$A:$Q,9)=0,"",VLOOKUP(Table91213[[#This Row],[Date]],'DB Details'!$A:$Q,9))</f>
        <v/>
      </c>
      <c r="J184" s="52">
        <f>IF(VLOOKUP(Table91213[[#This Row],[Date]],'DB Details'!$A:$Q,10)=0,"",VLOOKUP(Table91213[[#This Row],[Date]],'DB Details'!$A:$Q,10))</f>
        <v/>
      </c>
      <c r="K184" s="52">
        <f>IF(VLOOKUP(Table91213[[#This Row],[Date]],'DB Details'!$A:$Q,11)=0,"",VLOOKUP(Table91213[[#This Row],[Date]],'DB Details'!$A:$Q,11))</f>
        <v/>
      </c>
      <c r="L184" s="50">
        <f>IF(VLOOKUP(Table91213[[#This Row],[Date]],'DB Details'!$A:$Q,12)=0,"",VLOOKUP(Table91213[[#This Row],[Date]],'DB Details'!$A:$Q,12))</f>
        <v/>
      </c>
    </row>
    <row r="185">
      <c r="A185" s="53" t="n">
        <v>41061</v>
      </c>
      <c r="B185" s="50">
        <f>IF(VLOOKUP(Table91213[[#This Row],[Date]],'DB Details'!$A:$Q,2)=0,"",VLOOKUP(Table91213[[#This Row],[Date]],'DB Details'!$A:$Q,2))</f>
        <v/>
      </c>
      <c r="C185" s="51">
        <f>IF(VLOOKUP(Table91213[[#This Row],[Date]],'DB Details'!$A:$Q,3)=0,"",VLOOKUP(Table91213[[#This Row],[Date]],'DB Details'!$A:$Q,3))</f>
        <v/>
      </c>
      <c r="D185" s="51">
        <f>IF(VLOOKUP(Table91213[[#This Row],[Date]],'DB Details'!$A:$Q,4)=0,"",VLOOKUP(Table91213[[#This Row],[Date]],'DB Details'!$A:$Q,4))</f>
        <v/>
      </c>
      <c r="E185" s="52">
        <f>IF(VLOOKUP(Table91213[[#This Row],[Date]],'DB Details'!$A:$Q,5)=0,"",VLOOKUP(Table91213[[#This Row],[Date]],'DB Details'!$A:$Q,5))</f>
        <v/>
      </c>
      <c r="F185" s="51">
        <f>IF(VLOOKUP(Table91213[[#This Row],[Date]],'DB Details'!$A:$Q,6)=0,"",VLOOKUP(Table91213[[#This Row],[Date]],'DB Details'!$A:$Q,6))</f>
        <v/>
      </c>
      <c r="G185" s="52">
        <f>IF(VLOOKUP(Table91213[[#This Row],[Date]],'DB Details'!$A:$Q,7)=0,"",VLOOKUP(Table91213[[#This Row],[Date]],'DB Details'!$A:$Q,7))</f>
        <v/>
      </c>
      <c r="H185" s="52">
        <f>IF(VLOOKUP(Table91213[[#This Row],[Date]],'DB Details'!$A:$Q,8)=0,"",VLOOKUP(Table91213[[#This Row],[Date]],'DB Details'!$A:$Q,8))</f>
        <v/>
      </c>
      <c r="I185" s="52">
        <f>IF(VLOOKUP(Table91213[[#This Row],[Date]],'DB Details'!$A:$Q,9)=0,"",VLOOKUP(Table91213[[#This Row],[Date]],'DB Details'!$A:$Q,9))</f>
        <v/>
      </c>
      <c r="J185" s="52">
        <f>IF(VLOOKUP(Table91213[[#This Row],[Date]],'DB Details'!$A:$Q,10)=0,"",VLOOKUP(Table91213[[#This Row],[Date]],'DB Details'!$A:$Q,10))</f>
        <v/>
      </c>
      <c r="K185" s="52">
        <f>IF(VLOOKUP(Table91213[[#This Row],[Date]],'DB Details'!$A:$Q,11)=0,"",VLOOKUP(Table91213[[#This Row],[Date]],'DB Details'!$A:$Q,11))</f>
        <v/>
      </c>
      <c r="L185" s="50">
        <f>IF(VLOOKUP(Table91213[[#This Row],[Date]],'DB Details'!$A:$Q,12)=0,"",VLOOKUP(Table91213[[#This Row],[Date]],'DB Details'!$A:$Q,12))</f>
        <v/>
      </c>
    </row>
    <row r="186">
      <c r="A186" s="53" t="n">
        <v>41091</v>
      </c>
      <c r="B186" s="50">
        <f>IF(VLOOKUP(Table91213[[#This Row],[Date]],'DB Details'!$A:$Q,2)=0,"",VLOOKUP(Table91213[[#This Row],[Date]],'DB Details'!$A:$Q,2))</f>
        <v/>
      </c>
      <c r="C186" s="51">
        <f>IF(VLOOKUP(Table91213[[#This Row],[Date]],'DB Details'!$A:$Q,3)=0,"",VLOOKUP(Table91213[[#This Row],[Date]],'DB Details'!$A:$Q,3))</f>
        <v/>
      </c>
      <c r="D186" s="51">
        <f>IF(VLOOKUP(Table91213[[#This Row],[Date]],'DB Details'!$A:$Q,4)=0,"",VLOOKUP(Table91213[[#This Row],[Date]],'DB Details'!$A:$Q,4))</f>
        <v/>
      </c>
      <c r="E186" s="52">
        <f>IF(VLOOKUP(Table91213[[#This Row],[Date]],'DB Details'!$A:$Q,5)=0,"",VLOOKUP(Table91213[[#This Row],[Date]],'DB Details'!$A:$Q,5))</f>
        <v/>
      </c>
      <c r="F186" s="51">
        <f>IF(VLOOKUP(Table91213[[#This Row],[Date]],'DB Details'!$A:$Q,6)=0,"",VLOOKUP(Table91213[[#This Row],[Date]],'DB Details'!$A:$Q,6))</f>
        <v/>
      </c>
      <c r="G186" s="52">
        <f>IF(VLOOKUP(Table91213[[#This Row],[Date]],'DB Details'!$A:$Q,7)=0,"",VLOOKUP(Table91213[[#This Row],[Date]],'DB Details'!$A:$Q,7))</f>
        <v/>
      </c>
      <c r="H186" s="52">
        <f>IF(VLOOKUP(Table91213[[#This Row],[Date]],'DB Details'!$A:$Q,8)=0,"",VLOOKUP(Table91213[[#This Row],[Date]],'DB Details'!$A:$Q,8))</f>
        <v/>
      </c>
      <c r="I186" s="52">
        <f>IF(VLOOKUP(Table91213[[#This Row],[Date]],'DB Details'!$A:$Q,9)=0,"",VLOOKUP(Table91213[[#This Row],[Date]],'DB Details'!$A:$Q,9))</f>
        <v/>
      </c>
      <c r="J186" s="52">
        <f>IF(VLOOKUP(Table91213[[#This Row],[Date]],'DB Details'!$A:$Q,10)=0,"",VLOOKUP(Table91213[[#This Row],[Date]],'DB Details'!$A:$Q,10))</f>
        <v/>
      </c>
      <c r="K186" s="52">
        <f>IF(VLOOKUP(Table91213[[#This Row],[Date]],'DB Details'!$A:$Q,11)=0,"",VLOOKUP(Table91213[[#This Row],[Date]],'DB Details'!$A:$Q,11))</f>
        <v/>
      </c>
      <c r="L186" s="50">
        <f>IF(VLOOKUP(Table91213[[#This Row],[Date]],'DB Details'!$A:$Q,12)=0,"",VLOOKUP(Table91213[[#This Row],[Date]],'DB Details'!$A:$Q,12))</f>
        <v/>
      </c>
    </row>
    <row r="187">
      <c r="A187" s="53" t="n">
        <v>41122</v>
      </c>
      <c r="B187" s="50">
        <f>IF(VLOOKUP(Table91213[[#This Row],[Date]],'DB Details'!$A:$Q,2)=0,"",VLOOKUP(Table91213[[#This Row],[Date]],'DB Details'!$A:$Q,2))</f>
        <v/>
      </c>
      <c r="C187" s="51">
        <f>IF(VLOOKUP(Table91213[[#This Row],[Date]],'DB Details'!$A:$Q,3)=0,"",VLOOKUP(Table91213[[#This Row],[Date]],'DB Details'!$A:$Q,3))</f>
        <v/>
      </c>
      <c r="D187" s="51">
        <f>IF(VLOOKUP(Table91213[[#This Row],[Date]],'DB Details'!$A:$Q,4)=0,"",VLOOKUP(Table91213[[#This Row],[Date]],'DB Details'!$A:$Q,4))</f>
        <v/>
      </c>
      <c r="E187" s="52">
        <f>IF(VLOOKUP(Table91213[[#This Row],[Date]],'DB Details'!$A:$Q,5)=0,"",VLOOKUP(Table91213[[#This Row],[Date]],'DB Details'!$A:$Q,5))</f>
        <v/>
      </c>
      <c r="F187" s="51">
        <f>IF(VLOOKUP(Table91213[[#This Row],[Date]],'DB Details'!$A:$Q,6)=0,"",VLOOKUP(Table91213[[#This Row],[Date]],'DB Details'!$A:$Q,6))</f>
        <v/>
      </c>
      <c r="G187" s="52">
        <f>IF(VLOOKUP(Table91213[[#This Row],[Date]],'DB Details'!$A:$Q,7)=0,"",VLOOKUP(Table91213[[#This Row],[Date]],'DB Details'!$A:$Q,7))</f>
        <v/>
      </c>
      <c r="H187" s="52">
        <f>IF(VLOOKUP(Table91213[[#This Row],[Date]],'DB Details'!$A:$Q,8)=0,"",VLOOKUP(Table91213[[#This Row],[Date]],'DB Details'!$A:$Q,8))</f>
        <v/>
      </c>
      <c r="I187" s="52">
        <f>IF(VLOOKUP(Table91213[[#This Row],[Date]],'DB Details'!$A:$Q,9)=0,"",VLOOKUP(Table91213[[#This Row],[Date]],'DB Details'!$A:$Q,9))</f>
        <v/>
      </c>
      <c r="J187" s="52">
        <f>IF(VLOOKUP(Table91213[[#This Row],[Date]],'DB Details'!$A:$Q,10)=0,"",VLOOKUP(Table91213[[#This Row],[Date]],'DB Details'!$A:$Q,10))</f>
        <v/>
      </c>
      <c r="K187" s="52">
        <f>IF(VLOOKUP(Table91213[[#This Row],[Date]],'DB Details'!$A:$Q,11)=0,"",VLOOKUP(Table91213[[#This Row],[Date]],'DB Details'!$A:$Q,11))</f>
        <v/>
      </c>
      <c r="L187" s="50">
        <f>IF(VLOOKUP(Table91213[[#This Row],[Date]],'DB Details'!$A:$Q,12)=0,"",VLOOKUP(Table91213[[#This Row],[Date]],'DB Details'!$A:$Q,12))</f>
        <v/>
      </c>
    </row>
    <row r="188">
      <c r="A188" s="53" t="n">
        <v>41153</v>
      </c>
      <c r="B188" s="50">
        <f>IF(VLOOKUP(Table91213[[#This Row],[Date]],'DB Details'!$A:$Q,2)=0,"",VLOOKUP(Table91213[[#This Row],[Date]],'DB Details'!$A:$Q,2))</f>
        <v/>
      </c>
      <c r="C188" s="51">
        <f>IF(VLOOKUP(Table91213[[#This Row],[Date]],'DB Details'!$A:$Q,3)=0,"",VLOOKUP(Table91213[[#This Row],[Date]],'DB Details'!$A:$Q,3))</f>
        <v/>
      </c>
      <c r="D188" s="51">
        <f>IF(VLOOKUP(Table91213[[#This Row],[Date]],'DB Details'!$A:$Q,4)=0,"",VLOOKUP(Table91213[[#This Row],[Date]],'DB Details'!$A:$Q,4))</f>
        <v/>
      </c>
      <c r="E188" s="52">
        <f>IF(VLOOKUP(Table91213[[#This Row],[Date]],'DB Details'!$A:$Q,5)=0,"",VLOOKUP(Table91213[[#This Row],[Date]],'DB Details'!$A:$Q,5))</f>
        <v/>
      </c>
      <c r="F188" s="51">
        <f>IF(VLOOKUP(Table91213[[#This Row],[Date]],'DB Details'!$A:$Q,6)=0,"",VLOOKUP(Table91213[[#This Row],[Date]],'DB Details'!$A:$Q,6))</f>
        <v/>
      </c>
      <c r="G188" s="52">
        <f>IF(VLOOKUP(Table91213[[#This Row],[Date]],'DB Details'!$A:$Q,7)=0,"",VLOOKUP(Table91213[[#This Row],[Date]],'DB Details'!$A:$Q,7))</f>
        <v/>
      </c>
      <c r="H188" s="52">
        <f>IF(VLOOKUP(Table91213[[#This Row],[Date]],'DB Details'!$A:$Q,8)=0,"",VLOOKUP(Table91213[[#This Row],[Date]],'DB Details'!$A:$Q,8))</f>
        <v/>
      </c>
      <c r="I188" s="52">
        <f>IF(VLOOKUP(Table91213[[#This Row],[Date]],'DB Details'!$A:$Q,9)=0,"",VLOOKUP(Table91213[[#This Row],[Date]],'DB Details'!$A:$Q,9))</f>
        <v/>
      </c>
      <c r="J188" s="52">
        <f>IF(VLOOKUP(Table91213[[#This Row],[Date]],'DB Details'!$A:$Q,10)=0,"",VLOOKUP(Table91213[[#This Row],[Date]],'DB Details'!$A:$Q,10))</f>
        <v/>
      </c>
      <c r="K188" s="52">
        <f>IF(VLOOKUP(Table91213[[#This Row],[Date]],'DB Details'!$A:$Q,11)=0,"",VLOOKUP(Table91213[[#This Row],[Date]],'DB Details'!$A:$Q,11))</f>
        <v/>
      </c>
      <c r="L188" s="50">
        <f>IF(VLOOKUP(Table91213[[#This Row],[Date]],'DB Details'!$A:$Q,12)=0,"",VLOOKUP(Table91213[[#This Row],[Date]],'DB Details'!$A:$Q,12))</f>
        <v/>
      </c>
    </row>
    <row r="189">
      <c r="A189" s="53" t="n">
        <v>41183</v>
      </c>
      <c r="B189" s="50">
        <f>IF(VLOOKUP(Table91213[[#This Row],[Date]],'DB Details'!$A:$Q,2)=0,"",VLOOKUP(Table91213[[#This Row],[Date]],'DB Details'!$A:$Q,2))</f>
        <v/>
      </c>
      <c r="C189" s="51">
        <f>IF(VLOOKUP(Table91213[[#This Row],[Date]],'DB Details'!$A:$Q,3)=0,"",VLOOKUP(Table91213[[#This Row],[Date]],'DB Details'!$A:$Q,3))</f>
        <v/>
      </c>
      <c r="D189" s="51">
        <f>IF(VLOOKUP(Table91213[[#This Row],[Date]],'DB Details'!$A:$Q,4)=0,"",VLOOKUP(Table91213[[#This Row],[Date]],'DB Details'!$A:$Q,4))</f>
        <v/>
      </c>
      <c r="E189" s="52">
        <f>IF(VLOOKUP(Table91213[[#This Row],[Date]],'DB Details'!$A:$Q,5)=0,"",VLOOKUP(Table91213[[#This Row],[Date]],'DB Details'!$A:$Q,5))</f>
        <v/>
      </c>
      <c r="F189" s="51">
        <f>IF(VLOOKUP(Table91213[[#This Row],[Date]],'DB Details'!$A:$Q,6)=0,"",VLOOKUP(Table91213[[#This Row],[Date]],'DB Details'!$A:$Q,6))</f>
        <v/>
      </c>
      <c r="G189" s="52">
        <f>IF(VLOOKUP(Table91213[[#This Row],[Date]],'DB Details'!$A:$Q,7)=0,"",VLOOKUP(Table91213[[#This Row],[Date]],'DB Details'!$A:$Q,7))</f>
        <v/>
      </c>
      <c r="H189" s="52">
        <f>IF(VLOOKUP(Table91213[[#This Row],[Date]],'DB Details'!$A:$Q,8)=0,"",VLOOKUP(Table91213[[#This Row],[Date]],'DB Details'!$A:$Q,8))</f>
        <v/>
      </c>
      <c r="I189" s="52">
        <f>IF(VLOOKUP(Table91213[[#This Row],[Date]],'DB Details'!$A:$Q,9)=0,"",VLOOKUP(Table91213[[#This Row],[Date]],'DB Details'!$A:$Q,9))</f>
        <v/>
      </c>
      <c r="J189" s="52">
        <f>IF(VLOOKUP(Table91213[[#This Row],[Date]],'DB Details'!$A:$Q,10)=0,"",VLOOKUP(Table91213[[#This Row],[Date]],'DB Details'!$A:$Q,10))</f>
        <v/>
      </c>
      <c r="K189" s="52">
        <f>IF(VLOOKUP(Table91213[[#This Row],[Date]],'DB Details'!$A:$Q,11)=0,"",VLOOKUP(Table91213[[#This Row],[Date]],'DB Details'!$A:$Q,11))</f>
        <v/>
      </c>
      <c r="L189" s="50">
        <f>IF(VLOOKUP(Table91213[[#This Row],[Date]],'DB Details'!$A:$Q,12)=0,"",VLOOKUP(Table91213[[#This Row],[Date]],'DB Details'!$A:$Q,12))</f>
        <v/>
      </c>
    </row>
    <row r="190">
      <c r="A190" s="53" t="n">
        <v>41214</v>
      </c>
      <c r="B190" s="50">
        <f>IF(VLOOKUP(Table91213[[#This Row],[Date]],'DB Details'!$A:$Q,2)=0,"",VLOOKUP(Table91213[[#This Row],[Date]],'DB Details'!$A:$Q,2))</f>
        <v/>
      </c>
      <c r="C190" s="51">
        <f>IF(VLOOKUP(Table91213[[#This Row],[Date]],'DB Details'!$A:$Q,3)=0,"",VLOOKUP(Table91213[[#This Row],[Date]],'DB Details'!$A:$Q,3))</f>
        <v/>
      </c>
      <c r="D190" s="51">
        <f>IF(VLOOKUP(Table91213[[#This Row],[Date]],'DB Details'!$A:$Q,4)=0,"",VLOOKUP(Table91213[[#This Row],[Date]],'DB Details'!$A:$Q,4))</f>
        <v/>
      </c>
      <c r="E190" s="52">
        <f>IF(VLOOKUP(Table91213[[#This Row],[Date]],'DB Details'!$A:$Q,5)=0,"",VLOOKUP(Table91213[[#This Row],[Date]],'DB Details'!$A:$Q,5))</f>
        <v/>
      </c>
      <c r="F190" s="51">
        <f>IF(VLOOKUP(Table91213[[#This Row],[Date]],'DB Details'!$A:$Q,6)=0,"",VLOOKUP(Table91213[[#This Row],[Date]],'DB Details'!$A:$Q,6))</f>
        <v/>
      </c>
      <c r="G190" s="52">
        <f>IF(VLOOKUP(Table91213[[#This Row],[Date]],'DB Details'!$A:$Q,7)=0,"",VLOOKUP(Table91213[[#This Row],[Date]],'DB Details'!$A:$Q,7))</f>
        <v/>
      </c>
      <c r="H190" s="52">
        <f>IF(VLOOKUP(Table91213[[#This Row],[Date]],'DB Details'!$A:$Q,8)=0,"",VLOOKUP(Table91213[[#This Row],[Date]],'DB Details'!$A:$Q,8))</f>
        <v/>
      </c>
      <c r="I190" s="52">
        <f>IF(VLOOKUP(Table91213[[#This Row],[Date]],'DB Details'!$A:$Q,9)=0,"",VLOOKUP(Table91213[[#This Row],[Date]],'DB Details'!$A:$Q,9))</f>
        <v/>
      </c>
      <c r="J190" s="52">
        <f>IF(VLOOKUP(Table91213[[#This Row],[Date]],'DB Details'!$A:$Q,10)=0,"",VLOOKUP(Table91213[[#This Row],[Date]],'DB Details'!$A:$Q,10))</f>
        <v/>
      </c>
      <c r="K190" s="52">
        <f>IF(VLOOKUP(Table91213[[#This Row],[Date]],'DB Details'!$A:$Q,11)=0,"",VLOOKUP(Table91213[[#This Row],[Date]],'DB Details'!$A:$Q,11))</f>
        <v/>
      </c>
      <c r="L190" s="50">
        <f>IF(VLOOKUP(Table91213[[#This Row],[Date]],'DB Details'!$A:$Q,12)=0,"",VLOOKUP(Table91213[[#This Row],[Date]],'DB Details'!$A:$Q,12))</f>
        <v/>
      </c>
    </row>
    <row r="191">
      <c r="A191" s="53" t="n">
        <v>41244</v>
      </c>
      <c r="B191" s="50">
        <f>IF(VLOOKUP(Table91213[[#This Row],[Date]],'DB Details'!$A:$Q,2)=0,"",VLOOKUP(Table91213[[#This Row],[Date]],'DB Details'!$A:$Q,2))</f>
        <v/>
      </c>
      <c r="C191" s="51">
        <f>IF(VLOOKUP(Table91213[[#This Row],[Date]],'DB Details'!$A:$Q,3)=0,"",VLOOKUP(Table91213[[#This Row],[Date]],'DB Details'!$A:$Q,3))</f>
        <v/>
      </c>
      <c r="D191" s="51">
        <f>IF(VLOOKUP(Table91213[[#This Row],[Date]],'DB Details'!$A:$Q,4)=0,"",VLOOKUP(Table91213[[#This Row],[Date]],'DB Details'!$A:$Q,4))</f>
        <v/>
      </c>
      <c r="E191" s="52">
        <f>IF(VLOOKUP(Table91213[[#This Row],[Date]],'DB Details'!$A:$Q,5)=0,"",VLOOKUP(Table91213[[#This Row],[Date]],'DB Details'!$A:$Q,5))</f>
        <v/>
      </c>
      <c r="F191" s="51">
        <f>IF(VLOOKUP(Table91213[[#This Row],[Date]],'DB Details'!$A:$Q,6)=0,"",VLOOKUP(Table91213[[#This Row],[Date]],'DB Details'!$A:$Q,6))</f>
        <v/>
      </c>
      <c r="G191" s="52">
        <f>IF(VLOOKUP(Table91213[[#This Row],[Date]],'DB Details'!$A:$Q,7)=0,"",VLOOKUP(Table91213[[#This Row],[Date]],'DB Details'!$A:$Q,7))</f>
        <v/>
      </c>
      <c r="H191" s="52">
        <f>IF(VLOOKUP(Table91213[[#This Row],[Date]],'DB Details'!$A:$Q,8)=0,"",VLOOKUP(Table91213[[#This Row],[Date]],'DB Details'!$A:$Q,8))</f>
        <v/>
      </c>
      <c r="I191" s="52">
        <f>IF(VLOOKUP(Table91213[[#This Row],[Date]],'DB Details'!$A:$Q,9)=0,"",VLOOKUP(Table91213[[#This Row],[Date]],'DB Details'!$A:$Q,9))</f>
        <v/>
      </c>
      <c r="J191" s="52">
        <f>IF(VLOOKUP(Table91213[[#This Row],[Date]],'DB Details'!$A:$Q,10)=0,"",VLOOKUP(Table91213[[#This Row],[Date]],'DB Details'!$A:$Q,10))</f>
        <v/>
      </c>
      <c r="K191" s="52">
        <f>IF(VLOOKUP(Table91213[[#This Row],[Date]],'DB Details'!$A:$Q,11)=0,"",VLOOKUP(Table91213[[#This Row],[Date]],'DB Details'!$A:$Q,11))</f>
        <v/>
      </c>
      <c r="L191" s="50">
        <f>IF(VLOOKUP(Table91213[[#This Row],[Date]],'DB Details'!$A:$Q,12)=0,"",VLOOKUP(Table91213[[#This Row],[Date]],'DB Details'!$A:$Q,12))</f>
        <v/>
      </c>
    </row>
    <row r="192">
      <c r="A192" s="53" t="n">
        <v>41275</v>
      </c>
      <c r="B192" s="50">
        <f>IF(VLOOKUP(Table91213[[#This Row],[Date]],'DB Details'!$A:$Q,2)=0,"",VLOOKUP(Table91213[[#This Row],[Date]],'DB Details'!$A:$Q,2))</f>
        <v/>
      </c>
      <c r="C192" s="51">
        <f>IF(VLOOKUP(Table91213[[#This Row],[Date]],'DB Details'!$A:$Q,3)=0,"",VLOOKUP(Table91213[[#This Row],[Date]],'DB Details'!$A:$Q,3))</f>
        <v/>
      </c>
      <c r="D192" s="51">
        <f>IF(VLOOKUP(Table91213[[#This Row],[Date]],'DB Details'!$A:$Q,4)=0,"",VLOOKUP(Table91213[[#This Row],[Date]],'DB Details'!$A:$Q,4))</f>
        <v/>
      </c>
      <c r="E192" s="52">
        <f>IF(VLOOKUP(Table91213[[#This Row],[Date]],'DB Details'!$A:$Q,5)=0,"",VLOOKUP(Table91213[[#This Row],[Date]],'DB Details'!$A:$Q,5))</f>
        <v/>
      </c>
      <c r="F192" s="51">
        <f>IF(VLOOKUP(Table91213[[#This Row],[Date]],'DB Details'!$A:$Q,6)=0,"",VLOOKUP(Table91213[[#This Row],[Date]],'DB Details'!$A:$Q,6))</f>
        <v/>
      </c>
      <c r="G192" s="52">
        <f>IF(VLOOKUP(Table91213[[#This Row],[Date]],'DB Details'!$A:$Q,7)=0,"",VLOOKUP(Table91213[[#This Row],[Date]],'DB Details'!$A:$Q,7))</f>
        <v/>
      </c>
      <c r="H192" s="52">
        <f>IF(VLOOKUP(Table91213[[#This Row],[Date]],'DB Details'!$A:$Q,8)=0,"",VLOOKUP(Table91213[[#This Row],[Date]],'DB Details'!$A:$Q,8))</f>
        <v/>
      </c>
      <c r="I192" s="52">
        <f>IF(VLOOKUP(Table91213[[#This Row],[Date]],'DB Details'!$A:$Q,9)=0,"",VLOOKUP(Table91213[[#This Row],[Date]],'DB Details'!$A:$Q,9))</f>
        <v/>
      </c>
      <c r="J192" s="52">
        <f>IF(VLOOKUP(Table91213[[#This Row],[Date]],'DB Details'!$A:$Q,10)=0,"",VLOOKUP(Table91213[[#This Row],[Date]],'DB Details'!$A:$Q,10))</f>
        <v/>
      </c>
      <c r="K192" s="52">
        <f>IF(VLOOKUP(Table91213[[#This Row],[Date]],'DB Details'!$A:$Q,11)=0,"",VLOOKUP(Table91213[[#This Row],[Date]],'DB Details'!$A:$Q,11))</f>
        <v/>
      </c>
      <c r="L192" s="50">
        <f>IF(VLOOKUP(Table91213[[#This Row],[Date]],'DB Details'!$A:$Q,12)=0,"",VLOOKUP(Table91213[[#This Row],[Date]],'DB Details'!$A:$Q,12))</f>
        <v/>
      </c>
    </row>
    <row r="193">
      <c r="A193" s="53" t="n">
        <v>41306</v>
      </c>
      <c r="B193" s="50">
        <f>IF(VLOOKUP(Table91213[[#This Row],[Date]],'DB Details'!$A:$Q,2)=0,"",VLOOKUP(Table91213[[#This Row],[Date]],'DB Details'!$A:$Q,2))</f>
        <v/>
      </c>
      <c r="C193" s="51">
        <f>IF(VLOOKUP(Table91213[[#This Row],[Date]],'DB Details'!$A:$Q,3)=0,"",VLOOKUP(Table91213[[#This Row],[Date]],'DB Details'!$A:$Q,3))</f>
        <v/>
      </c>
      <c r="D193" s="51">
        <f>IF(VLOOKUP(Table91213[[#This Row],[Date]],'DB Details'!$A:$Q,4)=0,"",VLOOKUP(Table91213[[#This Row],[Date]],'DB Details'!$A:$Q,4))</f>
        <v/>
      </c>
      <c r="E193" s="52">
        <f>IF(VLOOKUP(Table91213[[#This Row],[Date]],'DB Details'!$A:$Q,5)=0,"",VLOOKUP(Table91213[[#This Row],[Date]],'DB Details'!$A:$Q,5))</f>
        <v/>
      </c>
      <c r="F193" s="51">
        <f>IF(VLOOKUP(Table91213[[#This Row],[Date]],'DB Details'!$A:$Q,6)=0,"",VLOOKUP(Table91213[[#This Row],[Date]],'DB Details'!$A:$Q,6))</f>
        <v/>
      </c>
      <c r="G193" s="52">
        <f>IF(VLOOKUP(Table91213[[#This Row],[Date]],'DB Details'!$A:$Q,7)=0,"",VLOOKUP(Table91213[[#This Row],[Date]],'DB Details'!$A:$Q,7))</f>
        <v/>
      </c>
      <c r="H193" s="52">
        <f>IF(VLOOKUP(Table91213[[#This Row],[Date]],'DB Details'!$A:$Q,8)=0,"",VLOOKUP(Table91213[[#This Row],[Date]],'DB Details'!$A:$Q,8))</f>
        <v/>
      </c>
      <c r="I193" s="52">
        <f>IF(VLOOKUP(Table91213[[#This Row],[Date]],'DB Details'!$A:$Q,9)=0,"",VLOOKUP(Table91213[[#This Row],[Date]],'DB Details'!$A:$Q,9))</f>
        <v/>
      </c>
      <c r="J193" s="52">
        <f>IF(VLOOKUP(Table91213[[#This Row],[Date]],'DB Details'!$A:$Q,10)=0,"",VLOOKUP(Table91213[[#This Row],[Date]],'DB Details'!$A:$Q,10))</f>
        <v/>
      </c>
      <c r="K193" s="52">
        <f>IF(VLOOKUP(Table91213[[#This Row],[Date]],'DB Details'!$A:$Q,11)=0,"",VLOOKUP(Table91213[[#This Row],[Date]],'DB Details'!$A:$Q,11))</f>
        <v/>
      </c>
      <c r="L193" s="50">
        <f>IF(VLOOKUP(Table91213[[#This Row],[Date]],'DB Details'!$A:$Q,12)=0,"",VLOOKUP(Table91213[[#This Row],[Date]],'DB Details'!$A:$Q,12))</f>
        <v/>
      </c>
    </row>
    <row r="194">
      <c r="A194" s="53" t="n">
        <v>41334</v>
      </c>
      <c r="B194" s="50">
        <f>IF(VLOOKUP(Table91213[[#This Row],[Date]],'DB Details'!$A:$Q,2)=0,"",VLOOKUP(Table91213[[#This Row],[Date]],'DB Details'!$A:$Q,2))</f>
        <v/>
      </c>
      <c r="C194" s="51">
        <f>IF(VLOOKUP(Table91213[[#This Row],[Date]],'DB Details'!$A:$Q,3)=0,"",VLOOKUP(Table91213[[#This Row],[Date]],'DB Details'!$A:$Q,3))</f>
        <v/>
      </c>
      <c r="D194" s="51">
        <f>IF(VLOOKUP(Table91213[[#This Row],[Date]],'DB Details'!$A:$Q,4)=0,"",VLOOKUP(Table91213[[#This Row],[Date]],'DB Details'!$A:$Q,4))</f>
        <v/>
      </c>
      <c r="E194" s="52">
        <f>IF(VLOOKUP(Table91213[[#This Row],[Date]],'DB Details'!$A:$Q,5)=0,"",VLOOKUP(Table91213[[#This Row],[Date]],'DB Details'!$A:$Q,5))</f>
        <v/>
      </c>
      <c r="F194" s="51">
        <f>IF(VLOOKUP(Table91213[[#This Row],[Date]],'DB Details'!$A:$Q,6)=0,"",VLOOKUP(Table91213[[#This Row],[Date]],'DB Details'!$A:$Q,6))</f>
        <v/>
      </c>
      <c r="G194" s="52">
        <f>IF(VLOOKUP(Table91213[[#This Row],[Date]],'DB Details'!$A:$Q,7)=0,"",VLOOKUP(Table91213[[#This Row],[Date]],'DB Details'!$A:$Q,7))</f>
        <v/>
      </c>
      <c r="H194" s="52">
        <f>IF(VLOOKUP(Table91213[[#This Row],[Date]],'DB Details'!$A:$Q,8)=0,"",VLOOKUP(Table91213[[#This Row],[Date]],'DB Details'!$A:$Q,8))</f>
        <v/>
      </c>
      <c r="I194" s="52">
        <f>IF(VLOOKUP(Table91213[[#This Row],[Date]],'DB Details'!$A:$Q,9)=0,"",VLOOKUP(Table91213[[#This Row],[Date]],'DB Details'!$A:$Q,9))</f>
        <v/>
      </c>
      <c r="J194" s="52">
        <f>IF(VLOOKUP(Table91213[[#This Row],[Date]],'DB Details'!$A:$Q,10)=0,"",VLOOKUP(Table91213[[#This Row],[Date]],'DB Details'!$A:$Q,10))</f>
        <v/>
      </c>
      <c r="K194" s="52">
        <f>IF(VLOOKUP(Table91213[[#This Row],[Date]],'DB Details'!$A:$Q,11)=0,"",VLOOKUP(Table91213[[#This Row],[Date]],'DB Details'!$A:$Q,11))</f>
        <v/>
      </c>
      <c r="L194" s="50">
        <f>IF(VLOOKUP(Table91213[[#This Row],[Date]],'DB Details'!$A:$Q,12)=0,"",VLOOKUP(Table91213[[#This Row],[Date]],'DB Details'!$A:$Q,12))</f>
        <v/>
      </c>
    </row>
    <row r="195">
      <c r="A195" s="53" t="n">
        <v>41365</v>
      </c>
      <c r="B195" s="50">
        <f>IF(VLOOKUP(Table91213[[#This Row],[Date]],'DB Details'!$A:$Q,2)=0,"",VLOOKUP(Table91213[[#This Row],[Date]],'DB Details'!$A:$Q,2))</f>
        <v/>
      </c>
      <c r="C195" s="51">
        <f>IF(VLOOKUP(Table91213[[#This Row],[Date]],'DB Details'!$A:$Q,3)=0,"",VLOOKUP(Table91213[[#This Row],[Date]],'DB Details'!$A:$Q,3))</f>
        <v/>
      </c>
      <c r="D195" s="51">
        <f>IF(VLOOKUP(Table91213[[#This Row],[Date]],'DB Details'!$A:$Q,4)=0,"",VLOOKUP(Table91213[[#This Row],[Date]],'DB Details'!$A:$Q,4))</f>
        <v/>
      </c>
      <c r="E195" s="52">
        <f>IF(VLOOKUP(Table91213[[#This Row],[Date]],'DB Details'!$A:$Q,5)=0,"",VLOOKUP(Table91213[[#This Row],[Date]],'DB Details'!$A:$Q,5))</f>
        <v/>
      </c>
      <c r="F195" s="51">
        <f>IF(VLOOKUP(Table91213[[#This Row],[Date]],'DB Details'!$A:$Q,6)=0,"",VLOOKUP(Table91213[[#This Row],[Date]],'DB Details'!$A:$Q,6))</f>
        <v/>
      </c>
      <c r="G195" s="52">
        <f>IF(VLOOKUP(Table91213[[#This Row],[Date]],'DB Details'!$A:$Q,7)=0,"",VLOOKUP(Table91213[[#This Row],[Date]],'DB Details'!$A:$Q,7))</f>
        <v/>
      </c>
      <c r="H195" s="52">
        <f>IF(VLOOKUP(Table91213[[#This Row],[Date]],'DB Details'!$A:$Q,8)=0,"",VLOOKUP(Table91213[[#This Row],[Date]],'DB Details'!$A:$Q,8))</f>
        <v/>
      </c>
      <c r="I195" s="52">
        <f>IF(VLOOKUP(Table91213[[#This Row],[Date]],'DB Details'!$A:$Q,9)=0,"",VLOOKUP(Table91213[[#This Row],[Date]],'DB Details'!$A:$Q,9))</f>
        <v/>
      </c>
      <c r="J195" s="52">
        <f>IF(VLOOKUP(Table91213[[#This Row],[Date]],'DB Details'!$A:$Q,10)=0,"",VLOOKUP(Table91213[[#This Row],[Date]],'DB Details'!$A:$Q,10))</f>
        <v/>
      </c>
      <c r="K195" s="52">
        <f>IF(VLOOKUP(Table91213[[#This Row],[Date]],'DB Details'!$A:$Q,11)=0,"",VLOOKUP(Table91213[[#This Row],[Date]],'DB Details'!$A:$Q,11))</f>
        <v/>
      </c>
      <c r="L195" s="50">
        <f>IF(VLOOKUP(Table91213[[#This Row],[Date]],'DB Details'!$A:$Q,12)=0,"",VLOOKUP(Table91213[[#This Row],[Date]],'DB Details'!$A:$Q,12))</f>
        <v/>
      </c>
    </row>
    <row r="196">
      <c r="A196" s="53" t="n">
        <v>41395</v>
      </c>
      <c r="B196" s="50">
        <f>IF(VLOOKUP(Table91213[[#This Row],[Date]],'DB Details'!$A:$Q,2)=0,"",VLOOKUP(Table91213[[#This Row],[Date]],'DB Details'!$A:$Q,2))</f>
        <v/>
      </c>
      <c r="C196" s="51">
        <f>IF(VLOOKUP(Table91213[[#This Row],[Date]],'DB Details'!$A:$Q,3)=0,"",VLOOKUP(Table91213[[#This Row],[Date]],'DB Details'!$A:$Q,3))</f>
        <v/>
      </c>
      <c r="D196" s="51">
        <f>IF(VLOOKUP(Table91213[[#This Row],[Date]],'DB Details'!$A:$Q,4)=0,"",VLOOKUP(Table91213[[#This Row],[Date]],'DB Details'!$A:$Q,4))</f>
        <v/>
      </c>
      <c r="E196" s="52">
        <f>IF(VLOOKUP(Table91213[[#This Row],[Date]],'DB Details'!$A:$Q,5)=0,"",VLOOKUP(Table91213[[#This Row],[Date]],'DB Details'!$A:$Q,5))</f>
        <v/>
      </c>
      <c r="F196" s="51">
        <f>IF(VLOOKUP(Table91213[[#This Row],[Date]],'DB Details'!$A:$Q,6)=0,"",VLOOKUP(Table91213[[#This Row],[Date]],'DB Details'!$A:$Q,6))</f>
        <v/>
      </c>
      <c r="G196" s="52">
        <f>IF(VLOOKUP(Table91213[[#This Row],[Date]],'DB Details'!$A:$Q,7)=0,"",VLOOKUP(Table91213[[#This Row],[Date]],'DB Details'!$A:$Q,7))</f>
        <v/>
      </c>
      <c r="H196" s="52">
        <f>IF(VLOOKUP(Table91213[[#This Row],[Date]],'DB Details'!$A:$Q,8)=0,"",VLOOKUP(Table91213[[#This Row],[Date]],'DB Details'!$A:$Q,8))</f>
        <v/>
      </c>
      <c r="I196" s="52">
        <f>IF(VLOOKUP(Table91213[[#This Row],[Date]],'DB Details'!$A:$Q,9)=0,"",VLOOKUP(Table91213[[#This Row],[Date]],'DB Details'!$A:$Q,9))</f>
        <v/>
      </c>
      <c r="J196" s="52">
        <f>IF(VLOOKUP(Table91213[[#This Row],[Date]],'DB Details'!$A:$Q,10)=0,"",VLOOKUP(Table91213[[#This Row],[Date]],'DB Details'!$A:$Q,10))</f>
        <v/>
      </c>
      <c r="K196" s="52">
        <f>IF(VLOOKUP(Table91213[[#This Row],[Date]],'DB Details'!$A:$Q,11)=0,"",VLOOKUP(Table91213[[#This Row],[Date]],'DB Details'!$A:$Q,11))</f>
        <v/>
      </c>
      <c r="L196" s="50">
        <f>IF(VLOOKUP(Table91213[[#This Row],[Date]],'DB Details'!$A:$Q,12)=0,"",VLOOKUP(Table91213[[#This Row],[Date]],'DB Details'!$A:$Q,12))</f>
        <v/>
      </c>
    </row>
    <row r="197">
      <c r="A197" s="53" t="n">
        <v>41426</v>
      </c>
      <c r="B197" s="50">
        <f>IF(VLOOKUP(Table91213[[#This Row],[Date]],'DB Details'!$A:$Q,2)=0,"",VLOOKUP(Table91213[[#This Row],[Date]],'DB Details'!$A:$Q,2))</f>
        <v/>
      </c>
      <c r="C197" s="51">
        <f>IF(VLOOKUP(Table91213[[#This Row],[Date]],'DB Details'!$A:$Q,3)=0,"",VLOOKUP(Table91213[[#This Row],[Date]],'DB Details'!$A:$Q,3))</f>
        <v/>
      </c>
      <c r="D197" s="51">
        <f>IF(VLOOKUP(Table91213[[#This Row],[Date]],'DB Details'!$A:$Q,4)=0,"",VLOOKUP(Table91213[[#This Row],[Date]],'DB Details'!$A:$Q,4))</f>
        <v/>
      </c>
      <c r="E197" s="52">
        <f>IF(VLOOKUP(Table91213[[#This Row],[Date]],'DB Details'!$A:$Q,5)=0,"",VLOOKUP(Table91213[[#This Row],[Date]],'DB Details'!$A:$Q,5))</f>
        <v/>
      </c>
      <c r="F197" s="51">
        <f>IF(VLOOKUP(Table91213[[#This Row],[Date]],'DB Details'!$A:$Q,6)=0,"",VLOOKUP(Table91213[[#This Row],[Date]],'DB Details'!$A:$Q,6))</f>
        <v/>
      </c>
      <c r="G197" s="52">
        <f>IF(VLOOKUP(Table91213[[#This Row],[Date]],'DB Details'!$A:$Q,7)=0,"",VLOOKUP(Table91213[[#This Row],[Date]],'DB Details'!$A:$Q,7))</f>
        <v/>
      </c>
      <c r="H197" s="52">
        <f>IF(VLOOKUP(Table91213[[#This Row],[Date]],'DB Details'!$A:$Q,8)=0,"",VLOOKUP(Table91213[[#This Row],[Date]],'DB Details'!$A:$Q,8))</f>
        <v/>
      </c>
      <c r="I197" s="52">
        <f>IF(VLOOKUP(Table91213[[#This Row],[Date]],'DB Details'!$A:$Q,9)=0,"",VLOOKUP(Table91213[[#This Row],[Date]],'DB Details'!$A:$Q,9))</f>
        <v/>
      </c>
      <c r="J197" s="52">
        <f>IF(VLOOKUP(Table91213[[#This Row],[Date]],'DB Details'!$A:$Q,10)=0,"",VLOOKUP(Table91213[[#This Row],[Date]],'DB Details'!$A:$Q,10))</f>
        <v/>
      </c>
      <c r="K197" s="52">
        <f>IF(VLOOKUP(Table91213[[#This Row],[Date]],'DB Details'!$A:$Q,11)=0,"",VLOOKUP(Table91213[[#This Row],[Date]],'DB Details'!$A:$Q,11))</f>
        <v/>
      </c>
      <c r="L197" s="50">
        <f>IF(VLOOKUP(Table91213[[#This Row],[Date]],'DB Details'!$A:$Q,12)=0,"",VLOOKUP(Table91213[[#This Row],[Date]],'DB Details'!$A:$Q,12))</f>
        <v/>
      </c>
    </row>
    <row r="198">
      <c r="A198" s="53" t="n">
        <v>41456</v>
      </c>
      <c r="B198" s="50">
        <f>IF(VLOOKUP(Table91213[[#This Row],[Date]],'DB Details'!$A:$Q,2)=0,"",VLOOKUP(Table91213[[#This Row],[Date]],'DB Details'!$A:$Q,2))</f>
        <v/>
      </c>
      <c r="C198" s="51">
        <f>IF(VLOOKUP(Table91213[[#This Row],[Date]],'DB Details'!$A:$Q,3)=0,"",VLOOKUP(Table91213[[#This Row],[Date]],'DB Details'!$A:$Q,3))</f>
        <v/>
      </c>
      <c r="D198" s="51">
        <f>IF(VLOOKUP(Table91213[[#This Row],[Date]],'DB Details'!$A:$Q,4)=0,"",VLOOKUP(Table91213[[#This Row],[Date]],'DB Details'!$A:$Q,4))</f>
        <v/>
      </c>
      <c r="E198" s="52">
        <f>IF(VLOOKUP(Table91213[[#This Row],[Date]],'DB Details'!$A:$Q,5)=0,"",VLOOKUP(Table91213[[#This Row],[Date]],'DB Details'!$A:$Q,5))</f>
        <v/>
      </c>
      <c r="F198" s="51">
        <f>IF(VLOOKUP(Table91213[[#This Row],[Date]],'DB Details'!$A:$Q,6)=0,"",VLOOKUP(Table91213[[#This Row],[Date]],'DB Details'!$A:$Q,6))</f>
        <v/>
      </c>
      <c r="G198" s="52">
        <f>IF(VLOOKUP(Table91213[[#This Row],[Date]],'DB Details'!$A:$Q,7)=0,"",VLOOKUP(Table91213[[#This Row],[Date]],'DB Details'!$A:$Q,7))</f>
        <v/>
      </c>
      <c r="H198" s="52">
        <f>IF(VLOOKUP(Table91213[[#This Row],[Date]],'DB Details'!$A:$Q,8)=0,"",VLOOKUP(Table91213[[#This Row],[Date]],'DB Details'!$A:$Q,8))</f>
        <v/>
      </c>
      <c r="I198" s="52">
        <f>IF(VLOOKUP(Table91213[[#This Row],[Date]],'DB Details'!$A:$Q,9)=0,"",VLOOKUP(Table91213[[#This Row],[Date]],'DB Details'!$A:$Q,9))</f>
        <v/>
      </c>
      <c r="J198" s="52">
        <f>IF(VLOOKUP(Table91213[[#This Row],[Date]],'DB Details'!$A:$Q,10)=0,"",VLOOKUP(Table91213[[#This Row],[Date]],'DB Details'!$A:$Q,10))</f>
        <v/>
      </c>
      <c r="K198" s="52">
        <f>IF(VLOOKUP(Table91213[[#This Row],[Date]],'DB Details'!$A:$Q,11)=0,"",VLOOKUP(Table91213[[#This Row],[Date]],'DB Details'!$A:$Q,11))</f>
        <v/>
      </c>
      <c r="L198" s="50">
        <f>IF(VLOOKUP(Table91213[[#This Row],[Date]],'DB Details'!$A:$Q,12)=0,"",VLOOKUP(Table91213[[#This Row],[Date]],'DB Details'!$A:$Q,12))</f>
        <v/>
      </c>
    </row>
    <row r="199">
      <c r="A199" s="53" t="n">
        <v>41487</v>
      </c>
      <c r="B199" s="50">
        <f>IF(VLOOKUP(Table91213[[#This Row],[Date]],'DB Details'!$A:$Q,2)=0,"",VLOOKUP(Table91213[[#This Row],[Date]],'DB Details'!$A:$Q,2))</f>
        <v/>
      </c>
      <c r="C199" s="51">
        <f>IF(VLOOKUP(Table91213[[#This Row],[Date]],'DB Details'!$A:$Q,3)=0,"",VLOOKUP(Table91213[[#This Row],[Date]],'DB Details'!$A:$Q,3))</f>
        <v/>
      </c>
      <c r="D199" s="51">
        <f>IF(VLOOKUP(Table91213[[#This Row],[Date]],'DB Details'!$A:$Q,4)=0,"",VLOOKUP(Table91213[[#This Row],[Date]],'DB Details'!$A:$Q,4))</f>
        <v/>
      </c>
      <c r="E199" s="52">
        <f>IF(VLOOKUP(Table91213[[#This Row],[Date]],'DB Details'!$A:$Q,5)=0,"",VLOOKUP(Table91213[[#This Row],[Date]],'DB Details'!$A:$Q,5))</f>
        <v/>
      </c>
      <c r="F199" s="51">
        <f>IF(VLOOKUP(Table91213[[#This Row],[Date]],'DB Details'!$A:$Q,6)=0,"",VLOOKUP(Table91213[[#This Row],[Date]],'DB Details'!$A:$Q,6))</f>
        <v/>
      </c>
      <c r="G199" s="52">
        <f>IF(VLOOKUP(Table91213[[#This Row],[Date]],'DB Details'!$A:$Q,7)=0,"",VLOOKUP(Table91213[[#This Row],[Date]],'DB Details'!$A:$Q,7))</f>
        <v/>
      </c>
      <c r="H199" s="52">
        <f>IF(VLOOKUP(Table91213[[#This Row],[Date]],'DB Details'!$A:$Q,8)=0,"",VLOOKUP(Table91213[[#This Row],[Date]],'DB Details'!$A:$Q,8))</f>
        <v/>
      </c>
      <c r="I199" s="52">
        <f>IF(VLOOKUP(Table91213[[#This Row],[Date]],'DB Details'!$A:$Q,9)=0,"",VLOOKUP(Table91213[[#This Row],[Date]],'DB Details'!$A:$Q,9))</f>
        <v/>
      </c>
      <c r="J199" s="52">
        <f>IF(VLOOKUP(Table91213[[#This Row],[Date]],'DB Details'!$A:$Q,10)=0,"",VLOOKUP(Table91213[[#This Row],[Date]],'DB Details'!$A:$Q,10))</f>
        <v/>
      </c>
      <c r="K199" s="52">
        <f>IF(VLOOKUP(Table91213[[#This Row],[Date]],'DB Details'!$A:$Q,11)=0,"",VLOOKUP(Table91213[[#This Row],[Date]],'DB Details'!$A:$Q,11))</f>
        <v/>
      </c>
      <c r="L199" s="50">
        <f>IF(VLOOKUP(Table91213[[#This Row],[Date]],'DB Details'!$A:$Q,12)=0,"",VLOOKUP(Table91213[[#This Row],[Date]],'DB Details'!$A:$Q,12))</f>
        <v/>
      </c>
    </row>
    <row r="200">
      <c r="A200" s="53" t="n">
        <v>41518</v>
      </c>
      <c r="B200" s="50">
        <f>IF(VLOOKUP(Table91213[[#This Row],[Date]],'DB Details'!$A:$Q,2)=0,"",VLOOKUP(Table91213[[#This Row],[Date]],'DB Details'!$A:$Q,2))</f>
        <v/>
      </c>
      <c r="C200" s="51">
        <f>IF(VLOOKUP(Table91213[[#This Row],[Date]],'DB Details'!$A:$Q,3)=0,"",VLOOKUP(Table91213[[#This Row],[Date]],'DB Details'!$A:$Q,3))</f>
        <v/>
      </c>
      <c r="D200" s="51">
        <f>IF(VLOOKUP(Table91213[[#This Row],[Date]],'DB Details'!$A:$Q,4)=0,"",VLOOKUP(Table91213[[#This Row],[Date]],'DB Details'!$A:$Q,4))</f>
        <v/>
      </c>
      <c r="E200" s="52">
        <f>IF(VLOOKUP(Table91213[[#This Row],[Date]],'DB Details'!$A:$Q,5)=0,"",VLOOKUP(Table91213[[#This Row],[Date]],'DB Details'!$A:$Q,5))</f>
        <v/>
      </c>
      <c r="F200" s="51">
        <f>IF(VLOOKUP(Table91213[[#This Row],[Date]],'DB Details'!$A:$Q,6)=0,"",VLOOKUP(Table91213[[#This Row],[Date]],'DB Details'!$A:$Q,6))</f>
        <v/>
      </c>
      <c r="G200" s="52">
        <f>IF(VLOOKUP(Table91213[[#This Row],[Date]],'DB Details'!$A:$Q,7)=0,"",VLOOKUP(Table91213[[#This Row],[Date]],'DB Details'!$A:$Q,7))</f>
        <v/>
      </c>
      <c r="H200" s="52">
        <f>IF(VLOOKUP(Table91213[[#This Row],[Date]],'DB Details'!$A:$Q,8)=0,"",VLOOKUP(Table91213[[#This Row],[Date]],'DB Details'!$A:$Q,8))</f>
        <v/>
      </c>
      <c r="I200" s="52">
        <f>IF(VLOOKUP(Table91213[[#This Row],[Date]],'DB Details'!$A:$Q,9)=0,"",VLOOKUP(Table91213[[#This Row],[Date]],'DB Details'!$A:$Q,9))</f>
        <v/>
      </c>
      <c r="J200" s="52">
        <f>IF(VLOOKUP(Table91213[[#This Row],[Date]],'DB Details'!$A:$Q,10)=0,"",VLOOKUP(Table91213[[#This Row],[Date]],'DB Details'!$A:$Q,10))</f>
        <v/>
      </c>
      <c r="K200" s="52">
        <f>IF(VLOOKUP(Table91213[[#This Row],[Date]],'DB Details'!$A:$Q,11)=0,"",VLOOKUP(Table91213[[#This Row],[Date]],'DB Details'!$A:$Q,11))</f>
        <v/>
      </c>
      <c r="L200" s="50">
        <f>IF(VLOOKUP(Table91213[[#This Row],[Date]],'DB Details'!$A:$Q,12)=0,"",VLOOKUP(Table91213[[#This Row],[Date]],'DB Details'!$A:$Q,12))</f>
        <v/>
      </c>
    </row>
    <row r="201">
      <c r="A201" s="53" t="n">
        <v>41548</v>
      </c>
      <c r="B201" s="50">
        <f>IF(VLOOKUP(Table91213[[#This Row],[Date]],'DB Details'!$A:$Q,2)=0,"",VLOOKUP(Table91213[[#This Row],[Date]],'DB Details'!$A:$Q,2))</f>
        <v/>
      </c>
      <c r="C201" s="51">
        <f>IF(VLOOKUP(Table91213[[#This Row],[Date]],'DB Details'!$A:$Q,3)=0,"",VLOOKUP(Table91213[[#This Row],[Date]],'DB Details'!$A:$Q,3))</f>
        <v/>
      </c>
      <c r="D201" s="51">
        <f>IF(VLOOKUP(Table91213[[#This Row],[Date]],'DB Details'!$A:$Q,4)=0,"",VLOOKUP(Table91213[[#This Row],[Date]],'DB Details'!$A:$Q,4))</f>
        <v/>
      </c>
      <c r="E201" s="52">
        <f>IF(VLOOKUP(Table91213[[#This Row],[Date]],'DB Details'!$A:$Q,5)=0,"",VLOOKUP(Table91213[[#This Row],[Date]],'DB Details'!$A:$Q,5))</f>
        <v/>
      </c>
      <c r="F201" s="51">
        <f>IF(VLOOKUP(Table91213[[#This Row],[Date]],'DB Details'!$A:$Q,6)=0,"",VLOOKUP(Table91213[[#This Row],[Date]],'DB Details'!$A:$Q,6))</f>
        <v/>
      </c>
      <c r="G201" s="52">
        <f>IF(VLOOKUP(Table91213[[#This Row],[Date]],'DB Details'!$A:$Q,7)=0,"",VLOOKUP(Table91213[[#This Row],[Date]],'DB Details'!$A:$Q,7))</f>
        <v/>
      </c>
      <c r="H201" s="52">
        <f>IF(VLOOKUP(Table91213[[#This Row],[Date]],'DB Details'!$A:$Q,8)=0,"",VLOOKUP(Table91213[[#This Row],[Date]],'DB Details'!$A:$Q,8))</f>
        <v/>
      </c>
      <c r="I201" s="52">
        <f>IF(VLOOKUP(Table91213[[#This Row],[Date]],'DB Details'!$A:$Q,9)=0,"",VLOOKUP(Table91213[[#This Row],[Date]],'DB Details'!$A:$Q,9))</f>
        <v/>
      </c>
      <c r="J201" s="52">
        <f>IF(VLOOKUP(Table91213[[#This Row],[Date]],'DB Details'!$A:$Q,10)=0,"",VLOOKUP(Table91213[[#This Row],[Date]],'DB Details'!$A:$Q,10))</f>
        <v/>
      </c>
      <c r="K201" s="52">
        <f>IF(VLOOKUP(Table91213[[#This Row],[Date]],'DB Details'!$A:$Q,11)=0,"",VLOOKUP(Table91213[[#This Row],[Date]],'DB Details'!$A:$Q,11))</f>
        <v/>
      </c>
      <c r="L201" s="50">
        <f>IF(VLOOKUP(Table91213[[#This Row],[Date]],'DB Details'!$A:$Q,12)=0,"",VLOOKUP(Table91213[[#This Row],[Date]],'DB Details'!$A:$Q,12))</f>
        <v/>
      </c>
    </row>
    <row r="202">
      <c r="A202" s="53" t="n">
        <v>41579</v>
      </c>
      <c r="B202" s="50">
        <f>IF(VLOOKUP(Table91213[[#This Row],[Date]],'DB Details'!$A:$Q,2)=0,"",VLOOKUP(Table91213[[#This Row],[Date]],'DB Details'!$A:$Q,2))</f>
        <v/>
      </c>
      <c r="C202" s="51">
        <f>IF(VLOOKUP(Table91213[[#This Row],[Date]],'DB Details'!$A:$Q,3)=0,"",VLOOKUP(Table91213[[#This Row],[Date]],'DB Details'!$A:$Q,3))</f>
        <v/>
      </c>
      <c r="D202" s="51">
        <f>IF(VLOOKUP(Table91213[[#This Row],[Date]],'DB Details'!$A:$Q,4)=0,"",VLOOKUP(Table91213[[#This Row],[Date]],'DB Details'!$A:$Q,4))</f>
        <v/>
      </c>
      <c r="E202" s="52">
        <f>IF(VLOOKUP(Table91213[[#This Row],[Date]],'DB Details'!$A:$Q,5)=0,"",VLOOKUP(Table91213[[#This Row],[Date]],'DB Details'!$A:$Q,5))</f>
        <v/>
      </c>
      <c r="F202" s="51">
        <f>IF(VLOOKUP(Table91213[[#This Row],[Date]],'DB Details'!$A:$Q,6)=0,"",VLOOKUP(Table91213[[#This Row],[Date]],'DB Details'!$A:$Q,6))</f>
        <v/>
      </c>
      <c r="G202" s="52">
        <f>IF(VLOOKUP(Table91213[[#This Row],[Date]],'DB Details'!$A:$Q,7)=0,"",VLOOKUP(Table91213[[#This Row],[Date]],'DB Details'!$A:$Q,7))</f>
        <v/>
      </c>
      <c r="H202" s="52">
        <f>IF(VLOOKUP(Table91213[[#This Row],[Date]],'DB Details'!$A:$Q,8)=0,"",VLOOKUP(Table91213[[#This Row],[Date]],'DB Details'!$A:$Q,8))</f>
        <v/>
      </c>
      <c r="I202" s="52">
        <f>IF(VLOOKUP(Table91213[[#This Row],[Date]],'DB Details'!$A:$Q,9)=0,"",VLOOKUP(Table91213[[#This Row],[Date]],'DB Details'!$A:$Q,9))</f>
        <v/>
      </c>
      <c r="J202" s="52">
        <f>IF(VLOOKUP(Table91213[[#This Row],[Date]],'DB Details'!$A:$Q,10)=0,"",VLOOKUP(Table91213[[#This Row],[Date]],'DB Details'!$A:$Q,10))</f>
        <v/>
      </c>
      <c r="K202" s="52">
        <f>IF(VLOOKUP(Table91213[[#This Row],[Date]],'DB Details'!$A:$Q,11)=0,"",VLOOKUP(Table91213[[#This Row],[Date]],'DB Details'!$A:$Q,11))</f>
        <v/>
      </c>
      <c r="L202" s="50">
        <f>IF(VLOOKUP(Table91213[[#This Row],[Date]],'DB Details'!$A:$Q,12)=0,"",VLOOKUP(Table91213[[#This Row],[Date]],'DB Details'!$A:$Q,12))</f>
        <v/>
      </c>
    </row>
    <row r="203">
      <c r="A203" s="53" t="n">
        <v>41609</v>
      </c>
      <c r="B203" s="50">
        <f>IF(VLOOKUP(Table91213[[#This Row],[Date]],'DB Details'!$A:$Q,2)=0,"",VLOOKUP(Table91213[[#This Row],[Date]],'DB Details'!$A:$Q,2))</f>
        <v/>
      </c>
      <c r="C203" s="51">
        <f>IF(VLOOKUP(Table91213[[#This Row],[Date]],'DB Details'!$A:$Q,3)=0,"",VLOOKUP(Table91213[[#This Row],[Date]],'DB Details'!$A:$Q,3))</f>
        <v/>
      </c>
      <c r="D203" s="51">
        <f>IF(VLOOKUP(Table91213[[#This Row],[Date]],'DB Details'!$A:$Q,4)=0,"",VLOOKUP(Table91213[[#This Row],[Date]],'DB Details'!$A:$Q,4))</f>
        <v/>
      </c>
      <c r="E203" s="52">
        <f>IF(VLOOKUP(Table91213[[#This Row],[Date]],'DB Details'!$A:$Q,5)=0,"",VLOOKUP(Table91213[[#This Row],[Date]],'DB Details'!$A:$Q,5))</f>
        <v/>
      </c>
      <c r="F203" s="51">
        <f>IF(VLOOKUP(Table91213[[#This Row],[Date]],'DB Details'!$A:$Q,6)=0,"",VLOOKUP(Table91213[[#This Row],[Date]],'DB Details'!$A:$Q,6))</f>
        <v/>
      </c>
      <c r="G203" s="52">
        <f>IF(VLOOKUP(Table91213[[#This Row],[Date]],'DB Details'!$A:$Q,7)=0,"",VLOOKUP(Table91213[[#This Row],[Date]],'DB Details'!$A:$Q,7))</f>
        <v/>
      </c>
      <c r="H203" s="52">
        <f>IF(VLOOKUP(Table91213[[#This Row],[Date]],'DB Details'!$A:$Q,8)=0,"",VLOOKUP(Table91213[[#This Row],[Date]],'DB Details'!$A:$Q,8))</f>
        <v/>
      </c>
      <c r="I203" s="52">
        <f>IF(VLOOKUP(Table91213[[#This Row],[Date]],'DB Details'!$A:$Q,9)=0,"",VLOOKUP(Table91213[[#This Row],[Date]],'DB Details'!$A:$Q,9))</f>
        <v/>
      </c>
      <c r="J203" s="52">
        <f>IF(VLOOKUP(Table91213[[#This Row],[Date]],'DB Details'!$A:$Q,10)=0,"",VLOOKUP(Table91213[[#This Row],[Date]],'DB Details'!$A:$Q,10))</f>
        <v/>
      </c>
      <c r="K203" s="52">
        <f>IF(VLOOKUP(Table91213[[#This Row],[Date]],'DB Details'!$A:$Q,11)=0,"",VLOOKUP(Table91213[[#This Row],[Date]],'DB Details'!$A:$Q,11))</f>
        <v/>
      </c>
      <c r="L203" s="50">
        <f>IF(VLOOKUP(Table91213[[#This Row],[Date]],'DB Details'!$A:$Q,12)=0,"",VLOOKUP(Table91213[[#This Row],[Date]],'DB Details'!$A:$Q,12))</f>
        <v/>
      </c>
    </row>
    <row r="204">
      <c r="A204" s="53" t="n">
        <v>41640</v>
      </c>
      <c r="B204" s="50">
        <f>IF(VLOOKUP(Table91213[[#This Row],[Date]],'DB Details'!$A:$Q,2)=0,"",VLOOKUP(Table91213[[#This Row],[Date]],'DB Details'!$A:$Q,2))</f>
        <v/>
      </c>
      <c r="C204" s="51">
        <f>IF(VLOOKUP(Table91213[[#This Row],[Date]],'DB Details'!$A:$Q,3)=0,"",VLOOKUP(Table91213[[#This Row],[Date]],'DB Details'!$A:$Q,3))</f>
        <v/>
      </c>
      <c r="D204" s="51">
        <f>IF(VLOOKUP(Table91213[[#This Row],[Date]],'DB Details'!$A:$Q,4)=0,"",VLOOKUP(Table91213[[#This Row],[Date]],'DB Details'!$A:$Q,4))</f>
        <v/>
      </c>
      <c r="E204" s="52">
        <f>IF(VLOOKUP(Table91213[[#This Row],[Date]],'DB Details'!$A:$Q,5)=0,"",VLOOKUP(Table91213[[#This Row],[Date]],'DB Details'!$A:$Q,5))</f>
        <v/>
      </c>
      <c r="F204" s="51">
        <f>IF(VLOOKUP(Table91213[[#This Row],[Date]],'DB Details'!$A:$Q,6)=0,"",VLOOKUP(Table91213[[#This Row],[Date]],'DB Details'!$A:$Q,6))</f>
        <v/>
      </c>
      <c r="G204" s="52">
        <f>IF(VLOOKUP(Table91213[[#This Row],[Date]],'DB Details'!$A:$Q,7)=0,"",VLOOKUP(Table91213[[#This Row],[Date]],'DB Details'!$A:$Q,7))</f>
        <v/>
      </c>
      <c r="H204" s="52">
        <f>IF(VLOOKUP(Table91213[[#This Row],[Date]],'DB Details'!$A:$Q,8)=0,"",VLOOKUP(Table91213[[#This Row],[Date]],'DB Details'!$A:$Q,8))</f>
        <v/>
      </c>
      <c r="I204" s="52">
        <f>IF(VLOOKUP(Table91213[[#This Row],[Date]],'DB Details'!$A:$Q,9)=0,"",VLOOKUP(Table91213[[#This Row],[Date]],'DB Details'!$A:$Q,9))</f>
        <v/>
      </c>
      <c r="J204" s="52">
        <f>IF(VLOOKUP(Table91213[[#This Row],[Date]],'DB Details'!$A:$Q,10)=0,"",VLOOKUP(Table91213[[#This Row],[Date]],'DB Details'!$A:$Q,10))</f>
        <v/>
      </c>
      <c r="K204" s="52">
        <f>IF(VLOOKUP(Table91213[[#This Row],[Date]],'DB Details'!$A:$Q,11)=0,"",VLOOKUP(Table91213[[#This Row],[Date]],'DB Details'!$A:$Q,11))</f>
        <v/>
      </c>
      <c r="L204" s="50">
        <f>IF(VLOOKUP(Table91213[[#This Row],[Date]],'DB Details'!$A:$Q,12)=0,"",VLOOKUP(Table91213[[#This Row],[Date]],'DB Details'!$A:$Q,12))</f>
        <v/>
      </c>
    </row>
    <row r="205">
      <c r="A205" s="53" t="n">
        <v>41671</v>
      </c>
      <c r="B205" s="50">
        <f>IF(VLOOKUP(Table91213[[#This Row],[Date]],'DB Details'!$A:$Q,2)=0,"",VLOOKUP(Table91213[[#This Row],[Date]],'DB Details'!$A:$Q,2))</f>
        <v/>
      </c>
      <c r="C205" s="51">
        <f>IF(VLOOKUP(Table91213[[#This Row],[Date]],'DB Details'!$A:$Q,3)=0,"",VLOOKUP(Table91213[[#This Row],[Date]],'DB Details'!$A:$Q,3))</f>
        <v/>
      </c>
      <c r="D205" s="51">
        <f>IF(VLOOKUP(Table91213[[#This Row],[Date]],'DB Details'!$A:$Q,4)=0,"",VLOOKUP(Table91213[[#This Row],[Date]],'DB Details'!$A:$Q,4))</f>
        <v/>
      </c>
      <c r="E205" s="52">
        <f>IF(VLOOKUP(Table91213[[#This Row],[Date]],'DB Details'!$A:$Q,5)=0,"",VLOOKUP(Table91213[[#This Row],[Date]],'DB Details'!$A:$Q,5))</f>
        <v/>
      </c>
      <c r="F205" s="51">
        <f>IF(VLOOKUP(Table91213[[#This Row],[Date]],'DB Details'!$A:$Q,6)=0,"",VLOOKUP(Table91213[[#This Row],[Date]],'DB Details'!$A:$Q,6))</f>
        <v/>
      </c>
      <c r="G205" s="52">
        <f>IF(VLOOKUP(Table91213[[#This Row],[Date]],'DB Details'!$A:$Q,7)=0,"",VLOOKUP(Table91213[[#This Row],[Date]],'DB Details'!$A:$Q,7))</f>
        <v/>
      </c>
      <c r="H205" s="52">
        <f>IF(VLOOKUP(Table91213[[#This Row],[Date]],'DB Details'!$A:$Q,8)=0,"",VLOOKUP(Table91213[[#This Row],[Date]],'DB Details'!$A:$Q,8))</f>
        <v/>
      </c>
      <c r="I205" s="52">
        <f>IF(VLOOKUP(Table91213[[#This Row],[Date]],'DB Details'!$A:$Q,9)=0,"",VLOOKUP(Table91213[[#This Row],[Date]],'DB Details'!$A:$Q,9))</f>
        <v/>
      </c>
      <c r="J205" s="52">
        <f>IF(VLOOKUP(Table91213[[#This Row],[Date]],'DB Details'!$A:$Q,10)=0,"",VLOOKUP(Table91213[[#This Row],[Date]],'DB Details'!$A:$Q,10))</f>
        <v/>
      </c>
      <c r="K205" s="52">
        <f>IF(VLOOKUP(Table91213[[#This Row],[Date]],'DB Details'!$A:$Q,11)=0,"",VLOOKUP(Table91213[[#This Row],[Date]],'DB Details'!$A:$Q,11))</f>
        <v/>
      </c>
      <c r="L205" s="50">
        <f>IF(VLOOKUP(Table91213[[#This Row],[Date]],'DB Details'!$A:$Q,12)=0,"",VLOOKUP(Table91213[[#This Row],[Date]],'DB Details'!$A:$Q,12))</f>
        <v/>
      </c>
    </row>
    <row r="206">
      <c r="A206" s="53" t="n">
        <v>41699</v>
      </c>
      <c r="B206" s="50">
        <f>IF(VLOOKUP(Table91213[[#This Row],[Date]],'DB Details'!$A:$Q,2)=0,"",VLOOKUP(Table91213[[#This Row],[Date]],'DB Details'!$A:$Q,2))</f>
        <v/>
      </c>
      <c r="C206" s="51">
        <f>IF(VLOOKUP(Table91213[[#This Row],[Date]],'DB Details'!$A:$Q,3)=0,"",VLOOKUP(Table91213[[#This Row],[Date]],'DB Details'!$A:$Q,3))</f>
        <v/>
      </c>
      <c r="D206" s="51">
        <f>IF(VLOOKUP(Table91213[[#This Row],[Date]],'DB Details'!$A:$Q,4)=0,"",VLOOKUP(Table91213[[#This Row],[Date]],'DB Details'!$A:$Q,4))</f>
        <v/>
      </c>
      <c r="E206" s="52">
        <f>IF(VLOOKUP(Table91213[[#This Row],[Date]],'DB Details'!$A:$Q,5)=0,"",VLOOKUP(Table91213[[#This Row],[Date]],'DB Details'!$A:$Q,5))</f>
        <v/>
      </c>
      <c r="F206" s="51">
        <f>IF(VLOOKUP(Table91213[[#This Row],[Date]],'DB Details'!$A:$Q,6)=0,"",VLOOKUP(Table91213[[#This Row],[Date]],'DB Details'!$A:$Q,6))</f>
        <v/>
      </c>
      <c r="G206" s="52">
        <f>IF(VLOOKUP(Table91213[[#This Row],[Date]],'DB Details'!$A:$Q,7)=0,"",VLOOKUP(Table91213[[#This Row],[Date]],'DB Details'!$A:$Q,7))</f>
        <v/>
      </c>
      <c r="H206" s="52">
        <f>IF(VLOOKUP(Table91213[[#This Row],[Date]],'DB Details'!$A:$Q,8)=0,"",VLOOKUP(Table91213[[#This Row],[Date]],'DB Details'!$A:$Q,8))</f>
        <v/>
      </c>
      <c r="I206" s="52">
        <f>IF(VLOOKUP(Table91213[[#This Row],[Date]],'DB Details'!$A:$Q,9)=0,"",VLOOKUP(Table91213[[#This Row],[Date]],'DB Details'!$A:$Q,9))</f>
        <v/>
      </c>
      <c r="J206" s="52">
        <f>IF(VLOOKUP(Table91213[[#This Row],[Date]],'DB Details'!$A:$Q,10)=0,"",VLOOKUP(Table91213[[#This Row],[Date]],'DB Details'!$A:$Q,10))</f>
        <v/>
      </c>
      <c r="K206" s="52">
        <f>IF(VLOOKUP(Table91213[[#This Row],[Date]],'DB Details'!$A:$Q,11)=0,"",VLOOKUP(Table91213[[#This Row],[Date]],'DB Details'!$A:$Q,11))</f>
        <v/>
      </c>
      <c r="L206" s="50">
        <f>IF(VLOOKUP(Table91213[[#This Row],[Date]],'DB Details'!$A:$Q,12)=0,"",VLOOKUP(Table91213[[#This Row],[Date]],'DB Details'!$A:$Q,12))</f>
        <v/>
      </c>
    </row>
    <row r="207">
      <c r="A207" s="53" t="n">
        <v>41730</v>
      </c>
      <c r="B207" s="50">
        <f>IF(VLOOKUP(Table91213[[#This Row],[Date]],'DB Details'!$A:$Q,2)=0,"",VLOOKUP(Table91213[[#This Row],[Date]],'DB Details'!$A:$Q,2))</f>
        <v/>
      </c>
      <c r="C207" s="51">
        <f>IF(VLOOKUP(Table91213[[#This Row],[Date]],'DB Details'!$A:$Q,3)=0,"",VLOOKUP(Table91213[[#This Row],[Date]],'DB Details'!$A:$Q,3))</f>
        <v/>
      </c>
      <c r="D207" s="51">
        <f>IF(VLOOKUP(Table91213[[#This Row],[Date]],'DB Details'!$A:$Q,4)=0,"",VLOOKUP(Table91213[[#This Row],[Date]],'DB Details'!$A:$Q,4))</f>
        <v/>
      </c>
      <c r="E207" s="52">
        <f>IF(VLOOKUP(Table91213[[#This Row],[Date]],'DB Details'!$A:$Q,5)=0,"",VLOOKUP(Table91213[[#This Row],[Date]],'DB Details'!$A:$Q,5))</f>
        <v/>
      </c>
      <c r="F207" s="51">
        <f>IF(VLOOKUP(Table91213[[#This Row],[Date]],'DB Details'!$A:$Q,6)=0,"",VLOOKUP(Table91213[[#This Row],[Date]],'DB Details'!$A:$Q,6))</f>
        <v/>
      </c>
      <c r="G207" s="52">
        <f>IF(VLOOKUP(Table91213[[#This Row],[Date]],'DB Details'!$A:$Q,7)=0,"",VLOOKUP(Table91213[[#This Row],[Date]],'DB Details'!$A:$Q,7))</f>
        <v/>
      </c>
      <c r="H207" s="52">
        <f>IF(VLOOKUP(Table91213[[#This Row],[Date]],'DB Details'!$A:$Q,8)=0,"",VLOOKUP(Table91213[[#This Row],[Date]],'DB Details'!$A:$Q,8))</f>
        <v/>
      </c>
      <c r="I207" s="52">
        <f>IF(VLOOKUP(Table91213[[#This Row],[Date]],'DB Details'!$A:$Q,9)=0,"",VLOOKUP(Table91213[[#This Row],[Date]],'DB Details'!$A:$Q,9))</f>
        <v/>
      </c>
      <c r="J207" s="52">
        <f>IF(VLOOKUP(Table91213[[#This Row],[Date]],'DB Details'!$A:$Q,10)=0,"",VLOOKUP(Table91213[[#This Row],[Date]],'DB Details'!$A:$Q,10))</f>
        <v/>
      </c>
      <c r="K207" s="52">
        <f>IF(VLOOKUP(Table91213[[#This Row],[Date]],'DB Details'!$A:$Q,11)=0,"",VLOOKUP(Table91213[[#This Row],[Date]],'DB Details'!$A:$Q,11))</f>
        <v/>
      </c>
      <c r="L207" s="50">
        <f>IF(VLOOKUP(Table91213[[#This Row],[Date]],'DB Details'!$A:$Q,12)=0,"",VLOOKUP(Table91213[[#This Row],[Date]],'DB Details'!$A:$Q,12))</f>
        <v/>
      </c>
    </row>
    <row r="208">
      <c r="A208" s="53" t="n">
        <v>41760</v>
      </c>
      <c r="B208" s="50">
        <f>IF(VLOOKUP(Table91213[[#This Row],[Date]],'DB Details'!$A:$Q,2)=0,"",VLOOKUP(Table91213[[#This Row],[Date]],'DB Details'!$A:$Q,2))</f>
        <v/>
      </c>
      <c r="C208" s="51">
        <f>IF(VLOOKUP(Table91213[[#This Row],[Date]],'DB Details'!$A:$Q,3)=0,"",VLOOKUP(Table91213[[#This Row],[Date]],'DB Details'!$A:$Q,3))</f>
        <v/>
      </c>
      <c r="D208" s="51">
        <f>IF(VLOOKUP(Table91213[[#This Row],[Date]],'DB Details'!$A:$Q,4)=0,"",VLOOKUP(Table91213[[#This Row],[Date]],'DB Details'!$A:$Q,4))</f>
        <v/>
      </c>
      <c r="E208" s="52">
        <f>IF(VLOOKUP(Table91213[[#This Row],[Date]],'DB Details'!$A:$Q,5)=0,"",VLOOKUP(Table91213[[#This Row],[Date]],'DB Details'!$A:$Q,5))</f>
        <v/>
      </c>
      <c r="F208" s="51">
        <f>IF(VLOOKUP(Table91213[[#This Row],[Date]],'DB Details'!$A:$Q,6)=0,"",VLOOKUP(Table91213[[#This Row],[Date]],'DB Details'!$A:$Q,6))</f>
        <v/>
      </c>
      <c r="G208" s="52">
        <f>IF(VLOOKUP(Table91213[[#This Row],[Date]],'DB Details'!$A:$Q,7)=0,"",VLOOKUP(Table91213[[#This Row],[Date]],'DB Details'!$A:$Q,7))</f>
        <v/>
      </c>
      <c r="H208" s="52">
        <f>IF(VLOOKUP(Table91213[[#This Row],[Date]],'DB Details'!$A:$Q,8)=0,"",VLOOKUP(Table91213[[#This Row],[Date]],'DB Details'!$A:$Q,8))</f>
        <v/>
      </c>
      <c r="I208" s="52">
        <f>IF(VLOOKUP(Table91213[[#This Row],[Date]],'DB Details'!$A:$Q,9)=0,"",VLOOKUP(Table91213[[#This Row],[Date]],'DB Details'!$A:$Q,9))</f>
        <v/>
      </c>
      <c r="J208" s="52">
        <f>IF(VLOOKUP(Table91213[[#This Row],[Date]],'DB Details'!$A:$Q,10)=0,"",VLOOKUP(Table91213[[#This Row],[Date]],'DB Details'!$A:$Q,10))</f>
        <v/>
      </c>
      <c r="K208" s="52">
        <f>IF(VLOOKUP(Table91213[[#This Row],[Date]],'DB Details'!$A:$Q,11)=0,"",VLOOKUP(Table91213[[#This Row],[Date]],'DB Details'!$A:$Q,11))</f>
        <v/>
      </c>
      <c r="L208" s="50">
        <f>IF(VLOOKUP(Table91213[[#This Row],[Date]],'DB Details'!$A:$Q,12)=0,"",VLOOKUP(Table91213[[#This Row],[Date]],'DB Details'!$A:$Q,12))</f>
        <v/>
      </c>
    </row>
    <row r="209">
      <c r="A209" s="53" t="n">
        <v>41791</v>
      </c>
      <c r="B209" s="50">
        <f>IF(VLOOKUP(Table91213[[#This Row],[Date]],'DB Details'!$A:$Q,2)=0,"",VLOOKUP(Table91213[[#This Row],[Date]],'DB Details'!$A:$Q,2))</f>
        <v/>
      </c>
      <c r="C209" s="51">
        <f>IF(VLOOKUP(Table91213[[#This Row],[Date]],'DB Details'!$A:$Q,3)=0,"",VLOOKUP(Table91213[[#This Row],[Date]],'DB Details'!$A:$Q,3))</f>
        <v/>
      </c>
      <c r="D209" s="51">
        <f>IF(VLOOKUP(Table91213[[#This Row],[Date]],'DB Details'!$A:$Q,4)=0,"",VLOOKUP(Table91213[[#This Row],[Date]],'DB Details'!$A:$Q,4))</f>
        <v/>
      </c>
      <c r="E209" s="52">
        <f>IF(VLOOKUP(Table91213[[#This Row],[Date]],'DB Details'!$A:$Q,5)=0,"",VLOOKUP(Table91213[[#This Row],[Date]],'DB Details'!$A:$Q,5))</f>
        <v/>
      </c>
      <c r="F209" s="51">
        <f>IF(VLOOKUP(Table91213[[#This Row],[Date]],'DB Details'!$A:$Q,6)=0,"",VLOOKUP(Table91213[[#This Row],[Date]],'DB Details'!$A:$Q,6))</f>
        <v/>
      </c>
      <c r="G209" s="52">
        <f>IF(VLOOKUP(Table91213[[#This Row],[Date]],'DB Details'!$A:$Q,7)=0,"",VLOOKUP(Table91213[[#This Row],[Date]],'DB Details'!$A:$Q,7))</f>
        <v/>
      </c>
      <c r="H209" s="52">
        <f>IF(VLOOKUP(Table91213[[#This Row],[Date]],'DB Details'!$A:$Q,8)=0,"",VLOOKUP(Table91213[[#This Row],[Date]],'DB Details'!$A:$Q,8))</f>
        <v/>
      </c>
      <c r="I209" s="52">
        <f>IF(VLOOKUP(Table91213[[#This Row],[Date]],'DB Details'!$A:$Q,9)=0,"",VLOOKUP(Table91213[[#This Row],[Date]],'DB Details'!$A:$Q,9))</f>
        <v/>
      </c>
      <c r="J209" s="52">
        <f>IF(VLOOKUP(Table91213[[#This Row],[Date]],'DB Details'!$A:$Q,10)=0,"",VLOOKUP(Table91213[[#This Row],[Date]],'DB Details'!$A:$Q,10))</f>
        <v/>
      </c>
      <c r="K209" s="52">
        <f>IF(VLOOKUP(Table91213[[#This Row],[Date]],'DB Details'!$A:$Q,11)=0,"",VLOOKUP(Table91213[[#This Row],[Date]],'DB Details'!$A:$Q,11))</f>
        <v/>
      </c>
      <c r="L209" s="50">
        <f>IF(VLOOKUP(Table91213[[#This Row],[Date]],'DB Details'!$A:$Q,12)=0,"",VLOOKUP(Table91213[[#This Row],[Date]],'DB Details'!$A:$Q,12))</f>
        <v/>
      </c>
    </row>
    <row r="210">
      <c r="A210" s="53" t="n">
        <v>41821</v>
      </c>
      <c r="B210" s="50">
        <f>IF(VLOOKUP(Table91213[[#This Row],[Date]],'DB Details'!$A:$Q,2)=0,"",VLOOKUP(Table91213[[#This Row],[Date]],'DB Details'!$A:$Q,2))</f>
        <v/>
      </c>
      <c r="C210" s="51">
        <f>IF(VLOOKUP(Table91213[[#This Row],[Date]],'DB Details'!$A:$Q,3)=0,"",VLOOKUP(Table91213[[#This Row],[Date]],'DB Details'!$A:$Q,3))</f>
        <v/>
      </c>
      <c r="D210" s="51">
        <f>IF(VLOOKUP(Table91213[[#This Row],[Date]],'DB Details'!$A:$Q,4)=0,"",VLOOKUP(Table91213[[#This Row],[Date]],'DB Details'!$A:$Q,4))</f>
        <v/>
      </c>
      <c r="E210" s="52">
        <f>IF(VLOOKUP(Table91213[[#This Row],[Date]],'DB Details'!$A:$Q,5)=0,"",VLOOKUP(Table91213[[#This Row],[Date]],'DB Details'!$A:$Q,5))</f>
        <v/>
      </c>
      <c r="F210" s="51">
        <f>IF(VLOOKUP(Table91213[[#This Row],[Date]],'DB Details'!$A:$Q,6)=0,"",VLOOKUP(Table91213[[#This Row],[Date]],'DB Details'!$A:$Q,6))</f>
        <v/>
      </c>
      <c r="G210" s="52">
        <f>IF(VLOOKUP(Table91213[[#This Row],[Date]],'DB Details'!$A:$Q,7)=0,"",VLOOKUP(Table91213[[#This Row],[Date]],'DB Details'!$A:$Q,7))</f>
        <v/>
      </c>
      <c r="H210" s="52">
        <f>IF(VLOOKUP(Table91213[[#This Row],[Date]],'DB Details'!$A:$Q,8)=0,"",VLOOKUP(Table91213[[#This Row],[Date]],'DB Details'!$A:$Q,8))</f>
        <v/>
      </c>
      <c r="I210" s="52">
        <f>IF(VLOOKUP(Table91213[[#This Row],[Date]],'DB Details'!$A:$Q,9)=0,"",VLOOKUP(Table91213[[#This Row],[Date]],'DB Details'!$A:$Q,9))</f>
        <v/>
      </c>
      <c r="J210" s="52">
        <f>IF(VLOOKUP(Table91213[[#This Row],[Date]],'DB Details'!$A:$Q,10)=0,"",VLOOKUP(Table91213[[#This Row],[Date]],'DB Details'!$A:$Q,10))</f>
        <v/>
      </c>
      <c r="K210" s="52">
        <f>IF(VLOOKUP(Table91213[[#This Row],[Date]],'DB Details'!$A:$Q,11)=0,"",VLOOKUP(Table91213[[#This Row],[Date]],'DB Details'!$A:$Q,11))</f>
        <v/>
      </c>
      <c r="L210" s="50">
        <f>IF(VLOOKUP(Table91213[[#This Row],[Date]],'DB Details'!$A:$Q,12)=0,"",VLOOKUP(Table91213[[#This Row],[Date]],'DB Details'!$A:$Q,12))</f>
        <v/>
      </c>
    </row>
    <row r="211">
      <c r="A211" s="53" t="n">
        <v>41852</v>
      </c>
      <c r="B211" s="50">
        <f>IF(VLOOKUP(Table91213[[#This Row],[Date]],'DB Details'!$A:$Q,2)=0,"",VLOOKUP(Table91213[[#This Row],[Date]],'DB Details'!$A:$Q,2))</f>
        <v/>
      </c>
      <c r="C211" s="51">
        <f>IF(VLOOKUP(Table91213[[#This Row],[Date]],'DB Details'!$A:$Q,3)=0,"",VLOOKUP(Table91213[[#This Row],[Date]],'DB Details'!$A:$Q,3))</f>
        <v/>
      </c>
      <c r="D211" s="51">
        <f>IF(VLOOKUP(Table91213[[#This Row],[Date]],'DB Details'!$A:$Q,4)=0,"",VLOOKUP(Table91213[[#This Row],[Date]],'DB Details'!$A:$Q,4))</f>
        <v/>
      </c>
      <c r="E211" s="52">
        <f>IF(VLOOKUP(Table91213[[#This Row],[Date]],'DB Details'!$A:$Q,5)=0,"",VLOOKUP(Table91213[[#This Row],[Date]],'DB Details'!$A:$Q,5))</f>
        <v/>
      </c>
      <c r="F211" s="51">
        <f>IF(VLOOKUP(Table91213[[#This Row],[Date]],'DB Details'!$A:$Q,6)=0,"",VLOOKUP(Table91213[[#This Row],[Date]],'DB Details'!$A:$Q,6))</f>
        <v/>
      </c>
      <c r="G211" s="52">
        <f>IF(VLOOKUP(Table91213[[#This Row],[Date]],'DB Details'!$A:$Q,7)=0,"",VLOOKUP(Table91213[[#This Row],[Date]],'DB Details'!$A:$Q,7))</f>
        <v/>
      </c>
      <c r="H211" s="52">
        <f>IF(VLOOKUP(Table91213[[#This Row],[Date]],'DB Details'!$A:$Q,8)=0,"",VLOOKUP(Table91213[[#This Row],[Date]],'DB Details'!$A:$Q,8))</f>
        <v/>
      </c>
      <c r="I211" s="52">
        <f>IF(VLOOKUP(Table91213[[#This Row],[Date]],'DB Details'!$A:$Q,9)=0,"",VLOOKUP(Table91213[[#This Row],[Date]],'DB Details'!$A:$Q,9))</f>
        <v/>
      </c>
      <c r="J211" s="52">
        <f>IF(VLOOKUP(Table91213[[#This Row],[Date]],'DB Details'!$A:$Q,10)=0,"",VLOOKUP(Table91213[[#This Row],[Date]],'DB Details'!$A:$Q,10))</f>
        <v/>
      </c>
      <c r="K211" s="52">
        <f>IF(VLOOKUP(Table91213[[#This Row],[Date]],'DB Details'!$A:$Q,11)=0,"",VLOOKUP(Table91213[[#This Row],[Date]],'DB Details'!$A:$Q,11))</f>
        <v/>
      </c>
      <c r="L211" s="50">
        <f>IF(VLOOKUP(Table91213[[#This Row],[Date]],'DB Details'!$A:$Q,12)=0,"",VLOOKUP(Table91213[[#This Row],[Date]],'DB Details'!$A:$Q,12))</f>
        <v/>
      </c>
    </row>
    <row r="212">
      <c r="A212" s="53" t="n">
        <v>41883</v>
      </c>
      <c r="B212" s="50">
        <f>IF(VLOOKUP(Table91213[[#This Row],[Date]],'DB Details'!$A:$Q,2)=0,"",VLOOKUP(Table91213[[#This Row],[Date]],'DB Details'!$A:$Q,2))</f>
        <v/>
      </c>
      <c r="C212" s="51">
        <f>IF(VLOOKUP(Table91213[[#This Row],[Date]],'DB Details'!$A:$Q,3)=0,"",VLOOKUP(Table91213[[#This Row],[Date]],'DB Details'!$A:$Q,3))</f>
        <v/>
      </c>
      <c r="D212" s="51">
        <f>IF(VLOOKUP(Table91213[[#This Row],[Date]],'DB Details'!$A:$Q,4)=0,"",VLOOKUP(Table91213[[#This Row],[Date]],'DB Details'!$A:$Q,4))</f>
        <v/>
      </c>
      <c r="E212" s="52">
        <f>IF(VLOOKUP(Table91213[[#This Row],[Date]],'DB Details'!$A:$Q,5)=0,"",VLOOKUP(Table91213[[#This Row],[Date]],'DB Details'!$A:$Q,5))</f>
        <v/>
      </c>
      <c r="F212" s="51">
        <f>IF(VLOOKUP(Table91213[[#This Row],[Date]],'DB Details'!$A:$Q,6)=0,"",VLOOKUP(Table91213[[#This Row],[Date]],'DB Details'!$A:$Q,6))</f>
        <v/>
      </c>
      <c r="G212" s="52">
        <f>IF(VLOOKUP(Table91213[[#This Row],[Date]],'DB Details'!$A:$Q,7)=0,"",VLOOKUP(Table91213[[#This Row],[Date]],'DB Details'!$A:$Q,7))</f>
        <v/>
      </c>
      <c r="H212" s="52">
        <f>IF(VLOOKUP(Table91213[[#This Row],[Date]],'DB Details'!$A:$Q,8)=0,"",VLOOKUP(Table91213[[#This Row],[Date]],'DB Details'!$A:$Q,8))</f>
        <v/>
      </c>
      <c r="I212" s="52">
        <f>IF(VLOOKUP(Table91213[[#This Row],[Date]],'DB Details'!$A:$Q,9)=0,"",VLOOKUP(Table91213[[#This Row],[Date]],'DB Details'!$A:$Q,9))</f>
        <v/>
      </c>
      <c r="J212" s="52">
        <f>IF(VLOOKUP(Table91213[[#This Row],[Date]],'DB Details'!$A:$Q,10)=0,"",VLOOKUP(Table91213[[#This Row],[Date]],'DB Details'!$A:$Q,10))</f>
        <v/>
      </c>
      <c r="K212" s="52">
        <f>IF(VLOOKUP(Table91213[[#This Row],[Date]],'DB Details'!$A:$Q,11)=0,"",VLOOKUP(Table91213[[#This Row],[Date]],'DB Details'!$A:$Q,11))</f>
        <v/>
      </c>
      <c r="L212" s="50">
        <f>IF(VLOOKUP(Table91213[[#This Row],[Date]],'DB Details'!$A:$Q,12)=0,"",VLOOKUP(Table91213[[#This Row],[Date]],'DB Details'!$A:$Q,12))</f>
        <v/>
      </c>
    </row>
    <row r="213">
      <c r="A213" s="53" t="n">
        <v>41913</v>
      </c>
      <c r="B213" s="50">
        <f>IF(VLOOKUP(Table91213[[#This Row],[Date]],'DB Details'!$A:$Q,2)=0,"",VLOOKUP(Table91213[[#This Row],[Date]],'DB Details'!$A:$Q,2))</f>
        <v/>
      </c>
      <c r="C213" s="51">
        <f>IF(VLOOKUP(Table91213[[#This Row],[Date]],'DB Details'!$A:$Q,3)=0,"",VLOOKUP(Table91213[[#This Row],[Date]],'DB Details'!$A:$Q,3))</f>
        <v/>
      </c>
      <c r="D213" s="51">
        <f>IF(VLOOKUP(Table91213[[#This Row],[Date]],'DB Details'!$A:$Q,4)=0,"",VLOOKUP(Table91213[[#This Row],[Date]],'DB Details'!$A:$Q,4))</f>
        <v/>
      </c>
      <c r="E213" s="52">
        <f>IF(VLOOKUP(Table91213[[#This Row],[Date]],'DB Details'!$A:$Q,5)=0,"",VLOOKUP(Table91213[[#This Row],[Date]],'DB Details'!$A:$Q,5))</f>
        <v/>
      </c>
      <c r="F213" s="51">
        <f>IF(VLOOKUP(Table91213[[#This Row],[Date]],'DB Details'!$A:$Q,6)=0,"",VLOOKUP(Table91213[[#This Row],[Date]],'DB Details'!$A:$Q,6))</f>
        <v/>
      </c>
      <c r="G213" s="52">
        <f>IF(VLOOKUP(Table91213[[#This Row],[Date]],'DB Details'!$A:$Q,7)=0,"",VLOOKUP(Table91213[[#This Row],[Date]],'DB Details'!$A:$Q,7))</f>
        <v/>
      </c>
      <c r="H213" s="52">
        <f>IF(VLOOKUP(Table91213[[#This Row],[Date]],'DB Details'!$A:$Q,8)=0,"",VLOOKUP(Table91213[[#This Row],[Date]],'DB Details'!$A:$Q,8))</f>
        <v/>
      </c>
      <c r="I213" s="52">
        <f>IF(VLOOKUP(Table91213[[#This Row],[Date]],'DB Details'!$A:$Q,9)=0,"",VLOOKUP(Table91213[[#This Row],[Date]],'DB Details'!$A:$Q,9))</f>
        <v/>
      </c>
      <c r="J213" s="52">
        <f>IF(VLOOKUP(Table91213[[#This Row],[Date]],'DB Details'!$A:$Q,10)=0,"",VLOOKUP(Table91213[[#This Row],[Date]],'DB Details'!$A:$Q,10))</f>
        <v/>
      </c>
      <c r="K213" s="52">
        <f>IF(VLOOKUP(Table91213[[#This Row],[Date]],'DB Details'!$A:$Q,11)=0,"",VLOOKUP(Table91213[[#This Row],[Date]],'DB Details'!$A:$Q,11))</f>
        <v/>
      </c>
      <c r="L213" s="50">
        <f>IF(VLOOKUP(Table91213[[#This Row],[Date]],'DB Details'!$A:$Q,12)=0,"",VLOOKUP(Table91213[[#This Row],[Date]],'DB Details'!$A:$Q,12))</f>
        <v/>
      </c>
    </row>
    <row r="214">
      <c r="A214" s="53" t="n">
        <v>41944</v>
      </c>
      <c r="B214" s="50">
        <f>IF(VLOOKUP(Table91213[[#This Row],[Date]],'DB Details'!$A:$Q,2)=0,"",VLOOKUP(Table91213[[#This Row],[Date]],'DB Details'!$A:$Q,2))</f>
        <v/>
      </c>
      <c r="C214" s="51">
        <f>IF(VLOOKUP(Table91213[[#This Row],[Date]],'DB Details'!$A:$Q,3)=0,"",VLOOKUP(Table91213[[#This Row],[Date]],'DB Details'!$A:$Q,3))</f>
        <v/>
      </c>
      <c r="D214" s="51">
        <f>IF(VLOOKUP(Table91213[[#This Row],[Date]],'DB Details'!$A:$Q,4)=0,"",VLOOKUP(Table91213[[#This Row],[Date]],'DB Details'!$A:$Q,4))</f>
        <v/>
      </c>
      <c r="E214" s="52">
        <f>IF(VLOOKUP(Table91213[[#This Row],[Date]],'DB Details'!$A:$Q,5)=0,"",VLOOKUP(Table91213[[#This Row],[Date]],'DB Details'!$A:$Q,5))</f>
        <v/>
      </c>
      <c r="F214" s="51">
        <f>IF(VLOOKUP(Table91213[[#This Row],[Date]],'DB Details'!$A:$Q,6)=0,"",VLOOKUP(Table91213[[#This Row],[Date]],'DB Details'!$A:$Q,6))</f>
        <v/>
      </c>
      <c r="G214" s="52">
        <f>IF(VLOOKUP(Table91213[[#This Row],[Date]],'DB Details'!$A:$Q,7)=0,"",VLOOKUP(Table91213[[#This Row],[Date]],'DB Details'!$A:$Q,7))</f>
        <v/>
      </c>
      <c r="H214" s="52">
        <f>IF(VLOOKUP(Table91213[[#This Row],[Date]],'DB Details'!$A:$Q,8)=0,"",VLOOKUP(Table91213[[#This Row],[Date]],'DB Details'!$A:$Q,8))</f>
        <v/>
      </c>
      <c r="I214" s="52">
        <f>IF(VLOOKUP(Table91213[[#This Row],[Date]],'DB Details'!$A:$Q,9)=0,"",VLOOKUP(Table91213[[#This Row],[Date]],'DB Details'!$A:$Q,9))</f>
        <v/>
      </c>
      <c r="J214" s="52">
        <f>IF(VLOOKUP(Table91213[[#This Row],[Date]],'DB Details'!$A:$Q,10)=0,"",VLOOKUP(Table91213[[#This Row],[Date]],'DB Details'!$A:$Q,10))</f>
        <v/>
      </c>
      <c r="K214" s="52">
        <f>IF(VLOOKUP(Table91213[[#This Row],[Date]],'DB Details'!$A:$Q,11)=0,"",VLOOKUP(Table91213[[#This Row],[Date]],'DB Details'!$A:$Q,11))</f>
        <v/>
      </c>
      <c r="L214" s="50">
        <f>IF(VLOOKUP(Table91213[[#This Row],[Date]],'DB Details'!$A:$Q,12)=0,"",VLOOKUP(Table91213[[#This Row],[Date]],'DB Details'!$A:$Q,12))</f>
        <v/>
      </c>
    </row>
    <row r="215">
      <c r="A215" s="53" t="n">
        <v>41974</v>
      </c>
      <c r="B215" s="50">
        <f>IF(VLOOKUP(Table91213[[#This Row],[Date]],'DB Details'!$A:$Q,2)=0,"",VLOOKUP(Table91213[[#This Row],[Date]],'DB Details'!$A:$Q,2))</f>
        <v/>
      </c>
      <c r="C215" s="51">
        <f>IF(VLOOKUP(Table91213[[#This Row],[Date]],'DB Details'!$A:$Q,3)=0,"",VLOOKUP(Table91213[[#This Row],[Date]],'DB Details'!$A:$Q,3))</f>
        <v/>
      </c>
      <c r="D215" s="51">
        <f>IF(VLOOKUP(Table91213[[#This Row],[Date]],'DB Details'!$A:$Q,4)=0,"",VLOOKUP(Table91213[[#This Row],[Date]],'DB Details'!$A:$Q,4))</f>
        <v/>
      </c>
      <c r="E215" s="52">
        <f>IF(VLOOKUP(Table91213[[#This Row],[Date]],'DB Details'!$A:$Q,5)=0,"",VLOOKUP(Table91213[[#This Row],[Date]],'DB Details'!$A:$Q,5))</f>
        <v/>
      </c>
      <c r="F215" s="51">
        <f>IF(VLOOKUP(Table91213[[#This Row],[Date]],'DB Details'!$A:$Q,6)=0,"",VLOOKUP(Table91213[[#This Row],[Date]],'DB Details'!$A:$Q,6))</f>
        <v/>
      </c>
      <c r="G215" s="52">
        <f>IF(VLOOKUP(Table91213[[#This Row],[Date]],'DB Details'!$A:$Q,7)=0,"",VLOOKUP(Table91213[[#This Row],[Date]],'DB Details'!$A:$Q,7))</f>
        <v/>
      </c>
      <c r="H215" s="52">
        <f>IF(VLOOKUP(Table91213[[#This Row],[Date]],'DB Details'!$A:$Q,8)=0,"",VLOOKUP(Table91213[[#This Row],[Date]],'DB Details'!$A:$Q,8))</f>
        <v/>
      </c>
      <c r="I215" s="52">
        <f>IF(VLOOKUP(Table91213[[#This Row],[Date]],'DB Details'!$A:$Q,9)=0,"",VLOOKUP(Table91213[[#This Row],[Date]],'DB Details'!$A:$Q,9))</f>
        <v/>
      </c>
      <c r="J215" s="52">
        <f>IF(VLOOKUP(Table91213[[#This Row],[Date]],'DB Details'!$A:$Q,10)=0,"",VLOOKUP(Table91213[[#This Row],[Date]],'DB Details'!$A:$Q,10))</f>
        <v/>
      </c>
      <c r="K215" s="52">
        <f>IF(VLOOKUP(Table91213[[#This Row],[Date]],'DB Details'!$A:$Q,11)=0,"",VLOOKUP(Table91213[[#This Row],[Date]],'DB Details'!$A:$Q,11))</f>
        <v/>
      </c>
      <c r="L215" s="50">
        <f>IF(VLOOKUP(Table91213[[#This Row],[Date]],'DB Details'!$A:$Q,12)=0,"",VLOOKUP(Table91213[[#This Row],[Date]],'DB Details'!$A:$Q,12))</f>
        <v/>
      </c>
    </row>
    <row r="216">
      <c r="A216" s="53" t="n">
        <v>42005</v>
      </c>
      <c r="B216" s="50">
        <f>IF(VLOOKUP(Table91213[[#This Row],[Date]],'DB Details'!$A:$Q,2)=0,"",VLOOKUP(Table91213[[#This Row],[Date]],'DB Details'!$A:$Q,2))</f>
        <v/>
      </c>
      <c r="C216" s="51">
        <f>IF(VLOOKUP(Table91213[[#This Row],[Date]],'DB Details'!$A:$Q,3)=0,"",VLOOKUP(Table91213[[#This Row],[Date]],'DB Details'!$A:$Q,3))</f>
        <v/>
      </c>
      <c r="D216" s="51">
        <f>IF(VLOOKUP(Table91213[[#This Row],[Date]],'DB Details'!$A:$Q,4)=0,"",VLOOKUP(Table91213[[#This Row],[Date]],'DB Details'!$A:$Q,4))</f>
        <v/>
      </c>
      <c r="E216" s="52">
        <f>IF(VLOOKUP(Table91213[[#This Row],[Date]],'DB Details'!$A:$Q,5)=0,"",VLOOKUP(Table91213[[#This Row],[Date]],'DB Details'!$A:$Q,5))</f>
        <v/>
      </c>
      <c r="F216" s="51">
        <f>IF(VLOOKUP(Table91213[[#This Row],[Date]],'DB Details'!$A:$Q,6)=0,"",VLOOKUP(Table91213[[#This Row],[Date]],'DB Details'!$A:$Q,6))</f>
        <v/>
      </c>
      <c r="G216" s="52">
        <f>IF(VLOOKUP(Table91213[[#This Row],[Date]],'DB Details'!$A:$Q,7)=0,"",VLOOKUP(Table91213[[#This Row],[Date]],'DB Details'!$A:$Q,7))</f>
        <v/>
      </c>
      <c r="H216" s="52">
        <f>IF(VLOOKUP(Table91213[[#This Row],[Date]],'DB Details'!$A:$Q,8)=0,"",VLOOKUP(Table91213[[#This Row],[Date]],'DB Details'!$A:$Q,8))</f>
        <v/>
      </c>
      <c r="I216" s="52">
        <f>IF(VLOOKUP(Table91213[[#This Row],[Date]],'DB Details'!$A:$Q,9)=0,"",VLOOKUP(Table91213[[#This Row],[Date]],'DB Details'!$A:$Q,9))</f>
        <v/>
      </c>
      <c r="J216" s="52">
        <f>IF(VLOOKUP(Table91213[[#This Row],[Date]],'DB Details'!$A:$Q,10)=0,"",VLOOKUP(Table91213[[#This Row],[Date]],'DB Details'!$A:$Q,10))</f>
        <v/>
      </c>
      <c r="K216" s="52">
        <f>IF(VLOOKUP(Table91213[[#This Row],[Date]],'DB Details'!$A:$Q,11)=0,"",VLOOKUP(Table91213[[#This Row],[Date]],'DB Details'!$A:$Q,11))</f>
        <v/>
      </c>
      <c r="L216" s="50">
        <f>IF(VLOOKUP(Table91213[[#This Row],[Date]],'DB Details'!$A:$Q,12)=0,"",VLOOKUP(Table91213[[#This Row],[Date]],'DB Details'!$A:$Q,12))</f>
        <v/>
      </c>
    </row>
    <row r="217">
      <c r="A217" s="53" t="n">
        <v>42036</v>
      </c>
      <c r="B217" s="50">
        <f>IF(VLOOKUP(Table91213[[#This Row],[Date]],'DB Details'!$A:$Q,2)=0,"",VLOOKUP(Table91213[[#This Row],[Date]],'DB Details'!$A:$Q,2))</f>
        <v/>
      </c>
      <c r="C217" s="51">
        <f>IF(VLOOKUP(Table91213[[#This Row],[Date]],'DB Details'!$A:$Q,3)=0,"",VLOOKUP(Table91213[[#This Row],[Date]],'DB Details'!$A:$Q,3))</f>
        <v/>
      </c>
      <c r="D217" s="51">
        <f>IF(VLOOKUP(Table91213[[#This Row],[Date]],'DB Details'!$A:$Q,4)=0,"",VLOOKUP(Table91213[[#This Row],[Date]],'DB Details'!$A:$Q,4))</f>
        <v/>
      </c>
      <c r="E217" s="52">
        <f>IF(VLOOKUP(Table91213[[#This Row],[Date]],'DB Details'!$A:$Q,5)=0,"",VLOOKUP(Table91213[[#This Row],[Date]],'DB Details'!$A:$Q,5))</f>
        <v/>
      </c>
      <c r="F217" s="51">
        <f>IF(VLOOKUP(Table91213[[#This Row],[Date]],'DB Details'!$A:$Q,6)=0,"",VLOOKUP(Table91213[[#This Row],[Date]],'DB Details'!$A:$Q,6))</f>
        <v/>
      </c>
      <c r="G217" s="52">
        <f>IF(VLOOKUP(Table91213[[#This Row],[Date]],'DB Details'!$A:$Q,7)=0,"",VLOOKUP(Table91213[[#This Row],[Date]],'DB Details'!$A:$Q,7))</f>
        <v/>
      </c>
      <c r="H217" s="52">
        <f>IF(VLOOKUP(Table91213[[#This Row],[Date]],'DB Details'!$A:$Q,8)=0,"",VLOOKUP(Table91213[[#This Row],[Date]],'DB Details'!$A:$Q,8))</f>
        <v/>
      </c>
      <c r="I217" s="52">
        <f>IF(VLOOKUP(Table91213[[#This Row],[Date]],'DB Details'!$A:$Q,9)=0,"",VLOOKUP(Table91213[[#This Row],[Date]],'DB Details'!$A:$Q,9))</f>
        <v/>
      </c>
      <c r="J217" s="52">
        <f>IF(VLOOKUP(Table91213[[#This Row],[Date]],'DB Details'!$A:$Q,10)=0,"",VLOOKUP(Table91213[[#This Row],[Date]],'DB Details'!$A:$Q,10))</f>
        <v/>
      </c>
      <c r="K217" s="52">
        <f>IF(VLOOKUP(Table91213[[#This Row],[Date]],'DB Details'!$A:$Q,11)=0,"",VLOOKUP(Table91213[[#This Row],[Date]],'DB Details'!$A:$Q,11))</f>
        <v/>
      </c>
      <c r="L217" s="50">
        <f>IF(VLOOKUP(Table91213[[#This Row],[Date]],'DB Details'!$A:$Q,12)=0,"",VLOOKUP(Table91213[[#This Row],[Date]],'DB Details'!$A:$Q,12))</f>
        <v/>
      </c>
    </row>
    <row r="218">
      <c r="A218" s="53" t="n">
        <v>42064</v>
      </c>
      <c r="B218" s="50">
        <f>IF(VLOOKUP(Table91213[[#This Row],[Date]],'DB Details'!$A:$Q,2)=0,"",VLOOKUP(Table91213[[#This Row],[Date]],'DB Details'!$A:$Q,2))</f>
        <v/>
      </c>
      <c r="C218" s="51">
        <f>IF(VLOOKUP(Table91213[[#This Row],[Date]],'DB Details'!$A:$Q,3)=0,"",VLOOKUP(Table91213[[#This Row],[Date]],'DB Details'!$A:$Q,3))</f>
        <v/>
      </c>
      <c r="D218" s="51">
        <f>IF(VLOOKUP(Table91213[[#This Row],[Date]],'DB Details'!$A:$Q,4)=0,"",VLOOKUP(Table91213[[#This Row],[Date]],'DB Details'!$A:$Q,4))</f>
        <v/>
      </c>
      <c r="E218" s="52">
        <f>IF(VLOOKUP(Table91213[[#This Row],[Date]],'DB Details'!$A:$Q,5)=0,"",VLOOKUP(Table91213[[#This Row],[Date]],'DB Details'!$A:$Q,5))</f>
        <v/>
      </c>
      <c r="F218" s="51">
        <f>IF(VLOOKUP(Table91213[[#This Row],[Date]],'DB Details'!$A:$Q,6)=0,"",VLOOKUP(Table91213[[#This Row],[Date]],'DB Details'!$A:$Q,6))</f>
        <v/>
      </c>
      <c r="G218" s="52">
        <f>IF(VLOOKUP(Table91213[[#This Row],[Date]],'DB Details'!$A:$Q,7)=0,"",VLOOKUP(Table91213[[#This Row],[Date]],'DB Details'!$A:$Q,7))</f>
        <v/>
      </c>
      <c r="H218" s="52">
        <f>IF(VLOOKUP(Table91213[[#This Row],[Date]],'DB Details'!$A:$Q,8)=0,"",VLOOKUP(Table91213[[#This Row],[Date]],'DB Details'!$A:$Q,8))</f>
        <v/>
      </c>
      <c r="I218" s="52">
        <f>IF(VLOOKUP(Table91213[[#This Row],[Date]],'DB Details'!$A:$Q,9)=0,"",VLOOKUP(Table91213[[#This Row],[Date]],'DB Details'!$A:$Q,9))</f>
        <v/>
      </c>
      <c r="J218" s="52">
        <f>IF(VLOOKUP(Table91213[[#This Row],[Date]],'DB Details'!$A:$Q,10)=0,"",VLOOKUP(Table91213[[#This Row],[Date]],'DB Details'!$A:$Q,10))</f>
        <v/>
      </c>
      <c r="K218" s="52">
        <f>IF(VLOOKUP(Table91213[[#This Row],[Date]],'DB Details'!$A:$Q,11)=0,"",VLOOKUP(Table91213[[#This Row],[Date]],'DB Details'!$A:$Q,11))</f>
        <v/>
      </c>
      <c r="L218" s="50">
        <f>IF(VLOOKUP(Table91213[[#This Row],[Date]],'DB Details'!$A:$Q,12)=0,"",VLOOKUP(Table91213[[#This Row],[Date]],'DB Details'!$A:$Q,12))</f>
        <v/>
      </c>
    </row>
    <row r="219">
      <c r="A219" s="53" t="n">
        <v>42095</v>
      </c>
      <c r="B219" s="50">
        <f>IF(VLOOKUP(Table91213[[#This Row],[Date]],'DB Details'!$A:$Q,2)=0,"",VLOOKUP(Table91213[[#This Row],[Date]],'DB Details'!$A:$Q,2))</f>
        <v/>
      </c>
      <c r="C219" s="51">
        <f>IF(VLOOKUP(Table91213[[#This Row],[Date]],'DB Details'!$A:$Q,3)=0,"",VLOOKUP(Table91213[[#This Row],[Date]],'DB Details'!$A:$Q,3))</f>
        <v/>
      </c>
      <c r="D219" s="51">
        <f>IF(VLOOKUP(Table91213[[#This Row],[Date]],'DB Details'!$A:$Q,4)=0,"",VLOOKUP(Table91213[[#This Row],[Date]],'DB Details'!$A:$Q,4))</f>
        <v/>
      </c>
      <c r="E219" s="52">
        <f>IF(VLOOKUP(Table91213[[#This Row],[Date]],'DB Details'!$A:$Q,5)=0,"",VLOOKUP(Table91213[[#This Row],[Date]],'DB Details'!$A:$Q,5))</f>
        <v/>
      </c>
      <c r="F219" s="51">
        <f>IF(VLOOKUP(Table91213[[#This Row],[Date]],'DB Details'!$A:$Q,6)=0,"",VLOOKUP(Table91213[[#This Row],[Date]],'DB Details'!$A:$Q,6))</f>
        <v/>
      </c>
      <c r="G219" s="52">
        <f>IF(VLOOKUP(Table91213[[#This Row],[Date]],'DB Details'!$A:$Q,7)=0,"",VLOOKUP(Table91213[[#This Row],[Date]],'DB Details'!$A:$Q,7))</f>
        <v/>
      </c>
      <c r="H219" s="52">
        <f>IF(VLOOKUP(Table91213[[#This Row],[Date]],'DB Details'!$A:$Q,8)=0,"",VLOOKUP(Table91213[[#This Row],[Date]],'DB Details'!$A:$Q,8))</f>
        <v/>
      </c>
      <c r="I219" s="52">
        <f>IF(VLOOKUP(Table91213[[#This Row],[Date]],'DB Details'!$A:$Q,9)=0,"",VLOOKUP(Table91213[[#This Row],[Date]],'DB Details'!$A:$Q,9))</f>
        <v/>
      </c>
      <c r="J219" s="52">
        <f>IF(VLOOKUP(Table91213[[#This Row],[Date]],'DB Details'!$A:$Q,10)=0,"",VLOOKUP(Table91213[[#This Row],[Date]],'DB Details'!$A:$Q,10))</f>
        <v/>
      </c>
      <c r="K219" s="52">
        <f>IF(VLOOKUP(Table91213[[#This Row],[Date]],'DB Details'!$A:$Q,11)=0,"",VLOOKUP(Table91213[[#This Row],[Date]],'DB Details'!$A:$Q,11))</f>
        <v/>
      </c>
      <c r="L219" s="50">
        <f>IF(VLOOKUP(Table91213[[#This Row],[Date]],'DB Details'!$A:$Q,12)=0,"",VLOOKUP(Table91213[[#This Row],[Date]],'DB Details'!$A:$Q,12))</f>
        <v/>
      </c>
    </row>
    <row r="220">
      <c r="A220" s="53" t="n">
        <v>42125</v>
      </c>
      <c r="B220" s="50">
        <f>IF(VLOOKUP(Table91213[[#This Row],[Date]],'DB Details'!$A:$Q,2)=0,"",VLOOKUP(Table91213[[#This Row],[Date]],'DB Details'!$A:$Q,2))</f>
        <v/>
      </c>
      <c r="C220" s="51">
        <f>IF(VLOOKUP(Table91213[[#This Row],[Date]],'DB Details'!$A:$Q,3)=0,"",VLOOKUP(Table91213[[#This Row],[Date]],'DB Details'!$A:$Q,3))</f>
        <v/>
      </c>
      <c r="D220" s="51">
        <f>IF(VLOOKUP(Table91213[[#This Row],[Date]],'DB Details'!$A:$Q,4)=0,"",VLOOKUP(Table91213[[#This Row],[Date]],'DB Details'!$A:$Q,4))</f>
        <v/>
      </c>
      <c r="E220" s="52">
        <f>IF(VLOOKUP(Table91213[[#This Row],[Date]],'DB Details'!$A:$Q,5)=0,"",VLOOKUP(Table91213[[#This Row],[Date]],'DB Details'!$A:$Q,5))</f>
        <v/>
      </c>
      <c r="F220" s="51">
        <f>IF(VLOOKUP(Table91213[[#This Row],[Date]],'DB Details'!$A:$Q,6)=0,"",VLOOKUP(Table91213[[#This Row],[Date]],'DB Details'!$A:$Q,6))</f>
        <v/>
      </c>
      <c r="G220" s="52">
        <f>IF(VLOOKUP(Table91213[[#This Row],[Date]],'DB Details'!$A:$Q,7)=0,"",VLOOKUP(Table91213[[#This Row],[Date]],'DB Details'!$A:$Q,7))</f>
        <v/>
      </c>
      <c r="H220" s="52">
        <f>IF(VLOOKUP(Table91213[[#This Row],[Date]],'DB Details'!$A:$Q,8)=0,"",VLOOKUP(Table91213[[#This Row],[Date]],'DB Details'!$A:$Q,8))</f>
        <v/>
      </c>
      <c r="I220" s="52">
        <f>IF(VLOOKUP(Table91213[[#This Row],[Date]],'DB Details'!$A:$Q,9)=0,"",VLOOKUP(Table91213[[#This Row],[Date]],'DB Details'!$A:$Q,9))</f>
        <v/>
      </c>
      <c r="J220" s="52">
        <f>IF(VLOOKUP(Table91213[[#This Row],[Date]],'DB Details'!$A:$Q,10)=0,"",VLOOKUP(Table91213[[#This Row],[Date]],'DB Details'!$A:$Q,10))</f>
        <v/>
      </c>
      <c r="K220" s="52">
        <f>IF(VLOOKUP(Table91213[[#This Row],[Date]],'DB Details'!$A:$Q,11)=0,"",VLOOKUP(Table91213[[#This Row],[Date]],'DB Details'!$A:$Q,11))</f>
        <v/>
      </c>
      <c r="L220" s="50">
        <f>IF(VLOOKUP(Table91213[[#This Row],[Date]],'DB Details'!$A:$Q,12)=0,"",VLOOKUP(Table91213[[#This Row],[Date]],'DB Details'!$A:$Q,12))</f>
        <v/>
      </c>
    </row>
    <row r="221">
      <c r="A221" s="53" t="n">
        <v>42156</v>
      </c>
      <c r="B221" s="50">
        <f>IF(VLOOKUP(Table91213[[#This Row],[Date]],'DB Details'!$A:$Q,2)=0,"",VLOOKUP(Table91213[[#This Row],[Date]],'DB Details'!$A:$Q,2))</f>
        <v/>
      </c>
      <c r="C221" s="51">
        <f>IF(VLOOKUP(Table91213[[#This Row],[Date]],'DB Details'!$A:$Q,3)=0,"",VLOOKUP(Table91213[[#This Row],[Date]],'DB Details'!$A:$Q,3))</f>
        <v/>
      </c>
      <c r="D221" s="51">
        <f>IF(VLOOKUP(Table91213[[#This Row],[Date]],'DB Details'!$A:$Q,4)=0,"",VLOOKUP(Table91213[[#This Row],[Date]],'DB Details'!$A:$Q,4))</f>
        <v/>
      </c>
      <c r="E221" s="52">
        <f>IF(VLOOKUP(Table91213[[#This Row],[Date]],'DB Details'!$A:$Q,5)=0,"",VLOOKUP(Table91213[[#This Row],[Date]],'DB Details'!$A:$Q,5))</f>
        <v/>
      </c>
      <c r="F221" s="51">
        <f>IF(VLOOKUP(Table91213[[#This Row],[Date]],'DB Details'!$A:$Q,6)=0,"",VLOOKUP(Table91213[[#This Row],[Date]],'DB Details'!$A:$Q,6))</f>
        <v/>
      </c>
      <c r="G221" s="52">
        <f>IF(VLOOKUP(Table91213[[#This Row],[Date]],'DB Details'!$A:$Q,7)=0,"",VLOOKUP(Table91213[[#This Row],[Date]],'DB Details'!$A:$Q,7))</f>
        <v/>
      </c>
      <c r="H221" s="52">
        <f>IF(VLOOKUP(Table91213[[#This Row],[Date]],'DB Details'!$A:$Q,8)=0,"",VLOOKUP(Table91213[[#This Row],[Date]],'DB Details'!$A:$Q,8))</f>
        <v/>
      </c>
      <c r="I221" s="52">
        <f>IF(VLOOKUP(Table91213[[#This Row],[Date]],'DB Details'!$A:$Q,9)=0,"",VLOOKUP(Table91213[[#This Row],[Date]],'DB Details'!$A:$Q,9))</f>
        <v/>
      </c>
      <c r="J221" s="52">
        <f>IF(VLOOKUP(Table91213[[#This Row],[Date]],'DB Details'!$A:$Q,10)=0,"",VLOOKUP(Table91213[[#This Row],[Date]],'DB Details'!$A:$Q,10))</f>
        <v/>
      </c>
      <c r="K221" s="52">
        <f>IF(VLOOKUP(Table91213[[#This Row],[Date]],'DB Details'!$A:$Q,11)=0,"",VLOOKUP(Table91213[[#This Row],[Date]],'DB Details'!$A:$Q,11))</f>
        <v/>
      </c>
      <c r="L221" s="50">
        <f>IF(VLOOKUP(Table91213[[#This Row],[Date]],'DB Details'!$A:$Q,12)=0,"",VLOOKUP(Table91213[[#This Row],[Date]],'DB Details'!$A:$Q,12))</f>
        <v/>
      </c>
    </row>
    <row r="222">
      <c r="A222" s="53" t="n">
        <v>42186</v>
      </c>
      <c r="B222" s="50">
        <f>IF(VLOOKUP(Table91213[[#This Row],[Date]],'DB Details'!$A:$Q,2)=0,"",VLOOKUP(Table91213[[#This Row],[Date]],'DB Details'!$A:$Q,2))</f>
        <v/>
      </c>
      <c r="C222" s="51">
        <f>IF(VLOOKUP(Table91213[[#This Row],[Date]],'DB Details'!$A:$Q,3)=0,"",VLOOKUP(Table91213[[#This Row],[Date]],'DB Details'!$A:$Q,3))</f>
        <v/>
      </c>
      <c r="D222" s="51">
        <f>IF(VLOOKUP(Table91213[[#This Row],[Date]],'DB Details'!$A:$Q,4)=0,"",VLOOKUP(Table91213[[#This Row],[Date]],'DB Details'!$A:$Q,4))</f>
        <v/>
      </c>
      <c r="E222" s="52">
        <f>IF(VLOOKUP(Table91213[[#This Row],[Date]],'DB Details'!$A:$Q,5)=0,"",VLOOKUP(Table91213[[#This Row],[Date]],'DB Details'!$A:$Q,5))</f>
        <v/>
      </c>
      <c r="F222" s="51">
        <f>IF(VLOOKUP(Table91213[[#This Row],[Date]],'DB Details'!$A:$Q,6)=0,"",VLOOKUP(Table91213[[#This Row],[Date]],'DB Details'!$A:$Q,6))</f>
        <v/>
      </c>
      <c r="G222" s="52">
        <f>IF(VLOOKUP(Table91213[[#This Row],[Date]],'DB Details'!$A:$Q,7)=0,"",VLOOKUP(Table91213[[#This Row],[Date]],'DB Details'!$A:$Q,7))</f>
        <v/>
      </c>
      <c r="H222" s="52">
        <f>IF(VLOOKUP(Table91213[[#This Row],[Date]],'DB Details'!$A:$Q,8)=0,"",VLOOKUP(Table91213[[#This Row],[Date]],'DB Details'!$A:$Q,8))</f>
        <v/>
      </c>
      <c r="I222" s="52">
        <f>IF(VLOOKUP(Table91213[[#This Row],[Date]],'DB Details'!$A:$Q,9)=0,"",VLOOKUP(Table91213[[#This Row],[Date]],'DB Details'!$A:$Q,9))</f>
        <v/>
      </c>
      <c r="J222" s="52">
        <f>IF(VLOOKUP(Table91213[[#This Row],[Date]],'DB Details'!$A:$Q,10)=0,"",VLOOKUP(Table91213[[#This Row],[Date]],'DB Details'!$A:$Q,10))</f>
        <v/>
      </c>
      <c r="K222" s="52">
        <f>IF(VLOOKUP(Table91213[[#This Row],[Date]],'DB Details'!$A:$Q,11)=0,"",VLOOKUP(Table91213[[#This Row],[Date]],'DB Details'!$A:$Q,11))</f>
        <v/>
      </c>
      <c r="L222" s="50">
        <f>IF(VLOOKUP(Table91213[[#This Row],[Date]],'DB Details'!$A:$Q,12)=0,"",VLOOKUP(Table91213[[#This Row],[Date]],'DB Details'!$A:$Q,12))</f>
        <v/>
      </c>
    </row>
    <row r="223">
      <c r="A223" s="53" t="n">
        <v>42217</v>
      </c>
      <c r="B223" s="50">
        <f>IF(VLOOKUP(Table91213[[#This Row],[Date]],'DB Details'!$A:$Q,2)=0,"",VLOOKUP(Table91213[[#This Row],[Date]],'DB Details'!$A:$Q,2))</f>
        <v/>
      </c>
      <c r="C223" s="51">
        <f>IF(VLOOKUP(Table91213[[#This Row],[Date]],'DB Details'!$A:$Q,3)=0,"",VLOOKUP(Table91213[[#This Row],[Date]],'DB Details'!$A:$Q,3))</f>
        <v/>
      </c>
      <c r="D223" s="51">
        <f>IF(VLOOKUP(Table91213[[#This Row],[Date]],'DB Details'!$A:$Q,4)=0,"",VLOOKUP(Table91213[[#This Row],[Date]],'DB Details'!$A:$Q,4))</f>
        <v/>
      </c>
      <c r="E223" s="52">
        <f>IF(VLOOKUP(Table91213[[#This Row],[Date]],'DB Details'!$A:$Q,5)=0,"",VLOOKUP(Table91213[[#This Row],[Date]],'DB Details'!$A:$Q,5))</f>
        <v/>
      </c>
      <c r="F223" s="51">
        <f>IF(VLOOKUP(Table91213[[#This Row],[Date]],'DB Details'!$A:$Q,6)=0,"",VLOOKUP(Table91213[[#This Row],[Date]],'DB Details'!$A:$Q,6))</f>
        <v/>
      </c>
      <c r="G223" s="52">
        <f>IF(VLOOKUP(Table91213[[#This Row],[Date]],'DB Details'!$A:$Q,7)=0,"",VLOOKUP(Table91213[[#This Row],[Date]],'DB Details'!$A:$Q,7))</f>
        <v/>
      </c>
      <c r="H223" s="52">
        <f>IF(VLOOKUP(Table91213[[#This Row],[Date]],'DB Details'!$A:$Q,8)=0,"",VLOOKUP(Table91213[[#This Row],[Date]],'DB Details'!$A:$Q,8))</f>
        <v/>
      </c>
      <c r="I223" s="52">
        <f>IF(VLOOKUP(Table91213[[#This Row],[Date]],'DB Details'!$A:$Q,9)=0,"",VLOOKUP(Table91213[[#This Row],[Date]],'DB Details'!$A:$Q,9))</f>
        <v/>
      </c>
      <c r="J223" s="52">
        <f>IF(VLOOKUP(Table91213[[#This Row],[Date]],'DB Details'!$A:$Q,10)=0,"",VLOOKUP(Table91213[[#This Row],[Date]],'DB Details'!$A:$Q,10))</f>
        <v/>
      </c>
      <c r="K223" s="52">
        <f>IF(VLOOKUP(Table91213[[#This Row],[Date]],'DB Details'!$A:$Q,11)=0,"",VLOOKUP(Table91213[[#This Row],[Date]],'DB Details'!$A:$Q,11))</f>
        <v/>
      </c>
      <c r="L223" s="50">
        <f>IF(VLOOKUP(Table91213[[#This Row],[Date]],'DB Details'!$A:$Q,12)=0,"",VLOOKUP(Table91213[[#This Row],[Date]],'DB Details'!$A:$Q,12))</f>
        <v/>
      </c>
    </row>
    <row r="224">
      <c r="A224" s="53" t="n">
        <v>42248</v>
      </c>
      <c r="B224" s="50">
        <f>IF(VLOOKUP(Table91213[[#This Row],[Date]],'DB Details'!$A:$Q,2)=0,"",VLOOKUP(Table91213[[#This Row],[Date]],'DB Details'!$A:$Q,2))</f>
        <v/>
      </c>
      <c r="C224" s="51">
        <f>IF(VLOOKUP(Table91213[[#This Row],[Date]],'DB Details'!$A:$Q,3)=0,"",VLOOKUP(Table91213[[#This Row],[Date]],'DB Details'!$A:$Q,3))</f>
        <v/>
      </c>
      <c r="D224" s="51">
        <f>IF(VLOOKUP(Table91213[[#This Row],[Date]],'DB Details'!$A:$Q,4)=0,"",VLOOKUP(Table91213[[#This Row],[Date]],'DB Details'!$A:$Q,4))</f>
        <v/>
      </c>
      <c r="E224" s="52">
        <f>IF(VLOOKUP(Table91213[[#This Row],[Date]],'DB Details'!$A:$Q,5)=0,"",VLOOKUP(Table91213[[#This Row],[Date]],'DB Details'!$A:$Q,5))</f>
        <v/>
      </c>
      <c r="F224" s="51">
        <f>IF(VLOOKUP(Table91213[[#This Row],[Date]],'DB Details'!$A:$Q,6)=0,"",VLOOKUP(Table91213[[#This Row],[Date]],'DB Details'!$A:$Q,6))</f>
        <v/>
      </c>
      <c r="G224" s="52">
        <f>IF(VLOOKUP(Table91213[[#This Row],[Date]],'DB Details'!$A:$Q,7)=0,"",VLOOKUP(Table91213[[#This Row],[Date]],'DB Details'!$A:$Q,7))</f>
        <v/>
      </c>
      <c r="H224" s="52">
        <f>IF(VLOOKUP(Table91213[[#This Row],[Date]],'DB Details'!$A:$Q,8)=0,"",VLOOKUP(Table91213[[#This Row],[Date]],'DB Details'!$A:$Q,8))</f>
        <v/>
      </c>
      <c r="I224" s="52">
        <f>IF(VLOOKUP(Table91213[[#This Row],[Date]],'DB Details'!$A:$Q,9)=0,"",VLOOKUP(Table91213[[#This Row],[Date]],'DB Details'!$A:$Q,9))</f>
        <v/>
      </c>
      <c r="J224" s="52">
        <f>IF(VLOOKUP(Table91213[[#This Row],[Date]],'DB Details'!$A:$Q,10)=0,"",VLOOKUP(Table91213[[#This Row],[Date]],'DB Details'!$A:$Q,10))</f>
        <v/>
      </c>
      <c r="K224" s="52">
        <f>IF(VLOOKUP(Table91213[[#This Row],[Date]],'DB Details'!$A:$Q,11)=0,"",VLOOKUP(Table91213[[#This Row],[Date]],'DB Details'!$A:$Q,11))</f>
        <v/>
      </c>
      <c r="L224" s="50">
        <f>IF(VLOOKUP(Table91213[[#This Row],[Date]],'DB Details'!$A:$Q,12)=0,"",VLOOKUP(Table91213[[#This Row],[Date]],'DB Details'!$A:$Q,12))</f>
        <v/>
      </c>
    </row>
    <row r="225">
      <c r="A225" s="53" t="n">
        <v>42278</v>
      </c>
      <c r="B225" s="50">
        <f>IF(VLOOKUP(Table91213[[#This Row],[Date]],'DB Details'!$A:$Q,2)=0,"",VLOOKUP(Table91213[[#This Row],[Date]],'DB Details'!$A:$Q,2))</f>
        <v/>
      </c>
      <c r="C225" s="51">
        <f>IF(VLOOKUP(Table91213[[#This Row],[Date]],'DB Details'!$A:$Q,3)=0,"",VLOOKUP(Table91213[[#This Row],[Date]],'DB Details'!$A:$Q,3))</f>
        <v/>
      </c>
      <c r="D225" s="51">
        <f>IF(VLOOKUP(Table91213[[#This Row],[Date]],'DB Details'!$A:$Q,4)=0,"",VLOOKUP(Table91213[[#This Row],[Date]],'DB Details'!$A:$Q,4))</f>
        <v/>
      </c>
      <c r="E225" s="52">
        <f>IF(VLOOKUP(Table91213[[#This Row],[Date]],'DB Details'!$A:$Q,5)=0,"",VLOOKUP(Table91213[[#This Row],[Date]],'DB Details'!$A:$Q,5))</f>
        <v/>
      </c>
      <c r="F225" s="51">
        <f>IF(VLOOKUP(Table91213[[#This Row],[Date]],'DB Details'!$A:$Q,6)=0,"",VLOOKUP(Table91213[[#This Row],[Date]],'DB Details'!$A:$Q,6))</f>
        <v/>
      </c>
      <c r="G225" s="52">
        <f>IF(VLOOKUP(Table91213[[#This Row],[Date]],'DB Details'!$A:$Q,7)=0,"",VLOOKUP(Table91213[[#This Row],[Date]],'DB Details'!$A:$Q,7))</f>
        <v/>
      </c>
      <c r="H225" s="52">
        <f>IF(VLOOKUP(Table91213[[#This Row],[Date]],'DB Details'!$A:$Q,8)=0,"",VLOOKUP(Table91213[[#This Row],[Date]],'DB Details'!$A:$Q,8))</f>
        <v/>
      </c>
      <c r="I225" s="52">
        <f>IF(VLOOKUP(Table91213[[#This Row],[Date]],'DB Details'!$A:$Q,9)=0,"",VLOOKUP(Table91213[[#This Row],[Date]],'DB Details'!$A:$Q,9))</f>
        <v/>
      </c>
      <c r="J225" s="52">
        <f>IF(VLOOKUP(Table91213[[#This Row],[Date]],'DB Details'!$A:$Q,10)=0,"",VLOOKUP(Table91213[[#This Row],[Date]],'DB Details'!$A:$Q,10))</f>
        <v/>
      </c>
      <c r="K225" s="52">
        <f>IF(VLOOKUP(Table91213[[#This Row],[Date]],'DB Details'!$A:$Q,11)=0,"",VLOOKUP(Table91213[[#This Row],[Date]],'DB Details'!$A:$Q,11))</f>
        <v/>
      </c>
      <c r="L225" s="50">
        <f>IF(VLOOKUP(Table91213[[#This Row],[Date]],'DB Details'!$A:$Q,12)=0,"",VLOOKUP(Table91213[[#This Row],[Date]],'DB Details'!$A:$Q,12))</f>
        <v/>
      </c>
    </row>
    <row r="226">
      <c r="A226" s="53" t="n">
        <v>42309</v>
      </c>
      <c r="B226" s="50">
        <f>IF(VLOOKUP(Table91213[[#This Row],[Date]],'DB Details'!$A:$Q,2)=0,"",VLOOKUP(Table91213[[#This Row],[Date]],'DB Details'!$A:$Q,2))</f>
        <v/>
      </c>
      <c r="C226" s="51">
        <f>IF(VLOOKUP(Table91213[[#This Row],[Date]],'DB Details'!$A:$Q,3)=0,"",VLOOKUP(Table91213[[#This Row],[Date]],'DB Details'!$A:$Q,3))</f>
        <v/>
      </c>
      <c r="D226" s="51">
        <f>IF(VLOOKUP(Table91213[[#This Row],[Date]],'DB Details'!$A:$Q,4)=0,"",VLOOKUP(Table91213[[#This Row],[Date]],'DB Details'!$A:$Q,4))</f>
        <v/>
      </c>
      <c r="E226" s="52">
        <f>IF(VLOOKUP(Table91213[[#This Row],[Date]],'DB Details'!$A:$Q,5)=0,"",VLOOKUP(Table91213[[#This Row],[Date]],'DB Details'!$A:$Q,5))</f>
        <v/>
      </c>
      <c r="F226" s="51">
        <f>IF(VLOOKUP(Table91213[[#This Row],[Date]],'DB Details'!$A:$Q,6)=0,"",VLOOKUP(Table91213[[#This Row],[Date]],'DB Details'!$A:$Q,6))</f>
        <v/>
      </c>
      <c r="G226" s="52">
        <f>IF(VLOOKUP(Table91213[[#This Row],[Date]],'DB Details'!$A:$Q,7)=0,"",VLOOKUP(Table91213[[#This Row],[Date]],'DB Details'!$A:$Q,7))</f>
        <v/>
      </c>
      <c r="H226" s="52">
        <f>IF(VLOOKUP(Table91213[[#This Row],[Date]],'DB Details'!$A:$Q,8)=0,"",VLOOKUP(Table91213[[#This Row],[Date]],'DB Details'!$A:$Q,8))</f>
        <v/>
      </c>
      <c r="I226" s="52">
        <f>IF(VLOOKUP(Table91213[[#This Row],[Date]],'DB Details'!$A:$Q,9)=0,"",VLOOKUP(Table91213[[#This Row],[Date]],'DB Details'!$A:$Q,9))</f>
        <v/>
      </c>
      <c r="J226" s="52">
        <f>IF(VLOOKUP(Table91213[[#This Row],[Date]],'DB Details'!$A:$Q,10)=0,"",VLOOKUP(Table91213[[#This Row],[Date]],'DB Details'!$A:$Q,10))</f>
        <v/>
      </c>
      <c r="K226" s="52">
        <f>IF(VLOOKUP(Table91213[[#This Row],[Date]],'DB Details'!$A:$Q,11)=0,"",VLOOKUP(Table91213[[#This Row],[Date]],'DB Details'!$A:$Q,11))</f>
        <v/>
      </c>
      <c r="L226" s="50">
        <f>IF(VLOOKUP(Table91213[[#This Row],[Date]],'DB Details'!$A:$Q,12)=0,"",VLOOKUP(Table91213[[#This Row],[Date]],'DB Details'!$A:$Q,12))</f>
        <v/>
      </c>
    </row>
    <row r="227">
      <c r="A227" s="53" t="n">
        <v>42339</v>
      </c>
      <c r="B227" s="50">
        <f>IF(VLOOKUP(Table91213[[#This Row],[Date]],'DB Details'!$A:$Q,2)=0,"",VLOOKUP(Table91213[[#This Row],[Date]],'DB Details'!$A:$Q,2))</f>
        <v/>
      </c>
      <c r="C227" s="51">
        <f>IF(VLOOKUP(Table91213[[#This Row],[Date]],'DB Details'!$A:$Q,3)=0,"",VLOOKUP(Table91213[[#This Row],[Date]],'DB Details'!$A:$Q,3))</f>
        <v/>
      </c>
      <c r="D227" s="51">
        <f>IF(VLOOKUP(Table91213[[#This Row],[Date]],'DB Details'!$A:$Q,4)=0,"",VLOOKUP(Table91213[[#This Row],[Date]],'DB Details'!$A:$Q,4))</f>
        <v/>
      </c>
      <c r="E227" s="52">
        <f>IF(VLOOKUP(Table91213[[#This Row],[Date]],'DB Details'!$A:$Q,5)=0,"",VLOOKUP(Table91213[[#This Row],[Date]],'DB Details'!$A:$Q,5))</f>
        <v/>
      </c>
      <c r="F227" s="51">
        <f>IF(VLOOKUP(Table91213[[#This Row],[Date]],'DB Details'!$A:$Q,6)=0,"",VLOOKUP(Table91213[[#This Row],[Date]],'DB Details'!$A:$Q,6))</f>
        <v/>
      </c>
      <c r="G227" s="52">
        <f>IF(VLOOKUP(Table91213[[#This Row],[Date]],'DB Details'!$A:$Q,7)=0,"",VLOOKUP(Table91213[[#This Row],[Date]],'DB Details'!$A:$Q,7))</f>
        <v/>
      </c>
      <c r="H227" s="52">
        <f>IF(VLOOKUP(Table91213[[#This Row],[Date]],'DB Details'!$A:$Q,8)=0,"",VLOOKUP(Table91213[[#This Row],[Date]],'DB Details'!$A:$Q,8))</f>
        <v/>
      </c>
      <c r="I227" s="52">
        <f>IF(VLOOKUP(Table91213[[#This Row],[Date]],'DB Details'!$A:$Q,9)=0,"",VLOOKUP(Table91213[[#This Row],[Date]],'DB Details'!$A:$Q,9))</f>
        <v/>
      </c>
      <c r="J227" s="52">
        <f>IF(VLOOKUP(Table91213[[#This Row],[Date]],'DB Details'!$A:$Q,10)=0,"",VLOOKUP(Table91213[[#This Row],[Date]],'DB Details'!$A:$Q,10))</f>
        <v/>
      </c>
      <c r="K227" s="52">
        <f>IF(VLOOKUP(Table91213[[#This Row],[Date]],'DB Details'!$A:$Q,11)=0,"",VLOOKUP(Table91213[[#This Row],[Date]],'DB Details'!$A:$Q,11))</f>
        <v/>
      </c>
      <c r="L227" s="50">
        <f>IF(VLOOKUP(Table91213[[#This Row],[Date]],'DB Details'!$A:$Q,12)=0,"",VLOOKUP(Table91213[[#This Row],[Date]],'DB Details'!$A:$Q,12))</f>
        <v/>
      </c>
    </row>
    <row r="228">
      <c r="A228" s="53" t="n">
        <v>42370</v>
      </c>
      <c r="B228" s="50">
        <f>IF(VLOOKUP(Table91213[[#This Row],[Date]],'DB Details'!$A:$Q,2)=0,"",VLOOKUP(Table91213[[#This Row],[Date]],'DB Details'!$A:$Q,2))</f>
        <v/>
      </c>
      <c r="C228" s="51">
        <f>IF(VLOOKUP(Table91213[[#This Row],[Date]],'DB Details'!$A:$Q,3)=0,"",VLOOKUP(Table91213[[#This Row],[Date]],'DB Details'!$A:$Q,3))</f>
        <v/>
      </c>
      <c r="D228" s="51">
        <f>IF(VLOOKUP(Table91213[[#This Row],[Date]],'DB Details'!$A:$Q,4)=0,"",VLOOKUP(Table91213[[#This Row],[Date]],'DB Details'!$A:$Q,4))</f>
        <v/>
      </c>
      <c r="E228" s="52">
        <f>IF(VLOOKUP(Table91213[[#This Row],[Date]],'DB Details'!$A:$Q,5)=0,"",VLOOKUP(Table91213[[#This Row],[Date]],'DB Details'!$A:$Q,5))</f>
        <v/>
      </c>
      <c r="F228" s="51">
        <f>IF(VLOOKUP(Table91213[[#This Row],[Date]],'DB Details'!$A:$Q,6)=0,"",VLOOKUP(Table91213[[#This Row],[Date]],'DB Details'!$A:$Q,6))</f>
        <v/>
      </c>
      <c r="G228" s="52">
        <f>IF(VLOOKUP(Table91213[[#This Row],[Date]],'DB Details'!$A:$Q,7)=0,"",VLOOKUP(Table91213[[#This Row],[Date]],'DB Details'!$A:$Q,7))</f>
        <v/>
      </c>
      <c r="H228" s="52">
        <f>IF(VLOOKUP(Table91213[[#This Row],[Date]],'DB Details'!$A:$Q,8)=0,"",VLOOKUP(Table91213[[#This Row],[Date]],'DB Details'!$A:$Q,8))</f>
        <v/>
      </c>
      <c r="I228" s="52">
        <f>IF(VLOOKUP(Table91213[[#This Row],[Date]],'DB Details'!$A:$Q,9)=0,"",VLOOKUP(Table91213[[#This Row],[Date]],'DB Details'!$A:$Q,9))</f>
        <v/>
      </c>
      <c r="J228" s="52">
        <f>IF(VLOOKUP(Table91213[[#This Row],[Date]],'DB Details'!$A:$Q,10)=0,"",VLOOKUP(Table91213[[#This Row],[Date]],'DB Details'!$A:$Q,10))</f>
        <v/>
      </c>
      <c r="K228" s="52">
        <f>IF(VLOOKUP(Table91213[[#This Row],[Date]],'DB Details'!$A:$Q,11)=0,"",VLOOKUP(Table91213[[#This Row],[Date]],'DB Details'!$A:$Q,11))</f>
        <v/>
      </c>
      <c r="L228" s="50">
        <f>IF(VLOOKUP(Table91213[[#This Row],[Date]],'DB Details'!$A:$Q,12)=0,"",VLOOKUP(Table91213[[#This Row],[Date]],'DB Details'!$A:$Q,12))</f>
        <v/>
      </c>
    </row>
    <row r="229">
      <c r="A229" s="53" t="n">
        <v>42401</v>
      </c>
      <c r="B229" s="50">
        <f>IF(VLOOKUP(Table91213[[#This Row],[Date]],'DB Details'!$A:$Q,2)=0,"",VLOOKUP(Table91213[[#This Row],[Date]],'DB Details'!$A:$Q,2))</f>
        <v/>
      </c>
      <c r="C229" s="51">
        <f>IF(VLOOKUP(Table91213[[#This Row],[Date]],'DB Details'!$A:$Q,3)=0,"",VLOOKUP(Table91213[[#This Row],[Date]],'DB Details'!$A:$Q,3))</f>
        <v/>
      </c>
      <c r="D229" s="51">
        <f>IF(VLOOKUP(Table91213[[#This Row],[Date]],'DB Details'!$A:$Q,4)=0,"",VLOOKUP(Table91213[[#This Row],[Date]],'DB Details'!$A:$Q,4))</f>
        <v/>
      </c>
      <c r="E229" s="52">
        <f>IF(VLOOKUP(Table91213[[#This Row],[Date]],'DB Details'!$A:$Q,5)=0,"",VLOOKUP(Table91213[[#This Row],[Date]],'DB Details'!$A:$Q,5))</f>
        <v/>
      </c>
      <c r="F229" s="51">
        <f>IF(VLOOKUP(Table91213[[#This Row],[Date]],'DB Details'!$A:$Q,6)=0,"",VLOOKUP(Table91213[[#This Row],[Date]],'DB Details'!$A:$Q,6))</f>
        <v/>
      </c>
      <c r="G229" s="52">
        <f>IF(VLOOKUP(Table91213[[#This Row],[Date]],'DB Details'!$A:$Q,7)=0,"",VLOOKUP(Table91213[[#This Row],[Date]],'DB Details'!$A:$Q,7))</f>
        <v/>
      </c>
      <c r="H229" s="52">
        <f>IF(VLOOKUP(Table91213[[#This Row],[Date]],'DB Details'!$A:$Q,8)=0,"",VLOOKUP(Table91213[[#This Row],[Date]],'DB Details'!$A:$Q,8))</f>
        <v/>
      </c>
      <c r="I229" s="52">
        <f>IF(VLOOKUP(Table91213[[#This Row],[Date]],'DB Details'!$A:$Q,9)=0,"",VLOOKUP(Table91213[[#This Row],[Date]],'DB Details'!$A:$Q,9))</f>
        <v/>
      </c>
      <c r="J229" s="52">
        <f>IF(VLOOKUP(Table91213[[#This Row],[Date]],'DB Details'!$A:$Q,10)=0,"",VLOOKUP(Table91213[[#This Row],[Date]],'DB Details'!$A:$Q,10))</f>
        <v/>
      </c>
      <c r="K229" s="52">
        <f>IF(VLOOKUP(Table91213[[#This Row],[Date]],'DB Details'!$A:$Q,11)=0,"",VLOOKUP(Table91213[[#This Row],[Date]],'DB Details'!$A:$Q,11))</f>
        <v/>
      </c>
      <c r="L229" s="50">
        <f>IF(VLOOKUP(Table91213[[#This Row],[Date]],'DB Details'!$A:$Q,12)=0,"",VLOOKUP(Table91213[[#This Row],[Date]],'DB Details'!$A:$Q,12))</f>
        <v/>
      </c>
    </row>
    <row r="230">
      <c r="A230" s="53" t="n">
        <v>42430</v>
      </c>
      <c r="B230" s="50">
        <f>IF(VLOOKUP(Table91213[[#This Row],[Date]],'DB Details'!$A:$Q,2)=0,"",VLOOKUP(Table91213[[#This Row],[Date]],'DB Details'!$A:$Q,2))</f>
        <v/>
      </c>
      <c r="C230" s="51">
        <f>IF(VLOOKUP(Table91213[[#This Row],[Date]],'DB Details'!$A:$Q,3)=0,"",VLOOKUP(Table91213[[#This Row],[Date]],'DB Details'!$A:$Q,3))</f>
        <v/>
      </c>
      <c r="D230" s="51">
        <f>IF(VLOOKUP(Table91213[[#This Row],[Date]],'DB Details'!$A:$Q,4)=0,"",VLOOKUP(Table91213[[#This Row],[Date]],'DB Details'!$A:$Q,4))</f>
        <v/>
      </c>
      <c r="E230" s="52">
        <f>IF(VLOOKUP(Table91213[[#This Row],[Date]],'DB Details'!$A:$Q,5)=0,"",VLOOKUP(Table91213[[#This Row],[Date]],'DB Details'!$A:$Q,5))</f>
        <v/>
      </c>
      <c r="F230" s="51">
        <f>IF(VLOOKUP(Table91213[[#This Row],[Date]],'DB Details'!$A:$Q,6)=0,"",VLOOKUP(Table91213[[#This Row],[Date]],'DB Details'!$A:$Q,6))</f>
        <v/>
      </c>
      <c r="G230" s="52">
        <f>IF(VLOOKUP(Table91213[[#This Row],[Date]],'DB Details'!$A:$Q,7)=0,"",VLOOKUP(Table91213[[#This Row],[Date]],'DB Details'!$A:$Q,7))</f>
        <v/>
      </c>
      <c r="H230" s="52">
        <f>IF(VLOOKUP(Table91213[[#This Row],[Date]],'DB Details'!$A:$Q,8)=0,"",VLOOKUP(Table91213[[#This Row],[Date]],'DB Details'!$A:$Q,8))</f>
        <v/>
      </c>
      <c r="I230" s="52">
        <f>IF(VLOOKUP(Table91213[[#This Row],[Date]],'DB Details'!$A:$Q,9)=0,"",VLOOKUP(Table91213[[#This Row],[Date]],'DB Details'!$A:$Q,9))</f>
        <v/>
      </c>
      <c r="J230" s="52">
        <f>IF(VLOOKUP(Table91213[[#This Row],[Date]],'DB Details'!$A:$Q,10)=0,"",VLOOKUP(Table91213[[#This Row],[Date]],'DB Details'!$A:$Q,10))</f>
        <v/>
      </c>
      <c r="K230" s="52">
        <f>IF(VLOOKUP(Table91213[[#This Row],[Date]],'DB Details'!$A:$Q,11)=0,"",VLOOKUP(Table91213[[#This Row],[Date]],'DB Details'!$A:$Q,11))</f>
        <v/>
      </c>
      <c r="L230" s="50">
        <f>IF(VLOOKUP(Table91213[[#This Row],[Date]],'DB Details'!$A:$Q,12)=0,"",VLOOKUP(Table91213[[#This Row],[Date]],'DB Details'!$A:$Q,12))</f>
        <v/>
      </c>
    </row>
    <row r="231">
      <c r="A231" s="53" t="n">
        <v>42461</v>
      </c>
      <c r="B231" s="50">
        <f>IF(VLOOKUP(Table91213[[#This Row],[Date]],'DB Details'!$A:$Q,2)=0,"",VLOOKUP(Table91213[[#This Row],[Date]],'DB Details'!$A:$Q,2))</f>
        <v/>
      </c>
      <c r="C231" s="51">
        <f>IF(VLOOKUP(Table91213[[#This Row],[Date]],'DB Details'!$A:$Q,3)=0,"",VLOOKUP(Table91213[[#This Row],[Date]],'DB Details'!$A:$Q,3))</f>
        <v/>
      </c>
      <c r="D231" s="51">
        <f>IF(VLOOKUP(Table91213[[#This Row],[Date]],'DB Details'!$A:$Q,4)=0,"",VLOOKUP(Table91213[[#This Row],[Date]],'DB Details'!$A:$Q,4))</f>
        <v/>
      </c>
      <c r="E231" s="52">
        <f>IF(VLOOKUP(Table91213[[#This Row],[Date]],'DB Details'!$A:$Q,5)=0,"",VLOOKUP(Table91213[[#This Row],[Date]],'DB Details'!$A:$Q,5))</f>
        <v/>
      </c>
      <c r="F231" s="51">
        <f>IF(VLOOKUP(Table91213[[#This Row],[Date]],'DB Details'!$A:$Q,6)=0,"",VLOOKUP(Table91213[[#This Row],[Date]],'DB Details'!$A:$Q,6))</f>
        <v/>
      </c>
      <c r="G231" s="52">
        <f>IF(VLOOKUP(Table91213[[#This Row],[Date]],'DB Details'!$A:$Q,7)=0,"",VLOOKUP(Table91213[[#This Row],[Date]],'DB Details'!$A:$Q,7))</f>
        <v/>
      </c>
      <c r="H231" s="52">
        <f>IF(VLOOKUP(Table91213[[#This Row],[Date]],'DB Details'!$A:$Q,8)=0,"",VLOOKUP(Table91213[[#This Row],[Date]],'DB Details'!$A:$Q,8))</f>
        <v/>
      </c>
      <c r="I231" s="52">
        <f>IF(VLOOKUP(Table91213[[#This Row],[Date]],'DB Details'!$A:$Q,9)=0,"",VLOOKUP(Table91213[[#This Row],[Date]],'DB Details'!$A:$Q,9))</f>
        <v/>
      </c>
      <c r="J231" s="52">
        <f>IF(VLOOKUP(Table91213[[#This Row],[Date]],'DB Details'!$A:$Q,10)=0,"",VLOOKUP(Table91213[[#This Row],[Date]],'DB Details'!$A:$Q,10))</f>
        <v/>
      </c>
      <c r="K231" s="52">
        <f>IF(VLOOKUP(Table91213[[#This Row],[Date]],'DB Details'!$A:$Q,11)=0,"",VLOOKUP(Table91213[[#This Row],[Date]],'DB Details'!$A:$Q,11))</f>
        <v/>
      </c>
      <c r="L231" s="50">
        <f>IF(VLOOKUP(Table91213[[#This Row],[Date]],'DB Details'!$A:$Q,12)=0,"",VLOOKUP(Table91213[[#This Row],[Date]],'DB Details'!$A:$Q,12))</f>
        <v/>
      </c>
    </row>
    <row r="232">
      <c r="A232" s="53" t="n">
        <v>42491</v>
      </c>
      <c r="B232" s="50">
        <f>IF(VLOOKUP(Table91213[[#This Row],[Date]],'DB Details'!$A:$Q,2)=0,"",VLOOKUP(Table91213[[#This Row],[Date]],'DB Details'!$A:$Q,2))</f>
        <v/>
      </c>
      <c r="C232" s="51">
        <f>IF(VLOOKUP(Table91213[[#This Row],[Date]],'DB Details'!$A:$Q,3)=0,"",VLOOKUP(Table91213[[#This Row],[Date]],'DB Details'!$A:$Q,3))</f>
        <v/>
      </c>
      <c r="D232" s="51">
        <f>IF(VLOOKUP(Table91213[[#This Row],[Date]],'DB Details'!$A:$Q,4)=0,"",VLOOKUP(Table91213[[#This Row],[Date]],'DB Details'!$A:$Q,4))</f>
        <v/>
      </c>
      <c r="E232" s="52">
        <f>IF(VLOOKUP(Table91213[[#This Row],[Date]],'DB Details'!$A:$Q,5)=0,"",VLOOKUP(Table91213[[#This Row],[Date]],'DB Details'!$A:$Q,5))</f>
        <v/>
      </c>
      <c r="F232" s="51">
        <f>IF(VLOOKUP(Table91213[[#This Row],[Date]],'DB Details'!$A:$Q,6)=0,"",VLOOKUP(Table91213[[#This Row],[Date]],'DB Details'!$A:$Q,6))</f>
        <v/>
      </c>
      <c r="G232" s="52">
        <f>IF(VLOOKUP(Table91213[[#This Row],[Date]],'DB Details'!$A:$Q,7)=0,"",VLOOKUP(Table91213[[#This Row],[Date]],'DB Details'!$A:$Q,7))</f>
        <v/>
      </c>
      <c r="H232" s="52">
        <f>IF(VLOOKUP(Table91213[[#This Row],[Date]],'DB Details'!$A:$Q,8)=0,"",VLOOKUP(Table91213[[#This Row],[Date]],'DB Details'!$A:$Q,8))</f>
        <v/>
      </c>
      <c r="I232" s="52">
        <f>IF(VLOOKUP(Table91213[[#This Row],[Date]],'DB Details'!$A:$Q,9)=0,"",VLOOKUP(Table91213[[#This Row],[Date]],'DB Details'!$A:$Q,9))</f>
        <v/>
      </c>
      <c r="J232" s="52">
        <f>IF(VLOOKUP(Table91213[[#This Row],[Date]],'DB Details'!$A:$Q,10)=0,"",VLOOKUP(Table91213[[#This Row],[Date]],'DB Details'!$A:$Q,10))</f>
        <v/>
      </c>
      <c r="K232" s="52">
        <f>IF(VLOOKUP(Table91213[[#This Row],[Date]],'DB Details'!$A:$Q,11)=0,"",VLOOKUP(Table91213[[#This Row],[Date]],'DB Details'!$A:$Q,11))</f>
        <v/>
      </c>
      <c r="L232" s="50">
        <f>IF(VLOOKUP(Table91213[[#This Row],[Date]],'DB Details'!$A:$Q,12)=0,"",VLOOKUP(Table91213[[#This Row],[Date]],'DB Details'!$A:$Q,12))</f>
        <v/>
      </c>
    </row>
    <row r="233">
      <c r="A233" s="53" t="n">
        <v>42522</v>
      </c>
      <c r="B233" s="50">
        <f>IF(VLOOKUP(Table91213[[#This Row],[Date]],'DB Details'!$A:$Q,2)=0,"",VLOOKUP(Table91213[[#This Row],[Date]],'DB Details'!$A:$Q,2))</f>
        <v/>
      </c>
      <c r="C233" s="51">
        <f>IF(VLOOKUP(Table91213[[#This Row],[Date]],'DB Details'!$A:$Q,3)=0,"",VLOOKUP(Table91213[[#This Row],[Date]],'DB Details'!$A:$Q,3))</f>
        <v/>
      </c>
      <c r="D233" s="51">
        <f>IF(VLOOKUP(Table91213[[#This Row],[Date]],'DB Details'!$A:$Q,4)=0,"",VLOOKUP(Table91213[[#This Row],[Date]],'DB Details'!$A:$Q,4))</f>
        <v/>
      </c>
      <c r="E233" s="52">
        <f>IF(VLOOKUP(Table91213[[#This Row],[Date]],'DB Details'!$A:$Q,5)=0,"",VLOOKUP(Table91213[[#This Row],[Date]],'DB Details'!$A:$Q,5))</f>
        <v/>
      </c>
      <c r="F233" s="51">
        <f>IF(VLOOKUP(Table91213[[#This Row],[Date]],'DB Details'!$A:$Q,6)=0,"",VLOOKUP(Table91213[[#This Row],[Date]],'DB Details'!$A:$Q,6))</f>
        <v/>
      </c>
      <c r="G233" s="52">
        <f>IF(VLOOKUP(Table91213[[#This Row],[Date]],'DB Details'!$A:$Q,7)=0,"",VLOOKUP(Table91213[[#This Row],[Date]],'DB Details'!$A:$Q,7))</f>
        <v/>
      </c>
      <c r="H233" s="52">
        <f>IF(VLOOKUP(Table91213[[#This Row],[Date]],'DB Details'!$A:$Q,8)=0,"",VLOOKUP(Table91213[[#This Row],[Date]],'DB Details'!$A:$Q,8))</f>
        <v/>
      </c>
      <c r="I233" s="52">
        <f>IF(VLOOKUP(Table91213[[#This Row],[Date]],'DB Details'!$A:$Q,9)=0,"",VLOOKUP(Table91213[[#This Row],[Date]],'DB Details'!$A:$Q,9))</f>
        <v/>
      </c>
      <c r="J233" s="52">
        <f>IF(VLOOKUP(Table91213[[#This Row],[Date]],'DB Details'!$A:$Q,10)=0,"",VLOOKUP(Table91213[[#This Row],[Date]],'DB Details'!$A:$Q,10))</f>
        <v/>
      </c>
      <c r="K233" s="52">
        <f>IF(VLOOKUP(Table91213[[#This Row],[Date]],'DB Details'!$A:$Q,11)=0,"",VLOOKUP(Table91213[[#This Row],[Date]],'DB Details'!$A:$Q,11))</f>
        <v/>
      </c>
      <c r="L233" s="50">
        <f>IF(VLOOKUP(Table91213[[#This Row],[Date]],'DB Details'!$A:$Q,12)=0,"",VLOOKUP(Table91213[[#This Row],[Date]],'DB Details'!$A:$Q,12))</f>
        <v/>
      </c>
    </row>
    <row r="234">
      <c r="A234" s="53" t="n">
        <v>42552</v>
      </c>
      <c r="B234" s="50">
        <f>IF(VLOOKUP(Table91213[[#This Row],[Date]],'DB Details'!$A:$Q,2)=0,"",VLOOKUP(Table91213[[#This Row],[Date]],'DB Details'!$A:$Q,2))</f>
        <v/>
      </c>
      <c r="C234" s="51">
        <f>IF(VLOOKUP(Table91213[[#This Row],[Date]],'DB Details'!$A:$Q,3)=0,"",VLOOKUP(Table91213[[#This Row],[Date]],'DB Details'!$A:$Q,3))</f>
        <v/>
      </c>
      <c r="D234" s="51">
        <f>IF(VLOOKUP(Table91213[[#This Row],[Date]],'DB Details'!$A:$Q,4)=0,"",VLOOKUP(Table91213[[#This Row],[Date]],'DB Details'!$A:$Q,4))</f>
        <v/>
      </c>
      <c r="E234" s="52">
        <f>IF(VLOOKUP(Table91213[[#This Row],[Date]],'DB Details'!$A:$Q,5)=0,"",VLOOKUP(Table91213[[#This Row],[Date]],'DB Details'!$A:$Q,5))</f>
        <v/>
      </c>
      <c r="F234" s="51">
        <f>IF(VLOOKUP(Table91213[[#This Row],[Date]],'DB Details'!$A:$Q,6)=0,"",VLOOKUP(Table91213[[#This Row],[Date]],'DB Details'!$A:$Q,6))</f>
        <v/>
      </c>
      <c r="G234" s="52">
        <f>IF(VLOOKUP(Table91213[[#This Row],[Date]],'DB Details'!$A:$Q,7)=0,"",VLOOKUP(Table91213[[#This Row],[Date]],'DB Details'!$A:$Q,7))</f>
        <v/>
      </c>
      <c r="H234" s="52">
        <f>IF(VLOOKUP(Table91213[[#This Row],[Date]],'DB Details'!$A:$Q,8)=0,"",VLOOKUP(Table91213[[#This Row],[Date]],'DB Details'!$A:$Q,8))</f>
        <v/>
      </c>
      <c r="I234" s="52">
        <f>IF(VLOOKUP(Table91213[[#This Row],[Date]],'DB Details'!$A:$Q,9)=0,"",VLOOKUP(Table91213[[#This Row],[Date]],'DB Details'!$A:$Q,9))</f>
        <v/>
      </c>
      <c r="J234" s="52">
        <f>IF(VLOOKUP(Table91213[[#This Row],[Date]],'DB Details'!$A:$Q,10)=0,"",VLOOKUP(Table91213[[#This Row],[Date]],'DB Details'!$A:$Q,10))</f>
        <v/>
      </c>
      <c r="K234" s="52">
        <f>IF(VLOOKUP(Table91213[[#This Row],[Date]],'DB Details'!$A:$Q,11)=0,"",VLOOKUP(Table91213[[#This Row],[Date]],'DB Details'!$A:$Q,11))</f>
        <v/>
      </c>
      <c r="L234" s="50">
        <f>IF(VLOOKUP(Table91213[[#This Row],[Date]],'DB Details'!$A:$Q,12)=0,"",VLOOKUP(Table91213[[#This Row],[Date]],'DB Details'!$A:$Q,12))</f>
        <v/>
      </c>
    </row>
    <row r="235">
      <c r="A235" s="53" t="n">
        <v>42583</v>
      </c>
      <c r="B235" s="50">
        <f>IF(VLOOKUP(Table91213[[#This Row],[Date]],'DB Details'!$A:$Q,2)=0,"",VLOOKUP(Table91213[[#This Row],[Date]],'DB Details'!$A:$Q,2))</f>
        <v/>
      </c>
      <c r="C235" s="51">
        <f>IF(VLOOKUP(Table91213[[#This Row],[Date]],'DB Details'!$A:$Q,3)=0,"",VLOOKUP(Table91213[[#This Row],[Date]],'DB Details'!$A:$Q,3))</f>
        <v/>
      </c>
      <c r="D235" s="51">
        <f>IF(VLOOKUP(Table91213[[#This Row],[Date]],'DB Details'!$A:$Q,4)=0,"",VLOOKUP(Table91213[[#This Row],[Date]],'DB Details'!$A:$Q,4))</f>
        <v/>
      </c>
      <c r="E235" s="52">
        <f>IF(VLOOKUP(Table91213[[#This Row],[Date]],'DB Details'!$A:$Q,5)=0,"",VLOOKUP(Table91213[[#This Row],[Date]],'DB Details'!$A:$Q,5))</f>
        <v/>
      </c>
      <c r="F235" s="51">
        <f>IF(VLOOKUP(Table91213[[#This Row],[Date]],'DB Details'!$A:$Q,6)=0,"",VLOOKUP(Table91213[[#This Row],[Date]],'DB Details'!$A:$Q,6))</f>
        <v/>
      </c>
      <c r="G235" s="52">
        <f>IF(VLOOKUP(Table91213[[#This Row],[Date]],'DB Details'!$A:$Q,7)=0,"",VLOOKUP(Table91213[[#This Row],[Date]],'DB Details'!$A:$Q,7))</f>
        <v/>
      </c>
      <c r="H235" s="52">
        <f>IF(VLOOKUP(Table91213[[#This Row],[Date]],'DB Details'!$A:$Q,8)=0,"",VLOOKUP(Table91213[[#This Row],[Date]],'DB Details'!$A:$Q,8))</f>
        <v/>
      </c>
      <c r="I235" s="52">
        <f>IF(VLOOKUP(Table91213[[#This Row],[Date]],'DB Details'!$A:$Q,9)=0,"",VLOOKUP(Table91213[[#This Row],[Date]],'DB Details'!$A:$Q,9))</f>
        <v/>
      </c>
      <c r="J235" s="52">
        <f>IF(VLOOKUP(Table91213[[#This Row],[Date]],'DB Details'!$A:$Q,10)=0,"",VLOOKUP(Table91213[[#This Row],[Date]],'DB Details'!$A:$Q,10))</f>
        <v/>
      </c>
      <c r="K235" s="52">
        <f>IF(VLOOKUP(Table91213[[#This Row],[Date]],'DB Details'!$A:$Q,11)=0,"",VLOOKUP(Table91213[[#This Row],[Date]],'DB Details'!$A:$Q,11))</f>
        <v/>
      </c>
      <c r="L235" s="50">
        <f>IF(VLOOKUP(Table91213[[#This Row],[Date]],'DB Details'!$A:$Q,12)=0,"",VLOOKUP(Table91213[[#This Row],[Date]],'DB Details'!$A:$Q,12))</f>
        <v/>
      </c>
    </row>
    <row r="236">
      <c r="A236" s="53" t="n">
        <v>42614</v>
      </c>
      <c r="B236" s="50">
        <f>IF(VLOOKUP(Table91213[[#This Row],[Date]],'DB Details'!$A:$Q,2)=0,"",VLOOKUP(Table91213[[#This Row],[Date]],'DB Details'!$A:$Q,2))</f>
        <v/>
      </c>
      <c r="C236" s="51">
        <f>IF(VLOOKUP(Table91213[[#This Row],[Date]],'DB Details'!$A:$Q,3)=0,"",VLOOKUP(Table91213[[#This Row],[Date]],'DB Details'!$A:$Q,3))</f>
        <v/>
      </c>
      <c r="D236" s="51">
        <f>IF(VLOOKUP(Table91213[[#This Row],[Date]],'DB Details'!$A:$Q,4)=0,"",VLOOKUP(Table91213[[#This Row],[Date]],'DB Details'!$A:$Q,4))</f>
        <v/>
      </c>
      <c r="E236" s="52">
        <f>IF(VLOOKUP(Table91213[[#This Row],[Date]],'DB Details'!$A:$Q,5)=0,"",VLOOKUP(Table91213[[#This Row],[Date]],'DB Details'!$A:$Q,5))</f>
        <v/>
      </c>
      <c r="F236" s="51">
        <f>IF(VLOOKUP(Table91213[[#This Row],[Date]],'DB Details'!$A:$Q,6)=0,"",VLOOKUP(Table91213[[#This Row],[Date]],'DB Details'!$A:$Q,6))</f>
        <v/>
      </c>
      <c r="G236" s="52">
        <f>IF(VLOOKUP(Table91213[[#This Row],[Date]],'DB Details'!$A:$Q,7)=0,"",VLOOKUP(Table91213[[#This Row],[Date]],'DB Details'!$A:$Q,7))</f>
        <v/>
      </c>
      <c r="H236" s="52">
        <f>IF(VLOOKUP(Table91213[[#This Row],[Date]],'DB Details'!$A:$Q,8)=0,"",VLOOKUP(Table91213[[#This Row],[Date]],'DB Details'!$A:$Q,8))</f>
        <v/>
      </c>
      <c r="I236" s="52">
        <f>IF(VLOOKUP(Table91213[[#This Row],[Date]],'DB Details'!$A:$Q,9)=0,"",VLOOKUP(Table91213[[#This Row],[Date]],'DB Details'!$A:$Q,9))</f>
        <v/>
      </c>
      <c r="J236" s="52">
        <f>IF(VLOOKUP(Table91213[[#This Row],[Date]],'DB Details'!$A:$Q,10)=0,"",VLOOKUP(Table91213[[#This Row],[Date]],'DB Details'!$A:$Q,10))</f>
        <v/>
      </c>
      <c r="K236" s="52">
        <f>IF(VLOOKUP(Table91213[[#This Row],[Date]],'DB Details'!$A:$Q,11)=0,"",VLOOKUP(Table91213[[#This Row],[Date]],'DB Details'!$A:$Q,11))</f>
        <v/>
      </c>
      <c r="L236" s="50">
        <f>IF(VLOOKUP(Table91213[[#This Row],[Date]],'DB Details'!$A:$Q,12)=0,"",VLOOKUP(Table91213[[#This Row],[Date]],'DB Details'!$A:$Q,12))</f>
        <v/>
      </c>
    </row>
    <row r="237">
      <c r="A237" s="53" t="n">
        <v>42644</v>
      </c>
      <c r="B237" s="50">
        <f>IF(VLOOKUP(Table91213[[#This Row],[Date]],'DB Details'!$A:$Q,2)=0,"",VLOOKUP(Table91213[[#This Row],[Date]],'DB Details'!$A:$Q,2))</f>
        <v/>
      </c>
      <c r="C237" s="51">
        <f>IF(VLOOKUP(Table91213[[#This Row],[Date]],'DB Details'!$A:$Q,3)=0,"",VLOOKUP(Table91213[[#This Row],[Date]],'DB Details'!$A:$Q,3))</f>
        <v/>
      </c>
      <c r="D237" s="51">
        <f>IF(VLOOKUP(Table91213[[#This Row],[Date]],'DB Details'!$A:$Q,4)=0,"",VLOOKUP(Table91213[[#This Row],[Date]],'DB Details'!$A:$Q,4))</f>
        <v/>
      </c>
      <c r="E237" s="52">
        <f>IF(VLOOKUP(Table91213[[#This Row],[Date]],'DB Details'!$A:$Q,5)=0,"",VLOOKUP(Table91213[[#This Row],[Date]],'DB Details'!$A:$Q,5))</f>
        <v/>
      </c>
      <c r="F237" s="51">
        <f>IF(VLOOKUP(Table91213[[#This Row],[Date]],'DB Details'!$A:$Q,6)=0,"",VLOOKUP(Table91213[[#This Row],[Date]],'DB Details'!$A:$Q,6))</f>
        <v/>
      </c>
      <c r="G237" s="52">
        <f>IF(VLOOKUP(Table91213[[#This Row],[Date]],'DB Details'!$A:$Q,7)=0,"",VLOOKUP(Table91213[[#This Row],[Date]],'DB Details'!$A:$Q,7))</f>
        <v/>
      </c>
      <c r="H237" s="52">
        <f>IF(VLOOKUP(Table91213[[#This Row],[Date]],'DB Details'!$A:$Q,8)=0,"",VLOOKUP(Table91213[[#This Row],[Date]],'DB Details'!$A:$Q,8))</f>
        <v/>
      </c>
      <c r="I237" s="52">
        <f>IF(VLOOKUP(Table91213[[#This Row],[Date]],'DB Details'!$A:$Q,9)=0,"",VLOOKUP(Table91213[[#This Row],[Date]],'DB Details'!$A:$Q,9))</f>
        <v/>
      </c>
      <c r="J237" s="52">
        <f>IF(VLOOKUP(Table91213[[#This Row],[Date]],'DB Details'!$A:$Q,10)=0,"",VLOOKUP(Table91213[[#This Row],[Date]],'DB Details'!$A:$Q,10))</f>
        <v/>
      </c>
      <c r="K237" s="52">
        <f>IF(VLOOKUP(Table91213[[#This Row],[Date]],'DB Details'!$A:$Q,11)=0,"",VLOOKUP(Table91213[[#This Row],[Date]],'DB Details'!$A:$Q,11))</f>
        <v/>
      </c>
      <c r="L237" s="50">
        <f>IF(VLOOKUP(Table91213[[#This Row],[Date]],'DB Details'!$A:$Q,12)=0,"",VLOOKUP(Table91213[[#This Row],[Date]],'DB Details'!$A:$Q,12))</f>
        <v/>
      </c>
    </row>
    <row r="238">
      <c r="A238" s="53" t="n">
        <v>42675</v>
      </c>
      <c r="B238" s="50">
        <f>IF(VLOOKUP(Table91213[[#This Row],[Date]],'DB Details'!$A:$Q,2)=0,"",VLOOKUP(Table91213[[#This Row],[Date]],'DB Details'!$A:$Q,2))</f>
        <v/>
      </c>
      <c r="C238" s="51">
        <f>IF(VLOOKUP(Table91213[[#This Row],[Date]],'DB Details'!$A:$Q,3)=0,"",VLOOKUP(Table91213[[#This Row],[Date]],'DB Details'!$A:$Q,3))</f>
        <v/>
      </c>
      <c r="D238" s="51">
        <f>IF(VLOOKUP(Table91213[[#This Row],[Date]],'DB Details'!$A:$Q,4)=0,"",VLOOKUP(Table91213[[#This Row],[Date]],'DB Details'!$A:$Q,4))</f>
        <v/>
      </c>
      <c r="E238" s="52">
        <f>IF(VLOOKUP(Table91213[[#This Row],[Date]],'DB Details'!$A:$Q,5)=0,"",VLOOKUP(Table91213[[#This Row],[Date]],'DB Details'!$A:$Q,5))</f>
        <v/>
      </c>
      <c r="F238" s="51">
        <f>IF(VLOOKUP(Table91213[[#This Row],[Date]],'DB Details'!$A:$Q,6)=0,"",VLOOKUP(Table91213[[#This Row],[Date]],'DB Details'!$A:$Q,6))</f>
        <v/>
      </c>
      <c r="G238" s="52">
        <f>IF(VLOOKUP(Table91213[[#This Row],[Date]],'DB Details'!$A:$Q,7)=0,"",VLOOKUP(Table91213[[#This Row],[Date]],'DB Details'!$A:$Q,7))</f>
        <v/>
      </c>
      <c r="H238" s="52">
        <f>IF(VLOOKUP(Table91213[[#This Row],[Date]],'DB Details'!$A:$Q,8)=0,"",VLOOKUP(Table91213[[#This Row],[Date]],'DB Details'!$A:$Q,8))</f>
        <v/>
      </c>
      <c r="I238" s="52">
        <f>IF(VLOOKUP(Table91213[[#This Row],[Date]],'DB Details'!$A:$Q,9)=0,"",VLOOKUP(Table91213[[#This Row],[Date]],'DB Details'!$A:$Q,9))</f>
        <v/>
      </c>
      <c r="J238" s="52">
        <f>IF(VLOOKUP(Table91213[[#This Row],[Date]],'DB Details'!$A:$Q,10)=0,"",VLOOKUP(Table91213[[#This Row],[Date]],'DB Details'!$A:$Q,10))</f>
        <v/>
      </c>
      <c r="K238" s="52">
        <f>IF(VLOOKUP(Table91213[[#This Row],[Date]],'DB Details'!$A:$Q,11)=0,"",VLOOKUP(Table91213[[#This Row],[Date]],'DB Details'!$A:$Q,11))</f>
        <v/>
      </c>
      <c r="L238" s="50">
        <f>IF(VLOOKUP(Table91213[[#This Row],[Date]],'DB Details'!$A:$Q,12)=0,"",VLOOKUP(Table91213[[#This Row],[Date]],'DB Details'!$A:$Q,12))</f>
        <v/>
      </c>
    </row>
    <row r="239">
      <c r="A239" s="53" t="n">
        <v>42705</v>
      </c>
      <c r="B239" s="50">
        <f>IF(VLOOKUP(Table91213[[#This Row],[Date]],'DB Details'!$A:$Q,2)=0,"",VLOOKUP(Table91213[[#This Row],[Date]],'DB Details'!$A:$Q,2))</f>
        <v/>
      </c>
      <c r="C239" s="51">
        <f>IF(VLOOKUP(Table91213[[#This Row],[Date]],'DB Details'!$A:$Q,3)=0,"",VLOOKUP(Table91213[[#This Row],[Date]],'DB Details'!$A:$Q,3))</f>
        <v/>
      </c>
      <c r="D239" s="51">
        <f>IF(VLOOKUP(Table91213[[#This Row],[Date]],'DB Details'!$A:$Q,4)=0,"",VLOOKUP(Table91213[[#This Row],[Date]],'DB Details'!$A:$Q,4))</f>
        <v/>
      </c>
      <c r="E239" s="52">
        <f>IF(VLOOKUP(Table91213[[#This Row],[Date]],'DB Details'!$A:$Q,5)=0,"",VLOOKUP(Table91213[[#This Row],[Date]],'DB Details'!$A:$Q,5))</f>
        <v/>
      </c>
      <c r="F239" s="51">
        <f>IF(VLOOKUP(Table91213[[#This Row],[Date]],'DB Details'!$A:$Q,6)=0,"",VLOOKUP(Table91213[[#This Row],[Date]],'DB Details'!$A:$Q,6))</f>
        <v/>
      </c>
      <c r="G239" s="52">
        <f>IF(VLOOKUP(Table91213[[#This Row],[Date]],'DB Details'!$A:$Q,7)=0,"",VLOOKUP(Table91213[[#This Row],[Date]],'DB Details'!$A:$Q,7))</f>
        <v/>
      </c>
      <c r="H239" s="52">
        <f>IF(VLOOKUP(Table91213[[#This Row],[Date]],'DB Details'!$A:$Q,8)=0,"",VLOOKUP(Table91213[[#This Row],[Date]],'DB Details'!$A:$Q,8))</f>
        <v/>
      </c>
      <c r="I239" s="52">
        <f>IF(VLOOKUP(Table91213[[#This Row],[Date]],'DB Details'!$A:$Q,9)=0,"",VLOOKUP(Table91213[[#This Row],[Date]],'DB Details'!$A:$Q,9))</f>
        <v/>
      </c>
      <c r="J239" s="52">
        <f>IF(VLOOKUP(Table91213[[#This Row],[Date]],'DB Details'!$A:$Q,10)=0,"",VLOOKUP(Table91213[[#This Row],[Date]],'DB Details'!$A:$Q,10))</f>
        <v/>
      </c>
      <c r="K239" s="52">
        <f>IF(VLOOKUP(Table91213[[#This Row],[Date]],'DB Details'!$A:$Q,11)=0,"",VLOOKUP(Table91213[[#This Row],[Date]],'DB Details'!$A:$Q,11))</f>
        <v/>
      </c>
      <c r="L239" s="50">
        <f>IF(VLOOKUP(Table91213[[#This Row],[Date]],'DB Details'!$A:$Q,12)=0,"",VLOOKUP(Table91213[[#This Row],[Date]],'DB Details'!$A:$Q,12))</f>
        <v/>
      </c>
    </row>
    <row r="240">
      <c r="A240" s="53" t="n">
        <v>42736</v>
      </c>
      <c r="B240" s="50">
        <f>IF(VLOOKUP(Table91213[[#This Row],[Date]],'DB Details'!$A:$Q,2)=0,"",VLOOKUP(Table91213[[#This Row],[Date]],'DB Details'!$A:$Q,2))</f>
        <v/>
      </c>
      <c r="C240" s="51">
        <f>IF(VLOOKUP(Table91213[[#This Row],[Date]],'DB Details'!$A:$Q,3)=0,"",VLOOKUP(Table91213[[#This Row],[Date]],'DB Details'!$A:$Q,3))</f>
        <v/>
      </c>
      <c r="D240" s="51">
        <f>IF(VLOOKUP(Table91213[[#This Row],[Date]],'DB Details'!$A:$Q,4)=0,"",VLOOKUP(Table91213[[#This Row],[Date]],'DB Details'!$A:$Q,4))</f>
        <v/>
      </c>
      <c r="E240" s="52">
        <f>IF(VLOOKUP(Table91213[[#This Row],[Date]],'DB Details'!$A:$Q,5)=0,"",VLOOKUP(Table91213[[#This Row],[Date]],'DB Details'!$A:$Q,5))</f>
        <v/>
      </c>
      <c r="F240" s="51">
        <f>IF(VLOOKUP(Table91213[[#This Row],[Date]],'DB Details'!$A:$Q,6)=0,"",VLOOKUP(Table91213[[#This Row],[Date]],'DB Details'!$A:$Q,6))</f>
        <v/>
      </c>
      <c r="G240" s="52">
        <f>IF(VLOOKUP(Table91213[[#This Row],[Date]],'DB Details'!$A:$Q,7)=0,"",VLOOKUP(Table91213[[#This Row],[Date]],'DB Details'!$A:$Q,7))</f>
        <v/>
      </c>
      <c r="H240" s="52">
        <f>IF(VLOOKUP(Table91213[[#This Row],[Date]],'DB Details'!$A:$Q,8)=0,"",VLOOKUP(Table91213[[#This Row],[Date]],'DB Details'!$A:$Q,8))</f>
        <v/>
      </c>
      <c r="I240" s="52">
        <f>IF(VLOOKUP(Table91213[[#This Row],[Date]],'DB Details'!$A:$Q,9)=0,"",VLOOKUP(Table91213[[#This Row],[Date]],'DB Details'!$A:$Q,9))</f>
        <v/>
      </c>
      <c r="J240" s="52">
        <f>IF(VLOOKUP(Table91213[[#This Row],[Date]],'DB Details'!$A:$Q,10)=0,"",VLOOKUP(Table91213[[#This Row],[Date]],'DB Details'!$A:$Q,10))</f>
        <v/>
      </c>
      <c r="K240" s="52">
        <f>IF(VLOOKUP(Table91213[[#This Row],[Date]],'DB Details'!$A:$Q,11)=0,"",VLOOKUP(Table91213[[#This Row],[Date]],'DB Details'!$A:$Q,11))</f>
        <v/>
      </c>
      <c r="L240" s="50">
        <f>IF(VLOOKUP(Table91213[[#This Row],[Date]],'DB Details'!$A:$Q,12)=0,"",VLOOKUP(Table91213[[#This Row],[Date]],'DB Details'!$A:$Q,12))</f>
        <v/>
      </c>
    </row>
    <row r="241">
      <c r="A241" s="53" t="n">
        <v>42767</v>
      </c>
      <c r="B241" s="50">
        <f>IF(VLOOKUP(Table91213[[#This Row],[Date]],'DB Details'!$A:$Q,2)=0,"",VLOOKUP(Table91213[[#This Row],[Date]],'DB Details'!$A:$Q,2))</f>
        <v/>
      </c>
      <c r="C241" s="51">
        <f>IF(VLOOKUP(Table91213[[#This Row],[Date]],'DB Details'!$A:$Q,3)=0,"",VLOOKUP(Table91213[[#This Row],[Date]],'DB Details'!$A:$Q,3))</f>
        <v/>
      </c>
      <c r="D241" s="51">
        <f>IF(VLOOKUP(Table91213[[#This Row],[Date]],'DB Details'!$A:$Q,4)=0,"",VLOOKUP(Table91213[[#This Row],[Date]],'DB Details'!$A:$Q,4))</f>
        <v/>
      </c>
      <c r="E241" s="52">
        <f>IF(VLOOKUP(Table91213[[#This Row],[Date]],'DB Details'!$A:$Q,5)=0,"",VLOOKUP(Table91213[[#This Row],[Date]],'DB Details'!$A:$Q,5))</f>
        <v/>
      </c>
      <c r="F241" s="51">
        <f>IF(VLOOKUP(Table91213[[#This Row],[Date]],'DB Details'!$A:$Q,6)=0,"",VLOOKUP(Table91213[[#This Row],[Date]],'DB Details'!$A:$Q,6))</f>
        <v/>
      </c>
      <c r="G241" s="52">
        <f>IF(VLOOKUP(Table91213[[#This Row],[Date]],'DB Details'!$A:$Q,7)=0,"",VLOOKUP(Table91213[[#This Row],[Date]],'DB Details'!$A:$Q,7))</f>
        <v/>
      </c>
      <c r="H241" s="52">
        <f>IF(VLOOKUP(Table91213[[#This Row],[Date]],'DB Details'!$A:$Q,8)=0,"",VLOOKUP(Table91213[[#This Row],[Date]],'DB Details'!$A:$Q,8))</f>
        <v/>
      </c>
      <c r="I241" s="52">
        <f>IF(VLOOKUP(Table91213[[#This Row],[Date]],'DB Details'!$A:$Q,9)=0,"",VLOOKUP(Table91213[[#This Row],[Date]],'DB Details'!$A:$Q,9))</f>
        <v/>
      </c>
      <c r="J241" s="52">
        <f>IF(VLOOKUP(Table91213[[#This Row],[Date]],'DB Details'!$A:$Q,10)=0,"",VLOOKUP(Table91213[[#This Row],[Date]],'DB Details'!$A:$Q,10))</f>
        <v/>
      </c>
      <c r="K241" s="52">
        <f>IF(VLOOKUP(Table91213[[#This Row],[Date]],'DB Details'!$A:$Q,11)=0,"",VLOOKUP(Table91213[[#This Row],[Date]],'DB Details'!$A:$Q,11))</f>
        <v/>
      </c>
      <c r="L241" s="50">
        <f>IF(VLOOKUP(Table91213[[#This Row],[Date]],'DB Details'!$A:$Q,12)=0,"",VLOOKUP(Table91213[[#This Row],[Date]],'DB Details'!$A:$Q,12))</f>
        <v/>
      </c>
    </row>
    <row r="242">
      <c r="A242" s="53" t="n">
        <v>42795</v>
      </c>
      <c r="B242" s="50">
        <f>IF(VLOOKUP(Table91213[[#This Row],[Date]],'DB Details'!$A:$Q,2)=0,"",VLOOKUP(Table91213[[#This Row],[Date]],'DB Details'!$A:$Q,2))</f>
        <v/>
      </c>
      <c r="C242" s="51">
        <f>IF(VLOOKUP(Table91213[[#This Row],[Date]],'DB Details'!$A:$Q,3)=0,"",VLOOKUP(Table91213[[#This Row],[Date]],'DB Details'!$A:$Q,3))</f>
        <v/>
      </c>
      <c r="D242" s="51">
        <f>IF(VLOOKUP(Table91213[[#This Row],[Date]],'DB Details'!$A:$Q,4)=0,"",VLOOKUP(Table91213[[#This Row],[Date]],'DB Details'!$A:$Q,4))</f>
        <v/>
      </c>
      <c r="E242" s="52">
        <f>IF(VLOOKUP(Table91213[[#This Row],[Date]],'DB Details'!$A:$Q,5)=0,"",VLOOKUP(Table91213[[#This Row],[Date]],'DB Details'!$A:$Q,5))</f>
        <v/>
      </c>
      <c r="F242" s="51">
        <f>IF(VLOOKUP(Table91213[[#This Row],[Date]],'DB Details'!$A:$Q,6)=0,"",VLOOKUP(Table91213[[#This Row],[Date]],'DB Details'!$A:$Q,6))</f>
        <v/>
      </c>
      <c r="G242" s="52">
        <f>IF(VLOOKUP(Table91213[[#This Row],[Date]],'DB Details'!$A:$Q,7)=0,"",VLOOKUP(Table91213[[#This Row],[Date]],'DB Details'!$A:$Q,7))</f>
        <v/>
      </c>
      <c r="H242" s="52">
        <f>IF(VLOOKUP(Table91213[[#This Row],[Date]],'DB Details'!$A:$Q,8)=0,"",VLOOKUP(Table91213[[#This Row],[Date]],'DB Details'!$A:$Q,8))</f>
        <v/>
      </c>
      <c r="I242" s="52">
        <f>IF(VLOOKUP(Table91213[[#This Row],[Date]],'DB Details'!$A:$Q,9)=0,"",VLOOKUP(Table91213[[#This Row],[Date]],'DB Details'!$A:$Q,9))</f>
        <v/>
      </c>
      <c r="J242" s="52">
        <f>IF(VLOOKUP(Table91213[[#This Row],[Date]],'DB Details'!$A:$Q,10)=0,"",VLOOKUP(Table91213[[#This Row],[Date]],'DB Details'!$A:$Q,10))</f>
        <v/>
      </c>
      <c r="K242" s="52">
        <f>IF(VLOOKUP(Table91213[[#This Row],[Date]],'DB Details'!$A:$Q,11)=0,"",VLOOKUP(Table91213[[#This Row],[Date]],'DB Details'!$A:$Q,11))</f>
        <v/>
      </c>
      <c r="L242" s="50">
        <f>IF(VLOOKUP(Table91213[[#This Row],[Date]],'DB Details'!$A:$Q,12)=0,"",VLOOKUP(Table91213[[#This Row],[Date]],'DB Details'!$A:$Q,12))</f>
        <v/>
      </c>
    </row>
    <row r="243">
      <c r="A243" s="53" t="n">
        <v>42826</v>
      </c>
      <c r="B243" s="50">
        <f>IF(VLOOKUP(Table91213[[#This Row],[Date]],'DB Details'!$A:$Q,2)=0,"",VLOOKUP(Table91213[[#This Row],[Date]],'DB Details'!$A:$Q,2))</f>
        <v/>
      </c>
      <c r="C243" s="51">
        <f>IF(VLOOKUP(Table91213[[#This Row],[Date]],'DB Details'!$A:$Q,3)=0,"",VLOOKUP(Table91213[[#This Row],[Date]],'DB Details'!$A:$Q,3))</f>
        <v/>
      </c>
      <c r="D243" s="51">
        <f>IF(VLOOKUP(Table91213[[#This Row],[Date]],'DB Details'!$A:$Q,4)=0,"",VLOOKUP(Table91213[[#This Row],[Date]],'DB Details'!$A:$Q,4))</f>
        <v/>
      </c>
      <c r="E243" s="52">
        <f>IF(VLOOKUP(Table91213[[#This Row],[Date]],'DB Details'!$A:$Q,5)=0,"",VLOOKUP(Table91213[[#This Row],[Date]],'DB Details'!$A:$Q,5))</f>
        <v/>
      </c>
      <c r="F243" s="51">
        <f>IF(VLOOKUP(Table91213[[#This Row],[Date]],'DB Details'!$A:$Q,6)=0,"",VLOOKUP(Table91213[[#This Row],[Date]],'DB Details'!$A:$Q,6))</f>
        <v/>
      </c>
      <c r="G243" s="52">
        <f>IF(VLOOKUP(Table91213[[#This Row],[Date]],'DB Details'!$A:$Q,7)=0,"",VLOOKUP(Table91213[[#This Row],[Date]],'DB Details'!$A:$Q,7))</f>
        <v/>
      </c>
      <c r="H243" s="52">
        <f>IF(VLOOKUP(Table91213[[#This Row],[Date]],'DB Details'!$A:$Q,8)=0,"",VLOOKUP(Table91213[[#This Row],[Date]],'DB Details'!$A:$Q,8))</f>
        <v/>
      </c>
      <c r="I243" s="52">
        <f>IF(VLOOKUP(Table91213[[#This Row],[Date]],'DB Details'!$A:$Q,9)=0,"",VLOOKUP(Table91213[[#This Row],[Date]],'DB Details'!$A:$Q,9))</f>
        <v/>
      </c>
      <c r="J243" s="52">
        <f>IF(VLOOKUP(Table91213[[#This Row],[Date]],'DB Details'!$A:$Q,10)=0,"",VLOOKUP(Table91213[[#This Row],[Date]],'DB Details'!$A:$Q,10))</f>
        <v/>
      </c>
      <c r="K243" s="52">
        <f>IF(VLOOKUP(Table91213[[#This Row],[Date]],'DB Details'!$A:$Q,11)=0,"",VLOOKUP(Table91213[[#This Row],[Date]],'DB Details'!$A:$Q,11))</f>
        <v/>
      </c>
      <c r="L243" s="50">
        <f>IF(VLOOKUP(Table91213[[#This Row],[Date]],'DB Details'!$A:$Q,12)=0,"",VLOOKUP(Table91213[[#This Row],[Date]],'DB Details'!$A:$Q,12))</f>
        <v/>
      </c>
    </row>
    <row r="244">
      <c r="A244" s="53" t="n">
        <v>42856</v>
      </c>
      <c r="B244" s="50">
        <f>IF(VLOOKUP(Table91213[[#This Row],[Date]],'DB Details'!$A:$Q,2)=0,"",VLOOKUP(Table91213[[#This Row],[Date]],'DB Details'!$A:$Q,2))</f>
        <v/>
      </c>
      <c r="C244" s="51">
        <f>IF(VLOOKUP(Table91213[[#This Row],[Date]],'DB Details'!$A:$Q,3)=0,"",VLOOKUP(Table91213[[#This Row],[Date]],'DB Details'!$A:$Q,3))</f>
        <v/>
      </c>
      <c r="D244" s="51">
        <f>IF(VLOOKUP(Table91213[[#This Row],[Date]],'DB Details'!$A:$Q,4)=0,"",VLOOKUP(Table91213[[#This Row],[Date]],'DB Details'!$A:$Q,4))</f>
        <v/>
      </c>
      <c r="E244" s="52">
        <f>IF(VLOOKUP(Table91213[[#This Row],[Date]],'DB Details'!$A:$Q,5)=0,"",VLOOKUP(Table91213[[#This Row],[Date]],'DB Details'!$A:$Q,5))</f>
        <v/>
      </c>
      <c r="F244" s="51">
        <f>IF(VLOOKUP(Table91213[[#This Row],[Date]],'DB Details'!$A:$Q,6)=0,"",VLOOKUP(Table91213[[#This Row],[Date]],'DB Details'!$A:$Q,6))</f>
        <v/>
      </c>
      <c r="G244" s="52">
        <f>IF(VLOOKUP(Table91213[[#This Row],[Date]],'DB Details'!$A:$Q,7)=0,"",VLOOKUP(Table91213[[#This Row],[Date]],'DB Details'!$A:$Q,7))</f>
        <v/>
      </c>
      <c r="H244" s="52">
        <f>IF(VLOOKUP(Table91213[[#This Row],[Date]],'DB Details'!$A:$Q,8)=0,"",VLOOKUP(Table91213[[#This Row],[Date]],'DB Details'!$A:$Q,8))</f>
        <v/>
      </c>
      <c r="I244" s="52">
        <f>IF(VLOOKUP(Table91213[[#This Row],[Date]],'DB Details'!$A:$Q,9)=0,"",VLOOKUP(Table91213[[#This Row],[Date]],'DB Details'!$A:$Q,9))</f>
        <v/>
      </c>
      <c r="J244" s="52">
        <f>IF(VLOOKUP(Table91213[[#This Row],[Date]],'DB Details'!$A:$Q,10)=0,"",VLOOKUP(Table91213[[#This Row],[Date]],'DB Details'!$A:$Q,10))</f>
        <v/>
      </c>
      <c r="K244" s="52">
        <f>IF(VLOOKUP(Table91213[[#This Row],[Date]],'DB Details'!$A:$Q,11)=0,"",VLOOKUP(Table91213[[#This Row],[Date]],'DB Details'!$A:$Q,11))</f>
        <v/>
      </c>
      <c r="L244" s="50">
        <f>IF(VLOOKUP(Table91213[[#This Row],[Date]],'DB Details'!$A:$Q,12)=0,"",VLOOKUP(Table91213[[#This Row],[Date]],'DB Details'!$A:$Q,12))</f>
        <v/>
      </c>
    </row>
    <row r="245">
      <c r="A245" s="53" t="n">
        <v>42887</v>
      </c>
      <c r="B245" s="50">
        <f>IF(VLOOKUP(Table91213[[#This Row],[Date]],'DB Details'!$A:$Q,2)=0,"",VLOOKUP(Table91213[[#This Row],[Date]],'DB Details'!$A:$Q,2))</f>
        <v/>
      </c>
      <c r="C245" s="51">
        <f>IF(VLOOKUP(Table91213[[#This Row],[Date]],'DB Details'!$A:$Q,3)=0,"",VLOOKUP(Table91213[[#This Row],[Date]],'DB Details'!$A:$Q,3))</f>
        <v/>
      </c>
      <c r="D245" s="51">
        <f>IF(VLOOKUP(Table91213[[#This Row],[Date]],'DB Details'!$A:$Q,4)=0,"",VLOOKUP(Table91213[[#This Row],[Date]],'DB Details'!$A:$Q,4))</f>
        <v/>
      </c>
      <c r="E245" s="52">
        <f>IF(VLOOKUP(Table91213[[#This Row],[Date]],'DB Details'!$A:$Q,5)=0,"",VLOOKUP(Table91213[[#This Row],[Date]],'DB Details'!$A:$Q,5))</f>
        <v/>
      </c>
      <c r="F245" s="51">
        <f>IF(VLOOKUP(Table91213[[#This Row],[Date]],'DB Details'!$A:$Q,6)=0,"",VLOOKUP(Table91213[[#This Row],[Date]],'DB Details'!$A:$Q,6))</f>
        <v/>
      </c>
      <c r="G245" s="52">
        <f>IF(VLOOKUP(Table91213[[#This Row],[Date]],'DB Details'!$A:$Q,7)=0,"",VLOOKUP(Table91213[[#This Row],[Date]],'DB Details'!$A:$Q,7))</f>
        <v/>
      </c>
      <c r="H245" s="52">
        <f>IF(VLOOKUP(Table91213[[#This Row],[Date]],'DB Details'!$A:$Q,8)=0,"",VLOOKUP(Table91213[[#This Row],[Date]],'DB Details'!$A:$Q,8))</f>
        <v/>
      </c>
      <c r="I245" s="52">
        <f>IF(VLOOKUP(Table91213[[#This Row],[Date]],'DB Details'!$A:$Q,9)=0,"",VLOOKUP(Table91213[[#This Row],[Date]],'DB Details'!$A:$Q,9))</f>
        <v/>
      </c>
      <c r="J245" s="52">
        <f>IF(VLOOKUP(Table91213[[#This Row],[Date]],'DB Details'!$A:$Q,10)=0,"",VLOOKUP(Table91213[[#This Row],[Date]],'DB Details'!$A:$Q,10))</f>
        <v/>
      </c>
      <c r="K245" s="52">
        <f>IF(VLOOKUP(Table91213[[#This Row],[Date]],'DB Details'!$A:$Q,11)=0,"",VLOOKUP(Table91213[[#This Row],[Date]],'DB Details'!$A:$Q,11))</f>
        <v/>
      </c>
      <c r="L245" s="50">
        <f>IF(VLOOKUP(Table91213[[#This Row],[Date]],'DB Details'!$A:$Q,12)=0,"",VLOOKUP(Table91213[[#This Row],[Date]],'DB Details'!$A:$Q,12))</f>
        <v/>
      </c>
    </row>
    <row r="246">
      <c r="A246" s="53" t="n">
        <v>42917</v>
      </c>
      <c r="B246" s="50">
        <f>IF(VLOOKUP(Table91213[[#This Row],[Date]],'DB Details'!$A:$Q,2)=0,"",VLOOKUP(Table91213[[#This Row],[Date]],'DB Details'!$A:$Q,2))</f>
        <v/>
      </c>
      <c r="C246" s="51">
        <f>IF(VLOOKUP(Table91213[[#This Row],[Date]],'DB Details'!$A:$Q,3)=0,"",VLOOKUP(Table91213[[#This Row],[Date]],'DB Details'!$A:$Q,3))</f>
        <v/>
      </c>
      <c r="D246" s="51">
        <f>IF(VLOOKUP(Table91213[[#This Row],[Date]],'DB Details'!$A:$Q,4)=0,"",VLOOKUP(Table91213[[#This Row],[Date]],'DB Details'!$A:$Q,4))</f>
        <v/>
      </c>
      <c r="E246" s="52">
        <f>IF(VLOOKUP(Table91213[[#This Row],[Date]],'DB Details'!$A:$Q,5)=0,"",VLOOKUP(Table91213[[#This Row],[Date]],'DB Details'!$A:$Q,5))</f>
        <v/>
      </c>
      <c r="F246" s="51">
        <f>IF(VLOOKUP(Table91213[[#This Row],[Date]],'DB Details'!$A:$Q,6)=0,"",VLOOKUP(Table91213[[#This Row],[Date]],'DB Details'!$A:$Q,6))</f>
        <v/>
      </c>
      <c r="G246" s="52">
        <f>IF(VLOOKUP(Table91213[[#This Row],[Date]],'DB Details'!$A:$Q,7)=0,"",VLOOKUP(Table91213[[#This Row],[Date]],'DB Details'!$A:$Q,7))</f>
        <v/>
      </c>
      <c r="H246" s="52">
        <f>IF(VLOOKUP(Table91213[[#This Row],[Date]],'DB Details'!$A:$Q,8)=0,"",VLOOKUP(Table91213[[#This Row],[Date]],'DB Details'!$A:$Q,8))</f>
        <v/>
      </c>
      <c r="I246" s="52">
        <f>IF(VLOOKUP(Table91213[[#This Row],[Date]],'DB Details'!$A:$Q,9)=0,"",VLOOKUP(Table91213[[#This Row],[Date]],'DB Details'!$A:$Q,9))</f>
        <v/>
      </c>
      <c r="J246" s="52">
        <f>IF(VLOOKUP(Table91213[[#This Row],[Date]],'DB Details'!$A:$Q,10)=0,"",VLOOKUP(Table91213[[#This Row],[Date]],'DB Details'!$A:$Q,10))</f>
        <v/>
      </c>
      <c r="K246" s="52">
        <f>IF(VLOOKUP(Table91213[[#This Row],[Date]],'DB Details'!$A:$Q,11)=0,"",VLOOKUP(Table91213[[#This Row],[Date]],'DB Details'!$A:$Q,11))</f>
        <v/>
      </c>
      <c r="L246" s="50">
        <f>IF(VLOOKUP(Table91213[[#This Row],[Date]],'DB Details'!$A:$Q,12)=0,"",VLOOKUP(Table91213[[#This Row],[Date]],'DB Details'!$A:$Q,12))</f>
        <v/>
      </c>
    </row>
    <row r="247">
      <c r="A247" s="53" t="n">
        <v>42948</v>
      </c>
      <c r="B247" s="50">
        <f>IF(VLOOKUP(Table91213[[#This Row],[Date]],'DB Details'!$A:$Q,2)=0,"",VLOOKUP(Table91213[[#This Row],[Date]],'DB Details'!$A:$Q,2))</f>
        <v/>
      </c>
      <c r="C247" s="51">
        <f>IF(VLOOKUP(Table91213[[#This Row],[Date]],'DB Details'!$A:$Q,3)=0,"",VLOOKUP(Table91213[[#This Row],[Date]],'DB Details'!$A:$Q,3))</f>
        <v/>
      </c>
      <c r="D247" s="51">
        <f>IF(VLOOKUP(Table91213[[#This Row],[Date]],'DB Details'!$A:$Q,4)=0,"",VLOOKUP(Table91213[[#This Row],[Date]],'DB Details'!$A:$Q,4))</f>
        <v/>
      </c>
      <c r="E247" s="52">
        <f>IF(VLOOKUP(Table91213[[#This Row],[Date]],'DB Details'!$A:$Q,5)=0,"",VLOOKUP(Table91213[[#This Row],[Date]],'DB Details'!$A:$Q,5))</f>
        <v/>
      </c>
      <c r="F247" s="51">
        <f>IF(VLOOKUP(Table91213[[#This Row],[Date]],'DB Details'!$A:$Q,6)=0,"",VLOOKUP(Table91213[[#This Row],[Date]],'DB Details'!$A:$Q,6))</f>
        <v/>
      </c>
      <c r="G247" s="52">
        <f>IF(VLOOKUP(Table91213[[#This Row],[Date]],'DB Details'!$A:$Q,7)=0,"",VLOOKUP(Table91213[[#This Row],[Date]],'DB Details'!$A:$Q,7))</f>
        <v/>
      </c>
      <c r="H247" s="52">
        <f>IF(VLOOKUP(Table91213[[#This Row],[Date]],'DB Details'!$A:$Q,8)=0,"",VLOOKUP(Table91213[[#This Row],[Date]],'DB Details'!$A:$Q,8))</f>
        <v/>
      </c>
      <c r="I247" s="52">
        <f>IF(VLOOKUP(Table91213[[#This Row],[Date]],'DB Details'!$A:$Q,9)=0,"",VLOOKUP(Table91213[[#This Row],[Date]],'DB Details'!$A:$Q,9))</f>
        <v/>
      </c>
      <c r="J247" s="52">
        <f>IF(VLOOKUP(Table91213[[#This Row],[Date]],'DB Details'!$A:$Q,10)=0,"",VLOOKUP(Table91213[[#This Row],[Date]],'DB Details'!$A:$Q,10))</f>
        <v/>
      </c>
      <c r="K247" s="52">
        <f>IF(VLOOKUP(Table91213[[#This Row],[Date]],'DB Details'!$A:$Q,11)=0,"",VLOOKUP(Table91213[[#This Row],[Date]],'DB Details'!$A:$Q,11))</f>
        <v/>
      </c>
      <c r="L247" s="50">
        <f>IF(VLOOKUP(Table91213[[#This Row],[Date]],'DB Details'!$A:$Q,12)=0,"",VLOOKUP(Table91213[[#This Row],[Date]],'DB Details'!$A:$Q,12))</f>
        <v/>
      </c>
    </row>
    <row r="248">
      <c r="A248" s="53" t="n">
        <v>42979</v>
      </c>
      <c r="B248" s="50">
        <f>IF(VLOOKUP(Table91213[[#This Row],[Date]],'DB Details'!$A:$Q,2)=0,"",VLOOKUP(Table91213[[#This Row],[Date]],'DB Details'!$A:$Q,2))</f>
        <v/>
      </c>
      <c r="C248" s="51">
        <f>IF(VLOOKUP(Table91213[[#This Row],[Date]],'DB Details'!$A:$Q,3)=0,"",VLOOKUP(Table91213[[#This Row],[Date]],'DB Details'!$A:$Q,3))</f>
        <v/>
      </c>
      <c r="D248" s="51">
        <f>IF(VLOOKUP(Table91213[[#This Row],[Date]],'DB Details'!$A:$Q,4)=0,"",VLOOKUP(Table91213[[#This Row],[Date]],'DB Details'!$A:$Q,4))</f>
        <v/>
      </c>
      <c r="E248" s="52">
        <f>IF(VLOOKUP(Table91213[[#This Row],[Date]],'DB Details'!$A:$Q,5)=0,"",VLOOKUP(Table91213[[#This Row],[Date]],'DB Details'!$A:$Q,5))</f>
        <v/>
      </c>
      <c r="F248" s="51">
        <f>IF(VLOOKUP(Table91213[[#This Row],[Date]],'DB Details'!$A:$Q,6)=0,"",VLOOKUP(Table91213[[#This Row],[Date]],'DB Details'!$A:$Q,6))</f>
        <v/>
      </c>
      <c r="G248" s="52">
        <f>IF(VLOOKUP(Table91213[[#This Row],[Date]],'DB Details'!$A:$Q,7)=0,"",VLOOKUP(Table91213[[#This Row],[Date]],'DB Details'!$A:$Q,7))</f>
        <v/>
      </c>
      <c r="H248" s="52">
        <f>IF(VLOOKUP(Table91213[[#This Row],[Date]],'DB Details'!$A:$Q,8)=0,"",VLOOKUP(Table91213[[#This Row],[Date]],'DB Details'!$A:$Q,8))</f>
        <v/>
      </c>
      <c r="I248" s="52">
        <f>IF(VLOOKUP(Table91213[[#This Row],[Date]],'DB Details'!$A:$Q,9)=0,"",VLOOKUP(Table91213[[#This Row],[Date]],'DB Details'!$A:$Q,9))</f>
        <v/>
      </c>
      <c r="J248" s="52">
        <f>IF(VLOOKUP(Table91213[[#This Row],[Date]],'DB Details'!$A:$Q,10)=0,"",VLOOKUP(Table91213[[#This Row],[Date]],'DB Details'!$A:$Q,10))</f>
        <v/>
      </c>
      <c r="K248" s="52">
        <f>IF(VLOOKUP(Table91213[[#This Row],[Date]],'DB Details'!$A:$Q,11)=0,"",VLOOKUP(Table91213[[#This Row],[Date]],'DB Details'!$A:$Q,11))</f>
        <v/>
      </c>
      <c r="L248" s="50">
        <f>IF(VLOOKUP(Table91213[[#This Row],[Date]],'DB Details'!$A:$Q,12)=0,"",VLOOKUP(Table91213[[#This Row],[Date]],'DB Details'!$A:$Q,12))</f>
        <v/>
      </c>
    </row>
    <row r="249">
      <c r="A249" s="53" t="n">
        <v>43009</v>
      </c>
      <c r="B249" s="50">
        <f>IF(VLOOKUP(Table91213[[#This Row],[Date]],'DB Details'!$A:$Q,2)=0,"",VLOOKUP(Table91213[[#This Row],[Date]],'DB Details'!$A:$Q,2))</f>
        <v/>
      </c>
      <c r="C249" s="51">
        <f>IF(VLOOKUP(Table91213[[#This Row],[Date]],'DB Details'!$A:$Q,3)=0,"",VLOOKUP(Table91213[[#This Row],[Date]],'DB Details'!$A:$Q,3))</f>
        <v/>
      </c>
      <c r="D249" s="51">
        <f>IF(VLOOKUP(Table91213[[#This Row],[Date]],'DB Details'!$A:$Q,4)=0,"",VLOOKUP(Table91213[[#This Row],[Date]],'DB Details'!$A:$Q,4))</f>
        <v/>
      </c>
      <c r="E249" s="52">
        <f>IF(VLOOKUP(Table91213[[#This Row],[Date]],'DB Details'!$A:$Q,5)=0,"",VLOOKUP(Table91213[[#This Row],[Date]],'DB Details'!$A:$Q,5))</f>
        <v/>
      </c>
      <c r="F249" s="51">
        <f>IF(VLOOKUP(Table91213[[#This Row],[Date]],'DB Details'!$A:$Q,6)=0,"",VLOOKUP(Table91213[[#This Row],[Date]],'DB Details'!$A:$Q,6))</f>
        <v/>
      </c>
      <c r="G249" s="52">
        <f>IF(VLOOKUP(Table91213[[#This Row],[Date]],'DB Details'!$A:$Q,7)=0,"",VLOOKUP(Table91213[[#This Row],[Date]],'DB Details'!$A:$Q,7))</f>
        <v/>
      </c>
      <c r="H249" s="52">
        <f>IF(VLOOKUP(Table91213[[#This Row],[Date]],'DB Details'!$A:$Q,8)=0,"",VLOOKUP(Table91213[[#This Row],[Date]],'DB Details'!$A:$Q,8))</f>
        <v/>
      </c>
      <c r="I249" s="52">
        <f>IF(VLOOKUP(Table91213[[#This Row],[Date]],'DB Details'!$A:$Q,9)=0,"",VLOOKUP(Table91213[[#This Row],[Date]],'DB Details'!$A:$Q,9))</f>
        <v/>
      </c>
      <c r="J249" s="52">
        <f>IF(VLOOKUP(Table91213[[#This Row],[Date]],'DB Details'!$A:$Q,10)=0,"",VLOOKUP(Table91213[[#This Row],[Date]],'DB Details'!$A:$Q,10))</f>
        <v/>
      </c>
      <c r="K249" s="52">
        <f>IF(VLOOKUP(Table91213[[#This Row],[Date]],'DB Details'!$A:$Q,11)=0,"",VLOOKUP(Table91213[[#This Row],[Date]],'DB Details'!$A:$Q,11))</f>
        <v/>
      </c>
      <c r="L249" s="50">
        <f>IF(VLOOKUP(Table91213[[#This Row],[Date]],'DB Details'!$A:$Q,12)=0,"",VLOOKUP(Table91213[[#This Row],[Date]],'DB Details'!$A:$Q,12))</f>
        <v/>
      </c>
    </row>
    <row r="250">
      <c r="A250" s="53" t="n">
        <v>43040</v>
      </c>
      <c r="B250" s="50">
        <f>IF(VLOOKUP(Table91213[[#This Row],[Date]],'DB Details'!$A:$Q,2)=0,"",VLOOKUP(Table91213[[#This Row],[Date]],'DB Details'!$A:$Q,2))</f>
        <v/>
      </c>
      <c r="C250" s="51">
        <f>IF(VLOOKUP(Table91213[[#This Row],[Date]],'DB Details'!$A:$Q,3)=0,"",VLOOKUP(Table91213[[#This Row],[Date]],'DB Details'!$A:$Q,3))</f>
        <v/>
      </c>
      <c r="D250" s="51">
        <f>IF(VLOOKUP(Table91213[[#This Row],[Date]],'DB Details'!$A:$Q,4)=0,"",VLOOKUP(Table91213[[#This Row],[Date]],'DB Details'!$A:$Q,4))</f>
        <v/>
      </c>
      <c r="E250" s="52">
        <f>IF(VLOOKUP(Table91213[[#This Row],[Date]],'DB Details'!$A:$Q,5)=0,"",VLOOKUP(Table91213[[#This Row],[Date]],'DB Details'!$A:$Q,5))</f>
        <v/>
      </c>
      <c r="F250" s="51">
        <f>IF(VLOOKUP(Table91213[[#This Row],[Date]],'DB Details'!$A:$Q,6)=0,"",VLOOKUP(Table91213[[#This Row],[Date]],'DB Details'!$A:$Q,6))</f>
        <v/>
      </c>
      <c r="G250" s="52">
        <f>IF(VLOOKUP(Table91213[[#This Row],[Date]],'DB Details'!$A:$Q,7)=0,"",VLOOKUP(Table91213[[#This Row],[Date]],'DB Details'!$A:$Q,7))</f>
        <v/>
      </c>
      <c r="H250" s="52">
        <f>IF(VLOOKUP(Table91213[[#This Row],[Date]],'DB Details'!$A:$Q,8)=0,"",VLOOKUP(Table91213[[#This Row],[Date]],'DB Details'!$A:$Q,8))</f>
        <v/>
      </c>
      <c r="I250" s="52">
        <f>IF(VLOOKUP(Table91213[[#This Row],[Date]],'DB Details'!$A:$Q,9)=0,"",VLOOKUP(Table91213[[#This Row],[Date]],'DB Details'!$A:$Q,9))</f>
        <v/>
      </c>
      <c r="J250" s="52">
        <f>IF(VLOOKUP(Table91213[[#This Row],[Date]],'DB Details'!$A:$Q,10)=0,"",VLOOKUP(Table91213[[#This Row],[Date]],'DB Details'!$A:$Q,10))</f>
        <v/>
      </c>
      <c r="K250" s="52">
        <f>IF(VLOOKUP(Table91213[[#This Row],[Date]],'DB Details'!$A:$Q,11)=0,"",VLOOKUP(Table91213[[#This Row],[Date]],'DB Details'!$A:$Q,11))</f>
        <v/>
      </c>
      <c r="L250" s="50">
        <f>IF(VLOOKUP(Table91213[[#This Row],[Date]],'DB Details'!$A:$Q,12)=0,"",VLOOKUP(Table91213[[#This Row],[Date]],'DB Details'!$A:$Q,12))</f>
        <v/>
      </c>
    </row>
    <row r="251">
      <c r="A251" s="53" t="n">
        <v>43070</v>
      </c>
      <c r="B251" s="50">
        <f>IF(VLOOKUP(Table91213[[#This Row],[Date]],'DB Details'!$A:$Q,2)=0,"",VLOOKUP(Table91213[[#This Row],[Date]],'DB Details'!$A:$Q,2))</f>
        <v/>
      </c>
      <c r="C251" s="51">
        <f>IF(VLOOKUP(Table91213[[#This Row],[Date]],'DB Details'!$A:$Q,3)=0,"",VLOOKUP(Table91213[[#This Row],[Date]],'DB Details'!$A:$Q,3))</f>
        <v/>
      </c>
      <c r="D251" s="51">
        <f>IF(VLOOKUP(Table91213[[#This Row],[Date]],'DB Details'!$A:$Q,4)=0,"",VLOOKUP(Table91213[[#This Row],[Date]],'DB Details'!$A:$Q,4))</f>
        <v/>
      </c>
      <c r="E251" s="52">
        <f>IF(VLOOKUP(Table91213[[#This Row],[Date]],'DB Details'!$A:$Q,5)=0,"",VLOOKUP(Table91213[[#This Row],[Date]],'DB Details'!$A:$Q,5))</f>
        <v/>
      </c>
      <c r="F251" s="51">
        <f>IF(VLOOKUP(Table91213[[#This Row],[Date]],'DB Details'!$A:$Q,6)=0,"",VLOOKUP(Table91213[[#This Row],[Date]],'DB Details'!$A:$Q,6))</f>
        <v/>
      </c>
      <c r="G251" s="52">
        <f>IF(VLOOKUP(Table91213[[#This Row],[Date]],'DB Details'!$A:$Q,7)=0,"",VLOOKUP(Table91213[[#This Row],[Date]],'DB Details'!$A:$Q,7))</f>
        <v/>
      </c>
      <c r="H251" s="52">
        <f>IF(VLOOKUP(Table91213[[#This Row],[Date]],'DB Details'!$A:$Q,8)=0,"",VLOOKUP(Table91213[[#This Row],[Date]],'DB Details'!$A:$Q,8))</f>
        <v/>
      </c>
      <c r="I251" s="52">
        <f>IF(VLOOKUP(Table91213[[#This Row],[Date]],'DB Details'!$A:$Q,9)=0,"",VLOOKUP(Table91213[[#This Row],[Date]],'DB Details'!$A:$Q,9))</f>
        <v/>
      </c>
      <c r="J251" s="52">
        <f>IF(VLOOKUP(Table91213[[#This Row],[Date]],'DB Details'!$A:$Q,10)=0,"",VLOOKUP(Table91213[[#This Row],[Date]],'DB Details'!$A:$Q,10))</f>
        <v/>
      </c>
      <c r="K251" s="52">
        <f>IF(VLOOKUP(Table91213[[#This Row],[Date]],'DB Details'!$A:$Q,11)=0,"",VLOOKUP(Table91213[[#This Row],[Date]],'DB Details'!$A:$Q,11))</f>
        <v/>
      </c>
      <c r="L251" s="50">
        <f>IF(VLOOKUP(Table91213[[#This Row],[Date]],'DB Details'!$A:$Q,12)=0,"",VLOOKUP(Table91213[[#This Row],[Date]],'DB Details'!$A:$Q,12))</f>
        <v/>
      </c>
    </row>
    <row r="252">
      <c r="A252" s="53" t="n">
        <v>43101</v>
      </c>
      <c r="B252" s="50">
        <f>IF(VLOOKUP(Table91213[[#This Row],[Date]],'DB Details'!$A:$Q,2)=0,"",VLOOKUP(Table91213[[#This Row],[Date]],'DB Details'!$A:$Q,2))</f>
        <v/>
      </c>
      <c r="C252" s="51">
        <f>IF(VLOOKUP(Table91213[[#This Row],[Date]],'DB Details'!$A:$Q,3)=0,"",VLOOKUP(Table91213[[#This Row],[Date]],'DB Details'!$A:$Q,3))</f>
        <v/>
      </c>
      <c r="D252" s="51">
        <f>IF(VLOOKUP(Table91213[[#This Row],[Date]],'DB Details'!$A:$Q,4)=0,"",VLOOKUP(Table91213[[#This Row],[Date]],'DB Details'!$A:$Q,4))</f>
        <v/>
      </c>
      <c r="E252" s="52">
        <f>IF(VLOOKUP(Table91213[[#This Row],[Date]],'DB Details'!$A:$Q,5)=0,"",VLOOKUP(Table91213[[#This Row],[Date]],'DB Details'!$A:$Q,5))</f>
        <v/>
      </c>
      <c r="F252" s="51">
        <f>IF(VLOOKUP(Table91213[[#This Row],[Date]],'DB Details'!$A:$Q,6)=0,"",VLOOKUP(Table91213[[#This Row],[Date]],'DB Details'!$A:$Q,6))</f>
        <v/>
      </c>
      <c r="G252" s="52">
        <f>IF(VLOOKUP(Table91213[[#This Row],[Date]],'DB Details'!$A:$Q,7)=0,"",VLOOKUP(Table91213[[#This Row],[Date]],'DB Details'!$A:$Q,7))</f>
        <v/>
      </c>
      <c r="H252" s="52">
        <f>IF(VLOOKUP(Table91213[[#This Row],[Date]],'DB Details'!$A:$Q,8)=0,"",VLOOKUP(Table91213[[#This Row],[Date]],'DB Details'!$A:$Q,8))</f>
        <v/>
      </c>
      <c r="I252" s="52">
        <f>IF(VLOOKUP(Table91213[[#This Row],[Date]],'DB Details'!$A:$Q,9)=0,"",VLOOKUP(Table91213[[#This Row],[Date]],'DB Details'!$A:$Q,9))</f>
        <v/>
      </c>
      <c r="J252" s="52">
        <f>IF(VLOOKUP(Table91213[[#This Row],[Date]],'DB Details'!$A:$Q,10)=0,"",VLOOKUP(Table91213[[#This Row],[Date]],'DB Details'!$A:$Q,10))</f>
        <v/>
      </c>
      <c r="K252" s="52">
        <f>IF(VLOOKUP(Table91213[[#This Row],[Date]],'DB Details'!$A:$Q,11)=0,"",VLOOKUP(Table91213[[#This Row],[Date]],'DB Details'!$A:$Q,11))</f>
        <v/>
      </c>
      <c r="L252" s="50">
        <f>IF(VLOOKUP(Table91213[[#This Row],[Date]],'DB Details'!$A:$Q,12)=0,"",VLOOKUP(Table91213[[#This Row],[Date]],'DB Details'!$A:$Q,12))</f>
        <v/>
      </c>
    </row>
    <row r="253">
      <c r="A253" s="53" t="n">
        <v>43132</v>
      </c>
      <c r="B253" s="50">
        <f>IF(VLOOKUP(Table91213[[#This Row],[Date]],'DB Details'!$A:$Q,2)=0,"",VLOOKUP(Table91213[[#This Row],[Date]],'DB Details'!$A:$Q,2))</f>
        <v/>
      </c>
      <c r="C253" s="51">
        <f>IF(VLOOKUP(Table91213[[#This Row],[Date]],'DB Details'!$A:$Q,3)=0,"",VLOOKUP(Table91213[[#This Row],[Date]],'DB Details'!$A:$Q,3))</f>
        <v/>
      </c>
      <c r="D253" s="51">
        <f>IF(VLOOKUP(Table91213[[#This Row],[Date]],'DB Details'!$A:$Q,4)=0,"",VLOOKUP(Table91213[[#This Row],[Date]],'DB Details'!$A:$Q,4))</f>
        <v/>
      </c>
      <c r="E253" s="52">
        <f>IF(VLOOKUP(Table91213[[#This Row],[Date]],'DB Details'!$A:$Q,5)=0,"",VLOOKUP(Table91213[[#This Row],[Date]],'DB Details'!$A:$Q,5))</f>
        <v/>
      </c>
      <c r="F253" s="51">
        <f>IF(VLOOKUP(Table91213[[#This Row],[Date]],'DB Details'!$A:$Q,6)=0,"",VLOOKUP(Table91213[[#This Row],[Date]],'DB Details'!$A:$Q,6))</f>
        <v/>
      </c>
      <c r="G253" s="52">
        <f>IF(VLOOKUP(Table91213[[#This Row],[Date]],'DB Details'!$A:$Q,7)=0,"",VLOOKUP(Table91213[[#This Row],[Date]],'DB Details'!$A:$Q,7))</f>
        <v/>
      </c>
      <c r="H253" s="52">
        <f>IF(VLOOKUP(Table91213[[#This Row],[Date]],'DB Details'!$A:$Q,8)=0,"",VLOOKUP(Table91213[[#This Row],[Date]],'DB Details'!$A:$Q,8))</f>
        <v/>
      </c>
      <c r="I253" s="52">
        <f>IF(VLOOKUP(Table91213[[#This Row],[Date]],'DB Details'!$A:$Q,9)=0,"",VLOOKUP(Table91213[[#This Row],[Date]],'DB Details'!$A:$Q,9))</f>
        <v/>
      </c>
      <c r="J253" s="52">
        <f>IF(VLOOKUP(Table91213[[#This Row],[Date]],'DB Details'!$A:$Q,10)=0,"",VLOOKUP(Table91213[[#This Row],[Date]],'DB Details'!$A:$Q,10))</f>
        <v/>
      </c>
      <c r="K253" s="52">
        <f>IF(VLOOKUP(Table91213[[#This Row],[Date]],'DB Details'!$A:$Q,11)=0,"",VLOOKUP(Table91213[[#This Row],[Date]],'DB Details'!$A:$Q,11))</f>
        <v/>
      </c>
      <c r="L253" s="50">
        <f>IF(VLOOKUP(Table91213[[#This Row],[Date]],'DB Details'!$A:$Q,12)=0,"",VLOOKUP(Table91213[[#This Row],[Date]],'DB Details'!$A:$Q,12))</f>
        <v/>
      </c>
    </row>
    <row r="254">
      <c r="A254" s="53" t="n">
        <v>43160</v>
      </c>
      <c r="B254" s="50">
        <f>IF(VLOOKUP(Table91213[[#This Row],[Date]],'DB Details'!$A:$Q,2)=0,"",VLOOKUP(Table91213[[#This Row],[Date]],'DB Details'!$A:$Q,2))</f>
        <v/>
      </c>
      <c r="C254" s="51">
        <f>IF(VLOOKUP(Table91213[[#This Row],[Date]],'DB Details'!$A:$Q,3)=0,"",VLOOKUP(Table91213[[#This Row],[Date]],'DB Details'!$A:$Q,3))</f>
        <v/>
      </c>
      <c r="D254" s="51">
        <f>IF(VLOOKUP(Table91213[[#This Row],[Date]],'DB Details'!$A:$Q,4)=0,"",VLOOKUP(Table91213[[#This Row],[Date]],'DB Details'!$A:$Q,4))</f>
        <v/>
      </c>
      <c r="E254" s="52">
        <f>IF(VLOOKUP(Table91213[[#This Row],[Date]],'DB Details'!$A:$Q,5)=0,"",VLOOKUP(Table91213[[#This Row],[Date]],'DB Details'!$A:$Q,5))</f>
        <v/>
      </c>
      <c r="F254" s="51">
        <f>IF(VLOOKUP(Table91213[[#This Row],[Date]],'DB Details'!$A:$Q,6)=0,"",VLOOKUP(Table91213[[#This Row],[Date]],'DB Details'!$A:$Q,6))</f>
        <v/>
      </c>
      <c r="G254" s="52">
        <f>IF(VLOOKUP(Table91213[[#This Row],[Date]],'DB Details'!$A:$Q,7)=0,"",VLOOKUP(Table91213[[#This Row],[Date]],'DB Details'!$A:$Q,7))</f>
        <v/>
      </c>
      <c r="H254" s="52">
        <f>IF(VLOOKUP(Table91213[[#This Row],[Date]],'DB Details'!$A:$Q,8)=0,"",VLOOKUP(Table91213[[#This Row],[Date]],'DB Details'!$A:$Q,8))</f>
        <v/>
      </c>
      <c r="I254" s="52">
        <f>IF(VLOOKUP(Table91213[[#This Row],[Date]],'DB Details'!$A:$Q,9)=0,"",VLOOKUP(Table91213[[#This Row],[Date]],'DB Details'!$A:$Q,9))</f>
        <v/>
      </c>
      <c r="J254" s="52">
        <f>IF(VLOOKUP(Table91213[[#This Row],[Date]],'DB Details'!$A:$Q,10)=0,"",VLOOKUP(Table91213[[#This Row],[Date]],'DB Details'!$A:$Q,10))</f>
        <v/>
      </c>
      <c r="K254" s="52">
        <f>IF(VLOOKUP(Table91213[[#This Row],[Date]],'DB Details'!$A:$Q,11)=0,"",VLOOKUP(Table91213[[#This Row],[Date]],'DB Details'!$A:$Q,11))</f>
        <v/>
      </c>
      <c r="L254" s="50">
        <f>IF(VLOOKUP(Table91213[[#This Row],[Date]],'DB Details'!$A:$Q,12)=0,"",VLOOKUP(Table91213[[#This Row],[Date]],'DB Details'!$A:$Q,12))</f>
        <v/>
      </c>
    </row>
    <row r="255">
      <c r="A255" s="53" t="n">
        <v>43191</v>
      </c>
      <c r="B255" s="50">
        <f>IF(VLOOKUP(Table91213[[#This Row],[Date]],'DB Details'!$A:$Q,2)=0,"",VLOOKUP(Table91213[[#This Row],[Date]],'DB Details'!$A:$Q,2))</f>
        <v/>
      </c>
      <c r="C255" s="51">
        <f>IF(VLOOKUP(Table91213[[#This Row],[Date]],'DB Details'!$A:$Q,3)=0,"",VLOOKUP(Table91213[[#This Row],[Date]],'DB Details'!$A:$Q,3))</f>
        <v/>
      </c>
      <c r="D255" s="51">
        <f>IF(VLOOKUP(Table91213[[#This Row],[Date]],'DB Details'!$A:$Q,4)=0,"",VLOOKUP(Table91213[[#This Row],[Date]],'DB Details'!$A:$Q,4))</f>
        <v/>
      </c>
      <c r="E255" s="52">
        <f>IF(VLOOKUP(Table91213[[#This Row],[Date]],'DB Details'!$A:$Q,5)=0,"",VLOOKUP(Table91213[[#This Row],[Date]],'DB Details'!$A:$Q,5))</f>
        <v/>
      </c>
      <c r="F255" s="51">
        <f>IF(VLOOKUP(Table91213[[#This Row],[Date]],'DB Details'!$A:$Q,6)=0,"",VLOOKUP(Table91213[[#This Row],[Date]],'DB Details'!$A:$Q,6))</f>
        <v/>
      </c>
      <c r="G255" s="52">
        <f>IF(VLOOKUP(Table91213[[#This Row],[Date]],'DB Details'!$A:$Q,7)=0,"",VLOOKUP(Table91213[[#This Row],[Date]],'DB Details'!$A:$Q,7))</f>
        <v/>
      </c>
      <c r="H255" s="52">
        <f>IF(VLOOKUP(Table91213[[#This Row],[Date]],'DB Details'!$A:$Q,8)=0,"",VLOOKUP(Table91213[[#This Row],[Date]],'DB Details'!$A:$Q,8))</f>
        <v/>
      </c>
      <c r="I255" s="52">
        <f>IF(VLOOKUP(Table91213[[#This Row],[Date]],'DB Details'!$A:$Q,9)=0,"",VLOOKUP(Table91213[[#This Row],[Date]],'DB Details'!$A:$Q,9))</f>
        <v/>
      </c>
      <c r="J255" s="52">
        <f>IF(VLOOKUP(Table91213[[#This Row],[Date]],'DB Details'!$A:$Q,10)=0,"",VLOOKUP(Table91213[[#This Row],[Date]],'DB Details'!$A:$Q,10))</f>
        <v/>
      </c>
      <c r="K255" s="52">
        <f>IF(VLOOKUP(Table91213[[#This Row],[Date]],'DB Details'!$A:$Q,11)=0,"",VLOOKUP(Table91213[[#This Row],[Date]],'DB Details'!$A:$Q,11))</f>
        <v/>
      </c>
      <c r="L255" s="50">
        <f>IF(VLOOKUP(Table91213[[#This Row],[Date]],'DB Details'!$A:$Q,12)=0,"",VLOOKUP(Table91213[[#This Row],[Date]],'DB Details'!$A:$Q,12))</f>
        <v/>
      </c>
    </row>
    <row r="256">
      <c r="A256" s="53" t="n">
        <v>43221</v>
      </c>
      <c r="B256" s="50">
        <f>IF(VLOOKUP(Table91213[[#This Row],[Date]],'DB Details'!$A:$Q,2)=0,"",VLOOKUP(Table91213[[#This Row],[Date]],'DB Details'!$A:$Q,2))</f>
        <v/>
      </c>
      <c r="C256" s="51">
        <f>IF(VLOOKUP(Table91213[[#This Row],[Date]],'DB Details'!$A:$Q,3)=0,"",VLOOKUP(Table91213[[#This Row],[Date]],'DB Details'!$A:$Q,3))</f>
        <v/>
      </c>
      <c r="D256" s="51">
        <f>IF(VLOOKUP(Table91213[[#This Row],[Date]],'DB Details'!$A:$Q,4)=0,"",VLOOKUP(Table91213[[#This Row],[Date]],'DB Details'!$A:$Q,4))</f>
        <v/>
      </c>
      <c r="E256" s="52">
        <f>IF(VLOOKUP(Table91213[[#This Row],[Date]],'DB Details'!$A:$Q,5)=0,"",VLOOKUP(Table91213[[#This Row],[Date]],'DB Details'!$A:$Q,5))</f>
        <v/>
      </c>
      <c r="F256" s="51">
        <f>IF(VLOOKUP(Table91213[[#This Row],[Date]],'DB Details'!$A:$Q,6)=0,"",VLOOKUP(Table91213[[#This Row],[Date]],'DB Details'!$A:$Q,6))</f>
        <v/>
      </c>
      <c r="G256" s="52">
        <f>IF(VLOOKUP(Table91213[[#This Row],[Date]],'DB Details'!$A:$Q,7)=0,"",VLOOKUP(Table91213[[#This Row],[Date]],'DB Details'!$A:$Q,7))</f>
        <v/>
      </c>
      <c r="H256" s="52">
        <f>IF(VLOOKUP(Table91213[[#This Row],[Date]],'DB Details'!$A:$Q,8)=0,"",VLOOKUP(Table91213[[#This Row],[Date]],'DB Details'!$A:$Q,8))</f>
        <v/>
      </c>
      <c r="I256" s="52">
        <f>IF(VLOOKUP(Table91213[[#This Row],[Date]],'DB Details'!$A:$Q,9)=0,"",VLOOKUP(Table91213[[#This Row],[Date]],'DB Details'!$A:$Q,9))</f>
        <v/>
      </c>
      <c r="J256" s="52">
        <f>IF(VLOOKUP(Table91213[[#This Row],[Date]],'DB Details'!$A:$Q,10)=0,"",VLOOKUP(Table91213[[#This Row],[Date]],'DB Details'!$A:$Q,10))</f>
        <v/>
      </c>
      <c r="K256" s="52">
        <f>IF(VLOOKUP(Table91213[[#This Row],[Date]],'DB Details'!$A:$Q,11)=0,"",VLOOKUP(Table91213[[#This Row],[Date]],'DB Details'!$A:$Q,11))</f>
        <v/>
      </c>
      <c r="L256" s="50">
        <f>IF(VLOOKUP(Table91213[[#This Row],[Date]],'DB Details'!$A:$Q,12)=0,"",VLOOKUP(Table91213[[#This Row],[Date]],'DB Details'!$A:$Q,12))</f>
        <v/>
      </c>
    </row>
    <row r="257">
      <c r="A257" s="53" t="n">
        <v>43252</v>
      </c>
      <c r="B257" s="50">
        <f>IF(VLOOKUP(Table91213[[#This Row],[Date]],'DB Details'!$A:$Q,2)=0,"",VLOOKUP(Table91213[[#This Row],[Date]],'DB Details'!$A:$Q,2))</f>
        <v/>
      </c>
      <c r="C257" s="51">
        <f>IF(VLOOKUP(Table91213[[#This Row],[Date]],'DB Details'!$A:$Q,3)=0,"",VLOOKUP(Table91213[[#This Row],[Date]],'DB Details'!$A:$Q,3))</f>
        <v/>
      </c>
      <c r="D257" s="51">
        <f>IF(VLOOKUP(Table91213[[#This Row],[Date]],'DB Details'!$A:$Q,4)=0,"",VLOOKUP(Table91213[[#This Row],[Date]],'DB Details'!$A:$Q,4))</f>
        <v/>
      </c>
      <c r="E257" s="52">
        <f>IF(VLOOKUP(Table91213[[#This Row],[Date]],'DB Details'!$A:$Q,5)=0,"",VLOOKUP(Table91213[[#This Row],[Date]],'DB Details'!$A:$Q,5))</f>
        <v/>
      </c>
      <c r="F257" s="51">
        <f>IF(VLOOKUP(Table91213[[#This Row],[Date]],'DB Details'!$A:$Q,6)=0,"",VLOOKUP(Table91213[[#This Row],[Date]],'DB Details'!$A:$Q,6))</f>
        <v/>
      </c>
      <c r="G257" s="52">
        <f>IF(VLOOKUP(Table91213[[#This Row],[Date]],'DB Details'!$A:$Q,7)=0,"",VLOOKUP(Table91213[[#This Row],[Date]],'DB Details'!$A:$Q,7))</f>
        <v/>
      </c>
      <c r="H257" s="52">
        <f>IF(VLOOKUP(Table91213[[#This Row],[Date]],'DB Details'!$A:$Q,8)=0,"",VLOOKUP(Table91213[[#This Row],[Date]],'DB Details'!$A:$Q,8))</f>
        <v/>
      </c>
      <c r="I257" s="52">
        <f>IF(VLOOKUP(Table91213[[#This Row],[Date]],'DB Details'!$A:$Q,9)=0,"",VLOOKUP(Table91213[[#This Row],[Date]],'DB Details'!$A:$Q,9))</f>
        <v/>
      </c>
      <c r="J257" s="52">
        <f>IF(VLOOKUP(Table91213[[#This Row],[Date]],'DB Details'!$A:$Q,10)=0,"",VLOOKUP(Table91213[[#This Row],[Date]],'DB Details'!$A:$Q,10))</f>
        <v/>
      </c>
      <c r="K257" s="52">
        <f>IF(VLOOKUP(Table91213[[#This Row],[Date]],'DB Details'!$A:$Q,11)=0,"",VLOOKUP(Table91213[[#This Row],[Date]],'DB Details'!$A:$Q,11))</f>
        <v/>
      </c>
      <c r="L257" s="50">
        <f>IF(VLOOKUP(Table91213[[#This Row],[Date]],'DB Details'!$A:$Q,12)=0,"",VLOOKUP(Table91213[[#This Row],[Date]],'DB Details'!$A:$Q,12))</f>
        <v/>
      </c>
    </row>
    <row r="258">
      <c r="A258" s="53" t="n">
        <v>43282</v>
      </c>
      <c r="B258" s="50">
        <f>IF(VLOOKUP(Table91213[[#This Row],[Date]],'DB Details'!$A:$Q,2)=0,"",VLOOKUP(Table91213[[#This Row],[Date]],'DB Details'!$A:$Q,2))</f>
        <v/>
      </c>
      <c r="C258" s="51">
        <f>IF(VLOOKUP(Table91213[[#This Row],[Date]],'DB Details'!$A:$Q,3)=0,"",VLOOKUP(Table91213[[#This Row],[Date]],'DB Details'!$A:$Q,3))</f>
        <v/>
      </c>
      <c r="D258" s="51">
        <f>IF(VLOOKUP(Table91213[[#This Row],[Date]],'DB Details'!$A:$Q,4)=0,"",VLOOKUP(Table91213[[#This Row],[Date]],'DB Details'!$A:$Q,4))</f>
        <v/>
      </c>
      <c r="E258" s="52">
        <f>IF(VLOOKUP(Table91213[[#This Row],[Date]],'DB Details'!$A:$Q,5)=0,"",VLOOKUP(Table91213[[#This Row],[Date]],'DB Details'!$A:$Q,5))</f>
        <v/>
      </c>
      <c r="F258" s="51">
        <f>IF(VLOOKUP(Table91213[[#This Row],[Date]],'DB Details'!$A:$Q,6)=0,"",VLOOKUP(Table91213[[#This Row],[Date]],'DB Details'!$A:$Q,6))</f>
        <v/>
      </c>
      <c r="G258" s="52">
        <f>IF(VLOOKUP(Table91213[[#This Row],[Date]],'DB Details'!$A:$Q,7)=0,"",VLOOKUP(Table91213[[#This Row],[Date]],'DB Details'!$A:$Q,7))</f>
        <v/>
      </c>
      <c r="H258" s="52">
        <f>IF(VLOOKUP(Table91213[[#This Row],[Date]],'DB Details'!$A:$Q,8)=0,"",VLOOKUP(Table91213[[#This Row],[Date]],'DB Details'!$A:$Q,8))</f>
        <v/>
      </c>
      <c r="I258" s="52">
        <f>IF(VLOOKUP(Table91213[[#This Row],[Date]],'DB Details'!$A:$Q,9)=0,"",VLOOKUP(Table91213[[#This Row],[Date]],'DB Details'!$A:$Q,9))</f>
        <v/>
      </c>
      <c r="J258" s="52">
        <f>IF(VLOOKUP(Table91213[[#This Row],[Date]],'DB Details'!$A:$Q,10)=0,"",VLOOKUP(Table91213[[#This Row],[Date]],'DB Details'!$A:$Q,10))</f>
        <v/>
      </c>
      <c r="K258" s="52">
        <f>IF(VLOOKUP(Table91213[[#This Row],[Date]],'DB Details'!$A:$Q,11)=0,"",VLOOKUP(Table91213[[#This Row],[Date]],'DB Details'!$A:$Q,11))</f>
        <v/>
      </c>
      <c r="L258" s="50">
        <f>IF(VLOOKUP(Table91213[[#This Row],[Date]],'DB Details'!$A:$Q,12)=0,"",VLOOKUP(Table91213[[#This Row],[Date]],'DB Details'!$A:$Q,12))</f>
        <v/>
      </c>
    </row>
    <row r="259">
      <c r="A259" s="53" t="n">
        <v>43313</v>
      </c>
      <c r="B259" s="50">
        <f>IF(VLOOKUP(Table91213[[#This Row],[Date]],'DB Details'!$A:$Q,2)=0,"",VLOOKUP(Table91213[[#This Row],[Date]],'DB Details'!$A:$Q,2))</f>
        <v/>
      </c>
      <c r="C259" s="51">
        <f>IF(VLOOKUP(Table91213[[#This Row],[Date]],'DB Details'!$A:$Q,3)=0,"",VLOOKUP(Table91213[[#This Row],[Date]],'DB Details'!$A:$Q,3))</f>
        <v/>
      </c>
      <c r="D259" s="51">
        <f>IF(VLOOKUP(Table91213[[#This Row],[Date]],'DB Details'!$A:$Q,4)=0,"",VLOOKUP(Table91213[[#This Row],[Date]],'DB Details'!$A:$Q,4))</f>
        <v/>
      </c>
      <c r="E259" s="52">
        <f>IF(VLOOKUP(Table91213[[#This Row],[Date]],'DB Details'!$A:$Q,5)=0,"",VLOOKUP(Table91213[[#This Row],[Date]],'DB Details'!$A:$Q,5))</f>
        <v/>
      </c>
      <c r="F259" s="51">
        <f>IF(VLOOKUP(Table91213[[#This Row],[Date]],'DB Details'!$A:$Q,6)=0,"",VLOOKUP(Table91213[[#This Row],[Date]],'DB Details'!$A:$Q,6))</f>
        <v/>
      </c>
      <c r="G259" s="52">
        <f>IF(VLOOKUP(Table91213[[#This Row],[Date]],'DB Details'!$A:$Q,7)=0,"",VLOOKUP(Table91213[[#This Row],[Date]],'DB Details'!$A:$Q,7))</f>
        <v/>
      </c>
      <c r="H259" s="52">
        <f>IF(VLOOKUP(Table91213[[#This Row],[Date]],'DB Details'!$A:$Q,8)=0,"",VLOOKUP(Table91213[[#This Row],[Date]],'DB Details'!$A:$Q,8))</f>
        <v/>
      </c>
      <c r="I259" s="52">
        <f>IF(VLOOKUP(Table91213[[#This Row],[Date]],'DB Details'!$A:$Q,9)=0,"",VLOOKUP(Table91213[[#This Row],[Date]],'DB Details'!$A:$Q,9))</f>
        <v/>
      </c>
      <c r="J259" s="52">
        <f>IF(VLOOKUP(Table91213[[#This Row],[Date]],'DB Details'!$A:$Q,10)=0,"",VLOOKUP(Table91213[[#This Row],[Date]],'DB Details'!$A:$Q,10))</f>
        <v/>
      </c>
      <c r="K259" s="52">
        <f>IF(VLOOKUP(Table91213[[#This Row],[Date]],'DB Details'!$A:$Q,11)=0,"",VLOOKUP(Table91213[[#This Row],[Date]],'DB Details'!$A:$Q,11))</f>
        <v/>
      </c>
      <c r="L259" s="50">
        <f>IF(VLOOKUP(Table91213[[#This Row],[Date]],'DB Details'!$A:$Q,12)=0,"",VLOOKUP(Table91213[[#This Row],[Date]],'DB Details'!$A:$Q,12))</f>
        <v/>
      </c>
    </row>
    <row r="260">
      <c r="A260" s="53" t="n">
        <v>43344</v>
      </c>
      <c r="B260" s="50">
        <f>IF(VLOOKUP(Table91213[[#This Row],[Date]],'DB Details'!$A:$Q,2)=0,"",VLOOKUP(Table91213[[#This Row],[Date]],'DB Details'!$A:$Q,2))</f>
        <v/>
      </c>
      <c r="C260" s="51">
        <f>IF(VLOOKUP(Table91213[[#This Row],[Date]],'DB Details'!$A:$Q,3)=0,"",VLOOKUP(Table91213[[#This Row],[Date]],'DB Details'!$A:$Q,3))</f>
        <v/>
      </c>
      <c r="D260" s="51">
        <f>IF(VLOOKUP(Table91213[[#This Row],[Date]],'DB Details'!$A:$Q,4)=0,"",VLOOKUP(Table91213[[#This Row],[Date]],'DB Details'!$A:$Q,4))</f>
        <v/>
      </c>
      <c r="E260" s="52">
        <f>IF(VLOOKUP(Table91213[[#This Row],[Date]],'DB Details'!$A:$Q,5)=0,"",VLOOKUP(Table91213[[#This Row],[Date]],'DB Details'!$A:$Q,5))</f>
        <v/>
      </c>
      <c r="F260" s="51">
        <f>IF(VLOOKUP(Table91213[[#This Row],[Date]],'DB Details'!$A:$Q,6)=0,"",VLOOKUP(Table91213[[#This Row],[Date]],'DB Details'!$A:$Q,6))</f>
        <v/>
      </c>
      <c r="G260" s="52">
        <f>IF(VLOOKUP(Table91213[[#This Row],[Date]],'DB Details'!$A:$Q,7)=0,"",VLOOKUP(Table91213[[#This Row],[Date]],'DB Details'!$A:$Q,7))</f>
        <v/>
      </c>
      <c r="H260" s="52">
        <f>IF(VLOOKUP(Table91213[[#This Row],[Date]],'DB Details'!$A:$Q,8)=0,"",VLOOKUP(Table91213[[#This Row],[Date]],'DB Details'!$A:$Q,8))</f>
        <v/>
      </c>
      <c r="I260" s="52">
        <f>IF(VLOOKUP(Table91213[[#This Row],[Date]],'DB Details'!$A:$Q,9)=0,"",VLOOKUP(Table91213[[#This Row],[Date]],'DB Details'!$A:$Q,9))</f>
        <v/>
      </c>
      <c r="J260" s="52">
        <f>IF(VLOOKUP(Table91213[[#This Row],[Date]],'DB Details'!$A:$Q,10)=0,"",VLOOKUP(Table91213[[#This Row],[Date]],'DB Details'!$A:$Q,10))</f>
        <v/>
      </c>
      <c r="K260" s="52">
        <f>IF(VLOOKUP(Table91213[[#This Row],[Date]],'DB Details'!$A:$Q,11)=0,"",VLOOKUP(Table91213[[#This Row],[Date]],'DB Details'!$A:$Q,11))</f>
        <v/>
      </c>
      <c r="L260" s="50">
        <f>IF(VLOOKUP(Table91213[[#This Row],[Date]],'DB Details'!$A:$Q,12)=0,"",VLOOKUP(Table91213[[#This Row],[Date]],'DB Details'!$A:$Q,12))</f>
        <v/>
      </c>
    </row>
    <row r="261">
      <c r="A261" s="53" t="n">
        <v>43374</v>
      </c>
      <c r="B261" s="50">
        <f>IF(VLOOKUP(Table91213[[#This Row],[Date]],'DB Details'!$A:$Q,2)=0,"",VLOOKUP(Table91213[[#This Row],[Date]],'DB Details'!$A:$Q,2))</f>
        <v/>
      </c>
      <c r="C261" s="51">
        <f>IF(VLOOKUP(Table91213[[#This Row],[Date]],'DB Details'!$A:$Q,3)=0,"",VLOOKUP(Table91213[[#This Row],[Date]],'DB Details'!$A:$Q,3))</f>
        <v/>
      </c>
      <c r="D261" s="51">
        <f>IF(VLOOKUP(Table91213[[#This Row],[Date]],'DB Details'!$A:$Q,4)=0,"",VLOOKUP(Table91213[[#This Row],[Date]],'DB Details'!$A:$Q,4))</f>
        <v/>
      </c>
      <c r="E261" s="52">
        <f>IF(VLOOKUP(Table91213[[#This Row],[Date]],'DB Details'!$A:$Q,5)=0,"",VLOOKUP(Table91213[[#This Row],[Date]],'DB Details'!$A:$Q,5))</f>
        <v/>
      </c>
      <c r="F261" s="51">
        <f>IF(VLOOKUP(Table91213[[#This Row],[Date]],'DB Details'!$A:$Q,6)=0,"",VLOOKUP(Table91213[[#This Row],[Date]],'DB Details'!$A:$Q,6))</f>
        <v/>
      </c>
      <c r="G261" s="52">
        <f>IF(VLOOKUP(Table91213[[#This Row],[Date]],'DB Details'!$A:$Q,7)=0,"",VLOOKUP(Table91213[[#This Row],[Date]],'DB Details'!$A:$Q,7))</f>
        <v/>
      </c>
      <c r="H261" s="52">
        <f>IF(VLOOKUP(Table91213[[#This Row],[Date]],'DB Details'!$A:$Q,8)=0,"",VLOOKUP(Table91213[[#This Row],[Date]],'DB Details'!$A:$Q,8))</f>
        <v/>
      </c>
      <c r="I261" s="52">
        <f>IF(VLOOKUP(Table91213[[#This Row],[Date]],'DB Details'!$A:$Q,9)=0,"",VLOOKUP(Table91213[[#This Row],[Date]],'DB Details'!$A:$Q,9))</f>
        <v/>
      </c>
      <c r="J261" s="52">
        <f>IF(VLOOKUP(Table91213[[#This Row],[Date]],'DB Details'!$A:$Q,10)=0,"",VLOOKUP(Table91213[[#This Row],[Date]],'DB Details'!$A:$Q,10))</f>
        <v/>
      </c>
      <c r="K261" s="52">
        <f>IF(VLOOKUP(Table91213[[#This Row],[Date]],'DB Details'!$A:$Q,11)=0,"",VLOOKUP(Table91213[[#This Row],[Date]],'DB Details'!$A:$Q,11))</f>
        <v/>
      </c>
      <c r="L261" s="50">
        <f>IF(VLOOKUP(Table91213[[#This Row],[Date]],'DB Details'!$A:$Q,12)=0,"",VLOOKUP(Table91213[[#This Row],[Date]],'DB Details'!$A:$Q,12))</f>
        <v/>
      </c>
    </row>
    <row r="262">
      <c r="A262" s="53" t="n">
        <v>43405</v>
      </c>
      <c r="B262" s="50">
        <f>IF(VLOOKUP(Table91213[[#This Row],[Date]],'DB Details'!$A:$Q,2)=0,"",VLOOKUP(Table91213[[#This Row],[Date]],'DB Details'!$A:$Q,2))</f>
        <v/>
      </c>
      <c r="C262" s="51">
        <f>IF(VLOOKUP(Table91213[[#This Row],[Date]],'DB Details'!$A:$Q,3)=0,"",VLOOKUP(Table91213[[#This Row],[Date]],'DB Details'!$A:$Q,3))</f>
        <v/>
      </c>
      <c r="D262" s="51">
        <f>IF(VLOOKUP(Table91213[[#This Row],[Date]],'DB Details'!$A:$Q,4)=0,"",VLOOKUP(Table91213[[#This Row],[Date]],'DB Details'!$A:$Q,4))</f>
        <v/>
      </c>
      <c r="E262" s="52">
        <f>IF(VLOOKUP(Table91213[[#This Row],[Date]],'DB Details'!$A:$Q,5)=0,"",VLOOKUP(Table91213[[#This Row],[Date]],'DB Details'!$A:$Q,5))</f>
        <v/>
      </c>
      <c r="F262" s="51">
        <f>IF(VLOOKUP(Table91213[[#This Row],[Date]],'DB Details'!$A:$Q,6)=0,"",VLOOKUP(Table91213[[#This Row],[Date]],'DB Details'!$A:$Q,6))</f>
        <v/>
      </c>
      <c r="G262" s="52">
        <f>IF(VLOOKUP(Table91213[[#This Row],[Date]],'DB Details'!$A:$Q,7)=0,"",VLOOKUP(Table91213[[#This Row],[Date]],'DB Details'!$A:$Q,7))</f>
        <v/>
      </c>
      <c r="H262" s="52">
        <f>IF(VLOOKUP(Table91213[[#This Row],[Date]],'DB Details'!$A:$Q,8)=0,"",VLOOKUP(Table91213[[#This Row],[Date]],'DB Details'!$A:$Q,8))</f>
        <v/>
      </c>
      <c r="I262" s="52">
        <f>IF(VLOOKUP(Table91213[[#This Row],[Date]],'DB Details'!$A:$Q,9)=0,"",VLOOKUP(Table91213[[#This Row],[Date]],'DB Details'!$A:$Q,9))</f>
        <v/>
      </c>
      <c r="J262" s="52">
        <f>IF(VLOOKUP(Table91213[[#This Row],[Date]],'DB Details'!$A:$Q,10)=0,"",VLOOKUP(Table91213[[#This Row],[Date]],'DB Details'!$A:$Q,10))</f>
        <v/>
      </c>
      <c r="K262" s="52">
        <f>IF(VLOOKUP(Table91213[[#This Row],[Date]],'DB Details'!$A:$Q,11)=0,"",VLOOKUP(Table91213[[#This Row],[Date]],'DB Details'!$A:$Q,11))</f>
        <v/>
      </c>
      <c r="L262" s="50">
        <f>IF(VLOOKUP(Table91213[[#This Row],[Date]],'DB Details'!$A:$Q,12)=0,"",VLOOKUP(Table91213[[#This Row],[Date]],'DB Details'!$A:$Q,12))</f>
        <v/>
      </c>
    </row>
    <row r="263">
      <c r="A263" s="53" t="n">
        <v>43435</v>
      </c>
      <c r="B263" s="50">
        <f>IF(VLOOKUP(Table91213[[#This Row],[Date]],'DB Details'!$A:$Q,2)=0,"",VLOOKUP(Table91213[[#This Row],[Date]],'DB Details'!$A:$Q,2))</f>
        <v/>
      </c>
      <c r="C263" s="51">
        <f>IF(VLOOKUP(Table91213[[#This Row],[Date]],'DB Details'!$A:$Q,3)=0,"",VLOOKUP(Table91213[[#This Row],[Date]],'DB Details'!$A:$Q,3))</f>
        <v/>
      </c>
      <c r="D263" s="51">
        <f>IF(VLOOKUP(Table91213[[#This Row],[Date]],'DB Details'!$A:$Q,4)=0,"",VLOOKUP(Table91213[[#This Row],[Date]],'DB Details'!$A:$Q,4))</f>
        <v/>
      </c>
      <c r="E263" s="52">
        <f>IF(VLOOKUP(Table91213[[#This Row],[Date]],'DB Details'!$A:$Q,5)=0,"",VLOOKUP(Table91213[[#This Row],[Date]],'DB Details'!$A:$Q,5))</f>
        <v/>
      </c>
      <c r="F263" s="51">
        <f>IF(VLOOKUP(Table91213[[#This Row],[Date]],'DB Details'!$A:$Q,6)=0,"",VLOOKUP(Table91213[[#This Row],[Date]],'DB Details'!$A:$Q,6))</f>
        <v/>
      </c>
      <c r="G263" s="52">
        <f>IF(VLOOKUP(Table91213[[#This Row],[Date]],'DB Details'!$A:$Q,7)=0,"",VLOOKUP(Table91213[[#This Row],[Date]],'DB Details'!$A:$Q,7))</f>
        <v/>
      </c>
      <c r="H263" s="52">
        <f>IF(VLOOKUP(Table91213[[#This Row],[Date]],'DB Details'!$A:$Q,8)=0,"",VLOOKUP(Table91213[[#This Row],[Date]],'DB Details'!$A:$Q,8))</f>
        <v/>
      </c>
      <c r="I263" s="52">
        <f>IF(VLOOKUP(Table91213[[#This Row],[Date]],'DB Details'!$A:$Q,9)=0,"",VLOOKUP(Table91213[[#This Row],[Date]],'DB Details'!$A:$Q,9))</f>
        <v/>
      </c>
      <c r="J263" s="52">
        <f>IF(VLOOKUP(Table91213[[#This Row],[Date]],'DB Details'!$A:$Q,10)=0,"",VLOOKUP(Table91213[[#This Row],[Date]],'DB Details'!$A:$Q,10))</f>
        <v/>
      </c>
      <c r="K263" s="52">
        <f>IF(VLOOKUP(Table91213[[#This Row],[Date]],'DB Details'!$A:$Q,11)=0,"",VLOOKUP(Table91213[[#This Row],[Date]],'DB Details'!$A:$Q,11))</f>
        <v/>
      </c>
      <c r="L263" s="50">
        <f>IF(VLOOKUP(Table91213[[#This Row],[Date]],'DB Details'!$A:$Q,12)=0,"",VLOOKUP(Table91213[[#This Row],[Date]],'DB Details'!$A:$Q,12))</f>
        <v/>
      </c>
    </row>
    <row r="264">
      <c r="A264" s="53" t="n">
        <v>43466</v>
      </c>
      <c r="B264" s="50">
        <f>IF(VLOOKUP(Table91213[[#This Row],[Date]],'DB Details'!$A:$Q,2)=0,"",VLOOKUP(Table91213[[#This Row],[Date]],'DB Details'!$A:$Q,2))</f>
        <v/>
      </c>
      <c r="C264" s="51">
        <f>IF(VLOOKUP(Table91213[[#This Row],[Date]],'DB Details'!$A:$Q,3)=0,"",VLOOKUP(Table91213[[#This Row],[Date]],'DB Details'!$A:$Q,3))</f>
        <v/>
      </c>
      <c r="D264" s="51">
        <f>IF(VLOOKUP(Table91213[[#This Row],[Date]],'DB Details'!$A:$Q,4)=0,"",VLOOKUP(Table91213[[#This Row],[Date]],'DB Details'!$A:$Q,4))</f>
        <v/>
      </c>
      <c r="E264" s="52">
        <f>IF(VLOOKUP(Table91213[[#This Row],[Date]],'DB Details'!$A:$Q,5)=0,"",VLOOKUP(Table91213[[#This Row],[Date]],'DB Details'!$A:$Q,5))</f>
        <v/>
      </c>
      <c r="F264" s="51">
        <f>IF(VLOOKUP(Table91213[[#This Row],[Date]],'DB Details'!$A:$Q,6)=0,"",VLOOKUP(Table91213[[#This Row],[Date]],'DB Details'!$A:$Q,6))</f>
        <v/>
      </c>
      <c r="G264" s="52">
        <f>IF(VLOOKUP(Table91213[[#This Row],[Date]],'DB Details'!$A:$Q,7)=0,"",VLOOKUP(Table91213[[#This Row],[Date]],'DB Details'!$A:$Q,7))</f>
        <v/>
      </c>
      <c r="H264" s="52">
        <f>IF(VLOOKUP(Table91213[[#This Row],[Date]],'DB Details'!$A:$Q,8)=0,"",VLOOKUP(Table91213[[#This Row],[Date]],'DB Details'!$A:$Q,8))</f>
        <v/>
      </c>
      <c r="I264" s="52">
        <f>IF(VLOOKUP(Table91213[[#This Row],[Date]],'DB Details'!$A:$Q,9)=0,"",VLOOKUP(Table91213[[#This Row],[Date]],'DB Details'!$A:$Q,9))</f>
        <v/>
      </c>
      <c r="J264" s="52">
        <f>IF(VLOOKUP(Table91213[[#This Row],[Date]],'DB Details'!$A:$Q,10)=0,"",VLOOKUP(Table91213[[#This Row],[Date]],'DB Details'!$A:$Q,10))</f>
        <v/>
      </c>
      <c r="K264" s="52">
        <f>IF(VLOOKUP(Table91213[[#This Row],[Date]],'DB Details'!$A:$Q,11)=0,"",VLOOKUP(Table91213[[#This Row],[Date]],'DB Details'!$A:$Q,11))</f>
        <v/>
      </c>
      <c r="L264" s="50">
        <f>IF(VLOOKUP(Table91213[[#This Row],[Date]],'DB Details'!$A:$Q,12)=0,"",VLOOKUP(Table91213[[#This Row],[Date]],'DB Details'!$A:$Q,12))</f>
        <v/>
      </c>
    </row>
    <row r="265">
      <c r="A265" s="53" t="n">
        <v>43497</v>
      </c>
      <c r="B265" s="50">
        <f>IF(VLOOKUP(Table91213[[#This Row],[Date]],'DB Details'!$A:$Q,2)=0,"",VLOOKUP(Table91213[[#This Row],[Date]],'DB Details'!$A:$Q,2))</f>
        <v/>
      </c>
      <c r="C265" s="51">
        <f>IF(VLOOKUP(Table91213[[#This Row],[Date]],'DB Details'!$A:$Q,3)=0,"",VLOOKUP(Table91213[[#This Row],[Date]],'DB Details'!$A:$Q,3))</f>
        <v/>
      </c>
      <c r="D265" s="51">
        <f>IF(VLOOKUP(Table91213[[#This Row],[Date]],'DB Details'!$A:$Q,4)=0,"",VLOOKUP(Table91213[[#This Row],[Date]],'DB Details'!$A:$Q,4))</f>
        <v/>
      </c>
      <c r="E265" s="52">
        <f>IF(VLOOKUP(Table91213[[#This Row],[Date]],'DB Details'!$A:$Q,5)=0,"",VLOOKUP(Table91213[[#This Row],[Date]],'DB Details'!$A:$Q,5))</f>
        <v/>
      </c>
      <c r="F265" s="51">
        <f>IF(VLOOKUP(Table91213[[#This Row],[Date]],'DB Details'!$A:$Q,6)=0,"",VLOOKUP(Table91213[[#This Row],[Date]],'DB Details'!$A:$Q,6))</f>
        <v/>
      </c>
      <c r="G265" s="52">
        <f>IF(VLOOKUP(Table91213[[#This Row],[Date]],'DB Details'!$A:$Q,7)=0,"",VLOOKUP(Table91213[[#This Row],[Date]],'DB Details'!$A:$Q,7))</f>
        <v/>
      </c>
      <c r="H265" s="52">
        <f>IF(VLOOKUP(Table91213[[#This Row],[Date]],'DB Details'!$A:$Q,8)=0,"",VLOOKUP(Table91213[[#This Row],[Date]],'DB Details'!$A:$Q,8))</f>
        <v/>
      </c>
      <c r="I265" s="52">
        <f>IF(VLOOKUP(Table91213[[#This Row],[Date]],'DB Details'!$A:$Q,9)=0,"",VLOOKUP(Table91213[[#This Row],[Date]],'DB Details'!$A:$Q,9))</f>
        <v/>
      </c>
      <c r="J265" s="52">
        <f>IF(VLOOKUP(Table91213[[#This Row],[Date]],'DB Details'!$A:$Q,10)=0,"",VLOOKUP(Table91213[[#This Row],[Date]],'DB Details'!$A:$Q,10))</f>
        <v/>
      </c>
      <c r="K265" s="52">
        <f>IF(VLOOKUP(Table91213[[#This Row],[Date]],'DB Details'!$A:$Q,11)=0,"",VLOOKUP(Table91213[[#This Row],[Date]],'DB Details'!$A:$Q,11))</f>
        <v/>
      </c>
      <c r="L265" s="50">
        <f>IF(VLOOKUP(Table91213[[#This Row],[Date]],'DB Details'!$A:$Q,12)=0,"",VLOOKUP(Table91213[[#This Row],[Date]],'DB Details'!$A:$Q,12))</f>
        <v/>
      </c>
    </row>
    <row r="266">
      <c r="A266" s="53" t="n">
        <v>43525</v>
      </c>
      <c r="B266" s="50">
        <f>IF(VLOOKUP(Table91213[[#This Row],[Date]],'DB Details'!$A:$Q,2)=0,"",VLOOKUP(Table91213[[#This Row],[Date]],'DB Details'!$A:$Q,2))</f>
        <v/>
      </c>
      <c r="C266" s="51">
        <f>IF(VLOOKUP(Table91213[[#This Row],[Date]],'DB Details'!$A:$Q,3)=0,"",VLOOKUP(Table91213[[#This Row],[Date]],'DB Details'!$A:$Q,3))</f>
        <v/>
      </c>
      <c r="D266" s="51">
        <f>IF(VLOOKUP(Table91213[[#This Row],[Date]],'DB Details'!$A:$Q,4)=0,"",VLOOKUP(Table91213[[#This Row],[Date]],'DB Details'!$A:$Q,4))</f>
        <v/>
      </c>
      <c r="E266" s="52">
        <f>IF(VLOOKUP(Table91213[[#This Row],[Date]],'DB Details'!$A:$Q,5)=0,"",VLOOKUP(Table91213[[#This Row],[Date]],'DB Details'!$A:$Q,5))</f>
        <v/>
      </c>
      <c r="F266" s="51">
        <f>IF(VLOOKUP(Table91213[[#This Row],[Date]],'DB Details'!$A:$Q,6)=0,"",VLOOKUP(Table91213[[#This Row],[Date]],'DB Details'!$A:$Q,6))</f>
        <v/>
      </c>
      <c r="G266" s="52">
        <f>IF(VLOOKUP(Table91213[[#This Row],[Date]],'DB Details'!$A:$Q,7)=0,"",VLOOKUP(Table91213[[#This Row],[Date]],'DB Details'!$A:$Q,7))</f>
        <v/>
      </c>
      <c r="H266" s="52">
        <f>IF(VLOOKUP(Table91213[[#This Row],[Date]],'DB Details'!$A:$Q,8)=0,"",VLOOKUP(Table91213[[#This Row],[Date]],'DB Details'!$A:$Q,8))</f>
        <v/>
      </c>
      <c r="I266" s="52">
        <f>IF(VLOOKUP(Table91213[[#This Row],[Date]],'DB Details'!$A:$Q,9)=0,"",VLOOKUP(Table91213[[#This Row],[Date]],'DB Details'!$A:$Q,9))</f>
        <v/>
      </c>
      <c r="J266" s="52">
        <f>IF(VLOOKUP(Table91213[[#This Row],[Date]],'DB Details'!$A:$Q,10)=0,"",VLOOKUP(Table91213[[#This Row],[Date]],'DB Details'!$A:$Q,10))</f>
        <v/>
      </c>
      <c r="K266" s="52">
        <f>IF(VLOOKUP(Table91213[[#This Row],[Date]],'DB Details'!$A:$Q,11)=0,"",VLOOKUP(Table91213[[#This Row],[Date]],'DB Details'!$A:$Q,11))</f>
        <v/>
      </c>
      <c r="L266" s="50">
        <f>IF(VLOOKUP(Table91213[[#This Row],[Date]],'DB Details'!$A:$Q,12)=0,"",VLOOKUP(Table91213[[#This Row],[Date]],'DB Details'!$A:$Q,12))</f>
        <v/>
      </c>
    </row>
    <row r="267">
      <c r="A267" s="53" t="n">
        <v>43556</v>
      </c>
      <c r="B267" s="50">
        <f>IF(VLOOKUP(Table91213[[#This Row],[Date]],'DB Details'!$A:$Q,2)=0,"",VLOOKUP(Table91213[[#This Row],[Date]],'DB Details'!$A:$Q,2))</f>
        <v/>
      </c>
      <c r="C267" s="51">
        <f>IF(VLOOKUP(Table91213[[#This Row],[Date]],'DB Details'!$A:$Q,3)=0,"",VLOOKUP(Table91213[[#This Row],[Date]],'DB Details'!$A:$Q,3))</f>
        <v/>
      </c>
      <c r="D267" s="51">
        <f>IF(VLOOKUP(Table91213[[#This Row],[Date]],'DB Details'!$A:$Q,4)=0,"",VLOOKUP(Table91213[[#This Row],[Date]],'DB Details'!$A:$Q,4))</f>
        <v/>
      </c>
      <c r="E267" s="52">
        <f>IF(VLOOKUP(Table91213[[#This Row],[Date]],'DB Details'!$A:$Q,5)=0,"",VLOOKUP(Table91213[[#This Row],[Date]],'DB Details'!$A:$Q,5))</f>
        <v/>
      </c>
      <c r="F267" s="51">
        <f>IF(VLOOKUP(Table91213[[#This Row],[Date]],'DB Details'!$A:$Q,6)=0,"",VLOOKUP(Table91213[[#This Row],[Date]],'DB Details'!$A:$Q,6))</f>
        <v/>
      </c>
      <c r="G267" s="52">
        <f>IF(VLOOKUP(Table91213[[#This Row],[Date]],'DB Details'!$A:$Q,7)=0,"",VLOOKUP(Table91213[[#This Row],[Date]],'DB Details'!$A:$Q,7))</f>
        <v/>
      </c>
      <c r="H267" s="52">
        <f>IF(VLOOKUP(Table91213[[#This Row],[Date]],'DB Details'!$A:$Q,8)=0,"",VLOOKUP(Table91213[[#This Row],[Date]],'DB Details'!$A:$Q,8))</f>
        <v/>
      </c>
      <c r="I267" s="52">
        <f>IF(VLOOKUP(Table91213[[#This Row],[Date]],'DB Details'!$A:$Q,9)=0,"",VLOOKUP(Table91213[[#This Row],[Date]],'DB Details'!$A:$Q,9))</f>
        <v/>
      </c>
      <c r="J267" s="52">
        <f>IF(VLOOKUP(Table91213[[#This Row],[Date]],'DB Details'!$A:$Q,10)=0,"",VLOOKUP(Table91213[[#This Row],[Date]],'DB Details'!$A:$Q,10))</f>
        <v/>
      </c>
      <c r="K267" s="52">
        <f>IF(VLOOKUP(Table91213[[#This Row],[Date]],'DB Details'!$A:$Q,11)=0,"",VLOOKUP(Table91213[[#This Row],[Date]],'DB Details'!$A:$Q,11))</f>
        <v/>
      </c>
      <c r="L267" s="50">
        <f>IF(VLOOKUP(Table91213[[#This Row],[Date]],'DB Details'!$A:$Q,12)=0,"",VLOOKUP(Table91213[[#This Row],[Date]],'DB Details'!$A:$Q,12))</f>
        <v/>
      </c>
    </row>
    <row r="268">
      <c r="A268" s="53" t="n">
        <v>43586</v>
      </c>
      <c r="B268" s="50">
        <f>IF(VLOOKUP(Table91213[[#This Row],[Date]],'DB Details'!$A:$Q,2)=0,"",VLOOKUP(Table91213[[#This Row],[Date]],'DB Details'!$A:$Q,2))</f>
        <v/>
      </c>
      <c r="C268" s="51">
        <f>IF(VLOOKUP(Table91213[[#This Row],[Date]],'DB Details'!$A:$Q,3)=0,"",VLOOKUP(Table91213[[#This Row],[Date]],'DB Details'!$A:$Q,3))</f>
        <v/>
      </c>
      <c r="D268" s="51">
        <f>IF(VLOOKUP(Table91213[[#This Row],[Date]],'DB Details'!$A:$Q,4)=0,"",VLOOKUP(Table91213[[#This Row],[Date]],'DB Details'!$A:$Q,4))</f>
        <v/>
      </c>
      <c r="E268" s="52">
        <f>IF(VLOOKUP(Table91213[[#This Row],[Date]],'DB Details'!$A:$Q,5)=0,"",VLOOKUP(Table91213[[#This Row],[Date]],'DB Details'!$A:$Q,5))</f>
        <v/>
      </c>
      <c r="F268" s="51">
        <f>IF(VLOOKUP(Table91213[[#This Row],[Date]],'DB Details'!$A:$Q,6)=0,"",VLOOKUP(Table91213[[#This Row],[Date]],'DB Details'!$A:$Q,6))</f>
        <v/>
      </c>
      <c r="G268" s="52">
        <f>IF(VLOOKUP(Table91213[[#This Row],[Date]],'DB Details'!$A:$Q,7)=0,"",VLOOKUP(Table91213[[#This Row],[Date]],'DB Details'!$A:$Q,7))</f>
        <v/>
      </c>
      <c r="H268" s="52">
        <f>IF(VLOOKUP(Table91213[[#This Row],[Date]],'DB Details'!$A:$Q,8)=0,"",VLOOKUP(Table91213[[#This Row],[Date]],'DB Details'!$A:$Q,8))</f>
        <v/>
      </c>
      <c r="I268" s="52">
        <f>IF(VLOOKUP(Table91213[[#This Row],[Date]],'DB Details'!$A:$Q,9)=0,"",VLOOKUP(Table91213[[#This Row],[Date]],'DB Details'!$A:$Q,9))</f>
        <v/>
      </c>
      <c r="J268" s="52">
        <f>IF(VLOOKUP(Table91213[[#This Row],[Date]],'DB Details'!$A:$Q,10)=0,"",VLOOKUP(Table91213[[#This Row],[Date]],'DB Details'!$A:$Q,10))</f>
        <v/>
      </c>
      <c r="K268" s="52">
        <f>IF(VLOOKUP(Table91213[[#This Row],[Date]],'DB Details'!$A:$Q,11)=0,"",VLOOKUP(Table91213[[#This Row],[Date]],'DB Details'!$A:$Q,11))</f>
        <v/>
      </c>
      <c r="L268" s="50">
        <f>IF(VLOOKUP(Table91213[[#This Row],[Date]],'DB Details'!$A:$Q,12)=0,"",VLOOKUP(Table91213[[#This Row],[Date]],'DB Details'!$A:$Q,12))</f>
        <v/>
      </c>
    </row>
    <row r="269">
      <c r="A269" s="53" t="n">
        <v>43617</v>
      </c>
      <c r="B269" s="50">
        <f>IF(VLOOKUP(Table91213[[#This Row],[Date]],'DB Details'!$A:$Q,2)=0,"",VLOOKUP(Table91213[[#This Row],[Date]],'DB Details'!$A:$Q,2))</f>
        <v/>
      </c>
      <c r="C269" s="51">
        <f>IF(VLOOKUP(Table91213[[#This Row],[Date]],'DB Details'!$A:$Q,3)=0,"",VLOOKUP(Table91213[[#This Row],[Date]],'DB Details'!$A:$Q,3))</f>
        <v/>
      </c>
      <c r="D269" s="51">
        <f>IF(VLOOKUP(Table91213[[#This Row],[Date]],'DB Details'!$A:$Q,4)=0,"",VLOOKUP(Table91213[[#This Row],[Date]],'DB Details'!$A:$Q,4))</f>
        <v/>
      </c>
      <c r="E269" s="52">
        <f>IF(VLOOKUP(Table91213[[#This Row],[Date]],'DB Details'!$A:$Q,5)=0,"",VLOOKUP(Table91213[[#This Row],[Date]],'DB Details'!$A:$Q,5))</f>
        <v/>
      </c>
      <c r="F269" s="51">
        <f>IF(VLOOKUP(Table91213[[#This Row],[Date]],'DB Details'!$A:$Q,6)=0,"",VLOOKUP(Table91213[[#This Row],[Date]],'DB Details'!$A:$Q,6))</f>
        <v/>
      </c>
      <c r="G269" s="52">
        <f>IF(VLOOKUP(Table91213[[#This Row],[Date]],'DB Details'!$A:$Q,7)=0,"",VLOOKUP(Table91213[[#This Row],[Date]],'DB Details'!$A:$Q,7))</f>
        <v/>
      </c>
      <c r="H269" s="52">
        <f>IF(VLOOKUP(Table91213[[#This Row],[Date]],'DB Details'!$A:$Q,8)=0,"",VLOOKUP(Table91213[[#This Row],[Date]],'DB Details'!$A:$Q,8))</f>
        <v/>
      </c>
      <c r="I269" s="52">
        <f>IF(VLOOKUP(Table91213[[#This Row],[Date]],'DB Details'!$A:$Q,9)=0,"",VLOOKUP(Table91213[[#This Row],[Date]],'DB Details'!$A:$Q,9))</f>
        <v/>
      </c>
      <c r="J269" s="52">
        <f>IF(VLOOKUP(Table91213[[#This Row],[Date]],'DB Details'!$A:$Q,10)=0,"",VLOOKUP(Table91213[[#This Row],[Date]],'DB Details'!$A:$Q,10))</f>
        <v/>
      </c>
      <c r="K269" s="52">
        <f>IF(VLOOKUP(Table91213[[#This Row],[Date]],'DB Details'!$A:$Q,11)=0,"",VLOOKUP(Table91213[[#This Row],[Date]],'DB Details'!$A:$Q,11))</f>
        <v/>
      </c>
      <c r="L269" s="50">
        <f>IF(VLOOKUP(Table91213[[#This Row],[Date]],'DB Details'!$A:$Q,12)=0,"",VLOOKUP(Table91213[[#This Row],[Date]],'DB Details'!$A:$Q,12))</f>
        <v/>
      </c>
    </row>
    <row r="270">
      <c r="A270" s="53" t="n">
        <v>43647</v>
      </c>
      <c r="B270" s="50">
        <f>IF(VLOOKUP(Table91213[[#This Row],[Date]],'DB Details'!$A:$Q,2)=0,"",VLOOKUP(Table91213[[#This Row],[Date]],'DB Details'!$A:$Q,2))</f>
        <v/>
      </c>
      <c r="C270" s="51">
        <f>IF(VLOOKUP(Table91213[[#This Row],[Date]],'DB Details'!$A:$Q,3)=0,"",VLOOKUP(Table91213[[#This Row],[Date]],'DB Details'!$A:$Q,3))</f>
        <v/>
      </c>
      <c r="D270" s="51">
        <f>IF(VLOOKUP(Table91213[[#This Row],[Date]],'DB Details'!$A:$Q,4)=0,"",VLOOKUP(Table91213[[#This Row],[Date]],'DB Details'!$A:$Q,4))</f>
        <v/>
      </c>
      <c r="E270" s="52">
        <f>IF(VLOOKUP(Table91213[[#This Row],[Date]],'DB Details'!$A:$Q,5)=0,"",VLOOKUP(Table91213[[#This Row],[Date]],'DB Details'!$A:$Q,5))</f>
        <v/>
      </c>
      <c r="F270" s="51">
        <f>IF(VLOOKUP(Table91213[[#This Row],[Date]],'DB Details'!$A:$Q,6)=0,"",VLOOKUP(Table91213[[#This Row],[Date]],'DB Details'!$A:$Q,6))</f>
        <v/>
      </c>
      <c r="G270" s="52">
        <f>IF(VLOOKUP(Table91213[[#This Row],[Date]],'DB Details'!$A:$Q,7)=0,"",VLOOKUP(Table91213[[#This Row],[Date]],'DB Details'!$A:$Q,7))</f>
        <v/>
      </c>
      <c r="H270" s="52">
        <f>IF(VLOOKUP(Table91213[[#This Row],[Date]],'DB Details'!$A:$Q,8)=0,"",VLOOKUP(Table91213[[#This Row],[Date]],'DB Details'!$A:$Q,8))</f>
        <v/>
      </c>
      <c r="I270" s="52">
        <f>IF(VLOOKUP(Table91213[[#This Row],[Date]],'DB Details'!$A:$Q,9)=0,"",VLOOKUP(Table91213[[#This Row],[Date]],'DB Details'!$A:$Q,9))</f>
        <v/>
      </c>
      <c r="J270" s="52">
        <f>IF(VLOOKUP(Table91213[[#This Row],[Date]],'DB Details'!$A:$Q,10)=0,"",VLOOKUP(Table91213[[#This Row],[Date]],'DB Details'!$A:$Q,10))</f>
        <v/>
      </c>
      <c r="K270" s="52">
        <f>IF(VLOOKUP(Table91213[[#This Row],[Date]],'DB Details'!$A:$Q,11)=0,"",VLOOKUP(Table91213[[#This Row],[Date]],'DB Details'!$A:$Q,11))</f>
        <v/>
      </c>
      <c r="L270" s="50">
        <f>IF(VLOOKUP(Table91213[[#This Row],[Date]],'DB Details'!$A:$Q,12)=0,"",VLOOKUP(Table91213[[#This Row],[Date]],'DB Details'!$A:$Q,12))</f>
        <v/>
      </c>
    </row>
    <row r="271">
      <c r="A271" s="53" t="n">
        <v>43678</v>
      </c>
      <c r="B271" s="50">
        <f>IF(VLOOKUP(Table91213[[#This Row],[Date]],'DB Details'!$A:$Q,2)=0,"",VLOOKUP(Table91213[[#This Row],[Date]],'DB Details'!$A:$Q,2))</f>
        <v/>
      </c>
      <c r="C271" s="51">
        <f>IF(VLOOKUP(Table91213[[#This Row],[Date]],'DB Details'!$A:$Q,3)=0,"",VLOOKUP(Table91213[[#This Row],[Date]],'DB Details'!$A:$Q,3))</f>
        <v/>
      </c>
      <c r="D271" s="51">
        <f>IF(VLOOKUP(Table91213[[#This Row],[Date]],'DB Details'!$A:$Q,4)=0,"",VLOOKUP(Table91213[[#This Row],[Date]],'DB Details'!$A:$Q,4))</f>
        <v/>
      </c>
      <c r="E271" s="52">
        <f>IF(VLOOKUP(Table91213[[#This Row],[Date]],'DB Details'!$A:$Q,5)=0,"",VLOOKUP(Table91213[[#This Row],[Date]],'DB Details'!$A:$Q,5))</f>
        <v/>
      </c>
      <c r="F271" s="51">
        <f>IF(VLOOKUP(Table91213[[#This Row],[Date]],'DB Details'!$A:$Q,6)=0,"",VLOOKUP(Table91213[[#This Row],[Date]],'DB Details'!$A:$Q,6))</f>
        <v/>
      </c>
      <c r="G271" s="52">
        <f>IF(VLOOKUP(Table91213[[#This Row],[Date]],'DB Details'!$A:$Q,7)=0,"",VLOOKUP(Table91213[[#This Row],[Date]],'DB Details'!$A:$Q,7))</f>
        <v/>
      </c>
      <c r="H271" s="52">
        <f>IF(VLOOKUP(Table91213[[#This Row],[Date]],'DB Details'!$A:$Q,8)=0,"",VLOOKUP(Table91213[[#This Row],[Date]],'DB Details'!$A:$Q,8))</f>
        <v/>
      </c>
      <c r="I271" s="52">
        <f>IF(VLOOKUP(Table91213[[#This Row],[Date]],'DB Details'!$A:$Q,9)=0,"",VLOOKUP(Table91213[[#This Row],[Date]],'DB Details'!$A:$Q,9))</f>
        <v/>
      </c>
      <c r="J271" s="52">
        <f>IF(VLOOKUP(Table91213[[#This Row],[Date]],'DB Details'!$A:$Q,10)=0,"",VLOOKUP(Table91213[[#This Row],[Date]],'DB Details'!$A:$Q,10))</f>
        <v/>
      </c>
      <c r="K271" s="52">
        <f>IF(VLOOKUP(Table91213[[#This Row],[Date]],'DB Details'!$A:$Q,11)=0,"",VLOOKUP(Table91213[[#This Row],[Date]],'DB Details'!$A:$Q,11))</f>
        <v/>
      </c>
      <c r="L271" s="50">
        <f>IF(VLOOKUP(Table91213[[#This Row],[Date]],'DB Details'!$A:$Q,12)=0,"",VLOOKUP(Table91213[[#This Row],[Date]],'DB Details'!$A:$Q,12))</f>
        <v/>
      </c>
    </row>
    <row r="272">
      <c r="A272" s="53" t="n">
        <v>43709</v>
      </c>
      <c r="B272" s="50">
        <f>IF(VLOOKUP(Table91213[[#This Row],[Date]],'DB Details'!$A:$Q,2)=0,"",VLOOKUP(Table91213[[#This Row],[Date]],'DB Details'!$A:$Q,2))</f>
        <v/>
      </c>
      <c r="C272" s="51">
        <f>IF(VLOOKUP(Table91213[[#This Row],[Date]],'DB Details'!$A:$Q,3)=0,"",VLOOKUP(Table91213[[#This Row],[Date]],'DB Details'!$A:$Q,3))</f>
        <v/>
      </c>
      <c r="D272" s="51">
        <f>IF(VLOOKUP(Table91213[[#This Row],[Date]],'DB Details'!$A:$Q,4)=0,"",VLOOKUP(Table91213[[#This Row],[Date]],'DB Details'!$A:$Q,4))</f>
        <v/>
      </c>
      <c r="E272" s="52">
        <f>IF(VLOOKUP(Table91213[[#This Row],[Date]],'DB Details'!$A:$Q,5)=0,"",VLOOKUP(Table91213[[#This Row],[Date]],'DB Details'!$A:$Q,5))</f>
        <v/>
      </c>
      <c r="F272" s="51">
        <f>IF(VLOOKUP(Table91213[[#This Row],[Date]],'DB Details'!$A:$Q,6)=0,"",VLOOKUP(Table91213[[#This Row],[Date]],'DB Details'!$A:$Q,6))</f>
        <v/>
      </c>
      <c r="G272" s="52">
        <f>IF(VLOOKUP(Table91213[[#This Row],[Date]],'DB Details'!$A:$Q,7)=0,"",VLOOKUP(Table91213[[#This Row],[Date]],'DB Details'!$A:$Q,7))</f>
        <v/>
      </c>
      <c r="H272" s="52">
        <f>IF(VLOOKUP(Table91213[[#This Row],[Date]],'DB Details'!$A:$Q,8)=0,"",VLOOKUP(Table91213[[#This Row],[Date]],'DB Details'!$A:$Q,8))</f>
        <v/>
      </c>
      <c r="I272" s="52">
        <f>IF(VLOOKUP(Table91213[[#This Row],[Date]],'DB Details'!$A:$Q,9)=0,"",VLOOKUP(Table91213[[#This Row],[Date]],'DB Details'!$A:$Q,9))</f>
        <v/>
      </c>
      <c r="J272" s="52">
        <f>IF(VLOOKUP(Table91213[[#This Row],[Date]],'DB Details'!$A:$Q,10)=0,"",VLOOKUP(Table91213[[#This Row],[Date]],'DB Details'!$A:$Q,10))</f>
        <v/>
      </c>
      <c r="K272" s="52">
        <f>IF(VLOOKUP(Table91213[[#This Row],[Date]],'DB Details'!$A:$Q,11)=0,"",VLOOKUP(Table91213[[#This Row],[Date]],'DB Details'!$A:$Q,11))</f>
        <v/>
      </c>
      <c r="L272" s="50">
        <f>IF(VLOOKUP(Table91213[[#This Row],[Date]],'DB Details'!$A:$Q,12)=0,"",VLOOKUP(Table91213[[#This Row],[Date]],'DB Details'!$A:$Q,12))</f>
        <v/>
      </c>
    </row>
    <row r="273">
      <c r="A273" s="53" t="n">
        <v>43739</v>
      </c>
      <c r="B273" s="50">
        <f>IF(VLOOKUP(Table91213[[#This Row],[Date]],'DB Details'!$A:$Q,2)=0,"",VLOOKUP(Table91213[[#This Row],[Date]],'DB Details'!$A:$Q,2))</f>
        <v/>
      </c>
      <c r="C273" s="51">
        <f>IF(VLOOKUP(Table91213[[#This Row],[Date]],'DB Details'!$A:$Q,3)=0,"",VLOOKUP(Table91213[[#This Row],[Date]],'DB Details'!$A:$Q,3))</f>
        <v/>
      </c>
      <c r="D273" s="51">
        <f>IF(VLOOKUP(Table91213[[#This Row],[Date]],'DB Details'!$A:$Q,4)=0,"",VLOOKUP(Table91213[[#This Row],[Date]],'DB Details'!$A:$Q,4))</f>
        <v/>
      </c>
      <c r="E273" s="52">
        <f>IF(VLOOKUP(Table91213[[#This Row],[Date]],'DB Details'!$A:$Q,5)=0,"",VLOOKUP(Table91213[[#This Row],[Date]],'DB Details'!$A:$Q,5))</f>
        <v/>
      </c>
      <c r="F273" s="51">
        <f>IF(VLOOKUP(Table91213[[#This Row],[Date]],'DB Details'!$A:$Q,6)=0,"",VLOOKUP(Table91213[[#This Row],[Date]],'DB Details'!$A:$Q,6))</f>
        <v/>
      </c>
      <c r="G273" s="52">
        <f>IF(VLOOKUP(Table91213[[#This Row],[Date]],'DB Details'!$A:$Q,7)=0,"",VLOOKUP(Table91213[[#This Row],[Date]],'DB Details'!$A:$Q,7))</f>
        <v/>
      </c>
      <c r="H273" s="52">
        <f>IF(VLOOKUP(Table91213[[#This Row],[Date]],'DB Details'!$A:$Q,8)=0,"",VLOOKUP(Table91213[[#This Row],[Date]],'DB Details'!$A:$Q,8))</f>
        <v/>
      </c>
      <c r="I273" s="52">
        <f>IF(VLOOKUP(Table91213[[#This Row],[Date]],'DB Details'!$A:$Q,9)=0,"",VLOOKUP(Table91213[[#This Row],[Date]],'DB Details'!$A:$Q,9))</f>
        <v/>
      </c>
      <c r="J273" s="52">
        <f>IF(VLOOKUP(Table91213[[#This Row],[Date]],'DB Details'!$A:$Q,10)=0,"",VLOOKUP(Table91213[[#This Row],[Date]],'DB Details'!$A:$Q,10))</f>
        <v/>
      </c>
      <c r="K273" s="52">
        <f>IF(VLOOKUP(Table91213[[#This Row],[Date]],'DB Details'!$A:$Q,11)=0,"",VLOOKUP(Table91213[[#This Row],[Date]],'DB Details'!$A:$Q,11))</f>
        <v/>
      </c>
      <c r="L273" s="50">
        <f>IF(VLOOKUP(Table91213[[#This Row],[Date]],'DB Details'!$A:$Q,12)=0,"",VLOOKUP(Table91213[[#This Row],[Date]],'DB Details'!$A:$Q,12))</f>
        <v/>
      </c>
    </row>
    <row r="274">
      <c r="A274" s="53" t="n">
        <v>43770</v>
      </c>
      <c r="B274" s="50">
        <f>IF(VLOOKUP(Table91213[[#This Row],[Date]],'DB Details'!$A:$Q,2)=0,"",VLOOKUP(Table91213[[#This Row],[Date]],'DB Details'!$A:$Q,2))</f>
        <v/>
      </c>
      <c r="C274" s="51">
        <f>IF(VLOOKUP(Table91213[[#This Row],[Date]],'DB Details'!$A:$Q,3)=0,"",VLOOKUP(Table91213[[#This Row],[Date]],'DB Details'!$A:$Q,3))</f>
        <v/>
      </c>
      <c r="D274" s="51">
        <f>IF(VLOOKUP(Table91213[[#This Row],[Date]],'DB Details'!$A:$Q,4)=0,"",VLOOKUP(Table91213[[#This Row],[Date]],'DB Details'!$A:$Q,4))</f>
        <v/>
      </c>
      <c r="E274" s="52">
        <f>IF(VLOOKUP(Table91213[[#This Row],[Date]],'DB Details'!$A:$Q,5)=0,"",VLOOKUP(Table91213[[#This Row],[Date]],'DB Details'!$A:$Q,5))</f>
        <v/>
      </c>
      <c r="F274" s="51">
        <f>IF(VLOOKUP(Table91213[[#This Row],[Date]],'DB Details'!$A:$Q,6)=0,"",VLOOKUP(Table91213[[#This Row],[Date]],'DB Details'!$A:$Q,6))</f>
        <v/>
      </c>
      <c r="G274" s="52">
        <f>IF(VLOOKUP(Table91213[[#This Row],[Date]],'DB Details'!$A:$Q,7)=0,"",VLOOKUP(Table91213[[#This Row],[Date]],'DB Details'!$A:$Q,7))</f>
        <v/>
      </c>
      <c r="H274" s="52">
        <f>IF(VLOOKUP(Table91213[[#This Row],[Date]],'DB Details'!$A:$Q,8)=0,"",VLOOKUP(Table91213[[#This Row],[Date]],'DB Details'!$A:$Q,8))</f>
        <v/>
      </c>
      <c r="I274" s="52">
        <f>IF(VLOOKUP(Table91213[[#This Row],[Date]],'DB Details'!$A:$Q,9)=0,"",VLOOKUP(Table91213[[#This Row],[Date]],'DB Details'!$A:$Q,9))</f>
        <v/>
      </c>
      <c r="J274" s="52">
        <f>IF(VLOOKUP(Table91213[[#This Row],[Date]],'DB Details'!$A:$Q,10)=0,"",VLOOKUP(Table91213[[#This Row],[Date]],'DB Details'!$A:$Q,10))</f>
        <v/>
      </c>
      <c r="K274" s="52">
        <f>IF(VLOOKUP(Table91213[[#This Row],[Date]],'DB Details'!$A:$Q,11)=0,"",VLOOKUP(Table91213[[#This Row],[Date]],'DB Details'!$A:$Q,11))</f>
        <v/>
      </c>
      <c r="L274" s="50">
        <f>IF(VLOOKUP(Table91213[[#This Row],[Date]],'DB Details'!$A:$Q,12)=0,"",VLOOKUP(Table91213[[#This Row],[Date]],'DB Details'!$A:$Q,12))</f>
        <v/>
      </c>
    </row>
    <row r="275">
      <c r="A275" s="53" t="n">
        <v>43800</v>
      </c>
      <c r="B275" s="50">
        <f>IF(VLOOKUP(Table91213[[#This Row],[Date]],'DB Details'!$A:$Q,2)=0,"",VLOOKUP(Table91213[[#This Row],[Date]],'DB Details'!$A:$Q,2))</f>
        <v/>
      </c>
      <c r="C275" s="51">
        <f>IF(VLOOKUP(Table91213[[#This Row],[Date]],'DB Details'!$A:$Q,3)=0,"",VLOOKUP(Table91213[[#This Row],[Date]],'DB Details'!$A:$Q,3))</f>
        <v/>
      </c>
      <c r="D275" s="51">
        <f>IF(VLOOKUP(Table91213[[#This Row],[Date]],'DB Details'!$A:$Q,4)=0,"",VLOOKUP(Table91213[[#This Row],[Date]],'DB Details'!$A:$Q,4))</f>
        <v/>
      </c>
      <c r="E275" s="52">
        <f>IF(VLOOKUP(Table91213[[#This Row],[Date]],'DB Details'!$A:$Q,5)=0,"",VLOOKUP(Table91213[[#This Row],[Date]],'DB Details'!$A:$Q,5))</f>
        <v/>
      </c>
      <c r="F275" s="51">
        <f>IF(VLOOKUP(Table91213[[#This Row],[Date]],'DB Details'!$A:$Q,6)=0,"",VLOOKUP(Table91213[[#This Row],[Date]],'DB Details'!$A:$Q,6))</f>
        <v/>
      </c>
      <c r="G275" s="52">
        <f>IF(VLOOKUP(Table91213[[#This Row],[Date]],'DB Details'!$A:$Q,7)=0,"",VLOOKUP(Table91213[[#This Row],[Date]],'DB Details'!$A:$Q,7))</f>
        <v/>
      </c>
      <c r="H275" s="52">
        <f>IF(VLOOKUP(Table91213[[#This Row],[Date]],'DB Details'!$A:$Q,8)=0,"",VLOOKUP(Table91213[[#This Row],[Date]],'DB Details'!$A:$Q,8))</f>
        <v/>
      </c>
      <c r="I275" s="52">
        <f>IF(VLOOKUP(Table91213[[#This Row],[Date]],'DB Details'!$A:$Q,9)=0,"",VLOOKUP(Table91213[[#This Row],[Date]],'DB Details'!$A:$Q,9))</f>
        <v/>
      </c>
      <c r="J275" s="52">
        <f>IF(VLOOKUP(Table91213[[#This Row],[Date]],'DB Details'!$A:$Q,10)=0,"",VLOOKUP(Table91213[[#This Row],[Date]],'DB Details'!$A:$Q,10))</f>
        <v/>
      </c>
      <c r="K275" s="52">
        <f>IF(VLOOKUP(Table91213[[#This Row],[Date]],'DB Details'!$A:$Q,11)=0,"",VLOOKUP(Table91213[[#This Row],[Date]],'DB Details'!$A:$Q,11))</f>
        <v/>
      </c>
      <c r="L275" s="50">
        <f>IF(VLOOKUP(Table91213[[#This Row],[Date]],'DB Details'!$A:$Q,12)=0,"",VLOOKUP(Table91213[[#This Row],[Date]],'DB Details'!$A:$Q,12))</f>
        <v/>
      </c>
    </row>
    <row r="276">
      <c r="A276" s="53" t="n">
        <v>43831</v>
      </c>
      <c r="B276" s="50">
        <f>IF(VLOOKUP(Table91213[[#This Row],[Date]],'DB Details'!$A:$Q,2)=0,"",VLOOKUP(Table91213[[#This Row],[Date]],'DB Details'!$A:$Q,2))</f>
        <v/>
      </c>
      <c r="C276" s="51">
        <f>IF(VLOOKUP(Table91213[[#This Row],[Date]],'DB Details'!$A:$Q,3)=0,"",VLOOKUP(Table91213[[#This Row],[Date]],'DB Details'!$A:$Q,3))</f>
        <v/>
      </c>
      <c r="D276" s="51">
        <f>IF(VLOOKUP(Table91213[[#This Row],[Date]],'DB Details'!$A:$Q,4)=0,"",VLOOKUP(Table91213[[#This Row],[Date]],'DB Details'!$A:$Q,4))</f>
        <v/>
      </c>
      <c r="E276" s="52">
        <f>IF(VLOOKUP(Table91213[[#This Row],[Date]],'DB Details'!$A:$Q,5)=0,"",VLOOKUP(Table91213[[#This Row],[Date]],'DB Details'!$A:$Q,5))</f>
        <v/>
      </c>
      <c r="F276" s="51">
        <f>IF(VLOOKUP(Table91213[[#This Row],[Date]],'DB Details'!$A:$Q,6)=0,"",VLOOKUP(Table91213[[#This Row],[Date]],'DB Details'!$A:$Q,6))</f>
        <v/>
      </c>
      <c r="G276" s="52">
        <f>IF(VLOOKUP(Table91213[[#This Row],[Date]],'DB Details'!$A:$Q,7)=0,"",VLOOKUP(Table91213[[#This Row],[Date]],'DB Details'!$A:$Q,7))</f>
        <v/>
      </c>
      <c r="H276" s="52">
        <f>IF(VLOOKUP(Table91213[[#This Row],[Date]],'DB Details'!$A:$Q,8)=0,"",VLOOKUP(Table91213[[#This Row],[Date]],'DB Details'!$A:$Q,8))</f>
        <v/>
      </c>
      <c r="I276" s="52">
        <f>IF(VLOOKUP(Table91213[[#This Row],[Date]],'DB Details'!$A:$Q,9)=0,"",VLOOKUP(Table91213[[#This Row],[Date]],'DB Details'!$A:$Q,9))</f>
        <v/>
      </c>
      <c r="J276" s="52">
        <f>IF(VLOOKUP(Table91213[[#This Row],[Date]],'DB Details'!$A:$Q,10)=0,"",VLOOKUP(Table91213[[#This Row],[Date]],'DB Details'!$A:$Q,10))</f>
        <v/>
      </c>
      <c r="K276" s="52">
        <f>IF(VLOOKUP(Table91213[[#This Row],[Date]],'DB Details'!$A:$Q,11)=0,"",VLOOKUP(Table91213[[#This Row],[Date]],'DB Details'!$A:$Q,11))</f>
        <v/>
      </c>
      <c r="L276" s="50">
        <f>IF(VLOOKUP(Table91213[[#This Row],[Date]],'DB Details'!$A:$Q,12)=0,"",VLOOKUP(Table91213[[#This Row],[Date]],'DB Details'!$A:$Q,12))</f>
        <v/>
      </c>
    </row>
    <row r="277">
      <c r="A277" s="53" t="n">
        <v>43862</v>
      </c>
      <c r="B277" s="50">
        <f>IF(VLOOKUP(Table91213[[#This Row],[Date]],'DB Details'!$A:$Q,2)=0,"",VLOOKUP(Table91213[[#This Row],[Date]],'DB Details'!$A:$Q,2))</f>
        <v/>
      </c>
      <c r="C277" s="51">
        <f>IF(VLOOKUP(Table91213[[#This Row],[Date]],'DB Details'!$A:$Q,3)=0,"",VLOOKUP(Table91213[[#This Row],[Date]],'DB Details'!$A:$Q,3))</f>
        <v/>
      </c>
      <c r="D277" s="51">
        <f>IF(VLOOKUP(Table91213[[#This Row],[Date]],'DB Details'!$A:$Q,4)=0,"",VLOOKUP(Table91213[[#This Row],[Date]],'DB Details'!$A:$Q,4))</f>
        <v/>
      </c>
      <c r="E277" s="52">
        <f>IF(VLOOKUP(Table91213[[#This Row],[Date]],'DB Details'!$A:$Q,5)=0,"",VLOOKUP(Table91213[[#This Row],[Date]],'DB Details'!$A:$Q,5))</f>
        <v/>
      </c>
      <c r="F277" s="51">
        <f>IF(VLOOKUP(Table91213[[#This Row],[Date]],'DB Details'!$A:$Q,6)=0,"",VLOOKUP(Table91213[[#This Row],[Date]],'DB Details'!$A:$Q,6))</f>
        <v/>
      </c>
      <c r="G277" s="52">
        <f>IF(VLOOKUP(Table91213[[#This Row],[Date]],'DB Details'!$A:$Q,7)=0,"",VLOOKUP(Table91213[[#This Row],[Date]],'DB Details'!$A:$Q,7))</f>
        <v/>
      </c>
      <c r="H277" s="52">
        <f>IF(VLOOKUP(Table91213[[#This Row],[Date]],'DB Details'!$A:$Q,8)=0,"",VLOOKUP(Table91213[[#This Row],[Date]],'DB Details'!$A:$Q,8))</f>
        <v/>
      </c>
      <c r="I277" s="52">
        <f>IF(VLOOKUP(Table91213[[#This Row],[Date]],'DB Details'!$A:$Q,9)=0,"",VLOOKUP(Table91213[[#This Row],[Date]],'DB Details'!$A:$Q,9))</f>
        <v/>
      </c>
      <c r="J277" s="52">
        <f>IF(VLOOKUP(Table91213[[#This Row],[Date]],'DB Details'!$A:$Q,10)=0,"",VLOOKUP(Table91213[[#This Row],[Date]],'DB Details'!$A:$Q,10))</f>
        <v/>
      </c>
      <c r="K277" s="52">
        <f>IF(VLOOKUP(Table91213[[#This Row],[Date]],'DB Details'!$A:$Q,11)=0,"",VLOOKUP(Table91213[[#This Row],[Date]],'DB Details'!$A:$Q,11))</f>
        <v/>
      </c>
      <c r="L277" s="50">
        <f>IF(VLOOKUP(Table91213[[#This Row],[Date]],'DB Details'!$A:$Q,12)=0,"",VLOOKUP(Table91213[[#This Row],[Date]],'DB Details'!$A:$Q,12))</f>
        <v/>
      </c>
    </row>
    <row r="278">
      <c r="A278" s="53" t="n">
        <v>43891</v>
      </c>
      <c r="B278" s="50">
        <f>IF(VLOOKUP(Table91213[[#This Row],[Date]],'DB Details'!$A:$Q,2)=0,"",VLOOKUP(Table91213[[#This Row],[Date]],'DB Details'!$A:$Q,2))</f>
        <v/>
      </c>
      <c r="C278" s="51">
        <f>IF(VLOOKUP(Table91213[[#This Row],[Date]],'DB Details'!$A:$Q,3)=0,"",VLOOKUP(Table91213[[#This Row],[Date]],'DB Details'!$A:$Q,3))</f>
        <v/>
      </c>
      <c r="D278" s="51">
        <f>IF(VLOOKUP(Table91213[[#This Row],[Date]],'DB Details'!$A:$Q,4)=0,"",VLOOKUP(Table91213[[#This Row],[Date]],'DB Details'!$A:$Q,4))</f>
        <v/>
      </c>
      <c r="E278" s="52">
        <f>IF(VLOOKUP(Table91213[[#This Row],[Date]],'DB Details'!$A:$Q,5)=0,"",VLOOKUP(Table91213[[#This Row],[Date]],'DB Details'!$A:$Q,5))</f>
        <v/>
      </c>
      <c r="F278" s="51">
        <f>IF(VLOOKUP(Table91213[[#This Row],[Date]],'DB Details'!$A:$Q,6)=0,"",VLOOKUP(Table91213[[#This Row],[Date]],'DB Details'!$A:$Q,6))</f>
        <v/>
      </c>
      <c r="G278" s="52">
        <f>IF(VLOOKUP(Table91213[[#This Row],[Date]],'DB Details'!$A:$Q,7)=0,"",VLOOKUP(Table91213[[#This Row],[Date]],'DB Details'!$A:$Q,7))</f>
        <v/>
      </c>
      <c r="H278" s="52">
        <f>IF(VLOOKUP(Table91213[[#This Row],[Date]],'DB Details'!$A:$Q,8)=0,"",VLOOKUP(Table91213[[#This Row],[Date]],'DB Details'!$A:$Q,8))</f>
        <v/>
      </c>
      <c r="I278" s="52">
        <f>IF(VLOOKUP(Table91213[[#This Row],[Date]],'DB Details'!$A:$Q,9)=0,"",VLOOKUP(Table91213[[#This Row],[Date]],'DB Details'!$A:$Q,9))</f>
        <v/>
      </c>
      <c r="J278" s="52">
        <f>IF(VLOOKUP(Table91213[[#This Row],[Date]],'DB Details'!$A:$Q,10)=0,"",VLOOKUP(Table91213[[#This Row],[Date]],'DB Details'!$A:$Q,10))</f>
        <v/>
      </c>
      <c r="K278" s="52">
        <f>IF(VLOOKUP(Table91213[[#This Row],[Date]],'DB Details'!$A:$Q,11)=0,"",VLOOKUP(Table91213[[#This Row],[Date]],'DB Details'!$A:$Q,11))</f>
        <v/>
      </c>
      <c r="L278" s="50">
        <f>IF(VLOOKUP(Table91213[[#This Row],[Date]],'DB Details'!$A:$Q,12)=0,"",VLOOKUP(Table91213[[#This Row],[Date]],'DB Details'!$A:$Q,12))</f>
        <v/>
      </c>
    </row>
    <row r="279">
      <c r="A279" s="53" t="n">
        <v>43922</v>
      </c>
      <c r="B279" s="50">
        <f>IF(VLOOKUP(Table91213[[#This Row],[Date]],'DB Details'!$A:$Q,2)=0,"",VLOOKUP(Table91213[[#This Row],[Date]],'DB Details'!$A:$Q,2))</f>
        <v/>
      </c>
      <c r="C279" s="51">
        <f>IF(VLOOKUP(Table91213[[#This Row],[Date]],'DB Details'!$A:$Q,3)=0,"",VLOOKUP(Table91213[[#This Row],[Date]],'DB Details'!$A:$Q,3))</f>
        <v/>
      </c>
      <c r="D279" s="51">
        <f>IF(VLOOKUP(Table91213[[#This Row],[Date]],'DB Details'!$A:$Q,4)=0,"",VLOOKUP(Table91213[[#This Row],[Date]],'DB Details'!$A:$Q,4))</f>
        <v/>
      </c>
      <c r="E279" s="52">
        <f>IF(VLOOKUP(Table91213[[#This Row],[Date]],'DB Details'!$A:$Q,5)=0,"",VLOOKUP(Table91213[[#This Row],[Date]],'DB Details'!$A:$Q,5))</f>
        <v/>
      </c>
      <c r="F279" s="51">
        <f>IF(VLOOKUP(Table91213[[#This Row],[Date]],'DB Details'!$A:$Q,6)=0,"",VLOOKUP(Table91213[[#This Row],[Date]],'DB Details'!$A:$Q,6))</f>
        <v/>
      </c>
      <c r="G279" s="52">
        <f>IF(VLOOKUP(Table91213[[#This Row],[Date]],'DB Details'!$A:$Q,7)=0,"",VLOOKUP(Table91213[[#This Row],[Date]],'DB Details'!$A:$Q,7))</f>
        <v/>
      </c>
      <c r="H279" s="52">
        <f>IF(VLOOKUP(Table91213[[#This Row],[Date]],'DB Details'!$A:$Q,8)=0,"",VLOOKUP(Table91213[[#This Row],[Date]],'DB Details'!$A:$Q,8))</f>
        <v/>
      </c>
      <c r="I279" s="52">
        <f>IF(VLOOKUP(Table91213[[#This Row],[Date]],'DB Details'!$A:$Q,9)=0,"",VLOOKUP(Table91213[[#This Row],[Date]],'DB Details'!$A:$Q,9))</f>
        <v/>
      </c>
      <c r="J279" s="52">
        <f>IF(VLOOKUP(Table91213[[#This Row],[Date]],'DB Details'!$A:$Q,10)=0,"",VLOOKUP(Table91213[[#This Row],[Date]],'DB Details'!$A:$Q,10))</f>
        <v/>
      </c>
      <c r="K279" s="52">
        <f>IF(VLOOKUP(Table91213[[#This Row],[Date]],'DB Details'!$A:$Q,11)=0,"",VLOOKUP(Table91213[[#This Row],[Date]],'DB Details'!$A:$Q,11))</f>
        <v/>
      </c>
      <c r="L279" s="50">
        <f>IF(VLOOKUP(Table91213[[#This Row],[Date]],'DB Details'!$A:$Q,12)=0,"",VLOOKUP(Table91213[[#This Row],[Date]],'DB Details'!$A:$Q,12))</f>
        <v/>
      </c>
    </row>
    <row r="280">
      <c r="A280" s="53" t="n">
        <v>43952</v>
      </c>
      <c r="B280" s="50">
        <f>IF(VLOOKUP(Table91213[[#This Row],[Date]],'DB Details'!$A:$Q,2)=0,"",VLOOKUP(Table91213[[#This Row],[Date]],'DB Details'!$A:$Q,2))</f>
        <v/>
      </c>
      <c r="C280" s="51">
        <f>IF(VLOOKUP(Table91213[[#This Row],[Date]],'DB Details'!$A:$Q,3)=0,"",VLOOKUP(Table91213[[#This Row],[Date]],'DB Details'!$A:$Q,3))</f>
        <v/>
      </c>
      <c r="D280" s="51">
        <f>IF(VLOOKUP(Table91213[[#This Row],[Date]],'DB Details'!$A:$Q,4)=0,"",VLOOKUP(Table91213[[#This Row],[Date]],'DB Details'!$A:$Q,4))</f>
        <v/>
      </c>
      <c r="E280" s="52">
        <f>IF(VLOOKUP(Table91213[[#This Row],[Date]],'DB Details'!$A:$Q,5)=0,"",VLOOKUP(Table91213[[#This Row],[Date]],'DB Details'!$A:$Q,5))</f>
        <v/>
      </c>
      <c r="F280" s="51">
        <f>IF(VLOOKUP(Table91213[[#This Row],[Date]],'DB Details'!$A:$Q,6)=0,"",VLOOKUP(Table91213[[#This Row],[Date]],'DB Details'!$A:$Q,6))</f>
        <v/>
      </c>
      <c r="G280" s="52">
        <f>IF(VLOOKUP(Table91213[[#This Row],[Date]],'DB Details'!$A:$Q,7)=0,"",VLOOKUP(Table91213[[#This Row],[Date]],'DB Details'!$A:$Q,7))</f>
        <v/>
      </c>
      <c r="H280" s="52">
        <f>IF(VLOOKUP(Table91213[[#This Row],[Date]],'DB Details'!$A:$Q,8)=0,"",VLOOKUP(Table91213[[#This Row],[Date]],'DB Details'!$A:$Q,8))</f>
        <v/>
      </c>
      <c r="I280" s="52">
        <f>IF(VLOOKUP(Table91213[[#This Row],[Date]],'DB Details'!$A:$Q,9)=0,"",VLOOKUP(Table91213[[#This Row],[Date]],'DB Details'!$A:$Q,9))</f>
        <v/>
      </c>
      <c r="J280" s="52">
        <f>IF(VLOOKUP(Table91213[[#This Row],[Date]],'DB Details'!$A:$Q,10)=0,"",VLOOKUP(Table91213[[#This Row],[Date]],'DB Details'!$A:$Q,10))</f>
        <v/>
      </c>
      <c r="K280" s="52">
        <f>IF(VLOOKUP(Table91213[[#This Row],[Date]],'DB Details'!$A:$Q,11)=0,"",VLOOKUP(Table91213[[#This Row],[Date]],'DB Details'!$A:$Q,11))</f>
        <v/>
      </c>
      <c r="L280" s="50">
        <f>IF(VLOOKUP(Table91213[[#This Row],[Date]],'DB Details'!$A:$Q,12)=0,"",VLOOKUP(Table91213[[#This Row],[Date]],'DB Details'!$A:$Q,12))</f>
        <v/>
      </c>
    </row>
    <row r="281">
      <c r="A281" s="53" t="n">
        <v>43983</v>
      </c>
      <c r="B281" s="50">
        <f>IF(VLOOKUP(Table91213[[#This Row],[Date]],'DB Details'!$A:$Q,2)=0,"",VLOOKUP(Table91213[[#This Row],[Date]],'DB Details'!$A:$Q,2))</f>
        <v/>
      </c>
      <c r="C281" s="51">
        <f>IF(VLOOKUP(Table91213[[#This Row],[Date]],'DB Details'!$A:$Q,3)=0,"",VLOOKUP(Table91213[[#This Row],[Date]],'DB Details'!$A:$Q,3))</f>
        <v/>
      </c>
      <c r="D281" s="51">
        <f>IF(VLOOKUP(Table91213[[#This Row],[Date]],'DB Details'!$A:$Q,4)=0,"",VLOOKUP(Table91213[[#This Row],[Date]],'DB Details'!$A:$Q,4))</f>
        <v/>
      </c>
      <c r="E281" s="52">
        <f>IF(VLOOKUP(Table91213[[#This Row],[Date]],'DB Details'!$A:$Q,5)=0,"",VLOOKUP(Table91213[[#This Row],[Date]],'DB Details'!$A:$Q,5))</f>
        <v/>
      </c>
      <c r="F281" s="51">
        <f>IF(VLOOKUP(Table91213[[#This Row],[Date]],'DB Details'!$A:$Q,6)=0,"",VLOOKUP(Table91213[[#This Row],[Date]],'DB Details'!$A:$Q,6))</f>
        <v/>
      </c>
      <c r="G281" s="52">
        <f>IF(VLOOKUP(Table91213[[#This Row],[Date]],'DB Details'!$A:$Q,7)=0,"",VLOOKUP(Table91213[[#This Row],[Date]],'DB Details'!$A:$Q,7))</f>
        <v/>
      </c>
      <c r="H281" s="52">
        <f>IF(VLOOKUP(Table91213[[#This Row],[Date]],'DB Details'!$A:$Q,8)=0,"",VLOOKUP(Table91213[[#This Row],[Date]],'DB Details'!$A:$Q,8))</f>
        <v/>
      </c>
      <c r="I281" s="52">
        <f>IF(VLOOKUP(Table91213[[#This Row],[Date]],'DB Details'!$A:$Q,9)=0,"",VLOOKUP(Table91213[[#This Row],[Date]],'DB Details'!$A:$Q,9))</f>
        <v/>
      </c>
      <c r="J281" s="52">
        <f>IF(VLOOKUP(Table91213[[#This Row],[Date]],'DB Details'!$A:$Q,10)=0,"",VLOOKUP(Table91213[[#This Row],[Date]],'DB Details'!$A:$Q,10))</f>
        <v/>
      </c>
      <c r="K281" s="52">
        <f>IF(VLOOKUP(Table91213[[#This Row],[Date]],'DB Details'!$A:$Q,11)=0,"",VLOOKUP(Table91213[[#This Row],[Date]],'DB Details'!$A:$Q,11))</f>
        <v/>
      </c>
      <c r="L281" s="50">
        <f>IF(VLOOKUP(Table91213[[#This Row],[Date]],'DB Details'!$A:$Q,12)=0,"",VLOOKUP(Table91213[[#This Row],[Date]],'DB Details'!$A:$Q,12))</f>
        <v/>
      </c>
    </row>
    <row r="282">
      <c r="A282" s="53" t="n">
        <v>44013</v>
      </c>
      <c r="B282" s="50">
        <f>IF(VLOOKUP(Table91213[[#This Row],[Date]],'DB Details'!$A:$Q,2)=0,"",VLOOKUP(Table91213[[#This Row],[Date]],'DB Details'!$A:$Q,2))</f>
        <v/>
      </c>
      <c r="C282" s="51">
        <f>IF(VLOOKUP(Table91213[[#This Row],[Date]],'DB Details'!$A:$Q,3)=0,"",VLOOKUP(Table91213[[#This Row],[Date]],'DB Details'!$A:$Q,3))</f>
        <v/>
      </c>
      <c r="D282" s="51">
        <f>IF(VLOOKUP(Table91213[[#This Row],[Date]],'DB Details'!$A:$Q,4)=0,"",VLOOKUP(Table91213[[#This Row],[Date]],'DB Details'!$A:$Q,4))</f>
        <v/>
      </c>
      <c r="E282" s="52">
        <f>IF(VLOOKUP(Table91213[[#This Row],[Date]],'DB Details'!$A:$Q,5)=0,"",VLOOKUP(Table91213[[#This Row],[Date]],'DB Details'!$A:$Q,5))</f>
        <v/>
      </c>
      <c r="F282" s="51">
        <f>IF(VLOOKUP(Table91213[[#This Row],[Date]],'DB Details'!$A:$Q,6)=0,"",VLOOKUP(Table91213[[#This Row],[Date]],'DB Details'!$A:$Q,6))</f>
        <v/>
      </c>
      <c r="G282" s="52">
        <f>IF(VLOOKUP(Table91213[[#This Row],[Date]],'DB Details'!$A:$Q,7)=0,"",VLOOKUP(Table91213[[#This Row],[Date]],'DB Details'!$A:$Q,7))</f>
        <v/>
      </c>
      <c r="H282" s="52">
        <f>IF(VLOOKUP(Table91213[[#This Row],[Date]],'DB Details'!$A:$Q,8)=0,"",VLOOKUP(Table91213[[#This Row],[Date]],'DB Details'!$A:$Q,8))</f>
        <v/>
      </c>
      <c r="I282" s="52">
        <f>IF(VLOOKUP(Table91213[[#This Row],[Date]],'DB Details'!$A:$Q,9)=0,"",VLOOKUP(Table91213[[#This Row],[Date]],'DB Details'!$A:$Q,9))</f>
        <v/>
      </c>
      <c r="J282" s="52">
        <f>IF(VLOOKUP(Table91213[[#This Row],[Date]],'DB Details'!$A:$Q,10)=0,"",VLOOKUP(Table91213[[#This Row],[Date]],'DB Details'!$A:$Q,10))</f>
        <v/>
      </c>
      <c r="K282" s="52">
        <f>IF(VLOOKUP(Table91213[[#This Row],[Date]],'DB Details'!$A:$Q,11)=0,"",VLOOKUP(Table91213[[#This Row],[Date]],'DB Details'!$A:$Q,11))</f>
        <v/>
      </c>
      <c r="L282" s="50">
        <f>IF(VLOOKUP(Table91213[[#This Row],[Date]],'DB Details'!$A:$Q,12)=0,"",VLOOKUP(Table91213[[#This Row],[Date]],'DB Details'!$A:$Q,12))</f>
        <v/>
      </c>
    </row>
    <row r="283">
      <c r="A283" s="53" t="n">
        <v>44044</v>
      </c>
      <c r="B283" s="50">
        <f>IF(VLOOKUP(Table91213[[#This Row],[Date]],'DB Details'!$A:$Q,2)=0,"",VLOOKUP(Table91213[[#This Row],[Date]],'DB Details'!$A:$Q,2))</f>
        <v/>
      </c>
      <c r="C283" s="51">
        <f>IF(VLOOKUP(Table91213[[#This Row],[Date]],'DB Details'!$A:$Q,3)=0,"",VLOOKUP(Table91213[[#This Row],[Date]],'DB Details'!$A:$Q,3))</f>
        <v/>
      </c>
      <c r="D283" s="51">
        <f>IF(VLOOKUP(Table91213[[#This Row],[Date]],'DB Details'!$A:$Q,4)=0,"",VLOOKUP(Table91213[[#This Row],[Date]],'DB Details'!$A:$Q,4))</f>
        <v/>
      </c>
      <c r="E283" s="52">
        <f>IF(VLOOKUP(Table91213[[#This Row],[Date]],'DB Details'!$A:$Q,5)=0,"",VLOOKUP(Table91213[[#This Row],[Date]],'DB Details'!$A:$Q,5))</f>
        <v/>
      </c>
      <c r="F283" s="51">
        <f>IF(VLOOKUP(Table91213[[#This Row],[Date]],'DB Details'!$A:$Q,6)=0,"",VLOOKUP(Table91213[[#This Row],[Date]],'DB Details'!$A:$Q,6))</f>
        <v/>
      </c>
      <c r="G283" s="52">
        <f>IF(VLOOKUP(Table91213[[#This Row],[Date]],'DB Details'!$A:$Q,7)=0,"",VLOOKUP(Table91213[[#This Row],[Date]],'DB Details'!$A:$Q,7))</f>
        <v/>
      </c>
      <c r="H283" s="52">
        <f>IF(VLOOKUP(Table91213[[#This Row],[Date]],'DB Details'!$A:$Q,8)=0,"",VLOOKUP(Table91213[[#This Row],[Date]],'DB Details'!$A:$Q,8))</f>
        <v/>
      </c>
      <c r="I283" s="52">
        <f>IF(VLOOKUP(Table91213[[#This Row],[Date]],'DB Details'!$A:$Q,9)=0,"",VLOOKUP(Table91213[[#This Row],[Date]],'DB Details'!$A:$Q,9))</f>
        <v/>
      </c>
      <c r="J283" s="52">
        <f>IF(VLOOKUP(Table91213[[#This Row],[Date]],'DB Details'!$A:$Q,10)=0,"",VLOOKUP(Table91213[[#This Row],[Date]],'DB Details'!$A:$Q,10))</f>
        <v/>
      </c>
      <c r="K283" s="52">
        <f>IF(VLOOKUP(Table91213[[#This Row],[Date]],'DB Details'!$A:$Q,11)=0,"",VLOOKUP(Table91213[[#This Row],[Date]],'DB Details'!$A:$Q,11))</f>
        <v/>
      </c>
      <c r="L283" s="50">
        <f>IF(VLOOKUP(Table91213[[#This Row],[Date]],'DB Details'!$A:$Q,12)=0,"",VLOOKUP(Table91213[[#This Row],[Date]],'DB Details'!$A:$Q,12))</f>
        <v/>
      </c>
    </row>
    <row r="284">
      <c r="A284" s="53" t="n">
        <v>44075</v>
      </c>
      <c r="B284" s="50">
        <f>IF(VLOOKUP(Table91213[[#This Row],[Date]],'DB Details'!$A:$Q,2)=0,"",VLOOKUP(Table91213[[#This Row],[Date]],'DB Details'!$A:$Q,2))</f>
        <v/>
      </c>
      <c r="C284" s="51">
        <f>IF(VLOOKUP(Table91213[[#This Row],[Date]],'DB Details'!$A:$Q,3)=0,"",VLOOKUP(Table91213[[#This Row],[Date]],'DB Details'!$A:$Q,3))</f>
        <v/>
      </c>
      <c r="D284" s="51">
        <f>IF(VLOOKUP(Table91213[[#This Row],[Date]],'DB Details'!$A:$Q,4)=0,"",VLOOKUP(Table91213[[#This Row],[Date]],'DB Details'!$A:$Q,4))</f>
        <v/>
      </c>
      <c r="E284" s="52">
        <f>IF(VLOOKUP(Table91213[[#This Row],[Date]],'DB Details'!$A:$Q,5)=0,"",VLOOKUP(Table91213[[#This Row],[Date]],'DB Details'!$A:$Q,5))</f>
        <v/>
      </c>
      <c r="F284" s="51">
        <f>IF(VLOOKUP(Table91213[[#This Row],[Date]],'DB Details'!$A:$Q,6)=0,"",VLOOKUP(Table91213[[#This Row],[Date]],'DB Details'!$A:$Q,6))</f>
        <v/>
      </c>
      <c r="G284" s="52">
        <f>IF(VLOOKUP(Table91213[[#This Row],[Date]],'DB Details'!$A:$Q,7)=0,"",VLOOKUP(Table91213[[#This Row],[Date]],'DB Details'!$A:$Q,7))</f>
        <v/>
      </c>
      <c r="H284" s="52">
        <f>IF(VLOOKUP(Table91213[[#This Row],[Date]],'DB Details'!$A:$Q,8)=0,"",VLOOKUP(Table91213[[#This Row],[Date]],'DB Details'!$A:$Q,8))</f>
        <v/>
      </c>
      <c r="I284" s="52">
        <f>IF(VLOOKUP(Table91213[[#This Row],[Date]],'DB Details'!$A:$Q,9)=0,"",VLOOKUP(Table91213[[#This Row],[Date]],'DB Details'!$A:$Q,9))</f>
        <v/>
      </c>
      <c r="J284" s="52">
        <f>IF(VLOOKUP(Table91213[[#This Row],[Date]],'DB Details'!$A:$Q,10)=0,"",VLOOKUP(Table91213[[#This Row],[Date]],'DB Details'!$A:$Q,10))</f>
        <v/>
      </c>
      <c r="K284" s="52">
        <f>IF(VLOOKUP(Table91213[[#This Row],[Date]],'DB Details'!$A:$Q,11)=0,"",VLOOKUP(Table91213[[#This Row],[Date]],'DB Details'!$A:$Q,11))</f>
        <v/>
      </c>
      <c r="L284" s="50">
        <f>IF(VLOOKUP(Table91213[[#This Row],[Date]],'DB Details'!$A:$Q,12)=0,"",VLOOKUP(Table91213[[#This Row],[Date]],'DB Details'!$A:$Q,12))</f>
        <v/>
      </c>
    </row>
    <row r="285">
      <c r="A285" s="53" t="n">
        <v>44105</v>
      </c>
      <c r="B285" s="50">
        <f>IF(VLOOKUP(Table91213[[#This Row],[Date]],'DB Details'!$A:$Q,2)=0,"",VLOOKUP(Table91213[[#This Row],[Date]],'DB Details'!$A:$Q,2))</f>
        <v/>
      </c>
      <c r="C285" s="51">
        <f>IF(VLOOKUP(Table91213[[#This Row],[Date]],'DB Details'!$A:$Q,3)=0,"",VLOOKUP(Table91213[[#This Row],[Date]],'DB Details'!$A:$Q,3))</f>
        <v/>
      </c>
      <c r="D285" s="51">
        <f>IF(VLOOKUP(Table91213[[#This Row],[Date]],'DB Details'!$A:$Q,4)=0,"",VLOOKUP(Table91213[[#This Row],[Date]],'DB Details'!$A:$Q,4))</f>
        <v/>
      </c>
      <c r="E285" s="52">
        <f>IF(VLOOKUP(Table91213[[#This Row],[Date]],'DB Details'!$A:$Q,5)=0,"",VLOOKUP(Table91213[[#This Row],[Date]],'DB Details'!$A:$Q,5))</f>
        <v/>
      </c>
      <c r="F285" s="51">
        <f>IF(VLOOKUP(Table91213[[#This Row],[Date]],'DB Details'!$A:$Q,6)=0,"",VLOOKUP(Table91213[[#This Row],[Date]],'DB Details'!$A:$Q,6))</f>
        <v/>
      </c>
      <c r="G285" s="52">
        <f>IF(VLOOKUP(Table91213[[#This Row],[Date]],'DB Details'!$A:$Q,7)=0,"",VLOOKUP(Table91213[[#This Row],[Date]],'DB Details'!$A:$Q,7))</f>
        <v/>
      </c>
      <c r="H285" s="52">
        <f>IF(VLOOKUP(Table91213[[#This Row],[Date]],'DB Details'!$A:$Q,8)=0,"",VLOOKUP(Table91213[[#This Row],[Date]],'DB Details'!$A:$Q,8))</f>
        <v/>
      </c>
      <c r="I285" s="52">
        <f>IF(VLOOKUP(Table91213[[#This Row],[Date]],'DB Details'!$A:$Q,9)=0,"",VLOOKUP(Table91213[[#This Row],[Date]],'DB Details'!$A:$Q,9))</f>
        <v/>
      </c>
      <c r="J285" s="52">
        <f>IF(VLOOKUP(Table91213[[#This Row],[Date]],'DB Details'!$A:$Q,10)=0,"",VLOOKUP(Table91213[[#This Row],[Date]],'DB Details'!$A:$Q,10))</f>
        <v/>
      </c>
      <c r="K285" s="52">
        <f>IF(VLOOKUP(Table91213[[#This Row],[Date]],'DB Details'!$A:$Q,11)=0,"",VLOOKUP(Table91213[[#This Row],[Date]],'DB Details'!$A:$Q,11))</f>
        <v/>
      </c>
      <c r="L285" s="50">
        <f>IF(VLOOKUP(Table91213[[#This Row],[Date]],'DB Details'!$A:$Q,12)=0,"",VLOOKUP(Table91213[[#This Row],[Date]],'DB Details'!$A:$Q,12))</f>
        <v/>
      </c>
    </row>
    <row r="286">
      <c r="A286" s="53" t="n">
        <v>44136</v>
      </c>
      <c r="B286" s="50">
        <f>IF(VLOOKUP(Table91213[[#This Row],[Date]],'DB Details'!$A:$Q,2)=0,"",VLOOKUP(Table91213[[#This Row],[Date]],'DB Details'!$A:$Q,2))</f>
        <v/>
      </c>
      <c r="C286" s="51">
        <f>IF(VLOOKUP(Table91213[[#This Row],[Date]],'DB Details'!$A:$Q,3)=0,"",VLOOKUP(Table91213[[#This Row],[Date]],'DB Details'!$A:$Q,3))</f>
        <v/>
      </c>
      <c r="D286" s="51">
        <f>IF(VLOOKUP(Table91213[[#This Row],[Date]],'DB Details'!$A:$Q,4)=0,"",VLOOKUP(Table91213[[#This Row],[Date]],'DB Details'!$A:$Q,4))</f>
        <v/>
      </c>
      <c r="E286" s="52">
        <f>IF(VLOOKUP(Table91213[[#This Row],[Date]],'DB Details'!$A:$Q,5)=0,"",VLOOKUP(Table91213[[#This Row],[Date]],'DB Details'!$A:$Q,5))</f>
        <v/>
      </c>
      <c r="F286" s="51">
        <f>IF(VLOOKUP(Table91213[[#This Row],[Date]],'DB Details'!$A:$Q,6)=0,"",VLOOKUP(Table91213[[#This Row],[Date]],'DB Details'!$A:$Q,6))</f>
        <v/>
      </c>
      <c r="G286" s="52">
        <f>IF(VLOOKUP(Table91213[[#This Row],[Date]],'DB Details'!$A:$Q,7)=0,"",VLOOKUP(Table91213[[#This Row],[Date]],'DB Details'!$A:$Q,7))</f>
        <v/>
      </c>
      <c r="H286" s="52">
        <f>IF(VLOOKUP(Table91213[[#This Row],[Date]],'DB Details'!$A:$Q,8)=0,"",VLOOKUP(Table91213[[#This Row],[Date]],'DB Details'!$A:$Q,8))</f>
        <v/>
      </c>
      <c r="I286" s="52">
        <f>IF(VLOOKUP(Table91213[[#This Row],[Date]],'DB Details'!$A:$Q,9)=0,"",VLOOKUP(Table91213[[#This Row],[Date]],'DB Details'!$A:$Q,9))</f>
        <v/>
      </c>
      <c r="J286" s="52">
        <f>IF(VLOOKUP(Table91213[[#This Row],[Date]],'DB Details'!$A:$Q,10)=0,"",VLOOKUP(Table91213[[#This Row],[Date]],'DB Details'!$A:$Q,10))</f>
        <v/>
      </c>
      <c r="K286" s="52">
        <f>IF(VLOOKUP(Table91213[[#This Row],[Date]],'DB Details'!$A:$Q,11)=0,"",VLOOKUP(Table91213[[#This Row],[Date]],'DB Details'!$A:$Q,11))</f>
        <v/>
      </c>
      <c r="L286" s="50">
        <f>IF(VLOOKUP(Table91213[[#This Row],[Date]],'DB Details'!$A:$Q,12)=0,"",VLOOKUP(Table91213[[#This Row],[Date]],'DB Details'!$A:$Q,12))</f>
        <v/>
      </c>
    </row>
    <row r="287">
      <c r="A287" s="53" t="n">
        <v>44166</v>
      </c>
      <c r="B287" s="50">
        <f>IF(VLOOKUP(Table91213[[#This Row],[Date]],'DB Details'!$A:$Q,2)=0,"",VLOOKUP(Table91213[[#This Row],[Date]],'DB Details'!$A:$Q,2))</f>
        <v/>
      </c>
      <c r="C287" s="51">
        <f>IF(VLOOKUP(Table91213[[#This Row],[Date]],'DB Details'!$A:$Q,3)=0,"",VLOOKUP(Table91213[[#This Row],[Date]],'DB Details'!$A:$Q,3))</f>
        <v/>
      </c>
      <c r="D287" s="51">
        <f>IF(VLOOKUP(Table91213[[#This Row],[Date]],'DB Details'!$A:$Q,4)=0,"",VLOOKUP(Table91213[[#This Row],[Date]],'DB Details'!$A:$Q,4))</f>
        <v/>
      </c>
      <c r="E287" s="52">
        <f>IF(VLOOKUP(Table91213[[#This Row],[Date]],'DB Details'!$A:$Q,5)=0,"",VLOOKUP(Table91213[[#This Row],[Date]],'DB Details'!$A:$Q,5))</f>
        <v/>
      </c>
      <c r="F287" s="51">
        <f>IF(VLOOKUP(Table91213[[#This Row],[Date]],'DB Details'!$A:$Q,6)=0,"",VLOOKUP(Table91213[[#This Row],[Date]],'DB Details'!$A:$Q,6))</f>
        <v/>
      </c>
      <c r="G287" s="52">
        <f>IF(VLOOKUP(Table91213[[#This Row],[Date]],'DB Details'!$A:$Q,7)=0,"",VLOOKUP(Table91213[[#This Row],[Date]],'DB Details'!$A:$Q,7))</f>
        <v/>
      </c>
      <c r="H287" s="52">
        <f>IF(VLOOKUP(Table91213[[#This Row],[Date]],'DB Details'!$A:$Q,8)=0,"",VLOOKUP(Table91213[[#This Row],[Date]],'DB Details'!$A:$Q,8))</f>
        <v/>
      </c>
      <c r="I287" s="52">
        <f>IF(VLOOKUP(Table91213[[#This Row],[Date]],'DB Details'!$A:$Q,9)=0,"",VLOOKUP(Table91213[[#This Row],[Date]],'DB Details'!$A:$Q,9))</f>
        <v/>
      </c>
      <c r="J287" s="52">
        <f>IF(VLOOKUP(Table91213[[#This Row],[Date]],'DB Details'!$A:$Q,10)=0,"",VLOOKUP(Table91213[[#This Row],[Date]],'DB Details'!$A:$Q,10))</f>
        <v/>
      </c>
      <c r="K287" s="52">
        <f>IF(VLOOKUP(Table91213[[#This Row],[Date]],'DB Details'!$A:$Q,11)=0,"",VLOOKUP(Table91213[[#This Row],[Date]],'DB Details'!$A:$Q,11))</f>
        <v/>
      </c>
      <c r="L287" s="50">
        <f>IF(VLOOKUP(Table91213[[#This Row],[Date]],'DB Details'!$A:$Q,12)=0,"",VLOOKUP(Table91213[[#This Row],[Date]],'DB Details'!$A:$Q,12))</f>
        <v/>
      </c>
    </row>
    <row r="288">
      <c r="A288" s="53" t="n">
        <v>44197</v>
      </c>
      <c r="B288" s="50">
        <f>IF(VLOOKUP(Table91213[[#This Row],[Date]],'DB Details'!$A:$Q,2)=0,"",VLOOKUP(Table91213[[#This Row],[Date]],'DB Details'!$A:$Q,2))</f>
        <v/>
      </c>
      <c r="C288" s="51">
        <f>IF(VLOOKUP(Table91213[[#This Row],[Date]],'DB Details'!$A:$Q,3)=0,"",VLOOKUP(Table91213[[#This Row],[Date]],'DB Details'!$A:$Q,3))</f>
        <v/>
      </c>
      <c r="D288" s="51">
        <f>IF(VLOOKUP(Table91213[[#This Row],[Date]],'DB Details'!$A:$Q,4)=0,"",VLOOKUP(Table91213[[#This Row],[Date]],'DB Details'!$A:$Q,4))</f>
        <v/>
      </c>
      <c r="E288" s="52">
        <f>IF(VLOOKUP(Table91213[[#This Row],[Date]],'DB Details'!$A:$Q,5)=0,"",VLOOKUP(Table91213[[#This Row],[Date]],'DB Details'!$A:$Q,5))</f>
        <v/>
      </c>
      <c r="F288" s="51">
        <f>IF(VLOOKUP(Table91213[[#This Row],[Date]],'DB Details'!$A:$Q,6)=0,"",VLOOKUP(Table91213[[#This Row],[Date]],'DB Details'!$A:$Q,6))</f>
        <v/>
      </c>
      <c r="G288" s="52">
        <f>IF(VLOOKUP(Table91213[[#This Row],[Date]],'DB Details'!$A:$Q,7)=0,"",VLOOKUP(Table91213[[#This Row],[Date]],'DB Details'!$A:$Q,7))</f>
        <v/>
      </c>
      <c r="H288" s="52">
        <f>IF(VLOOKUP(Table91213[[#This Row],[Date]],'DB Details'!$A:$Q,8)=0,"",VLOOKUP(Table91213[[#This Row],[Date]],'DB Details'!$A:$Q,8))</f>
        <v/>
      </c>
      <c r="I288" s="52">
        <f>IF(VLOOKUP(Table91213[[#This Row],[Date]],'DB Details'!$A:$Q,9)=0,"",VLOOKUP(Table91213[[#This Row],[Date]],'DB Details'!$A:$Q,9))</f>
        <v/>
      </c>
      <c r="J288" s="52">
        <f>IF(VLOOKUP(Table91213[[#This Row],[Date]],'DB Details'!$A:$Q,10)=0,"",VLOOKUP(Table91213[[#This Row],[Date]],'DB Details'!$A:$Q,10))</f>
        <v/>
      </c>
      <c r="K288" s="52">
        <f>IF(VLOOKUP(Table91213[[#This Row],[Date]],'DB Details'!$A:$Q,11)=0,"",VLOOKUP(Table91213[[#This Row],[Date]],'DB Details'!$A:$Q,11))</f>
        <v/>
      </c>
      <c r="L288" s="50">
        <f>IF(VLOOKUP(Table91213[[#This Row],[Date]],'DB Details'!$A:$Q,12)=0,"",VLOOKUP(Table91213[[#This Row],[Date]],'DB Details'!$A:$Q,12))</f>
        <v/>
      </c>
    </row>
    <row r="289">
      <c r="A289" s="53" t="n">
        <v>44228</v>
      </c>
      <c r="B289" s="50">
        <f>IF(VLOOKUP(Table91213[[#This Row],[Date]],'DB Details'!$A:$Q,2)=0,"",VLOOKUP(Table91213[[#This Row],[Date]],'DB Details'!$A:$Q,2))</f>
        <v/>
      </c>
      <c r="C289" s="51">
        <f>IF(VLOOKUP(Table91213[[#This Row],[Date]],'DB Details'!$A:$Q,3)=0,"",VLOOKUP(Table91213[[#This Row],[Date]],'DB Details'!$A:$Q,3))</f>
        <v/>
      </c>
      <c r="D289" s="51">
        <f>IF(VLOOKUP(Table91213[[#This Row],[Date]],'DB Details'!$A:$Q,4)=0,"",VLOOKUP(Table91213[[#This Row],[Date]],'DB Details'!$A:$Q,4))</f>
        <v/>
      </c>
      <c r="E289" s="52">
        <f>IF(VLOOKUP(Table91213[[#This Row],[Date]],'DB Details'!$A:$Q,5)=0,"",VLOOKUP(Table91213[[#This Row],[Date]],'DB Details'!$A:$Q,5))</f>
        <v/>
      </c>
      <c r="F289" s="51">
        <f>IF(VLOOKUP(Table91213[[#This Row],[Date]],'DB Details'!$A:$Q,6)=0,"",VLOOKUP(Table91213[[#This Row],[Date]],'DB Details'!$A:$Q,6))</f>
        <v/>
      </c>
      <c r="G289" s="52">
        <f>IF(VLOOKUP(Table91213[[#This Row],[Date]],'DB Details'!$A:$Q,7)=0,"",VLOOKUP(Table91213[[#This Row],[Date]],'DB Details'!$A:$Q,7))</f>
        <v/>
      </c>
      <c r="H289" s="52">
        <f>IF(VLOOKUP(Table91213[[#This Row],[Date]],'DB Details'!$A:$Q,8)=0,"",VLOOKUP(Table91213[[#This Row],[Date]],'DB Details'!$A:$Q,8))</f>
        <v/>
      </c>
      <c r="I289" s="52">
        <f>IF(VLOOKUP(Table91213[[#This Row],[Date]],'DB Details'!$A:$Q,9)=0,"",VLOOKUP(Table91213[[#This Row],[Date]],'DB Details'!$A:$Q,9))</f>
        <v/>
      </c>
      <c r="J289" s="52">
        <f>IF(VLOOKUP(Table91213[[#This Row],[Date]],'DB Details'!$A:$Q,10)=0,"",VLOOKUP(Table91213[[#This Row],[Date]],'DB Details'!$A:$Q,10))</f>
        <v/>
      </c>
      <c r="K289" s="52">
        <f>IF(VLOOKUP(Table91213[[#This Row],[Date]],'DB Details'!$A:$Q,11)=0,"",VLOOKUP(Table91213[[#This Row],[Date]],'DB Details'!$A:$Q,11))</f>
        <v/>
      </c>
      <c r="L289" s="50">
        <f>IF(VLOOKUP(Table91213[[#This Row],[Date]],'DB Details'!$A:$Q,12)=0,"",VLOOKUP(Table91213[[#This Row],[Date]],'DB Details'!$A:$Q,12))</f>
        <v/>
      </c>
    </row>
    <row r="290">
      <c r="A290" s="53" t="n">
        <v>44256</v>
      </c>
      <c r="B290" s="50">
        <f>IF(VLOOKUP(Table91213[[#This Row],[Date]],'DB Details'!$A:$Q,2)=0,"",VLOOKUP(Table91213[[#This Row],[Date]],'DB Details'!$A:$Q,2))</f>
        <v/>
      </c>
      <c r="C290" s="51">
        <f>IF(VLOOKUP(Table91213[[#This Row],[Date]],'DB Details'!$A:$Q,3)=0,"",VLOOKUP(Table91213[[#This Row],[Date]],'DB Details'!$A:$Q,3))</f>
        <v/>
      </c>
      <c r="D290" s="51">
        <f>IF(VLOOKUP(Table91213[[#This Row],[Date]],'DB Details'!$A:$Q,4)=0,"",VLOOKUP(Table91213[[#This Row],[Date]],'DB Details'!$A:$Q,4))</f>
        <v/>
      </c>
      <c r="E290" s="52">
        <f>IF(VLOOKUP(Table91213[[#This Row],[Date]],'DB Details'!$A:$Q,5)=0,"",VLOOKUP(Table91213[[#This Row],[Date]],'DB Details'!$A:$Q,5))</f>
        <v/>
      </c>
      <c r="F290" s="51">
        <f>IF(VLOOKUP(Table91213[[#This Row],[Date]],'DB Details'!$A:$Q,6)=0,"",VLOOKUP(Table91213[[#This Row],[Date]],'DB Details'!$A:$Q,6))</f>
        <v/>
      </c>
      <c r="G290" s="52">
        <f>IF(VLOOKUP(Table91213[[#This Row],[Date]],'DB Details'!$A:$Q,7)=0,"",VLOOKUP(Table91213[[#This Row],[Date]],'DB Details'!$A:$Q,7))</f>
        <v/>
      </c>
      <c r="H290" s="52">
        <f>IF(VLOOKUP(Table91213[[#This Row],[Date]],'DB Details'!$A:$Q,8)=0,"",VLOOKUP(Table91213[[#This Row],[Date]],'DB Details'!$A:$Q,8))</f>
        <v/>
      </c>
      <c r="I290" s="52">
        <f>IF(VLOOKUP(Table91213[[#This Row],[Date]],'DB Details'!$A:$Q,9)=0,"",VLOOKUP(Table91213[[#This Row],[Date]],'DB Details'!$A:$Q,9))</f>
        <v/>
      </c>
      <c r="J290" s="52">
        <f>IF(VLOOKUP(Table91213[[#This Row],[Date]],'DB Details'!$A:$Q,10)=0,"",VLOOKUP(Table91213[[#This Row],[Date]],'DB Details'!$A:$Q,10))</f>
        <v/>
      </c>
      <c r="K290" s="52">
        <f>IF(VLOOKUP(Table91213[[#This Row],[Date]],'DB Details'!$A:$Q,11)=0,"",VLOOKUP(Table91213[[#This Row],[Date]],'DB Details'!$A:$Q,11))</f>
        <v/>
      </c>
      <c r="L290" s="50">
        <f>IF(VLOOKUP(Table91213[[#This Row],[Date]],'DB Details'!$A:$Q,12)=0,"",VLOOKUP(Table91213[[#This Row],[Date]],'DB Details'!$A:$Q,12))</f>
        <v/>
      </c>
    </row>
    <row r="291">
      <c r="A291" s="53" t="n">
        <v>44287</v>
      </c>
      <c r="B291" s="50">
        <f>IF(VLOOKUP(Table91213[[#This Row],[Date]],'DB Details'!$A:$Q,2)=0,"",VLOOKUP(Table91213[[#This Row],[Date]],'DB Details'!$A:$Q,2))</f>
        <v/>
      </c>
      <c r="C291" s="51">
        <f>IF(VLOOKUP(Table91213[[#This Row],[Date]],'DB Details'!$A:$Q,3)=0,"",VLOOKUP(Table91213[[#This Row],[Date]],'DB Details'!$A:$Q,3))</f>
        <v/>
      </c>
      <c r="D291" s="51">
        <f>IF(VLOOKUP(Table91213[[#This Row],[Date]],'DB Details'!$A:$Q,4)=0,"",VLOOKUP(Table91213[[#This Row],[Date]],'DB Details'!$A:$Q,4))</f>
        <v/>
      </c>
      <c r="E291" s="52">
        <f>IF(VLOOKUP(Table91213[[#This Row],[Date]],'DB Details'!$A:$Q,5)=0,"",VLOOKUP(Table91213[[#This Row],[Date]],'DB Details'!$A:$Q,5))</f>
        <v/>
      </c>
      <c r="F291" s="51">
        <f>IF(VLOOKUP(Table91213[[#This Row],[Date]],'DB Details'!$A:$Q,6)=0,"",VLOOKUP(Table91213[[#This Row],[Date]],'DB Details'!$A:$Q,6))</f>
        <v/>
      </c>
      <c r="G291" s="52">
        <f>IF(VLOOKUP(Table91213[[#This Row],[Date]],'DB Details'!$A:$Q,7)=0,"",VLOOKUP(Table91213[[#This Row],[Date]],'DB Details'!$A:$Q,7))</f>
        <v/>
      </c>
      <c r="H291" s="52">
        <f>IF(VLOOKUP(Table91213[[#This Row],[Date]],'DB Details'!$A:$Q,8)=0,"",VLOOKUP(Table91213[[#This Row],[Date]],'DB Details'!$A:$Q,8))</f>
        <v/>
      </c>
      <c r="I291" s="52">
        <f>IF(VLOOKUP(Table91213[[#This Row],[Date]],'DB Details'!$A:$Q,9)=0,"",VLOOKUP(Table91213[[#This Row],[Date]],'DB Details'!$A:$Q,9))</f>
        <v/>
      </c>
      <c r="J291" s="52">
        <f>IF(VLOOKUP(Table91213[[#This Row],[Date]],'DB Details'!$A:$Q,10)=0,"",VLOOKUP(Table91213[[#This Row],[Date]],'DB Details'!$A:$Q,10))</f>
        <v/>
      </c>
      <c r="K291" s="52">
        <f>IF(VLOOKUP(Table91213[[#This Row],[Date]],'DB Details'!$A:$Q,11)=0,"",VLOOKUP(Table91213[[#This Row],[Date]],'DB Details'!$A:$Q,11))</f>
        <v/>
      </c>
      <c r="L291" s="50">
        <f>IF(VLOOKUP(Table91213[[#This Row],[Date]],'DB Details'!$A:$Q,12)=0,"",VLOOKUP(Table91213[[#This Row],[Date]],'DB Details'!$A:$Q,12))</f>
        <v/>
      </c>
    </row>
    <row r="292">
      <c r="A292" s="53" t="n">
        <v>44317</v>
      </c>
      <c r="B292" s="50">
        <f>IF(VLOOKUP(Table91213[[#This Row],[Date]],'DB Details'!$A:$Q,2)=0,"",VLOOKUP(Table91213[[#This Row],[Date]],'DB Details'!$A:$Q,2))</f>
        <v/>
      </c>
      <c r="C292" s="51">
        <f>IF(VLOOKUP(Table91213[[#This Row],[Date]],'DB Details'!$A:$Q,3)=0,"",VLOOKUP(Table91213[[#This Row],[Date]],'DB Details'!$A:$Q,3))</f>
        <v/>
      </c>
      <c r="D292" s="51">
        <f>IF(VLOOKUP(Table91213[[#This Row],[Date]],'DB Details'!$A:$Q,4)=0,"",VLOOKUP(Table91213[[#This Row],[Date]],'DB Details'!$A:$Q,4))</f>
        <v/>
      </c>
      <c r="E292" s="52">
        <f>IF(VLOOKUP(Table91213[[#This Row],[Date]],'DB Details'!$A:$Q,5)=0,"",VLOOKUP(Table91213[[#This Row],[Date]],'DB Details'!$A:$Q,5))</f>
        <v/>
      </c>
      <c r="F292" s="51">
        <f>IF(VLOOKUP(Table91213[[#This Row],[Date]],'DB Details'!$A:$Q,6)=0,"",VLOOKUP(Table91213[[#This Row],[Date]],'DB Details'!$A:$Q,6))</f>
        <v/>
      </c>
      <c r="G292" s="52">
        <f>IF(VLOOKUP(Table91213[[#This Row],[Date]],'DB Details'!$A:$Q,7)=0,"",VLOOKUP(Table91213[[#This Row],[Date]],'DB Details'!$A:$Q,7))</f>
        <v/>
      </c>
      <c r="H292" s="52">
        <f>IF(VLOOKUP(Table91213[[#This Row],[Date]],'DB Details'!$A:$Q,8)=0,"",VLOOKUP(Table91213[[#This Row],[Date]],'DB Details'!$A:$Q,8))</f>
        <v/>
      </c>
      <c r="I292" s="52">
        <f>IF(VLOOKUP(Table91213[[#This Row],[Date]],'DB Details'!$A:$Q,9)=0,"",VLOOKUP(Table91213[[#This Row],[Date]],'DB Details'!$A:$Q,9))</f>
        <v/>
      </c>
      <c r="J292" s="52">
        <f>IF(VLOOKUP(Table91213[[#This Row],[Date]],'DB Details'!$A:$Q,10)=0,"",VLOOKUP(Table91213[[#This Row],[Date]],'DB Details'!$A:$Q,10))</f>
        <v/>
      </c>
      <c r="K292" s="52">
        <f>IF(VLOOKUP(Table91213[[#This Row],[Date]],'DB Details'!$A:$Q,11)=0,"",VLOOKUP(Table91213[[#This Row],[Date]],'DB Details'!$A:$Q,11))</f>
        <v/>
      </c>
      <c r="L292" s="50">
        <f>IF(VLOOKUP(Table91213[[#This Row],[Date]],'DB Details'!$A:$Q,12)=0,"",VLOOKUP(Table91213[[#This Row],[Date]],'DB Details'!$A:$Q,12))</f>
        <v/>
      </c>
    </row>
    <row r="293">
      <c r="A293" s="53" t="n">
        <v>44348</v>
      </c>
      <c r="B293" s="50">
        <f>IF(VLOOKUP(Table91213[[#This Row],[Date]],'DB Details'!$A:$Q,2)=0,"",VLOOKUP(Table91213[[#This Row],[Date]],'DB Details'!$A:$Q,2))</f>
        <v/>
      </c>
      <c r="C293" s="51">
        <f>IF(VLOOKUP(Table91213[[#This Row],[Date]],'DB Details'!$A:$Q,3)=0,"",VLOOKUP(Table91213[[#This Row],[Date]],'DB Details'!$A:$Q,3))</f>
        <v/>
      </c>
      <c r="D293" s="51">
        <f>IF(VLOOKUP(Table91213[[#This Row],[Date]],'DB Details'!$A:$Q,4)=0,"",VLOOKUP(Table91213[[#This Row],[Date]],'DB Details'!$A:$Q,4))</f>
        <v/>
      </c>
      <c r="E293" s="52">
        <f>IF(VLOOKUP(Table91213[[#This Row],[Date]],'DB Details'!$A:$Q,5)=0,"",VLOOKUP(Table91213[[#This Row],[Date]],'DB Details'!$A:$Q,5))</f>
        <v/>
      </c>
      <c r="F293" s="51">
        <f>IF(VLOOKUP(Table91213[[#This Row],[Date]],'DB Details'!$A:$Q,6)=0,"",VLOOKUP(Table91213[[#This Row],[Date]],'DB Details'!$A:$Q,6))</f>
        <v/>
      </c>
      <c r="G293" s="52">
        <f>IF(VLOOKUP(Table91213[[#This Row],[Date]],'DB Details'!$A:$Q,7)=0,"",VLOOKUP(Table91213[[#This Row],[Date]],'DB Details'!$A:$Q,7))</f>
        <v/>
      </c>
      <c r="H293" s="52">
        <f>IF(VLOOKUP(Table91213[[#This Row],[Date]],'DB Details'!$A:$Q,8)=0,"",VLOOKUP(Table91213[[#This Row],[Date]],'DB Details'!$A:$Q,8))</f>
        <v/>
      </c>
      <c r="I293" s="52">
        <f>IF(VLOOKUP(Table91213[[#This Row],[Date]],'DB Details'!$A:$Q,9)=0,"",VLOOKUP(Table91213[[#This Row],[Date]],'DB Details'!$A:$Q,9))</f>
        <v/>
      </c>
      <c r="J293" s="52">
        <f>IF(VLOOKUP(Table91213[[#This Row],[Date]],'DB Details'!$A:$Q,10)=0,"",VLOOKUP(Table91213[[#This Row],[Date]],'DB Details'!$A:$Q,10))</f>
        <v/>
      </c>
      <c r="K293" s="52">
        <f>IF(VLOOKUP(Table91213[[#This Row],[Date]],'DB Details'!$A:$Q,11)=0,"",VLOOKUP(Table91213[[#This Row],[Date]],'DB Details'!$A:$Q,11))</f>
        <v/>
      </c>
      <c r="L293" s="50">
        <f>IF(VLOOKUP(Table91213[[#This Row],[Date]],'DB Details'!$A:$Q,12)=0,"",VLOOKUP(Table91213[[#This Row],[Date]],'DB Details'!$A:$Q,12))</f>
        <v/>
      </c>
    </row>
    <row r="294">
      <c r="A294" s="53" t="n">
        <v>44378</v>
      </c>
      <c r="B294" s="50">
        <f>IF(VLOOKUP(Table91213[[#This Row],[Date]],'DB Details'!$A:$Q,2)=0,"",VLOOKUP(Table91213[[#This Row],[Date]],'DB Details'!$A:$Q,2))</f>
        <v/>
      </c>
      <c r="C294" s="51">
        <f>IF(VLOOKUP(Table91213[[#This Row],[Date]],'DB Details'!$A:$Q,3)=0,"",VLOOKUP(Table91213[[#This Row],[Date]],'DB Details'!$A:$Q,3))</f>
        <v/>
      </c>
      <c r="D294" s="51">
        <f>IF(VLOOKUP(Table91213[[#This Row],[Date]],'DB Details'!$A:$Q,4)=0,"",VLOOKUP(Table91213[[#This Row],[Date]],'DB Details'!$A:$Q,4))</f>
        <v/>
      </c>
      <c r="E294" s="52">
        <f>IF(VLOOKUP(Table91213[[#This Row],[Date]],'DB Details'!$A:$Q,5)=0,"",VLOOKUP(Table91213[[#This Row],[Date]],'DB Details'!$A:$Q,5))</f>
        <v/>
      </c>
      <c r="F294" s="51">
        <f>IF(VLOOKUP(Table91213[[#This Row],[Date]],'DB Details'!$A:$Q,6)=0,"",VLOOKUP(Table91213[[#This Row],[Date]],'DB Details'!$A:$Q,6))</f>
        <v/>
      </c>
      <c r="G294" s="52">
        <f>IF(VLOOKUP(Table91213[[#This Row],[Date]],'DB Details'!$A:$Q,7)=0,"",VLOOKUP(Table91213[[#This Row],[Date]],'DB Details'!$A:$Q,7))</f>
        <v/>
      </c>
      <c r="H294" s="52">
        <f>IF(VLOOKUP(Table91213[[#This Row],[Date]],'DB Details'!$A:$Q,8)=0,"",VLOOKUP(Table91213[[#This Row],[Date]],'DB Details'!$A:$Q,8))</f>
        <v/>
      </c>
      <c r="I294" s="52">
        <f>IF(VLOOKUP(Table91213[[#This Row],[Date]],'DB Details'!$A:$Q,9)=0,"",VLOOKUP(Table91213[[#This Row],[Date]],'DB Details'!$A:$Q,9))</f>
        <v/>
      </c>
      <c r="J294" s="52">
        <f>IF(VLOOKUP(Table91213[[#This Row],[Date]],'DB Details'!$A:$Q,10)=0,"",VLOOKUP(Table91213[[#This Row],[Date]],'DB Details'!$A:$Q,10))</f>
        <v/>
      </c>
      <c r="K294" s="52">
        <f>IF(VLOOKUP(Table91213[[#This Row],[Date]],'DB Details'!$A:$Q,11)=0,"",VLOOKUP(Table91213[[#This Row],[Date]],'DB Details'!$A:$Q,11))</f>
        <v/>
      </c>
      <c r="L294" s="50">
        <f>IF(VLOOKUP(Table91213[[#This Row],[Date]],'DB Details'!$A:$Q,12)=0,"",VLOOKUP(Table91213[[#This Row],[Date]],'DB Details'!$A:$Q,12))</f>
        <v/>
      </c>
    </row>
    <row r="295">
      <c r="A295" s="53" t="n">
        <v>44409</v>
      </c>
      <c r="B295" s="50">
        <f>IF(VLOOKUP(Table91213[[#This Row],[Date]],'DB Details'!$A:$Q,2)=0,"",VLOOKUP(Table91213[[#This Row],[Date]],'DB Details'!$A:$Q,2))</f>
        <v/>
      </c>
      <c r="C295" s="51">
        <f>IF(VLOOKUP(Table91213[[#This Row],[Date]],'DB Details'!$A:$Q,3)=0,"",VLOOKUP(Table91213[[#This Row],[Date]],'DB Details'!$A:$Q,3))</f>
        <v/>
      </c>
      <c r="D295" s="51">
        <f>IF(VLOOKUP(Table91213[[#This Row],[Date]],'DB Details'!$A:$Q,4)=0,"",VLOOKUP(Table91213[[#This Row],[Date]],'DB Details'!$A:$Q,4))</f>
        <v/>
      </c>
      <c r="E295" s="52">
        <f>IF(VLOOKUP(Table91213[[#This Row],[Date]],'DB Details'!$A:$Q,5)=0,"",VLOOKUP(Table91213[[#This Row],[Date]],'DB Details'!$A:$Q,5))</f>
        <v/>
      </c>
      <c r="F295" s="51">
        <f>IF(VLOOKUP(Table91213[[#This Row],[Date]],'DB Details'!$A:$Q,6)=0,"",VLOOKUP(Table91213[[#This Row],[Date]],'DB Details'!$A:$Q,6))</f>
        <v/>
      </c>
      <c r="G295" s="52">
        <f>IF(VLOOKUP(Table91213[[#This Row],[Date]],'DB Details'!$A:$Q,7)=0,"",VLOOKUP(Table91213[[#This Row],[Date]],'DB Details'!$A:$Q,7))</f>
        <v/>
      </c>
      <c r="H295" s="52">
        <f>IF(VLOOKUP(Table91213[[#This Row],[Date]],'DB Details'!$A:$Q,8)=0,"",VLOOKUP(Table91213[[#This Row],[Date]],'DB Details'!$A:$Q,8))</f>
        <v/>
      </c>
      <c r="I295" s="52">
        <f>IF(VLOOKUP(Table91213[[#This Row],[Date]],'DB Details'!$A:$Q,9)=0,"",VLOOKUP(Table91213[[#This Row],[Date]],'DB Details'!$A:$Q,9))</f>
        <v/>
      </c>
      <c r="J295" s="52">
        <f>IF(VLOOKUP(Table91213[[#This Row],[Date]],'DB Details'!$A:$Q,10)=0,"",VLOOKUP(Table91213[[#This Row],[Date]],'DB Details'!$A:$Q,10))</f>
        <v/>
      </c>
      <c r="K295" s="52">
        <f>IF(VLOOKUP(Table91213[[#This Row],[Date]],'DB Details'!$A:$Q,11)=0,"",VLOOKUP(Table91213[[#This Row],[Date]],'DB Details'!$A:$Q,11))</f>
        <v/>
      </c>
      <c r="L295" s="50">
        <f>IF(VLOOKUP(Table91213[[#This Row],[Date]],'DB Details'!$A:$Q,12)=0,"",VLOOKUP(Table91213[[#This Row],[Date]],'DB Details'!$A:$Q,12))</f>
        <v/>
      </c>
    </row>
    <row r="296">
      <c r="A296" s="53" t="n">
        <v>44440</v>
      </c>
      <c r="B296" s="50">
        <f>IF(VLOOKUP(Table91213[[#This Row],[Date]],'DB Details'!$A:$Q,2)=0,"",VLOOKUP(Table91213[[#This Row],[Date]],'DB Details'!$A:$Q,2))</f>
        <v/>
      </c>
      <c r="C296" s="51">
        <f>IF(VLOOKUP(Table91213[[#This Row],[Date]],'DB Details'!$A:$Q,3)=0,"",VLOOKUP(Table91213[[#This Row],[Date]],'DB Details'!$A:$Q,3))</f>
        <v/>
      </c>
      <c r="D296" s="51">
        <f>IF(VLOOKUP(Table91213[[#This Row],[Date]],'DB Details'!$A:$Q,4)=0,"",VLOOKUP(Table91213[[#This Row],[Date]],'DB Details'!$A:$Q,4))</f>
        <v/>
      </c>
      <c r="E296" s="52">
        <f>IF(VLOOKUP(Table91213[[#This Row],[Date]],'DB Details'!$A:$Q,5)=0,"",VLOOKUP(Table91213[[#This Row],[Date]],'DB Details'!$A:$Q,5))</f>
        <v/>
      </c>
      <c r="F296" s="51">
        <f>IF(VLOOKUP(Table91213[[#This Row],[Date]],'DB Details'!$A:$Q,6)=0,"",VLOOKUP(Table91213[[#This Row],[Date]],'DB Details'!$A:$Q,6))</f>
        <v/>
      </c>
      <c r="G296" s="52">
        <f>IF(VLOOKUP(Table91213[[#This Row],[Date]],'DB Details'!$A:$Q,7)=0,"",VLOOKUP(Table91213[[#This Row],[Date]],'DB Details'!$A:$Q,7))</f>
        <v/>
      </c>
      <c r="H296" s="52">
        <f>IF(VLOOKUP(Table91213[[#This Row],[Date]],'DB Details'!$A:$Q,8)=0,"",VLOOKUP(Table91213[[#This Row],[Date]],'DB Details'!$A:$Q,8))</f>
        <v/>
      </c>
      <c r="I296" s="52">
        <f>IF(VLOOKUP(Table91213[[#This Row],[Date]],'DB Details'!$A:$Q,9)=0,"",VLOOKUP(Table91213[[#This Row],[Date]],'DB Details'!$A:$Q,9))</f>
        <v/>
      </c>
      <c r="J296" s="52">
        <f>IF(VLOOKUP(Table91213[[#This Row],[Date]],'DB Details'!$A:$Q,10)=0,"",VLOOKUP(Table91213[[#This Row],[Date]],'DB Details'!$A:$Q,10))</f>
        <v/>
      </c>
      <c r="K296" s="52">
        <f>IF(VLOOKUP(Table91213[[#This Row],[Date]],'DB Details'!$A:$Q,11)=0,"",VLOOKUP(Table91213[[#This Row],[Date]],'DB Details'!$A:$Q,11))</f>
        <v/>
      </c>
      <c r="L296" s="50">
        <f>IF(VLOOKUP(Table91213[[#This Row],[Date]],'DB Details'!$A:$Q,12)=0,"",VLOOKUP(Table91213[[#This Row],[Date]],'DB Details'!$A:$Q,12))</f>
        <v/>
      </c>
    </row>
    <row r="297">
      <c r="A297" s="53" t="n">
        <v>44470</v>
      </c>
      <c r="B297" s="50">
        <f>IF(VLOOKUP(Table91213[[#This Row],[Date]],'DB Details'!$A:$Q,2)=0,"",VLOOKUP(Table91213[[#This Row],[Date]],'DB Details'!$A:$Q,2))</f>
        <v/>
      </c>
      <c r="C297" s="51">
        <f>IF(VLOOKUP(Table91213[[#This Row],[Date]],'DB Details'!$A:$Q,3)=0,"",VLOOKUP(Table91213[[#This Row],[Date]],'DB Details'!$A:$Q,3))</f>
        <v/>
      </c>
      <c r="D297" s="51">
        <f>IF(VLOOKUP(Table91213[[#This Row],[Date]],'DB Details'!$A:$Q,4)=0,"",VLOOKUP(Table91213[[#This Row],[Date]],'DB Details'!$A:$Q,4))</f>
        <v/>
      </c>
      <c r="E297" s="52">
        <f>IF(VLOOKUP(Table91213[[#This Row],[Date]],'DB Details'!$A:$Q,5)=0,"",VLOOKUP(Table91213[[#This Row],[Date]],'DB Details'!$A:$Q,5))</f>
        <v/>
      </c>
      <c r="F297" s="51">
        <f>IF(VLOOKUP(Table91213[[#This Row],[Date]],'DB Details'!$A:$Q,6)=0,"",VLOOKUP(Table91213[[#This Row],[Date]],'DB Details'!$A:$Q,6))</f>
        <v/>
      </c>
      <c r="G297" s="52">
        <f>IF(VLOOKUP(Table91213[[#This Row],[Date]],'DB Details'!$A:$Q,7)=0,"",VLOOKUP(Table91213[[#This Row],[Date]],'DB Details'!$A:$Q,7))</f>
        <v/>
      </c>
      <c r="H297" s="52">
        <f>IF(VLOOKUP(Table91213[[#This Row],[Date]],'DB Details'!$A:$Q,8)=0,"",VLOOKUP(Table91213[[#This Row],[Date]],'DB Details'!$A:$Q,8))</f>
        <v/>
      </c>
      <c r="I297" s="52">
        <f>IF(VLOOKUP(Table91213[[#This Row],[Date]],'DB Details'!$A:$Q,9)=0,"",VLOOKUP(Table91213[[#This Row],[Date]],'DB Details'!$A:$Q,9))</f>
        <v/>
      </c>
      <c r="J297" s="52">
        <f>IF(VLOOKUP(Table91213[[#This Row],[Date]],'DB Details'!$A:$Q,10)=0,"",VLOOKUP(Table91213[[#This Row],[Date]],'DB Details'!$A:$Q,10))</f>
        <v/>
      </c>
      <c r="K297" s="52">
        <f>IF(VLOOKUP(Table91213[[#This Row],[Date]],'DB Details'!$A:$Q,11)=0,"",VLOOKUP(Table91213[[#This Row],[Date]],'DB Details'!$A:$Q,11))</f>
        <v/>
      </c>
      <c r="L297" s="50">
        <f>IF(VLOOKUP(Table91213[[#This Row],[Date]],'DB Details'!$A:$Q,12)=0,"",VLOOKUP(Table91213[[#This Row],[Date]],'DB Details'!$A:$Q,12))</f>
        <v/>
      </c>
    </row>
    <row r="298">
      <c r="A298" s="53" t="n">
        <v>44501</v>
      </c>
      <c r="B298" s="50">
        <f>IF(VLOOKUP(Table91213[[#This Row],[Date]],'DB Details'!$A:$Q,2)=0,"",VLOOKUP(Table91213[[#This Row],[Date]],'DB Details'!$A:$Q,2))</f>
        <v/>
      </c>
      <c r="C298" s="51">
        <f>IF(VLOOKUP(Table91213[[#This Row],[Date]],'DB Details'!$A:$Q,3)=0,"",VLOOKUP(Table91213[[#This Row],[Date]],'DB Details'!$A:$Q,3))</f>
        <v/>
      </c>
      <c r="D298" s="51">
        <f>IF(VLOOKUP(Table91213[[#This Row],[Date]],'DB Details'!$A:$Q,4)=0,"",VLOOKUP(Table91213[[#This Row],[Date]],'DB Details'!$A:$Q,4))</f>
        <v/>
      </c>
      <c r="E298" s="52">
        <f>IF(VLOOKUP(Table91213[[#This Row],[Date]],'DB Details'!$A:$Q,5)=0,"",VLOOKUP(Table91213[[#This Row],[Date]],'DB Details'!$A:$Q,5))</f>
        <v/>
      </c>
      <c r="F298" s="51">
        <f>IF(VLOOKUP(Table91213[[#This Row],[Date]],'DB Details'!$A:$Q,6)=0,"",VLOOKUP(Table91213[[#This Row],[Date]],'DB Details'!$A:$Q,6))</f>
        <v/>
      </c>
      <c r="G298" s="52">
        <f>IF(VLOOKUP(Table91213[[#This Row],[Date]],'DB Details'!$A:$Q,7)=0,"",VLOOKUP(Table91213[[#This Row],[Date]],'DB Details'!$A:$Q,7))</f>
        <v/>
      </c>
      <c r="H298" s="52">
        <f>IF(VLOOKUP(Table91213[[#This Row],[Date]],'DB Details'!$A:$Q,8)=0,"",VLOOKUP(Table91213[[#This Row],[Date]],'DB Details'!$A:$Q,8))</f>
        <v/>
      </c>
      <c r="I298" s="52">
        <f>IF(VLOOKUP(Table91213[[#This Row],[Date]],'DB Details'!$A:$Q,9)=0,"",VLOOKUP(Table91213[[#This Row],[Date]],'DB Details'!$A:$Q,9))</f>
        <v/>
      </c>
      <c r="J298" s="52">
        <f>IF(VLOOKUP(Table91213[[#This Row],[Date]],'DB Details'!$A:$Q,10)=0,"",VLOOKUP(Table91213[[#This Row],[Date]],'DB Details'!$A:$Q,10))</f>
        <v/>
      </c>
      <c r="K298" s="52">
        <f>IF(VLOOKUP(Table91213[[#This Row],[Date]],'DB Details'!$A:$Q,11)=0,"",VLOOKUP(Table91213[[#This Row],[Date]],'DB Details'!$A:$Q,11))</f>
        <v/>
      </c>
      <c r="L298" s="50">
        <f>IF(VLOOKUP(Table91213[[#This Row],[Date]],'DB Details'!$A:$Q,12)=0,"",VLOOKUP(Table91213[[#This Row],[Date]],'DB Details'!$A:$Q,12))</f>
        <v/>
      </c>
    </row>
    <row r="299">
      <c r="A299" s="53" t="n">
        <v>44531</v>
      </c>
      <c r="B299" s="50">
        <f>IF(VLOOKUP(Table91213[[#This Row],[Date]],'DB Details'!$A:$Q,2)=0,"",VLOOKUP(Table91213[[#This Row],[Date]],'DB Details'!$A:$Q,2))</f>
        <v/>
      </c>
      <c r="C299" s="51">
        <f>IF(VLOOKUP(Table91213[[#This Row],[Date]],'DB Details'!$A:$Q,3)=0,"",VLOOKUP(Table91213[[#This Row],[Date]],'DB Details'!$A:$Q,3))</f>
        <v/>
      </c>
      <c r="D299" s="51">
        <f>IF(VLOOKUP(Table91213[[#This Row],[Date]],'DB Details'!$A:$Q,4)=0,"",VLOOKUP(Table91213[[#This Row],[Date]],'DB Details'!$A:$Q,4))</f>
        <v/>
      </c>
      <c r="E299" s="52">
        <f>IF(VLOOKUP(Table91213[[#This Row],[Date]],'DB Details'!$A:$Q,5)=0,"",VLOOKUP(Table91213[[#This Row],[Date]],'DB Details'!$A:$Q,5))</f>
        <v/>
      </c>
      <c r="F299" s="51">
        <f>IF(VLOOKUP(Table91213[[#This Row],[Date]],'DB Details'!$A:$Q,6)=0,"",VLOOKUP(Table91213[[#This Row],[Date]],'DB Details'!$A:$Q,6))</f>
        <v/>
      </c>
      <c r="G299" s="52">
        <f>IF(VLOOKUP(Table91213[[#This Row],[Date]],'DB Details'!$A:$Q,7)=0,"",VLOOKUP(Table91213[[#This Row],[Date]],'DB Details'!$A:$Q,7))</f>
        <v/>
      </c>
      <c r="H299" s="52">
        <f>IF(VLOOKUP(Table91213[[#This Row],[Date]],'DB Details'!$A:$Q,8)=0,"",VLOOKUP(Table91213[[#This Row],[Date]],'DB Details'!$A:$Q,8))</f>
        <v/>
      </c>
      <c r="I299" s="52">
        <f>IF(VLOOKUP(Table91213[[#This Row],[Date]],'DB Details'!$A:$Q,9)=0,"",VLOOKUP(Table91213[[#This Row],[Date]],'DB Details'!$A:$Q,9))</f>
        <v/>
      </c>
      <c r="J299" s="52">
        <f>IF(VLOOKUP(Table91213[[#This Row],[Date]],'DB Details'!$A:$Q,10)=0,"",VLOOKUP(Table91213[[#This Row],[Date]],'DB Details'!$A:$Q,10))</f>
        <v/>
      </c>
      <c r="K299" s="52">
        <f>IF(VLOOKUP(Table91213[[#This Row],[Date]],'DB Details'!$A:$Q,11)=0,"",VLOOKUP(Table91213[[#This Row],[Date]],'DB Details'!$A:$Q,11))</f>
        <v/>
      </c>
      <c r="L299" s="50">
        <f>IF(VLOOKUP(Table91213[[#This Row],[Date]],'DB Details'!$A:$Q,12)=0,"",VLOOKUP(Table91213[[#This Row],[Date]],'DB Details'!$A:$Q,12))</f>
        <v/>
      </c>
    </row>
    <row r="300">
      <c r="A300" s="53" t="n">
        <v>44562</v>
      </c>
      <c r="B300" s="50">
        <f>IF(VLOOKUP(Table91213[[#This Row],[Date]],'DB Details'!$A:$Q,2)=0,"",VLOOKUP(Table91213[[#This Row],[Date]],'DB Details'!$A:$Q,2))</f>
        <v/>
      </c>
      <c r="C300" s="51">
        <f>IF(VLOOKUP(Table91213[[#This Row],[Date]],'DB Details'!$A:$Q,3)=0,"",VLOOKUP(Table91213[[#This Row],[Date]],'DB Details'!$A:$Q,3))</f>
        <v/>
      </c>
      <c r="D300" s="51">
        <f>IF(VLOOKUP(Table91213[[#This Row],[Date]],'DB Details'!$A:$Q,4)=0,"",VLOOKUP(Table91213[[#This Row],[Date]],'DB Details'!$A:$Q,4))</f>
        <v/>
      </c>
      <c r="E300" s="52">
        <f>IF(VLOOKUP(Table91213[[#This Row],[Date]],'DB Details'!$A:$Q,5)=0,"",VLOOKUP(Table91213[[#This Row],[Date]],'DB Details'!$A:$Q,5))</f>
        <v/>
      </c>
      <c r="F300" s="51">
        <f>IF(VLOOKUP(Table91213[[#This Row],[Date]],'DB Details'!$A:$Q,6)=0,"",VLOOKUP(Table91213[[#This Row],[Date]],'DB Details'!$A:$Q,6))</f>
        <v/>
      </c>
      <c r="G300" s="52">
        <f>IF(VLOOKUP(Table91213[[#This Row],[Date]],'DB Details'!$A:$Q,7)=0,"",VLOOKUP(Table91213[[#This Row],[Date]],'DB Details'!$A:$Q,7))</f>
        <v/>
      </c>
      <c r="H300" s="52">
        <f>IF(VLOOKUP(Table91213[[#This Row],[Date]],'DB Details'!$A:$Q,8)=0,"",VLOOKUP(Table91213[[#This Row],[Date]],'DB Details'!$A:$Q,8))</f>
        <v/>
      </c>
      <c r="I300" s="52">
        <f>IF(VLOOKUP(Table91213[[#This Row],[Date]],'DB Details'!$A:$Q,9)=0,"",VLOOKUP(Table91213[[#This Row],[Date]],'DB Details'!$A:$Q,9))</f>
        <v/>
      </c>
      <c r="J300" s="52">
        <f>IF(VLOOKUP(Table91213[[#This Row],[Date]],'DB Details'!$A:$Q,10)=0,"",VLOOKUP(Table91213[[#This Row],[Date]],'DB Details'!$A:$Q,10))</f>
        <v/>
      </c>
      <c r="K300" s="52">
        <f>IF(VLOOKUP(Table91213[[#This Row],[Date]],'DB Details'!$A:$Q,11)=0,"",VLOOKUP(Table91213[[#This Row],[Date]],'DB Details'!$A:$Q,11))</f>
        <v/>
      </c>
      <c r="L300" s="50">
        <f>IF(VLOOKUP(Table91213[[#This Row],[Date]],'DB Details'!$A:$Q,12)=0,"",VLOOKUP(Table91213[[#This Row],[Date]],'DB Details'!$A:$Q,12))</f>
        <v/>
      </c>
    </row>
    <row r="301">
      <c r="A301" s="53" t="n">
        <v>44593</v>
      </c>
      <c r="B301" s="50">
        <f>IF(VLOOKUP(Table91213[[#This Row],[Date]],'DB Details'!$A:$Q,2)=0,"",VLOOKUP(Table91213[[#This Row],[Date]],'DB Details'!$A:$Q,2))</f>
        <v/>
      </c>
      <c r="C301" s="51">
        <f>IF(VLOOKUP(Table91213[[#This Row],[Date]],'DB Details'!$A:$Q,3)=0,"",VLOOKUP(Table91213[[#This Row],[Date]],'DB Details'!$A:$Q,3))</f>
        <v/>
      </c>
      <c r="D301" s="51">
        <f>IF(VLOOKUP(Table91213[[#This Row],[Date]],'DB Details'!$A:$Q,4)=0,"",VLOOKUP(Table91213[[#This Row],[Date]],'DB Details'!$A:$Q,4))</f>
        <v/>
      </c>
      <c r="E301" s="52">
        <f>IF(VLOOKUP(Table91213[[#This Row],[Date]],'DB Details'!$A:$Q,5)=0,"",VLOOKUP(Table91213[[#This Row],[Date]],'DB Details'!$A:$Q,5))</f>
        <v/>
      </c>
      <c r="F301" s="51">
        <f>IF(VLOOKUP(Table91213[[#This Row],[Date]],'DB Details'!$A:$Q,6)=0,"",VLOOKUP(Table91213[[#This Row],[Date]],'DB Details'!$A:$Q,6))</f>
        <v/>
      </c>
      <c r="G301" s="52">
        <f>IF(VLOOKUP(Table91213[[#This Row],[Date]],'DB Details'!$A:$Q,7)=0,"",VLOOKUP(Table91213[[#This Row],[Date]],'DB Details'!$A:$Q,7))</f>
        <v/>
      </c>
      <c r="H301" s="52">
        <f>IF(VLOOKUP(Table91213[[#This Row],[Date]],'DB Details'!$A:$Q,8)=0,"",VLOOKUP(Table91213[[#This Row],[Date]],'DB Details'!$A:$Q,8))</f>
        <v/>
      </c>
      <c r="I301" s="52">
        <f>IF(VLOOKUP(Table91213[[#This Row],[Date]],'DB Details'!$A:$Q,9)=0,"",VLOOKUP(Table91213[[#This Row],[Date]],'DB Details'!$A:$Q,9))</f>
        <v/>
      </c>
      <c r="J301" s="52">
        <f>IF(VLOOKUP(Table91213[[#This Row],[Date]],'DB Details'!$A:$Q,10)=0,"",VLOOKUP(Table91213[[#This Row],[Date]],'DB Details'!$A:$Q,10))</f>
        <v/>
      </c>
      <c r="K301" s="52">
        <f>IF(VLOOKUP(Table91213[[#This Row],[Date]],'DB Details'!$A:$Q,11)=0,"",VLOOKUP(Table91213[[#This Row],[Date]],'DB Details'!$A:$Q,11))</f>
        <v/>
      </c>
      <c r="L301" s="50">
        <f>IF(VLOOKUP(Table91213[[#This Row],[Date]],'DB Details'!$A:$Q,12)=0,"",VLOOKUP(Table91213[[#This Row],[Date]],'DB Details'!$A:$Q,12))</f>
        <v/>
      </c>
    </row>
    <row r="302">
      <c r="A302" s="53" t="n">
        <v>44621</v>
      </c>
      <c r="B302" s="50">
        <f>IF(VLOOKUP(Table91213[[#This Row],[Date]],'DB Details'!$A:$Q,2)=0,"",VLOOKUP(Table91213[[#This Row],[Date]],'DB Details'!$A:$Q,2))</f>
        <v/>
      </c>
      <c r="C302" s="51">
        <f>IF(VLOOKUP(Table91213[[#This Row],[Date]],'DB Details'!$A:$Q,3)=0,"",VLOOKUP(Table91213[[#This Row],[Date]],'DB Details'!$A:$Q,3))</f>
        <v/>
      </c>
      <c r="D302" s="51">
        <f>IF(VLOOKUP(Table91213[[#This Row],[Date]],'DB Details'!$A:$Q,4)=0,"",VLOOKUP(Table91213[[#This Row],[Date]],'DB Details'!$A:$Q,4))</f>
        <v/>
      </c>
      <c r="E302" s="52">
        <f>IF(VLOOKUP(Table91213[[#This Row],[Date]],'DB Details'!$A:$Q,5)=0,"",VLOOKUP(Table91213[[#This Row],[Date]],'DB Details'!$A:$Q,5))</f>
        <v/>
      </c>
      <c r="F302" s="51">
        <f>IF(VLOOKUP(Table91213[[#This Row],[Date]],'DB Details'!$A:$Q,6)=0,"",VLOOKUP(Table91213[[#This Row],[Date]],'DB Details'!$A:$Q,6))</f>
        <v/>
      </c>
      <c r="G302" s="52">
        <f>IF(VLOOKUP(Table91213[[#This Row],[Date]],'DB Details'!$A:$Q,7)=0,"",VLOOKUP(Table91213[[#This Row],[Date]],'DB Details'!$A:$Q,7))</f>
        <v/>
      </c>
      <c r="H302" s="52">
        <f>IF(VLOOKUP(Table91213[[#This Row],[Date]],'DB Details'!$A:$Q,8)=0,"",VLOOKUP(Table91213[[#This Row],[Date]],'DB Details'!$A:$Q,8))</f>
        <v/>
      </c>
      <c r="I302" s="52">
        <f>IF(VLOOKUP(Table91213[[#This Row],[Date]],'DB Details'!$A:$Q,9)=0,"",VLOOKUP(Table91213[[#This Row],[Date]],'DB Details'!$A:$Q,9))</f>
        <v/>
      </c>
      <c r="J302" s="52">
        <f>IF(VLOOKUP(Table91213[[#This Row],[Date]],'DB Details'!$A:$Q,10)=0,"",VLOOKUP(Table91213[[#This Row],[Date]],'DB Details'!$A:$Q,10))</f>
        <v/>
      </c>
      <c r="K302" s="52">
        <f>IF(VLOOKUP(Table91213[[#This Row],[Date]],'DB Details'!$A:$Q,11)=0,"",VLOOKUP(Table91213[[#This Row],[Date]],'DB Details'!$A:$Q,11))</f>
        <v/>
      </c>
      <c r="L302" s="50">
        <f>IF(VLOOKUP(Table91213[[#This Row],[Date]],'DB Details'!$A:$Q,12)=0,"",VLOOKUP(Table91213[[#This Row],[Date]],'DB Details'!$A:$Q,12))</f>
        <v/>
      </c>
    </row>
    <row r="303">
      <c r="A303" s="53" t="n">
        <v>44652</v>
      </c>
      <c r="B303" s="50">
        <f>IF(VLOOKUP(Table91213[[#This Row],[Date]],'DB Details'!$A:$Q,2)=0,"",VLOOKUP(Table91213[[#This Row],[Date]],'DB Details'!$A:$Q,2))</f>
        <v/>
      </c>
      <c r="C303" s="51">
        <f>IF(VLOOKUP(Table91213[[#This Row],[Date]],'DB Details'!$A:$Q,3)=0,"",VLOOKUP(Table91213[[#This Row],[Date]],'DB Details'!$A:$Q,3))</f>
        <v/>
      </c>
      <c r="D303" s="51">
        <f>IF(VLOOKUP(Table91213[[#This Row],[Date]],'DB Details'!$A:$Q,4)=0,"",VLOOKUP(Table91213[[#This Row],[Date]],'DB Details'!$A:$Q,4))</f>
        <v/>
      </c>
      <c r="E303" s="52">
        <f>IF(VLOOKUP(Table91213[[#This Row],[Date]],'DB Details'!$A:$Q,5)=0,"",VLOOKUP(Table91213[[#This Row],[Date]],'DB Details'!$A:$Q,5))</f>
        <v/>
      </c>
      <c r="F303" s="51">
        <f>IF(VLOOKUP(Table91213[[#This Row],[Date]],'DB Details'!$A:$Q,6)=0,"",VLOOKUP(Table91213[[#This Row],[Date]],'DB Details'!$A:$Q,6))</f>
        <v/>
      </c>
      <c r="G303" s="52">
        <f>IF(VLOOKUP(Table91213[[#This Row],[Date]],'DB Details'!$A:$Q,7)=0,"",VLOOKUP(Table91213[[#This Row],[Date]],'DB Details'!$A:$Q,7))</f>
        <v/>
      </c>
      <c r="H303" s="52">
        <f>IF(VLOOKUP(Table91213[[#This Row],[Date]],'DB Details'!$A:$Q,8)=0,"",VLOOKUP(Table91213[[#This Row],[Date]],'DB Details'!$A:$Q,8))</f>
        <v/>
      </c>
      <c r="I303" s="52">
        <f>IF(VLOOKUP(Table91213[[#This Row],[Date]],'DB Details'!$A:$Q,9)=0,"",VLOOKUP(Table91213[[#This Row],[Date]],'DB Details'!$A:$Q,9))</f>
        <v/>
      </c>
      <c r="J303" s="52">
        <f>IF(VLOOKUP(Table91213[[#This Row],[Date]],'DB Details'!$A:$Q,10)=0,"",VLOOKUP(Table91213[[#This Row],[Date]],'DB Details'!$A:$Q,10))</f>
        <v/>
      </c>
      <c r="K303" s="52">
        <f>IF(VLOOKUP(Table91213[[#This Row],[Date]],'DB Details'!$A:$Q,11)=0,"",VLOOKUP(Table91213[[#This Row],[Date]],'DB Details'!$A:$Q,11))</f>
        <v/>
      </c>
      <c r="L303" s="50">
        <f>IF(VLOOKUP(Table91213[[#This Row],[Date]],'DB Details'!$A:$Q,12)=0,"",VLOOKUP(Table91213[[#This Row],[Date]],'DB Details'!$A:$Q,12))</f>
        <v/>
      </c>
    </row>
    <row r="304">
      <c r="A304" s="53" t="n">
        <v>44682</v>
      </c>
      <c r="B304" s="50">
        <f>IF(VLOOKUP(Table91213[[#This Row],[Date]],'DB Details'!$A:$Q,2)=0,"",VLOOKUP(Table91213[[#This Row],[Date]],'DB Details'!$A:$Q,2))</f>
        <v/>
      </c>
      <c r="C304" s="51">
        <f>IF(VLOOKUP(Table91213[[#This Row],[Date]],'DB Details'!$A:$Q,3)=0,"",VLOOKUP(Table91213[[#This Row],[Date]],'DB Details'!$A:$Q,3))</f>
        <v/>
      </c>
      <c r="D304" s="51">
        <f>IF(VLOOKUP(Table91213[[#This Row],[Date]],'DB Details'!$A:$Q,4)=0,"",VLOOKUP(Table91213[[#This Row],[Date]],'DB Details'!$A:$Q,4))</f>
        <v/>
      </c>
      <c r="E304" s="52">
        <f>IF(VLOOKUP(Table91213[[#This Row],[Date]],'DB Details'!$A:$Q,5)=0,"",VLOOKUP(Table91213[[#This Row],[Date]],'DB Details'!$A:$Q,5))</f>
        <v/>
      </c>
      <c r="F304" s="51">
        <f>IF(VLOOKUP(Table91213[[#This Row],[Date]],'DB Details'!$A:$Q,6)=0,"",VLOOKUP(Table91213[[#This Row],[Date]],'DB Details'!$A:$Q,6))</f>
        <v/>
      </c>
      <c r="G304" s="52">
        <f>IF(VLOOKUP(Table91213[[#This Row],[Date]],'DB Details'!$A:$Q,7)=0,"",VLOOKUP(Table91213[[#This Row],[Date]],'DB Details'!$A:$Q,7))</f>
        <v/>
      </c>
      <c r="H304" s="52">
        <f>IF(VLOOKUP(Table91213[[#This Row],[Date]],'DB Details'!$A:$Q,8)=0,"",VLOOKUP(Table91213[[#This Row],[Date]],'DB Details'!$A:$Q,8))</f>
        <v/>
      </c>
      <c r="I304" s="52">
        <f>IF(VLOOKUP(Table91213[[#This Row],[Date]],'DB Details'!$A:$Q,9)=0,"",VLOOKUP(Table91213[[#This Row],[Date]],'DB Details'!$A:$Q,9))</f>
        <v/>
      </c>
      <c r="J304" s="52">
        <f>IF(VLOOKUP(Table91213[[#This Row],[Date]],'DB Details'!$A:$Q,10)=0,"",VLOOKUP(Table91213[[#This Row],[Date]],'DB Details'!$A:$Q,10))</f>
        <v/>
      </c>
      <c r="K304" s="52">
        <f>IF(VLOOKUP(Table91213[[#This Row],[Date]],'DB Details'!$A:$Q,11)=0,"",VLOOKUP(Table91213[[#This Row],[Date]],'DB Details'!$A:$Q,11))</f>
        <v/>
      </c>
      <c r="L304" s="50">
        <f>IF(VLOOKUP(Table91213[[#This Row],[Date]],'DB Details'!$A:$Q,12)=0,"",VLOOKUP(Table91213[[#This Row],[Date]],'DB Details'!$A:$Q,12))</f>
        <v/>
      </c>
    </row>
    <row r="305">
      <c r="A305" s="53" t="n">
        <v>44713</v>
      </c>
      <c r="B305" s="50">
        <f>IF(VLOOKUP(Table91213[[#This Row],[Date]],'DB Details'!$A:$Q,2)=0,"",VLOOKUP(Table91213[[#This Row],[Date]],'DB Details'!$A:$Q,2))</f>
        <v/>
      </c>
      <c r="C305" s="51">
        <f>IF(VLOOKUP(Table91213[[#This Row],[Date]],'DB Details'!$A:$Q,3)=0,"",VLOOKUP(Table91213[[#This Row],[Date]],'DB Details'!$A:$Q,3))</f>
        <v/>
      </c>
      <c r="D305" s="51">
        <f>IF(VLOOKUP(Table91213[[#This Row],[Date]],'DB Details'!$A:$Q,4)=0,"",VLOOKUP(Table91213[[#This Row],[Date]],'DB Details'!$A:$Q,4))</f>
        <v/>
      </c>
      <c r="E305" s="52">
        <f>IF(VLOOKUP(Table91213[[#This Row],[Date]],'DB Details'!$A:$Q,5)=0,"",VLOOKUP(Table91213[[#This Row],[Date]],'DB Details'!$A:$Q,5))</f>
        <v/>
      </c>
      <c r="F305" s="51">
        <f>IF(VLOOKUP(Table91213[[#This Row],[Date]],'DB Details'!$A:$Q,6)=0,"",VLOOKUP(Table91213[[#This Row],[Date]],'DB Details'!$A:$Q,6))</f>
        <v/>
      </c>
      <c r="G305" s="52">
        <f>IF(VLOOKUP(Table91213[[#This Row],[Date]],'DB Details'!$A:$Q,7)=0,"",VLOOKUP(Table91213[[#This Row],[Date]],'DB Details'!$A:$Q,7))</f>
        <v/>
      </c>
      <c r="H305" s="52">
        <f>IF(VLOOKUP(Table91213[[#This Row],[Date]],'DB Details'!$A:$Q,8)=0,"",VLOOKUP(Table91213[[#This Row],[Date]],'DB Details'!$A:$Q,8))</f>
        <v/>
      </c>
      <c r="I305" s="52">
        <f>IF(VLOOKUP(Table91213[[#This Row],[Date]],'DB Details'!$A:$Q,9)=0,"",VLOOKUP(Table91213[[#This Row],[Date]],'DB Details'!$A:$Q,9))</f>
        <v/>
      </c>
      <c r="J305" s="52">
        <f>IF(VLOOKUP(Table91213[[#This Row],[Date]],'DB Details'!$A:$Q,10)=0,"",VLOOKUP(Table91213[[#This Row],[Date]],'DB Details'!$A:$Q,10))</f>
        <v/>
      </c>
      <c r="K305" s="52">
        <f>IF(VLOOKUP(Table91213[[#This Row],[Date]],'DB Details'!$A:$Q,11)=0,"",VLOOKUP(Table91213[[#This Row],[Date]],'DB Details'!$A:$Q,11))</f>
        <v/>
      </c>
      <c r="L305" s="50">
        <f>IF(VLOOKUP(Table91213[[#This Row],[Date]],'DB Details'!$A:$Q,12)=0,"",VLOOKUP(Table91213[[#This Row],[Date]],'DB Details'!$A:$Q,12))</f>
        <v/>
      </c>
    </row>
  </sheetData>
  <pageMargins left="0.7" right="0.7" top="0.75" bottom="0.75" header="0.3" footer="0.3"/>
  <tableParts count="1">
    <tablePart xmlns:r="http://schemas.openxmlformats.org/officeDocument/2006/relationships" r:id="rId1"/>
  </tableParts>
</worksheet>
</file>

<file path=xl/worksheets/sheet11.xml><?xml version="1.0" encoding="utf-8"?>
<worksheet xmlns="http://schemas.openxmlformats.org/spreadsheetml/2006/main">
  <sheetPr>
    <outlinePr summaryBelow="1" summaryRight="1"/>
    <pageSetUpPr/>
  </sheetPr>
  <dimension ref="A1:A1"/>
  <sheetViews>
    <sheetView topLeftCell="A40" zoomScale="150" zoomScaleNormal="150" workbookViewId="0">
      <selection activeCell="AD27" sqref="AD27"/>
    </sheetView>
  </sheetViews>
  <sheetFormatPr baseColWidth="10" defaultColWidth="9.1640625" defaultRowHeight="15"/>
  <cols>
    <col width="9.1640625" customWidth="1" style="70" min="1" max="15"/>
    <col width="9.1640625" customWidth="1" style="70" min="16" max="16384"/>
  </cols>
  <sheetData/>
  <pageMargins left="0.7" right="0.7" top="0.75" bottom="0.75" header="0.3" footer="0.3"/>
  <drawing xmlns:r="http://schemas.openxmlformats.org/officeDocument/2006/relationships" r:id="rId1"/>
</worksheet>
</file>

<file path=xl/worksheets/sheet12.xml><?xml version="1.0" encoding="utf-8"?>
<worksheet xmlns="http://schemas.openxmlformats.org/spreadsheetml/2006/main">
  <sheetPr>
    <tabColor rgb="FFFF0000"/>
    <outlinePr summaryBelow="1" summaryRight="1"/>
    <pageSetUpPr/>
  </sheetPr>
  <dimension ref="A1:E305"/>
  <sheetViews>
    <sheetView zoomScale="170" zoomScaleNormal="170" workbookViewId="0">
      <pane ySplit="5" topLeftCell="A279" activePane="bottomLeft" state="frozen"/>
      <selection activeCell="F274" sqref="F274"/>
      <selection pane="bottomLeft" activeCell="R299" sqref="R299"/>
    </sheetView>
  </sheetViews>
  <sheetFormatPr baseColWidth="10" defaultColWidth="9.1640625" defaultRowHeight="15"/>
  <cols>
    <col width="12.33203125" customWidth="1" style="70" min="1" max="1"/>
    <col width="14.6640625" customWidth="1" style="70" min="2" max="5"/>
    <col width="9.1640625" customWidth="1" style="70" min="6" max="20"/>
    <col width="9.1640625" customWidth="1" style="70" min="21" max="16384"/>
  </cols>
  <sheetData>
    <row r="1">
      <c r="A1" s="28" t="inlineStr">
        <is>
          <t>ISM Services vs GDP</t>
        </is>
      </c>
    </row>
    <row r="2" ht="3.75" customHeight="1" s="65"/>
    <row r="3" ht="3.75" customHeight="1" s="65"/>
    <row r="4" ht="16" customHeight="1" s="65" thickBot="1"/>
    <row r="5" ht="25" customHeight="1" s="65" thickBot="1">
      <c r="A5" s="55" t="inlineStr">
        <is>
          <t>Date</t>
        </is>
      </c>
      <c r="B5" s="56" t="inlineStr">
        <is>
          <t>ISM Services</t>
        </is>
      </c>
      <c r="C5" s="57" t="inlineStr">
        <is>
          <t>GDP growth yoy %</t>
        </is>
      </c>
      <c r="D5" s="58" t="inlineStr">
        <is>
          <t>GDP growth qoq %</t>
        </is>
      </c>
      <c r="E5" s="59" t="inlineStr">
        <is>
          <t>GDP growth q/q % (annualised)</t>
        </is>
      </c>
    </row>
    <row r="6">
      <c r="A6" s="60" t="n">
        <v>35612</v>
      </c>
      <c r="B6" s="50">
        <f>IF(VLOOKUP(Table311[[#This Row],[Date]],'DB Details'!$A:$Q,12)=0,"",VLOOKUP(Table311[[#This Row],[Date]],'DB Details'!$A:$Q,12))</f>
        <v/>
      </c>
      <c r="C6" s="61">
        <f>IF(VLOOKUP(Table311[[#This Row],[Date]],'DB Details'!$A:$Q,16)=0,"",VLOOKUP(Table311[[#This Row],[Date]],'DB Details'!$A:$Q,16))</f>
        <v/>
      </c>
      <c r="D6" s="61">
        <f>IF(VLOOKUP(Table311[[#This Row],[Date]],'DB Details'!$A:$Q,15)=0,"",VLOOKUP(Table311[[#This Row],[Date]],'DB Details'!$A:$Q,15))</f>
        <v/>
      </c>
      <c r="E6" s="61">
        <f>IF(VLOOKUP(Table311[[#This Row],[Date]],'DB Details'!$A:$Q,17)=0,"",VLOOKUP(Table311[[#This Row],[Date]],'DB Details'!$A:$Q,17))</f>
        <v/>
      </c>
    </row>
    <row r="7">
      <c r="A7" s="60" t="n">
        <v>35643</v>
      </c>
      <c r="B7" s="50">
        <f>IF(VLOOKUP(Table311[[#This Row],[Date]],'DB Details'!$A:$Q,12)=0,"",VLOOKUP(Table311[[#This Row],[Date]],'DB Details'!$A:$Q,12))</f>
        <v/>
      </c>
      <c r="C7" s="61">
        <f>IF(VLOOKUP(Table311[[#This Row],[Date]],'DB Details'!$A:$Q,16)=0,"",VLOOKUP(Table311[[#This Row],[Date]],'DB Details'!$A:$Q,16))</f>
        <v/>
      </c>
      <c r="D7" s="61">
        <f>IF(VLOOKUP(Table311[[#This Row],[Date]],'DB Details'!$A:$Q,15)=0,"",VLOOKUP(Table311[[#This Row],[Date]],'DB Details'!$A:$Q,15))</f>
        <v/>
      </c>
      <c r="E7" s="61">
        <f>IF(VLOOKUP(Table311[[#This Row],[Date]],'DB Details'!$A:$Q,17)=0,"",VLOOKUP(Table311[[#This Row],[Date]],'DB Details'!$A:$Q,17))</f>
        <v/>
      </c>
    </row>
    <row r="8">
      <c r="A8" s="60" t="n">
        <v>35674</v>
      </c>
      <c r="B8" s="50">
        <f>IF(VLOOKUP(Table311[[#This Row],[Date]],'DB Details'!$A:$Q,12)=0,"",VLOOKUP(Table311[[#This Row],[Date]],'DB Details'!$A:$Q,12))</f>
        <v/>
      </c>
      <c r="C8" s="61">
        <f>IF(VLOOKUP(Table311[[#This Row],[Date]],'DB Details'!$A:$Q,16)=0,"",VLOOKUP(Table311[[#This Row],[Date]],'DB Details'!$A:$Q,16))</f>
        <v/>
      </c>
      <c r="D8" s="61">
        <f>IF(VLOOKUP(Table311[[#This Row],[Date]],'DB Details'!$A:$Q,15)=0,"",VLOOKUP(Table311[[#This Row],[Date]],'DB Details'!$A:$Q,15))</f>
        <v/>
      </c>
      <c r="E8" s="61">
        <f>IF(VLOOKUP(Table311[[#This Row],[Date]],'DB Details'!$A:$Q,17)=0,"",VLOOKUP(Table311[[#This Row],[Date]],'DB Details'!$A:$Q,17))</f>
        <v/>
      </c>
    </row>
    <row r="9">
      <c r="A9" s="60" t="n">
        <v>35704</v>
      </c>
      <c r="B9" s="50">
        <f>IF(VLOOKUP(Table311[[#This Row],[Date]],'DB Details'!$A:$Q,12)=0,"",VLOOKUP(Table311[[#This Row],[Date]],'DB Details'!$A:$Q,12))</f>
        <v/>
      </c>
      <c r="C9" s="61">
        <f>IF(VLOOKUP(Table311[[#This Row],[Date]],'DB Details'!$A:$Q,16)=0,"",VLOOKUP(Table311[[#This Row],[Date]],'DB Details'!$A:$Q,16))</f>
        <v/>
      </c>
      <c r="D9" s="61">
        <f>IF(VLOOKUP(Table311[[#This Row],[Date]],'DB Details'!$A:$Q,15)=0,"",VLOOKUP(Table311[[#This Row],[Date]],'DB Details'!$A:$Q,15))</f>
        <v/>
      </c>
      <c r="E9" s="61">
        <f>IF(VLOOKUP(Table311[[#This Row],[Date]],'DB Details'!$A:$Q,17)=0,"",VLOOKUP(Table311[[#This Row],[Date]],'DB Details'!$A:$Q,17))</f>
        <v/>
      </c>
    </row>
    <row r="10">
      <c r="A10" s="60" t="n">
        <v>35735</v>
      </c>
      <c r="B10" s="50">
        <f>IF(VLOOKUP(Table311[[#This Row],[Date]],'DB Details'!$A:$Q,12)=0,"",VLOOKUP(Table311[[#This Row],[Date]],'DB Details'!$A:$Q,12))</f>
        <v/>
      </c>
      <c r="C10" s="61">
        <f>IF(VLOOKUP(Table311[[#This Row],[Date]],'DB Details'!$A:$Q,16)=0,"",VLOOKUP(Table311[[#This Row],[Date]],'DB Details'!$A:$Q,16))</f>
        <v/>
      </c>
      <c r="D10" s="61">
        <f>IF(VLOOKUP(Table311[[#This Row],[Date]],'DB Details'!$A:$Q,15)=0,"",VLOOKUP(Table311[[#This Row],[Date]],'DB Details'!$A:$Q,15))</f>
        <v/>
      </c>
      <c r="E10" s="61">
        <f>IF(VLOOKUP(Table311[[#This Row],[Date]],'DB Details'!$A:$Q,17)=0,"",VLOOKUP(Table311[[#This Row],[Date]],'DB Details'!$A:$Q,17))</f>
        <v/>
      </c>
    </row>
    <row r="11">
      <c r="A11" s="60" t="n">
        <v>35765</v>
      </c>
      <c r="B11" s="50">
        <f>IF(VLOOKUP(Table311[[#This Row],[Date]],'DB Details'!$A:$Q,12)=0,"",VLOOKUP(Table311[[#This Row],[Date]],'DB Details'!$A:$Q,12))</f>
        <v/>
      </c>
      <c r="C11" s="61">
        <f>IF(VLOOKUP(Table311[[#This Row],[Date]],'DB Details'!$A:$Q,16)=0,"",VLOOKUP(Table311[[#This Row],[Date]],'DB Details'!$A:$Q,16))</f>
        <v/>
      </c>
      <c r="D11" s="61">
        <f>IF(VLOOKUP(Table311[[#This Row],[Date]],'DB Details'!$A:$Q,15)=0,"",VLOOKUP(Table311[[#This Row],[Date]],'DB Details'!$A:$Q,15))</f>
        <v/>
      </c>
      <c r="E11" s="61">
        <f>IF(VLOOKUP(Table311[[#This Row],[Date]],'DB Details'!$A:$Q,17)=0,"",VLOOKUP(Table311[[#This Row],[Date]],'DB Details'!$A:$Q,17))</f>
        <v/>
      </c>
    </row>
    <row r="12">
      <c r="A12" s="60" t="n">
        <v>35796</v>
      </c>
      <c r="B12" s="50">
        <f>IF(VLOOKUP(Table311[[#This Row],[Date]],'DB Details'!$A:$Q,12)=0,"",VLOOKUP(Table311[[#This Row],[Date]],'DB Details'!$A:$Q,12))</f>
        <v/>
      </c>
      <c r="C12" s="61">
        <f>IF(VLOOKUP(Table311[[#This Row],[Date]],'DB Details'!$A:$Q,16)=0,"",VLOOKUP(Table311[[#This Row],[Date]],'DB Details'!$A:$Q,16))</f>
        <v/>
      </c>
      <c r="D12" s="61">
        <f>IF(VLOOKUP(Table311[[#This Row],[Date]],'DB Details'!$A:$Q,15)=0,"",VLOOKUP(Table311[[#This Row],[Date]],'DB Details'!$A:$Q,15))</f>
        <v/>
      </c>
      <c r="E12" s="61">
        <f>IF(VLOOKUP(Table311[[#This Row],[Date]],'DB Details'!$A:$Q,17)=0,"",VLOOKUP(Table311[[#This Row],[Date]],'DB Details'!$A:$Q,17))</f>
        <v/>
      </c>
    </row>
    <row r="13">
      <c r="A13" s="60" t="n">
        <v>35827</v>
      </c>
      <c r="B13" s="50">
        <f>IF(VLOOKUP(Table311[[#This Row],[Date]],'DB Details'!$A:$Q,12)=0,"",VLOOKUP(Table311[[#This Row],[Date]],'DB Details'!$A:$Q,12))</f>
        <v/>
      </c>
      <c r="C13" s="61">
        <f>IF(VLOOKUP(Table311[[#This Row],[Date]],'DB Details'!$A:$Q,16)=0,"",VLOOKUP(Table311[[#This Row],[Date]],'DB Details'!$A:$Q,16))</f>
        <v/>
      </c>
      <c r="D13" s="61">
        <f>IF(VLOOKUP(Table311[[#This Row],[Date]],'DB Details'!$A:$Q,15)=0,"",VLOOKUP(Table311[[#This Row],[Date]],'DB Details'!$A:$Q,15))</f>
        <v/>
      </c>
      <c r="E13" s="61">
        <f>IF(VLOOKUP(Table311[[#This Row],[Date]],'DB Details'!$A:$Q,17)=0,"",VLOOKUP(Table311[[#This Row],[Date]],'DB Details'!$A:$Q,17))</f>
        <v/>
      </c>
    </row>
    <row r="14">
      <c r="A14" s="60" t="n">
        <v>35855</v>
      </c>
      <c r="B14" s="50">
        <f>IF(VLOOKUP(Table311[[#This Row],[Date]],'DB Details'!$A:$Q,12)=0,"",VLOOKUP(Table311[[#This Row],[Date]],'DB Details'!$A:$Q,12))</f>
        <v/>
      </c>
      <c r="C14" s="61">
        <f>IF(VLOOKUP(Table311[[#This Row],[Date]],'DB Details'!$A:$Q,16)=0,"",VLOOKUP(Table311[[#This Row],[Date]],'DB Details'!$A:$Q,16))</f>
        <v/>
      </c>
      <c r="D14" s="61">
        <f>IF(VLOOKUP(Table311[[#This Row],[Date]],'DB Details'!$A:$Q,15)=0,"",VLOOKUP(Table311[[#This Row],[Date]],'DB Details'!$A:$Q,15))</f>
        <v/>
      </c>
      <c r="E14" s="61">
        <f>IF(VLOOKUP(Table311[[#This Row],[Date]],'DB Details'!$A:$Q,17)=0,"",VLOOKUP(Table311[[#This Row],[Date]],'DB Details'!$A:$Q,17))</f>
        <v/>
      </c>
    </row>
    <row r="15">
      <c r="A15" s="60" t="n">
        <v>35886</v>
      </c>
      <c r="B15" s="50">
        <f>IF(VLOOKUP(Table311[[#This Row],[Date]],'DB Details'!$A:$Q,12)=0,"",VLOOKUP(Table311[[#This Row],[Date]],'DB Details'!$A:$Q,12))</f>
        <v/>
      </c>
      <c r="C15" s="61">
        <f>IF(VLOOKUP(Table311[[#This Row],[Date]],'DB Details'!$A:$Q,16)=0,"",VLOOKUP(Table311[[#This Row],[Date]],'DB Details'!$A:$Q,16))</f>
        <v/>
      </c>
      <c r="D15" s="61">
        <f>IF(VLOOKUP(Table311[[#This Row],[Date]],'DB Details'!$A:$Q,15)=0,"",VLOOKUP(Table311[[#This Row],[Date]],'DB Details'!$A:$Q,15))</f>
        <v/>
      </c>
      <c r="E15" s="61">
        <f>IF(VLOOKUP(Table311[[#This Row],[Date]],'DB Details'!$A:$Q,17)=0,"",VLOOKUP(Table311[[#This Row],[Date]],'DB Details'!$A:$Q,17))</f>
        <v/>
      </c>
    </row>
    <row r="16">
      <c r="A16" s="60" t="n">
        <v>35916</v>
      </c>
      <c r="B16" s="50">
        <f>IF(VLOOKUP(Table311[[#This Row],[Date]],'DB Details'!$A:$Q,12)=0,"",VLOOKUP(Table311[[#This Row],[Date]],'DB Details'!$A:$Q,12))</f>
        <v/>
      </c>
      <c r="C16" s="61">
        <f>IF(VLOOKUP(Table311[[#This Row],[Date]],'DB Details'!$A:$Q,16)=0,"",VLOOKUP(Table311[[#This Row],[Date]],'DB Details'!$A:$Q,16))</f>
        <v/>
      </c>
      <c r="D16" s="61">
        <f>IF(VLOOKUP(Table311[[#This Row],[Date]],'DB Details'!$A:$Q,15)=0,"",VLOOKUP(Table311[[#This Row],[Date]],'DB Details'!$A:$Q,15))</f>
        <v/>
      </c>
      <c r="E16" s="61">
        <f>IF(VLOOKUP(Table311[[#This Row],[Date]],'DB Details'!$A:$Q,17)=0,"",VLOOKUP(Table311[[#This Row],[Date]],'DB Details'!$A:$Q,17))</f>
        <v/>
      </c>
    </row>
    <row r="17">
      <c r="A17" s="60" t="n">
        <v>35947</v>
      </c>
      <c r="B17" s="50">
        <f>IF(VLOOKUP(Table311[[#This Row],[Date]],'DB Details'!$A:$Q,12)=0,"",VLOOKUP(Table311[[#This Row],[Date]],'DB Details'!$A:$Q,12))</f>
        <v/>
      </c>
      <c r="C17" s="61">
        <f>IF(VLOOKUP(Table311[[#This Row],[Date]],'DB Details'!$A:$Q,16)=0,"",VLOOKUP(Table311[[#This Row],[Date]],'DB Details'!$A:$Q,16))</f>
        <v/>
      </c>
      <c r="D17" s="61">
        <f>IF(VLOOKUP(Table311[[#This Row],[Date]],'DB Details'!$A:$Q,15)=0,"",VLOOKUP(Table311[[#This Row],[Date]],'DB Details'!$A:$Q,15))</f>
        <v/>
      </c>
      <c r="E17" s="61">
        <f>IF(VLOOKUP(Table311[[#This Row],[Date]],'DB Details'!$A:$Q,17)=0,"",VLOOKUP(Table311[[#This Row],[Date]],'DB Details'!$A:$Q,17))</f>
        <v/>
      </c>
    </row>
    <row r="18">
      <c r="A18" s="60" t="n">
        <v>35977</v>
      </c>
      <c r="B18" s="50">
        <f>IF(VLOOKUP(Table311[[#This Row],[Date]],'DB Details'!$A:$Q,12)=0,"",VLOOKUP(Table311[[#This Row],[Date]],'DB Details'!$A:$Q,12))</f>
        <v/>
      </c>
      <c r="C18" s="61">
        <f>IF(VLOOKUP(Table311[[#This Row],[Date]],'DB Details'!$A:$Q,16)=0,"",VLOOKUP(Table311[[#This Row],[Date]],'DB Details'!$A:$Q,16))</f>
        <v/>
      </c>
      <c r="D18" s="61">
        <f>IF(VLOOKUP(Table311[[#This Row],[Date]],'DB Details'!$A:$Q,15)=0,"",VLOOKUP(Table311[[#This Row],[Date]],'DB Details'!$A:$Q,15))</f>
        <v/>
      </c>
      <c r="E18" s="61">
        <f>IF(VLOOKUP(Table311[[#This Row],[Date]],'DB Details'!$A:$Q,17)=0,"",VLOOKUP(Table311[[#This Row],[Date]],'DB Details'!$A:$Q,17))</f>
        <v/>
      </c>
    </row>
    <row r="19">
      <c r="A19" s="60" t="n">
        <v>36008</v>
      </c>
      <c r="B19" s="50">
        <f>IF(VLOOKUP(Table311[[#This Row],[Date]],'DB Details'!$A:$Q,12)=0,"",VLOOKUP(Table311[[#This Row],[Date]],'DB Details'!$A:$Q,12))</f>
        <v/>
      </c>
      <c r="C19" s="61">
        <f>IF(VLOOKUP(Table311[[#This Row],[Date]],'DB Details'!$A:$Q,16)=0,"",VLOOKUP(Table311[[#This Row],[Date]],'DB Details'!$A:$Q,16))</f>
        <v/>
      </c>
      <c r="D19" s="61">
        <f>IF(VLOOKUP(Table311[[#This Row],[Date]],'DB Details'!$A:$Q,15)=0,"",VLOOKUP(Table311[[#This Row],[Date]],'DB Details'!$A:$Q,15))</f>
        <v/>
      </c>
      <c r="E19" s="61">
        <f>IF(VLOOKUP(Table311[[#This Row],[Date]],'DB Details'!$A:$Q,17)=0,"",VLOOKUP(Table311[[#This Row],[Date]],'DB Details'!$A:$Q,17))</f>
        <v/>
      </c>
    </row>
    <row r="20">
      <c r="A20" s="60" t="n">
        <v>36039</v>
      </c>
      <c r="B20" s="50">
        <f>IF(VLOOKUP(Table311[[#This Row],[Date]],'DB Details'!$A:$Q,12)=0,"",VLOOKUP(Table311[[#This Row],[Date]],'DB Details'!$A:$Q,12))</f>
        <v/>
      </c>
      <c r="C20" s="61">
        <f>IF(VLOOKUP(Table311[[#This Row],[Date]],'DB Details'!$A:$Q,16)=0,"",VLOOKUP(Table311[[#This Row],[Date]],'DB Details'!$A:$Q,16))</f>
        <v/>
      </c>
      <c r="D20" s="61">
        <f>IF(VLOOKUP(Table311[[#This Row],[Date]],'DB Details'!$A:$Q,15)=0,"",VLOOKUP(Table311[[#This Row],[Date]],'DB Details'!$A:$Q,15))</f>
        <v/>
      </c>
      <c r="E20" s="61">
        <f>IF(VLOOKUP(Table311[[#This Row],[Date]],'DB Details'!$A:$Q,17)=0,"",VLOOKUP(Table311[[#This Row],[Date]],'DB Details'!$A:$Q,17))</f>
        <v/>
      </c>
    </row>
    <row r="21">
      <c r="A21" s="60" t="n">
        <v>36069</v>
      </c>
      <c r="B21" s="50">
        <f>IF(VLOOKUP(Table311[[#This Row],[Date]],'DB Details'!$A:$Q,12)=0,"",VLOOKUP(Table311[[#This Row],[Date]],'DB Details'!$A:$Q,12))</f>
        <v/>
      </c>
      <c r="C21" s="61">
        <f>IF(VLOOKUP(Table311[[#This Row],[Date]],'DB Details'!$A:$Q,16)=0,"",VLOOKUP(Table311[[#This Row],[Date]],'DB Details'!$A:$Q,16))</f>
        <v/>
      </c>
      <c r="D21" s="61">
        <f>IF(VLOOKUP(Table311[[#This Row],[Date]],'DB Details'!$A:$Q,15)=0,"",VLOOKUP(Table311[[#This Row],[Date]],'DB Details'!$A:$Q,15))</f>
        <v/>
      </c>
      <c r="E21" s="61">
        <f>IF(VLOOKUP(Table311[[#This Row],[Date]],'DB Details'!$A:$Q,17)=0,"",VLOOKUP(Table311[[#This Row],[Date]],'DB Details'!$A:$Q,17))</f>
        <v/>
      </c>
    </row>
    <row r="22">
      <c r="A22" s="60" t="n">
        <v>36100</v>
      </c>
      <c r="B22" s="50">
        <f>IF(VLOOKUP(Table311[[#This Row],[Date]],'DB Details'!$A:$Q,12)=0,"",VLOOKUP(Table311[[#This Row],[Date]],'DB Details'!$A:$Q,12))</f>
        <v/>
      </c>
      <c r="C22" s="61">
        <f>IF(VLOOKUP(Table311[[#This Row],[Date]],'DB Details'!$A:$Q,16)=0,"",VLOOKUP(Table311[[#This Row],[Date]],'DB Details'!$A:$Q,16))</f>
        <v/>
      </c>
      <c r="D22" s="61">
        <f>IF(VLOOKUP(Table311[[#This Row],[Date]],'DB Details'!$A:$Q,15)=0,"",VLOOKUP(Table311[[#This Row],[Date]],'DB Details'!$A:$Q,15))</f>
        <v/>
      </c>
      <c r="E22" s="61">
        <f>IF(VLOOKUP(Table311[[#This Row],[Date]],'DB Details'!$A:$Q,17)=0,"",VLOOKUP(Table311[[#This Row],[Date]],'DB Details'!$A:$Q,17))</f>
        <v/>
      </c>
    </row>
    <row r="23">
      <c r="A23" s="60" t="n">
        <v>36130</v>
      </c>
      <c r="B23" s="50">
        <f>IF(VLOOKUP(Table311[[#This Row],[Date]],'DB Details'!$A:$Q,12)=0,"",VLOOKUP(Table311[[#This Row],[Date]],'DB Details'!$A:$Q,12))</f>
        <v/>
      </c>
      <c r="C23" s="61">
        <f>IF(VLOOKUP(Table311[[#This Row],[Date]],'DB Details'!$A:$Q,16)=0,"",VLOOKUP(Table311[[#This Row],[Date]],'DB Details'!$A:$Q,16))</f>
        <v/>
      </c>
      <c r="D23" s="61">
        <f>IF(VLOOKUP(Table311[[#This Row],[Date]],'DB Details'!$A:$Q,15)=0,"",VLOOKUP(Table311[[#This Row],[Date]],'DB Details'!$A:$Q,15))</f>
        <v/>
      </c>
      <c r="E23" s="61">
        <f>IF(VLOOKUP(Table311[[#This Row],[Date]],'DB Details'!$A:$Q,17)=0,"",VLOOKUP(Table311[[#This Row],[Date]],'DB Details'!$A:$Q,17))</f>
        <v/>
      </c>
    </row>
    <row r="24">
      <c r="A24" s="60" t="n">
        <v>36161</v>
      </c>
      <c r="B24" s="50">
        <f>IF(VLOOKUP(Table311[[#This Row],[Date]],'DB Details'!$A:$Q,12)=0,"",VLOOKUP(Table311[[#This Row],[Date]],'DB Details'!$A:$Q,12))</f>
        <v/>
      </c>
      <c r="C24" s="61">
        <f>IF(VLOOKUP(Table311[[#This Row],[Date]],'DB Details'!$A:$Q,16)=0,"",VLOOKUP(Table311[[#This Row],[Date]],'DB Details'!$A:$Q,16))</f>
        <v/>
      </c>
      <c r="D24" s="61">
        <f>IF(VLOOKUP(Table311[[#This Row],[Date]],'DB Details'!$A:$Q,15)=0,"",VLOOKUP(Table311[[#This Row],[Date]],'DB Details'!$A:$Q,15))</f>
        <v/>
      </c>
      <c r="E24" s="61">
        <f>IF(VLOOKUP(Table311[[#This Row],[Date]],'DB Details'!$A:$Q,17)=0,"",VLOOKUP(Table311[[#This Row],[Date]],'DB Details'!$A:$Q,17))</f>
        <v/>
      </c>
    </row>
    <row r="25">
      <c r="A25" s="60" t="n">
        <v>36192</v>
      </c>
      <c r="B25" s="50">
        <f>IF(VLOOKUP(Table311[[#This Row],[Date]],'DB Details'!$A:$Q,12)=0,"",VLOOKUP(Table311[[#This Row],[Date]],'DB Details'!$A:$Q,12))</f>
        <v/>
      </c>
      <c r="C25" s="61">
        <f>IF(VLOOKUP(Table311[[#This Row],[Date]],'DB Details'!$A:$Q,16)=0,"",VLOOKUP(Table311[[#This Row],[Date]],'DB Details'!$A:$Q,16))</f>
        <v/>
      </c>
      <c r="D25" s="61">
        <f>IF(VLOOKUP(Table311[[#This Row],[Date]],'DB Details'!$A:$Q,15)=0,"",VLOOKUP(Table311[[#This Row],[Date]],'DB Details'!$A:$Q,15))</f>
        <v/>
      </c>
      <c r="E25" s="61">
        <f>IF(VLOOKUP(Table311[[#This Row],[Date]],'DB Details'!$A:$Q,17)=0,"",VLOOKUP(Table311[[#This Row],[Date]],'DB Details'!$A:$Q,17))</f>
        <v/>
      </c>
    </row>
    <row r="26">
      <c r="A26" s="60" t="n">
        <v>36220</v>
      </c>
      <c r="B26" s="50">
        <f>IF(VLOOKUP(Table311[[#This Row],[Date]],'DB Details'!$A:$Q,12)=0,"",VLOOKUP(Table311[[#This Row],[Date]],'DB Details'!$A:$Q,12))</f>
        <v/>
      </c>
      <c r="C26" s="61">
        <f>IF(VLOOKUP(Table311[[#This Row],[Date]],'DB Details'!$A:$Q,16)=0,"",VLOOKUP(Table311[[#This Row],[Date]],'DB Details'!$A:$Q,16))</f>
        <v/>
      </c>
      <c r="D26" s="61">
        <f>IF(VLOOKUP(Table311[[#This Row],[Date]],'DB Details'!$A:$Q,15)=0,"",VLOOKUP(Table311[[#This Row],[Date]],'DB Details'!$A:$Q,15))</f>
        <v/>
      </c>
      <c r="E26" s="61">
        <f>IF(VLOOKUP(Table311[[#This Row],[Date]],'DB Details'!$A:$Q,17)=0,"",VLOOKUP(Table311[[#This Row],[Date]],'DB Details'!$A:$Q,17))</f>
        <v/>
      </c>
    </row>
    <row r="27">
      <c r="A27" s="60" t="n">
        <v>36251</v>
      </c>
      <c r="B27" s="50">
        <f>IF(VLOOKUP(Table311[[#This Row],[Date]],'DB Details'!$A:$Q,12)=0,"",VLOOKUP(Table311[[#This Row],[Date]],'DB Details'!$A:$Q,12))</f>
        <v/>
      </c>
      <c r="C27" s="61">
        <f>IF(VLOOKUP(Table311[[#This Row],[Date]],'DB Details'!$A:$Q,16)=0,"",VLOOKUP(Table311[[#This Row],[Date]],'DB Details'!$A:$Q,16))</f>
        <v/>
      </c>
      <c r="D27" s="61">
        <f>IF(VLOOKUP(Table311[[#This Row],[Date]],'DB Details'!$A:$Q,15)=0,"",VLOOKUP(Table311[[#This Row],[Date]],'DB Details'!$A:$Q,15))</f>
        <v/>
      </c>
      <c r="E27" s="61">
        <f>IF(VLOOKUP(Table311[[#This Row],[Date]],'DB Details'!$A:$Q,17)=0,"",VLOOKUP(Table311[[#This Row],[Date]],'DB Details'!$A:$Q,17))</f>
        <v/>
      </c>
    </row>
    <row r="28">
      <c r="A28" s="60" t="n">
        <v>36281</v>
      </c>
      <c r="B28" s="50">
        <f>IF(VLOOKUP(Table311[[#This Row],[Date]],'DB Details'!$A:$Q,12)=0,"",VLOOKUP(Table311[[#This Row],[Date]],'DB Details'!$A:$Q,12))</f>
        <v/>
      </c>
      <c r="C28" s="61">
        <f>IF(VLOOKUP(Table311[[#This Row],[Date]],'DB Details'!$A:$Q,16)=0,"",VLOOKUP(Table311[[#This Row],[Date]],'DB Details'!$A:$Q,16))</f>
        <v/>
      </c>
      <c r="D28" s="61">
        <f>IF(VLOOKUP(Table311[[#This Row],[Date]],'DB Details'!$A:$Q,15)=0,"",VLOOKUP(Table311[[#This Row],[Date]],'DB Details'!$A:$Q,15))</f>
        <v/>
      </c>
      <c r="E28" s="61">
        <f>IF(VLOOKUP(Table311[[#This Row],[Date]],'DB Details'!$A:$Q,17)=0,"",VLOOKUP(Table311[[#This Row],[Date]],'DB Details'!$A:$Q,17))</f>
        <v/>
      </c>
    </row>
    <row r="29">
      <c r="A29" s="60" t="n">
        <v>36312</v>
      </c>
      <c r="B29" s="50">
        <f>IF(VLOOKUP(Table311[[#This Row],[Date]],'DB Details'!$A:$Q,12)=0,"",VLOOKUP(Table311[[#This Row],[Date]],'DB Details'!$A:$Q,12))</f>
        <v/>
      </c>
      <c r="C29" s="61">
        <f>IF(VLOOKUP(Table311[[#This Row],[Date]],'DB Details'!$A:$Q,16)=0,"",VLOOKUP(Table311[[#This Row],[Date]],'DB Details'!$A:$Q,16))</f>
        <v/>
      </c>
      <c r="D29" s="61">
        <f>IF(VLOOKUP(Table311[[#This Row],[Date]],'DB Details'!$A:$Q,15)=0,"",VLOOKUP(Table311[[#This Row],[Date]],'DB Details'!$A:$Q,15))</f>
        <v/>
      </c>
      <c r="E29" s="61">
        <f>IF(VLOOKUP(Table311[[#This Row],[Date]],'DB Details'!$A:$Q,17)=0,"",VLOOKUP(Table311[[#This Row],[Date]],'DB Details'!$A:$Q,17))</f>
        <v/>
      </c>
    </row>
    <row r="30">
      <c r="A30" s="60" t="n">
        <v>36342</v>
      </c>
      <c r="B30" s="50">
        <f>IF(VLOOKUP(Table311[[#This Row],[Date]],'DB Details'!$A:$Q,12)=0,"",VLOOKUP(Table311[[#This Row],[Date]],'DB Details'!$A:$Q,12))</f>
        <v/>
      </c>
      <c r="C30" s="61">
        <f>IF(VLOOKUP(Table311[[#This Row],[Date]],'DB Details'!$A:$Q,16)=0,"",VLOOKUP(Table311[[#This Row],[Date]],'DB Details'!$A:$Q,16))</f>
        <v/>
      </c>
      <c r="D30" s="61">
        <f>IF(VLOOKUP(Table311[[#This Row],[Date]],'DB Details'!$A:$Q,15)=0,"",VLOOKUP(Table311[[#This Row],[Date]],'DB Details'!$A:$Q,15))</f>
        <v/>
      </c>
      <c r="E30" s="61">
        <f>IF(VLOOKUP(Table311[[#This Row],[Date]],'DB Details'!$A:$Q,17)=0,"",VLOOKUP(Table311[[#This Row],[Date]],'DB Details'!$A:$Q,17))</f>
        <v/>
      </c>
    </row>
    <row r="31">
      <c r="A31" s="60" t="n">
        <v>36373</v>
      </c>
      <c r="B31" s="50">
        <f>IF(VLOOKUP(Table311[[#This Row],[Date]],'DB Details'!$A:$Q,12)=0,"",VLOOKUP(Table311[[#This Row],[Date]],'DB Details'!$A:$Q,12))</f>
        <v/>
      </c>
      <c r="C31" s="61">
        <f>IF(VLOOKUP(Table311[[#This Row],[Date]],'DB Details'!$A:$Q,16)=0,"",VLOOKUP(Table311[[#This Row],[Date]],'DB Details'!$A:$Q,16))</f>
        <v/>
      </c>
      <c r="D31" s="61">
        <f>IF(VLOOKUP(Table311[[#This Row],[Date]],'DB Details'!$A:$Q,15)=0,"",VLOOKUP(Table311[[#This Row],[Date]],'DB Details'!$A:$Q,15))</f>
        <v/>
      </c>
      <c r="E31" s="61">
        <f>IF(VLOOKUP(Table311[[#This Row],[Date]],'DB Details'!$A:$Q,17)=0,"",VLOOKUP(Table311[[#This Row],[Date]],'DB Details'!$A:$Q,17))</f>
        <v/>
      </c>
    </row>
    <row r="32">
      <c r="A32" s="60" t="n">
        <v>36404</v>
      </c>
      <c r="B32" s="50">
        <f>IF(VLOOKUP(Table311[[#This Row],[Date]],'DB Details'!$A:$Q,12)=0,"",VLOOKUP(Table311[[#This Row],[Date]],'DB Details'!$A:$Q,12))</f>
        <v/>
      </c>
      <c r="C32" s="61">
        <f>IF(VLOOKUP(Table311[[#This Row],[Date]],'DB Details'!$A:$Q,16)=0,"",VLOOKUP(Table311[[#This Row],[Date]],'DB Details'!$A:$Q,16))</f>
        <v/>
      </c>
      <c r="D32" s="61">
        <f>IF(VLOOKUP(Table311[[#This Row],[Date]],'DB Details'!$A:$Q,15)=0,"",VLOOKUP(Table311[[#This Row],[Date]],'DB Details'!$A:$Q,15))</f>
        <v/>
      </c>
      <c r="E32" s="61">
        <f>IF(VLOOKUP(Table311[[#This Row],[Date]],'DB Details'!$A:$Q,17)=0,"",VLOOKUP(Table311[[#This Row],[Date]],'DB Details'!$A:$Q,17))</f>
        <v/>
      </c>
    </row>
    <row r="33">
      <c r="A33" s="60" t="n">
        <v>36434</v>
      </c>
      <c r="B33" s="50">
        <f>IF(VLOOKUP(Table311[[#This Row],[Date]],'DB Details'!$A:$Q,12)=0,"",VLOOKUP(Table311[[#This Row],[Date]],'DB Details'!$A:$Q,12))</f>
        <v/>
      </c>
      <c r="C33" s="61">
        <f>IF(VLOOKUP(Table311[[#This Row],[Date]],'DB Details'!$A:$Q,16)=0,"",VLOOKUP(Table311[[#This Row],[Date]],'DB Details'!$A:$Q,16))</f>
        <v/>
      </c>
      <c r="D33" s="61">
        <f>IF(VLOOKUP(Table311[[#This Row],[Date]],'DB Details'!$A:$Q,15)=0,"",VLOOKUP(Table311[[#This Row],[Date]],'DB Details'!$A:$Q,15))</f>
        <v/>
      </c>
      <c r="E33" s="61">
        <f>IF(VLOOKUP(Table311[[#This Row],[Date]],'DB Details'!$A:$Q,17)=0,"",VLOOKUP(Table311[[#This Row],[Date]],'DB Details'!$A:$Q,17))</f>
        <v/>
      </c>
    </row>
    <row r="34">
      <c r="A34" s="60" t="n">
        <v>36465</v>
      </c>
      <c r="B34" s="50">
        <f>IF(VLOOKUP(Table311[[#This Row],[Date]],'DB Details'!$A:$Q,12)=0,"",VLOOKUP(Table311[[#This Row],[Date]],'DB Details'!$A:$Q,12))</f>
        <v/>
      </c>
      <c r="C34" s="61">
        <f>IF(VLOOKUP(Table311[[#This Row],[Date]],'DB Details'!$A:$Q,16)=0,"",VLOOKUP(Table311[[#This Row],[Date]],'DB Details'!$A:$Q,16))</f>
        <v/>
      </c>
      <c r="D34" s="61">
        <f>IF(VLOOKUP(Table311[[#This Row],[Date]],'DB Details'!$A:$Q,15)=0,"",VLOOKUP(Table311[[#This Row],[Date]],'DB Details'!$A:$Q,15))</f>
        <v/>
      </c>
      <c r="E34" s="61">
        <f>IF(VLOOKUP(Table311[[#This Row],[Date]],'DB Details'!$A:$Q,17)=0,"",VLOOKUP(Table311[[#This Row],[Date]],'DB Details'!$A:$Q,17))</f>
        <v/>
      </c>
    </row>
    <row r="35">
      <c r="A35" s="60" t="n">
        <v>36495</v>
      </c>
      <c r="B35" s="50">
        <f>IF(VLOOKUP(Table311[[#This Row],[Date]],'DB Details'!$A:$Q,12)=0,"",VLOOKUP(Table311[[#This Row],[Date]],'DB Details'!$A:$Q,12))</f>
        <v/>
      </c>
      <c r="C35" s="61">
        <f>IF(VLOOKUP(Table311[[#This Row],[Date]],'DB Details'!$A:$Q,16)=0,"",VLOOKUP(Table311[[#This Row],[Date]],'DB Details'!$A:$Q,16))</f>
        <v/>
      </c>
      <c r="D35" s="61">
        <f>IF(VLOOKUP(Table311[[#This Row],[Date]],'DB Details'!$A:$Q,15)=0,"",VLOOKUP(Table311[[#This Row],[Date]],'DB Details'!$A:$Q,15))</f>
        <v/>
      </c>
      <c r="E35" s="61">
        <f>IF(VLOOKUP(Table311[[#This Row],[Date]],'DB Details'!$A:$Q,17)=0,"",VLOOKUP(Table311[[#This Row],[Date]],'DB Details'!$A:$Q,17))</f>
        <v/>
      </c>
    </row>
    <row r="36">
      <c r="A36" s="60" t="n">
        <v>36526</v>
      </c>
      <c r="B36" s="50">
        <f>IF(VLOOKUP(Table311[[#This Row],[Date]],'DB Details'!$A:$Q,12)=0,"",VLOOKUP(Table311[[#This Row],[Date]],'DB Details'!$A:$Q,12))</f>
        <v/>
      </c>
      <c r="C36" s="61">
        <f>IF(VLOOKUP(Table311[[#This Row],[Date]],'DB Details'!$A:$Q,16)=0,"",VLOOKUP(Table311[[#This Row],[Date]],'DB Details'!$A:$Q,16))</f>
        <v/>
      </c>
      <c r="D36" s="61">
        <f>IF(VLOOKUP(Table311[[#This Row],[Date]],'DB Details'!$A:$Q,15)=0,"",VLOOKUP(Table311[[#This Row],[Date]],'DB Details'!$A:$Q,15))</f>
        <v/>
      </c>
      <c r="E36" s="61">
        <f>IF(VLOOKUP(Table311[[#This Row],[Date]],'DB Details'!$A:$Q,17)=0,"",VLOOKUP(Table311[[#This Row],[Date]],'DB Details'!$A:$Q,17))</f>
        <v/>
      </c>
    </row>
    <row r="37">
      <c r="A37" s="60" t="n">
        <v>36557</v>
      </c>
      <c r="B37" s="50">
        <f>IF(VLOOKUP(Table311[[#This Row],[Date]],'DB Details'!$A:$Q,12)=0,"",VLOOKUP(Table311[[#This Row],[Date]],'DB Details'!$A:$Q,12))</f>
        <v/>
      </c>
      <c r="C37" s="61">
        <f>IF(VLOOKUP(Table311[[#This Row],[Date]],'DB Details'!$A:$Q,16)=0,"",VLOOKUP(Table311[[#This Row],[Date]],'DB Details'!$A:$Q,16))</f>
        <v/>
      </c>
      <c r="D37" s="61">
        <f>IF(VLOOKUP(Table311[[#This Row],[Date]],'DB Details'!$A:$Q,15)=0,"",VLOOKUP(Table311[[#This Row],[Date]],'DB Details'!$A:$Q,15))</f>
        <v/>
      </c>
      <c r="E37" s="61">
        <f>IF(VLOOKUP(Table311[[#This Row],[Date]],'DB Details'!$A:$Q,17)=0,"",VLOOKUP(Table311[[#This Row],[Date]],'DB Details'!$A:$Q,17))</f>
        <v/>
      </c>
    </row>
    <row r="38">
      <c r="A38" s="60" t="n">
        <v>36586</v>
      </c>
      <c r="B38" s="50">
        <f>IF(VLOOKUP(Table311[[#This Row],[Date]],'DB Details'!$A:$Q,12)=0,"",VLOOKUP(Table311[[#This Row],[Date]],'DB Details'!$A:$Q,12))</f>
        <v/>
      </c>
      <c r="C38" s="61">
        <f>IF(VLOOKUP(Table311[[#This Row],[Date]],'DB Details'!$A:$Q,16)=0,"",VLOOKUP(Table311[[#This Row],[Date]],'DB Details'!$A:$Q,16))</f>
        <v/>
      </c>
      <c r="D38" s="61">
        <f>IF(VLOOKUP(Table311[[#This Row],[Date]],'DB Details'!$A:$Q,15)=0,"",VLOOKUP(Table311[[#This Row],[Date]],'DB Details'!$A:$Q,15))</f>
        <v/>
      </c>
      <c r="E38" s="61">
        <f>IF(VLOOKUP(Table311[[#This Row],[Date]],'DB Details'!$A:$Q,17)=0,"",VLOOKUP(Table311[[#This Row],[Date]],'DB Details'!$A:$Q,17))</f>
        <v/>
      </c>
    </row>
    <row r="39">
      <c r="A39" s="60" t="n">
        <v>36617</v>
      </c>
      <c r="B39" s="50">
        <f>IF(VLOOKUP(Table311[[#This Row],[Date]],'DB Details'!$A:$Q,12)=0,"",VLOOKUP(Table311[[#This Row],[Date]],'DB Details'!$A:$Q,12))</f>
        <v/>
      </c>
      <c r="C39" s="61">
        <f>IF(VLOOKUP(Table311[[#This Row],[Date]],'DB Details'!$A:$Q,16)=0,"",VLOOKUP(Table311[[#This Row],[Date]],'DB Details'!$A:$Q,16))</f>
        <v/>
      </c>
      <c r="D39" s="61">
        <f>IF(VLOOKUP(Table311[[#This Row],[Date]],'DB Details'!$A:$Q,15)=0,"",VLOOKUP(Table311[[#This Row],[Date]],'DB Details'!$A:$Q,15))</f>
        <v/>
      </c>
      <c r="E39" s="61">
        <f>IF(VLOOKUP(Table311[[#This Row],[Date]],'DB Details'!$A:$Q,17)=0,"",VLOOKUP(Table311[[#This Row],[Date]],'DB Details'!$A:$Q,17))</f>
        <v/>
      </c>
    </row>
    <row r="40">
      <c r="A40" s="60" t="n">
        <v>36647</v>
      </c>
      <c r="B40" s="50">
        <f>IF(VLOOKUP(Table311[[#This Row],[Date]],'DB Details'!$A:$Q,12)=0,"",VLOOKUP(Table311[[#This Row],[Date]],'DB Details'!$A:$Q,12))</f>
        <v/>
      </c>
      <c r="C40" s="61">
        <f>IF(VLOOKUP(Table311[[#This Row],[Date]],'DB Details'!$A:$Q,16)=0,"",VLOOKUP(Table311[[#This Row],[Date]],'DB Details'!$A:$Q,16))</f>
        <v/>
      </c>
      <c r="D40" s="61">
        <f>IF(VLOOKUP(Table311[[#This Row],[Date]],'DB Details'!$A:$Q,15)=0,"",VLOOKUP(Table311[[#This Row],[Date]],'DB Details'!$A:$Q,15))</f>
        <v/>
      </c>
      <c r="E40" s="61">
        <f>IF(VLOOKUP(Table311[[#This Row],[Date]],'DB Details'!$A:$Q,17)=0,"",VLOOKUP(Table311[[#This Row],[Date]],'DB Details'!$A:$Q,17))</f>
        <v/>
      </c>
    </row>
    <row r="41">
      <c r="A41" s="60" t="n">
        <v>36678</v>
      </c>
      <c r="B41" s="50">
        <f>IF(VLOOKUP(Table311[[#This Row],[Date]],'DB Details'!$A:$Q,12)=0,"",VLOOKUP(Table311[[#This Row],[Date]],'DB Details'!$A:$Q,12))</f>
        <v/>
      </c>
      <c r="C41" s="61">
        <f>IF(VLOOKUP(Table311[[#This Row],[Date]],'DB Details'!$A:$Q,16)=0,"",VLOOKUP(Table311[[#This Row],[Date]],'DB Details'!$A:$Q,16))</f>
        <v/>
      </c>
      <c r="D41" s="61">
        <f>IF(VLOOKUP(Table311[[#This Row],[Date]],'DB Details'!$A:$Q,15)=0,"",VLOOKUP(Table311[[#This Row],[Date]],'DB Details'!$A:$Q,15))</f>
        <v/>
      </c>
      <c r="E41" s="61">
        <f>IF(VLOOKUP(Table311[[#This Row],[Date]],'DB Details'!$A:$Q,17)=0,"",VLOOKUP(Table311[[#This Row],[Date]],'DB Details'!$A:$Q,17))</f>
        <v/>
      </c>
    </row>
    <row r="42">
      <c r="A42" s="60" t="n">
        <v>36708</v>
      </c>
      <c r="B42" s="50">
        <f>IF(VLOOKUP(Table311[[#This Row],[Date]],'DB Details'!$A:$Q,12)=0,"",VLOOKUP(Table311[[#This Row],[Date]],'DB Details'!$A:$Q,12))</f>
        <v/>
      </c>
      <c r="C42" s="61">
        <f>IF(VLOOKUP(Table311[[#This Row],[Date]],'DB Details'!$A:$Q,16)=0,"",VLOOKUP(Table311[[#This Row],[Date]],'DB Details'!$A:$Q,16))</f>
        <v/>
      </c>
      <c r="D42" s="61">
        <f>IF(VLOOKUP(Table311[[#This Row],[Date]],'DB Details'!$A:$Q,15)=0,"",VLOOKUP(Table311[[#This Row],[Date]],'DB Details'!$A:$Q,15))</f>
        <v/>
      </c>
      <c r="E42" s="61">
        <f>IF(VLOOKUP(Table311[[#This Row],[Date]],'DB Details'!$A:$Q,17)=0,"",VLOOKUP(Table311[[#This Row],[Date]],'DB Details'!$A:$Q,17))</f>
        <v/>
      </c>
    </row>
    <row r="43">
      <c r="A43" s="60" t="n">
        <v>36739</v>
      </c>
      <c r="B43" s="50">
        <f>IF(VLOOKUP(Table311[[#This Row],[Date]],'DB Details'!$A:$Q,12)=0,"",VLOOKUP(Table311[[#This Row],[Date]],'DB Details'!$A:$Q,12))</f>
        <v/>
      </c>
      <c r="C43" s="61">
        <f>IF(VLOOKUP(Table311[[#This Row],[Date]],'DB Details'!$A:$Q,16)=0,"",VLOOKUP(Table311[[#This Row],[Date]],'DB Details'!$A:$Q,16))</f>
        <v/>
      </c>
      <c r="D43" s="61">
        <f>IF(VLOOKUP(Table311[[#This Row],[Date]],'DB Details'!$A:$Q,15)=0,"",VLOOKUP(Table311[[#This Row],[Date]],'DB Details'!$A:$Q,15))</f>
        <v/>
      </c>
      <c r="E43" s="61">
        <f>IF(VLOOKUP(Table311[[#This Row],[Date]],'DB Details'!$A:$Q,17)=0,"",VLOOKUP(Table311[[#This Row],[Date]],'DB Details'!$A:$Q,17))</f>
        <v/>
      </c>
    </row>
    <row r="44">
      <c r="A44" s="60" t="n">
        <v>36770</v>
      </c>
      <c r="B44" s="50">
        <f>IF(VLOOKUP(Table311[[#This Row],[Date]],'DB Details'!$A:$Q,12)=0,"",VLOOKUP(Table311[[#This Row],[Date]],'DB Details'!$A:$Q,12))</f>
        <v/>
      </c>
      <c r="C44" s="61">
        <f>IF(VLOOKUP(Table311[[#This Row],[Date]],'DB Details'!$A:$Q,16)=0,"",VLOOKUP(Table311[[#This Row],[Date]],'DB Details'!$A:$Q,16))</f>
        <v/>
      </c>
      <c r="D44" s="61">
        <f>IF(VLOOKUP(Table311[[#This Row],[Date]],'DB Details'!$A:$Q,15)=0,"",VLOOKUP(Table311[[#This Row],[Date]],'DB Details'!$A:$Q,15))</f>
        <v/>
      </c>
      <c r="E44" s="61">
        <f>IF(VLOOKUP(Table311[[#This Row],[Date]],'DB Details'!$A:$Q,17)=0,"",VLOOKUP(Table311[[#This Row],[Date]],'DB Details'!$A:$Q,17))</f>
        <v/>
      </c>
    </row>
    <row r="45">
      <c r="A45" s="60" t="n">
        <v>36800</v>
      </c>
      <c r="B45" s="50">
        <f>IF(VLOOKUP(Table311[[#This Row],[Date]],'DB Details'!$A:$Q,12)=0,"",VLOOKUP(Table311[[#This Row],[Date]],'DB Details'!$A:$Q,12))</f>
        <v/>
      </c>
      <c r="C45" s="61">
        <f>IF(VLOOKUP(Table311[[#This Row],[Date]],'DB Details'!$A:$Q,16)=0,"",VLOOKUP(Table311[[#This Row],[Date]],'DB Details'!$A:$Q,16))</f>
        <v/>
      </c>
      <c r="D45" s="61">
        <f>IF(VLOOKUP(Table311[[#This Row],[Date]],'DB Details'!$A:$Q,15)=0,"",VLOOKUP(Table311[[#This Row],[Date]],'DB Details'!$A:$Q,15))</f>
        <v/>
      </c>
      <c r="E45" s="61">
        <f>IF(VLOOKUP(Table311[[#This Row],[Date]],'DB Details'!$A:$Q,17)=0,"",VLOOKUP(Table311[[#This Row],[Date]],'DB Details'!$A:$Q,17))</f>
        <v/>
      </c>
    </row>
    <row r="46">
      <c r="A46" s="60" t="n">
        <v>36831</v>
      </c>
      <c r="B46" s="50">
        <f>IF(VLOOKUP(Table311[[#This Row],[Date]],'DB Details'!$A:$Q,12)=0,"",VLOOKUP(Table311[[#This Row],[Date]],'DB Details'!$A:$Q,12))</f>
        <v/>
      </c>
      <c r="C46" s="61">
        <f>IF(VLOOKUP(Table311[[#This Row],[Date]],'DB Details'!$A:$Q,16)=0,"",VLOOKUP(Table311[[#This Row],[Date]],'DB Details'!$A:$Q,16))</f>
        <v/>
      </c>
      <c r="D46" s="61">
        <f>IF(VLOOKUP(Table311[[#This Row],[Date]],'DB Details'!$A:$Q,15)=0,"",VLOOKUP(Table311[[#This Row],[Date]],'DB Details'!$A:$Q,15))</f>
        <v/>
      </c>
      <c r="E46" s="61">
        <f>IF(VLOOKUP(Table311[[#This Row],[Date]],'DB Details'!$A:$Q,17)=0,"",VLOOKUP(Table311[[#This Row],[Date]],'DB Details'!$A:$Q,17))</f>
        <v/>
      </c>
    </row>
    <row r="47">
      <c r="A47" s="60" t="n">
        <v>36861</v>
      </c>
      <c r="B47" s="50">
        <f>IF(VLOOKUP(Table311[[#This Row],[Date]],'DB Details'!$A:$Q,12)=0,"",VLOOKUP(Table311[[#This Row],[Date]],'DB Details'!$A:$Q,12))</f>
        <v/>
      </c>
      <c r="C47" s="61">
        <f>IF(VLOOKUP(Table311[[#This Row],[Date]],'DB Details'!$A:$Q,16)=0,"",VLOOKUP(Table311[[#This Row],[Date]],'DB Details'!$A:$Q,16))</f>
        <v/>
      </c>
      <c r="D47" s="61">
        <f>IF(VLOOKUP(Table311[[#This Row],[Date]],'DB Details'!$A:$Q,15)=0,"",VLOOKUP(Table311[[#This Row],[Date]],'DB Details'!$A:$Q,15))</f>
        <v/>
      </c>
      <c r="E47" s="61">
        <f>IF(VLOOKUP(Table311[[#This Row],[Date]],'DB Details'!$A:$Q,17)=0,"",VLOOKUP(Table311[[#This Row],[Date]],'DB Details'!$A:$Q,17))</f>
        <v/>
      </c>
    </row>
    <row r="48">
      <c r="A48" s="60" t="n">
        <v>36892</v>
      </c>
      <c r="B48" s="50">
        <f>IF(VLOOKUP(Table311[[#This Row],[Date]],'DB Details'!$A:$Q,12)=0,"",VLOOKUP(Table311[[#This Row],[Date]],'DB Details'!$A:$Q,12))</f>
        <v/>
      </c>
      <c r="C48" s="61">
        <f>IF(VLOOKUP(Table311[[#This Row],[Date]],'DB Details'!$A:$Q,16)=0,"",VLOOKUP(Table311[[#This Row],[Date]],'DB Details'!$A:$Q,16))</f>
        <v/>
      </c>
      <c r="D48" s="61">
        <f>IF(VLOOKUP(Table311[[#This Row],[Date]],'DB Details'!$A:$Q,15)=0,"",VLOOKUP(Table311[[#This Row],[Date]],'DB Details'!$A:$Q,15))</f>
        <v/>
      </c>
      <c r="E48" s="61">
        <f>IF(VLOOKUP(Table311[[#This Row],[Date]],'DB Details'!$A:$Q,17)=0,"",VLOOKUP(Table311[[#This Row],[Date]],'DB Details'!$A:$Q,17))</f>
        <v/>
      </c>
    </row>
    <row r="49">
      <c r="A49" s="60" t="n">
        <v>36923</v>
      </c>
      <c r="B49" s="50">
        <f>IF(VLOOKUP(Table311[[#This Row],[Date]],'DB Details'!$A:$Q,12)=0,"",VLOOKUP(Table311[[#This Row],[Date]],'DB Details'!$A:$Q,12))</f>
        <v/>
      </c>
      <c r="C49" s="61">
        <f>IF(VLOOKUP(Table311[[#This Row],[Date]],'DB Details'!$A:$Q,16)=0,"",VLOOKUP(Table311[[#This Row],[Date]],'DB Details'!$A:$Q,16))</f>
        <v/>
      </c>
      <c r="D49" s="61">
        <f>IF(VLOOKUP(Table311[[#This Row],[Date]],'DB Details'!$A:$Q,15)=0,"",VLOOKUP(Table311[[#This Row],[Date]],'DB Details'!$A:$Q,15))</f>
        <v/>
      </c>
      <c r="E49" s="61">
        <f>IF(VLOOKUP(Table311[[#This Row],[Date]],'DB Details'!$A:$Q,17)=0,"",VLOOKUP(Table311[[#This Row],[Date]],'DB Details'!$A:$Q,17))</f>
        <v/>
      </c>
    </row>
    <row r="50">
      <c r="A50" s="60" t="n">
        <v>36951</v>
      </c>
      <c r="B50" s="50">
        <f>IF(VLOOKUP(Table311[[#This Row],[Date]],'DB Details'!$A:$Q,12)=0,"",VLOOKUP(Table311[[#This Row],[Date]],'DB Details'!$A:$Q,12))</f>
        <v/>
      </c>
      <c r="C50" s="61">
        <f>IF(VLOOKUP(Table311[[#This Row],[Date]],'DB Details'!$A:$Q,16)=0,"",VLOOKUP(Table311[[#This Row],[Date]],'DB Details'!$A:$Q,16))</f>
        <v/>
      </c>
      <c r="D50" s="61">
        <f>IF(VLOOKUP(Table311[[#This Row],[Date]],'DB Details'!$A:$Q,15)=0,"",VLOOKUP(Table311[[#This Row],[Date]],'DB Details'!$A:$Q,15))</f>
        <v/>
      </c>
      <c r="E50" s="61">
        <f>IF(VLOOKUP(Table311[[#This Row],[Date]],'DB Details'!$A:$Q,17)=0,"",VLOOKUP(Table311[[#This Row],[Date]],'DB Details'!$A:$Q,17))</f>
        <v/>
      </c>
    </row>
    <row r="51">
      <c r="A51" s="60" t="n">
        <v>36982</v>
      </c>
      <c r="B51" s="50">
        <f>IF(VLOOKUP(Table311[[#This Row],[Date]],'DB Details'!$A:$Q,12)=0,"",VLOOKUP(Table311[[#This Row],[Date]],'DB Details'!$A:$Q,12))</f>
        <v/>
      </c>
      <c r="C51" s="61">
        <f>IF(VLOOKUP(Table311[[#This Row],[Date]],'DB Details'!$A:$Q,16)=0,"",VLOOKUP(Table311[[#This Row],[Date]],'DB Details'!$A:$Q,16))</f>
        <v/>
      </c>
      <c r="D51" s="61">
        <f>IF(VLOOKUP(Table311[[#This Row],[Date]],'DB Details'!$A:$Q,15)=0,"",VLOOKUP(Table311[[#This Row],[Date]],'DB Details'!$A:$Q,15))</f>
        <v/>
      </c>
      <c r="E51" s="61">
        <f>IF(VLOOKUP(Table311[[#This Row],[Date]],'DB Details'!$A:$Q,17)=0,"",VLOOKUP(Table311[[#This Row],[Date]],'DB Details'!$A:$Q,17))</f>
        <v/>
      </c>
    </row>
    <row r="52">
      <c r="A52" s="60" t="n">
        <v>37012</v>
      </c>
      <c r="B52" s="50">
        <f>IF(VLOOKUP(Table311[[#This Row],[Date]],'DB Details'!$A:$Q,12)=0,"",VLOOKUP(Table311[[#This Row],[Date]],'DB Details'!$A:$Q,12))</f>
        <v/>
      </c>
      <c r="C52" s="61">
        <f>IF(VLOOKUP(Table311[[#This Row],[Date]],'DB Details'!$A:$Q,16)=0,"",VLOOKUP(Table311[[#This Row],[Date]],'DB Details'!$A:$Q,16))</f>
        <v/>
      </c>
      <c r="D52" s="61">
        <f>IF(VLOOKUP(Table311[[#This Row],[Date]],'DB Details'!$A:$Q,15)=0,"",VLOOKUP(Table311[[#This Row],[Date]],'DB Details'!$A:$Q,15))</f>
        <v/>
      </c>
      <c r="E52" s="61">
        <f>IF(VLOOKUP(Table311[[#This Row],[Date]],'DB Details'!$A:$Q,17)=0,"",VLOOKUP(Table311[[#This Row],[Date]],'DB Details'!$A:$Q,17))</f>
        <v/>
      </c>
    </row>
    <row r="53">
      <c r="A53" s="60" t="n">
        <v>37043</v>
      </c>
      <c r="B53" s="50">
        <f>IF(VLOOKUP(Table311[[#This Row],[Date]],'DB Details'!$A:$Q,12)=0,"",VLOOKUP(Table311[[#This Row],[Date]],'DB Details'!$A:$Q,12))</f>
        <v/>
      </c>
      <c r="C53" s="61">
        <f>IF(VLOOKUP(Table311[[#This Row],[Date]],'DB Details'!$A:$Q,16)=0,"",VLOOKUP(Table311[[#This Row],[Date]],'DB Details'!$A:$Q,16))</f>
        <v/>
      </c>
      <c r="D53" s="61">
        <f>IF(VLOOKUP(Table311[[#This Row],[Date]],'DB Details'!$A:$Q,15)=0,"",VLOOKUP(Table311[[#This Row],[Date]],'DB Details'!$A:$Q,15))</f>
        <v/>
      </c>
      <c r="E53" s="61">
        <f>IF(VLOOKUP(Table311[[#This Row],[Date]],'DB Details'!$A:$Q,17)=0,"",VLOOKUP(Table311[[#This Row],[Date]],'DB Details'!$A:$Q,17))</f>
        <v/>
      </c>
    </row>
    <row r="54">
      <c r="A54" s="60" t="n">
        <v>37073</v>
      </c>
      <c r="B54" s="50">
        <f>IF(VLOOKUP(Table311[[#This Row],[Date]],'DB Details'!$A:$Q,12)=0,"",VLOOKUP(Table311[[#This Row],[Date]],'DB Details'!$A:$Q,12))</f>
        <v/>
      </c>
      <c r="C54" s="61">
        <f>IF(VLOOKUP(Table311[[#This Row],[Date]],'DB Details'!$A:$Q,16)=0,"",VLOOKUP(Table311[[#This Row],[Date]],'DB Details'!$A:$Q,16))</f>
        <v/>
      </c>
      <c r="D54" s="61">
        <f>IF(VLOOKUP(Table311[[#This Row],[Date]],'DB Details'!$A:$Q,15)=0,"",VLOOKUP(Table311[[#This Row],[Date]],'DB Details'!$A:$Q,15))</f>
        <v/>
      </c>
      <c r="E54" s="61">
        <f>IF(VLOOKUP(Table311[[#This Row],[Date]],'DB Details'!$A:$Q,17)=0,"",VLOOKUP(Table311[[#This Row],[Date]],'DB Details'!$A:$Q,17))</f>
        <v/>
      </c>
    </row>
    <row r="55">
      <c r="A55" s="60" t="n">
        <v>37104</v>
      </c>
      <c r="B55" s="50">
        <f>IF(VLOOKUP(Table311[[#This Row],[Date]],'DB Details'!$A:$Q,12)=0,"",VLOOKUP(Table311[[#This Row],[Date]],'DB Details'!$A:$Q,12))</f>
        <v/>
      </c>
      <c r="C55" s="61">
        <f>IF(VLOOKUP(Table311[[#This Row],[Date]],'DB Details'!$A:$Q,16)=0,"",VLOOKUP(Table311[[#This Row],[Date]],'DB Details'!$A:$Q,16))</f>
        <v/>
      </c>
      <c r="D55" s="61">
        <f>IF(VLOOKUP(Table311[[#This Row],[Date]],'DB Details'!$A:$Q,15)=0,"",VLOOKUP(Table311[[#This Row],[Date]],'DB Details'!$A:$Q,15))</f>
        <v/>
      </c>
      <c r="E55" s="61">
        <f>IF(VLOOKUP(Table311[[#This Row],[Date]],'DB Details'!$A:$Q,17)=0,"",VLOOKUP(Table311[[#This Row],[Date]],'DB Details'!$A:$Q,17))</f>
        <v/>
      </c>
    </row>
    <row r="56">
      <c r="A56" s="60" t="n">
        <v>37135</v>
      </c>
      <c r="B56" s="50">
        <f>IF(VLOOKUP(Table311[[#This Row],[Date]],'DB Details'!$A:$Q,12)=0,"",VLOOKUP(Table311[[#This Row],[Date]],'DB Details'!$A:$Q,12))</f>
        <v/>
      </c>
      <c r="C56" s="61">
        <f>IF(VLOOKUP(Table311[[#This Row],[Date]],'DB Details'!$A:$Q,16)=0,"",VLOOKUP(Table311[[#This Row],[Date]],'DB Details'!$A:$Q,16))</f>
        <v/>
      </c>
      <c r="D56" s="61">
        <f>IF(VLOOKUP(Table311[[#This Row],[Date]],'DB Details'!$A:$Q,15)=0,"",VLOOKUP(Table311[[#This Row],[Date]],'DB Details'!$A:$Q,15))</f>
        <v/>
      </c>
      <c r="E56" s="61">
        <f>IF(VLOOKUP(Table311[[#This Row],[Date]],'DB Details'!$A:$Q,17)=0,"",VLOOKUP(Table311[[#This Row],[Date]],'DB Details'!$A:$Q,17))</f>
        <v/>
      </c>
    </row>
    <row r="57">
      <c r="A57" s="60" t="n">
        <v>37165</v>
      </c>
      <c r="B57" s="50">
        <f>IF(VLOOKUP(Table311[[#This Row],[Date]],'DB Details'!$A:$Q,12)=0,"",VLOOKUP(Table311[[#This Row],[Date]],'DB Details'!$A:$Q,12))</f>
        <v/>
      </c>
      <c r="C57" s="61">
        <f>IF(VLOOKUP(Table311[[#This Row],[Date]],'DB Details'!$A:$Q,16)=0,"",VLOOKUP(Table311[[#This Row],[Date]],'DB Details'!$A:$Q,16))</f>
        <v/>
      </c>
      <c r="D57" s="61">
        <f>IF(VLOOKUP(Table311[[#This Row],[Date]],'DB Details'!$A:$Q,15)=0,"",VLOOKUP(Table311[[#This Row],[Date]],'DB Details'!$A:$Q,15))</f>
        <v/>
      </c>
      <c r="E57" s="61">
        <f>IF(VLOOKUP(Table311[[#This Row],[Date]],'DB Details'!$A:$Q,17)=0,"",VLOOKUP(Table311[[#This Row],[Date]],'DB Details'!$A:$Q,17))</f>
        <v/>
      </c>
    </row>
    <row r="58">
      <c r="A58" s="60" t="n">
        <v>37196</v>
      </c>
      <c r="B58" s="50">
        <f>IF(VLOOKUP(Table311[[#This Row],[Date]],'DB Details'!$A:$Q,12)=0,"",VLOOKUP(Table311[[#This Row],[Date]],'DB Details'!$A:$Q,12))</f>
        <v/>
      </c>
      <c r="C58" s="61">
        <f>IF(VLOOKUP(Table311[[#This Row],[Date]],'DB Details'!$A:$Q,16)=0,"",VLOOKUP(Table311[[#This Row],[Date]],'DB Details'!$A:$Q,16))</f>
        <v/>
      </c>
      <c r="D58" s="61">
        <f>IF(VLOOKUP(Table311[[#This Row],[Date]],'DB Details'!$A:$Q,15)=0,"",VLOOKUP(Table311[[#This Row],[Date]],'DB Details'!$A:$Q,15))</f>
        <v/>
      </c>
      <c r="E58" s="61">
        <f>IF(VLOOKUP(Table311[[#This Row],[Date]],'DB Details'!$A:$Q,17)=0,"",VLOOKUP(Table311[[#This Row],[Date]],'DB Details'!$A:$Q,17))</f>
        <v/>
      </c>
    </row>
    <row r="59">
      <c r="A59" s="60" t="n">
        <v>37226</v>
      </c>
      <c r="B59" s="50">
        <f>IF(VLOOKUP(Table311[[#This Row],[Date]],'DB Details'!$A:$Q,12)=0,"",VLOOKUP(Table311[[#This Row],[Date]],'DB Details'!$A:$Q,12))</f>
        <v/>
      </c>
      <c r="C59" s="61">
        <f>IF(VLOOKUP(Table311[[#This Row],[Date]],'DB Details'!$A:$Q,16)=0,"",VLOOKUP(Table311[[#This Row],[Date]],'DB Details'!$A:$Q,16))</f>
        <v/>
      </c>
      <c r="D59" s="61">
        <f>IF(VLOOKUP(Table311[[#This Row],[Date]],'DB Details'!$A:$Q,15)=0,"",VLOOKUP(Table311[[#This Row],[Date]],'DB Details'!$A:$Q,15))</f>
        <v/>
      </c>
      <c r="E59" s="61">
        <f>IF(VLOOKUP(Table311[[#This Row],[Date]],'DB Details'!$A:$Q,17)=0,"",VLOOKUP(Table311[[#This Row],[Date]],'DB Details'!$A:$Q,17))</f>
        <v/>
      </c>
    </row>
    <row r="60">
      <c r="A60" s="60" t="n">
        <v>37257</v>
      </c>
      <c r="B60" s="50">
        <f>IF(VLOOKUP(Table311[[#This Row],[Date]],'DB Details'!$A:$Q,12)=0,"",VLOOKUP(Table311[[#This Row],[Date]],'DB Details'!$A:$Q,12))</f>
        <v/>
      </c>
      <c r="C60" s="61">
        <f>IF(VLOOKUP(Table311[[#This Row],[Date]],'DB Details'!$A:$Q,16)=0,"",VLOOKUP(Table311[[#This Row],[Date]],'DB Details'!$A:$Q,16))</f>
        <v/>
      </c>
      <c r="D60" s="61">
        <f>IF(VLOOKUP(Table311[[#This Row],[Date]],'DB Details'!$A:$Q,15)=0,"",VLOOKUP(Table311[[#This Row],[Date]],'DB Details'!$A:$Q,15))</f>
        <v/>
      </c>
      <c r="E60" s="61">
        <f>IF(VLOOKUP(Table311[[#This Row],[Date]],'DB Details'!$A:$Q,17)=0,"",VLOOKUP(Table311[[#This Row],[Date]],'DB Details'!$A:$Q,17))</f>
        <v/>
      </c>
    </row>
    <row r="61">
      <c r="A61" s="60" t="n">
        <v>37288</v>
      </c>
      <c r="B61" s="50">
        <f>IF(VLOOKUP(Table311[[#This Row],[Date]],'DB Details'!$A:$Q,12)=0,"",VLOOKUP(Table311[[#This Row],[Date]],'DB Details'!$A:$Q,12))</f>
        <v/>
      </c>
      <c r="C61" s="61">
        <f>IF(VLOOKUP(Table311[[#This Row],[Date]],'DB Details'!$A:$Q,16)=0,"",VLOOKUP(Table311[[#This Row],[Date]],'DB Details'!$A:$Q,16))</f>
        <v/>
      </c>
      <c r="D61" s="61">
        <f>IF(VLOOKUP(Table311[[#This Row],[Date]],'DB Details'!$A:$Q,15)=0,"",VLOOKUP(Table311[[#This Row],[Date]],'DB Details'!$A:$Q,15))</f>
        <v/>
      </c>
      <c r="E61" s="61">
        <f>IF(VLOOKUP(Table311[[#This Row],[Date]],'DB Details'!$A:$Q,17)=0,"",VLOOKUP(Table311[[#This Row],[Date]],'DB Details'!$A:$Q,17))</f>
        <v/>
      </c>
    </row>
    <row r="62">
      <c r="A62" s="60" t="n">
        <v>37316</v>
      </c>
      <c r="B62" s="50">
        <f>IF(VLOOKUP(Table311[[#This Row],[Date]],'DB Details'!$A:$Q,12)=0,"",VLOOKUP(Table311[[#This Row],[Date]],'DB Details'!$A:$Q,12))</f>
        <v/>
      </c>
      <c r="C62" s="61">
        <f>IF(VLOOKUP(Table311[[#This Row],[Date]],'DB Details'!$A:$Q,16)=0,"",VLOOKUP(Table311[[#This Row],[Date]],'DB Details'!$A:$Q,16))</f>
        <v/>
      </c>
      <c r="D62" s="61">
        <f>IF(VLOOKUP(Table311[[#This Row],[Date]],'DB Details'!$A:$Q,15)=0,"",VLOOKUP(Table311[[#This Row],[Date]],'DB Details'!$A:$Q,15))</f>
        <v/>
      </c>
      <c r="E62" s="61">
        <f>IF(VLOOKUP(Table311[[#This Row],[Date]],'DB Details'!$A:$Q,17)=0,"",VLOOKUP(Table311[[#This Row],[Date]],'DB Details'!$A:$Q,17))</f>
        <v/>
      </c>
    </row>
    <row r="63">
      <c r="A63" s="60" t="n">
        <v>37347</v>
      </c>
      <c r="B63" s="50">
        <f>IF(VLOOKUP(Table311[[#This Row],[Date]],'DB Details'!$A:$Q,12)=0,"",VLOOKUP(Table311[[#This Row],[Date]],'DB Details'!$A:$Q,12))</f>
        <v/>
      </c>
      <c r="C63" s="61">
        <f>IF(VLOOKUP(Table311[[#This Row],[Date]],'DB Details'!$A:$Q,16)=0,"",VLOOKUP(Table311[[#This Row],[Date]],'DB Details'!$A:$Q,16))</f>
        <v/>
      </c>
      <c r="D63" s="61">
        <f>IF(VLOOKUP(Table311[[#This Row],[Date]],'DB Details'!$A:$Q,15)=0,"",VLOOKUP(Table311[[#This Row],[Date]],'DB Details'!$A:$Q,15))</f>
        <v/>
      </c>
      <c r="E63" s="61">
        <f>IF(VLOOKUP(Table311[[#This Row],[Date]],'DB Details'!$A:$Q,17)=0,"",VLOOKUP(Table311[[#This Row],[Date]],'DB Details'!$A:$Q,17))</f>
        <v/>
      </c>
    </row>
    <row r="64">
      <c r="A64" s="60" t="n">
        <v>37377</v>
      </c>
      <c r="B64" s="50">
        <f>IF(VLOOKUP(Table311[[#This Row],[Date]],'DB Details'!$A:$Q,12)=0,"",VLOOKUP(Table311[[#This Row],[Date]],'DB Details'!$A:$Q,12))</f>
        <v/>
      </c>
      <c r="C64" s="61">
        <f>IF(VLOOKUP(Table311[[#This Row],[Date]],'DB Details'!$A:$Q,16)=0,"",VLOOKUP(Table311[[#This Row],[Date]],'DB Details'!$A:$Q,16))</f>
        <v/>
      </c>
      <c r="D64" s="61">
        <f>IF(VLOOKUP(Table311[[#This Row],[Date]],'DB Details'!$A:$Q,15)=0,"",VLOOKUP(Table311[[#This Row],[Date]],'DB Details'!$A:$Q,15))</f>
        <v/>
      </c>
      <c r="E64" s="61">
        <f>IF(VLOOKUP(Table311[[#This Row],[Date]],'DB Details'!$A:$Q,17)=0,"",VLOOKUP(Table311[[#This Row],[Date]],'DB Details'!$A:$Q,17))</f>
        <v/>
      </c>
    </row>
    <row r="65">
      <c r="A65" s="60" t="n">
        <v>37408</v>
      </c>
      <c r="B65" s="50">
        <f>IF(VLOOKUP(Table311[[#This Row],[Date]],'DB Details'!$A:$Q,12)=0,"",VLOOKUP(Table311[[#This Row],[Date]],'DB Details'!$A:$Q,12))</f>
        <v/>
      </c>
      <c r="C65" s="61">
        <f>IF(VLOOKUP(Table311[[#This Row],[Date]],'DB Details'!$A:$Q,16)=0,"",VLOOKUP(Table311[[#This Row],[Date]],'DB Details'!$A:$Q,16))</f>
        <v/>
      </c>
      <c r="D65" s="61">
        <f>IF(VLOOKUP(Table311[[#This Row],[Date]],'DB Details'!$A:$Q,15)=0,"",VLOOKUP(Table311[[#This Row],[Date]],'DB Details'!$A:$Q,15))</f>
        <v/>
      </c>
      <c r="E65" s="61">
        <f>IF(VLOOKUP(Table311[[#This Row],[Date]],'DB Details'!$A:$Q,17)=0,"",VLOOKUP(Table311[[#This Row],[Date]],'DB Details'!$A:$Q,17))</f>
        <v/>
      </c>
    </row>
    <row r="66">
      <c r="A66" s="60" t="n">
        <v>37438</v>
      </c>
      <c r="B66" s="50">
        <f>IF(VLOOKUP(Table311[[#This Row],[Date]],'DB Details'!$A:$Q,12)=0,"",VLOOKUP(Table311[[#This Row],[Date]],'DB Details'!$A:$Q,12))</f>
        <v/>
      </c>
      <c r="C66" s="61">
        <f>IF(VLOOKUP(Table311[[#This Row],[Date]],'DB Details'!$A:$Q,16)=0,"",VLOOKUP(Table311[[#This Row],[Date]],'DB Details'!$A:$Q,16))</f>
        <v/>
      </c>
      <c r="D66" s="61">
        <f>IF(VLOOKUP(Table311[[#This Row],[Date]],'DB Details'!$A:$Q,15)=0,"",VLOOKUP(Table311[[#This Row],[Date]],'DB Details'!$A:$Q,15))</f>
        <v/>
      </c>
      <c r="E66" s="61">
        <f>IF(VLOOKUP(Table311[[#This Row],[Date]],'DB Details'!$A:$Q,17)=0,"",VLOOKUP(Table311[[#This Row],[Date]],'DB Details'!$A:$Q,17))</f>
        <v/>
      </c>
    </row>
    <row r="67">
      <c r="A67" s="60" t="n">
        <v>37469</v>
      </c>
      <c r="B67" s="50">
        <f>IF(VLOOKUP(Table311[[#This Row],[Date]],'DB Details'!$A:$Q,12)=0,"",VLOOKUP(Table311[[#This Row],[Date]],'DB Details'!$A:$Q,12))</f>
        <v/>
      </c>
      <c r="C67" s="61">
        <f>IF(VLOOKUP(Table311[[#This Row],[Date]],'DB Details'!$A:$Q,16)=0,"",VLOOKUP(Table311[[#This Row],[Date]],'DB Details'!$A:$Q,16))</f>
        <v/>
      </c>
      <c r="D67" s="61">
        <f>IF(VLOOKUP(Table311[[#This Row],[Date]],'DB Details'!$A:$Q,15)=0,"",VLOOKUP(Table311[[#This Row],[Date]],'DB Details'!$A:$Q,15))</f>
        <v/>
      </c>
      <c r="E67" s="61">
        <f>IF(VLOOKUP(Table311[[#This Row],[Date]],'DB Details'!$A:$Q,17)=0,"",VLOOKUP(Table311[[#This Row],[Date]],'DB Details'!$A:$Q,17))</f>
        <v/>
      </c>
    </row>
    <row r="68">
      <c r="A68" s="60" t="n">
        <v>37500</v>
      </c>
      <c r="B68" s="50">
        <f>IF(VLOOKUP(Table311[[#This Row],[Date]],'DB Details'!$A:$Q,12)=0,"",VLOOKUP(Table311[[#This Row],[Date]],'DB Details'!$A:$Q,12))</f>
        <v/>
      </c>
      <c r="C68" s="61">
        <f>IF(VLOOKUP(Table311[[#This Row],[Date]],'DB Details'!$A:$Q,16)=0,"",VLOOKUP(Table311[[#This Row],[Date]],'DB Details'!$A:$Q,16))</f>
        <v/>
      </c>
      <c r="D68" s="61">
        <f>IF(VLOOKUP(Table311[[#This Row],[Date]],'DB Details'!$A:$Q,15)=0,"",VLOOKUP(Table311[[#This Row],[Date]],'DB Details'!$A:$Q,15))</f>
        <v/>
      </c>
      <c r="E68" s="61">
        <f>IF(VLOOKUP(Table311[[#This Row],[Date]],'DB Details'!$A:$Q,17)=0,"",VLOOKUP(Table311[[#This Row],[Date]],'DB Details'!$A:$Q,17))</f>
        <v/>
      </c>
    </row>
    <row r="69">
      <c r="A69" s="60" t="n">
        <v>37530</v>
      </c>
      <c r="B69" s="50">
        <f>IF(VLOOKUP(Table311[[#This Row],[Date]],'DB Details'!$A:$Q,12)=0,"",VLOOKUP(Table311[[#This Row],[Date]],'DB Details'!$A:$Q,12))</f>
        <v/>
      </c>
      <c r="C69" s="61">
        <f>IF(VLOOKUP(Table311[[#This Row],[Date]],'DB Details'!$A:$Q,16)=0,"",VLOOKUP(Table311[[#This Row],[Date]],'DB Details'!$A:$Q,16))</f>
        <v/>
      </c>
      <c r="D69" s="61">
        <f>IF(VLOOKUP(Table311[[#This Row],[Date]],'DB Details'!$A:$Q,15)=0,"",VLOOKUP(Table311[[#This Row],[Date]],'DB Details'!$A:$Q,15))</f>
        <v/>
      </c>
      <c r="E69" s="61">
        <f>IF(VLOOKUP(Table311[[#This Row],[Date]],'DB Details'!$A:$Q,17)=0,"",VLOOKUP(Table311[[#This Row],[Date]],'DB Details'!$A:$Q,17))</f>
        <v/>
      </c>
    </row>
    <row r="70">
      <c r="A70" s="60" t="n">
        <v>37561</v>
      </c>
      <c r="B70" s="50">
        <f>IF(VLOOKUP(Table311[[#This Row],[Date]],'DB Details'!$A:$Q,12)=0,"",VLOOKUP(Table311[[#This Row],[Date]],'DB Details'!$A:$Q,12))</f>
        <v/>
      </c>
      <c r="C70" s="61">
        <f>IF(VLOOKUP(Table311[[#This Row],[Date]],'DB Details'!$A:$Q,16)=0,"",VLOOKUP(Table311[[#This Row],[Date]],'DB Details'!$A:$Q,16))</f>
        <v/>
      </c>
      <c r="D70" s="61">
        <f>IF(VLOOKUP(Table311[[#This Row],[Date]],'DB Details'!$A:$Q,15)=0,"",VLOOKUP(Table311[[#This Row],[Date]],'DB Details'!$A:$Q,15))</f>
        <v/>
      </c>
      <c r="E70" s="61">
        <f>IF(VLOOKUP(Table311[[#This Row],[Date]],'DB Details'!$A:$Q,17)=0,"",VLOOKUP(Table311[[#This Row],[Date]],'DB Details'!$A:$Q,17))</f>
        <v/>
      </c>
    </row>
    <row r="71">
      <c r="A71" s="60" t="n">
        <v>37591</v>
      </c>
      <c r="B71" s="50">
        <f>IF(VLOOKUP(Table311[[#This Row],[Date]],'DB Details'!$A:$Q,12)=0,"",VLOOKUP(Table311[[#This Row],[Date]],'DB Details'!$A:$Q,12))</f>
        <v/>
      </c>
      <c r="C71" s="61">
        <f>IF(VLOOKUP(Table311[[#This Row],[Date]],'DB Details'!$A:$Q,16)=0,"",VLOOKUP(Table311[[#This Row],[Date]],'DB Details'!$A:$Q,16))</f>
        <v/>
      </c>
      <c r="D71" s="61">
        <f>IF(VLOOKUP(Table311[[#This Row],[Date]],'DB Details'!$A:$Q,15)=0,"",VLOOKUP(Table311[[#This Row],[Date]],'DB Details'!$A:$Q,15))</f>
        <v/>
      </c>
      <c r="E71" s="61">
        <f>IF(VLOOKUP(Table311[[#This Row],[Date]],'DB Details'!$A:$Q,17)=0,"",VLOOKUP(Table311[[#This Row],[Date]],'DB Details'!$A:$Q,17))</f>
        <v/>
      </c>
    </row>
    <row r="72">
      <c r="A72" s="60" t="n">
        <v>37622</v>
      </c>
      <c r="B72" s="50">
        <f>IF(VLOOKUP(Table311[[#This Row],[Date]],'DB Details'!$A:$Q,12)=0,"",VLOOKUP(Table311[[#This Row],[Date]],'DB Details'!$A:$Q,12))</f>
        <v/>
      </c>
      <c r="C72" s="61">
        <f>IF(VLOOKUP(Table311[[#This Row],[Date]],'DB Details'!$A:$Q,16)=0,"",VLOOKUP(Table311[[#This Row],[Date]],'DB Details'!$A:$Q,16))</f>
        <v/>
      </c>
      <c r="D72" s="61">
        <f>IF(VLOOKUP(Table311[[#This Row],[Date]],'DB Details'!$A:$Q,15)=0,"",VLOOKUP(Table311[[#This Row],[Date]],'DB Details'!$A:$Q,15))</f>
        <v/>
      </c>
      <c r="E72" s="61">
        <f>IF(VLOOKUP(Table311[[#This Row],[Date]],'DB Details'!$A:$Q,17)=0,"",VLOOKUP(Table311[[#This Row],[Date]],'DB Details'!$A:$Q,17))</f>
        <v/>
      </c>
    </row>
    <row r="73">
      <c r="A73" s="60" t="n">
        <v>37653</v>
      </c>
      <c r="B73" s="50">
        <f>IF(VLOOKUP(Table311[[#This Row],[Date]],'DB Details'!$A:$Q,12)=0,"",VLOOKUP(Table311[[#This Row],[Date]],'DB Details'!$A:$Q,12))</f>
        <v/>
      </c>
      <c r="C73" s="61">
        <f>IF(VLOOKUP(Table311[[#This Row],[Date]],'DB Details'!$A:$Q,16)=0,"",VLOOKUP(Table311[[#This Row],[Date]],'DB Details'!$A:$Q,16))</f>
        <v/>
      </c>
      <c r="D73" s="61">
        <f>IF(VLOOKUP(Table311[[#This Row],[Date]],'DB Details'!$A:$Q,15)=0,"",VLOOKUP(Table311[[#This Row],[Date]],'DB Details'!$A:$Q,15))</f>
        <v/>
      </c>
      <c r="E73" s="61">
        <f>IF(VLOOKUP(Table311[[#This Row],[Date]],'DB Details'!$A:$Q,17)=0,"",VLOOKUP(Table311[[#This Row],[Date]],'DB Details'!$A:$Q,17))</f>
        <v/>
      </c>
    </row>
    <row r="74">
      <c r="A74" s="60" t="n">
        <v>37681</v>
      </c>
      <c r="B74" s="50">
        <f>IF(VLOOKUP(Table311[[#This Row],[Date]],'DB Details'!$A:$Q,12)=0,"",VLOOKUP(Table311[[#This Row],[Date]],'DB Details'!$A:$Q,12))</f>
        <v/>
      </c>
      <c r="C74" s="61">
        <f>IF(VLOOKUP(Table311[[#This Row],[Date]],'DB Details'!$A:$Q,16)=0,"",VLOOKUP(Table311[[#This Row],[Date]],'DB Details'!$A:$Q,16))</f>
        <v/>
      </c>
      <c r="D74" s="61">
        <f>IF(VLOOKUP(Table311[[#This Row],[Date]],'DB Details'!$A:$Q,15)=0,"",VLOOKUP(Table311[[#This Row],[Date]],'DB Details'!$A:$Q,15))</f>
        <v/>
      </c>
      <c r="E74" s="61">
        <f>IF(VLOOKUP(Table311[[#This Row],[Date]],'DB Details'!$A:$Q,17)=0,"",VLOOKUP(Table311[[#This Row],[Date]],'DB Details'!$A:$Q,17))</f>
        <v/>
      </c>
    </row>
    <row r="75">
      <c r="A75" s="60" t="n">
        <v>37712</v>
      </c>
      <c r="B75" s="50">
        <f>IF(VLOOKUP(Table311[[#This Row],[Date]],'DB Details'!$A:$Q,12)=0,"",VLOOKUP(Table311[[#This Row],[Date]],'DB Details'!$A:$Q,12))</f>
        <v/>
      </c>
      <c r="C75" s="61">
        <f>IF(VLOOKUP(Table311[[#This Row],[Date]],'DB Details'!$A:$Q,16)=0,"",VLOOKUP(Table311[[#This Row],[Date]],'DB Details'!$A:$Q,16))</f>
        <v/>
      </c>
      <c r="D75" s="61">
        <f>IF(VLOOKUP(Table311[[#This Row],[Date]],'DB Details'!$A:$Q,15)=0,"",VLOOKUP(Table311[[#This Row],[Date]],'DB Details'!$A:$Q,15))</f>
        <v/>
      </c>
      <c r="E75" s="61">
        <f>IF(VLOOKUP(Table311[[#This Row],[Date]],'DB Details'!$A:$Q,17)=0,"",VLOOKUP(Table311[[#This Row],[Date]],'DB Details'!$A:$Q,17))</f>
        <v/>
      </c>
    </row>
    <row r="76">
      <c r="A76" s="60" t="n">
        <v>37742</v>
      </c>
      <c r="B76" s="50">
        <f>IF(VLOOKUP(Table311[[#This Row],[Date]],'DB Details'!$A:$Q,12)=0,"",VLOOKUP(Table311[[#This Row],[Date]],'DB Details'!$A:$Q,12))</f>
        <v/>
      </c>
      <c r="C76" s="61">
        <f>IF(VLOOKUP(Table311[[#This Row],[Date]],'DB Details'!$A:$Q,16)=0,"",VLOOKUP(Table311[[#This Row],[Date]],'DB Details'!$A:$Q,16))</f>
        <v/>
      </c>
      <c r="D76" s="61">
        <f>IF(VLOOKUP(Table311[[#This Row],[Date]],'DB Details'!$A:$Q,15)=0,"",VLOOKUP(Table311[[#This Row],[Date]],'DB Details'!$A:$Q,15))</f>
        <v/>
      </c>
      <c r="E76" s="61">
        <f>IF(VLOOKUP(Table311[[#This Row],[Date]],'DB Details'!$A:$Q,17)=0,"",VLOOKUP(Table311[[#This Row],[Date]],'DB Details'!$A:$Q,17))</f>
        <v/>
      </c>
    </row>
    <row r="77">
      <c r="A77" s="60" t="n">
        <v>37773</v>
      </c>
      <c r="B77" s="50">
        <f>IF(VLOOKUP(Table311[[#This Row],[Date]],'DB Details'!$A:$Q,12)=0,"",VLOOKUP(Table311[[#This Row],[Date]],'DB Details'!$A:$Q,12))</f>
        <v/>
      </c>
      <c r="C77" s="61">
        <f>IF(VLOOKUP(Table311[[#This Row],[Date]],'DB Details'!$A:$Q,16)=0,"",VLOOKUP(Table311[[#This Row],[Date]],'DB Details'!$A:$Q,16))</f>
        <v/>
      </c>
      <c r="D77" s="61">
        <f>IF(VLOOKUP(Table311[[#This Row],[Date]],'DB Details'!$A:$Q,15)=0,"",VLOOKUP(Table311[[#This Row],[Date]],'DB Details'!$A:$Q,15))</f>
        <v/>
      </c>
      <c r="E77" s="61">
        <f>IF(VLOOKUP(Table311[[#This Row],[Date]],'DB Details'!$A:$Q,17)=0,"",VLOOKUP(Table311[[#This Row],[Date]],'DB Details'!$A:$Q,17))</f>
        <v/>
      </c>
    </row>
    <row r="78">
      <c r="A78" s="60" t="n">
        <v>37803</v>
      </c>
      <c r="B78" s="50">
        <f>IF(VLOOKUP(Table311[[#This Row],[Date]],'DB Details'!$A:$Q,12)=0,"",VLOOKUP(Table311[[#This Row],[Date]],'DB Details'!$A:$Q,12))</f>
        <v/>
      </c>
      <c r="C78" s="61">
        <f>IF(VLOOKUP(Table311[[#This Row],[Date]],'DB Details'!$A:$Q,16)=0,"",VLOOKUP(Table311[[#This Row],[Date]],'DB Details'!$A:$Q,16))</f>
        <v/>
      </c>
      <c r="D78" s="61">
        <f>IF(VLOOKUP(Table311[[#This Row],[Date]],'DB Details'!$A:$Q,15)=0,"",VLOOKUP(Table311[[#This Row],[Date]],'DB Details'!$A:$Q,15))</f>
        <v/>
      </c>
      <c r="E78" s="61">
        <f>IF(VLOOKUP(Table311[[#This Row],[Date]],'DB Details'!$A:$Q,17)=0,"",VLOOKUP(Table311[[#This Row],[Date]],'DB Details'!$A:$Q,17))</f>
        <v/>
      </c>
    </row>
    <row r="79">
      <c r="A79" s="60" t="n">
        <v>37834</v>
      </c>
      <c r="B79" s="50">
        <f>IF(VLOOKUP(Table311[[#This Row],[Date]],'DB Details'!$A:$Q,12)=0,"",VLOOKUP(Table311[[#This Row],[Date]],'DB Details'!$A:$Q,12))</f>
        <v/>
      </c>
      <c r="C79" s="61">
        <f>IF(VLOOKUP(Table311[[#This Row],[Date]],'DB Details'!$A:$Q,16)=0,"",VLOOKUP(Table311[[#This Row],[Date]],'DB Details'!$A:$Q,16))</f>
        <v/>
      </c>
      <c r="D79" s="61">
        <f>IF(VLOOKUP(Table311[[#This Row],[Date]],'DB Details'!$A:$Q,15)=0,"",VLOOKUP(Table311[[#This Row],[Date]],'DB Details'!$A:$Q,15))</f>
        <v/>
      </c>
      <c r="E79" s="61">
        <f>IF(VLOOKUP(Table311[[#This Row],[Date]],'DB Details'!$A:$Q,17)=0,"",VLOOKUP(Table311[[#This Row],[Date]],'DB Details'!$A:$Q,17))</f>
        <v/>
      </c>
    </row>
    <row r="80">
      <c r="A80" s="60" t="n">
        <v>37865</v>
      </c>
      <c r="B80" s="50">
        <f>IF(VLOOKUP(Table311[[#This Row],[Date]],'DB Details'!$A:$Q,12)=0,"",VLOOKUP(Table311[[#This Row],[Date]],'DB Details'!$A:$Q,12))</f>
        <v/>
      </c>
      <c r="C80" s="61">
        <f>IF(VLOOKUP(Table311[[#This Row],[Date]],'DB Details'!$A:$Q,16)=0,"",VLOOKUP(Table311[[#This Row],[Date]],'DB Details'!$A:$Q,16))</f>
        <v/>
      </c>
      <c r="D80" s="61">
        <f>IF(VLOOKUP(Table311[[#This Row],[Date]],'DB Details'!$A:$Q,15)=0,"",VLOOKUP(Table311[[#This Row],[Date]],'DB Details'!$A:$Q,15))</f>
        <v/>
      </c>
      <c r="E80" s="61">
        <f>IF(VLOOKUP(Table311[[#This Row],[Date]],'DB Details'!$A:$Q,17)=0,"",VLOOKUP(Table311[[#This Row],[Date]],'DB Details'!$A:$Q,17))</f>
        <v/>
      </c>
    </row>
    <row r="81">
      <c r="A81" s="60" t="n">
        <v>37895</v>
      </c>
      <c r="B81" s="50">
        <f>IF(VLOOKUP(Table311[[#This Row],[Date]],'DB Details'!$A:$Q,12)=0,"",VLOOKUP(Table311[[#This Row],[Date]],'DB Details'!$A:$Q,12))</f>
        <v/>
      </c>
      <c r="C81" s="61">
        <f>IF(VLOOKUP(Table311[[#This Row],[Date]],'DB Details'!$A:$Q,16)=0,"",VLOOKUP(Table311[[#This Row],[Date]],'DB Details'!$A:$Q,16))</f>
        <v/>
      </c>
      <c r="D81" s="61">
        <f>IF(VLOOKUP(Table311[[#This Row],[Date]],'DB Details'!$A:$Q,15)=0,"",VLOOKUP(Table311[[#This Row],[Date]],'DB Details'!$A:$Q,15))</f>
        <v/>
      </c>
      <c r="E81" s="61">
        <f>IF(VLOOKUP(Table311[[#This Row],[Date]],'DB Details'!$A:$Q,17)=0,"",VLOOKUP(Table311[[#This Row],[Date]],'DB Details'!$A:$Q,17))</f>
        <v/>
      </c>
    </row>
    <row r="82">
      <c r="A82" s="60" t="n">
        <v>37926</v>
      </c>
      <c r="B82" s="50">
        <f>IF(VLOOKUP(Table311[[#This Row],[Date]],'DB Details'!$A:$Q,12)=0,"",VLOOKUP(Table311[[#This Row],[Date]],'DB Details'!$A:$Q,12))</f>
        <v/>
      </c>
      <c r="C82" s="61">
        <f>IF(VLOOKUP(Table311[[#This Row],[Date]],'DB Details'!$A:$Q,16)=0,"",VLOOKUP(Table311[[#This Row],[Date]],'DB Details'!$A:$Q,16))</f>
        <v/>
      </c>
      <c r="D82" s="61">
        <f>IF(VLOOKUP(Table311[[#This Row],[Date]],'DB Details'!$A:$Q,15)=0,"",VLOOKUP(Table311[[#This Row],[Date]],'DB Details'!$A:$Q,15))</f>
        <v/>
      </c>
      <c r="E82" s="61">
        <f>IF(VLOOKUP(Table311[[#This Row],[Date]],'DB Details'!$A:$Q,17)=0,"",VLOOKUP(Table311[[#This Row],[Date]],'DB Details'!$A:$Q,17))</f>
        <v/>
      </c>
    </row>
    <row r="83">
      <c r="A83" s="60" t="n">
        <v>37956</v>
      </c>
      <c r="B83" s="50">
        <f>IF(VLOOKUP(Table311[[#This Row],[Date]],'DB Details'!$A:$Q,12)=0,"",VLOOKUP(Table311[[#This Row],[Date]],'DB Details'!$A:$Q,12))</f>
        <v/>
      </c>
      <c r="C83" s="61">
        <f>IF(VLOOKUP(Table311[[#This Row],[Date]],'DB Details'!$A:$Q,16)=0,"",VLOOKUP(Table311[[#This Row],[Date]],'DB Details'!$A:$Q,16))</f>
        <v/>
      </c>
      <c r="D83" s="61">
        <f>IF(VLOOKUP(Table311[[#This Row],[Date]],'DB Details'!$A:$Q,15)=0,"",VLOOKUP(Table311[[#This Row],[Date]],'DB Details'!$A:$Q,15))</f>
        <v/>
      </c>
      <c r="E83" s="61">
        <f>IF(VLOOKUP(Table311[[#This Row],[Date]],'DB Details'!$A:$Q,17)=0,"",VLOOKUP(Table311[[#This Row],[Date]],'DB Details'!$A:$Q,17))</f>
        <v/>
      </c>
    </row>
    <row r="84">
      <c r="A84" s="60" t="n">
        <v>37987</v>
      </c>
      <c r="B84" s="50">
        <f>IF(VLOOKUP(Table311[[#This Row],[Date]],'DB Details'!$A:$Q,12)=0,"",VLOOKUP(Table311[[#This Row],[Date]],'DB Details'!$A:$Q,12))</f>
        <v/>
      </c>
      <c r="C84" s="61">
        <f>IF(VLOOKUP(Table311[[#This Row],[Date]],'DB Details'!$A:$Q,16)=0,"",VLOOKUP(Table311[[#This Row],[Date]],'DB Details'!$A:$Q,16))</f>
        <v/>
      </c>
      <c r="D84" s="61">
        <f>IF(VLOOKUP(Table311[[#This Row],[Date]],'DB Details'!$A:$Q,15)=0,"",VLOOKUP(Table311[[#This Row],[Date]],'DB Details'!$A:$Q,15))</f>
        <v/>
      </c>
      <c r="E84" s="61">
        <f>IF(VLOOKUP(Table311[[#This Row],[Date]],'DB Details'!$A:$Q,17)=0,"",VLOOKUP(Table311[[#This Row],[Date]],'DB Details'!$A:$Q,17))</f>
        <v/>
      </c>
    </row>
    <row r="85">
      <c r="A85" s="60" t="n">
        <v>38018</v>
      </c>
      <c r="B85" s="50">
        <f>IF(VLOOKUP(Table311[[#This Row],[Date]],'DB Details'!$A:$Q,12)=0,"",VLOOKUP(Table311[[#This Row],[Date]],'DB Details'!$A:$Q,12))</f>
        <v/>
      </c>
      <c r="C85" s="61">
        <f>IF(VLOOKUP(Table311[[#This Row],[Date]],'DB Details'!$A:$Q,16)=0,"",VLOOKUP(Table311[[#This Row],[Date]],'DB Details'!$A:$Q,16))</f>
        <v/>
      </c>
      <c r="D85" s="61">
        <f>IF(VLOOKUP(Table311[[#This Row],[Date]],'DB Details'!$A:$Q,15)=0,"",VLOOKUP(Table311[[#This Row],[Date]],'DB Details'!$A:$Q,15))</f>
        <v/>
      </c>
      <c r="E85" s="61">
        <f>IF(VLOOKUP(Table311[[#This Row],[Date]],'DB Details'!$A:$Q,17)=0,"",VLOOKUP(Table311[[#This Row],[Date]],'DB Details'!$A:$Q,17))</f>
        <v/>
      </c>
    </row>
    <row r="86">
      <c r="A86" s="60" t="n">
        <v>38047</v>
      </c>
      <c r="B86" s="50">
        <f>IF(VLOOKUP(Table311[[#This Row],[Date]],'DB Details'!$A:$Q,12)=0,"",VLOOKUP(Table311[[#This Row],[Date]],'DB Details'!$A:$Q,12))</f>
        <v/>
      </c>
      <c r="C86" s="61">
        <f>IF(VLOOKUP(Table311[[#This Row],[Date]],'DB Details'!$A:$Q,16)=0,"",VLOOKUP(Table311[[#This Row],[Date]],'DB Details'!$A:$Q,16))</f>
        <v/>
      </c>
      <c r="D86" s="61">
        <f>IF(VLOOKUP(Table311[[#This Row],[Date]],'DB Details'!$A:$Q,15)=0,"",VLOOKUP(Table311[[#This Row],[Date]],'DB Details'!$A:$Q,15))</f>
        <v/>
      </c>
      <c r="E86" s="61">
        <f>IF(VLOOKUP(Table311[[#This Row],[Date]],'DB Details'!$A:$Q,17)=0,"",VLOOKUP(Table311[[#This Row],[Date]],'DB Details'!$A:$Q,17))</f>
        <v/>
      </c>
    </row>
    <row r="87">
      <c r="A87" s="60" t="n">
        <v>38078</v>
      </c>
      <c r="B87" s="50">
        <f>IF(VLOOKUP(Table311[[#This Row],[Date]],'DB Details'!$A:$Q,12)=0,"",VLOOKUP(Table311[[#This Row],[Date]],'DB Details'!$A:$Q,12))</f>
        <v/>
      </c>
      <c r="C87" s="61">
        <f>IF(VLOOKUP(Table311[[#This Row],[Date]],'DB Details'!$A:$Q,16)=0,"",VLOOKUP(Table311[[#This Row],[Date]],'DB Details'!$A:$Q,16))</f>
        <v/>
      </c>
      <c r="D87" s="61">
        <f>IF(VLOOKUP(Table311[[#This Row],[Date]],'DB Details'!$A:$Q,15)=0,"",VLOOKUP(Table311[[#This Row],[Date]],'DB Details'!$A:$Q,15))</f>
        <v/>
      </c>
      <c r="E87" s="61">
        <f>IF(VLOOKUP(Table311[[#This Row],[Date]],'DB Details'!$A:$Q,17)=0,"",VLOOKUP(Table311[[#This Row],[Date]],'DB Details'!$A:$Q,17))</f>
        <v/>
      </c>
    </row>
    <row r="88">
      <c r="A88" s="60" t="n">
        <v>38108</v>
      </c>
      <c r="B88" s="50">
        <f>IF(VLOOKUP(Table311[[#This Row],[Date]],'DB Details'!$A:$Q,12)=0,"",VLOOKUP(Table311[[#This Row],[Date]],'DB Details'!$A:$Q,12))</f>
        <v/>
      </c>
      <c r="C88" s="61">
        <f>IF(VLOOKUP(Table311[[#This Row],[Date]],'DB Details'!$A:$Q,16)=0,"",VLOOKUP(Table311[[#This Row],[Date]],'DB Details'!$A:$Q,16))</f>
        <v/>
      </c>
      <c r="D88" s="61">
        <f>IF(VLOOKUP(Table311[[#This Row],[Date]],'DB Details'!$A:$Q,15)=0,"",VLOOKUP(Table311[[#This Row],[Date]],'DB Details'!$A:$Q,15))</f>
        <v/>
      </c>
      <c r="E88" s="61">
        <f>IF(VLOOKUP(Table311[[#This Row],[Date]],'DB Details'!$A:$Q,17)=0,"",VLOOKUP(Table311[[#This Row],[Date]],'DB Details'!$A:$Q,17))</f>
        <v/>
      </c>
    </row>
    <row r="89">
      <c r="A89" s="60" t="n">
        <v>38139</v>
      </c>
      <c r="B89" s="50">
        <f>IF(VLOOKUP(Table311[[#This Row],[Date]],'DB Details'!$A:$Q,12)=0,"",VLOOKUP(Table311[[#This Row],[Date]],'DB Details'!$A:$Q,12))</f>
        <v/>
      </c>
      <c r="C89" s="61">
        <f>IF(VLOOKUP(Table311[[#This Row],[Date]],'DB Details'!$A:$Q,16)=0,"",VLOOKUP(Table311[[#This Row],[Date]],'DB Details'!$A:$Q,16))</f>
        <v/>
      </c>
      <c r="D89" s="61">
        <f>IF(VLOOKUP(Table311[[#This Row],[Date]],'DB Details'!$A:$Q,15)=0,"",VLOOKUP(Table311[[#This Row],[Date]],'DB Details'!$A:$Q,15))</f>
        <v/>
      </c>
      <c r="E89" s="61">
        <f>IF(VLOOKUP(Table311[[#This Row],[Date]],'DB Details'!$A:$Q,17)=0,"",VLOOKUP(Table311[[#This Row],[Date]],'DB Details'!$A:$Q,17))</f>
        <v/>
      </c>
    </row>
    <row r="90">
      <c r="A90" s="60" t="n">
        <v>38169</v>
      </c>
      <c r="B90" s="50">
        <f>IF(VLOOKUP(Table311[[#This Row],[Date]],'DB Details'!$A:$Q,12)=0,"",VLOOKUP(Table311[[#This Row],[Date]],'DB Details'!$A:$Q,12))</f>
        <v/>
      </c>
      <c r="C90" s="61">
        <f>IF(VLOOKUP(Table311[[#This Row],[Date]],'DB Details'!$A:$Q,16)=0,"",VLOOKUP(Table311[[#This Row],[Date]],'DB Details'!$A:$Q,16))</f>
        <v/>
      </c>
      <c r="D90" s="61">
        <f>IF(VLOOKUP(Table311[[#This Row],[Date]],'DB Details'!$A:$Q,15)=0,"",VLOOKUP(Table311[[#This Row],[Date]],'DB Details'!$A:$Q,15))</f>
        <v/>
      </c>
      <c r="E90" s="61">
        <f>IF(VLOOKUP(Table311[[#This Row],[Date]],'DB Details'!$A:$Q,17)=0,"",VLOOKUP(Table311[[#This Row],[Date]],'DB Details'!$A:$Q,17))</f>
        <v/>
      </c>
    </row>
    <row r="91">
      <c r="A91" s="60" t="n">
        <v>38200</v>
      </c>
      <c r="B91" s="50">
        <f>IF(VLOOKUP(Table311[[#This Row],[Date]],'DB Details'!$A:$Q,12)=0,"",VLOOKUP(Table311[[#This Row],[Date]],'DB Details'!$A:$Q,12))</f>
        <v/>
      </c>
      <c r="C91" s="61">
        <f>IF(VLOOKUP(Table311[[#This Row],[Date]],'DB Details'!$A:$Q,16)=0,"",VLOOKUP(Table311[[#This Row],[Date]],'DB Details'!$A:$Q,16))</f>
        <v/>
      </c>
      <c r="D91" s="61">
        <f>IF(VLOOKUP(Table311[[#This Row],[Date]],'DB Details'!$A:$Q,15)=0,"",VLOOKUP(Table311[[#This Row],[Date]],'DB Details'!$A:$Q,15))</f>
        <v/>
      </c>
      <c r="E91" s="61">
        <f>IF(VLOOKUP(Table311[[#This Row],[Date]],'DB Details'!$A:$Q,17)=0,"",VLOOKUP(Table311[[#This Row],[Date]],'DB Details'!$A:$Q,17))</f>
        <v/>
      </c>
    </row>
    <row r="92">
      <c r="A92" s="60" t="n">
        <v>38231</v>
      </c>
      <c r="B92" s="50">
        <f>IF(VLOOKUP(Table311[[#This Row],[Date]],'DB Details'!$A:$Q,12)=0,"",VLOOKUP(Table311[[#This Row],[Date]],'DB Details'!$A:$Q,12))</f>
        <v/>
      </c>
      <c r="C92" s="61">
        <f>IF(VLOOKUP(Table311[[#This Row],[Date]],'DB Details'!$A:$Q,16)=0,"",VLOOKUP(Table311[[#This Row],[Date]],'DB Details'!$A:$Q,16))</f>
        <v/>
      </c>
      <c r="D92" s="61">
        <f>IF(VLOOKUP(Table311[[#This Row],[Date]],'DB Details'!$A:$Q,15)=0,"",VLOOKUP(Table311[[#This Row],[Date]],'DB Details'!$A:$Q,15))</f>
        <v/>
      </c>
      <c r="E92" s="61">
        <f>IF(VLOOKUP(Table311[[#This Row],[Date]],'DB Details'!$A:$Q,17)=0,"",VLOOKUP(Table311[[#This Row],[Date]],'DB Details'!$A:$Q,17))</f>
        <v/>
      </c>
    </row>
    <row r="93">
      <c r="A93" s="60" t="n">
        <v>38261</v>
      </c>
      <c r="B93" s="50">
        <f>IF(VLOOKUP(Table311[[#This Row],[Date]],'DB Details'!$A:$Q,12)=0,"",VLOOKUP(Table311[[#This Row],[Date]],'DB Details'!$A:$Q,12))</f>
        <v/>
      </c>
      <c r="C93" s="61">
        <f>IF(VLOOKUP(Table311[[#This Row],[Date]],'DB Details'!$A:$Q,16)=0,"",VLOOKUP(Table311[[#This Row],[Date]],'DB Details'!$A:$Q,16))</f>
        <v/>
      </c>
      <c r="D93" s="61">
        <f>IF(VLOOKUP(Table311[[#This Row],[Date]],'DB Details'!$A:$Q,15)=0,"",VLOOKUP(Table311[[#This Row],[Date]],'DB Details'!$A:$Q,15))</f>
        <v/>
      </c>
      <c r="E93" s="61">
        <f>IF(VLOOKUP(Table311[[#This Row],[Date]],'DB Details'!$A:$Q,17)=0,"",VLOOKUP(Table311[[#This Row],[Date]],'DB Details'!$A:$Q,17))</f>
        <v/>
      </c>
    </row>
    <row r="94">
      <c r="A94" s="60" t="n">
        <v>38292</v>
      </c>
      <c r="B94" s="50">
        <f>IF(VLOOKUP(Table311[[#This Row],[Date]],'DB Details'!$A:$Q,12)=0,"",VLOOKUP(Table311[[#This Row],[Date]],'DB Details'!$A:$Q,12))</f>
        <v/>
      </c>
      <c r="C94" s="61">
        <f>IF(VLOOKUP(Table311[[#This Row],[Date]],'DB Details'!$A:$Q,16)=0,"",VLOOKUP(Table311[[#This Row],[Date]],'DB Details'!$A:$Q,16))</f>
        <v/>
      </c>
      <c r="D94" s="61">
        <f>IF(VLOOKUP(Table311[[#This Row],[Date]],'DB Details'!$A:$Q,15)=0,"",VLOOKUP(Table311[[#This Row],[Date]],'DB Details'!$A:$Q,15))</f>
        <v/>
      </c>
      <c r="E94" s="61">
        <f>IF(VLOOKUP(Table311[[#This Row],[Date]],'DB Details'!$A:$Q,17)=0,"",VLOOKUP(Table311[[#This Row],[Date]],'DB Details'!$A:$Q,17))</f>
        <v/>
      </c>
    </row>
    <row r="95">
      <c r="A95" s="60" t="n">
        <v>38322</v>
      </c>
      <c r="B95" s="50">
        <f>IF(VLOOKUP(Table311[[#This Row],[Date]],'DB Details'!$A:$Q,12)=0,"",VLOOKUP(Table311[[#This Row],[Date]],'DB Details'!$A:$Q,12))</f>
        <v/>
      </c>
      <c r="C95" s="61">
        <f>IF(VLOOKUP(Table311[[#This Row],[Date]],'DB Details'!$A:$Q,16)=0,"",VLOOKUP(Table311[[#This Row],[Date]],'DB Details'!$A:$Q,16))</f>
        <v/>
      </c>
      <c r="D95" s="61">
        <f>IF(VLOOKUP(Table311[[#This Row],[Date]],'DB Details'!$A:$Q,15)=0,"",VLOOKUP(Table311[[#This Row],[Date]],'DB Details'!$A:$Q,15))</f>
        <v/>
      </c>
      <c r="E95" s="61">
        <f>IF(VLOOKUP(Table311[[#This Row],[Date]],'DB Details'!$A:$Q,17)=0,"",VLOOKUP(Table311[[#This Row],[Date]],'DB Details'!$A:$Q,17))</f>
        <v/>
      </c>
    </row>
    <row r="96">
      <c r="A96" s="60" t="n">
        <v>38353</v>
      </c>
      <c r="B96" s="50">
        <f>IF(VLOOKUP(Table311[[#This Row],[Date]],'DB Details'!$A:$Q,12)=0,"",VLOOKUP(Table311[[#This Row],[Date]],'DB Details'!$A:$Q,12))</f>
        <v/>
      </c>
      <c r="C96" s="61">
        <f>IF(VLOOKUP(Table311[[#This Row],[Date]],'DB Details'!$A:$Q,16)=0,"",VLOOKUP(Table311[[#This Row],[Date]],'DB Details'!$A:$Q,16))</f>
        <v/>
      </c>
      <c r="D96" s="61">
        <f>IF(VLOOKUP(Table311[[#This Row],[Date]],'DB Details'!$A:$Q,15)=0,"",VLOOKUP(Table311[[#This Row],[Date]],'DB Details'!$A:$Q,15))</f>
        <v/>
      </c>
      <c r="E96" s="61">
        <f>IF(VLOOKUP(Table311[[#This Row],[Date]],'DB Details'!$A:$Q,17)=0,"",VLOOKUP(Table311[[#This Row],[Date]],'DB Details'!$A:$Q,17))</f>
        <v/>
      </c>
    </row>
    <row r="97">
      <c r="A97" s="60" t="n">
        <v>38384</v>
      </c>
      <c r="B97" s="50">
        <f>IF(VLOOKUP(Table311[[#This Row],[Date]],'DB Details'!$A:$Q,12)=0,"",VLOOKUP(Table311[[#This Row],[Date]],'DB Details'!$A:$Q,12))</f>
        <v/>
      </c>
      <c r="C97" s="61">
        <f>IF(VLOOKUP(Table311[[#This Row],[Date]],'DB Details'!$A:$Q,16)=0,"",VLOOKUP(Table311[[#This Row],[Date]],'DB Details'!$A:$Q,16))</f>
        <v/>
      </c>
      <c r="D97" s="61">
        <f>IF(VLOOKUP(Table311[[#This Row],[Date]],'DB Details'!$A:$Q,15)=0,"",VLOOKUP(Table311[[#This Row],[Date]],'DB Details'!$A:$Q,15))</f>
        <v/>
      </c>
      <c r="E97" s="61">
        <f>IF(VLOOKUP(Table311[[#This Row],[Date]],'DB Details'!$A:$Q,17)=0,"",VLOOKUP(Table311[[#This Row],[Date]],'DB Details'!$A:$Q,17))</f>
        <v/>
      </c>
    </row>
    <row r="98">
      <c r="A98" s="60" t="n">
        <v>38412</v>
      </c>
      <c r="B98" s="50">
        <f>IF(VLOOKUP(Table311[[#This Row],[Date]],'DB Details'!$A:$Q,12)=0,"",VLOOKUP(Table311[[#This Row],[Date]],'DB Details'!$A:$Q,12))</f>
        <v/>
      </c>
      <c r="C98" s="61">
        <f>IF(VLOOKUP(Table311[[#This Row],[Date]],'DB Details'!$A:$Q,16)=0,"",VLOOKUP(Table311[[#This Row],[Date]],'DB Details'!$A:$Q,16))</f>
        <v/>
      </c>
      <c r="D98" s="61">
        <f>IF(VLOOKUP(Table311[[#This Row],[Date]],'DB Details'!$A:$Q,15)=0,"",VLOOKUP(Table311[[#This Row],[Date]],'DB Details'!$A:$Q,15))</f>
        <v/>
      </c>
      <c r="E98" s="61">
        <f>IF(VLOOKUP(Table311[[#This Row],[Date]],'DB Details'!$A:$Q,17)=0,"",VLOOKUP(Table311[[#This Row],[Date]],'DB Details'!$A:$Q,17))</f>
        <v/>
      </c>
    </row>
    <row r="99">
      <c r="A99" s="60" t="n">
        <v>38443</v>
      </c>
      <c r="B99" s="50">
        <f>IF(VLOOKUP(Table311[[#This Row],[Date]],'DB Details'!$A:$Q,12)=0,"",VLOOKUP(Table311[[#This Row],[Date]],'DB Details'!$A:$Q,12))</f>
        <v/>
      </c>
      <c r="C99" s="61">
        <f>IF(VLOOKUP(Table311[[#This Row],[Date]],'DB Details'!$A:$Q,16)=0,"",VLOOKUP(Table311[[#This Row],[Date]],'DB Details'!$A:$Q,16))</f>
        <v/>
      </c>
      <c r="D99" s="61">
        <f>IF(VLOOKUP(Table311[[#This Row],[Date]],'DB Details'!$A:$Q,15)=0,"",VLOOKUP(Table311[[#This Row],[Date]],'DB Details'!$A:$Q,15))</f>
        <v/>
      </c>
      <c r="E99" s="61">
        <f>IF(VLOOKUP(Table311[[#This Row],[Date]],'DB Details'!$A:$Q,17)=0,"",VLOOKUP(Table311[[#This Row],[Date]],'DB Details'!$A:$Q,17))</f>
        <v/>
      </c>
    </row>
    <row r="100">
      <c r="A100" s="60" t="n">
        <v>38473</v>
      </c>
      <c r="B100" s="50">
        <f>IF(VLOOKUP(Table311[[#This Row],[Date]],'DB Details'!$A:$Q,12)=0,"",VLOOKUP(Table311[[#This Row],[Date]],'DB Details'!$A:$Q,12))</f>
        <v/>
      </c>
      <c r="C100" s="61">
        <f>IF(VLOOKUP(Table311[[#This Row],[Date]],'DB Details'!$A:$Q,16)=0,"",VLOOKUP(Table311[[#This Row],[Date]],'DB Details'!$A:$Q,16))</f>
        <v/>
      </c>
      <c r="D100" s="61">
        <f>IF(VLOOKUP(Table311[[#This Row],[Date]],'DB Details'!$A:$Q,15)=0,"",VLOOKUP(Table311[[#This Row],[Date]],'DB Details'!$A:$Q,15))</f>
        <v/>
      </c>
      <c r="E100" s="61">
        <f>IF(VLOOKUP(Table311[[#This Row],[Date]],'DB Details'!$A:$Q,17)=0,"",VLOOKUP(Table311[[#This Row],[Date]],'DB Details'!$A:$Q,17))</f>
        <v/>
      </c>
    </row>
    <row r="101">
      <c r="A101" s="60" t="n">
        <v>38504</v>
      </c>
      <c r="B101" s="50">
        <f>IF(VLOOKUP(Table311[[#This Row],[Date]],'DB Details'!$A:$Q,12)=0,"",VLOOKUP(Table311[[#This Row],[Date]],'DB Details'!$A:$Q,12))</f>
        <v/>
      </c>
      <c r="C101" s="61">
        <f>IF(VLOOKUP(Table311[[#This Row],[Date]],'DB Details'!$A:$Q,16)=0,"",VLOOKUP(Table311[[#This Row],[Date]],'DB Details'!$A:$Q,16))</f>
        <v/>
      </c>
      <c r="D101" s="61">
        <f>IF(VLOOKUP(Table311[[#This Row],[Date]],'DB Details'!$A:$Q,15)=0,"",VLOOKUP(Table311[[#This Row],[Date]],'DB Details'!$A:$Q,15))</f>
        <v/>
      </c>
      <c r="E101" s="61">
        <f>IF(VLOOKUP(Table311[[#This Row],[Date]],'DB Details'!$A:$Q,17)=0,"",VLOOKUP(Table311[[#This Row],[Date]],'DB Details'!$A:$Q,17))</f>
        <v/>
      </c>
    </row>
    <row r="102">
      <c r="A102" s="60" t="n">
        <v>38534</v>
      </c>
      <c r="B102" s="50">
        <f>IF(VLOOKUP(Table311[[#This Row],[Date]],'DB Details'!$A:$Q,12)=0,"",VLOOKUP(Table311[[#This Row],[Date]],'DB Details'!$A:$Q,12))</f>
        <v/>
      </c>
      <c r="C102" s="61">
        <f>IF(VLOOKUP(Table311[[#This Row],[Date]],'DB Details'!$A:$Q,16)=0,"",VLOOKUP(Table311[[#This Row],[Date]],'DB Details'!$A:$Q,16))</f>
        <v/>
      </c>
      <c r="D102" s="61">
        <f>IF(VLOOKUP(Table311[[#This Row],[Date]],'DB Details'!$A:$Q,15)=0,"",VLOOKUP(Table311[[#This Row],[Date]],'DB Details'!$A:$Q,15))</f>
        <v/>
      </c>
      <c r="E102" s="61">
        <f>IF(VLOOKUP(Table311[[#This Row],[Date]],'DB Details'!$A:$Q,17)=0,"",VLOOKUP(Table311[[#This Row],[Date]],'DB Details'!$A:$Q,17))</f>
        <v/>
      </c>
    </row>
    <row r="103">
      <c r="A103" s="60" t="n">
        <v>38565</v>
      </c>
      <c r="B103" s="50">
        <f>IF(VLOOKUP(Table311[[#This Row],[Date]],'DB Details'!$A:$Q,12)=0,"",VLOOKUP(Table311[[#This Row],[Date]],'DB Details'!$A:$Q,12))</f>
        <v/>
      </c>
      <c r="C103" s="61">
        <f>IF(VLOOKUP(Table311[[#This Row],[Date]],'DB Details'!$A:$Q,16)=0,"",VLOOKUP(Table311[[#This Row],[Date]],'DB Details'!$A:$Q,16))</f>
        <v/>
      </c>
      <c r="D103" s="61">
        <f>IF(VLOOKUP(Table311[[#This Row],[Date]],'DB Details'!$A:$Q,15)=0,"",VLOOKUP(Table311[[#This Row],[Date]],'DB Details'!$A:$Q,15))</f>
        <v/>
      </c>
      <c r="E103" s="61">
        <f>IF(VLOOKUP(Table311[[#This Row],[Date]],'DB Details'!$A:$Q,17)=0,"",VLOOKUP(Table311[[#This Row],[Date]],'DB Details'!$A:$Q,17))</f>
        <v/>
      </c>
    </row>
    <row r="104">
      <c r="A104" s="60" t="n">
        <v>38596</v>
      </c>
      <c r="B104" s="50">
        <f>IF(VLOOKUP(Table311[[#This Row],[Date]],'DB Details'!$A:$Q,12)=0,"",VLOOKUP(Table311[[#This Row],[Date]],'DB Details'!$A:$Q,12))</f>
        <v/>
      </c>
      <c r="C104" s="61">
        <f>IF(VLOOKUP(Table311[[#This Row],[Date]],'DB Details'!$A:$Q,16)=0,"",VLOOKUP(Table311[[#This Row],[Date]],'DB Details'!$A:$Q,16))</f>
        <v/>
      </c>
      <c r="D104" s="61">
        <f>IF(VLOOKUP(Table311[[#This Row],[Date]],'DB Details'!$A:$Q,15)=0,"",VLOOKUP(Table311[[#This Row],[Date]],'DB Details'!$A:$Q,15))</f>
        <v/>
      </c>
      <c r="E104" s="61">
        <f>IF(VLOOKUP(Table311[[#This Row],[Date]],'DB Details'!$A:$Q,17)=0,"",VLOOKUP(Table311[[#This Row],[Date]],'DB Details'!$A:$Q,17))</f>
        <v/>
      </c>
    </row>
    <row r="105">
      <c r="A105" s="60" t="n">
        <v>38626</v>
      </c>
      <c r="B105" s="50">
        <f>IF(VLOOKUP(Table311[[#This Row],[Date]],'DB Details'!$A:$Q,12)=0,"",VLOOKUP(Table311[[#This Row],[Date]],'DB Details'!$A:$Q,12))</f>
        <v/>
      </c>
      <c r="C105" s="61">
        <f>IF(VLOOKUP(Table311[[#This Row],[Date]],'DB Details'!$A:$Q,16)=0,"",VLOOKUP(Table311[[#This Row],[Date]],'DB Details'!$A:$Q,16))</f>
        <v/>
      </c>
      <c r="D105" s="61">
        <f>IF(VLOOKUP(Table311[[#This Row],[Date]],'DB Details'!$A:$Q,15)=0,"",VLOOKUP(Table311[[#This Row],[Date]],'DB Details'!$A:$Q,15))</f>
        <v/>
      </c>
      <c r="E105" s="61">
        <f>IF(VLOOKUP(Table311[[#This Row],[Date]],'DB Details'!$A:$Q,17)=0,"",VLOOKUP(Table311[[#This Row],[Date]],'DB Details'!$A:$Q,17))</f>
        <v/>
      </c>
    </row>
    <row r="106">
      <c r="A106" s="60" t="n">
        <v>38657</v>
      </c>
      <c r="B106" s="50">
        <f>IF(VLOOKUP(Table311[[#This Row],[Date]],'DB Details'!$A:$Q,12)=0,"",VLOOKUP(Table311[[#This Row],[Date]],'DB Details'!$A:$Q,12))</f>
        <v/>
      </c>
      <c r="C106" s="61">
        <f>IF(VLOOKUP(Table311[[#This Row],[Date]],'DB Details'!$A:$Q,16)=0,"",VLOOKUP(Table311[[#This Row],[Date]],'DB Details'!$A:$Q,16))</f>
        <v/>
      </c>
      <c r="D106" s="61">
        <f>IF(VLOOKUP(Table311[[#This Row],[Date]],'DB Details'!$A:$Q,15)=0,"",VLOOKUP(Table311[[#This Row],[Date]],'DB Details'!$A:$Q,15))</f>
        <v/>
      </c>
      <c r="E106" s="61">
        <f>IF(VLOOKUP(Table311[[#This Row],[Date]],'DB Details'!$A:$Q,17)=0,"",VLOOKUP(Table311[[#This Row],[Date]],'DB Details'!$A:$Q,17))</f>
        <v/>
      </c>
    </row>
    <row r="107">
      <c r="A107" s="60" t="n">
        <v>38687</v>
      </c>
      <c r="B107" s="50">
        <f>IF(VLOOKUP(Table311[[#This Row],[Date]],'DB Details'!$A:$Q,12)=0,"",VLOOKUP(Table311[[#This Row],[Date]],'DB Details'!$A:$Q,12))</f>
        <v/>
      </c>
      <c r="C107" s="61">
        <f>IF(VLOOKUP(Table311[[#This Row],[Date]],'DB Details'!$A:$Q,16)=0,"",VLOOKUP(Table311[[#This Row],[Date]],'DB Details'!$A:$Q,16))</f>
        <v/>
      </c>
      <c r="D107" s="61">
        <f>IF(VLOOKUP(Table311[[#This Row],[Date]],'DB Details'!$A:$Q,15)=0,"",VLOOKUP(Table311[[#This Row],[Date]],'DB Details'!$A:$Q,15))</f>
        <v/>
      </c>
      <c r="E107" s="61">
        <f>IF(VLOOKUP(Table311[[#This Row],[Date]],'DB Details'!$A:$Q,17)=0,"",VLOOKUP(Table311[[#This Row],[Date]],'DB Details'!$A:$Q,17))</f>
        <v/>
      </c>
    </row>
    <row r="108">
      <c r="A108" s="60" t="n">
        <v>38718</v>
      </c>
      <c r="B108" s="50">
        <f>IF(VLOOKUP(Table311[[#This Row],[Date]],'DB Details'!$A:$Q,12)=0,"",VLOOKUP(Table311[[#This Row],[Date]],'DB Details'!$A:$Q,12))</f>
        <v/>
      </c>
      <c r="C108" s="61">
        <f>IF(VLOOKUP(Table311[[#This Row],[Date]],'DB Details'!$A:$Q,16)=0,"",VLOOKUP(Table311[[#This Row],[Date]],'DB Details'!$A:$Q,16))</f>
        <v/>
      </c>
      <c r="D108" s="61">
        <f>IF(VLOOKUP(Table311[[#This Row],[Date]],'DB Details'!$A:$Q,15)=0,"",VLOOKUP(Table311[[#This Row],[Date]],'DB Details'!$A:$Q,15))</f>
        <v/>
      </c>
      <c r="E108" s="61">
        <f>IF(VLOOKUP(Table311[[#This Row],[Date]],'DB Details'!$A:$Q,17)=0,"",VLOOKUP(Table311[[#This Row],[Date]],'DB Details'!$A:$Q,17))</f>
        <v/>
      </c>
    </row>
    <row r="109">
      <c r="A109" s="60" t="n">
        <v>38749</v>
      </c>
      <c r="B109" s="50">
        <f>IF(VLOOKUP(Table311[[#This Row],[Date]],'DB Details'!$A:$Q,12)=0,"",VLOOKUP(Table311[[#This Row],[Date]],'DB Details'!$A:$Q,12))</f>
        <v/>
      </c>
      <c r="C109" s="61">
        <f>IF(VLOOKUP(Table311[[#This Row],[Date]],'DB Details'!$A:$Q,16)=0,"",VLOOKUP(Table311[[#This Row],[Date]],'DB Details'!$A:$Q,16))</f>
        <v/>
      </c>
      <c r="D109" s="61">
        <f>IF(VLOOKUP(Table311[[#This Row],[Date]],'DB Details'!$A:$Q,15)=0,"",VLOOKUP(Table311[[#This Row],[Date]],'DB Details'!$A:$Q,15))</f>
        <v/>
      </c>
      <c r="E109" s="61">
        <f>IF(VLOOKUP(Table311[[#This Row],[Date]],'DB Details'!$A:$Q,17)=0,"",VLOOKUP(Table311[[#This Row],[Date]],'DB Details'!$A:$Q,17))</f>
        <v/>
      </c>
    </row>
    <row r="110">
      <c r="A110" s="60" t="n">
        <v>38777</v>
      </c>
      <c r="B110" s="50">
        <f>IF(VLOOKUP(Table311[[#This Row],[Date]],'DB Details'!$A:$Q,12)=0,"",VLOOKUP(Table311[[#This Row],[Date]],'DB Details'!$A:$Q,12))</f>
        <v/>
      </c>
      <c r="C110" s="61">
        <f>IF(VLOOKUP(Table311[[#This Row],[Date]],'DB Details'!$A:$Q,16)=0,"",VLOOKUP(Table311[[#This Row],[Date]],'DB Details'!$A:$Q,16))</f>
        <v/>
      </c>
      <c r="D110" s="61">
        <f>IF(VLOOKUP(Table311[[#This Row],[Date]],'DB Details'!$A:$Q,15)=0,"",VLOOKUP(Table311[[#This Row],[Date]],'DB Details'!$A:$Q,15))</f>
        <v/>
      </c>
      <c r="E110" s="61">
        <f>IF(VLOOKUP(Table311[[#This Row],[Date]],'DB Details'!$A:$Q,17)=0,"",VLOOKUP(Table311[[#This Row],[Date]],'DB Details'!$A:$Q,17))</f>
        <v/>
      </c>
    </row>
    <row r="111">
      <c r="A111" s="60" t="n">
        <v>38808</v>
      </c>
      <c r="B111" s="50">
        <f>IF(VLOOKUP(Table311[[#This Row],[Date]],'DB Details'!$A:$Q,12)=0,"",VLOOKUP(Table311[[#This Row],[Date]],'DB Details'!$A:$Q,12))</f>
        <v/>
      </c>
      <c r="C111" s="61">
        <f>IF(VLOOKUP(Table311[[#This Row],[Date]],'DB Details'!$A:$Q,16)=0,"",VLOOKUP(Table311[[#This Row],[Date]],'DB Details'!$A:$Q,16))</f>
        <v/>
      </c>
      <c r="D111" s="61">
        <f>IF(VLOOKUP(Table311[[#This Row],[Date]],'DB Details'!$A:$Q,15)=0,"",VLOOKUP(Table311[[#This Row],[Date]],'DB Details'!$A:$Q,15))</f>
        <v/>
      </c>
      <c r="E111" s="61">
        <f>IF(VLOOKUP(Table311[[#This Row],[Date]],'DB Details'!$A:$Q,17)=0,"",VLOOKUP(Table311[[#This Row],[Date]],'DB Details'!$A:$Q,17))</f>
        <v/>
      </c>
    </row>
    <row r="112">
      <c r="A112" s="60" t="n">
        <v>38838</v>
      </c>
      <c r="B112" s="50">
        <f>IF(VLOOKUP(Table311[[#This Row],[Date]],'DB Details'!$A:$Q,12)=0,"",VLOOKUP(Table311[[#This Row],[Date]],'DB Details'!$A:$Q,12))</f>
        <v/>
      </c>
      <c r="C112" s="61">
        <f>IF(VLOOKUP(Table311[[#This Row],[Date]],'DB Details'!$A:$Q,16)=0,"",VLOOKUP(Table311[[#This Row],[Date]],'DB Details'!$A:$Q,16))</f>
        <v/>
      </c>
      <c r="D112" s="61">
        <f>IF(VLOOKUP(Table311[[#This Row],[Date]],'DB Details'!$A:$Q,15)=0,"",VLOOKUP(Table311[[#This Row],[Date]],'DB Details'!$A:$Q,15))</f>
        <v/>
      </c>
      <c r="E112" s="61">
        <f>IF(VLOOKUP(Table311[[#This Row],[Date]],'DB Details'!$A:$Q,17)=0,"",VLOOKUP(Table311[[#This Row],[Date]],'DB Details'!$A:$Q,17))</f>
        <v/>
      </c>
    </row>
    <row r="113">
      <c r="A113" s="60" t="n">
        <v>38869</v>
      </c>
      <c r="B113" s="50">
        <f>IF(VLOOKUP(Table311[[#This Row],[Date]],'DB Details'!$A:$Q,12)=0,"",VLOOKUP(Table311[[#This Row],[Date]],'DB Details'!$A:$Q,12))</f>
        <v/>
      </c>
      <c r="C113" s="61">
        <f>IF(VLOOKUP(Table311[[#This Row],[Date]],'DB Details'!$A:$Q,16)=0,"",VLOOKUP(Table311[[#This Row],[Date]],'DB Details'!$A:$Q,16))</f>
        <v/>
      </c>
      <c r="D113" s="61">
        <f>IF(VLOOKUP(Table311[[#This Row],[Date]],'DB Details'!$A:$Q,15)=0,"",VLOOKUP(Table311[[#This Row],[Date]],'DB Details'!$A:$Q,15))</f>
        <v/>
      </c>
      <c r="E113" s="61">
        <f>IF(VLOOKUP(Table311[[#This Row],[Date]],'DB Details'!$A:$Q,17)=0,"",VLOOKUP(Table311[[#This Row],[Date]],'DB Details'!$A:$Q,17))</f>
        <v/>
      </c>
    </row>
    <row r="114">
      <c r="A114" s="60" t="n">
        <v>38899</v>
      </c>
      <c r="B114" s="50">
        <f>IF(VLOOKUP(Table311[[#This Row],[Date]],'DB Details'!$A:$Q,12)=0,"",VLOOKUP(Table311[[#This Row],[Date]],'DB Details'!$A:$Q,12))</f>
        <v/>
      </c>
      <c r="C114" s="61">
        <f>IF(VLOOKUP(Table311[[#This Row],[Date]],'DB Details'!$A:$Q,16)=0,"",VLOOKUP(Table311[[#This Row],[Date]],'DB Details'!$A:$Q,16))</f>
        <v/>
      </c>
      <c r="D114" s="61">
        <f>IF(VLOOKUP(Table311[[#This Row],[Date]],'DB Details'!$A:$Q,15)=0,"",VLOOKUP(Table311[[#This Row],[Date]],'DB Details'!$A:$Q,15))</f>
        <v/>
      </c>
      <c r="E114" s="61">
        <f>IF(VLOOKUP(Table311[[#This Row],[Date]],'DB Details'!$A:$Q,17)=0,"",VLOOKUP(Table311[[#This Row],[Date]],'DB Details'!$A:$Q,17))</f>
        <v/>
      </c>
    </row>
    <row r="115">
      <c r="A115" s="60" t="n">
        <v>38930</v>
      </c>
      <c r="B115" s="50">
        <f>IF(VLOOKUP(Table311[[#This Row],[Date]],'DB Details'!$A:$Q,12)=0,"",VLOOKUP(Table311[[#This Row],[Date]],'DB Details'!$A:$Q,12))</f>
        <v/>
      </c>
      <c r="C115" s="61">
        <f>IF(VLOOKUP(Table311[[#This Row],[Date]],'DB Details'!$A:$Q,16)=0,"",VLOOKUP(Table311[[#This Row],[Date]],'DB Details'!$A:$Q,16))</f>
        <v/>
      </c>
      <c r="D115" s="61">
        <f>IF(VLOOKUP(Table311[[#This Row],[Date]],'DB Details'!$A:$Q,15)=0,"",VLOOKUP(Table311[[#This Row],[Date]],'DB Details'!$A:$Q,15))</f>
        <v/>
      </c>
      <c r="E115" s="61">
        <f>IF(VLOOKUP(Table311[[#This Row],[Date]],'DB Details'!$A:$Q,17)=0,"",VLOOKUP(Table311[[#This Row],[Date]],'DB Details'!$A:$Q,17))</f>
        <v/>
      </c>
    </row>
    <row r="116">
      <c r="A116" s="60" t="n">
        <v>38961</v>
      </c>
      <c r="B116" s="50">
        <f>IF(VLOOKUP(Table311[[#This Row],[Date]],'DB Details'!$A:$Q,12)=0,"",VLOOKUP(Table311[[#This Row],[Date]],'DB Details'!$A:$Q,12))</f>
        <v/>
      </c>
      <c r="C116" s="61">
        <f>IF(VLOOKUP(Table311[[#This Row],[Date]],'DB Details'!$A:$Q,16)=0,"",VLOOKUP(Table311[[#This Row],[Date]],'DB Details'!$A:$Q,16))</f>
        <v/>
      </c>
      <c r="D116" s="61">
        <f>IF(VLOOKUP(Table311[[#This Row],[Date]],'DB Details'!$A:$Q,15)=0,"",VLOOKUP(Table311[[#This Row],[Date]],'DB Details'!$A:$Q,15))</f>
        <v/>
      </c>
      <c r="E116" s="61">
        <f>IF(VLOOKUP(Table311[[#This Row],[Date]],'DB Details'!$A:$Q,17)=0,"",VLOOKUP(Table311[[#This Row],[Date]],'DB Details'!$A:$Q,17))</f>
        <v/>
      </c>
    </row>
    <row r="117">
      <c r="A117" s="60" t="n">
        <v>38991</v>
      </c>
      <c r="B117" s="50">
        <f>IF(VLOOKUP(Table311[[#This Row],[Date]],'DB Details'!$A:$Q,12)=0,"",VLOOKUP(Table311[[#This Row],[Date]],'DB Details'!$A:$Q,12))</f>
        <v/>
      </c>
      <c r="C117" s="61">
        <f>IF(VLOOKUP(Table311[[#This Row],[Date]],'DB Details'!$A:$Q,16)=0,"",VLOOKUP(Table311[[#This Row],[Date]],'DB Details'!$A:$Q,16))</f>
        <v/>
      </c>
      <c r="D117" s="61">
        <f>IF(VLOOKUP(Table311[[#This Row],[Date]],'DB Details'!$A:$Q,15)=0,"",VLOOKUP(Table311[[#This Row],[Date]],'DB Details'!$A:$Q,15))</f>
        <v/>
      </c>
      <c r="E117" s="61">
        <f>IF(VLOOKUP(Table311[[#This Row],[Date]],'DB Details'!$A:$Q,17)=0,"",VLOOKUP(Table311[[#This Row],[Date]],'DB Details'!$A:$Q,17))</f>
        <v/>
      </c>
    </row>
    <row r="118">
      <c r="A118" s="60" t="n">
        <v>39022</v>
      </c>
      <c r="B118" s="50">
        <f>IF(VLOOKUP(Table311[[#This Row],[Date]],'DB Details'!$A:$Q,12)=0,"",VLOOKUP(Table311[[#This Row],[Date]],'DB Details'!$A:$Q,12))</f>
        <v/>
      </c>
      <c r="C118" s="61">
        <f>IF(VLOOKUP(Table311[[#This Row],[Date]],'DB Details'!$A:$Q,16)=0,"",VLOOKUP(Table311[[#This Row],[Date]],'DB Details'!$A:$Q,16))</f>
        <v/>
      </c>
      <c r="D118" s="61">
        <f>IF(VLOOKUP(Table311[[#This Row],[Date]],'DB Details'!$A:$Q,15)=0,"",VLOOKUP(Table311[[#This Row],[Date]],'DB Details'!$A:$Q,15))</f>
        <v/>
      </c>
      <c r="E118" s="61">
        <f>IF(VLOOKUP(Table311[[#This Row],[Date]],'DB Details'!$A:$Q,17)=0,"",VLOOKUP(Table311[[#This Row],[Date]],'DB Details'!$A:$Q,17))</f>
        <v/>
      </c>
    </row>
    <row r="119">
      <c r="A119" s="60" t="n">
        <v>39052</v>
      </c>
      <c r="B119" s="50">
        <f>IF(VLOOKUP(Table311[[#This Row],[Date]],'DB Details'!$A:$Q,12)=0,"",VLOOKUP(Table311[[#This Row],[Date]],'DB Details'!$A:$Q,12))</f>
        <v/>
      </c>
      <c r="C119" s="61">
        <f>IF(VLOOKUP(Table311[[#This Row],[Date]],'DB Details'!$A:$Q,16)=0,"",VLOOKUP(Table311[[#This Row],[Date]],'DB Details'!$A:$Q,16))</f>
        <v/>
      </c>
      <c r="D119" s="61">
        <f>IF(VLOOKUP(Table311[[#This Row],[Date]],'DB Details'!$A:$Q,15)=0,"",VLOOKUP(Table311[[#This Row],[Date]],'DB Details'!$A:$Q,15))</f>
        <v/>
      </c>
      <c r="E119" s="61">
        <f>IF(VLOOKUP(Table311[[#This Row],[Date]],'DB Details'!$A:$Q,17)=0,"",VLOOKUP(Table311[[#This Row],[Date]],'DB Details'!$A:$Q,17))</f>
        <v/>
      </c>
    </row>
    <row r="120">
      <c r="A120" s="60" t="n">
        <v>39083</v>
      </c>
      <c r="B120" s="50">
        <f>IF(VLOOKUP(Table311[[#This Row],[Date]],'DB Details'!$A:$Q,12)=0,"",VLOOKUP(Table311[[#This Row],[Date]],'DB Details'!$A:$Q,12))</f>
        <v/>
      </c>
      <c r="C120" s="61">
        <f>IF(VLOOKUP(Table311[[#This Row],[Date]],'DB Details'!$A:$Q,16)=0,"",VLOOKUP(Table311[[#This Row],[Date]],'DB Details'!$A:$Q,16))</f>
        <v/>
      </c>
      <c r="D120" s="61">
        <f>IF(VLOOKUP(Table311[[#This Row],[Date]],'DB Details'!$A:$Q,15)=0,"",VLOOKUP(Table311[[#This Row],[Date]],'DB Details'!$A:$Q,15))</f>
        <v/>
      </c>
      <c r="E120" s="61">
        <f>IF(VLOOKUP(Table311[[#This Row],[Date]],'DB Details'!$A:$Q,17)=0,"",VLOOKUP(Table311[[#This Row],[Date]],'DB Details'!$A:$Q,17))</f>
        <v/>
      </c>
    </row>
    <row r="121">
      <c r="A121" s="60" t="n">
        <v>39114</v>
      </c>
      <c r="B121" s="50">
        <f>IF(VLOOKUP(Table311[[#This Row],[Date]],'DB Details'!$A:$Q,12)=0,"",VLOOKUP(Table311[[#This Row],[Date]],'DB Details'!$A:$Q,12))</f>
        <v/>
      </c>
      <c r="C121" s="61">
        <f>IF(VLOOKUP(Table311[[#This Row],[Date]],'DB Details'!$A:$Q,16)=0,"",VLOOKUP(Table311[[#This Row],[Date]],'DB Details'!$A:$Q,16))</f>
        <v/>
      </c>
      <c r="D121" s="61">
        <f>IF(VLOOKUP(Table311[[#This Row],[Date]],'DB Details'!$A:$Q,15)=0,"",VLOOKUP(Table311[[#This Row],[Date]],'DB Details'!$A:$Q,15))</f>
        <v/>
      </c>
      <c r="E121" s="61">
        <f>IF(VLOOKUP(Table311[[#This Row],[Date]],'DB Details'!$A:$Q,17)=0,"",VLOOKUP(Table311[[#This Row],[Date]],'DB Details'!$A:$Q,17))</f>
        <v/>
      </c>
    </row>
    <row r="122">
      <c r="A122" s="60" t="n">
        <v>39142</v>
      </c>
      <c r="B122" s="50">
        <f>IF(VLOOKUP(Table311[[#This Row],[Date]],'DB Details'!$A:$Q,12)=0,"",VLOOKUP(Table311[[#This Row],[Date]],'DB Details'!$A:$Q,12))</f>
        <v/>
      </c>
      <c r="C122" s="61">
        <f>IF(VLOOKUP(Table311[[#This Row],[Date]],'DB Details'!$A:$Q,16)=0,"",VLOOKUP(Table311[[#This Row],[Date]],'DB Details'!$A:$Q,16))</f>
        <v/>
      </c>
      <c r="D122" s="61">
        <f>IF(VLOOKUP(Table311[[#This Row],[Date]],'DB Details'!$A:$Q,15)=0,"",VLOOKUP(Table311[[#This Row],[Date]],'DB Details'!$A:$Q,15))</f>
        <v/>
      </c>
      <c r="E122" s="61">
        <f>IF(VLOOKUP(Table311[[#This Row],[Date]],'DB Details'!$A:$Q,17)=0,"",VLOOKUP(Table311[[#This Row],[Date]],'DB Details'!$A:$Q,17))</f>
        <v/>
      </c>
    </row>
    <row r="123">
      <c r="A123" s="60" t="n">
        <v>39173</v>
      </c>
      <c r="B123" s="50">
        <f>IF(VLOOKUP(Table311[[#This Row],[Date]],'DB Details'!$A:$Q,12)=0,"",VLOOKUP(Table311[[#This Row],[Date]],'DB Details'!$A:$Q,12))</f>
        <v/>
      </c>
      <c r="C123" s="61">
        <f>IF(VLOOKUP(Table311[[#This Row],[Date]],'DB Details'!$A:$Q,16)=0,"",VLOOKUP(Table311[[#This Row],[Date]],'DB Details'!$A:$Q,16))</f>
        <v/>
      </c>
      <c r="D123" s="61">
        <f>IF(VLOOKUP(Table311[[#This Row],[Date]],'DB Details'!$A:$Q,15)=0,"",VLOOKUP(Table311[[#This Row],[Date]],'DB Details'!$A:$Q,15))</f>
        <v/>
      </c>
      <c r="E123" s="61">
        <f>IF(VLOOKUP(Table311[[#This Row],[Date]],'DB Details'!$A:$Q,17)=0,"",VLOOKUP(Table311[[#This Row],[Date]],'DB Details'!$A:$Q,17))</f>
        <v/>
      </c>
    </row>
    <row r="124">
      <c r="A124" s="60" t="n">
        <v>39203</v>
      </c>
      <c r="B124" s="50">
        <f>IF(VLOOKUP(Table311[[#This Row],[Date]],'DB Details'!$A:$Q,12)=0,"",VLOOKUP(Table311[[#This Row],[Date]],'DB Details'!$A:$Q,12))</f>
        <v/>
      </c>
      <c r="C124" s="61">
        <f>IF(VLOOKUP(Table311[[#This Row],[Date]],'DB Details'!$A:$Q,16)=0,"",VLOOKUP(Table311[[#This Row],[Date]],'DB Details'!$A:$Q,16))</f>
        <v/>
      </c>
      <c r="D124" s="61">
        <f>IF(VLOOKUP(Table311[[#This Row],[Date]],'DB Details'!$A:$Q,15)=0,"",VLOOKUP(Table311[[#This Row],[Date]],'DB Details'!$A:$Q,15))</f>
        <v/>
      </c>
      <c r="E124" s="61">
        <f>IF(VLOOKUP(Table311[[#This Row],[Date]],'DB Details'!$A:$Q,17)=0,"",VLOOKUP(Table311[[#This Row],[Date]],'DB Details'!$A:$Q,17))</f>
        <v/>
      </c>
    </row>
    <row r="125">
      <c r="A125" s="60" t="n">
        <v>39234</v>
      </c>
      <c r="B125" s="50">
        <f>IF(VLOOKUP(Table311[[#This Row],[Date]],'DB Details'!$A:$Q,12)=0,"",VLOOKUP(Table311[[#This Row],[Date]],'DB Details'!$A:$Q,12))</f>
        <v/>
      </c>
      <c r="C125" s="61">
        <f>IF(VLOOKUP(Table311[[#This Row],[Date]],'DB Details'!$A:$Q,16)=0,"",VLOOKUP(Table311[[#This Row],[Date]],'DB Details'!$A:$Q,16))</f>
        <v/>
      </c>
      <c r="D125" s="61">
        <f>IF(VLOOKUP(Table311[[#This Row],[Date]],'DB Details'!$A:$Q,15)=0,"",VLOOKUP(Table311[[#This Row],[Date]],'DB Details'!$A:$Q,15))</f>
        <v/>
      </c>
      <c r="E125" s="61">
        <f>IF(VLOOKUP(Table311[[#This Row],[Date]],'DB Details'!$A:$Q,17)=0,"",VLOOKUP(Table311[[#This Row],[Date]],'DB Details'!$A:$Q,17))</f>
        <v/>
      </c>
    </row>
    <row r="126">
      <c r="A126" s="60" t="n">
        <v>39264</v>
      </c>
      <c r="B126" s="50">
        <f>IF(VLOOKUP(Table311[[#This Row],[Date]],'DB Details'!$A:$Q,12)=0,"",VLOOKUP(Table311[[#This Row],[Date]],'DB Details'!$A:$Q,12))</f>
        <v/>
      </c>
      <c r="C126" s="61">
        <f>IF(VLOOKUP(Table311[[#This Row],[Date]],'DB Details'!$A:$Q,16)=0,"",VLOOKUP(Table311[[#This Row],[Date]],'DB Details'!$A:$Q,16))</f>
        <v/>
      </c>
      <c r="D126" s="61">
        <f>IF(VLOOKUP(Table311[[#This Row],[Date]],'DB Details'!$A:$Q,15)=0,"",VLOOKUP(Table311[[#This Row],[Date]],'DB Details'!$A:$Q,15))</f>
        <v/>
      </c>
      <c r="E126" s="61">
        <f>IF(VLOOKUP(Table311[[#This Row],[Date]],'DB Details'!$A:$Q,17)=0,"",VLOOKUP(Table311[[#This Row],[Date]],'DB Details'!$A:$Q,17))</f>
        <v/>
      </c>
    </row>
    <row r="127">
      <c r="A127" s="60" t="n">
        <v>39295</v>
      </c>
      <c r="B127" s="50">
        <f>IF(VLOOKUP(Table311[[#This Row],[Date]],'DB Details'!$A:$Q,12)=0,"",VLOOKUP(Table311[[#This Row],[Date]],'DB Details'!$A:$Q,12))</f>
        <v/>
      </c>
      <c r="C127" s="61">
        <f>IF(VLOOKUP(Table311[[#This Row],[Date]],'DB Details'!$A:$Q,16)=0,"",VLOOKUP(Table311[[#This Row],[Date]],'DB Details'!$A:$Q,16))</f>
        <v/>
      </c>
      <c r="D127" s="61">
        <f>IF(VLOOKUP(Table311[[#This Row],[Date]],'DB Details'!$A:$Q,15)=0,"",VLOOKUP(Table311[[#This Row],[Date]],'DB Details'!$A:$Q,15))</f>
        <v/>
      </c>
      <c r="E127" s="61">
        <f>IF(VLOOKUP(Table311[[#This Row],[Date]],'DB Details'!$A:$Q,17)=0,"",VLOOKUP(Table311[[#This Row],[Date]],'DB Details'!$A:$Q,17))</f>
        <v/>
      </c>
    </row>
    <row r="128">
      <c r="A128" s="60" t="n">
        <v>39326</v>
      </c>
      <c r="B128" s="50">
        <f>IF(VLOOKUP(Table311[[#This Row],[Date]],'DB Details'!$A:$Q,12)=0,"",VLOOKUP(Table311[[#This Row],[Date]],'DB Details'!$A:$Q,12))</f>
        <v/>
      </c>
      <c r="C128" s="61">
        <f>IF(VLOOKUP(Table311[[#This Row],[Date]],'DB Details'!$A:$Q,16)=0,"",VLOOKUP(Table311[[#This Row],[Date]],'DB Details'!$A:$Q,16))</f>
        <v/>
      </c>
      <c r="D128" s="61">
        <f>IF(VLOOKUP(Table311[[#This Row],[Date]],'DB Details'!$A:$Q,15)=0,"",VLOOKUP(Table311[[#This Row],[Date]],'DB Details'!$A:$Q,15))</f>
        <v/>
      </c>
      <c r="E128" s="61">
        <f>IF(VLOOKUP(Table311[[#This Row],[Date]],'DB Details'!$A:$Q,17)=0,"",VLOOKUP(Table311[[#This Row],[Date]],'DB Details'!$A:$Q,17))</f>
        <v/>
      </c>
    </row>
    <row r="129">
      <c r="A129" s="60" t="n">
        <v>39356</v>
      </c>
      <c r="B129" s="50">
        <f>IF(VLOOKUP(Table311[[#This Row],[Date]],'DB Details'!$A:$Q,12)=0,"",VLOOKUP(Table311[[#This Row],[Date]],'DB Details'!$A:$Q,12))</f>
        <v/>
      </c>
      <c r="C129" s="61">
        <f>IF(VLOOKUP(Table311[[#This Row],[Date]],'DB Details'!$A:$Q,16)=0,"",VLOOKUP(Table311[[#This Row],[Date]],'DB Details'!$A:$Q,16))</f>
        <v/>
      </c>
      <c r="D129" s="61">
        <f>IF(VLOOKUP(Table311[[#This Row],[Date]],'DB Details'!$A:$Q,15)=0,"",VLOOKUP(Table311[[#This Row],[Date]],'DB Details'!$A:$Q,15))</f>
        <v/>
      </c>
      <c r="E129" s="61">
        <f>IF(VLOOKUP(Table311[[#This Row],[Date]],'DB Details'!$A:$Q,17)=0,"",VLOOKUP(Table311[[#This Row],[Date]],'DB Details'!$A:$Q,17))</f>
        <v/>
      </c>
    </row>
    <row r="130">
      <c r="A130" s="60" t="n">
        <v>39387</v>
      </c>
      <c r="B130" s="50">
        <f>IF(VLOOKUP(Table311[[#This Row],[Date]],'DB Details'!$A:$Q,12)=0,"",VLOOKUP(Table311[[#This Row],[Date]],'DB Details'!$A:$Q,12))</f>
        <v/>
      </c>
      <c r="C130" s="61">
        <f>IF(VLOOKUP(Table311[[#This Row],[Date]],'DB Details'!$A:$Q,16)=0,"",VLOOKUP(Table311[[#This Row],[Date]],'DB Details'!$A:$Q,16))</f>
        <v/>
      </c>
      <c r="D130" s="61">
        <f>IF(VLOOKUP(Table311[[#This Row],[Date]],'DB Details'!$A:$Q,15)=0,"",VLOOKUP(Table311[[#This Row],[Date]],'DB Details'!$A:$Q,15))</f>
        <v/>
      </c>
      <c r="E130" s="61">
        <f>IF(VLOOKUP(Table311[[#This Row],[Date]],'DB Details'!$A:$Q,17)=0,"",VLOOKUP(Table311[[#This Row],[Date]],'DB Details'!$A:$Q,17))</f>
        <v/>
      </c>
    </row>
    <row r="131">
      <c r="A131" s="60" t="n">
        <v>39417</v>
      </c>
      <c r="B131" s="50">
        <f>IF(VLOOKUP(Table311[[#This Row],[Date]],'DB Details'!$A:$Q,12)=0,"",VLOOKUP(Table311[[#This Row],[Date]],'DB Details'!$A:$Q,12))</f>
        <v/>
      </c>
      <c r="C131" s="61">
        <f>IF(VLOOKUP(Table311[[#This Row],[Date]],'DB Details'!$A:$Q,16)=0,"",VLOOKUP(Table311[[#This Row],[Date]],'DB Details'!$A:$Q,16))</f>
        <v/>
      </c>
      <c r="D131" s="61">
        <f>IF(VLOOKUP(Table311[[#This Row],[Date]],'DB Details'!$A:$Q,15)=0,"",VLOOKUP(Table311[[#This Row],[Date]],'DB Details'!$A:$Q,15))</f>
        <v/>
      </c>
      <c r="E131" s="61">
        <f>IF(VLOOKUP(Table311[[#This Row],[Date]],'DB Details'!$A:$Q,17)=0,"",VLOOKUP(Table311[[#This Row],[Date]],'DB Details'!$A:$Q,17))</f>
        <v/>
      </c>
    </row>
    <row r="132">
      <c r="A132" s="60" t="n">
        <v>39448</v>
      </c>
      <c r="B132" s="50">
        <f>IF(VLOOKUP(Table311[[#This Row],[Date]],'DB Details'!$A:$Q,12)=0,"",VLOOKUP(Table311[[#This Row],[Date]],'DB Details'!$A:$Q,12))</f>
        <v/>
      </c>
      <c r="C132" s="61">
        <f>IF(VLOOKUP(Table311[[#This Row],[Date]],'DB Details'!$A:$Q,16)=0,"",VLOOKUP(Table311[[#This Row],[Date]],'DB Details'!$A:$Q,16))</f>
        <v/>
      </c>
      <c r="D132" s="61">
        <f>IF(VLOOKUP(Table311[[#This Row],[Date]],'DB Details'!$A:$Q,15)=0,"",VLOOKUP(Table311[[#This Row],[Date]],'DB Details'!$A:$Q,15))</f>
        <v/>
      </c>
      <c r="E132" s="61">
        <f>IF(VLOOKUP(Table311[[#This Row],[Date]],'DB Details'!$A:$Q,17)=0,"",VLOOKUP(Table311[[#This Row],[Date]],'DB Details'!$A:$Q,17))</f>
        <v/>
      </c>
    </row>
    <row r="133">
      <c r="A133" s="60" t="n">
        <v>39479</v>
      </c>
      <c r="B133" s="50">
        <f>IF(VLOOKUP(Table311[[#This Row],[Date]],'DB Details'!$A:$Q,12)=0,"",VLOOKUP(Table311[[#This Row],[Date]],'DB Details'!$A:$Q,12))</f>
        <v/>
      </c>
      <c r="C133" s="61">
        <f>IF(VLOOKUP(Table311[[#This Row],[Date]],'DB Details'!$A:$Q,16)=0,"",VLOOKUP(Table311[[#This Row],[Date]],'DB Details'!$A:$Q,16))</f>
        <v/>
      </c>
      <c r="D133" s="61">
        <f>IF(VLOOKUP(Table311[[#This Row],[Date]],'DB Details'!$A:$Q,15)=0,"",VLOOKUP(Table311[[#This Row],[Date]],'DB Details'!$A:$Q,15))</f>
        <v/>
      </c>
      <c r="E133" s="61">
        <f>IF(VLOOKUP(Table311[[#This Row],[Date]],'DB Details'!$A:$Q,17)=0,"",VLOOKUP(Table311[[#This Row],[Date]],'DB Details'!$A:$Q,17))</f>
        <v/>
      </c>
    </row>
    <row r="134">
      <c r="A134" s="60" t="n">
        <v>39508</v>
      </c>
      <c r="B134" s="50">
        <f>IF(VLOOKUP(Table311[[#This Row],[Date]],'DB Details'!$A:$Q,12)=0,"",VLOOKUP(Table311[[#This Row],[Date]],'DB Details'!$A:$Q,12))</f>
        <v/>
      </c>
      <c r="C134" s="61">
        <f>IF(VLOOKUP(Table311[[#This Row],[Date]],'DB Details'!$A:$Q,16)=0,"",VLOOKUP(Table311[[#This Row],[Date]],'DB Details'!$A:$Q,16))</f>
        <v/>
      </c>
      <c r="D134" s="61">
        <f>IF(VLOOKUP(Table311[[#This Row],[Date]],'DB Details'!$A:$Q,15)=0,"",VLOOKUP(Table311[[#This Row],[Date]],'DB Details'!$A:$Q,15))</f>
        <v/>
      </c>
      <c r="E134" s="61">
        <f>IF(VLOOKUP(Table311[[#This Row],[Date]],'DB Details'!$A:$Q,17)=0,"",VLOOKUP(Table311[[#This Row],[Date]],'DB Details'!$A:$Q,17))</f>
        <v/>
      </c>
    </row>
    <row r="135">
      <c r="A135" s="60" t="n">
        <v>39539</v>
      </c>
      <c r="B135" s="50">
        <f>IF(VLOOKUP(Table311[[#This Row],[Date]],'DB Details'!$A:$Q,12)=0,"",VLOOKUP(Table311[[#This Row],[Date]],'DB Details'!$A:$Q,12))</f>
        <v/>
      </c>
      <c r="C135" s="61">
        <f>IF(VLOOKUP(Table311[[#This Row],[Date]],'DB Details'!$A:$Q,16)=0,"",VLOOKUP(Table311[[#This Row],[Date]],'DB Details'!$A:$Q,16))</f>
        <v/>
      </c>
      <c r="D135" s="61">
        <f>IF(VLOOKUP(Table311[[#This Row],[Date]],'DB Details'!$A:$Q,15)=0,"",VLOOKUP(Table311[[#This Row],[Date]],'DB Details'!$A:$Q,15))</f>
        <v/>
      </c>
      <c r="E135" s="61">
        <f>IF(VLOOKUP(Table311[[#This Row],[Date]],'DB Details'!$A:$Q,17)=0,"",VLOOKUP(Table311[[#This Row],[Date]],'DB Details'!$A:$Q,17))</f>
        <v/>
      </c>
    </row>
    <row r="136">
      <c r="A136" s="60" t="n">
        <v>39569</v>
      </c>
      <c r="B136" s="50">
        <f>IF(VLOOKUP(Table311[[#This Row],[Date]],'DB Details'!$A:$Q,12)=0,"",VLOOKUP(Table311[[#This Row],[Date]],'DB Details'!$A:$Q,12))</f>
        <v/>
      </c>
      <c r="C136" s="61">
        <f>IF(VLOOKUP(Table311[[#This Row],[Date]],'DB Details'!$A:$Q,16)=0,"",VLOOKUP(Table311[[#This Row],[Date]],'DB Details'!$A:$Q,16))</f>
        <v/>
      </c>
      <c r="D136" s="61">
        <f>IF(VLOOKUP(Table311[[#This Row],[Date]],'DB Details'!$A:$Q,15)=0,"",VLOOKUP(Table311[[#This Row],[Date]],'DB Details'!$A:$Q,15))</f>
        <v/>
      </c>
      <c r="E136" s="61">
        <f>IF(VLOOKUP(Table311[[#This Row],[Date]],'DB Details'!$A:$Q,17)=0,"",VLOOKUP(Table311[[#This Row],[Date]],'DB Details'!$A:$Q,17))</f>
        <v/>
      </c>
    </row>
    <row r="137">
      <c r="A137" s="60" t="n">
        <v>39600</v>
      </c>
      <c r="B137" s="50">
        <f>IF(VLOOKUP(Table311[[#This Row],[Date]],'DB Details'!$A:$Q,12)=0,"",VLOOKUP(Table311[[#This Row],[Date]],'DB Details'!$A:$Q,12))</f>
        <v/>
      </c>
      <c r="C137" s="61">
        <f>IF(VLOOKUP(Table311[[#This Row],[Date]],'DB Details'!$A:$Q,16)=0,"",VLOOKUP(Table311[[#This Row],[Date]],'DB Details'!$A:$Q,16))</f>
        <v/>
      </c>
      <c r="D137" s="61">
        <f>IF(VLOOKUP(Table311[[#This Row],[Date]],'DB Details'!$A:$Q,15)=0,"",VLOOKUP(Table311[[#This Row],[Date]],'DB Details'!$A:$Q,15))</f>
        <v/>
      </c>
      <c r="E137" s="61">
        <f>IF(VLOOKUP(Table311[[#This Row],[Date]],'DB Details'!$A:$Q,17)=0,"",VLOOKUP(Table311[[#This Row],[Date]],'DB Details'!$A:$Q,17))</f>
        <v/>
      </c>
    </row>
    <row r="138">
      <c r="A138" s="60" t="n">
        <v>39630</v>
      </c>
      <c r="B138" s="50">
        <f>IF(VLOOKUP(Table311[[#This Row],[Date]],'DB Details'!$A:$Q,12)=0,"",VLOOKUP(Table311[[#This Row],[Date]],'DB Details'!$A:$Q,12))</f>
        <v/>
      </c>
      <c r="C138" s="61">
        <f>IF(VLOOKUP(Table311[[#This Row],[Date]],'DB Details'!$A:$Q,16)=0,"",VLOOKUP(Table311[[#This Row],[Date]],'DB Details'!$A:$Q,16))</f>
        <v/>
      </c>
      <c r="D138" s="61">
        <f>IF(VLOOKUP(Table311[[#This Row],[Date]],'DB Details'!$A:$Q,15)=0,"",VLOOKUP(Table311[[#This Row],[Date]],'DB Details'!$A:$Q,15))</f>
        <v/>
      </c>
      <c r="E138" s="61">
        <f>IF(VLOOKUP(Table311[[#This Row],[Date]],'DB Details'!$A:$Q,17)=0,"",VLOOKUP(Table311[[#This Row],[Date]],'DB Details'!$A:$Q,17))</f>
        <v/>
      </c>
    </row>
    <row r="139">
      <c r="A139" s="60" t="n">
        <v>39661</v>
      </c>
      <c r="B139" s="50">
        <f>IF(VLOOKUP(Table311[[#This Row],[Date]],'DB Details'!$A:$Q,12)=0,"",VLOOKUP(Table311[[#This Row],[Date]],'DB Details'!$A:$Q,12))</f>
        <v/>
      </c>
      <c r="C139" s="61">
        <f>IF(VLOOKUP(Table311[[#This Row],[Date]],'DB Details'!$A:$Q,16)=0,"",VLOOKUP(Table311[[#This Row],[Date]],'DB Details'!$A:$Q,16))</f>
        <v/>
      </c>
      <c r="D139" s="61">
        <f>IF(VLOOKUP(Table311[[#This Row],[Date]],'DB Details'!$A:$Q,15)=0,"",VLOOKUP(Table311[[#This Row],[Date]],'DB Details'!$A:$Q,15))</f>
        <v/>
      </c>
      <c r="E139" s="61">
        <f>IF(VLOOKUP(Table311[[#This Row],[Date]],'DB Details'!$A:$Q,17)=0,"",VLOOKUP(Table311[[#This Row],[Date]],'DB Details'!$A:$Q,17))</f>
        <v/>
      </c>
    </row>
    <row r="140">
      <c r="A140" s="60" t="n">
        <v>39692</v>
      </c>
      <c r="B140" s="50">
        <f>IF(VLOOKUP(Table311[[#This Row],[Date]],'DB Details'!$A:$Q,12)=0,"",VLOOKUP(Table311[[#This Row],[Date]],'DB Details'!$A:$Q,12))</f>
        <v/>
      </c>
      <c r="C140" s="61">
        <f>IF(VLOOKUP(Table311[[#This Row],[Date]],'DB Details'!$A:$Q,16)=0,"",VLOOKUP(Table311[[#This Row],[Date]],'DB Details'!$A:$Q,16))</f>
        <v/>
      </c>
      <c r="D140" s="61">
        <f>IF(VLOOKUP(Table311[[#This Row],[Date]],'DB Details'!$A:$Q,15)=0,"",VLOOKUP(Table311[[#This Row],[Date]],'DB Details'!$A:$Q,15))</f>
        <v/>
      </c>
      <c r="E140" s="61">
        <f>IF(VLOOKUP(Table311[[#This Row],[Date]],'DB Details'!$A:$Q,17)=0,"",VLOOKUP(Table311[[#This Row],[Date]],'DB Details'!$A:$Q,17))</f>
        <v/>
      </c>
    </row>
    <row r="141">
      <c r="A141" s="60" t="n">
        <v>39722</v>
      </c>
      <c r="B141" s="50">
        <f>IF(VLOOKUP(Table311[[#This Row],[Date]],'DB Details'!$A:$Q,12)=0,"",VLOOKUP(Table311[[#This Row],[Date]],'DB Details'!$A:$Q,12))</f>
        <v/>
      </c>
      <c r="C141" s="61">
        <f>IF(VLOOKUP(Table311[[#This Row],[Date]],'DB Details'!$A:$Q,16)=0,"",VLOOKUP(Table311[[#This Row],[Date]],'DB Details'!$A:$Q,16))</f>
        <v/>
      </c>
      <c r="D141" s="61">
        <f>IF(VLOOKUP(Table311[[#This Row],[Date]],'DB Details'!$A:$Q,15)=0,"",VLOOKUP(Table311[[#This Row],[Date]],'DB Details'!$A:$Q,15))</f>
        <v/>
      </c>
      <c r="E141" s="61">
        <f>IF(VLOOKUP(Table311[[#This Row],[Date]],'DB Details'!$A:$Q,17)=0,"",VLOOKUP(Table311[[#This Row],[Date]],'DB Details'!$A:$Q,17))</f>
        <v/>
      </c>
    </row>
    <row r="142">
      <c r="A142" s="60" t="n">
        <v>39753</v>
      </c>
      <c r="B142" s="50">
        <f>IF(VLOOKUP(Table311[[#This Row],[Date]],'DB Details'!$A:$Q,12)=0,"",VLOOKUP(Table311[[#This Row],[Date]],'DB Details'!$A:$Q,12))</f>
        <v/>
      </c>
      <c r="C142" s="61">
        <f>IF(VLOOKUP(Table311[[#This Row],[Date]],'DB Details'!$A:$Q,16)=0,"",VLOOKUP(Table311[[#This Row],[Date]],'DB Details'!$A:$Q,16))</f>
        <v/>
      </c>
      <c r="D142" s="61">
        <f>IF(VLOOKUP(Table311[[#This Row],[Date]],'DB Details'!$A:$Q,15)=0,"",VLOOKUP(Table311[[#This Row],[Date]],'DB Details'!$A:$Q,15))</f>
        <v/>
      </c>
      <c r="E142" s="61">
        <f>IF(VLOOKUP(Table311[[#This Row],[Date]],'DB Details'!$A:$Q,17)=0,"",VLOOKUP(Table311[[#This Row],[Date]],'DB Details'!$A:$Q,17))</f>
        <v/>
      </c>
    </row>
    <row r="143">
      <c r="A143" s="60" t="n">
        <v>39783</v>
      </c>
      <c r="B143" s="50">
        <f>IF(VLOOKUP(Table311[[#This Row],[Date]],'DB Details'!$A:$Q,12)=0,"",VLOOKUP(Table311[[#This Row],[Date]],'DB Details'!$A:$Q,12))</f>
        <v/>
      </c>
      <c r="C143" s="61">
        <f>IF(VLOOKUP(Table311[[#This Row],[Date]],'DB Details'!$A:$Q,16)=0,"",VLOOKUP(Table311[[#This Row],[Date]],'DB Details'!$A:$Q,16))</f>
        <v/>
      </c>
      <c r="D143" s="61">
        <f>IF(VLOOKUP(Table311[[#This Row],[Date]],'DB Details'!$A:$Q,15)=0,"",VLOOKUP(Table311[[#This Row],[Date]],'DB Details'!$A:$Q,15))</f>
        <v/>
      </c>
      <c r="E143" s="61">
        <f>IF(VLOOKUP(Table311[[#This Row],[Date]],'DB Details'!$A:$Q,17)=0,"",VLOOKUP(Table311[[#This Row],[Date]],'DB Details'!$A:$Q,17))</f>
        <v/>
      </c>
    </row>
    <row r="144">
      <c r="A144" s="60" t="n">
        <v>39814</v>
      </c>
      <c r="B144" s="50">
        <f>IF(VLOOKUP(Table311[[#This Row],[Date]],'DB Details'!$A:$Q,12)=0,"",VLOOKUP(Table311[[#This Row],[Date]],'DB Details'!$A:$Q,12))</f>
        <v/>
      </c>
      <c r="C144" s="61">
        <f>IF(VLOOKUP(Table311[[#This Row],[Date]],'DB Details'!$A:$Q,16)=0,"",VLOOKUP(Table311[[#This Row],[Date]],'DB Details'!$A:$Q,16))</f>
        <v/>
      </c>
      <c r="D144" s="61">
        <f>IF(VLOOKUP(Table311[[#This Row],[Date]],'DB Details'!$A:$Q,15)=0,"",VLOOKUP(Table311[[#This Row],[Date]],'DB Details'!$A:$Q,15))</f>
        <v/>
      </c>
      <c r="E144" s="61">
        <f>IF(VLOOKUP(Table311[[#This Row],[Date]],'DB Details'!$A:$Q,17)=0,"",VLOOKUP(Table311[[#This Row],[Date]],'DB Details'!$A:$Q,17))</f>
        <v/>
      </c>
    </row>
    <row r="145">
      <c r="A145" s="60" t="n">
        <v>39845</v>
      </c>
      <c r="B145" s="50">
        <f>IF(VLOOKUP(Table311[[#This Row],[Date]],'DB Details'!$A:$Q,12)=0,"",VLOOKUP(Table311[[#This Row],[Date]],'DB Details'!$A:$Q,12))</f>
        <v/>
      </c>
      <c r="C145" s="61">
        <f>IF(VLOOKUP(Table311[[#This Row],[Date]],'DB Details'!$A:$Q,16)=0,"",VLOOKUP(Table311[[#This Row],[Date]],'DB Details'!$A:$Q,16))</f>
        <v/>
      </c>
      <c r="D145" s="61">
        <f>IF(VLOOKUP(Table311[[#This Row],[Date]],'DB Details'!$A:$Q,15)=0,"",VLOOKUP(Table311[[#This Row],[Date]],'DB Details'!$A:$Q,15))</f>
        <v/>
      </c>
      <c r="E145" s="61">
        <f>IF(VLOOKUP(Table311[[#This Row],[Date]],'DB Details'!$A:$Q,17)=0,"",VLOOKUP(Table311[[#This Row],[Date]],'DB Details'!$A:$Q,17))</f>
        <v/>
      </c>
    </row>
    <row r="146">
      <c r="A146" s="60" t="n">
        <v>39873</v>
      </c>
      <c r="B146" s="50">
        <f>IF(VLOOKUP(Table311[[#This Row],[Date]],'DB Details'!$A:$Q,12)=0,"",VLOOKUP(Table311[[#This Row],[Date]],'DB Details'!$A:$Q,12))</f>
        <v/>
      </c>
      <c r="C146" s="61">
        <f>IF(VLOOKUP(Table311[[#This Row],[Date]],'DB Details'!$A:$Q,16)=0,"",VLOOKUP(Table311[[#This Row],[Date]],'DB Details'!$A:$Q,16))</f>
        <v/>
      </c>
      <c r="D146" s="61">
        <f>IF(VLOOKUP(Table311[[#This Row],[Date]],'DB Details'!$A:$Q,15)=0,"",VLOOKUP(Table311[[#This Row],[Date]],'DB Details'!$A:$Q,15))</f>
        <v/>
      </c>
      <c r="E146" s="61">
        <f>IF(VLOOKUP(Table311[[#This Row],[Date]],'DB Details'!$A:$Q,17)=0,"",VLOOKUP(Table311[[#This Row],[Date]],'DB Details'!$A:$Q,17))</f>
        <v/>
      </c>
    </row>
    <row r="147">
      <c r="A147" s="60" t="n">
        <v>39904</v>
      </c>
      <c r="B147" s="50">
        <f>IF(VLOOKUP(Table311[[#This Row],[Date]],'DB Details'!$A:$Q,12)=0,"",VLOOKUP(Table311[[#This Row],[Date]],'DB Details'!$A:$Q,12))</f>
        <v/>
      </c>
      <c r="C147" s="61">
        <f>IF(VLOOKUP(Table311[[#This Row],[Date]],'DB Details'!$A:$Q,16)=0,"",VLOOKUP(Table311[[#This Row],[Date]],'DB Details'!$A:$Q,16))</f>
        <v/>
      </c>
      <c r="D147" s="61">
        <f>IF(VLOOKUP(Table311[[#This Row],[Date]],'DB Details'!$A:$Q,15)=0,"",VLOOKUP(Table311[[#This Row],[Date]],'DB Details'!$A:$Q,15))</f>
        <v/>
      </c>
      <c r="E147" s="61">
        <f>IF(VLOOKUP(Table311[[#This Row],[Date]],'DB Details'!$A:$Q,17)=0,"",VLOOKUP(Table311[[#This Row],[Date]],'DB Details'!$A:$Q,17))</f>
        <v/>
      </c>
    </row>
    <row r="148">
      <c r="A148" s="60" t="n">
        <v>39934</v>
      </c>
      <c r="B148" s="50">
        <f>IF(VLOOKUP(Table311[[#This Row],[Date]],'DB Details'!$A:$Q,12)=0,"",VLOOKUP(Table311[[#This Row],[Date]],'DB Details'!$A:$Q,12))</f>
        <v/>
      </c>
      <c r="C148" s="61">
        <f>IF(VLOOKUP(Table311[[#This Row],[Date]],'DB Details'!$A:$Q,16)=0,"",VLOOKUP(Table311[[#This Row],[Date]],'DB Details'!$A:$Q,16))</f>
        <v/>
      </c>
      <c r="D148" s="61">
        <f>IF(VLOOKUP(Table311[[#This Row],[Date]],'DB Details'!$A:$Q,15)=0,"",VLOOKUP(Table311[[#This Row],[Date]],'DB Details'!$A:$Q,15))</f>
        <v/>
      </c>
      <c r="E148" s="61">
        <f>IF(VLOOKUP(Table311[[#This Row],[Date]],'DB Details'!$A:$Q,17)=0,"",VLOOKUP(Table311[[#This Row],[Date]],'DB Details'!$A:$Q,17))</f>
        <v/>
      </c>
    </row>
    <row r="149">
      <c r="A149" s="60" t="n">
        <v>39965</v>
      </c>
      <c r="B149" s="50">
        <f>IF(VLOOKUP(Table311[[#This Row],[Date]],'DB Details'!$A:$Q,12)=0,"",VLOOKUP(Table311[[#This Row],[Date]],'DB Details'!$A:$Q,12))</f>
        <v/>
      </c>
      <c r="C149" s="61">
        <f>IF(VLOOKUP(Table311[[#This Row],[Date]],'DB Details'!$A:$Q,16)=0,"",VLOOKUP(Table311[[#This Row],[Date]],'DB Details'!$A:$Q,16))</f>
        <v/>
      </c>
      <c r="D149" s="61">
        <f>IF(VLOOKUP(Table311[[#This Row],[Date]],'DB Details'!$A:$Q,15)=0,"",VLOOKUP(Table311[[#This Row],[Date]],'DB Details'!$A:$Q,15))</f>
        <v/>
      </c>
      <c r="E149" s="61">
        <f>IF(VLOOKUP(Table311[[#This Row],[Date]],'DB Details'!$A:$Q,17)=0,"",VLOOKUP(Table311[[#This Row],[Date]],'DB Details'!$A:$Q,17))</f>
        <v/>
      </c>
    </row>
    <row r="150">
      <c r="A150" s="60" t="n">
        <v>39995</v>
      </c>
      <c r="B150" s="50">
        <f>IF(VLOOKUP(Table311[[#This Row],[Date]],'DB Details'!$A:$Q,12)=0,"",VLOOKUP(Table311[[#This Row],[Date]],'DB Details'!$A:$Q,12))</f>
        <v/>
      </c>
      <c r="C150" s="61">
        <f>IF(VLOOKUP(Table311[[#This Row],[Date]],'DB Details'!$A:$Q,16)=0,"",VLOOKUP(Table311[[#This Row],[Date]],'DB Details'!$A:$Q,16))</f>
        <v/>
      </c>
      <c r="D150" s="61">
        <f>IF(VLOOKUP(Table311[[#This Row],[Date]],'DB Details'!$A:$Q,15)=0,"",VLOOKUP(Table311[[#This Row],[Date]],'DB Details'!$A:$Q,15))</f>
        <v/>
      </c>
      <c r="E150" s="61">
        <f>IF(VLOOKUP(Table311[[#This Row],[Date]],'DB Details'!$A:$Q,17)=0,"",VLOOKUP(Table311[[#This Row],[Date]],'DB Details'!$A:$Q,17))</f>
        <v/>
      </c>
    </row>
    <row r="151">
      <c r="A151" s="60" t="n">
        <v>40026</v>
      </c>
      <c r="B151" s="50">
        <f>IF(VLOOKUP(Table311[[#This Row],[Date]],'DB Details'!$A:$Q,12)=0,"",VLOOKUP(Table311[[#This Row],[Date]],'DB Details'!$A:$Q,12))</f>
        <v/>
      </c>
      <c r="C151" s="61">
        <f>IF(VLOOKUP(Table311[[#This Row],[Date]],'DB Details'!$A:$Q,16)=0,"",VLOOKUP(Table311[[#This Row],[Date]],'DB Details'!$A:$Q,16))</f>
        <v/>
      </c>
      <c r="D151" s="61">
        <f>IF(VLOOKUP(Table311[[#This Row],[Date]],'DB Details'!$A:$Q,15)=0,"",VLOOKUP(Table311[[#This Row],[Date]],'DB Details'!$A:$Q,15))</f>
        <v/>
      </c>
      <c r="E151" s="61">
        <f>IF(VLOOKUP(Table311[[#This Row],[Date]],'DB Details'!$A:$Q,17)=0,"",VLOOKUP(Table311[[#This Row],[Date]],'DB Details'!$A:$Q,17))</f>
        <v/>
      </c>
    </row>
    <row r="152">
      <c r="A152" s="60" t="n">
        <v>40057</v>
      </c>
      <c r="B152" s="50">
        <f>IF(VLOOKUP(Table311[[#This Row],[Date]],'DB Details'!$A:$Q,12)=0,"",VLOOKUP(Table311[[#This Row],[Date]],'DB Details'!$A:$Q,12))</f>
        <v/>
      </c>
      <c r="C152" s="61">
        <f>IF(VLOOKUP(Table311[[#This Row],[Date]],'DB Details'!$A:$Q,16)=0,"",VLOOKUP(Table311[[#This Row],[Date]],'DB Details'!$A:$Q,16))</f>
        <v/>
      </c>
      <c r="D152" s="61">
        <f>IF(VLOOKUP(Table311[[#This Row],[Date]],'DB Details'!$A:$Q,15)=0,"",VLOOKUP(Table311[[#This Row],[Date]],'DB Details'!$A:$Q,15))</f>
        <v/>
      </c>
      <c r="E152" s="61">
        <f>IF(VLOOKUP(Table311[[#This Row],[Date]],'DB Details'!$A:$Q,17)=0,"",VLOOKUP(Table311[[#This Row],[Date]],'DB Details'!$A:$Q,17))</f>
        <v/>
      </c>
    </row>
    <row r="153">
      <c r="A153" s="60" t="n">
        <v>40087</v>
      </c>
      <c r="B153" s="50">
        <f>IF(VLOOKUP(Table311[[#This Row],[Date]],'DB Details'!$A:$Q,12)=0,"",VLOOKUP(Table311[[#This Row],[Date]],'DB Details'!$A:$Q,12))</f>
        <v/>
      </c>
      <c r="C153" s="61">
        <f>IF(VLOOKUP(Table311[[#This Row],[Date]],'DB Details'!$A:$Q,16)=0,"",VLOOKUP(Table311[[#This Row],[Date]],'DB Details'!$A:$Q,16))</f>
        <v/>
      </c>
      <c r="D153" s="61">
        <f>IF(VLOOKUP(Table311[[#This Row],[Date]],'DB Details'!$A:$Q,15)=0,"",VLOOKUP(Table311[[#This Row],[Date]],'DB Details'!$A:$Q,15))</f>
        <v/>
      </c>
      <c r="E153" s="61">
        <f>IF(VLOOKUP(Table311[[#This Row],[Date]],'DB Details'!$A:$Q,17)=0,"",VLOOKUP(Table311[[#This Row],[Date]],'DB Details'!$A:$Q,17))</f>
        <v/>
      </c>
    </row>
    <row r="154">
      <c r="A154" s="60" t="n">
        <v>40118</v>
      </c>
      <c r="B154" s="50">
        <f>IF(VLOOKUP(Table311[[#This Row],[Date]],'DB Details'!$A:$Q,12)=0,"",VLOOKUP(Table311[[#This Row],[Date]],'DB Details'!$A:$Q,12))</f>
        <v/>
      </c>
      <c r="C154" s="61">
        <f>IF(VLOOKUP(Table311[[#This Row],[Date]],'DB Details'!$A:$Q,16)=0,"",VLOOKUP(Table311[[#This Row],[Date]],'DB Details'!$A:$Q,16))</f>
        <v/>
      </c>
      <c r="D154" s="61">
        <f>IF(VLOOKUP(Table311[[#This Row],[Date]],'DB Details'!$A:$Q,15)=0,"",VLOOKUP(Table311[[#This Row],[Date]],'DB Details'!$A:$Q,15))</f>
        <v/>
      </c>
      <c r="E154" s="61">
        <f>IF(VLOOKUP(Table311[[#This Row],[Date]],'DB Details'!$A:$Q,17)=0,"",VLOOKUP(Table311[[#This Row],[Date]],'DB Details'!$A:$Q,17))</f>
        <v/>
      </c>
    </row>
    <row r="155">
      <c r="A155" s="60" t="n">
        <v>40148</v>
      </c>
      <c r="B155" s="50">
        <f>IF(VLOOKUP(Table311[[#This Row],[Date]],'DB Details'!$A:$Q,12)=0,"",VLOOKUP(Table311[[#This Row],[Date]],'DB Details'!$A:$Q,12))</f>
        <v/>
      </c>
      <c r="C155" s="61">
        <f>IF(VLOOKUP(Table311[[#This Row],[Date]],'DB Details'!$A:$Q,16)=0,"",VLOOKUP(Table311[[#This Row],[Date]],'DB Details'!$A:$Q,16))</f>
        <v/>
      </c>
      <c r="D155" s="61">
        <f>IF(VLOOKUP(Table311[[#This Row],[Date]],'DB Details'!$A:$Q,15)=0,"",VLOOKUP(Table311[[#This Row],[Date]],'DB Details'!$A:$Q,15))</f>
        <v/>
      </c>
      <c r="E155" s="61">
        <f>IF(VLOOKUP(Table311[[#This Row],[Date]],'DB Details'!$A:$Q,17)=0,"",VLOOKUP(Table311[[#This Row],[Date]],'DB Details'!$A:$Q,17))</f>
        <v/>
      </c>
    </row>
    <row r="156">
      <c r="A156" s="60" t="n">
        <v>40179</v>
      </c>
      <c r="B156" s="50">
        <f>IF(VLOOKUP(Table311[[#This Row],[Date]],'DB Details'!$A:$Q,12)=0,"",VLOOKUP(Table311[[#This Row],[Date]],'DB Details'!$A:$Q,12))</f>
        <v/>
      </c>
      <c r="C156" s="61">
        <f>IF(VLOOKUP(Table311[[#This Row],[Date]],'DB Details'!$A:$Q,16)=0,"",VLOOKUP(Table311[[#This Row],[Date]],'DB Details'!$A:$Q,16))</f>
        <v/>
      </c>
      <c r="D156" s="61">
        <f>IF(VLOOKUP(Table311[[#This Row],[Date]],'DB Details'!$A:$Q,15)=0,"",VLOOKUP(Table311[[#This Row],[Date]],'DB Details'!$A:$Q,15))</f>
        <v/>
      </c>
      <c r="E156" s="61">
        <f>IF(VLOOKUP(Table311[[#This Row],[Date]],'DB Details'!$A:$Q,17)=0,"",VLOOKUP(Table311[[#This Row],[Date]],'DB Details'!$A:$Q,17))</f>
        <v/>
      </c>
    </row>
    <row r="157">
      <c r="A157" s="60" t="n">
        <v>40210</v>
      </c>
      <c r="B157" s="50">
        <f>IF(VLOOKUP(Table311[[#This Row],[Date]],'DB Details'!$A:$Q,12)=0,"",VLOOKUP(Table311[[#This Row],[Date]],'DB Details'!$A:$Q,12))</f>
        <v/>
      </c>
      <c r="C157" s="61">
        <f>IF(VLOOKUP(Table311[[#This Row],[Date]],'DB Details'!$A:$Q,16)=0,"",VLOOKUP(Table311[[#This Row],[Date]],'DB Details'!$A:$Q,16))</f>
        <v/>
      </c>
      <c r="D157" s="61">
        <f>IF(VLOOKUP(Table311[[#This Row],[Date]],'DB Details'!$A:$Q,15)=0,"",VLOOKUP(Table311[[#This Row],[Date]],'DB Details'!$A:$Q,15))</f>
        <v/>
      </c>
      <c r="E157" s="61">
        <f>IF(VLOOKUP(Table311[[#This Row],[Date]],'DB Details'!$A:$Q,17)=0,"",VLOOKUP(Table311[[#This Row],[Date]],'DB Details'!$A:$Q,17))</f>
        <v/>
      </c>
    </row>
    <row r="158">
      <c r="A158" s="60" t="n">
        <v>40238</v>
      </c>
      <c r="B158" s="50">
        <f>IF(VLOOKUP(Table311[[#This Row],[Date]],'DB Details'!$A:$Q,12)=0,"",VLOOKUP(Table311[[#This Row],[Date]],'DB Details'!$A:$Q,12))</f>
        <v/>
      </c>
      <c r="C158" s="61">
        <f>IF(VLOOKUP(Table311[[#This Row],[Date]],'DB Details'!$A:$Q,16)=0,"",VLOOKUP(Table311[[#This Row],[Date]],'DB Details'!$A:$Q,16))</f>
        <v/>
      </c>
      <c r="D158" s="61">
        <f>IF(VLOOKUP(Table311[[#This Row],[Date]],'DB Details'!$A:$Q,15)=0,"",VLOOKUP(Table311[[#This Row],[Date]],'DB Details'!$A:$Q,15))</f>
        <v/>
      </c>
      <c r="E158" s="61">
        <f>IF(VLOOKUP(Table311[[#This Row],[Date]],'DB Details'!$A:$Q,17)=0,"",VLOOKUP(Table311[[#This Row],[Date]],'DB Details'!$A:$Q,17))</f>
        <v/>
      </c>
    </row>
    <row r="159">
      <c r="A159" s="60" t="n">
        <v>40269</v>
      </c>
      <c r="B159" s="50">
        <f>IF(VLOOKUP(Table311[[#This Row],[Date]],'DB Details'!$A:$Q,12)=0,"",VLOOKUP(Table311[[#This Row],[Date]],'DB Details'!$A:$Q,12))</f>
        <v/>
      </c>
      <c r="C159" s="61">
        <f>IF(VLOOKUP(Table311[[#This Row],[Date]],'DB Details'!$A:$Q,16)=0,"",VLOOKUP(Table311[[#This Row],[Date]],'DB Details'!$A:$Q,16))</f>
        <v/>
      </c>
      <c r="D159" s="61">
        <f>IF(VLOOKUP(Table311[[#This Row],[Date]],'DB Details'!$A:$Q,15)=0,"",VLOOKUP(Table311[[#This Row],[Date]],'DB Details'!$A:$Q,15))</f>
        <v/>
      </c>
      <c r="E159" s="61">
        <f>IF(VLOOKUP(Table311[[#This Row],[Date]],'DB Details'!$A:$Q,17)=0,"",VLOOKUP(Table311[[#This Row],[Date]],'DB Details'!$A:$Q,17))</f>
        <v/>
      </c>
    </row>
    <row r="160">
      <c r="A160" s="60" t="n">
        <v>40299</v>
      </c>
      <c r="B160" s="50">
        <f>IF(VLOOKUP(Table311[[#This Row],[Date]],'DB Details'!$A:$Q,12)=0,"",VLOOKUP(Table311[[#This Row],[Date]],'DB Details'!$A:$Q,12))</f>
        <v/>
      </c>
      <c r="C160" s="61">
        <f>IF(VLOOKUP(Table311[[#This Row],[Date]],'DB Details'!$A:$Q,16)=0,"",VLOOKUP(Table311[[#This Row],[Date]],'DB Details'!$A:$Q,16))</f>
        <v/>
      </c>
      <c r="D160" s="61">
        <f>IF(VLOOKUP(Table311[[#This Row],[Date]],'DB Details'!$A:$Q,15)=0,"",VLOOKUP(Table311[[#This Row],[Date]],'DB Details'!$A:$Q,15))</f>
        <v/>
      </c>
      <c r="E160" s="61">
        <f>IF(VLOOKUP(Table311[[#This Row],[Date]],'DB Details'!$A:$Q,17)=0,"",VLOOKUP(Table311[[#This Row],[Date]],'DB Details'!$A:$Q,17))</f>
        <v/>
      </c>
    </row>
    <row r="161">
      <c r="A161" s="60" t="n">
        <v>40330</v>
      </c>
      <c r="B161" s="50">
        <f>IF(VLOOKUP(Table311[[#This Row],[Date]],'DB Details'!$A:$Q,12)=0,"",VLOOKUP(Table311[[#This Row],[Date]],'DB Details'!$A:$Q,12))</f>
        <v/>
      </c>
      <c r="C161" s="61">
        <f>IF(VLOOKUP(Table311[[#This Row],[Date]],'DB Details'!$A:$Q,16)=0,"",VLOOKUP(Table311[[#This Row],[Date]],'DB Details'!$A:$Q,16))</f>
        <v/>
      </c>
      <c r="D161" s="61">
        <f>IF(VLOOKUP(Table311[[#This Row],[Date]],'DB Details'!$A:$Q,15)=0,"",VLOOKUP(Table311[[#This Row],[Date]],'DB Details'!$A:$Q,15))</f>
        <v/>
      </c>
      <c r="E161" s="61">
        <f>IF(VLOOKUP(Table311[[#This Row],[Date]],'DB Details'!$A:$Q,17)=0,"",VLOOKUP(Table311[[#This Row],[Date]],'DB Details'!$A:$Q,17))</f>
        <v/>
      </c>
    </row>
    <row r="162">
      <c r="A162" s="60" t="n">
        <v>40360</v>
      </c>
      <c r="B162" s="50">
        <f>IF(VLOOKUP(Table311[[#This Row],[Date]],'DB Details'!$A:$Q,12)=0,"",VLOOKUP(Table311[[#This Row],[Date]],'DB Details'!$A:$Q,12))</f>
        <v/>
      </c>
      <c r="C162" s="61">
        <f>IF(VLOOKUP(Table311[[#This Row],[Date]],'DB Details'!$A:$Q,16)=0,"",VLOOKUP(Table311[[#This Row],[Date]],'DB Details'!$A:$Q,16))</f>
        <v/>
      </c>
      <c r="D162" s="61">
        <f>IF(VLOOKUP(Table311[[#This Row],[Date]],'DB Details'!$A:$Q,15)=0,"",VLOOKUP(Table311[[#This Row],[Date]],'DB Details'!$A:$Q,15))</f>
        <v/>
      </c>
      <c r="E162" s="61">
        <f>IF(VLOOKUP(Table311[[#This Row],[Date]],'DB Details'!$A:$Q,17)=0,"",VLOOKUP(Table311[[#This Row],[Date]],'DB Details'!$A:$Q,17))</f>
        <v/>
      </c>
    </row>
    <row r="163">
      <c r="A163" s="60" t="n">
        <v>40391</v>
      </c>
      <c r="B163" s="50">
        <f>IF(VLOOKUP(Table311[[#This Row],[Date]],'DB Details'!$A:$Q,12)=0,"",VLOOKUP(Table311[[#This Row],[Date]],'DB Details'!$A:$Q,12))</f>
        <v/>
      </c>
      <c r="C163" s="61">
        <f>IF(VLOOKUP(Table311[[#This Row],[Date]],'DB Details'!$A:$Q,16)=0,"",VLOOKUP(Table311[[#This Row],[Date]],'DB Details'!$A:$Q,16))</f>
        <v/>
      </c>
      <c r="D163" s="61">
        <f>IF(VLOOKUP(Table311[[#This Row],[Date]],'DB Details'!$A:$Q,15)=0,"",VLOOKUP(Table311[[#This Row],[Date]],'DB Details'!$A:$Q,15))</f>
        <v/>
      </c>
      <c r="E163" s="61">
        <f>IF(VLOOKUP(Table311[[#This Row],[Date]],'DB Details'!$A:$Q,17)=0,"",VLOOKUP(Table311[[#This Row],[Date]],'DB Details'!$A:$Q,17))</f>
        <v/>
      </c>
    </row>
    <row r="164">
      <c r="A164" s="60" t="n">
        <v>40422</v>
      </c>
      <c r="B164" s="50">
        <f>IF(VLOOKUP(Table311[[#This Row],[Date]],'DB Details'!$A:$Q,12)=0,"",VLOOKUP(Table311[[#This Row],[Date]],'DB Details'!$A:$Q,12))</f>
        <v/>
      </c>
      <c r="C164" s="61">
        <f>IF(VLOOKUP(Table311[[#This Row],[Date]],'DB Details'!$A:$Q,16)=0,"",VLOOKUP(Table311[[#This Row],[Date]],'DB Details'!$A:$Q,16))</f>
        <v/>
      </c>
      <c r="D164" s="61">
        <f>IF(VLOOKUP(Table311[[#This Row],[Date]],'DB Details'!$A:$Q,15)=0,"",VLOOKUP(Table311[[#This Row],[Date]],'DB Details'!$A:$Q,15))</f>
        <v/>
      </c>
      <c r="E164" s="61">
        <f>IF(VLOOKUP(Table311[[#This Row],[Date]],'DB Details'!$A:$Q,17)=0,"",VLOOKUP(Table311[[#This Row],[Date]],'DB Details'!$A:$Q,17))</f>
        <v/>
      </c>
    </row>
    <row r="165">
      <c r="A165" s="60" t="n">
        <v>40452</v>
      </c>
      <c r="B165" s="50">
        <f>IF(VLOOKUP(Table311[[#This Row],[Date]],'DB Details'!$A:$Q,12)=0,"",VLOOKUP(Table311[[#This Row],[Date]],'DB Details'!$A:$Q,12))</f>
        <v/>
      </c>
      <c r="C165" s="61">
        <f>IF(VLOOKUP(Table311[[#This Row],[Date]],'DB Details'!$A:$Q,16)=0,"",VLOOKUP(Table311[[#This Row],[Date]],'DB Details'!$A:$Q,16))</f>
        <v/>
      </c>
      <c r="D165" s="61">
        <f>IF(VLOOKUP(Table311[[#This Row],[Date]],'DB Details'!$A:$Q,15)=0,"",VLOOKUP(Table311[[#This Row],[Date]],'DB Details'!$A:$Q,15))</f>
        <v/>
      </c>
      <c r="E165" s="61">
        <f>IF(VLOOKUP(Table311[[#This Row],[Date]],'DB Details'!$A:$Q,17)=0,"",VLOOKUP(Table311[[#This Row],[Date]],'DB Details'!$A:$Q,17))</f>
        <v/>
      </c>
    </row>
    <row r="166">
      <c r="A166" s="60" t="n">
        <v>40483</v>
      </c>
      <c r="B166" s="50">
        <f>IF(VLOOKUP(Table311[[#This Row],[Date]],'DB Details'!$A:$Q,12)=0,"",VLOOKUP(Table311[[#This Row],[Date]],'DB Details'!$A:$Q,12))</f>
        <v/>
      </c>
      <c r="C166" s="61">
        <f>IF(VLOOKUP(Table311[[#This Row],[Date]],'DB Details'!$A:$Q,16)=0,"",VLOOKUP(Table311[[#This Row],[Date]],'DB Details'!$A:$Q,16))</f>
        <v/>
      </c>
      <c r="D166" s="61">
        <f>IF(VLOOKUP(Table311[[#This Row],[Date]],'DB Details'!$A:$Q,15)=0,"",VLOOKUP(Table311[[#This Row],[Date]],'DB Details'!$A:$Q,15))</f>
        <v/>
      </c>
      <c r="E166" s="61">
        <f>IF(VLOOKUP(Table311[[#This Row],[Date]],'DB Details'!$A:$Q,17)=0,"",VLOOKUP(Table311[[#This Row],[Date]],'DB Details'!$A:$Q,17))</f>
        <v/>
      </c>
    </row>
    <row r="167">
      <c r="A167" s="60" t="n">
        <v>40513</v>
      </c>
      <c r="B167" s="50">
        <f>IF(VLOOKUP(Table311[[#This Row],[Date]],'DB Details'!$A:$Q,12)=0,"",VLOOKUP(Table311[[#This Row],[Date]],'DB Details'!$A:$Q,12))</f>
        <v/>
      </c>
      <c r="C167" s="61">
        <f>IF(VLOOKUP(Table311[[#This Row],[Date]],'DB Details'!$A:$Q,16)=0,"",VLOOKUP(Table311[[#This Row],[Date]],'DB Details'!$A:$Q,16))</f>
        <v/>
      </c>
      <c r="D167" s="61">
        <f>IF(VLOOKUP(Table311[[#This Row],[Date]],'DB Details'!$A:$Q,15)=0,"",VLOOKUP(Table311[[#This Row],[Date]],'DB Details'!$A:$Q,15))</f>
        <v/>
      </c>
      <c r="E167" s="61">
        <f>IF(VLOOKUP(Table311[[#This Row],[Date]],'DB Details'!$A:$Q,17)=0,"",VLOOKUP(Table311[[#This Row],[Date]],'DB Details'!$A:$Q,17))</f>
        <v/>
      </c>
    </row>
    <row r="168">
      <c r="A168" s="60" t="n">
        <v>40544</v>
      </c>
      <c r="B168" s="50">
        <f>IF(VLOOKUP(Table311[[#This Row],[Date]],'DB Details'!$A:$Q,12)=0,"",VLOOKUP(Table311[[#This Row],[Date]],'DB Details'!$A:$Q,12))</f>
        <v/>
      </c>
      <c r="C168" s="61">
        <f>IF(VLOOKUP(Table311[[#This Row],[Date]],'DB Details'!$A:$Q,16)=0,"",VLOOKUP(Table311[[#This Row],[Date]],'DB Details'!$A:$Q,16))</f>
        <v/>
      </c>
      <c r="D168" s="61">
        <f>IF(VLOOKUP(Table311[[#This Row],[Date]],'DB Details'!$A:$Q,15)=0,"",VLOOKUP(Table311[[#This Row],[Date]],'DB Details'!$A:$Q,15))</f>
        <v/>
      </c>
      <c r="E168" s="61">
        <f>IF(VLOOKUP(Table311[[#This Row],[Date]],'DB Details'!$A:$Q,17)=0,"",VLOOKUP(Table311[[#This Row],[Date]],'DB Details'!$A:$Q,17))</f>
        <v/>
      </c>
    </row>
    <row r="169">
      <c r="A169" s="60" t="n">
        <v>40575</v>
      </c>
      <c r="B169" s="50">
        <f>IF(VLOOKUP(Table311[[#This Row],[Date]],'DB Details'!$A:$Q,12)=0,"",VLOOKUP(Table311[[#This Row],[Date]],'DB Details'!$A:$Q,12))</f>
        <v/>
      </c>
      <c r="C169" s="61">
        <f>IF(VLOOKUP(Table311[[#This Row],[Date]],'DB Details'!$A:$Q,16)=0,"",VLOOKUP(Table311[[#This Row],[Date]],'DB Details'!$A:$Q,16))</f>
        <v/>
      </c>
      <c r="D169" s="61">
        <f>IF(VLOOKUP(Table311[[#This Row],[Date]],'DB Details'!$A:$Q,15)=0,"",VLOOKUP(Table311[[#This Row],[Date]],'DB Details'!$A:$Q,15))</f>
        <v/>
      </c>
      <c r="E169" s="61">
        <f>IF(VLOOKUP(Table311[[#This Row],[Date]],'DB Details'!$A:$Q,17)=0,"",VLOOKUP(Table311[[#This Row],[Date]],'DB Details'!$A:$Q,17))</f>
        <v/>
      </c>
    </row>
    <row r="170">
      <c r="A170" s="60" t="n">
        <v>40603</v>
      </c>
      <c r="B170" s="50">
        <f>IF(VLOOKUP(Table311[[#This Row],[Date]],'DB Details'!$A:$Q,12)=0,"",VLOOKUP(Table311[[#This Row],[Date]],'DB Details'!$A:$Q,12))</f>
        <v/>
      </c>
      <c r="C170" s="61">
        <f>IF(VLOOKUP(Table311[[#This Row],[Date]],'DB Details'!$A:$Q,16)=0,"",VLOOKUP(Table311[[#This Row],[Date]],'DB Details'!$A:$Q,16))</f>
        <v/>
      </c>
      <c r="D170" s="61">
        <f>IF(VLOOKUP(Table311[[#This Row],[Date]],'DB Details'!$A:$Q,15)=0,"",VLOOKUP(Table311[[#This Row],[Date]],'DB Details'!$A:$Q,15))</f>
        <v/>
      </c>
      <c r="E170" s="61">
        <f>IF(VLOOKUP(Table311[[#This Row],[Date]],'DB Details'!$A:$Q,17)=0,"",VLOOKUP(Table311[[#This Row],[Date]],'DB Details'!$A:$Q,17))</f>
        <v/>
      </c>
    </row>
    <row r="171">
      <c r="A171" s="60" t="n">
        <v>40634</v>
      </c>
      <c r="B171" s="50">
        <f>IF(VLOOKUP(Table311[[#This Row],[Date]],'DB Details'!$A:$Q,12)=0,"",VLOOKUP(Table311[[#This Row],[Date]],'DB Details'!$A:$Q,12))</f>
        <v/>
      </c>
      <c r="C171" s="61">
        <f>IF(VLOOKUP(Table311[[#This Row],[Date]],'DB Details'!$A:$Q,16)=0,"",VLOOKUP(Table311[[#This Row],[Date]],'DB Details'!$A:$Q,16))</f>
        <v/>
      </c>
      <c r="D171" s="61">
        <f>IF(VLOOKUP(Table311[[#This Row],[Date]],'DB Details'!$A:$Q,15)=0,"",VLOOKUP(Table311[[#This Row],[Date]],'DB Details'!$A:$Q,15))</f>
        <v/>
      </c>
      <c r="E171" s="61">
        <f>IF(VLOOKUP(Table311[[#This Row],[Date]],'DB Details'!$A:$Q,17)=0,"",VLOOKUP(Table311[[#This Row],[Date]],'DB Details'!$A:$Q,17))</f>
        <v/>
      </c>
    </row>
    <row r="172">
      <c r="A172" s="60" t="n">
        <v>40664</v>
      </c>
      <c r="B172" s="50">
        <f>IF(VLOOKUP(Table311[[#This Row],[Date]],'DB Details'!$A:$Q,12)=0,"",VLOOKUP(Table311[[#This Row],[Date]],'DB Details'!$A:$Q,12))</f>
        <v/>
      </c>
      <c r="C172" s="61">
        <f>IF(VLOOKUP(Table311[[#This Row],[Date]],'DB Details'!$A:$Q,16)=0,"",VLOOKUP(Table311[[#This Row],[Date]],'DB Details'!$A:$Q,16))</f>
        <v/>
      </c>
      <c r="D172" s="61">
        <f>IF(VLOOKUP(Table311[[#This Row],[Date]],'DB Details'!$A:$Q,15)=0,"",VLOOKUP(Table311[[#This Row],[Date]],'DB Details'!$A:$Q,15))</f>
        <v/>
      </c>
      <c r="E172" s="61">
        <f>IF(VLOOKUP(Table311[[#This Row],[Date]],'DB Details'!$A:$Q,17)=0,"",VLOOKUP(Table311[[#This Row],[Date]],'DB Details'!$A:$Q,17))</f>
        <v/>
      </c>
    </row>
    <row r="173">
      <c r="A173" s="60" t="n">
        <v>40695</v>
      </c>
      <c r="B173" s="50">
        <f>IF(VLOOKUP(Table311[[#This Row],[Date]],'DB Details'!$A:$Q,12)=0,"",VLOOKUP(Table311[[#This Row],[Date]],'DB Details'!$A:$Q,12))</f>
        <v/>
      </c>
      <c r="C173" s="61">
        <f>IF(VLOOKUP(Table311[[#This Row],[Date]],'DB Details'!$A:$Q,16)=0,"",VLOOKUP(Table311[[#This Row],[Date]],'DB Details'!$A:$Q,16))</f>
        <v/>
      </c>
      <c r="D173" s="61">
        <f>IF(VLOOKUP(Table311[[#This Row],[Date]],'DB Details'!$A:$Q,15)=0,"",VLOOKUP(Table311[[#This Row],[Date]],'DB Details'!$A:$Q,15))</f>
        <v/>
      </c>
      <c r="E173" s="61">
        <f>IF(VLOOKUP(Table311[[#This Row],[Date]],'DB Details'!$A:$Q,17)=0,"",VLOOKUP(Table311[[#This Row],[Date]],'DB Details'!$A:$Q,17))</f>
        <v/>
      </c>
    </row>
    <row r="174">
      <c r="A174" s="60" t="n">
        <v>40725</v>
      </c>
      <c r="B174" s="50">
        <f>IF(VLOOKUP(Table311[[#This Row],[Date]],'DB Details'!$A:$Q,12)=0,"",VLOOKUP(Table311[[#This Row],[Date]],'DB Details'!$A:$Q,12))</f>
        <v/>
      </c>
      <c r="C174" s="61">
        <f>IF(VLOOKUP(Table311[[#This Row],[Date]],'DB Details'!$A:$Q,16)=0,"",VLOOKUP(Table311[[#This Row],[Date]],'DB Details'!$A:$Q,16))</f>
        <v/>
      </c>
      <c r="D174" s="61">
        <f>IF(VLOOKUP(Table311[[#This Row],[Date]],'DB Details'!$A:$Q,15)=0,"",VLOOKUP(Table311[[#This Row],[Date]],'DB Details'!$A:$Q,15))</f>
        <v/>
      </c>
      <c r="E174" s="61">
        <f>IF(VLOOKUP(Table311[[#This Row],[Date]],'DB Details'!$A:$Q,17)=0,"",VLOOKUP(Table311[[#This Row],[Date]],'DB Details'!$A:$Q,17))</f>
        <v/>
      </c>
    </row>
    <row r="175">
      <c r="A175" s="60" t="n">
        <v>40756</v>
      </c>
      <c r="B175" s="50">
        <f>IF(VLOOKUP(Table311[[#This Row],[Date]],'DB Details'!$A:$Q,12)=0,"",VLOOKUP(Table311[[#This Row],[Date]],'DB Details'!$A:$Q,12))</f>
        <v/>
      </c>
      <c r="C175" s="61">
        <f>IF(VLOOKUP(Table311[[#This Row],[Date]],'DB Details'!$A:$Q,16)=0,"",VLOOKUP(Table311[[#This Row],[Date]],'DB Details'!$A:$Q,16))</f>
        <v/>
      </c>
      <c r="D175" s="61">
        <f>IF(VLOOKUP(Table311[[#This Row],[Date]],'DB Details'!$A:$Q,15)=0,"",VLOOKUP(Table311[[#This Row],[Date]],'DB Details'!$A:$Q,15))</f>
        <v/>
      </c>
      <c r="E175" s="61">
        <f>IF(VLOOKUP(Table311[[#This Row],[Date]],'DB Details'!$A:$Q,17)=0,"",VLOOKUP(Table311[[#This Row],[Date]],'DB Details'!$A:$Q,17))</f>
        <v/>
      </c>
    </row>
    <row r="176">
      <c r="A176" s="60" t="n">
        <v>40787</v>
      </c>
      <c r="B176" s="50">
        <f>IF(VLOOKUP(Table311[[#This Row],[Date]],'DB Details'!$A:$Q,12)=0,"",VLOOKUP(Table311[[#This Row],[Date]],'DB Details'!$A:$Q,12))</f>
        <v/>
      </c>
      <c r="C176" s="61">
        <f>IF(VLOOKUP(Table311[[#This Row],[Date]],'DB Details'!$A:$Q,16)=0,"",VLOOKUP(Table311[[#This Row],[Date]],'DB Details'!$A:$Q,16))</f>
        <v/>
      </c>
      <c r="D176" s="61">
        <f>IF(VLOOKUP(Table311[[#This Row],[Date]],'DB Details'!$A:$Q,15)=0,"",VLOOKUP(Table311[[#This Row],[Date]],'DB Details'!$A:$Q,15))</f>
        <v/>
      </c>
      <c r="E176" s="61">
        <f>IF(VLOOKUP(Table311[[#This Row],[Date]],'DB Details'!$A:$Q,17)=0,"",VLOOKUP(Table311[[#This Row],[Date]],'DB Details'!$A:$Q,17))</f>
        <v/>
      </c>
    </row>
    <row r="177">
      <c r="A177" s="60" t="n">
        <v>40817</v>
      </c>
      <c r="B177" s="50">
        <f>IF(VLOOKUP(Table311[[#This Row],[Date]],'DB Details'!$A:$Q,12)=0,"",VLOOKUP(Table311[[#This Row],[Date]],'DB Details'!$A:$Q,12))</f>
        <v/>
      </c>
      <c r="C177" s="61">
        <f>IF(VLOOKUP(Table311[[#This Row],[Date]],'DB Details'!$A:$Q,16)=0,"",VLOOKUP(Table311[[#This Row],[Date]],'DB Details'!$A:$Q,16))</f>
        <v/>
      </c>
      <c r="D177" s="61">
        <f>IF(VLOOKUP(Table311[[#This Row],[Date]],'DB Details'!$A:$Q,15)=0,"",VLOOKUP(Table311[[#This Row],[Date]],'DB Details'!$A:$Q,15))</f>
        <v/>
      </c>
      <c r="E177" s="61">
        <f>IF(VLOOKUP(Table311[[#This Row],[Date]],'DB Details'!$A:$Q,17)=0,"",VLOOKUP(Table311[[#This Row],[Date]],'DB Details'!$A:$Q,17))</f>
        <v/>
      </c>
    </row>
    <row r="178">
      <c r="A178" s="60" t="n">
        <v>40848</v>
      </c>
      <c r="B178" s="50">
        <f>IF(VLOOKUP(Table311[[#This Row],[Date]],'DB Details'!$A:$Q,12)=0,"",VLOOKUP(Table311[[#This Row],[Date]],'DB Details'!$A:$Q,12))</f>
        <v/>
      </c>
      <c r="C178" s="61">
        <f>IF(VLOOKUP(Table311[[#This Row],[Date]],'DB Details'!$A:$Q,16)=0,"",VLOOKUP(Table311[[#This Row],[Date]],'DB Details'!$A:$Q,16))</f>
        <v/>
      </c>
      <c r="D178" s="61">
        <f>IF(VLOOKUP(Table311[[#This Row],[Date]],'DB Details'!$A:$Q,15)=0,"",VLOOKUP(Table311[[#This Row],[Date]],'DB Details'!$A:$Q,15))</f>
        <v/>
      </c>
      <c r="E178" s="61">
        <f>IF(VLOOKUP(Table311[[#This Row],[Date]],'DB Details'!$A:$Q,17)=0,"",VLOOKUP(Table311[[#This Row],[Date]],'DB Details'!$A:$Q,17))</f>
        <v/>
      </c>
    </row>
    <row r="179">
      <c r="A179" s="60" t="n">
        <v>40878</v>
      </c>
      <c r="B179" s="50">
        <f>IF(VLOOKUP(Table311[[#This Row],[Date]],'DB Details'!$A:$Q,12)=0,"",VLOOKUP(Table311[[#This Row],[Date]],'DB Details'!$A:$Q,12))</f>
        <v/>
      </c>
      <c r="C179" s="61">
        <f>IF(VLOOKUP(Table311[[#This Row],[Date]],'DB Details'!$A:$Q,16)=0,"",VLOOKUP(Table311[[#This Row],[Date]],'DB Details'!$A:$Q,16))</f>
        <v/>
      </c>
      <c r="D179" s="61">
        <f>IF(VLOOKUP(Table311[[#This Row],[Date]],'DB Details'!$A:$Q,15)=0,"",VLOOKUP(Table311[[#This Row],[Date]],'DB Details'!$A:$Q,15))</f>
        <v/>
      </c>
      <c r="E179" s="61">
        <f>IF(VLOOKUP(Table311[[#This Row],[Date]],'DB Details'!$A:$Q,17)=0,"",VLOOKUP(Table311[[#This Row],[Date]],'DB Details'!$A:$Q,17))</f>
        <v/>
      </c>
    </row>
    <row r="180">
      <c r="A180" s="60" t="n">
        <v>40909</v>
      </c>
      <c r="B180" s="50">
        <f>IF(VLOOKUP(Table311[[#This Row],[Date]],'DB Details'!$A:$Q,12)=0,"",VLOOKUP(Table311[[#This Row],[Date]],'DB Details'!$A:$Q,12))</f>
        <v/>
      </c>
      <c r="C180" s="61">
        <f>IF(VLOOKUP(Table311[[#This Row],[Date]],'DB Details'!$A:$Q,16)=0,"",VLOOKUP(Table311[[#This Row],[Date]],'DB Details'!$A:$Q,16))</f>
        <v/>
      </c>
      <c r="D180" s="61">
        <f>IF(VLOOKUP(Table311[[#This Row],[Date]],'DB Details'!$A:$Q,15)=0,"",VLOOKUP(Table311[[#This Row],[Date]],'DB Details'!$A:$Q,15))</f>
        <v/>
      </c>
      <c r="E180" s="61">
        <f>IF(VLOOKUP(Table311[[#This Row],[Date]],'DB Details'!$A:$Q,17)=0,"",VLOOKUP(Table311[[#This Row],[Date]],'DB Details'!$A:$Q,17))</f>
        <v/>
      </c>
    </row>
    <row r="181">
      <c r="A181" s="60" t="n">
        <v>40940</v>
      </c>
      <c r="B181" s="50">
        <f>IF(VLOOKUP(Table311[[#This Row],[Date]],'DB Details'!$A:$Q,12)=0,"",VLOOKUP(Table311[[#This Row],[Date]],'DB Details'!$A:$Q,12))</f>
        <v/>
      </c>
      <c r="C181" s="61">
        <f>IF(VLOOKUP(Table311[[#This Row],[Date]],'DB Details'!$A:$Q,16)=0,"",VLOOKUP(Table311[[#This Row],[Date]],'DB Details'!$A:$Q,16))</f>
        <v/>
      </c>
      <c r="D181" s="61">
        <f>IF(VLOOKUP(Table311[[#This Row],[Date]],'DB Details'!$A:$Q,15)=0,"",VLOOKUP(Table311[[#This Row],[Date]],'DB Details'!$A:$Q,15))</f>
        <v/>
      </c>
      <c r="E181" s="61">
        <f>IF(VLOOKUP(Table311[[#This Row],[Date]],'DB Details'!$A:$Q,17)=0,"",VLOOKUP(Table311[[#This Row],[Date]],'DB Details'!$A:$Q,17))</f>
        <v/>
      </c>
    </row>
    <row r="182">
      <c r="A182" s="60" t="n">
        <v>40969</v>
      </c>
      <c r="B182" s="50">
        <f>IF(VLOOKUP(Table311[[#This Row],[Date]],'DB Details'!$A:$Q,12)=0,"",VLOOKUP(Table311[[#This Row],[Date]],'DB Details'!$A:$Q,12))</f>
        <v/>
      </c>
      <c r="C182" s="61">
        <f>IF(VLOOKUP(Table311[[#This Row],[Date]],'DB Details'!$A:$Q,16)=0,"",VLOOKUP(Table311[[#This Row],[Date]],'DB Details'!$A:$Q,16))</f>
        <v/>
      </c>
      <c r="D182" s="61">
        <f>IF(VLOOKUP(Table311[[#This Row],[Date]],'DB Details'!$A:$Q,15)=0,"",VLOOKUP(Table311[[#This Row],[Date]],'DB Details'!$A:$Q,15))</f>
        <v/>
      </c>
      <c r="E182" s="61">
        <f>IF(VLOOKUP(Table311[[#This Row],[Date]],'DB Details'!$A:$Q,17)=0,"",VLOOKUP(Table311[[#This Row],[Date]],'DB Details'!$A:$Q,17))</f>
        <v/>
      </c>
    </row>
    <row r="183">
      <c r="A183" s="60" t="n">
        <v>41000</v>
      </c>
      <c r="B183" s="50">
        <f>IF(VLOOKUP(Table311[[#This Row],[Date]],'DB Details'!$A:$Q,12)=0,"",VLOOKUP(Table311[[#This Row],[Date]],'DB Details'!$A:$Q,12))</f>
        <v/>
      </c>
      <c r="C183" s="61">
        <f>IF(VLOOKUP(Table311[[#This Row],[Date]],'DB Details'!$A:$Q,16)=0,"",VLOOKUP(Table311[[#This Row],[Date]],'DB Details'!$A:$Q,16))</f>
        <v/>
      </c>
      <c r="D183" s="61">
        <f>IF(VLOOKUP(Table311[[#This Row],[Date]],'DB Details'!$A:$Q,15)=0,"",VLOOKUP(Table311[[#This Row],[Date]],'DB Details'!$A:$Q,15))</f>
        <v/>
      </c>
      <c r="E183" s="61">
        <f>IF(VLOOKUP(Table311[[#This Row],[Date]],'DB Details'!$A:$Q,17)=0,"",VLOOKUP(Table311[[#This Row],[Date]],'DB Details'!$A:$Q,17))</f>
        <v/>
      </c>
    </row>
    <row r="184">
      <c r="A184" s="60" t="n">
        <v>41030</v>
      </c>
      <c r="B184" s="50">
        <f>IF(VLOOKUP(Table311[[#This Row],[Date]],'DB Details'!$A:$Q,12)=0,"",VLOOKUP(Table311[[#This Row],[Date]],'DB Details'!$A:$Q,12))</f>
        <v/>
      </c>
      <c r="C184" s="61">
        <f>IF(VLOOKUP(Table311[[#This Row],[Date]],'DB Details'!$A:$Q,16)=0,"",VLOOKUP(Table311[[#This Row],[Date]],'DB Details'!$A:$Q,16))</f>
        <v/>
      </c>
      <c r="D184" s="61">
        <f>IF(VLOOKUP(Table311[[#This Row],[Date]],'DB Details'!$A:$Q,15)=0,"",VLOOKUP(Table311[[#This Row],[Date]],'DB Details'!$A:$Q,15))</f>
        <v/>
      </c>
      <c r="E184" s="61">
        <f>IF(VLOOKUP(Table311[[#This Row],[Date]],'DB Details'!$A:$Q,17)=0,"",VLOOKUP(Table311[[#This Row],[Date]],'DB Details'!$A:$Q,17))</f>
        <v/>
      </c>
    </row>
    <row r="185">
      <c r="A185" s="60" t="n">
        <v>41061</v>
      </c>
      <c r="B185" s="50">
        <f>IF(VLOOKUP(Table311[[#This Row],[Date]],'DB Details'!$A:$Q,12)=0,"",VLOOKUP(Table311[[#This Row],[Date]],'DB Details'!$A:$Q,12))</f>
        <v/>
      </c>
      <c r="C185" s="61">
        <f>IF(VLOOKUP(Table311[[#This Row],[Date]],'DB Details'!$A:$Q,16)=0,"",VLOOKUP(Table311[[#This Row],[Date]],'DB Details'!$A:$Q,16))</f>
        <v/>
      </c>
      <c r="D185" s="61">
        <f>IF(VLOOKUP(Table311[[#This Row],[Date]],'DB Details'!$A:$Q,15)=0,"",VLOOKUP(Table311[[#This Row],[Date]],'DB Details'!$A:$Q,15))</f>
        <v/>
      </c>
      <c r="E185" s="61">
        <f>IF(VLOOKUP(Table311[[#This Row],[Date]],'DB Details'!$A:$Q,17)=0,"",VLOOKUP(Table311[[#This Row],[Date]],'DB Details'!$A:$Q,17))</f>
        <v/>
      </c>
    </row>
    <row r="186">
      <c r="A186" s="60" t="n">
        <v>41091</v>
      </c>
      <c r="B186" s="50">
        <f>IF(VLOOKUP(Table311[[#This Row],[Date]],'DB Details'!$A:$Q,12)=0,"",VLOOKUP(Table311[[#This Row],[Date]],'DB Details'!$A:$Q,12))</f>
        <v/>
      </c>
      <c r="C186" s="61">
        <f>IF(VLOOKUP(Table311[[#This Row],[Date]],'DB Details'!$A:$Q,16)=0,"",VLOOKUP(Table311[[#This Row],[Date]],'DB Details'!$A:$Q,16))</f>
        <v/>
      </c>
      <c r="D186" s="61">
        <f>IF(VLOOKUP(Table311[[#This Row],[Date]],'DB Details'!$A:$Q,15)=0,"",VLOOKUP(Table311[[#This Row],[Date]],'DB Details'!$A:$Q,15))</f>
        <v/>
      </c>
      <c r="E186" s="61">
        <f>IF(VLOOKUP(Table311[[#This Row],[Date]],'DB Details'!$A:$Q,17)=0,"",VLOOKUP(Table311[[#This Row],[Date]],'DB Details'!$A:$Q,17))</f>
        <v/>
      </c>
    </row>
    <row r="187">
      <c r="A187" s="60" t="n">
        <v>41122</v>
      </c>
      <c r="B187" s="50">
        <f>IF(VLOOKUP(Table311[[#This Row],[Date]],'DB Details'!$A:$Q,12)=0,"",VLOOKUP(Table311[[#This Row],[Date]],'DB Details'!$A:$Q,12))</f>
        <v/>
      </c>
      <c r="C187" s="61">
        <f>IF(VLOOKUP(Table311[[#This Row],[Date]],'DB Details'!$A:$Q,16)=0,"",VLOOKUP(Table311[[#This Row],[Date]],'DB Details'!$A:$Q,16))</f>
        <v/>
      </c>
      <c r="D187" s="61">
        <f>IF(VLOOKUP(Table311[[#This Row],[Date]],'DB Details'!$A:$Q,15)=0,"",VLOOKUP(Table311[[#This Row],[Date]],'DB Details'!$A:$Q,15))</f>
        <v/>
      </c>
      <c r="E187" s="61">
        <f>IF(VLOOKUP(Table311[[#This Row],[Date]],'DB Details'!$A:$Q,17)=0,"",VLOOKUP(Table311[[#This Row],[Date]],'DB Details'!$A:$Q,17))</f>
        <v/>
      </c>
    </row>
    <row r="188">
      <c r="A188" s="60" t="n">
        <v>41153</v>
      </c>
      <c r="B188" s="50">
        <f>IF(VLOOKUP(Table311[[#This Row],[Date]],'DB Details'!$A:$Q,12)=0,"",VLOOKUP(Table311[[#This Row],[Date]],'DB Details'!$A:$Q,12))</f>
        <v/>
      </c>
      <c r="C188" s="61">
        <f>IF(VLOOKUP(Table311[[#This Row],[Date]],'DB Details'!$A:$Q,16)=0,"",VLOOKUP(Table311[[#This Row],[Date]],'DB Details'!$A:$Q,16))</f>
        <v/>
      </c>
      <c r="D188" s="61">
        <f>IF(VLOOKUP(Table311[[#This Row],[Date]],'DB Details'!$A:$Q,15)=0,"",VLOOKUP(Table311[[#This Row],[Date]],'DB Details'!$A:$Q,15))</f>
        <v/>
      </c>
      <c r="E188" s="61">
        <f>IF(VLOOKUP(Table311[[#This Row],[Date]],'DB Details'!$A:$Q,17)=0,"",VLOOKUP(Table311[[#This Row],[Date]],'DB Details'!$A:$Q,17))</f>
        <v/>
      </c>
    </row>
    <row r="189">
      <c r="A189" s="60" t="n">
        <v>41183</v>
      </c>
      <c r="B189" s="50">
        <f>IF(VLOOKUP(Table311[[#This Row],[Date]],'DB Details'!$A:$Q,12)=0,"",VLOOKUP(Table311[[#This Row],[Date]],'DB Details'!$A:$Q,12))</f>
        <v/>
      </c>
      <c r="C189" s="61">
        <f>IF(VLOOKUP(Table311[[#This Row],[Date]],'DB Details'!$A:$Q,16)=0,"",VLOOKUP(Table311[[#This Row],[Date]],'DB Details'!$A:$Q,16))</f>
        <v/>
      </c>
      <c r="D189" s="61">
        <f>IF(VLOOKUP(Table311[[#This Row],[Date]],'DB Details'!$A:$Q,15)=0,"",VLOOKUP(Table311[[#This Row],[Date]],'DB Details'!$A:$Q,15))</f>
        <v/>
      </c>
      <c r="E189" s="61">
        <f>IF(VLOOKUP(Table311[[#This Row],[Date]],'DB Details'!$A:$Q,17)=0,"",VLOOKUP(Table311[[#This Row],[Date]],'DB Details'!$A:$Q,17))</f>
        <v/>
      </c>
    </row>
    <row r="190">
      <c r="A190" s="60" t="n">
        <v>41214</v>
      </c>
      <c r="B190" s="50">
        <f>IF(VLOOKUP(Table311[[#This Row],[Date]],'DB Details'!$A:$Q,12)=0,"",VLOOKUP(Table311[[#This Row],[Date]],'DB Details'!$A:$Q,12))</f>
        <v/>
      </c>
      <c r="C190" s="61">
        <f>IF(VLOOKUP(Table311[[#This Row],[Date]],'DB Details'!$A:$Q,16)=0,"",VLOOKUP(Table311[[#This Row],[Date]],'DB Details'!$A:$Q,16))</f>
        <v/>
      </c>
      <c r="D190" s="61">
        <f>IF(VLOOKUP(Table311[[#This Row],[Date]],'DB Details'!$A:$Q,15)=0,"",VLOOKUP(Table311[[#This Row],[Date]],'DB Details'!$A:$Q,15))</f>
        <v/>
      </c>
      <c r="E190" s="61">
        <f>IF(VLOOKUP(Table311[[#This Row],[Date]],'DB Details'!$A:$Q,17)=0,"",VLOOKUP(Table311[[#This Row],[Date]],'DB Details'!$A:$Q,17))</f>
        <v/>
      </c>
    </row>
    <row r="191">
      <c r="A191" s="60" t="n">
        <v>41244</v>
      </c>
      <c r="B191" s="50">
        <f>IF(VLOOKUP(Table311[[#This Row],[Date]],'DB Details'!$A:$Q,12)=0,"",VLOOKUP(Table311[[#This Row],[Date]],'DB Details'!$A:$Q,12))</f>
        <v/>
      </c>
      <c r="C191" s="61">
        <f>IF(VLOOKUP(Table311[[#This Row],[Date]],'DB Details'!$A:$Q,16)=0,"",VLOOKUP(Table311[[#This Row],[Date]],'DB Details'!$A:$Q,16))</f>
        <v/>
      </c>
      <c r="D191" s="61">
        <f>IF(VLOOKUP(Table311[[#This Row],[Date]],'DB Details'!$A:$Q,15)=0,"",VLOOKUP(Table311[[#This Row],[Date]],'DB Details'!$A:$Q,15))</f>
        <v/>
      </c>
      <c r="E191" s="61">
        <f>IF(VLOOKUP(Table311[[#This Row],[Date]],'DB Details'!$A:$Q,17)=0,"",VLOOKUP(Table311[[#This Row],[Date]],'DB Details'!$A:$Q,17))</f>
        <v/>
      </c>
    </row>
    <row r="192">
      <c r="A192" s="60" t="n">
        <v>41275</v>
      </c>
      <c r="B192" s="50">
        <f>IF(VLOOKUP(Table311[[#This Row],[Date]],'DB Details'!$A:$Q,12)=0,"",VLOOKUP(Table311[[#This Row],[Date]],'DB Details'!$A:$Q,12))</f>
        <v/>
      </c>
      <c r="C192" s="61">
        <f>IF(VLOOKUP(Table311[[#This Row],[Date]],'DB Details'!$A:$Q,16)=0,"",VLOOKUP(Table311[[#This Row],[Date]],'DB Details'!$A:$Q,16))</f>
        <v/>
      </c>
      <c r="D192" s="61">
        <f>IF(VLOOKUP(Table311[[#This Row],[Date]],'DB Details'!$A:$Q,15)=0,"",VLOOKUP(Table311[[#This Row],[Date]],'DB Details'!$A:$Q,15))</f>
        <v/>
      </c>
      <c r="E192" s="61">
        <f>IF(VLOOKUP(Table311[[#This Row],[Date]],'DB Details'!$A:$Q,17)=0,"",VLOOKUP(Table311[[#This Row],[Date]],'DB Details'!$A:$Q,17))</f>
        <v/>
      </c>
    </row>
    <row r="193">
      <c r="A193" s="60" t="n">
        <v>41306</v>
      </c>
      <c r="B193" s="50">
        <f>IF(VLOOKUP(Table311[[#This Row],[Date]],'DB Details'!$A:$Q,12)=0,"",VLOOKUP(Table311[[#This Row],[Date]],'DB Details'!$A:$Q,12))</f>
        <v/>
      </c>
      <c r="C193" s="61">
        <f>IF(VLOOKUP(Table311[[#This Row],[Date]],'DB Details'!$A:$Q,16)=0,"",VLOOKUP(Table311[[#This Row],[Date]],'DB Details'!$A:$Q,16))</f>
        <v/>
      </c>
      <c r="D193" s="61">
        <f>IF(VLOOKUP(Table311[[#This Row],[Date]],'DB Details'!$A:$Q,15)=0,"",VLOOKUP(Table311[[#This Row],[Date]],'DB Details'!$A:$Q,15))</f>
        <v/>
      </c>
      <c r="E193" s="61">
        <f>IF(VLOOKUP(Table311[[#This Row],[Date]],'DB Details'!$A:$Q,17)=0,"",VLOOKUP(Table311[[#This Row],[Date]],'DB Details'!$A:$Q,17))</f>
        <v/>
      </c>
    </row>
    <row r="194">
      <c r="A194" s="60" t="n">
        <v>41334</v>
      </c>
      <c r="B194" s="50">
        <f>IF(VLOOKUP(Table311[[#This Row],[Date]],'DB Details'!$A:$Q,12)=0,"",VLOOKUP(Table311[[#This Row],[Date]],'DB Details'!$A:$Q,12))</f>
        <v/>
      </c>
      <c r="C194" s="61">
        <f>IF(VLOOKUP(Table311[[#This Row],[Date]],'DB Details'!$A:$Q,16)=0,"",VLOOKUP(Table311[[#This Row],[Date]],'DB Details'!$A:$Q,16))</f>
        <v/>
      </c>
      <c r="D194" s="61">
        <f>IF(VLOOKUP(Table311[[#This Row],[Date]],'DB Details'!$A:$Q,15)=0,"",VLOOKUP(Table311[[#This Row],[Date]],'DB Details'!$A:$Q,15))</f>
        <v/>
      </c>
      <c r="E194" s="61">
        <f>IF(VLOOKUP(Table311[[#This Row],[Date]],'DB Details'!$A:$Q,17)=0,"",VLOOKUP(Table311[[#This Row],[Date]],'DB Details'!$A:$Q,17))</f>
        <v/>
      </c>
    </row>
    <row r="195">
      <c r="A195" s="60" t="n">
        <v>41365</v>
      </c>
      <c r="B195" s="50">
        <f>IF(VLOOKUP(Table311[[#This Row],[Date]],'DB Details'!$A:$Q,12)=0,"",VLOOKUP(Table311[[#This Row],[Date]],'DB Details'!$A:$Q,12))</f>
        <v/>
      </c>
      <c r="C195" s="61">
        <f>IF(VLOOKUP(Table311[[#This Row],[Date]],'DB Details'!$A:$Q,16)=0,"",VLOOKUP(Table311[[#This Row],[Date]],'DB Details'!$A:$Q,16))</f>
        <v/>
      </c>
      <c r="D195" s="61">
        <f>IF(VLOOKUP(Table311[[#This Row],[Date]],'DB Details'!$A:$Q,15)=0,"",VLOOKUP(Table311[[#This Row],[Date]],'DB Details'!$A:$Q,15))</f>
        <v/>
      </c>
      <c r="E195" s="61">
        <f>IF(VLOOKUP(Table311[[#This Row],[Date]],'DB Details'!$A:$Q,17)=0,"",VLOOKUP(Table311[[#This Row],[Date]],'DB Details'!$A:$Q,17))</f>
        <v/>
      </c>
    </row>
    <row r="196">
      <c r="A196" s="60" t="n">
        <v>41395</v>
      </c>
      <c r="B196" s="50">
        <f>IF(VLOOKUP(Table311[[#This Row],[Date]],'DB Details'!$A:$Q,12)=0,"",VLOOKUP(Table311[[#This Row],[Date]],'DB Details'!$A:$Q,12))</f>
        <v/>
      </c>
      <c r="C196" s="61">
        <f>IF(VLOOKUP(Table311[[#This Row],[Date]],'DB Details'!$A:$Q,16)=0,"",VLOOKUP(Table311[[#This Row],[Date]],'DB Details'!$A:$Q,16))</f>
        <v/>
      </c>
      <c r="D196" s="61">
        <f>IF(VLOOKUP(Table311[[#This Row],[Date]],'DB Details'!$A:$Q,15)=0,"",VLOOKUP(Table311[[#This Row],[Date]],'DB Details'!$A:$Q,15))</f>
        <v/>
      </c>
      <c r="E196" s="61">
        <f>IF(VLOOKUP(Table311[[#This Row],[Date]],'DB Details'!$A:$Q,17)=0,"",VLOOKUP(Table311[[#This Row],[Date]],'DB Details'!$A:$Q,17))</f>
        <v/>
      </c>
    </row>
    <row r="197">
      <c r="A197" s="60" t="n">
        <v>41426</v>
      </c>
      <c r="B197" s="50">
        <f>IF(VLOOKUP(Table311[[#This Row],[Date]],'DB Details'!$A:$Q,12)=0,"",VLOOKUP(Table311[[#This Row],[Date]],'DB Details'!$A:$Q,12))</f>
        <v/>
      </c>
      <c r="C197" s="61">
        <f>IF(VLOOKUP(Table311[[#This Row],[Date]],'DB Details'!$A:$Q,16)=0,"",VLOOKUP(Table311[[#This Row],[Date]],'DB Details'!$A:$Q,16))</f>
        <v/>
      </c>
      <c r="D197" s="61">
        <f>IF(VLOOKUP(Table311[[#This Row],[Date]],'DB Details'!$A:$Q,15)=0,"",VLOOKUP(Table311[[#This Row],[Date]],'DB Details'!$A:$Q,15))</f>
        <v/>
      </c>
      <c r="E197" s="61">
        <f>IF(VLOOKUP(Table311[[#This Row],[Date]],'DB Details'!$A:$Q,17)=0,"",VLOOKUP(Table311[[#This Row],[Date]],'DB Details'!$A:$Q,17))</f>
        <v/>
      </c>
    </row>
    <row r="198">
      <c r="A198" s="60" t="n">
        <v>41456</v>
      </c>
      <c r="B198" s="50">
        <f>IF(VLOOKUP(Table311[[#This Row],[Date]],'DB Details'!$A:$Q,12)=0,"",VLOOKUP(Table311[[#This Row],[Date]],'DB Details'!$A:$Q,12))</f>
        <v/>
      </c>
      <c r="C198" s="61">
        <f>IF(VLOOKUP(Table311[[#This Row],[Date]],'DB Details'!$A:$Q,16)=0,"",VLOOKUP(Table311[[#This Row],[Date]],'DB Details'!$A:$Q,16))</f>
        <v/>
      </c>
      <c r="D198" s="61">
        <f>IF(VLOOKUP(Table311[[#This Row],[Date]],'DB Details'!$A:$Q,15)=0,"",VLOOKUP(Table311[[#This Row],[Date]],'DB Details'!$A:$Q,15))</f>
        <v/>
      </c>
      <c r="E198" s="61">
        <f>IF(VLOOKUP(Table311[[#This Row],[Date]],'DB Details'!$A:$Q,17)=0,"",VLOOKUP(Table311[[#This Row],[Date]],'DB Details'!$A:$Q,17))</f>
        <v/>
      </c>
    </row>
    <row r="199">
      <c r="A199" s="60" t="n">
        <v>41487</v>
      </c>
      <c r="B199" s="50">
        <f>IF(VLOOKUP(Table311[[#This Row],[Date]],'DB Details'!$A:$Q,12)=0,"",VLOOKUP(Table311[[#This Row],[Date]],'DB Details'!$A:$Q,12))</f>
        <v/>
      </c>
      <c r="C199" s="61">
        <f>IF(VLOOKUP(Table311[[#This Row],[Date]],'DB Details'!$A:$Q,16)=0,"",VLOOKUP(Table311[[#This Row],[Date]],'DB Details'!$A:$Q,16))</f>
        <v/>
      </c>
      <c r="D199" s="61">
        <f>IF(VLOOKUP(Table311[[#This Row],[Date]],'DB Details'!$A:$Q,15)=0,"",VLOOKUP(Table311[[#This Row],[Date]],'DB Details'!$A:$Q,15))</f>
        <v/>
      </c>
      <c r="E199" s="61">
        <f>IF(VLOOKUP(Table311[[#This Row],[Date]],'DB Details'!$A:$Q,17)=0,"",VLOOKUP(Table311[[#This Row],[Date]],'DB Details'!$A:$Q,17))</f>
        <v/>
      </c>
    </row>
    <row r="200">
      <c r="A200" s="60" t="n">
        <v>41518</v>
      </c>
      <c r="B200" s="50">
        <f>IF(VLOOKUP(Table311[[#This Row],[Date]],'DB Details'!$A:$Q,12)=0,"",VLOOKUP(Table311[[#This Row],[Date]],'DB Details'!$A:$Q,12))</f>
        <v/>
      </c>
      <c r="C200" s="61">
        <f>IF(VLOOKUP(Table311[[#This Row],[Date]],'DB Details'!$A:$Q,16)=0,"",VLOOKUP(Table311[[#This Row],[Date]],'DB Details'!$A:$Q,16))</f>
        <v/>
      </c>
      <c r="D200" s="61">
        <f>IF(VLOOKUP(Table311[[#This Row],[Date]],'DB Details'!$A:$Q,15)=0,"",VLOOKUP(Table311[[#This Row],[Date]],'DB Details'!$A:$Q,15))</f>
        <v/>
      </c>
      <c r="E200" s="61">
        <f>IF(VLOOKUP(Table311[[#This Row],[Date]],'DB Details'!$A:$Q,17)=0,"",VLOOKUP(Table311[[#This Row],[Date]],'DB Details'!$A:$Q,17))</f>
        <v/>
      </c>
    </row>
    <row r="201">
      <c r="A201" s="60" t="n">
        <v>41548</v>
      </c>
      <c r="B201" s="50">
        <f>IF(VLOOKUP(Table311[[#This Row],[Date]],'DB Details'!$A:$Q,12)=0,"",VLOOKUP(Table311[[#This Row],[Date]],'DB Details'!$A:$Q,12))</f>
        <v/>
      </c>
      <c r="C201" s="61">
        <f>IF(VLOOKUP(Table311[[#This Row],[Date]],'DB Details'!$A:$Q,16)=0,"",VLOOKUP(Table311[[#This Row],[Date]],'DB Details'!$A:$Q,16))</f>
        <v/>
      </c>
      <c r="D201" s="61">
        <f>IF(VLOOKUP(Table311[[#This Row],[Date]],'DB Details'!$A:$Q,15)=0,"",VLOOKUP(Table311[[#This Row],[Date]],'DB Details'!$A:$Q,15))</f>
        <v/>
      </c>
      <c r="E201" s="61">
        <f>IF(VLOOKUP(Table311[[#This Row],[Date]],'DB Details'!$A:$Q,17)=0,"",VLOOKUP(Table311[[#This Row],[Date]],'DB Details'!$A:$Q,17))</f>
        <v/>
      </c>
    </row>
    <row r="202">
      <c r="A202" s="60" t="n">
        <v>41579</v>
      </c>
      <c r="B202" s="50">
        <f>IF(VLOOKUP(Table311[[#This Row],[Date]],'DB Details'!$A:$Q,12)=0,"",VLOOKUP(Table311[[#This Row],[Date]],'DB Details'!$A:$Q,12))</f>
        <v/>
      </c>
      <c r="C202" s="61">
        <f>IF(VLOOKUP(Table311[[#This Row],[Date]],'DB Details'!$A:$Q,16)=0,"",VLOOKUP(Table311[[#This Row],[Date]],'DB Details'!$A:$Q,16))</f>
        <v/>
      </c>
      <c r="D202" s="61">
        <f>IF(VLOOKUP(Table311[[#This Row],[Date]],'DB Details'!$A:$Q,15)=0,"",VLOOKUP(Table311[[#This Row],[Date]],'DB Details'!$A:$Q,15))</f>
        <v/>
      </c>
      <c r="E202" s="61">
        <f>IF(VLOOKUP(Table311[[#This Row],[Date]],'DB Details'!$A:$Q,17)=0,"",VLOOKUP(Table311[[#This Row],[Date]],'DB Details'!$A:$Q,17))</f>
        <v/>
      </c>
    </row>
    <row r="203">
      <c r="A203" s="60" t="n">
        <v>41609</v>
      </c>
      <c r="B203" s="50">
        <f>IF(VLOOKUP(Table311[[#This Row],[Date]],'DB Details'!$A:$Q,12)=0,"",VLOOKUP(Table311[[#This Row],[Date]],'DB Details'!$A:$Q,12))</f>
        <v/>
      </c>
      <c r="C203" s="61">
        <f>IF(VLOOKUP(Table311[[#This Row],[Date]],'DB Details'!$A:$Q,16)=0,"",VLOOKUP(Table311[[#This Row],[Date]],'DB Details'!$A:$Q,16))</f>
        <v/>
      </c>
      <c r="D203" s="61">
        <f>IF(VLOOKUP(Table311[[#This Row],[Date]],'DB Details'!$A:$Q,15)=0,"",VLOOKUP(Table311[[#This Row],[Date]],'DB Details'!$A:$Q,15))</f>
        <v/>
      </c>
      <c r="E203" s="61">
        <f>IF(VLOOKUP(Table311[[#This Row],[Date]],'DB Details'!$A:$Q,17)=0,"",VLOOKUP(Table311[[#This Row],[Date]],'DB Details'!$A:$Q,17))</f>
        <v/>
      </c>
    </row>
    <row r="204">
      <c r="A204" s="60" t="n">
        <v>41640</v>
      </c>
      <c r="B204" s="50">
        <f>IF(VLOOKUP(Table311[[#This Row],[Date]],'DB Details'!$A:$Q,12)=0,"",VLOOKUP(Table311[[#This Row],[Date]],'DB Details'!$A:$Q,12))</f>
        <v/>
      </c>
      <c r="C204" s="61">
        <f>IF(VLOOKUP(Table311[[#This Row],[Date]],'DB Details'!$A:$Q,16)=0,"",VLOOKUP(Table311[[#This Row],[Date]],'DB Details'!$A:$Q,16))</f>
        <v/>
      </c>
      <c r="D204" s="61">
        <f>IF(VLOOKUP(Table311[[#This Row],[Date]],'DB Details'!$A:$Q,15)=0,"",VLOOKUP(Table311[[#This Row],[Date]],'DB Details'!$A:$Q,15))</f>
        <v/>
      </c>
      <c r="E204" s="61">
        <f>IF(VLOOKUP(Table311[[#This Row],[Date]],'DB Details'!$A:$Q,17)=0,"",VLOOKUP(Table311[[#This Row],[Date]],'DB Details'!$A:$Q,17))</f>
        <v/>
      </c>
    </row>
    <row r="205">
      <c r="A205" s="60" t="n">
        <v>41671</v>
      </c>
      <c r="B205" s="50">
        <f>IF(VLOOKUP(Table311[[#This Row],[Date]],'DB Details'!$A:$Q,12)=0,"",VLOOKUP(Table311[[#This Row],[Date]],'DB Details'!$A:$Q,12))</f>
        <v/>
      </c>
      <c r="C205" s="61">
        <f>IF(VLOOKUP(Table311[[#This Row],[Date]],'DB Details'!$A:$Q,16)=0,"",VLOOKUP(Table311[[#This Row],[Date]],'DB Details'!$A:$Q,16))</f>
        <v/>
      </c>
      <c r="D205" s="61">
        <f>IF(VLOOKUP(Table311[[#This Row],[Date]],'DB Details'!$A:$Q,15)=0,"",VLOOKUP(Table311[[#This Row],[Date]],'DB Details'!$A:$Q,15))</f>
        <v/>
      </c>
      <c r="E205" s="61">
        <f>IF(VLOOKUP(Table311[[#This Row],[Date]],'DB Details'!$A:$Q,17)=0,"",VLOOKUP(Table311[[#This Row],[Date]],'DB Details'!$A:$Q,17))</f>
        <v/>
      </c>
    </row>
    <row r="206">
      <c r="A206" s="60" t="n">
        <v>41699</v>
      </c>
      <c r="B206" s="50">
        <f>IF(VLOOKUP(Table311[[#This Row],[Date]],'DB Details'!$A:$Q,12)=0,"",VLOOKUP(Table311[[#This Row],[Date]],'DB Details'!$A:$Q,12))</f>
        <v/>
      </c>
      <c r="C206" s="61">
        <f>IF(VLOOKUP(Table311[[#This Row],[Date]],'DB Details'!$A:$Q,16)=0,"",VLOOKUP(Table311[[#This Row],[Date]],'DB Details'!$A:$Q,16))</f>
        <v/>
      </c>
      <c r="D206" s="61">
        <f>IF(VLOOKUP(Table311[[#This Row],[Date]],'DB Details'!$A:$Q,15)=0,"",VLOOKUP(Table311[[#This Row],[Date]],'DB Details'!$A:$Q,15))</f>
        <v/>
      </c>
      <c r="E206" s="61">
        <f>IF(VLOOKUP(Table311[[#This Row],[Date]],'DB Details'!$A:$Q,17)=0,"",VLOOKUP(Table311[[#This Row],[Date]],'DB Details'!$A:$Q,17))</f>
        <v/>
      </c>
    </row>
    <row r="207">
      <c r="A207" s="60" t="n">
        <v>41730</v>
      </c>
      <c r="B207" s="50">
        <f>IF(VLOOKUP(Table311[[#This Row],[Date]],'DB Details'!$A:$Q,12)=0,"",VLOOKUP(Table311[[#This Row],[Date]],'DB Details'!$A:$Q,12))</f>
        <v/>
      </c>
      <c r="C207" s="61">
        <f>IF(VLOOKUP(Table311[[#This Row],[Date]],'DB Details'!$A:$Q,16)=0,"",VLOOKUP(Table311[[#This Row],[Date]],'DB Details'!$A:$Q,16))</f>
        <v/>
      </c>
      <c r="D207" s="61">
        <f>IF(VLOOKUP(Table311[[#This Row],[Date]],'DB Details'!$A:$Q,15)=0,"",VLOOKUP(Table311[[#This Row],[Date]],'DB Details'!$A:$Q,15))</f>
        <v/>
      </c>
      <c r="E207" s="61">
        <f>IF(VLOOKUP(Table311[[#This Row],[Date]],'DB Details'!$A:$Q,17)=0,"",VLOOKUP(Table311[[#This Row],[Date]],'DB Details'!$A:$Q,17))</f>
        <v/>
      </c>
    </row>
    <row r="208">
      <c r="A208" s="60" t="n">
        <v>41760</v>
      </c>
      <c r="B208" s="50">
        <f>IF(VLOOKUP(Table311[[#This Row],[Date]],'DB Details'!$A:$Q,12)=0,"",VLOOKUP(Table311[[#This Row],[Date]],'DB Details'!$A:$Q,12))</f>
        <v/>
      </c>
      <c r="C208" s="61">
        <f>IF(VLOOKUP(Table311[[#This Row],[Date]],'DB Details'!$A:$Q,16)=0,"",VLOOKUP(Table311[[#This Row],[Date]],'DB Details'!$A:$Q,16))</f>
        <v/>
      </c>
      <c r="D208" s="61">
        <f>IF(VLOOKUP(Table311[[#This Row],[Date]],'DB Details'!$A:$Q,15)=0,"",VLOOKUP(Table311[[#This Row],[Date]],'DB Details'!$A:$Q,15))</f>
        <v/>
      </c>
      <c r="E208" s="61">
        <f>IF(VLOOKUP(Table311[[#This Row],[Date]],'DB Details'!$A:$Q,17)=0,"",VLOOKUP(Table311[[#This Row],[Date]],'DB Details'!$A:$Q,17))</f>
        <v/>
      </c>
    </row>
    <row r="209">
      <c r="A209" s="60" t="n">
        <v>41791</v>
      </c>
      <c r="B209" s="50">
        <f>IF(VLOOKUP(Table311[[#This Row],[Date]],'DB Details'!$A:$Q,12)=0,"",VLOOKUP(Table311[[#This Row],[Date]],'DB Details'!$A:$Q,12))</f>
        <v/>
      </c>
      <c r="C209" s="61">
        <f>IF(VLOOKUP(Table311[[#This Row],[Date]],'DB Details'!$A:$Q,16)=0,"",VLOOKUP(Table311[[#This Row],[Date]],'DB Details'!$A:$Q,16))</f>
        <v/>
      </c>
      <c r="D209" s="61">
        <f>IF(VLOOKUP(Table311[[#This Row],[Date]],'DB Details'!$A:$Q,15)=0,"",VLOOKUP(Table311[[#This Row],[Date]],'DB Details'!$A:$Q,15))</f>
        <v/>
      </c>
      <c r="E209" s="61">
        <f>IF(VLOOKUP(Table311[[#This Row],[Date]],'DB Details'!$A:$Q,17)=0,"",VLOOKUP(Table311[[#This Row],[Date]],'DB Details'!$A:$Q,17))</f>
        <v/>
      </c>
    </row>
    <row r="210">
      <c r="A210" s="60" t="n">
        <v>41821</v>
      </c>
      <c r="B210" s="50">
        <f>IF(VLOOKUP(Table311[[#This Row],[Date]],'DB Details'!$A:$Q,12)=0,"",VLOOKUP(Table311[[#This Row],[Date]],'DB Details'!$A:$Q,12))</f>
        <v/>
      </c>
      <c r="C210" s="61">
        <f>IF(VLOOKUP(Table311[[#This Row],[Date]],'DB Details'!$A:$Q,16)=0,"",VLOOKUP(Table311[[#This Row],[Date]],'DB Details'!$A:$Q,16))</f>
        <v/>
      </c>
      <c r="D210" s="61">
        <f>IF(VLOOKUP(Table311[[#This Row],[Date]],'DB Details'!$A:$Q,15)=0,"",VLOOKUP(Table311[[#This Row],[Date]],'DB Details'!$A:$Q,15))</f>
        <v/>
      </c>
      <c r="E210" s="61">
        <f>IF(VLOOKUP(Table311[[#This Row],[Date]],'DB Details'!$A:$Q,17)=0,"",VLOOKUP(Table311[[#This Row],[Date]],'DB Details'!$A:$Q,17))</f>
        <v/>
      </c>
    </row>
    <row r="211">
      <c r="A211" s="60" t="n">
        <v>41852</v>
      </c>
      <c r="B211" s="50">
        <f>IF(VLOOKUP(Table311[[#This Row],[Date]],'DB Details'!$A:$Q,12)=0,"",VLOOKUP(Table311[[#This Row],[Date]],'DB Details'!$A:$Q,12))</f>
        <v/>
      </c>
      <c r="C211" s="61">
        <f>IF(VLOOKUP(Table311[[#This Row],[Date]],'DB Details'!$A:$Q,16)=0,"",VLOOKUP(Table311[[#This Row],[Date]],'DB Details'!$A:$Q,16))</f>
        <v/>
      </c>
      <c r="D211" s="61">
        <f>IF(VLOOKUP(Table311[[#This Row],[Date]],'DB Details'!$A:$Q,15)=0,"",VLOOKUP(Table311[[#This Row],[Date]],'DB Details'!$A:$Q,15))</f>
        <v/>
      </c>
      <c r="E211" s="61">
        <f>IF(VLOOKUP(Table311[[#This Row],[Date]],'DB Details'!$A:$Q,17)=0,"",VLOOKUP(Table311[[#This Row],[Date]],'DB Details'!$A:$Q,17))</f>
        <v/>
      </c>
    </row>
    <row r="212">
      <c r="A212" s="60" t="n">
        <v>41883</v>
      </c>
      <c r="B212" s="50">
        <f>IF(VLOOKUP(Table311[[#This Row],[Date]],'DB Details'!$A:$Q,12)=0,"",VLOOKUP(Table311[[#This Row],[Date]],'DB Details'!$A:$Q,12))</f>
        <v/>
      </c>
      <c r="C212" s="61">
        <f>IF(VLOOKUP(Table311[[#This Row],[Date]],'DB Details'!$A:$Q,16)=0,"",VLOOKUP(Table311[[#This Row],[Date]],'DB Details'!$A:$Q,16))</f>
        <v/>
      </c>
      <c r="D212" s="61">
        <f>IF(VLOOKUP(Table311[[#This Row],[Date]],'DB Details'!$A:$Q,15)=0,"",VLOOKUP(Table311[[#This Row],[Date]],'DB Details'!$A:$Q,15))</f>
        <v/>
      </c>
      <c r="E212" s="61">
        <f>IF(VLOOKUP(Table311[[#This Row],[Date]],'DB Details'!$A:$Q,17)=0,"",VLOOKUP(Table311[[#This Row],[Date]],'DB Details'!$A:$Q,17))</f>
        <v/>
      </c>
    </row>
    <row r="213">
      <c r="A213" s="60" t="n">
        <v>41913</v>
      </c>
      <c r="B213" s="50">
        <f>IF(VLOOKUP(Table311[[#This Row],[Date]],'DB Details'!$A:$Q,12)=0,"",VLOOKUP(Table311[[#This Row],[Date]],'DB Details'!$A:$Q,12))</f>
        <v/>
      </c>
      <c r="C213" s="61">
        <f>IF(VLOOKUP(Table311[[#This Row],[Date]],'DB Details'!$A:$Q,16)=0,"",VLOOKUP(Table311[[#This Row],[Date]],'DB Details'!$A:$Q,16))</f>
        <v/>
      </c>
      <c r="D213" s="61">
        <f>IF(VLOOKUP(Table311[[#This Row],[Date]],'DB Details'!$A:$Q,15)=0,"",VLOOKUP(Table311[[#This Row],[Date]],'DB Details'!$A:$Q,15))</f>
        <v/>
      </c>
      <c r="E213" s="61">
        <f>IF(VLOOKUP(Table311[[#This Row],[Date]],'DB Details'!$A:$Q,17)=0,"",VLOOKUP(Table311[[#This Row],[Date]],'DB Details'!$A:$Q,17))</f>
        <v/>
      </c>
    </row>
    <row r="214">
      <c r="A214" s="60" t="n">
        <v>41944</v>
      </c>
      <c r="B214" s="50">
        <f>IF(VLOOKUP(Table311[[#This Row],[Date]],'DB Details'!$A:$Q,12)=0,"",VLOOKUP(Table311[[#This Row],[Date]],'DB Details'!$A:$Q,12))</f>
        <v/>
      </c>
      <c r="C214" s="61">
        <f>IF(VLOOKUP(Table311[[#This Row],[Date]],'DB Details'!$A:$Q,16)=0,"",VLOOKUP(Table311[[#This Row],[Date]],'DB Details'!$A:$Q,16))</f>
        <v/>
      </c>
      <c r="D214" s="61">
        <f>IF(VLOOKUP(Table311[[#This Row],[Date]],'DB Details'!$A:$Q,15)=0,"",VLOOKUP(Table311[[#This Row],[Date]],'DB Details'!$A:$Q,15))</f>
        <v/>
      </c>
      <c r="E214" s="61">
        <f>IF(VLOOKUP(Table311[[#This Row],[Date]],'DB Details'!$A:$Q,17)=0,"",VLOOKUP(Table311[[#This Row],[Date]],'DB Details'!$A:$Q,17))</f>
        <v/>
      </c>
    </row>
    <row r="215">
      <c r="A215" s="60" t="n">
        <v>41974</v>
      </c>
      <c r="B215" s="50">
        <f>IF(VLOOKUP(Table311[[#This Row],[Date]],'DB Details'!$A:$Q,12)=0,"",VLOOKUP(Table311[[#This Row],[Date]],'DB Details'!$A:$Q,12))</f>
        <v/>
      </c>
      <c r="C215" s="61">
        <f>IF(VLOOKUP(Table311[[#This Row],[Date]],'DB Details'!$A:$Q,16)=0,"",VLOOKUP(Table311[[#This Row],[Date]],'DB Details'!$A:$Q,16))</f>
        <v/>
      </c>
      <c r="D215" s="61">
        <f>IF(VLOOKUP(Table311[[#This Row],[Date]],'DB Details'!$A:$Q,15)=0,"",VLOOKUP(Table311[[#This Row],[Date]],'DB Details'!$A:$Q,15))</f>
        <v/>
      </c>
      <c r="E215" s="61">
        <f>IF(VLOOKUP(Table311[[#This Row],[Date]],'DB Details'!$A:$Q,17)=0,"",VLOOKUP(Table311[[#This Row],[Date]],'DB Details'!$A:$Q,17))</f>
        <v/>
      </c>
    </row>
    <row r="216">
      <c r="A216" s="60" t="n">
        <v>42005</v>
      </c>
      <c r="B216" s="50">
        <f>IF(VLOOKUP(Table311[[#This Row],[Date]],'DB Details'!$A:$Q,12)=0,"",VLOOKUP(Table311[[#This Row],[Date]],'DB Details'!$A:$Q,12))</f>
        <v/>
      </c>
      <c r="C216" s="61">
        <f>IF(VLOOKUP(Table311[[#This Row],[Date]],'DB Details'!$A:$Q,16)=0,"",VLOOKUP(Table311[[#This Row],[Date]],'DB Details'!$A:$Q,16))</f>
        <v/>
      </c>
      <c r="D216" s="61">
        <f>IF(VLOOKUP(Table311[[#This Row],[Date]],'DB Details'!$A:$Q,15)=0,"",VLOOKUP(Table311[[#This Row],[Date]],'DB Details'!$A:$Q,15))</f>
        <v/>
      </c>
      <c r="E216" s="61">
        <f>IF(VLOOKUP(Table311[[#This Row],[Date]],'DB Details'!$A:$Q,17)=0,"",VLOOKUP(Table311[[#This Row],[Date]],'DB Details'!$A:$Q,17))</f>
        <v/>
      </c>
    </row>
    <row r="217">
      <c r="A217" s="60" t="n">
        <v>42036</v>
      </c>
      <c r="B217" s="50">
        <f>IF(VLOOKUP(Table311[[#This Row],[Date]],'DB Details'!$A:$Q,12)=0,"",VLOOKUP(Table311[[#This Row],[Date]],'DB Details'!$A:$Q,12))</f>
        <v/>
      </c>
      <c r="C217" s="61">
        <f>IF(VLOOKUP(Table311[[#This Row],[Date]],'DB Details'!$A:$Q,16)=0,"",VLOOKUP(Table311[[#This Row],[Date]],'DB Details'!$A:$Q,16))</f>
        <v/>
      </c>
      <c r="D217" s="61">
        <f>IF(VLOOKUP(Table311[[#This Row],[Date]],'DB Details'!$A:$Q,15)=0,"",VLOOKUP(Table311[[#This Row],[Date]],'DB Details'!$A:$Q,15))</f>
        <v/>
      </c>
      <c r="E217" s="61">
        <f>IF(VLOOKUP(Table311[[#This Row],[Date]],'DB Details'!$A:$Q,17)=0,"",VLOOKUP(Table311[[#This Row],[Date]],'DB Details'!$A:$Q,17))</f>
        <v/>
      </c>
    </row>
    <row r="218">
      <c r="A218" s="60" t="n">
        <v>42064</v>
      </c>
      <c r="B218" s="50">
        <f>IF(VLOOKUP(Table311[[#This Row],[Date]],'DB Details'!$A:$Q,12)=0,"",VLOOKUP(Table311[[#This Row],[Date]],'DB Details'!$A:$Q,12))</f>
        <v/>
      </c>
      <c r="C218" s="61">
        <f>IF(VLOOKUP(Table311[[#This Row],[Date]],'DB Details'!$A:$Q,16)=0,"",VLOOKUP(Table311[[#This Row],[Date]],'DB Details'!$A:$Q,16))</f>
        <v/>
      </c>
      <c r="D218" s="61">
        <f>IF(VLOOKUP(Table311[[#This Row],[Date]],'DB Details'!$A:$Q,15)=0,"",VLOOKUP(Table311[[#This Row],[Date]],'DB Details'!$A:$Q,15))</f>
        <v/>
      </c>
      <c r="E218" s="61">
        <f>IF(VLOOKUP(Table311[[#This Row],[Date]],'DB Details'!$A:$Q,17)=0,"",VLOOKUP(Table311[[#This Row],[Date]],'DB Details'!$A:$Q,17))</f>
        <v/>
      </c>
    </row>
    <row r="219">
      <c r="A219" s="60" t="n">
        <v>42095</v>
      </c>
      <c r="B219" s="50">
        <f>IF(VLOOKUP(Table311[[#This Row],[Date]],'DB Details'!$A:$Q,12)=0,"",VLOOKUP(Table311[[#This Row],[Date]],'DB Details'!$A:$Q,12))</f>
        <v/>
      </c>
      <c r="C219" s="61">
        <f>IF(VLOOKUP(Table311[[#This Row],[Date]],'DB Details'!$A:$Q,16)=0,"",VLOOKUP(Table311[[#This Row],[Date]],'DB Details'!$A:$Q,16))</f>
        <v/>
      </c>
      <c r="D219" s="61">
        <f>IF(VLOOKUP(Table311[[#This Row],[Date]],'DB Details'!$A:$Q,15)=0,"",VLOOKUP(Table311[[#This Row],[Date]],'DB Details'!$A:$Q,15))</f>
        <v/>
      </c>
      <c r="E219" s="61">
        <f>IF(VLOOKUP(Table311[[#This Row],[Date]],'DB Details'!$A:$Q,17)=0,"",VLOOKUP(Table311[[#This Row],[Date]],'DB Details'!$A:$Q,17))</f>
        <v/>
      </c>
    </row>
    <row r="220">
      <c r="A220" s="60" t="n">
        <v>42125</v>
      </c>
      <c r="B220" s="50">
        <f>IF(VLOOKUP(Table311[[#This Row],[Date]],'DB Details'!$A:$Q,12)=0,"",VLOOKUP(Table311[[#This Row],[Date]],'DB Details'!$A:$Q,12))</f>
        <v/>
      </c>
      <c r="C220" s="61">
        <f>IF(VLOOKUP(Table311[[#This Row],[Date]],'DB Details'!$A:$Q,16)=0,"",VLOOKUP(Table311[[#This Row],[Date]],'DB Details'!$A:$Q,16))</f>
        <v/>
      </c>
      <c r="D220" s="61">
        <f>IF(VLOOKUP(Table311[[#This Row],[Date]],'DB Details'!$A:$Q,15)=0,"",VLOOKUP(Table311[[#This Row],[Date]],'DB Details'!$A:$Q,15))</f>
        <v/>
      </c>
      <c r="E220" s="61">
        <f>IF(VLOOKUP(Table311[[#This Row],[Date]],'DB Details'!$A:$Q,17)=0,"",VLOOKUP(Table311[[#This Row],[Date]],'DB Details'!$A:$Q,17))</f>
        <v/>
      </c>
    </row>
    <row r="221">
      <c r="A221" s="60" t="n">
        <v>42156</v>
      </c>
      <c r="B221" s="50">
        <f>IF(VLOOKUP(Table311[[#This Row],[Date]],'DB Details'!$A:$Q,12)=0,"",VLOOKUP(Table311[[#This Row],[Date]],'DB Details'!$A:$Q,12))</f>
        <v/>
      </c>
      <c r="C221" s="61">
        <f>IF(VLOOKUP(Table311[[#This Row],[Date]],'DB Details'!$A:$Q,16)=0,"",VLOOKUP(Table311[[#This Row],[Date]],'DB Details'!$A:$Q,16))</f>
        <v/>
      </c>
      <c r="D221" s="61">
        <f>IF(VLOOKUP(Table311[[#This Row],[Date]],'DB Details'!$A:$Q,15)=0,"",VLOOKUP(Table311[[#This Row],[Date]],'DB Details'!$A:$Q,15))</f>
        <v/>
      </c>
      <c r="E221" s="61">
        <f>IF(VLOOKUP(Table311[[#This Row],[Date]],'DB Details'!$A:$Q,17)=0,"",VLOOKUP(Table311[[#This Row],[Date]],'DB Details'!$A:$Q,17))</f>
        <v/>
      </c>
    </row>
    <row r="222">
      <c r="A222" s="60" t="n">
        <v>42186</v>
      </c>
      <c r="B222" s="50">
        <f>IF(VLOOKUP(Table311[[#This Row],[Date]],'DB Details'!$A:$Q,12)=0,"",VLOOKUP(Table311[[#This Row],[Date]],'DB Details'!$A:$Q,12))</f>
        <v/>
      </c>
      <c r="C222" s="61">
        <f>IF(VLOOKUP(Table311[[#This Row],[Date]],'DB Details'!$A:$Q,16)=0,"",VLOOKUP(Table311[[#This Row],[Date]],'DB Details'!$A:$Q,16))</f>
        <v/>
      </c>
      <c r="D222" s="61">
        <f>IF(VLOOKUP(Table311[[#This Row],[Date]],'DB Details'!$A:$Q,15)=0,"",VLOOKUP(Table311[[#This Row],[Date]],'DB Details'!$A:$Q,15))</f>
        <v/>
      </c>
      <c r="E222" s="61">
        <f>IF(VLOOKUP(Table311[[#This Row],[Date]],'DB Details'!$A:$Q,17)=0,"",VLOOKUP(Table311[[#This Row],[Date]],'DB Details'!$A:$Q,17))</f>
        <v/>
      </c>
    </row>
    <row r="223">
      <c r="A223" s="60" t="n">
        <v>42217</v>
      </c>
      <c r="B223" s="50">
        <f>IF(VLOOKUP(Table311[[#This Row],[Date]],'DB Details'!$A:$Q,12)=0,"",VLOOKUP(Table311[[#This Row],[Date]],'DB Details'!$A:$Q,12))</f>
        <v/>
      </c>
      <c r="C223" s="61">
        <f>IF(VLOOKUP(Table311[[#This Row],[Date]],'DB Details'!$A:$Q,16)=0,"",VLOOKUP(Table311[[#This Row],[Date]],'DB Details'!$A:$Q,16))</f>
        <v/>
      </c>
      <c r="D223" s="61">
        <f>IF(VLOOKUP(Table311[[#This Row],[Date]],'DB Details'!$A:$Q,15)=0,"",VLOOKUP(Table311[[#This Row],[Date]],'DB Details'!$A:$Q,15))</f>
        <v/>
      </c>
      <c r="E223" s="61">
        <f>IF(VLOOKUP(Table311[[#This Row],[Date]],'DB Details'!$A:$Q,17)=0,"",VLOOKUP(Table311[[#This Row],[Date]],'DB Details'!$A:$Q,17))</f>
        <v/>
      </c>
    </row>
    <row r="224">
      <c r="A224" s="60" t="n">
        <v>42248</v>
      </c>
      <c r="B224" s="50">
        <f>IF(VLOOKUP(Table311[[#This Row],[Date]],'DB Details'!$A:$Q,12)=0,"",VLOOKUP(Table311[[#This Row],[Date]],'DB Details'!$A:$Q,12))</f>
        <v/>
      </c>
      <c r="C224" s="61">
        <f>IF(VLOOKUP(Table311[[#This Row],[Date]],'DB Details'!$A:$Q,16)=0,"",VLOOKUP(Table311[[#This Row],[Date]],'DB Details'!$A:$Q,16))</f>
        <v/>
      </c>
      <c r="D224" s="61">
        <f>IF(VLOOKUP(Table311[[#This Row],[Date]],'DB Details'!$A:$Q,15)=0,"",VLOOKUP(Table311[[#This Row],[Date]],'DB Details'!$A:$Q,15))</f>
        <v/>
      </c>
      <c r="E224" s="61">
        <f>IF(VLOOKUP(Table311[[#This Row],[Date]],'DB Details'!$A:$Q,17)=0,"",VLOOKUP(Table311[[#This Row],[Date]],'DB Details'!$A:$Q,17))</f>
        <v/>
      </c>
    </row>
    <row r="225">
      <c r="A225" s="60" t="n">
        <v>42278</v>
      </c>
      <c r="B225" s="50">
        <f>IF(VLOOKUP(Table311[[#This Row],[Date]],'DB Details'!$A:$Q,12)=0,"",VLOOKUP(Table311[[#This Row],[Date]],'DB Details'!$A:$Q,12))</f>
        <v/>
      </c>
      <c r="C225" s="61">
        <f>IF(VLOOKUP(Table311[[#This Row],[Date]],'DB Details'!$A:$Q,16)=0,"",VLOOKUP(Table311[[#This Row],[Date]],'DB Details'!$A:$Q,16))</f>
        <v/>
      </c>
      <c r="D225" s="61">
        <f>IF(VLOOKUP(Table311[[#This Row],[Date]],'DB Details'!$A:$Q,15)=0,"",VLOOKUP(Table311[[#This Row],[Date]],'DB Details'!$A:$Q,15))</f>
        <v/>
      </c>
      <c r="E225" s="61">
        <f>IF(VLOOKUP(Table311[[#This Row],[Date]],'DB Details'!$A:$Q,17)=0,"",VLOOKUP(Table311[[#This Row],[Date]],'DB Details'!$A:$Q,17))</f>
        <v/>
      </c>
    </row>
    <row r="226">
      <c r="A226" s="60" t="n">
        <v>42309</v>
      </c>
      <c r="B226" s="50">
        <f>IF(VLOOKUP(Table311[[#This Row],[Date]],'DB Details'!$A:$Q,12)=0,"",VLOOKUP(Table311[[#This Row],[Date]],'DB Details'!$A:$Q,12))</f>
        <v/>
      </c>
      <c r="C226" s="61">
        <f>IF(VLOOKUP(Table311[[#This Row],[Date]],'DB Details'!$A:$Q,16)=0,"",VLOOKUP(Table311[[#This Row],[Date]],'DB Details'!$A:$Q,16))</f>
        <v/>
      </c>
      <c r="D226" s="61">
        <f>IF(VLOOKUP(Table311[[#This Row],[Date]],'DB Details'!$A:$Q,15)=0,"",VLOOKUP(Table311[[#This Row],[Date]],'DB Details'!$A:$Q,15))</f>
        <v/>
      </c>
      <c r="E226" s="61">
        <f>IF(VLOOKUP(Table311[[#This Row],[Date]],'DB Details'!$A:$Q,17)=0,"",VLOOKUP(Table311[[#This Row],[Date]],'DB Details'!$A:$Q,17))</f>
        <v/>
      </c>
    </row>
    <row r="227">
      <c r="A227" s="60" t="n">
        <v>42339</v>
      </c>
      <c r="B227" s="50">
        <f>IF(VLOOKUP(Table311[[#This Row],[Date]],'DB Details'!$A:$Q,12)=0,"",VLOOKUP(Table311[[#This Row],[Date]],'DB Details'!$A:$Q,12))</f>
        <v/>
      </c>
      <c r="C227" s="61">
        <f>IF(VLOOKUP(Table311[[#This Row],[Date]],'DB Details'!$A:$Q,16)=0,"",VLOOKUP(Table311[[#This Row],[Date]],'DB Details'!$A:$Q,16))</f>
        <v/>
      </c>
      <c r="D227" s="61">
        <f>IF(VLOOKUP(Table311[[#This Row],[Date]],'DB Details'!$A:$Q,15)=0,"",VLOOKUP(Table311[[#This Row],[Date]],'DB Details'!$A:$Q,15))</f>
        <v/>
      </c>
      <c r="E227" s="61">
        <f>IF(VLOOKUP(Table311[[#This Row],[Date]],'DB Details'!$A:$Q,17)=0,"",VLOOKUP(Table311[[#This Row],[Date]],'DB Details'!$A:$Q,17))</f>
        <v/>
      </c>
    </row>
    <row r="228">
      <c r="A228" s="60" t="n">
        <v>42370</v>
      </c>
      <c r="B228" s="50">
        <f>IF(VLOOKUP(Table311[[#This Row],[Date]],'DB Details'!$A:$Q,12)=0,"",VLOOKUP(Table311[[#This Row],[Date]],'DB Details'!$A:$Q,12))</f>
        <v/>
      </c>
      <c r="C228" s="61">
        <f>IF(VLOOKUP(Table311[[#This Row],[Date]],'DB Details'!$A:$Q,16)=0,"",VLOOKUP(Table311[[#This Row],[Date]],'DB Details'!$A:$Q,16))</f>
        <v/>
      </c>
      <c r="D228" s="61">
        <f>IF(VLOOKUP(Table311[[#This Row],[Date]],'DB Details'!$A:$Q,15)=0,"",VLOOKUP(Table311[[#This Row],[Date]],'DB Details'!$A:$Q,15))</f>
        <v/>
      </c>
      <c r="E228" s="61">
        <f>IF(VLOOKUP(Table311[[#This Row],[Date]],'DB Details'!$A:$Q,17)=0,"",VLOOKUP(Table311[[#This Row],[Date]],'DB Details'!$A:$Q,17))</f>
        <v/>
      </c>
    </row>
    <row r="229">
      <c r="A229" s="60" t="n">
        <v>42401</v>
      </c>
      <c r="B229" s="50">
        <f>IF(VLOOKUP(Table311[[#This Row],[Date]],'DB Details'!$A:$Q,12)=0,"",VLOOKUP(Table311[[#This Row],[Date]],'DB Details'!$A:$Q,12))</f>
        <v/>
      </c>
      <c r="C229" s="61">
        <f>IF(VLOOKUP(Table311[[#This Row],[Date]],'DB Details'!$A:$Q,16)=0,"",VLOOKUP(Table311[[#This Row],[Date]],'DB Details'!$A:$Q,16))</f>
        <v/>
      </c>
      <c r="D229" s="61">
        <f>IF(VLOOKUP(Table311[[#This Row],[Date]],'DB Details'!$A:$Q,15)=0,"",VLOOKUP(Table311[[#This Row],[Date]],'DB Details'!$A:$Q,15))</f>
        <v/>
      </c>
      <c r="E229" s="61">
        <f>IF(VLOOKUP(Table311[[#This Row],[Date]],'DB Details'!$A:$Q,17)=0,"",VLOOKUP(Table311[[#This Row],[Date]],'DB Details'!$A:$Q,17))</f>
        <v/>
      </c>
    </row>
    <row r="230">
      <c r="A230" s="60" t="n">
        <v>42430</v>
      </c>
      <c r="B230" s="50">
        <f>IF(VLOOKUP(Table311[[#This Row],[Date]],'DB Details'!$A:$Q,12)=0,"",VLOOKUP(Table311[[#This Row],[Date]],'DB Details'!$A:$Q,12))</f>
        <v/>
      </c>
      <c r="C230" s="61">
        <f>IF(VLOOKUP(Table311[[#This Row],[Date]],'DB Details'!$A:$Q,16)=0,"",VLOOKUP(Table311[[#This Row],[Date]],'DB Details'!$A:$Q,16))</f>
        <v/>
      </c>
      <c r="D230" s="61">
        <f>IF(VLOOKUP(Table311[[#This Row],[Date]],'DB Details'!$A:$Q,15)=0,"",VLOOKUP(Table311[[#This Row],[Date]],'DB Details'!$A:$Q,15))</f>
        <v/>
      </c>
      <c r="E230" s="61">
        <f>IF(VLOOKUP(Table311[[#This Row],[Date]],'DB Details'!$A:$Q,17)=0,"",VLOOKUP(Table311[[#This Row],[Date]],'DB Details'!$A:$Q,17))</f>
        <v/>
      </c>
    </row>
    <row r="231">
      <c r="A231" s="60" t="n">
        <v>42461</v>
      </c>
      <c r="B231" s="50">
        <f>IF(VLOOKUP(Table311[[#This Row],[Date]],'DB Details'!$A:$Q,12)=0,"",VLOOKUP(Table311[[#This Row],[Date]],'DB Details'!$A:$Q,12))</f>
        <v/>
      </c>
      <c r="C231" s="61">
        <f>IF(VLOOKUP(Table311[[#This Row],[Date]],'DB Details'!$A:$Q,16)=0,"",VLOOKUP(Table311[[#This Row],[Date]],'DB Details'!$A:$Q,16))</f>
        <v/>
      </c>
      <c r="D231" s="61">
        <f>IF(VLOOKUP(Table311[[#This Row],[Date]],'DB Details'!$A:$Q,15)=0,"",VLOOKUP(Table311[[#This Row],[Date]],'DB Details'!$A:$Q,15))</f>
        <v/>
      </c>
      <c r="E231" s="61">
        <f>IF(VLOOKUP(Table311[[#This Row],[Date]],'DB Details'!$A:$Q,17)=0,"",VLOOKUP(Table311[[#This Row],[Date]],'DB Details'!$A:$Q,17))</f>
        <v/>
      </c>
    </row>
    <row r="232">
      <c r="A232" s="60" t="n">
        <v>42491</v>
      </c>
      <c r="B232" s="50">
        <f>IF(VLOOKUP(Table311[[#This Row],[Date]],'DB Details'!$A:$Q,12)=0,"",VLOOKUP(Table311[[#This Row],[Date]],'DB Details'!$A:$Q,12))</f>
        <v/>
      </c>
      <c r="C232" s="61">
        <f>IF(VLOOKUP(Table311[[#This Row],[Date]],'DB Details'!$A:$Q,16)=0,"",VLOOKUP(Table311[[#This Row],[Date]],'DB Details'!$A:$Q,16))</f>
        <v/>
      </c>
      <c r="D232" s="61">
        <f>IF(VLOOKUP(Table311[[#This Row],[Date]],'DB Details'!$A:$Q,15)=0,"",VLOOKUP(Table311[[#This Row],[Date]],'DB Details'!$A:$Q,15))</f>
        <v/>
      </c>
      <c r="E232" s="61">
        <f>IF(VLOOKUP(Table311[[#This Row],[Date]],'DB Details'!$A:$Q,17)=0,"",VLOOKUP(Table311[[#This Row],[Date]],'DB Details'!$A:$Q,17))</f>
        <v/>
      </c>
    </row>
    <row r="233">
      <c r="A233" s="60" t="n">
        <v>42522</v>
      </c>
      <c r="B233" s="50">
        <f>IF(VLOOKUP(Table311[[#This Row],[Date]],'DB Details'!$A:$Q,12)=0,"",VLOOKUP(Table311[[#This Row],[Date]],'DB Details'!$A:$Q,12))</f>
        <v/>
      </c>
      <c r="C233" s="61">
        <f>IF(VLOOKUP(Table311[[#This Row],[Date]],'DB Details'!$A:$Q,16)=0,"",VLOOKUP(Table311[[#This Row],[Date]],'DB Details'!$A:$Q,16))</f>
        <v/>
      </c>
      <c r="D233" s="61">
        <f>IF(VLOOKUP(Table311[[#This Row],[Date]],'DB Details'!$A:$Q,15)=0,"",VLOOKUP(Table311[[#This Row],[Date]],'DB Details'!$A:$Q,15))</f>
        <v/>
      </c>
      <c r="E233" s="61">
        <f>IF(VLOOKUP(Table311[[#This Row],[Date]],'DB Details'!$A:$Q,17)=0,"",VLOOKUP(Table311[[#This Row],[Date]],'DB Details'!$A:$Q,17))</f>
        <v/>
      </c>
    </row>
    <row r="234">
      <c r="A234" s="60" t="n">
        <v>42552</v>
      </c>
      <c r="B234" s="50">
        <f>IF(VLOOKUP(Table311[[#This Row],[Date]],'DB Details'!$A:$Q,12)=0,"",VLOOKUP(Table311[[#This Row],[Date]],'DB Details'!$A:$Q,12))</f>
        <v/>
      </c>
      <c r="C234" s="61">
        <f>IF(VLOOKUP(Table311[[#This Row],[Date]],'DB Details'!$A:$Q,16)=0,"",VLOOKUP(Table311[[#This Row],[Date]],'DB Details'!$A:$Q,16))</f>
        <v/>
      </c>
      <c r="D234" s="61">
        <f>IF(VLOOKUP(Table311[[#This Row],[Date]],'DB Details'!$A:$Q,15)=0,"",VLOOKUP(Table311[[#This Row],[Date]],'DB Details'!$A:$Q,15))</f>
        <v/>
      </c>
      <c r="E234" s="61">
        <f>IF(VLOOKUP(Table311[[#This Row],[Date]],'DB Details'!$A:$Q,17)=0,"",VLOOKUP(Table311[[#This Row],[Date]],'DB Details'!$A:$Q,17))</f>
        <v/>
      </c>
    </row>
    <row r="235">
      <c r="A235" s="60" t="n">
        <v>42583</v>
      </c>
      <c r="B235" s="50">
        <f>IF(VLOOKUP(Table311[[#This Row],[Date]],'DB Details'!$A:$Q,12)=0,"",VLOOKUP(Table311[[#This Row],[Date]],'DB Details'!$A:$Q,12))</f>
        <v/>
      </c>
      <c r="C235" s="61">
        <f>IF(VLOOKUP(Table311[[#This Row],[Date]],'DB Details'!$A:$Q,16)=0,"",VLOOKUP(Table311[[#This Row],[Date]],'DB Details'!$A:$Q,16))</f>
        <v/>
      </c>
      <c r="D235" s="61">
        <f>IF(VLOOKUP(Table311[[#This Row],[Date]],'DB Details'!$A:$Q,15)=0,"",VLOOKUP(Table311[[#This Row],[Date]],'DB Details'!$A:$Q,15))</f>
        <v/>
      </c>
      <c r="E235" s="61">
        <f>IF(VLOOKUP(Table311[[#This Row],[Date]],'DB Details'!$A:$Q,17)=0,"",VLOOKUP(Table311[[#This Row],[Date]],'DB Details'!$A:$Q,17))</f>
        <v/>
      </c>
    </row>
    <row r="236">
      <c r="A236" s="60" t="n">
        <v>42614</v>
      </c>
      <c r="B236" s="50">
        <f>IF(VLOOKUP(Table311[[#This Row],[Date]],'DB Details'!$A:$Q,12)=0,"",VLOOKUP(Table311[[#This Row],[Date]],'DB Details'!$A:$Q,12))</f>
        <v/>
      </c>
      <c r="C236" s="61">
        <f>IF(VLOOKUP(Table311[[#This Row],[Date]],'DB Details'!$A:$Q,16)=0,"",VLOOKUP(Table311[[#This Row],[Date]],'DB Details'!$A:$Q,16))</f>
        <v/>
      </c>
      <c r="D236" s="61">
        <f>IF(VLOOKUP(Table311[[#This Row],[Date]],'DB Details'!$A:$Q,15)=0,"",VLOOKUP(Table311[[#This Row],[Date]],'DB Details'!$A:$Q,15))</f>
        <v/>
      </c>
      <c r="E236" s="61">
        <f>IF(VLOOKUP(Table311[[#This Row],[Date]],'DB Details'!$A:$Q,17)=0,"",VLOOKUP(Table311[[#This Row],[Date]],'DB Details'!$A:$Q,17))</f>
        <v/>
      </c>
    </row>
    <row r="237">
      <c r="A237" s="60" t="n">
        <v>42644</v>
      </c>
      <c r="B237" s="50">
        <f>IF(VLOOKUP(Table311[[#This Row],[Date]],'DB Details'!$A:$Q,12)=0,"",VLOOKUP(Table311[[#This Row],[Date]],'DB Details'!$A:$Q,12))</f>
        <v/>
      </c>
      <c r="C237" s="61">
        <f>IF(VLOOKUP(Table311[[#This Row],[Date]],'DB Details'!$A:$Q,16)=0,"",VLOOKUP(Table311[[#This Row],[Date]],'DB Details'!$A:$Q,16))</f>
        <v/>
      </c>
      <c r="D237" s="61">
        <f>IF(VLOOKUP(Table311[[#This Row],[Date]],'DB Details'!$A:$Q,15)=0,"",VLOOKUP(Table311[[#This Row],[Date]],'DB Details'!$A:$Q,15))</f>
        <v/>
      </c>
      <c r="E237" s="61">
        <f>IF(VLOOKUP(Table311[[#This Row],[Date]],'DB Details'!$A:$Q,17)=0,"",VLOOKUP(Table311[[#This Row],[Date]],'DB Details'!$A:$Q,17))</f>
        <v/>
      </c>
    </row>
    <row r="238">
      <c r="A238" s="60" t="n">
        <v>42675</v>
      </c>
      <c r="B238" s="50">
        <f>IF(VLOOKUP(Table311[[#This Row],[Date]],'DB Details'!$A:$Q,12)=0,"",VLOOKUP(Table311[[#This Row],[Date]],'DB Details'!$A:$Q,12))</f>
        <v/>
      </c>
      <c r="C238" s="61">
        <f>IF(VLOOKUP(Table311[[#This Row],[Date]],'DB Details'!$A:$Q,16)=0,"",VLOOKUP(Table311[[#This Row],[Date]],'DB Details'!$A:$Q,16))</f>
        <v/>
      </c>
      <c r="D238" s="61">
        <f>IF(VLOOKUP(Table311[[#This Row],[Date]],'DB Details'!$A:$Q,15)=0,"",VLOOKUP(Table311[[#This Row],[Date]],'DB Details'!$A:$Q,15))</f>
        <v/>
      </c>
      <c r="E238" s="61">
        <f>IF(VLOOKUP(Table311[[#This Row],[Date]],'DB Details'!$A:$Q,17)=0,"",VLOOKUP(Table311[[#This Row],[Date]],'DB Details'!$A:$Q,17))</f>
        <v/>
      </c>
    </row>
    <row r="239">
      <c r="A239" s="60" t="n">
        <v>42705</v>
      </c>
      <c r="B239" s="50">
        <f>IF(VLOOKUP(Table311[[#This Row],[Date]],'DB Details'!$A:$Q,12)=0,"",VLOOKUP(Table311[[#This Row],[Date]],'DB Details'!$A:$Q,12))</f>
        <v/>
      </c>
      <c r="C239" s="61">
        <f>IF(VLOOKUP(Table311[[#This Row],[Date]],'DB Details'!$A:$Q,16)=0,"",VLOOKUP(Table311[[#This Row],[Date]],'DB Details'!$A:$Q,16))</f>
        <v/>
      </c>
      <c r="D239" s="61">
        <f>IF(VLOOKUP(Table311[[#This Row],[Date]],'DB Details'!$A:$Q,15)=0,"",VLOOKUP(Table311[[#This Row],[Date]],'DB Details'!$A:$Q,15))</f>
        <v/>
      </c>
      <c r="E239" s="61">
        <f>IF(VLOOKUP(Table311[[#This Row],[Date]],'DB Details'!$A:$Q,17)=0,"",VLOOKUP(Table311[[#This Row],[Date]],'DB Details'!$A:$Q,17))</f>
        <v/>
      </c>
    </row>
    <row r="240">
      <c r="A240" s="60" t="n">
        <v>42736</v>
      </c>
      <c r="B240" s="50">
        <f>IF(VLOOKUP(Table311[[#This Row],[Date]],'DB Details'!$A:$Q,12)=0,"",VLOOKUP(Table311[[#This Row],[Date]],'DB Details'!$A:$Q,12))</f>
        <v/>
      </c>
      <c r="C240" s="61">
        <f>IF(VLOOKUP(Table311[[#This Row],[Date]],'DB Details'!$A:$Q,16)=0,"",VLOOKUP(Table311[[#This Row],[Date]],'DB Details'!$A:$Q,16))</f>
        <v/>
      </c>
      <c r="D240" s="61">
        <f>IF(VLOOKUP(Table311[[#This Row],[Date]],'DB Details'!$A:$Q,15)=0,"",VLOOKUP(Table311[[#This Row],[Date]],'DB Details'!$A:$Q,15))</f>
        <v/>
      </c>
      <c r="E240" s="61">
        <f>IF(VLOOKUP(Table311[[#This Row],[Date]],'DB Details'!$A:$Q,17)=0,"",VLOOKUP(Table311[[#This Row],[Date]],'DB Details'!$A:$Q,17))</f>
        <v/>
      </c>
    </row>
    <row r="241">
      <c r="A241" s="60" t="n">
        <v>42767</v>
      </c>
      <c r="B241" s="50">
        <f>IF(VLOOKUP(Table311[[#This Row],[Date]],'DB Details'!$A:$Q,12)=0,"",VLOOKUP(Table311[[#This Row],[Date]],'DB Details'!$A:$Q,12))</f>
        <v/>
      </c>
      <c r="C241" s="61">
        <f>IF(VLOOKUP(Table311[[#This Row],[Date]],'DB Details'!$A:$Q,16)=0,"",VLOOKUP(Table311[[#This Row],[Date]],'DB Details'!$A:$Q,16))</f>
        <v/>
      </c>
      <c r="D241" s="61">
        <f>IF(VLOOKUP(Table311[[#This Row],[Date]],'DB Details'!$A:$Q,15)=0,"",VLOOKUP(Table311[[#This Row],[Date]],'DB Details'!$A:$Q,15))</f>
        <v/>
      </c>
      <c r="E241" s="61">
        <f>IF(VLOOKUP(Table311[[#This Row],[Date]],'DB Details'!$A:$Q,17)=0,"",VLOOKUP(Table311[[#This Row],[Date]],'DB Details'!$A:$Q,17))</f>
        <v/>
      </c>
    </row>
    <row r="242">
      <c r="A242" s="60" t="n">
        <v>42795</v>
      </c>
      <c r="B242" s="50">
        <f>IF(VLOOKUP(Table311[[#This Row],[Date]],'DB Details'!$A:$Q,12)=0,"",VLOOKUP(Table311[[#This Row],[Date]],'DB Details'!$A:$Q,12))</f>
        <v/>
      </c>
      <c r="C242" s="61">
        <f>IF(VLOOKUP(Table311[[#This Row],[Date]],'DB Details'!$A:$Q,16)=0,"",VLOOKUP(Table311[[#This Row],[Date]],'DB Details'!$A:$Q,16))</f>
        <v/>
      </c>
      <c r="D242" s="61">
        <f>IF(VLOOKUP(Table311[[#This Row],[Date]],'DB Details'!$A:$Q,15)=0,"",VLOOKUP(Table311[[#This Row],[Date]],'DB Details'!$A:$Q,15))</f>
        <v/>
      </c>
      <c r="E242" s="61">
        <f>IF(VLOOKUP(Table311[[#This Row],[Date]],'DB Details'!$A:$Q,17)=0,"",VLOOKUP(Table311[[#This Row],[Date]],'DB Details'!$A:$Q,17))</f>
        <v/>
      </c>
    </row>
    <row r="243">
      <c r="A243" s="60" t="n">
        <v>42826</v>
      </c>
      <c r="B243" s="50">
        <f>IF(VLOOKUP(Table311[[#This Row],[Date]],'DB Details'!$A:$Q,12)=0,"",VLOOKUP(Table311[[#This Row],[Date]],'DB Details'!$A:$Q,12))</f>
        <v/>
      </c>
      <c r="C243" s="61">
        <f>IF(VLOOKUP(Table311[[#This Row],[Date]],'DB Details'!$A:$Q,16)=0,"",VLOOKUP(Table311[[#This Row],[Date]],'DB Details'!$A:$Q,16))</f>
        <v/>
      </c>
      <c r="D243" s="61">
        <f>IF(VLOOKUP(Table311[[#This Row],[Date]],'DB Details'!$A:$Q,15)=0,"",VLOOKUP(Table311[[#This Row],[Date]],'DB Details'!$A:$Q,15))</f>
        <v/>
      </c>
      <c r="E243" s="61">
        <f>IF(VLOOKUP(Table311[[#This Row],[Date]],'DB Details'!$A:$Q,17)=0,"",VLOOKUP(Table311[[#This Row],[Date]],'DB Details'!$A:$Q,17))</f>
        <v/>
      </c>
    </row>
    <row r="244">
      <c r="A244" s="60" t="n">
        <v>42856</v>
      </c>
      <c r="B244" s="50">
        <f>IF(VLOOKUP(Table311[[#This Row],[Date]],'DB Details'!$A:$Q,12)=0,"",VLOOKUP(Table311[[#This Row],[Date]],'DB Details'!$A:$Q,12))</f>
        <v/>
      </c>
      <c r="C244" s="61">
        <f>IF(VLOOKUP(Table311[[#This Row],[Date]],'DB Details'!$A:$Q,16)=0,"",VLOOKUP(Table311[[#This Row],[Date]],'DB Details'!$A:$Q,16))</f>
        <v/>
      </c>
      <c r="D244" s="61">
        <f>IF(VLOOKUP(Table311[[#This Row],[Date]],'DB Details'!$A:$Q,15)=0,"",VLOOKUP(Table311[[#This Row],[Date]],'DB Details'!$A:$Q,15))</f>
        <v/>
      </c>
      <c r="E244" s="61">
        <f>IF(VLOOKUP(Table311[[#This Row],[Date]],'DB Details'!$A:$Q,17)=0,"",VLOOKUP(Table311[[#This Row],[Date]],'DB Details'!$A:$Q,17))</f>
        <v/>
      </c>
    </row>
    <row r="245">
      <c r="A245" s="60" t="n">
        <v>42887</v>
      </c>
      <c r="B245" s="50">
        <f>IF(VLOOKUP(Table311[[#This Row],[Date]],'DB Details'!$A:$Q,12)=0,"",VLOOKUP(Table311[[#This Row],[Date]],'DB Details'!$A:$Q,12))</f>
        <v/>
      </c>
      <c r="C245" s="61">
        <f>IF(VLOOKUP(Table311[[#This Row],[Date]],'DB Details'!$A:$Q,16)=0,"",VLOOKUP(Table311[[#This Row],[Date]],'DB Details'!$A:$Q,16))</f>
        <v/>
      </c>
      <c r="D245" s="61">
        <f>IF(VLOOKUP(Table311[[#This Row],[Date]],'DB Details'!$A:$Q,15)=0,"",VLOOKUP(Table311[[#This Row],[Date]],'DB Details'!$A:$Q,15))</f>
        <v/>
      </c>
      <c r="E245" s="61">
        <f>IF(VLOOKUP(Table311[[#This Row],[Date]],'DB Details'!$A:$Q,17)=0,"",VLOOKUP(Table311[[#This Row],[Date]],'DB Details'!$A:$Q,17))</f>
        <v/>
      </c>
    </row>
    <row r="246">
      <c r="A246" s="60" t="n">
        <v>42917</v>
      </c>
      <c r="B246" s="50">
        <f>IF(VLOOKUP(Table311[[#This Row],[Date]],'DB Details'!$A:$Q,12)=0,"",VLOOKUP(Table311[[#This Row],[Date]],'DB Details'!$A:$Q,12))</f>
        <v/>
      </c>
      <c r="C246" s="61">
        <f>IF(VLOOKUP(Table311[[#This Row],[Date]],'DB Details'!$A:$Q,16)=0,"",VLOOKUP(Table311[[#This Row],[Date]],'DB Details'!$A:$Q,16))</f>
        <v/>
      </c>
      <c r="D246" s="61">
        <f>IF(VLOOKUP(Table311[[#This Row],[Date]],'DB Details'!$A:$Q,15)=0,"",VLOOKUP(Table311[[#This Row],[Date]],'DB Details'!$A:$Q,15))</f>
        <v/>
      </c>
      <c r="E246" s="61">
        <f>IF(VLOOKUP(Table311[[#This Row],[Date]],'DB Details'!$A:$Q,17)=0,"",VLOOKUP(Table311[[#This Row],[Date]],'DB Details'!$A:$Q,17))</f>
        <v/>
      </c>
    </row>
    <row r="247">
      <c r="A247" s="60" t="n">
        <v>42948</v>
      </c>
      <c r="B247" s="50">
        <f>IF(VLOOKUP(Table311[[#This Row],[Date]],'DB Details'!$A:$Q,12)=0,"",VLOOKUP(Table311[[#This Row],[Date]],'DB Details'!$A:$Q,12))</f>
        <v/>
      </c>
      <c r="C247" s="61">
        <f>IF(VLOOKUP(Table311[[#This Row],[Date]],'DB Details'!$A:$Q,16)=0,"",VLOOKUP(Table311[[#This Row],[Date]],'DB Details'!$A:$Q,16))</f>
        <v/>
      </c>
      <c r="D247" s="61">
        <f>IF(VLOOKUP(Table311[[#This Row],[Date]],'DB Details'!$A:$Q,15)=0,"",VLOOKUP(Table311[[#This Row],[Date]],'DB Details'!$A:$Q,15))</f>
        <v/>
      </c>
      <c r="E247" s="61">
        <f>IF(VLOOKUP(Table311[[#This Row],[Date]],'DB Details'!$A:$Q,17)=0,"",VLOOKUP(Table311[[#This Row],[Date]],'DB Details'!$A:$Q,17))</f>
        <v/>
      </c>
    </row>
    <row r="248">
      <c r="A248" s="60" t="n">
        <v>42979</v>
      </c>
      <c r="B248" s="50">
        <f>IF(VLOOKUP(Table311[[#This Row],[Date]],'DB Details'!$A:$Q,12)=0,"",VLOOKUP(Table311[[#This Row],[Date]],'DB Details'!$A:$Q,12))</f>
        <v/>
      </c>
      <c r="C248" s="61">
        <f>IF(VLOOKUP(Table311[[#This Row],[Date]],'DB Details'!$A:$Q,16)=0,"",VLOOKUP(Table311[[#This Row],[Date]],'DB Details'!$A:$Q,16))</f>
        <v/>
      </c>
      <c r="D248" s="61">
        <f>IF(VLOOKUP(Table311[[#This Row],[Date]],'DB Details'!$A:$Q,15)=0,"",VLOOKUP(Table311[[#This Row],[Date]],'DB Details'!$A:$Q,15))</f>
        <v/>
      </c>
      <c r="E248" s="61">
        <f>IF(VLOOKUP(Table311[[#This Row],[Date]],'DB Details'!$A:$Q,17)=0,"",VLOOKUP(Table311[[#This Row],[Date]],'DB Details'!$A:$Q,17))</f>
        <v/>
      </c>
    </row>
    <row r="249">
      <c r="A249" s="60" t="n">
        <v>43009</v>
      </c>
      <c r="B249" s="50">
        <f>IF(VLOOKUP(Table311[[#This Row],[Date]],'DB Details'!$A:$Q,12)=0,"",VLOOKUP(Table311[[#This Row],[Date]],'DB Details'!$A:$Q,12))</f>
        <v/>
      </c>
      <c r="C249" s="61">
        <f>IF(VLOOKUP(Table311[[#This Row],[Date]],'DB Details'!$A:$Q,16)=0,"",VLOOKUP(Table311[[#This Row],[Date]],'DB Details'!$A:$Q,16))</f>
        <v/>
      </c>
      <c r="D249" s="61">
        <f>IF(VLOOKUP(Table311[[#This Row],[Date]],'DB Details'!$A:$Q,15)=0,"",VLOOKUP(Table311[[#This Row],[Date]],'DB Details'!$A:$Q,15))</f>
        <v/>
      </c>
      <c r="E249" s="61">
        <f>IF(VLOOKUP(Table311[[#This Row],[Date]],'DB Details'!$A:$Q,17)=0,"",VLOOKUP(Table311[[#This Row],[Date]],'DB Details'!$A:$Q,17))</f>
        <v/>
      </c>
    </row>
    <row r="250">
      <c r="A250" s="60" t="n">
        <v>43040</v>
      </c>
      <c r="B250" s="50">
        <f>IF(VLOOKUP(Table311[[#This Row],[Date]],'DB Details'!$A:$Q,12)=0,"",VLOOKUP(Table311[[#This Row],[Date]],'DB Details'!$A:$Q,12))</f>
        <v/>
      </c>
      <c r="C250" s="61">
        <f>IF(VLOOKUP(Table311[[#This Row],[Date]],'DB Details'!$A:$Q,16)=0,"",VLOOKUP(Table311[[#This Row],[Date]],'DB Details'!$A:$Q,16))</f>
        <v/>
      </c>
      <c r="D250" s="61">
        <f>IF(VLOOKUP(Table311[[#This Row],[Date]],'DB Details'!$A:$Q,15)=0,"",VLOOKUP(Table311[[#This Row],[Date]],'DB Details'!$A:$Q,15))</f>
        <v/>
      </c>
      <c r="E250" s="61">
        <f>IF(VLOOKUP(Table311[[#This Row],[Date]],'DB Details'!$A:$Q,17)=0,"",VLOOKUP(Table311[[#This Row],[Date]],'DB Details'!$A:$Q,17))</f>
        <v/>
      </c>
    </row>
    <row r="251">
      <c r="A251" s="60" t="n">
        <v>43070</v>
      </c>
      <c r="B251" s="50">
        <f>IF(VLOOKUP(Table311[[#This Row],[Date]],'DB Details'!$A:$Q,12)=0,"",VLOOKUP(Table311[[#This Row],[Date]],'DB Details'!$A:$Q,12))</f>
        <v/>
      </c>
      <c r="C251" s="61">
        <f>IF(VLOOKUP(Table311[[#This Row],[Date]],'DB Details'!$A:$Q,16)=0,"",VLOOKUP(Table311[[#This Row],[Date]],'DB Details'!$A:$Q,16))</f>
        <v/>
      </c>
      <c r="D251" s="61">
        <f>IF(VLOOKUP(Table311[[#This Row],[Date]],'DB Details'!$A:$Q,15)=0,"",VLOOKUP(Table311[[#This Row],[Date]],'DB Details'!$A:$Q,15))</f>
        <v/>
      </c>
      <c r="E251" s="61">
        <f>IF(VLOOKUP(Table311[[#This Row],[Date]],'DB Details'!$A:$Q,17)=0,"",VLOOKUP(Table311[[#This Row],[Date]],'DB Details'!$A:$Q,17))</f>
        <v/>
      </c>
    </row>
    <row r="252">
      <c r="A252" s="60" t="n">
        <v>43101</v>
      </c>
      <c r="B252" s="50">
        <f>IF(VLOOKUP(Table311[[#This Row],[Date]],'DB Details'!$A:$Q,12)=0,"",VLOOKUP(Table311[[#This Row],[Date]],'DB Details'!$A:$Q,12))</f>
        <v/>
      </c>
      <c r="C252" s="61">
        <f>IF(VLOOKUP(Table311[[#This Row],[Date]],'DB Details'!$A:$Q,16)=0,"",VLOOKUP(Table311[[#This Row],[Date]],'DB Details'!$A:$Q,16))</f>
        <v/>
      </c>
      <c r="D252" s="61">
        <f>IF(VLOOKUP(Table311[[#This Row],[Date]],'DB Details'!$A:$Q,15)=0,"",VLOOKUP(Table311[[#This Row],[Date]],'DB Details'!$A:$Q,15))</f>
        <v/>
      </c>
      <c r="E252" s="61">
        <f>IF(VLOOKUP(Table311[[#This Row],[Date]],'DB Details'!$A:$Q,17)=0,"",VLOOKUP(Table311[[#This Row],[Date]],'DB Details'!$A:$Q,17))</f>
        <v/>
      </c>
    </row>
    <row r="253">
      <c r="A253" s="60" t="n">
        <v>43132</v>
      </c>
      <c r="B253" s="50">
        <f>IF(VLOOKUP(Table311[[#This Row],[Date]],'DB Details'!$A:$Q,12)=0,"",VLOOKUP(Table311[[#This Row],[Date]],'DB Details'!$A:$Q,12))</f>
        <v/>
      </c>
      <c r="C253" s="61">
        <f>IF(VLOOKUP(Table311[[#This Row],[Date]],'DB Details'!$A:$Q,16)=0,"",VLOOKUP(Table311[[#This Row],[Date]],'DB Details'!$A:$Q,16))</f>
        <v/>
      </c>
      <c r="D253" s="61">
        <f>IF(VLOOKUP(Table311[[#This Row],[Date]],'DB Details'!$A:$Q,15)=0,"",VLOOKUP(Table311[[#This Row],[Date]],'DB Details'!$A:$Q,15))</f>
        <v/>
      </c>
      <c r="E253" s="61">
        <f>IF(VLOOKUP(Table311[[#This Row],[Date]],'DB Details'!$A:$Q,17)=0,"",VLOOKUP(Table311[[#This Row],[Date]],'DB Details'!$A:$Q,17))</f>
        <v/>
      </c>
    </row>
    <row r="254">
      <c r="A254" s="60" t="n">
        <v>43160</v>
      </c>
      <c r="B254" s="50">
        <f>IF(VLOOKUP(Table311[[#This Row],[Date]],'DB Details'!$A:$Q,12)=0,"",VLOOKUP(Table311[[#This Row],[Date]],'DB Details'!$A:$Q,12))</f>
        <v/>
      </c>
      <c r="C254" s="61">
        <f>IF(VLOOKUP(Table311[[#This Row],[Date]],'DB Details'!$A:$Q,16)=0,"",VLOOKUP(Table311[[#This Row],[Date]],'DB Details'!$A:$Q,16))</f>
        <v/>
      </c>
      <c r="D254" s="61">
        <f>IF(VLOOKUP(Table311[[#This Row],[Date]],'DB Details'!$A:$Q,15)=0,"",VLOOKUP(Table311[[#This Row],[Date]],'DB Details'!$A:$Q,15))</f>
        <v/>
      </c>
      <c r="E254" s="61">
        <f>IF(VLOOKUP(Table311[[#This Row],[Date]],'DB Details'!$A:$Q,17)=0,"",VLOOKUP(Table311[[#This Row],[Date]],'DB Details'!$A:$Q,17))</f>
        <v/>
      </c>
    </row>
    <row r="255">
      <c r="A255" s="60" t="n">
        <v>43191</v>
      </c>
      <c r="B255" s="50">
        <f>IF(VLOOKUP(Table311[[#This Row],[Date]],'DB Details'!$A:$Q,12)=0,"",VLOOKUP(Table311[[#This Row],[Date]],'DB Details'!$A:$Q,12))</f>
        <v/>
      </c>
      <c r="C255" s="61">
        <f>IF(VLOOKUP(Table311[[#This Row],[Date]],'DB Details'!$A:$Q,16)=0,"",VLOOKUP(Table311[[#This Row],[Date]],'DB Details'!$A:$Q,16))</f>
        <v/>
      </c>
      <c r="D255" s="61">
        <f>IF(VLOOKUP(Table311[[#This Row],[Date]],'DB Details'!$A:$Q,15)=0,"",VLOOKUP(Table311[[#This Row],[Date]],'DB Details'!$A:$Q,15))</f>
        <v/>
      </c>
      <c r="E255" s="61">
        <f>IF(VLOOKUP(Table311[[#This Row],[Date]],'DB Details'!$A:$Q,17)=0,"",VLOOKUP(Table311[[#This Row],[Date]],'DB Details'!$A:$Q,17))</f>
        <v/>
      </c>
    </row>
    <row r="256">
      <c r="A256" s="60" t="n">
        <v>43221</v>
      </c>
      <c r="B256" s="50">
        <f>IF(VLOOKUP(Table311[[#This Row],[Date]],'DB Details'!$A:$Q,12)=0,"",VLOOKUP(Table311[[#This Row],[Date]],'DB Details'!$A:$Q,12))</f>
        <v/>
      </c>
      <c r="C256" s="61">
        <f>IF(VLOOKUP(Table311[[#This Row],[Date]],'DB Details'!$A:$Q,16)=0,"",VLOOKUP(Table311[[#This Row],[Date]],'DB Details'!$A:$Q,16))</f>
        <v/>
      </c>
      <c r="D256" s="61">
        <f>IF(VLOOKUP(Table311[[#This Row],[Date]],'DB Details'!$A:$Q,15)=0,"",VLOOKUP(Table311[[#This Row],[Date]],'DB Details'!$A:$Q,15))</f>
        <v/>
      </c>
      <c r="E256" s="61">
        <f>IF(VLOOKUP(Table311[[#This Row],[Date]],'DB Details'!$A:$Q,17)=0,"",VLOOKUP(Table311[[#This Row],[Date]],'DB Details'!$A:$Q,17))</f>
        <v/>
      </c>
    </row>
    <row r="257">
      <c r="A257" s="60" t="n">
        <v>43252</v>
      </c>
      <c r="B257" s="50">
        <f>IF(VLOOKUP(Table311[[#This Row],[Date]],'DB Details'!$A:$Q,12)=0,"",VLOOKUP(Table311[[#This Row],[Date]],'DB Details'!$A:$Q,12))</f>
        <v/>
      </c>
      <c r="C257" s="61">
        <f>IF(VLOOKUP(Table311[[#This Row],[Date]],'DB Details'!$A:$Q,16)=0,"",VLOOKUP(Table311[[#This Row],[Date]],'DB Details'!$A:$Q,16))</f>
        <v/>
      </c>
      <c r="D257" s="61">
        <f>IF(VLOOKUP(Table311[[#This Row],[Date]],'DB Details'!$A:$Q,15)=0,"",VLOOKUP(Table311[[#This Row],[Date]],'DB Details'!$A:$Q,15))</f>
        <v/>
      </c>
      <c r="E257" s="61">
        <f>IF(VLOOKUP(Table311[[#This Row],[Date]],'DB Details'!$A:$Q,17)=0,"",VLOOKUP(Table311[[#This Row],[Date]],'DB Details'!$A:$Q,17))</f>
        <v/>
      </c>
    </row>
    <row r="258">
      <c r="A258" s="60" t="n">
        <v>43282</v>
      </c>
      <c r="B258" s="50">
        <f>IF(VLOOKUP(Table311[[#This Row],[Date]],'DB Details'!$A:$Q,12)=0,"",VLOOKUP(Table311[[#This Row],[Date]],'DB Details'!$A:$Q,12))</f>
        <v/>
      </c>
      <c r="C258" s="61">
        <f>IF(VLOOKUP(Table311[[#This Row],[Date]],'DB Details'!$A:$Q,16)=0,"",VLOOKUP(Table311[[#This Row],[Date]],'DB Details'!$A:$Q,16))</f>
        <v/>
      </c>
      <c r="D258" s="61">
        <f>IF(VLOOKUP(Table311[[#This Row],[Date]],'DB Details'!$A:$Q,15)=0,"",VLOOKUP(Table311[[#This Row],[Date]],'DB Details'!$A:$Q,15))</f>
        <v/>
      </c>
      <c r="E258" s="61">
        <f>IF(VLOOKUP(Table311[[#This Row],[Date]],'DB Details'!$A:$Q,17)=0,"",VLOOKUP(Table311[[#This Row],[Date]],'DB Details'!$A:$Q,17))</f>
        <v/>
      </c>
    </row>
    <row r="259">
      <c r="A259" s="60" t="n">
        <v>43313</v>
      </c>
      <c r="B259" s="50">
        <f>IF(VLOOKUP(Table311[[#This Row],[Date]],'DB Details'!$A:$Q,12)=0,"",VLOOKUP(Table311[[#This Row],[Date]],'DB Details'!$A:$Q,12))</f>
        <v/>
      </c>
      <c r="C259" s="61">
        <f>IF(VLOOKUP(Table311[[#This Row],[Date]],'DB Details'!$A:$Q,16)=0,"",VLOOKUP(Table311[[#This Row],[Date]],'DB Details'!$A:$Q,16))</f>
        <v/>
      </c>
      <c r="D259" s="61">
        <f>IF(VLOOKUP(Table311[[#This Row],[Date]],'DB Details'!$A:$Q,15)=0,"",VLOOKUP(Table311[[#This Row],[Date]],'DB Details'!$A:$Q,15))</f>
        <v/>
      </c>
      <c r="E259" s="61">
        <f>IF(VLOOKUP(Table311[[#This Row],[Date]],'DB Details'!$A:$Q,17)=0,"",VLOOKUP(Table311[[#This Row],[Date]],'DB Details'!$A:$Q,17))</f>
        <v/>
      </c>
    </row>
    <row r="260">
      <c r="A260" s="60" t="n">
        <v>43344</v>
      </c>
      <c r="B260" s="50">
        <f>IF(VLOOKUP(Table311[[#This Row],[Date]],'DB Details'!$A:$Q,12)=0,"",VLOOKUP(Table311[[#This Row],[Date]],'DB Details'!$A:$Q,12))</f>
        <v/>
      </c>
      <c r="C260" s="61">
        <f>IF(VLOOKUP(Table311[[#This Row],[Date]],'DB Details'!$A:$Q,16)=0,"",VLOOKUP(Table311[[#This Row],[Date]],'DB Details'!$A:$Q,16))</f>
        <v/>
      </c>
      <c r="D260" s="61">
        <f>IF(VLOOKUP(Table311[[#This Row],[Date]],'DB Details'!$A:$Q,15)=0,"",VLOOKUP(Table311[[#This Row],[Date]],'DB Details'!$A:$Q,15))</f>
        <v/>
      </c>
      <c r="E260" s="61">
        <f>IF(VLOOKUP(Table311[[#This Row],[Date]],'DB Details'!$A:$Q,17)=0,"",VLOOKUP(Table311[[#This Row],[Date]],'DB Details'!$A:$Q,17))</f>
        <v/>
      </c>
    </row>
    <row r="261">
      <c r="A261" s="60" t="n">
        <v>43374</v>
      </c>
      <c r="B261" s="50">
        <f>IF(VLOOKUP(Table311[[#This Row],[Date]],'DB Details'!$A:$Q,12)=0,"",VLOOKUP(Table311[[#This Row],[Date]],'DB Details'!$A:$Q,12))</f>
        <v/>
      </c>
      <c r="C261" s="61">
        <f>IF(VLOOKUP(Table311[[#This Row],[Date]],'DB Details'!$A:$Q,16)=0,"",VLOOKUP(Table311[[#This Row],[Date]],'DB Details'!$A:$Q,16))</f>
        <v/>
      </c>
      <c r="D261" s="61">
        <f>IF(VLOOKUP(Table311[[#This Row],[Date]],'DB Details'!$A:$Q,15)=0,"",VLOOKUP(Table311[[#This Row],[Date]],'DB Details'!$A:$Q,15))</f>
        <v/>
      </c>
      <c r="E261" s="61">
        <f>IF(VLOOKUP(Table311[[#This Row],[Date]],'DB Details'!$A:$Q,17)=0,"",VLOOKUP(Table311[[#This Row],[Date]],'DB Details'!$A:$Q,17))</f>
        <v/>
      </c>
    </row>
    <row r="262">
      <c r="A262" s="60" t="n">
        <v>43405</v>
      </c>
      <c r="B262" s="50">
        <f>IF(VLOOKUP(Table311[[#This Row],[Date]],'DB Details'!$A:$Q,12)=0,"",VLOOKUP(Table311[[#This Row],[Date]],'DB Details'!$A:$Q,12))</f>
        <v/>
      </c>
      <c r="C262" s="61">
        <f>IF(VLOOKUP(Table311[[#This Row],[Date]],'DB Details'!$A:$Q,16)=0,"",VLOOKUP(Table311[[#This Row],[Date]],'DB Details'!$A:$Q,16))</f>
        <v/>
      </c>
      <c r="D262" s="61">
        <f>IF(VLOOKUP(Table311[[#This Row],[Date]],'DB Details'!$A:$Q,15)=0,"",VLOOKUP(Table311[[#This Row],[Date]],'DB Details'!$A:$Q,15))</f>
        <v/>
      </c>
      <c r="E262" s="61">
        <f>IF(VLOOKUP(Table311[[#This Row],[Date]],'DB Details'!$A:$Q,17)=0,"",VLOOKUP(Table311[[#This Row],[Date]],'DB Details'!$A:$Q,17))</f>
        <v/>
      </c>
    </row>
    <row r="263">
      <c r="A263" s="60" t="n">
        <v>43435</v>
      </c>
      <c r="B263" s="50">
        <f>IF(VLOOKUP(Table311[[#This Row],[Date]],'DB Details'!$A:$Q,12)=0,"",VLOOKUP(Table311[[#This Row],[Date]],'DB Details'!$A:$Q,12))</f>
        <v/>
      </c>
      <c r="C263" s="61">
        <f>IF(VLOOKUP(Table311[[#This Row],[Date]],'DB Details'!$A:$Q,16)=0,"",VLOOKUP(Table311[[#This Row],[Date]],'DB Details'!$A:$Q,16))</f>
        <v/>
      </c>
      <c r="D263" s="61">
        <f>IF(VLOOKUP(Table311[[#This Row],[Date]],'DB Details'!$A:$Q,15)=0,"",VLOOKUP(Table311[[#This Row],[Date]],'DB Details'!$A:$Q,15))</f>
        <v/>
      </c>
      <c r="E263" s="61">
        <f>IF(VLOOKUP(Table311[[#This Row],[Date]],'DB Details'!$A:$Q,17)=0,"",VLOOKUP(Table311[[#This Row],[Date]],'DB Details'!$A:$Q,17))</f>
        <v/>
      </c>
    </row>
    <row r="264">
      <c r="A264" s="60" t="n">
        <v>43466</v>
      </c>
      <c r="B264" s="50">
        <f>IF(VLOOKUP(Table311[[#This Row],[Date]],'DB Details'!$A:$Q,12)=0,"",VLOOKUP(Table311[[#This Row],[Date]],'DB Details'!$A:$Q,12))</f>
        <v/>
      </c>
      <c r="C264" s="61">
        <f>IF(VLOOKUP(Table311[[#This Row],[Date]],'DB Details'!$A:$Q,16)=0,"",VLOOKUP(Table311[[#This Row],[Date]],'DB Details'!$A:$Q,16))</f>
        <v/>
      </c>
      <c r="D264" s="61">
        <f>IF(VLOOKUP(Table311[[#This Row],[Date]],'DB Details'!$A:$Q,15)=0,"",VLOOKUP(Table311[[#This Row],[Date]],'DB Details'!$A:$Q,15))</f>
        <v/>
      </c>
      <c r="E264" s="61">
        <f>IF(VLOOKUP(Table311[[#This Row],[Date]],'DB Details'!$A:$Q,17)=0,"",VLOOKUP(Table311[[#This Row],[Date]],'DB Details'!$A:$Q,17))</f>
        <v/>
      </c>
    </row>
    <row r="265">
      <c r="A265" s="60" t="n">
        <v>43497</v>
      </c>
      <c r="B265" s="50">
        <f>IF(VLOOKUP(Table311[[#This Row],[Date]],'DB Details'!$A:$Q,12)=0,"",VLOOKUP(Table311[[#This Row],[Date]],'DB Details'!$A:$Q,12))</f>
        <v/>
      </c>
      <c r="C265" s="61">
        <f>IF(VLOOKUP(Table311[[#This Row],[Date]],'DB Details'!$A:$Q,16)=0,"",VLOOKUP(Table311[[#This Row],[Date]],'DB Details'!$A:$Q,16))</f>
        <v/>
      </c>
      <c r="D265" s="61">
        <f>IF(VLOOKUP(Table311[[#This Row],[Date]],'DB Details'!$A:$Q,15)=0,"",VLOOKUP(Table311[[#This Row],[Date]],'DB Details'!$A:$Q,15))</f>
        <v/>
      </c>
      <c r="E265" s="61">
        <f>IF(VLOOKUP(Table311[[#This Row],[Date]],'DB Details'!$A:$Q,17)=0,"",VLOOKUP(Table311[[#This Row],[Date]],'DB Details'!$A:$Q,17))</f>
        <v/>
      </c>
    </row>
    <row r="266">
      <c r="A266" s="60" t="n">
        <v>43525</v>
      </c>
      <c r="B266" s="50">
        <f>IF(VLOOKUP(Table311[[#This Row],[Date]],'DB Details'!$A:$Q,12)=0,"",VLOOKUP(Table311[[#This Row],[Date]],'DB Details'!$A:$Q,12))</f>
        <v/>
      </c>
      <c r="C266" s="61">
        <f>IF(VLOOKUP(Table311[[#This Row],[Date]],'DB Details'!$A:$Q,16)=0,"",VLOOKUP(Table311[[#This Row],[Date]],'DB Details'!$A:$Q,16))</f>
        <v/>
      </c>
      <c r="D266" s="61">
        <f>IF(VLOOKUP(Table311[[#This Row],[Date]],'DB Details'!$A:$Q,15)=0,"",VLOOKUP(Table311[[#This Row],[Date]],'DB Details'!$A:$Q,15))</f>
        <v/>
      </c>
      <c r="E266" s="61">
        <f>IF(VLOOKUP(Table311[[#This Row],[Date]],'DB Details'!$A:$Q,17)=0,"",VLOOKUP(Table311[[#This Row],[Date]],'DB Details'!$A:$Q,17))</f>
        <v/>
      </c>
    </row>
    <row r="267">
      <c r="A267" s="60" t="n">
        <v>43556</v>
      </c>
      <c r="B267" s="50">
        <f>IF(VLOOKUP(Table311[[#This Row],[Date]],'DB Details'!$A:$Q,12)=0,"",VLOOKUP(Table311[[#This Row],[Date]],'DB Details'!$A:$Q,12))</f>
        <v/>
      </c>
      <c r="C267" s="61">
        <f>IF(VLOOKUP(Table311[[#This Row],[Date]],'DB Details'!$A:$Q,16)=0,"",VLOOKUP(Table311[[#This Row],[Date]],'DB Details'!$A:$Q,16))</f>
        <v/>
      </c>
      <c r="D267" s="61">
        <f>IF(VLOOKUP(Table311[[#This Row],[Date]],'DB Details'!$A:$Q,15)=0,"",VLOOKUP(Table311[[#This Row],[Date]],'DB Details'!$A:$Q,15))</f>
        <v/>
      </c>
      <c r="E267" s="61">
        <f>IF(VLOOKUP(Table311[[#This Row],[Date]],'DB Details'!$A:$Q,17)=0,"",VLOOKUP(Table311[[#This Row],[Date]],'DB Details'!$A:$Q,17))</f>
        <v/>
      </c>
    </row>
    <row r="268">
      <c r="A268" s="60" t="n">
        <v>43586</v>
      </c>
      <c r="B268" s="50">
        <f>IF(VLOOKUP(Table311[[#This Row],[Date]],'DB Details'!$A:$Q,12)=0,"",VLOOKUP(Table311[[#This Row],[Date]],'DB Details'!$A:$Q,12))</f>
        <v/>
      </c>
      <c r="C268" s="61">
        <f>IF(VLOOKUP(Table311[[#This Row],[Date]],'DB Details'!$A:$Q,16)=0,"",VLOOKUP(Table311[[#This Row],[Date]],'DB Details'!$A:$Q,16))</f>
        <v/>
      </c>
      <c r="D268" s="61">
        <f>IF(VLOOKUP(Table311[[#This Row],[Date]],'DB Details'!$A:$Q,15)=0,"",VLOOKUP(Table311[[#This Row],[Date]],'DB Details'!$A:$Q,15))</f>
        <v/>
      </c>
      <c r="E268" s="61">
        <f>IF(VLOOKUP(Table311[[#This Row],[Date]],'DB Details'!$A:$Q,17)=0,"",VLOOKUP(Table311[[#This Row],[Date]],'DB Details'!$A:$Q,17))</f>
        <v/>
      </c>
    </row>
    <row r="269">
      <c r="A269" s="60" t="n">
        <v>43617</v>
      </c>
      <c r="B269" s="50">
        <f>IF(VLOOKUP(Table311[[#This Row],[Date]],'DB Details'!$A:$Q,12)=0,"",VLOOKUP(Table311[[#This Row],[Date]],'DB Details'!$A:$Q,12))</f>
        <v/>
      </c>
      <c r="C269" s="61">
        <f>IF(VLOOKUP(Table311[[#This Row],[Date]],'DB Details'!$A:$Q,16)=0,"",VLOOKUP(Table311[[#This Row],[Date]],'DB Details'!$A:$Q,16))</f>
        <v/>
      </c>
      <c r="D269" s="61">
        <f>IF(VLOOKUP(Table311[[#This Row],[Date]],'DB Details'!$A:$Q,15)=0,"",VLOOKUP(Table311[[#This Row],[Date]],'DB Details'!$A:$Q,15))</f>
        <v/>
      </c>
      <c r="E269" s="61">
        <f>IF(VLOOKUP(Table311[[#This Row],[Date]],'DB Details'!$A:$Q,17)=0,"",VLOOKUP(Table311[[#This Row],[Date]],'DB Details'!$A:$Q,17))</f>
        <v/>
      </c>
    </row>
    <row r="270">
      <c r="A270" s="60" t="n">
        <v>43647</v>
      </c>
      <c r="B270" s="50">
        <f>IF(VLOOKUP(Table311[[#This Row],[Date]],'DB Details'!$A:$Q,12)=0,"",VLOOKUP(Table311[[#This Row],[Date]],'DB Details'!$A:$Q,12))</f>
        <v/>
      </c>
      <c r="C270" s="61">
        <f>IF(VLOOKUP(Table311[[#This Row],[Date]],'DB Details'!$A:$Q,16)=0,"",VLOOKUP(Table311[[#This Row],[Date]],'DB Details'!$A:$Q,16))</f>
        <v/>
      </c>
      <c r="D270" s="61">
        <f>IF(VLOOKUP(Table311[[#This Row],[Date]],'DB Details'!$A:$Q,15)=0,"",VLOOKUP(Table311[[#This Row],[Date]],'DB Details'!$A:$Q,15))</f>
        <v/>
      </c>
      <c r="E270" s="61">
        <f>IF(VLOOKUP(Table311[[#This Row],[Date]],'DB Details'!$A:$Q,17)=0,"",VLOOKUP(Table311[[#This Row],[Date]],'DB Details'!$A:$Q,17))</f>
        <v/>
      </c>
    </row>
    <row r="271">
      <c r="A271" s="60" t="n">
        <v>43678</v>
      </c>
      <c r="B271" s="50">
        <f>IF(VLOOKUP(Table311[[#This Row],[Date]],'DB Details'!$A:$Q,12)=0,"",VLOOKUP(Table311[[#This Row],[Date]],'DB Details'!$A:$Q,12))</f>
        <v/>
      </c>
      <c r="C271" s="61">
        <f>IF(VLOOKUP(Table311[[#This Row],[Date]],'DB Details'!$A:$Q,16)=0,"",VLOOKUP(Table311[[#This Row],[Date]],'DB Details'!$A:$Q,16))</f>
        <v/>
      </c>
      <c r="D271" s="61">
        <f>IF(VLOOKUP(Table311[[#This Row],[Date]],'DB Details'!$A:$Q,15)=0,"",VLOOKUP(Table311[[#This Row],[Date]],'DB Details'!$A:$Q,15))</f>
        <v/>
      </c>
      <c r="E271" s="61">
        <f>IF(VLOOKUP(Table311[[#This Row],[Date]],'DB Details'!$A:$Q,17)=0,"",VLOOKUP(Table311[[#This Row],[Date]],'DB Details'!$A:$Q,17))</f>
        <v/>
      </c>
    </row>
    <row r="272">
      <c r="A272" s="60" t="n">
        <v>43709</v>
      </c>
      <c r="B272" s="50">
        <f>IF(VLOOKUP(Table311[[#This Row],[Date]],'DB Details'!$A:$Q,12)=0,"",VLOOKUP(Table311[[#This Row],[Date]],'DB Details'!$A:$Q,12))</f>
        <v/>
      </c>
      <c r="C272" s="61">
        <f>IF(VLOOKUP(Table311[[#This Row],[Date]],'DB Details'!$A:$Q,16)=0,"",VLOOKUP(Table311[[#This Row],[Date]],'DB Details'!$A:$Q,16))</f>
        <v/>
      </c>
      <c r="D272" s="61">
        <f>IF(VLOOKUP(Table311[[#This Row],[Date]],'DB Details'!$A:$Q,15)=0,"",VLOOKUP(Table311[[#This Row],[Date]],'DB Details'!$A:$Q,15))</f>
        <v/>
      </c>
      <c r="E272" s="61">
        <f>IF(VLOOKUP(Table311[[#This Row],[Date]],'DB Details'!$A:$Q,17)=0,"",VLOOKUP(Table311[[#This Row],[Date]],'DB Details'!$A:$Q,17))</f>
        <v/>
      </c>
    </row>
    <row r="273">
      <c r="A273" s="60" t="n">
        <v>43739</v>
      </c>
      <c r="B273" s="50">
        <f>IF(VLOOKUP(Table311[[#This Row],[Date]],'DB Details'!$A:$Q,12)=0,"",VLOOKUP(Table311[[#This Row],[Date]],'DB Details'!$A:$Q,12))</f>
        <v/>
      </c>
      <c r="C273" s="61">
        <f>IF(VLOOKUP(Table311[[#This Row],[Date]],'DB Details'!$A:$Q,16)=0,"",VLOOKUP(Table311[[#This Row],[Date]],'DB Details'!$A:$Q,16))</f>
        <v/>
      </c>
      <c r="D273" s="61">
        <f>IF(VLOOKUP(Table311[[#This Row],[Date]],'DB Details'!$A:$Q,15)=0,"",VLOOKUP(Table311[[#This Row],[Date]],'DB Details'!$A:$Q,15))</f>
        <v/>
      </c>
      <c r="E273" s="61">
        <f>IF(VLOOKUP(Table311[[#This Row],[Date]],'DB Details'!$A:$Q,17)=0,"",VLOOKUP(Table311[[#This Row],[Date]],'DB Details'!$A:$Q,17))</f>
        <v/>
      </c>
    </row>
    <row r="274">
      <c r="A274" s="60" t="n">
        <v>43770</v>
      </c>
      <c r="B274" s="50">
        <f>IF(VLOOKUP(Table311[[#This Row],[Date]],'DB Details'!$A:$Q,12)=0,"",VLOOKUP(Table311[[#This Row],[Date]],'DB Details'!$A:$Q,12))</f>
        <v/>
      </c>
      <c r="C274" s="61">
        <f>IF(VLOOKUP(Table311[[#This Row],[Date]],'DB Details'!$A:$Q,16)=0,"",VLOOKUP(Table311[[#This Row],[Date]],'DB Details'!$A:$Q,16))</f>
        <v/>
      </c>
      <c r="D274" s="61">
        <f>IF(VLOOKUP(Table311[[#This Row],[Date]],'DB Details'!$A:$Q,15)=0,"",VLOOKUP(Table311[[#This Row],[Date]],'DB Details'!$A:$Q,15))</f>
        <v/>
      </c>
      <c r="E274" s="61">
        <f>IF(VLOOKUP(Table311[[#This Row],[Date]],'DB Details'!$A:$Q,17)=0,"",VLOOKUP(Table311[[#This Row],[Date]],'DB Details'!$A:$Q,17))</f>
        <v/>
      </c>
    </row>
    <row r="275">
      <c r="A275" s="60" t="n">
        <v>43800</v>
      </c>
      <c r="B275" s="50">
        <f>IF(VLOOKUP(Table311[[#This Row],[Date]],'DB Details'!$A:$Q,12)=0,"",VLOOKUP(Table311[[#This Row],[Date]],'DB Details'!$A:$Q,12))</f>
        <v/>
      </c>
      <c r="C275" s="61">
        <f>IF(VLOOKUP(Table311[[#This Row],[Date]],'DB Details'!$A:$Q,16)=0,"",VLOOKUP(Table311[[#This Row],[Date]],'DB Details'!$A:$Q,16))</f>
        <v/>
      </c>
      <c r="D275" s="61">
        <f>IF(VLOOKUP(Table311[[#This Row],[Date]],'DB Details'!$A:$Q,15)=0,"",VLOOKUP(Table311[[#This Row],[Date]],'DB Details'!$A:$Q,15))</f>
        <v/>
      </c>
      <c r="E275" s="61">
        <f>IF(VLOOKUP(Table311[[#This Row],[Date]],'DB Details'!$A:$Q,17)=0,"",VLOOKUP(Table311[[#This Row],[Date]],'DB Details'!$A:$Q,17))</f>
        <v/>
      </c>
    </row>
    <row r="276">
      <c r="A276" s="60" t="n">
        <v>43831</v>
      </c>
      <c r="B276" s="50">
        <f>IF(VLOOKUP(Table311[[#This Row],[Date]],'DB Details'!$A:$Q,12)=0,"",VLOOKUP(Table311[[#This Row],[Date]],'DB Details'!$A:$Q,12))</f>
        <v/>
      </c>
      <c r="C276" s="61">
        <f>IF(VLOOKUP(Table311[[#This Row],[Date]],'DB Details'!$A:$Q,16)=0,"",VLOOKUP(Table311[[#This Row],[Date]],'DB Details'!$A:$Q,16))</f>
        <v/>
      </c>
      <c r="D276" s="61">
        <f>IF(VLOOKUP(Table311[[#This Row],[Date]],'DB Details'!$A:$Q,15)=0,"",VLOOKUP(Table311[[#This Row],[Date]],'DB Details'!$A:$Q,15))</f>
        <v/>
      </c>
      <c r="E276" s="61">
        <f>IF(VLOOKUP(Table311[[#This Row],[Date]],'DB Details'!$A:$Q,17)=0,"",VLOOKUP(Table311[[#This Row],[Date]],'DB Details'!$A:$Q,17))</f>
        <v/>
      </c>
    </row>
    <row r="277">
      <c r="A277" s="60" t="n">
        <v>43862</v>
      </c>
      <c r="B277" s="50">
        <f>IF(VLOOKUP(Table311[[#This Row],[Date]],'DB Details'!$A:$Q,12)=0,"",VLOOKUP(Table311[[#This Row],[Date]],'DB Details'!$A:$Q,12))</f>
        <v/>
      </c>
      <c r="C277" s="61">
        <f>IF(VLOOKUP(Table311[[#This Row],[Date]],'DB Details'!$A:$Q,16)=0,"",VLOOKUP(Table311[[#This Row],[Date]],'DB Details'!$A:$Q,16))</f>
        <v/>
      </c>
      <c r="D277" s="61">
        <f>IF(VLOOKUP(Table311[[#This Row],[Date]],'DB Details'!$A:$Q,15)=0,"",VLOOKUP(Table311[[#This Row],[Date]],'DB Details'!$A:$Q,15))</f>
        <v/>
      </c>
      <c r="E277" s="61">
        <f>IF(VLOOKUP(Table311[[#This Row],[Date]],'DB Details'!$A:$Q,17)=0,"",VLOOKUP(Table311[[#This Row],[Date]],'DB Details'!$A:$Q,17))</f>
        <v/>
      </c>
    </row>
    <row r="278">
      <c r="A278" s="60" t="n">
        <v>43891</v>
      </c>
      <c r="B278" s="50">
        <f>IF(VLOOKUP(Table311[[#This Row],[Date]],'DB Details'!$A:$Q,12)=0,"",VLOOKUP(Table311[[#This Row],[Date]],'DB Details'!$A:$Q,12))</f>
        <v/>
      </c>
      <c r="C278" s="61">
        <f>IF(VLOOKUP(Table311[[#This Row],[Date]],'DB Details'!$A:$Q,16)=0,"",VLOOKUP(Table311[[#This Row],[Date]],'DB Details'!$A:$Q,16))</f>
        <v/>
      </c>
      <c r="D278" s="61">
        <f>IF(VLOOKUP(Table311[[#This Row],[Date]],'DB Details'!$A:$Q,15)=0,"",VLOOKUP(Table311[[#This Row],[Date]],'DB Details'!$A:$Q,15))</f>
        <v/>
      </c>
      <c r="E278" s="61">
        <f>IF(VLOOKUP(Table311[[#This Row],[Date]],'DB Details'!$A:$Q,17)=0,"",VLOOKUP(Table311[[#This Row],[Date]],'DB Details'!$A:$Q,17))</f>
        <v/>
      </c>
    </row>
    <row r="279">
      <c r="A279" s="60" t="n">
        <v>43922</v>
      </c>
      <c r="B279" s="50">
        <f>IF(VLOOKUP(Table311[[#This Row],[Date]],'DB Details'!$A:$Q,12)=0,"",VLOOKUP(Table311[[#This Row],[Date]],'DB Details'!$A:$Q,12))</f>
        <v/>
      </c>
      <c r="C279" s="61">
        <f>IF(VLOOKUP(Table311[[#This Row],[Date]],'DB Details'!$A:$Q,16)=0,"",VLOOKUP(Table311[[#This Row],[Date]],'DB Details'!$A:$Q,16))</f>
        <v/>
      </c>
      <c r="D279" s="61">
        <f>IF(VLOOKUP(Table311[[#This Row],[Date]],'DB Details'!$A:$Q,15)=0,"",VLOOKUP(Table311[[#This Row],[Date]],'DB Details'!$A:$Q,15))</f>
        <v/>
      </c>
      <c r="E279" s="61">
        <f>IF(VLOOKUP(Table311[[#This Row],[Date]],'DB Details'!$A:$Q,17)=0,"",VLOOKUP(Table311[[#This Row],[Date]],'DB Details'!$A:$Q,17))</f>
        <v/>
      </c>
    </row>
    <row r="280">
      <c r="A280" s="60" t="n">
        <v>43952</v>
      </c>
      <c r="B280" s="50">
        <f>IF(VLOOKUP(Table311[[#This Row],[Date]],'DB Details'!$A:$Q,12)=0,"",VLOOKUP(Table311[[#This Row],[Date]],'DB Details'!$A:$Q,12))</f>
        <v/>
      </c>
      <c r="C280" s="61">
        <f>IF(VLOOKUP(Table311[[#This Row],[Date]],'DB Details'!$A:$Q,16)=0,"",VLOOKUP(Table311[[#This Row],[Date]],'DB Details'!$A:$Q,16))</f>
        <v/>
      </c>
      <c r="D280" s="61">
        <f>IF(VLOOKUP(Table311[[#This Row],[Date]],'DB Details'!$A:$Q,15)=0,"",VLOOKUP(Table311[[#This Row],[Date]],'DB Details'!$A:$Q,15))</f>
        <v/>
      </c>
      <c r="E280" s="61">
        <f>IF(VLOOKUP(Table311[[#This Row],[Date]],'DB Details'!$A:$Q,17)=0,"",VLOOKUP(Table311[[#This Row],[Date]],'DB Details'!$A:$Q,17))</f>
        <v/>
      </c>
    </row>
    <row r="281">
      <c r="A281" s="60" t="n">
        <v>43983</v>
      </c>
      <c r="B281" s="50">
        <f>IF(VLOOKUP(Table311[[#This Row],[Date]],'DB Details'!$A:$Q,12)=0,"",VLOOKUP(Table311[[#This Row],[Date]],'DB Details'!$A:$Q,12))</f>
        <v/>
      </c>
      <c r="C281" s="61">
        <f>IF(VLOOKUP(Table311[[#This Row],[Date]],'DB Details'!$A:$Q,16)=0,"",VLOOKUP(Table311[[#This Row],[Date]],'DB Details'!$A:$Q,16))</f>
        <v/>
      </c>
      <c r="D281" s="61">
        <f>IF(VLOOKUP(Table311[[#This Row],[Date]],'DB Details'!$A:$Q,15)=0,"",VLOOKUP(Table311[[#This Row],[Date]],'DB Details'!$A:$Q,15))</f>
        <v/>
      </c>
      <c r="E281" s="61">
        <f>IF(VLOOKUP(Table311[[#This Row],[Date]],'DB Details'!$A:$Q,17)=0,"",VLOOKUP(Table311[[#This Row],[Date]],'DB Details'!$A:$Q,17))</f>
        <v/>
      </c>
    </row>
    <row r="282">
      <c r="A282" s="60" t="n">
        <v>44013</v>
      </c>
      <c r="B282" s="50">
        <f>IF(VLOOKUP(Table311[[#This Row],[Date]],'DB Details'!$A:$Q,12)=0,"",VLOOKUP(Table311[[#This Row],[Date]],'DB Details'!$A:$Q,12))</f>
        <v/>
      </c>
      <c r="C282" s="61">
        <f>IF(VLOOKUP(Table311[[#This Row],[Date]],'DB Details'!$A:$Q,16)=0,"",VLOOKUP(Table311[[#This Row],[Date]],'DB Details'!$A:$Q,16))</f>
        <v/>
      </c>
      <c r="D282" s="61">
        <f>IF(VLOOKUP(Table311[[#This Row],[Date]],'DB Details'!$A:$Q,15)=0,"",VLOOKUP(Table311[[#This Row],[Date]],'DB Details'!$A:$Q,15))</f>
        <v/>
      </c>
      <c r="E282" s="61">
        <f>IF(VLOOKUP(Table311[[#This Row],[Date]],'DB Details'!$A:$Q,17)=0,"",VLOOKUP(Table311[[#This Row],[Date]],'DB Details'!$A:$Q,17))</f>
        <v/>
      </c>
    </row>
    <row r="283">
      <c r="A283" s="60" t="n">
        <v>44044</v>
      </c>
      <c r="B283" s="50">
        <f>IF(VLOOKUP(Table311[[#This Row],[Date]],'DB Details'!$A:$Q,12)=0,"",VLOOKUP(Table311[[#This Row],[Date]],'DB Details'!$A:$Q,12))</f>
        <v/>
      </c>
      <c r="C283" s="61">
        <f>IF(VLOOKUP(Table311[[#This Row],[Date]],'DB Details'!$A:$Q,16)=0,"",VLOOKUP(Table311[[#This Row],[Date]],'DB Details'!$A:$Q,16))</f>
        <v/>
      </c>
      <c r="D283" s="61">
        <f>IF(VLOOKUP(Table311[[#This Row],[Date]],'DB Details'!$A:$Q,15)=0,"",VLOOKUP(Table311[[#This Row],[Date]],'DB Details'!$A:$Q,15))</f>
        <v/>
      </c>
      <c r="E283" s="61">
        <f>IF(VLOOKUP(Table311[[#This Row],[Date]],'DB Details'!$A:$Q,17)=0,"",VLOOKUP(Table311[[#This Row],[Date]],'DB Details'!$A:$Q,17))</f>
        <v/>
      </c>
    </row>
    <row r="284">
      <c r="A284" s="60" t="n">
        <v>44075</v>
      </c>
      <c r="B284" s="50">
        <f>IF(VLOOKUP(Table311[[#This Row],[Date]],'DB Details'!$A:$Q,12)=0,"",VLOOKUP(Table311[[#This Row],[Date]],'DB Details'!$A:$Q,12))</f>
        <v/>
      </c>
      <c r="C284" s="61">
        <f>IF(VLOOKUP(Table311[[#This Row],[Date]],'DB Details'!$A:$Q,16)=0,"",VLOOKUP(Table311[[#This Row],[Date]],'DB Details'!$A:$Q,16))</f>
        <v/>
      </c>
      <c r="D284" s="61">
        <f>IF(VLOOKUP(Table311[[#This Row],[Date]],'DB Details'!$A:$Q,15)=0,"",VLOOKUP(Table311[[#This Row],[Date]],'DB Details'!$A:$Q,15))</f>
        <v/>
      </c>
      <c r="E284" s="61">
        <f>IF(VLOOKUP(Table311[[#This Row],[Date]],'DB Details'!$A:$Q,17)=0,"",VLOOKUP(Table311[[#This Row],[Date]],'DB Details'!$A:$Q,17))</f>
        <v/>
      </c>
    </row>
    <row r="285">
      <c r="A285" s="60" t="n">
        <v>44105</v>
      </c>
      <c r="B285" s="50">
        <f>IF(VLOOKUP(Table311[[#This Row],[Date]],'DB Details'!$A:$Q,12)=0,"",VLOOKUP(Table311[[#This Row],[Date]],'DB Details'!$A:$Q,12))</f>
        <v/>
      </c>
      <c r="C285" s="61">
        <f>IF(VLOOKUP(Table311[[#This Row],[Date]],'DB Details'!$A:$Q,16)=0,"",VLOOKUP(Table311[[#This Row],[Date]],'DB Details'!$A:$Q,16))</f>
        <v/>
      </c>
      <c r="D285" s="61">
        <f>IF(VLOOKUP(Table311[[#This Row],[Date]],'DB Details'!$A:$Q,15)=0,"",VLOOKUP(Table311[[#This Row],[Date]],'DB Details'!$A:$Q,15))</f>
        <v/>
      </c>
      <c r="E285" s="61">
        <f>IF(VLOOKUP(Table311[[#This Row],[Date]],'DB Details'!$A:$Q,17)=0,"",VLOOKUP(Table311[[#This Row],[Date]],'DB Details'!$A:$Q,17))</f>
        <v/>
      </c>
    </row>
    <row r="286">
      <c r="A286" s="60" t="n">
        <v>44136</v>
      </c>
      <c r="B286" s="50">
        <f>IF(VLOOKUP(Table311[[#This Row],[Date]],'DB Details'!$A:$Q,12)=0,"",VLOOKUP(Table311[[#This Row],[Date]],'DB Details'!$A:$Q,12))</f>
        <v/>
      </c>
      <c r="C286" s="61">
        <f>IF(VLOOKUP(Table311[[#This Row],[Date]],'DB Details'!$A:$Q,16)=0,"",VLOOKUP(Table311[[#This Row],[Date]],'DB Details'!$A:$Q,16))</f>
        <v/>
      </c>
      <c r="D286" s="61">
        <f>IF(VLOOKUP(Table311[[#This Row],[Date]],'DB Details'!$A:$Q,15)=0,"",VLOOKUP(Table311[[#This Row],[Date]],'DB Details'!$A:$Q,15))</f>
        <v/>
      </c>
      <c r="E286" s="61">
        <f>IF(VLOOKUP(Table311[[#This Row],[Date]],'DB Details'!$A:$Q,17)=0,"",VLOOKUP(Table311[[#This Row],[Date]],'DB Details'!$A:$Q,17))</f>
        <v/>
      </c>
    </row>
    <row r="287">
      <c r="A287" s="60" t="n">
        <v>44166</v>
      </c>
      <c r="B287" s="50">
        <f>IF(VLOOKUP(Table311[[#This Row],[Date]],'DB Details'!$A:$Q,12)=0,"",VLOOKUP(Table311[[#This Row],[Date]],'DB Details'!$A:$Q,12))</f>
        <v/>
      </c>
      <c r="C287" s="61">
        <f>IF(VLOOKUP(Table311[[#This Row],[Date]],'DB Details'!$A:$Q,16)=0,"",VLOOKUP(Table311[[#This Row],[Date]],'DB Details'!$A:$Q,16))</f>
        <v/>
      </c>
      <c r="D287" s="61">
        <f>IF(VLOOKUP(Table311[[#This Row],[Date]],'DB Details'!$A:$Q,15)=0,"",VLOOKUP(Table311[[#This Row],[Date]],'DB Details'!$A:$Q,15))</f>
        <v/>
      </c>
      <c r="E287" s="61">
        <f>IF(VLOOKUP(Table311[[#This Row],[Date]],'DB Details'!$A:$Q,17)=0,"",VLOOKUP(Table311[[#This Row],[Date]],'DB Details'!$A:$Q,17))</f>
        <v/>
      </c>
    </row>
    <row r="288">
      <c r="A288" s="60" t="n">
        <v>44197</v>
      </c>
      <c r="B288" s="50">
        <f>IF(VLOOKUP(Table311[[#This Row],[Date]],'DB Details'!$A:$Q,12)=0,"",VLOOKUP(Table311[[#This Row],[Date]],'DB Details'!$A:$Q,12))</f>
        <v/>
      </c>
      <c r="C288" s="61">
        <f>IF(VLOOKUP(Table311[[#This Row],[Date]],'DB Details'!$A:$Q,16)=0,"",VLOOKUP(Table311[[#This Row],[Date]],'DB Details'!$A:$Q,16))</f>
        <v/>
      </c>
      <c r="D288" s="61">
        <f>IF(VLOOKUP(Table311[[#This Row],[Date]],'DB Details'!$A:$Q,15)=0,"",VLOOKUP(Table311[[#This Row],[Date]],'DB Details'!$A:$Q,15))</f>
        <v/>
      </c>
      <c r="E288" s="61">
        <f>IF(VLOOKUP(Table311[[#This Row],[Date]],'DB Details'!$A:$Q,17)=0,"",VLOOKUP(Table311[[#This Row],[Date]],'DB Details'!$A:$Q,17))</f>
        <v/>
      </c>
    </row>
    <row r="289">
      <c r="A289" s="60" t="n">
        <v>44228</v>
      </c>
      <c r="B289" s="50">
        <f>IF(VLOOKUP(Table311[[#This Row],[Date]],'DB Details'!$A:$Q,12)=0,"",VLOOKUP(Table311[[#This Row],[Date]],'DB Details'!$A:$Q,12))</f>
        <v/>
      </c>
      <c r="C289" s="61">
        <f>IF(VLOOKUP(Table311[[#This Row],[Date]],'DB Details'!$A:$Q,16)=0,"",VLOOKUP(Table311[[#This Row],[Date]],'DB Details'!$A:$Q,16))</f>
        <v/>
      </c>
      <c r="D289" s="61">
        <f>IF(VLOOKUP(Table311[[#This Row],[Date]],'DB Details'!$A:$Q,15)=0,"",VLOOKUP(Table311[[#This Row],[Date]],'DB Details'!$A:$Q,15))</f>
        <v/>
      </c>
      <c r="E289" s="61">
        <f>IF(VLOOKUP(Table311[[#This Row],[Date]],'DB Details'!$A:$Q,17)=0,"",VLOOKUP(Table311[[#This Row],[Date]],'DB Details'!$A:$Q,17))</f>
        <v/>
      </c>
    </row>
    <row r="290">
      <c r="A290" s="60" t="n">
        <v>44256</v>
      </c>
      <c r="B290" s="50">
        <f>IF(VLOOKUP(Table311[[#This Row],[Date]],'DB Details'!$A:$Q,12)=0,"",VLOOKUP(Table311[[#This Row],[Date]],'DB Details'!$A:$Q,12))</f>
        <v/>
      </c>
      <c r="C290" s="61">
        <f>IF(VLOOKUP(Table311[[#This Row],[Date]],'DB Details'!$A:$Q,16)=0,"",VLOOKUP(Table311[[#This Row],[Date]],'DB Details'!$A:$Q,16))</f>
        <v/>
      </c>
      <c r="D290" s="61">
        <f>IF(VLOOKUP(Table311[[#This Row],[Date]],'DB Details'!$A:$Q,15)=0,"",VLOOKUP(Table311[[#This Row],[Date]],'DB Details'!$A:$Q,15))</f>
        <v/>
      </c>
      <c r="E290" s="61">
        <f>IF(VLOOKUP(Table311[[#This Row],[Date]],'DB Details'!$A:$Q,17)=0,"",VLOOKUP(Table311[[#This Row],[Date]],'DB Details'!$A:$Q,17))</f>
        <v/>
      </c>
    </row>
    <row r="291">
      <c r="A291" s="60" t="n">
        <v>44287</v>
      </c>
      <c r="B291" s="50">
        <f>IF(VLOOKUP(Table311[[#This Row],[Date]],'DB Details'!$A:$Q,12)=0,"",VLOOKUP(Table311[[#This Row],[Date]],'DB Details'!$A:$Q,12))</f>
        <v/>
      </c>
      <c r="C291" s="61">
        <f>IF(VLOOKUP(Table311[[#This Row],[Date]],'DB Details'!$A:$Q,16)=0,"",VLOOKUP(Table311[[#This Row],[Date]],'DB Details'!$A:$Q,16))</f>
        <v/>
      </c>
      <c r="D291" s="61">
        <f>IF(VLOOKUP(Table311[[#This Row],[Date]],'DB Details'!$A:$Q,15)=0,"",VLOOKUP(Table311[[#This Row],[Date]],'DB Details'!$A:$Q,15))</f>
        <v/>
      </c>
      <c r="E291" s="61">
        <f>IF(VLOOKUP(Table311[[#This Row],[Date]],'DB Details'!$A:$Q,17)=0,"",VLOOKUP(Table311[[#This Row],[Date]],'DB Details'!$A:$Q,17))</f>
        <v/>
      </c>
    </row>
    <row r="292">
      <c r="A292" s="60" t="n">
        <v>44317</v>
      </c>
      <c r="B292" s="50">
        <f>IF(VLOOKUP(Table311[[#This Row],[Date]],'DB Details'!$A:$Q,12)=0,"",VLOOKUP(Table311[[#This Row],[Date]],'DB Details'!$A:$Q,12))</f>
        <v/>
      </c>
      <c r="C292" s="61">
        <f>IF(VLOOKUP(Table311[[#This Row],[Date]],'DB Details'!$A:$Q,16)=0,"",VLOOKUP(Table311[[#This Row],[Date]],'DB Details'!$A:$Q,16))</f>
        <v/>
      </c>
      <c r="D292" s="61">
        <f>IF(VLOOKUP(Table311[[#This Row],[Date]],'DB Details'!$A:$Q,15)=0,"",VLOOKUP(Table311[[#This Row],[Date]],'DB Details'!$A:$Q,15))</f>
        <v/>
      </c>
      <c r="E292" s="61">
        <f>IF(VLOOKUP(Table311[[#This Row],[Date]],'DB Details'!$A:$Q,17)=0,"",VLOOKUP(Table311[[#This Row],[Date]],'DB Details'!$A:$Q,17))</f>
        <v/>
      </c>
    </row>
    <row r="293">
      <c r="A293" s="60" t="n">
        <v>44348</v>
      </c>
      <c r="B293" s="50">
        <f>IF(VLOOKUP(Table311[[#This Row],[Date]],'DB Details'!$A:$Q,12)=0,"",VLOOKUP(Table311[[#This Row],[Date]],'DB Details'!$A:$Q,12))</f>
        <v/>
      </c>
      <c r="C293" s="61">
        <f>IF(VLOOKUP(Table311[[#This Row],[Date]],'DB Details'!$A:$Q,16)=0,"",VLOOKUP(Table311[[#This Row],[Date]],'DB Details'!$A:$Q,16))</f>
        <v/>
      </c>
      <c r="D293" s="61">
        <f>IF(VLOOKUP(Table311[[#This Row],[Date]],'DB Details'!$A:$Q,15)=0,"",VLOOKUP(Table311[[#This Row],[Date]],'DB Details'!$A:$Q,15))</f>
        <v/>
      </c>
      <c r="E293" s="61">
        <f>IF(VLOOKUP(Table311[[#This Row],[Date]],'DB Details'!$A:$Q,17)=0,"",VLOOKUP(Table311[[#This Row],[Date]],'DB Details'!$A:$Q,17))</f>
        <v/>
      </c>
    </row>
    <row r="294">
      <c r="A294" s="60" t="n">
        <v>44378</v>
      </c>
      <c r="B294" s="50">
        <f>IF(VLOOKUP(Table311[[#This Row],[Date]],'DB Details'!$A:$Q,12)=0,"",VLOOKUP(Table311[[#This Row],[Date]],'DB Details'!$A:$Q,12))</f>
        <v/>
      </c>
      <c r="C294" s="61">
        <f>IF(VLOOKUP(Table311[[#This Row],[Date]],'DB Details'!$A:$Q,16)=0,"",VLOOKUP(Table311[[#This Row],[Date]],'DB Details'!$A:$Q,16))</f>
        <v/>
      </c>
      <c r="D294" s="61">
        <f>IF(VLOOKUP(Table311[[#This Row],[Date]],'DB Details'!$A:$Q,15)=0,"",VLOOKUP(Table311[[#This Row],[Date]],'DB Details'!$A:$Q,15))</f>
        <v/>
      </c>
      <c r="E294" s="61">
        <f>IF(VLOOKUP(Table311[[#This Row],[Date]],'DB Details'!$A:$Q,17)=0,"",VLOOKUP(Table311[[#This Row],[Date]],'DB Details'!$A:$Q,17))</f>
        <v/>
      </c>
    </row>
    <row r="295">
      <c r="A295" s="60" t="n">
        <v>44409</v>
      </c>
      <c r="B295" s="50">
        <f>IF(VLOOKUP(Table311[[#This Row],[Date]],'DB Details'!$A:$Q,12)=0,"",VLOOKUP(Table311[[#This Row],[Date]],'DB Details'!$A:$Q,12))</f>
        <v/>
      </c>
      <c r="C295" s="61">
        <f>IF(VLOOKUP(Table311[[#This Row],[Date]],'DB Details'!$A:$Q,16)=0,"",VLOOKUP(Table311[[#This Row],[Date]],'DB Details'!$A:$Q,16))</f>
        <v/>
      </c>
      <c r="D295" s="61">
        <f>IF(VLOOKUP(Table311[[#This Row],[Date]],'DB Details'!$A:$Q,15)=0,"",VLOOKUP(Table311[[#This Row],[Date]],'DB Details'!$A:$Q,15))</f>
        <v/>
      </c>
      <c r="E295" s="61">
        <f>IF(VLOOKUP(Table311[[#This Row],[Date]],'DB Details'!$A:$Q,17)=0,"",VLOOKUP(Table311[[#This Row],[Date]],'DB Details'!$A:$Q,17))</f>
        <v/>
      </c>
    </row>
    <row r="296">
      <c r="A296" s="60" t="n">
        <v>44440</v>
      </c>
      <c r="B296" s="50">
        <f>IF(VLOOKUP(Table311[[#This Row],[Date]],'DB Details'!$A:$Q,12)=0,"",VLOOKUP(Table311[[#This Row],[Date]],'DB Details'!$A:$Q,12))</f>
        <v/>
      </c>
      <c r="C296" s="61">
        <f>IF(VLOOKUP(Table311[[#This Row],[Date]],'DB Details'!$A:$Q,16)=0,"",VLOOKUP(Table311[[#This Row],[Date]],'DB Details'!$A:$Q,16))</f>
        <v/>
      </c>
      <c r="D296" s="61">
        <f>IF(VLOOKUP(Table311[[#This Row],[Date]],'DB Details'!$A:$Q,15)=0,"",VLOOKUP(Table311[[#This Row],[Date]],'DB Details'!$A:$Q,15))</f>
        <v/>
      </c>
      <c r="E296" s="61">
        <f>IF(VLOOKUP(Table311[[#This Row],[Date]],'DB Details'!$A:$Q,17)=0,"",VLOOKUP(Table311[[#This Row],[Date]],'DB Details'!$A:$Q,17))</f>
        <v/>
      </c>
    </row>
    <row r="297">
      <c r="A297" s="60" t="n">
        <v>44470</v>
      </c>
      <c r="B297" s="50">
        <f>IF(VLOOKUP(Table311[[#This Row],[Date]],'DB Details'!$A:$Q,12)=0,"",VLOOKUP(Table311[[#This Row],[Date]],'DB Details'!$A:$Q,12))</f>
        <v/>
      </c>
      <c r="C297" s="61">
        <f>IF(VLOOKUP(Table311[[#This Row],[Date]],'DB Details'!$A:$Q,16)=0,"",VLOOKUP(Table311[[#This Row],[Date]],'DB Details'!$A:$Q,16))</f>
        <v/>
      </c>
      <c r="D297" s="61">
        <f>IF(VLOOKUP(Table311[[#This Row],[Date]],'DB Details'!$A:$Q,15)=0,"",VLOOKUP(Table311[[#This Row],[Date]],'DB Details'!$A:$Q,15))</f>
        <v/>
      </c>
      <c r="E297" s="61">
        <f>IF(VLOOKUP(Table311[[#This Row],[Date]],'DB Details'!$A:$Q,17)=0,"",VLOOKUP(Table311[[#This Row],[Date]],'DB Details'!$A:$Q,17))</f>
        <v/>
      </c>
    </row>
    <row r="298">
      <c r="A298" s="60" t="n">
        <v>44501</v>
      </c>
      <c r="B298" s="50">
        <f>IF(VLOOKUP(Table311[[#This Row],[Date]],'DB Details'!$A:$Q,12)=0,"",VLOOKUP(Table311[[#This Row],[Date]],'DB Details'!$A:$Q,12))</f>
        <v/>
      </c>
      <c r="C298" s="61">
        <f>IF(VLOOKUP(Table311[[#This Row],[Date]],'DB Details'!$A:$Q,16)=0,"",VLOOKUP(Table311[[#This Row],[Date]],'DB Details'!$A:$Q,16))</f>
        <v/>
      </c>
      <c r="D298" s="61">
        <f>IF(VLOOKUP(Table311[[#This Row],[Date]],'DB Details'!$A:$Q,15)=0,"",VLOOKUP(Table311[[#This Row],[Date]],'DB Details'!$A:$Q,15))</f>
        <v/>
      </c>
      <c r="E298" s="61">
        <f>IF(VLOOKUP(Table311[[#This Row],[Date]],'DB Details'!$A:$Q,17)=0,"",VLOOKUP(Table311[[#This Row],[Date]],'DB Details'!$A:$Q,17))</f>
        <v/>
      </c>
    </row>
    <row r="299">
      <c r="A299" s="60" t="n">
        <v>44531</v>
      </c>
      <c r="B299" s="50">
        <f>IF(VLOOKUP(Table311[[#This Row],[Date]],'DB Details'!$A:$Q,12)=0,"",VLOOKUP(Table311[[#This Row],[Date]],'DB Details'!$A:$Q,12))</f>
        <v/>
      </c>
      <c r="C299" s="61">
        <f>IF(VLOOKUP(Table311[[#This Row],[Date]],'DB Details'!$A:$Q,16)=0,"",VLOOKUP(Table311[[#This Row],[Date]],'DB Details'!$A:$Q,16))</f>
        <v/>
      </c>
      <c r="D299" s="61">
        <f>IF(VLOOKUP(Table311[[#This Row],[Date]],'DB Details'!$A:$Q,15)=0,"",VLOOKUP(Table311[[#This Row],[Date]],'DB Details'!$A:$Q,15))</f>
        <v/>
      </c>
      <c r="E299" s="61">
        <f>IF(VLOOKUP(Table311[[#This Row],[Date]],'DB Details'!$A:$Q,17)=0,"",VLOOKUP(Table311[[#This Row],[Date]],'DB Details'!$A:$Q,17))</f>
        <v/>
      </c>
    </row>
    <row r="300">
      <c r="A300" s="60" t="n">
        <v>44562</v>
      </c>
      <c r="B300" s="50">
        <f>IF(VLOOKUP(Table311[[#This Row],[Date]],'DB Details'!$A:$Q,12)=0,"",VLOOKUP(Table311[[#This Row],[Date]],'DB Details'!$A:$Q,12))</f>
        <v/>
      </c>
      <c r="C300" s="61">
        <f>IF(VLOOKUP(Table311[[#This Row],[Date]],'DB Details'!$A:$Q,16)=0,"",VLOOKUP(Table311[[#This Row],[Date]],'DB Details'!$A:$Q,16))</f>
        <v/>
      </c>
      <c r="D300" s="61">
        <f>IF(VLOOKUP(Table311[[#This Row],[Date]],'DB Details'!$A:$Q,15)=0,"",VLOOKUP(Table311[[#This Row],[Date]],'DB Details'!$A:$Q,15))</f>
        <v/>
      </c>
      <c r="E300" s="61">
        <f>IF(VLOOKUP(Table311[[#This Row],[Date]],'DB Details'!$A:$Q,17)=0,"",VLOOKUP(Table311[[#This Row],[Date]],'DB Details'!$A:$Q,17))</f>
        <v/>
      </c>
    </row>
    <row r="301">
      <c r="A301" s="60" t="n">
        <v>44593</v>
      </c>
      <c r="B301" s="50">
        <f>IF(VLOOKUP(Table311[[#This Row],[Date]],'DB Details'!$A:$Q,12)=0,"",VLOOKUP(Table311[[#This Row],[Date]],'DB Details'!$A:$Q,12))</f>
        <v/>
      </c>
      <c r="C301" s="61">
        <f>IF(VLOOKUP(Table311[[#This Row],[Date]],'DB Details'!$A:$Q,16)=0,"",VLOOKUP(Table311[[#This Row],[Date]],'DB Details'!$A:$Q,16))</f>
        <v/>
      </c>
      <c r="D301" s="61">
        <f>IF(VLOOKUP(Table311[[#This Row],[Date]],'DB Details'!$A:$Q,15)=0,"",VLOOKUP(Table311[[#This Row],[Date]],'DB Details'!$A:$Q,15))</f>
        <v/>
      </c>
      <c r="E301" s="61">
        <f>IF(VLOOKUP(Table311[[#This Row],[Date]],'DB Details'!$A:$Q,17)=0,"",VLOOKUP(Table311[[#This Row],[Date]],'DB Details'!$A:$Q,17))</f>
        <v/>
      </c>
    </row>
    <row r="302">
      <c r="A302" s="60" t="n">
        <v>44621</v>
      </c>
      <c r="B302" s="50">
        <f>IF(VLOOKUP(Table311[[#This Row],[Date]],'DB Details'!$A:$Q,12)=0,"",VLOOKUP(Table311[[#This Row],[Date]],'DB Details'!$A:$Q,12))</f>
        <v/>
      </c>
      <c r="C302" s="61">
        <f>IF(VLOOKUP(Table311[[#This Row],[Date]],'DB Details'!$A:$Q,16)=0,"",VLOOKUP(Table311[[#This Row],[Date]],'DB Details'!$A:$Q,16))</f>
        <v/>
      </c>
      <c r="D302" s="61">
        <f>IF(VLOOKUP(Table311[[#This Row],[Date]],'DB Details'!$A:$Q,15)=0,"",VLOOKUP(Table311[[#This Row],[Date]],'DB Details'!$A:$Q,15))</f>
        <v/>
      </c>
      <c r="E302" s="61">
        <f>IF(VLOOKUP(Table311[[#This Row],[Date]],'DB Details'!$A:$Q,17)=0,"",VLOOKUP(Table311[[#This Row],[Date]],'DB Details'!$A:$Q,17))</f>
        <v/>
      </c>
    </row>
    <row r="303">
      <c r="A303" s="60" t="n">
        <v>44652</v>
      </c>
      <c r="B303" s="50">
        <f>IF(VLOOKUP(Table311[[#This Row],[Date]],'DB Details'!$A:$Q,12)=0,"",VLOOKUP(Table311[[#This Row],[Date]],'DB Details'!$A:$Q,12))</f>
        <v/>
      </c>
      <c r="C303" s="61">
        <f>IF(VLOOKUP(Table311[[#This Row],[Date]],'DB Details'!$A:$Q,16)=0,"",VLOOKUP(Table311[[#This Row],[Date]],'DB Details'!$A:$Q,16))</f>
        <v/>
      </c>
      <c r="D303" s="61">
        <f>IF(VLOOKUP(Table311[[#This Row],[Date]],'DB Details'!$A:$Q,15)=0,"",VLOOKUP(Table311[[#This Row],[Date]],'DB Details'!$A:$Q,15))</f>
        <v/>
      </c>
      <c r="E303" s="61">
        <f>IF(VLOOKUP(Table311[[#This Row],[Date]],'DB Details'!$A:$Q,17)=0,"",VLOOKUP(Table311[[#This Row],[Date]],'DB Details'!$A:$Q,17))</f>
        <v/>
      </c>
    </row>
    <row r="304">
      <c r="A304" s="60" t="n">
        <v>44682</v>
      </c>
      <c r="B304" s="50">
        <f>IF(VLOOKUP(Table311[[#This Row],[Date]],'DB Details'!$A:$Q,12)=0,"",VLOOKUP(Table311[[#This Row],[Date]],'DB Details'!$A:$Q,12))</f>
        <v/>
      </c>
      <c r="C304" s="61">
        <f>IF(VLOOKUP(Table311[[#This Row],[Date]],'DB Details'!$A:$Q,16)=0,"",VLOOKUP(Table311[[#This Row],[Date]],'DB Details'!$A:$Q,16))</f>
        <v/>
      </c>
      <c r="D304" s="61">
        <f>IF(VLOOKUP(Table311[[#This Row],[Date]],'DB Details'!$A:$Q,15)=0,"",VLOOKUP(Table311[[#This Row],[Date]],'DB Details'!$A:$Q,15))</f>
        <v/>
      </c>
      <c r="E304" s="61">
        <f>IF(VLOOKUP(Table311[[#This Row],[Date]],'DB Details'!$A:$Q,17)=0,"",VLOOKUP(Table311[[#This Row],[Date]],'DB Details'!$A:$Q,17))</f>
        <v/>
      </c>
    </row>
    <row r="305">
      <c r="A305" s="60" t="n">
        <v>44713</v>
      </c>
      <c r="B305" s="50">
        <f>IF(VLOOKUP(Table311[[#This Row],[Date]],'DB Details'!$A:$Q,12)=0,"",VLOOKUP(Table311[[#This Row],[Date]],'DB Details'!$A:$Q,12))</f>
        <v/>
      </c>
      <c r="C305" s="61">
        <f>IF(VLOOKUP(Table311[[#This Row],[Date]],'DB Details'!$A:$Q,16)=0,"",VLOOKUP(Table311[[#This Row],[Date]],'DB Details'!$A:$Q,16))</f>
        <v/>
      </c>
      <c r="D305" s="61">
        <f>IF(VLOOKUP(Table311[[#This Row],[Date]],'DB Details'!$A:$Q,15)=0,"",VLOOKUP(Table311[[#This Row],[Date]],'DB Details'!$A:$Q,15))</f>
        <v/>
      </c>
      <c r="E305" s="61">
        <f>IF(VLOOKUP(Table311[[#This Row],[Date]],'DB Details'!$A:$Q,17)=0,"",VLOOKUP(Table311[[#This Row],[Date]],'DB Details'!$A:$Q,17))</f>
        <v/>
      </c>
    </row>
  </sheetData>
  <conditionalFormatting sqref="B156:B305">
    <cfRule type="colorScale" priority="2">
      <colorScale>
        <cfvo type="min"/>
        <cfvo type="percentile" val="50"/>
        <cfvo type="max"/>
        <color rgb="FFF8696B"/>
        <color rgb="FFFFEB84"/>
        <color rgb="FF63BE7B"/>
      </colorScale>
    </cfRule>
  </conditionalFormatting>
  <conditionalFormatting sqref="E156:E305">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3.xml><?xml version="1.0" encoding="utf-8"?>
<worksheet xmlns="http://schemas.openxmlformats.org/spreadsheetml/2006/main">
  <sheetPr>
    <tabColor rgb="FFFF0000"/>
    <outlinePr summaryBelow="1" summaryRight="1"/>
    <pageSetUpPr/>
  </sheetPr>
  <dimension ref="A1:J305"/>
  <sheetViews>
    <sheetView zoomScale="190" zoomScaleNormal="190" workbookViewId="0">
      <pane ySplit="5" topLeftCell="A274" activePane="bottomLeft" state="frozen"/>
      <selection activeCell="P256" sqref="P256"/>
      <selection pane="bottomLeft" activeCell="G305" sqref="G305"/>
    </sheetView>
  </sheetViews>
  <sheetFormatPr baseColWidth="10" defaultColWidth="9.1640625" defaultRowHeight="15"/>
  <cols>
    <col width="18.33203125" customWidth="1" style="70" min="1" max="1"/>
    <col width="11" customWidth="1" style="70" min="2" max="3"/>
    <col width="9.1640625" customWidth="1" style="70" min="4" max="6"/>
    <col width="12.83203125" customWidth="1" style="70" min="7" max="7"/>
    <col width="14.5" customWidth="1" style="70" min="8" max="8"/>
    <col width="9.1640625" customWidth="1" style="70" min="9" max="9"/>
    <col width="14.83203125" customWidth="1" style="70" min="10" max="10"/>
    <col width="9.1640625" customWidth="1" style="70" min="11" max="25"/>
    <col width="9.1640625" customWidth="1" style="70" min="26" max="16384"/>
  </cols>
  <sheetData>
    <row r="1">
      <c r="A1" s="28" t="inlineStr">
        <is>
          <t>ISM Services</t>
        </is>
      </c>
      <c r="I1" s="45" t="n"/>
    </row>
    <row r="2">
      <c r="B2" s="45" t="n"/>
      <c r="C2" s="45" t="n"/>
    </row>
    <row r="3">
      <c r="B3" s="45" t="n"/>
      <c r="C3" s="45" t="n"/>
    </row>
    <row r="4" ht="16" customHeight="1" s="65" thickBot="1">
      <c r="B4" s="45" t="n"/>
      <c r="C4" s="45" t="n"/>
    </row>
    <row r="5">
      <c r="A5" s="62" t="inlineStr">
        <is>
          <t>Date</t>
        </is>
      </c>
      <c r="B5" s="63" t="inlineStr">
        <is>
          <t>ISM Services</t>
        </is>
      </c>
      <c r="C5" s="64" t="inlineStr">
        <is>
          <t>Change</t>
        </is>
      </c>
    </row>
    <row r="6">
      <c r="A6" s="49" t="n">
        <v>35612</v>
      </c>
      <c r="B6" s="54">
        <f>IF(VLOOKUP(Table9[[#This Row],[Date]],'DB Details'!$A:$Q,12)=0,"",VLOOKUP(Table9[[#This Row],[Date]],'DB Details'!$A:$Q,12))</f>
        <v/>
      </c>
      <c r="C6" s="54" t="n"/>
    </row>
    <row r="7">
      <c r="A7" s="53" t="n">
        <v>35643</v>
      </c>
      <c r="B7" s="54">
        <f>IF(VLOOKUP(Table9[[#This Row],[Date]],'DB Details'!$A:$Q,12)=0,"",VLOOKUP(Table9[[#This Row],[Date]],'DB Details'!$A:$Q,12))</f>
        <v/>
      </c>
      <c r="C7" s="54">
        <f>Table9[[#This Row],[ISM Services]]-B6</f>
        <v/>
      </c>
    </row>
    <row r="8">
      <c r="A8" s="49" t="n">
        <v>35674</v>
      </c>
      <c r="B8" s="54">
        <f>IF(VLOOKUP(Table9[[#This Row],[Date]],'DB Details'!$A:$Q,12)=0,"",VLOOKUP(Table9[[#This Row],[Date]],'DB Details'!$A:$Q,12))</f>
        <v/>
      </c>
      <c r="C8" s="54">
        <f>Table9[[#This Row],[ISM Services]]-B7</f>
        <v/>
      </c>
    </row>
    <row r="9">
      <c r="A9" s="53" t="n">
        <v>35704</v>
      </c>
      <c r="B9" s="54">
        <f>IF(VLOOKUP(Table9[[#This Row],[Date]],'DB Details'!$A:$Q,12)=0,"",VLOOKUP(Table9[[#This Row],[Date]],'DB Details'!$A:$Q,12))</f>
        <v/>
      </c>
      <c r="C9" s="54">
        <f>Table9[[#This Row],[ISM Services]]-B8</f>
        <v/>
      </c>
    </row>
    <row r="10">
      <c r="A10" s="49" t="n">
        <v>35735</v>
      </c>
      <c r="B10" s="54">
        <f>IF(VLOOKUP(Table9[[#This Row],[Date]],'DB Details'!$A:$Q,12)=0,"",VLOOKUP(Table9[[#This Row],[Date]],'DB Details'!$A:$Q,12))</f>
        <v/>
      </c>
      <c r="C10" s="54">
        <f>Table9[[#This Row],[ISM Services]]-B9</f>
        <v/>
      </c>
    </row>
    <row r="11">
      <c r="A11" s="53" t="n">
        <v>35765</v>
      </c>
      <c r="B11" s="54">
        <f>IF(VLOOKUP(Table9[[#This Row],[Date]],'DB Details'!$A:$Q,12)=0,"",VLOOKUP(Table9[[#This Row],[Date]],'DB Details'!$A:$Q,12))</f>
        <v/>
      </c>
      <c r="C11" s="54">
        <f>Table9[[#This Row],[ISM Services]]-B10</f>
        <v/>
      </c>
    </row>
    <row r="12">
      <c r="A12" s="49" t="n">
        <v>35796</v>
      </c>
      <c r="B12" s="54">
        <f>IF(VLOOKUP(Table9[[#This Row],[Date]],'DB Details'!$A:$Q,12)=0,"",VLOOKUP(Table9[[#This Row],[Date]],'DB Details'!$A:$Q,12))</f>
        <v/>
      </c>
      <c r="C12" s="54">
        <f>Table9[[#This Row],[ISM Services]]-B11</f>
        <v/>
      </c>
    </row>
    <row r="13">
      <c r="A13" s="53" t="n">
        <v>35827</v>
      </c>
      <c r="B13" s="54">
        <f>IF(VLOOKUP(Table9[[#This Row],[Date]],'DB Details'!$A:$Q,12)=0,"",VLOOKUP(Table9[[#This Row],[Date]],'DB Details'!$A:$Q,12))</f>
        <v/>
      </c>
      <c r="C13" s="54">
        <f>Table9[[#This Row],[ISM Services]]-B12</f>
        <v/>
      </c>
    </row>
    <row r="14">
      <c r="A14" s="49" t="n">
        <v>35855</v>
      </c>
      <c r="B14" s="54">
        <f>IF(VLOOKUP(Table9[[#This Row],[Date]],'DB Details'!$A:$Q,12)=0,"",VLOOKUP(Table9[[#This Row],[Date]],'DB Details'!$A:$Q,12))</f>
        <v/>
      </c>
      <c r="C14" s="54">
        <f>Table9[[#This Row],[ISM Services]]-B13</f>
        <v/>
      </c>
    </row>
    <row r="15">
      <c r="A15" s="53" t="n">
        <v>35886</v>
      </c>
      <c r="B15" s="54">
        <f>IF(VLOOKUP(Table9[[#This Row],[Date]],'DB Details'!$A:$Q,12)=0,"",VLOOKUP(Table9[[#This Row],[Date]],'DB Details'!$A:$Q,12))</f>
        <v/>
      </c>
      <c r="C15" s="54">
        <f>Table9[[#This Row],[ISM Services]]-B14</f>
        <v/>
      </c>
    </row>
    <row r="16">
      <c r="A16" s="53" t="n">
        <v>35916</v>
      </c>
      <c r="B16" s="54">
        <f>IF(VLOOKUP(Table9[[#This Row],[Date]],'DB Details'!$A:$Q,12)=0,"",VLOOKUP(Table9[[#This Row],[Date]],'DB Details'!$A:$Q,12))</f>
        <v/>
      </c>
      <c r="C16" s="54">
        <f>Table9[[#This Row],[ISM Services]]-B15</f>
        <v/>
      </c>
    </row>
    <row r="17">
      <c r="A17" s="53" t="n">
        <v>35947</v>
      </c>
      <c r="B17" s="54">
        <f>IF(VLOOKUP(Table9[[#This Row],[Date]],'DB Details'!$A:$Q,12)=0,"",VLOOKUP(Table9[[#This Row],[Date]],'DB Details'!$A:$Q,12))</f>
        <v/>
      </c>
      <c r="C17" s="54">
        <f>Table9[[#This Row],[ISM Services]]-B16</f>
        <v/>
      </c>
    </row>
    <row r="18">
      <c r="A18" s="53" t="n">
        <v>35977</v>
      </c>
      <c r="B18" s="54">
        <f>IF(VLOOKUP(Table9[[#This Row],[Date]],'DB Details'!$A:$Q,12)=0,"",VLOOKUP(Table9[[#This Row],[Date]],'DB Details'!$A:$Q,12))</f>
        <v/>
      </c>
      <c r="C18" s="54">
        <f>Table9[[#This Row],[ISM Services]]-B17</f>
        <v/>
      </c>
    </row>
    <row r="19">
      <c r="A19" s="53" t="n">
        <v>36008</v>
      </c>
      <c r="B19" s="54">
        <f>IF(VLOOKUP(Table9[[#This Row],[Date]],'DB Details'!$A:$Q,12)=0,"",VLOOKUP(Table9[[#This Row],[Date]],'DB Details'!$A:$Q,12))</f>
        <v/>
      </c>
      <c r="C19" s="54">
        <f>Table9[[#This Row],[ISM Services]]-B18</f>
        <v/>
      </c>
    </row>
    <row r="20">
      <c r="A20" s="53" t="n">
        <v>36039</v>
      </c>
      <c r="B20" s="54">
        <f>IF(VLOOKUP(Table9[[#This Row],[Date]],'DB Details'!$A:$Q,12)=0,"",VLOOKUP(Table9[[#This Row],[Date]],'DB Details'!$A:$Q,12))</f>
        <v/>
      </c>
      <c r="C20" s="54">
        <f>Table9[[#This Row],[ISM Services]]-B19</f>
        <v/>
      </c>
    </row>
    <row r="21">
      <c r="A21" s="53" t="n">
        <v>36069</v>
      </c>
      <c r="B21" s="54">
        <f>IF(VLOOKUP(Table9[[#This Row],[Date]],'DB Details'!$A:$Q,12)=0,"",VLOOKUP(Table9[[#This Row],[Date]],'DB Details'!$A:$Q,12))</f>
        <v/>
      </c>
      <c r="C21" s="54">
        <f>Table9[[#This Row],[ISM Services]]-B20</f>
        <v/>
      </c>
    </row>
    <row r="22">
      <c r="A22" s="53" t="n">
        <v>36100</v>
      </c>
      <c r="B22" s="54">
        <f>IF(VLOOKUP(Table9[[#This Row],[Date]],'DB Details'!$A:$Q,12)=0,"",VLOOKUP(Table9[[#This Row],[Date]],'DB Details'!$A:$Q,12))</f>
        <v/>
      </c>
      <c r="C22" s="54">
        <f>Table9[[#This Row],[ISM Services]]-B21</f>
        <v/>
      </c>
    </row>
    <row r="23">
      <c r="A23" s="53" t="n">
        <v>36130</v>
      </c>
      <c r="B23" s="54">
        <f>IF(VLOOKUP(Table9[[#This Row],[Date]],'DB Details'!$A:$Q,12)=0,"",VLOOKUP(Table9[[#This Row],[Date]],'DB Details'!$A:$Q,12))</f>
        <v/>
      </c>
      <c r="C23" s="54">
        <f>Table9[[#This Row],[ISM Services]]-B22</f>
        <v/>
      </c>
    </row>
    <row r="24">
      <c r="A24" s="53" t="n">
        <v>36161</v>
      </c>
      <c r="B24" s="54">
        <f>IF(VLOOKUP(Table9[[#This Row],[Date]],'DB Details'!$A:$Q,12)=0,"",VLOOKUP(Table9[[#This Row],[Date]],'DB Details'!$A:$Q,12))</f>
        <v/>
      </c>
      <c r="C24" s="54">
        <f>Table9[[#This Row],[ISM Services]]-B23</f>
        <v/>
      </c>
    </row>
    <row r="25">
      <c r="A25" s="53" t="n">
        <v>36192</v>
      </c>
      <c r="B25" s="54">
        <f>IF(VLOOKUP(Table9[[#This Row],[Date]],'DB Details'!$A:$Q,12)=0,"",VLOOKUP(Table9[[#This Row],[Date]],'DB Details'!$A:$Q,12))</f>
        <v/>
      </c>
      <c r="C25" s="54">
        <f>Table9[[#This Row],[ISM Services]]-B24</f>
        <v/>
      </c>
    </row>
    <row r="26">
      <c r="A26" s="53" t="n">
        <v>36220</v>
      </c>
      <c r="B26" s="54">
        <f>IF(VLOOKUP(Table9[[#This Row],[Date]],'DB Details'!$A:$Q,12)=0,"",VLOOKUP(Table9[[#This Row],[Date]],'DB Details'!$A:$Q,12))</f>
        <v/>
      </c>
      <c r="C26" s="54">
        <f>Table9[[#This Row],[ISM Services]]-B25</f>
        <v/>
      </c>
    </row>
    <row r="27">
      <c r="A27" s="53" t="n">
        <v>36251</v>
      </c>
      <c r="B27" s="54">
        <f>IF(VLOOKUP(Table9[[#This Row],[Date]],'DB Details'!$A:$Q,12)=0,"",VLOOKUP(Table9[[#This Row],[Date]],'DB Details'!$A:$Q,12))</f>
        <v/>
      </c>
      <c r="C27" s="54">
        <f>Table9[[#This Row],[ISM Services]]-B26</f>
        <v/>
      </c>
    </row>
    <row r="28">
      <c r="A28" s="53" t="n">
        <v>36281</v>
      </c>
      <c r="B28" s="54">
        <f>IF(VLOOKUP(Table9[[#This Row],[Date]],'DB Details'!$A:$Q,12)=0,"",VLOOKUP(Table9[[#This Row],[Date]],'DB Details'!$A:$Q,12))</f>
        <v/>
      </c>
      <c r="C28" s="54">
        <f>Table9[[#This Row],[ISM Services]]-B27</f>
        <v/>
      </c>
    </row>
    <row r="29">
      <c r="A29" s="53" t="n">
        <v>36312</v>
      </c>
      <c r="B29" s="54">
        <f>IF(VLOOKUP(Table9[[#This Row],[Date]],'DB Details'!$A:$Q,12)=0,"",VLOOKUP(Table9[[#This Row],[Date]],'DB Details'!$A:$Q,12))</f>
        <v/>
      </c>
      <c r="C29" s="54">
        <f>Table9[[#This Row],[ISM Services]]-B28</f>
        <v/>
      </c>
    </row>
    <row r="30">
      <c r="A30" s="53" t="n">
        <v>36342</v>
      </c>
      <c r="B30" s="54">
        <f>IF(VLOOKUP(Table9[[#This Row],[Date]],'DB Details'!$A:$Q,12)=0,"",VLOOKUP(Table9[[#This Row],[Date]],'DB Details'!$A:$Q,12))</f>
        <v/>
      </c>
      <c r="C30" s="54">
        <f>Table9[[#This Row],[ISM Services]]-B29</f>
        <v/>
      </c>
    </row>
    <row r="31">
      <c r="A31" s="53" t="n">
        <v>36373</v>
      </c>
      <c r="B31" s="54">
        <f>IF(VLOOKUP(Table9[[#This Row],[Date]],'DB Details'!$A:$Q,12)=0,"",VLOOKUP(Table9[[#This Row],[Date]],'DB Details'!$A:$Q,12))</f>
        <v/>
      </c>
      <c r="C31" s="54">
        <f>Table9[[#This Row],[ISM Services]]-B30</f>
        <v/>
      </c>
    </row>
    <row r="32">
      <c r="A32" s="53" t="n">
        <v>36404</v>
      </c>
      <c r="B32" s="54">
        <f>IF(VLOOKUP(Table9[[#This Row],[Date]],'DB Details'!$A:$Q,12)=0,"",VLOOKUP(Table9[[#This Row],[Date]],'DB Details'!$A:$Q,12))</f>
        <v/>
      </c>
      <c r="C32" s="54">
        <f>Table9[[#This Row],[ISM Services]]-B31</f>
        <v/>
      </c>
    </row>
    <row r="33">
      <c r="A33" s="53" t="n">
        <v>36434</v>
      </c>
      <c r="B33" s="54">
        <f>IF(VLOOKUP(Table9[[#This Row],[Date]],'DB Details'!$A:$Q,12)=0,"",VLOOKUP(Table9[[#This Row],[Date]],'DB Details'!$A:$Q,12))</f>
        <v/>
      </c>
      <c r="C33" s="54">
        <f>Table9[[#This Row],[ISM Services]]-B32</f>
        <v/>
      </c>
    </row>
    <row r="34">
      <c r="A34" s="53" t="n">
        <v>36465</v>
      </c>
      <c r="B34" s="54">
        <f>IF(VLOOKUP(Table9[[#This Row],[Date]],'DB Details'!$A:$Q,12)=0,"",VLOOKUP(Table9[[#This Row],[Date]],'DB Details'!$A:$Q,12))</f>
        <v/>
      </c>
      <c r="C34" s="54">
        <f>Table9[[#This Row],[ISM Services]]-B33</f>
        <v/>
      </c>
    </row>
    <row r="35">
      <c r="A35" s="53" t="n">
        <v>36495</v>
      </c>
      <c r="B35" s="54">
        <f>IF(VLOOKUP(Table9[[#This Row],[Date]],'DB Details'!$A:$Q,12)=0,"",VLOOKUP(Table9[[#This Row],[Date]],'DB Details'!$A:$Q,12))</f>
        <v/>
      </c>
      <c r="C35" s="54">
        <f>Table9[[#This Row],[ISM Services]]-B34</f>
        <v/>
      </c>
    </row>
    <row r="36">
      <c r="A36" s="53" t="n">
        <v>36526</v>
      </c>
      <c r="B36" s="54">
        <f>IF(VLOOKUP(Table9[[#This Row],[Date]],'DB Details'!$A:$Q,12)=0,"",VLOOKUP(Table9[[#This Row],[Date]],'DB Details'!$A:$Q,12))</f>
        <v/>
      </c>
      <c r="C36" s="54">
        <f>Table9[[#This Row],[ISM Services]]-B35</f>
        <v/>
      </c>
    </row>
    <row r="37">
      <c r="A37" s="53" t="n">
        <v>36557</v>
      </c>
      <c r="B37" s="54">
        <f>IF(VLOOKUP(Table9[[#This Row],[Date]],'DB Details'!$A:$Q,12)=0,"",VLOOKUP(Table9[[#This Row],[Date]],'DB Details'!$A:$Q,12))</f>
        <v/>
      </c>
      <c r="C37" s="54">
        <f>Table9[[#This Row],[ISM Services]]-B36</f>
        <v/>
      </c>
    </row>
    <row r="38">
      <c r="A38" s="53" t="n">
        <v>36586</v>
      </c>
      <c r="B38" s="54">
        <f>IF(VLOOKUP(Table9[[#This Row],[Date]],'DB Details'!$A:$Q,12)=0,"",VLOOKUP(Table9[[#This Row],[Date]],'DB Details'!$A:$Q,12))</f>
        <v/>
      </c>
      <c r="C38" s="54">
        <f>Table9[[#This Row],[ISM Services]]-B37</f>
        <v/>
      </c>
    </row>
    <row r="39">
      <c r="A39" s="53" t="n">
        <v>36617</v>
      </c>
      <c r="B39" s="54">
        <f>IF(VLOOKUP(Table9[[#This Row],[Date]],'DB Details'!$A:$Q,12)=0,"",VLOOKUP(Table9[[#This Row],[Date]],'DB Details'!$A:$Q,12))</f>
        <v/>
      </c>
      <c r="C39" s="54">
        <f>Table9[[#This Row],[ISM Services]]-B38</f>
        <v/>
      </c>
    </row>
    <row r="40">
      <c r="A40" s="53" t="n">
        <v>36647</v>
      </c>
      <c r="B40" s="54">
        <f>IF(VLOOKUP(Table9[[#This Row],[Date]],'DB Details'!$A:$Q,12)=0,"",VLOOKUP(Table9[[#This Row],[Date]],'DB Details'!$A:$Q,12))</f>
        <v/>
      </c>
      <c r="C40" s="54">
        <f>Table9[[#This Row],[ISM Services]]-B39</f>
        <v/>
      </c>
    </row>
    <row r="41">
      <c r="A41" s="53" t="n">
        <v>36678</v>
      </c>
      <c r="B41" s="54">
        <f>IF(VLOOKUP(Table9[[#This Row],[Date]],'DB Details'!$A:$Q,12)=0,"",VLOOKUP(Table9[[#This Row],[Date]],'DB Details'!$A:$Q,12))</f>
        <v/>
      </c>
      <c r="C41" s="54">
        <f>Table9[[#This Row],[ISM Services]]-B40</f>
        <v/>
      </c>
    </row>
    <row r="42">
      <c r="A42" s="53" t="n">
        <v>36708</v>
      </c>
      <c r="B42" s="54">
        <f>IF(VLOOKUP(Table9[[#This Row],[Date]],'DB Details'!$A:$Q,12)=0,"",VLOOKUP(Table9[[#This Row],[Date]],'DB Details'!$A:$Q,12))</f>
        <v/>
      </c>
      <c r="C42" s="54">
        <f>Table9[[#This Row],[ISM Services]]-B41</f>
        <v/>
      </c>
    </row>
    <row r="43">
      <c r="A43" s="53" t="n">
        <v>36739</v>
      </c>
      <c r="B43" s="54">
        <f>IF(VLOOKUP(Table9[[#This Row],[Date]],'DB Details'!$A:$Q,12)=0,"",VLOOKUP(Table9[[#This Row],[Date]],'DB Details'!$A:$Q,12))</f>
        <v/>
      </c>
      <c r="C43" s="54">
        <f>Table9[[#This Row],[ISM Services]]-B42</f>
        <v/>
      </c>
    </row>
    <row r="44">
      <c r="A44" s="53" t="n">
        <v>36770</v>
      </c>
      <c r="B44" s="54">
        <f>IF(VLOOKUP(Table9[[#This Row],[Date]],'DB Details'!$A:$Q,12)=0,"",VLOOKUP(Table9[[#This Row],[Date]],'DB Details'!$A:$Q,12))</f>
        <v/>
      </c>
      <c r="C44" s="54">
        <f>Table9[[#This Row],[ISM Services]]-B43</f>
        <v/>
      </c>
    </row>
    <row r="45">
      <c r="A45" s="53" t="n">
        <v>36800</v>
      </c>
      <c r="B45" s="54">
        <f>IF(VLOOKUP(Table9[[#This Row],[Date]],'DB Details'!$A:$Q,12)=0,"",VLOOKUP(Table9[[#This Row],[Date]],'DB Details'!$A:$Q,12))</f>
        <v/>
      </c>
      <c r="C45" s="54">
        <f>Table9[[#This Row],[ISM Services]]-B44</f>
        <v/>
      </c>
    </row>
    <row r="46">
      <c r="A46" s="53" t="n">
        <v>36831</v>
      </c>
      <c r="B46" s="54">
        <f>IF(VLOOKUP(Table9[[#This Row],[Date]],'DB Details'!$A:$Q,12)=0,"",VLOOKUP(Table9[[#This Row],[Date]],'DB Details'!$A:$Q,12))</f>
        <v/>
      </c>
      <c r="C46" s="54">
        <f>Table9[[#This Row],[ISM Services]]-B45</f>
        <v/>
      </c>
    </row>
    <row r="47">
      <c r="A47" s="53" t="n">
        <v>36861</v>
      </c>
      <c r="B47" s="54">
        <f>IF(VLOOKUP(Table9[[#This Row],[Date]],'DB Details'!$A:$Q,12)=0,"",VLOOKUP(Table9[[#This Row],[Date]],'DB Details'!$A:$Q,12))</f>
        <v/>
      </c>
      <c r="C47" s="54">
        <f>Table9[[#This Row],[ISM Services]]-B46</f>
        <v/>
      </c>
    </row>
    <row r="48">
      <c r="A48" s="53" t="n">
        <v>36892</v>
      </c>
      <c r="B48" s="54">
        <f>IF(VLOOKUP(Table9[[#This Row],[Date]],'DB Details'!$A:$Q,12)=0,"",VLOOKUP(Table9[[#This Row],[Date]],'DB Details'!$A:$Q,12))</f>
        <v/>
      </c>
      <c r="C48" s="54">
        <f>Table9[[#This Row],[ISM Services]]-B47</f>
        <v/>
      </c>
    </row>
    <row r="49">
      <c r="A49" s="53" t="n">
        <v>36923</v>
      </c>
      <c r="B49" s="54">
        <f>IF(VLOOKUP(Table9[[#This Row],[Date]],'DB Details'!$A:$Q,12)=0,"",VLOOKUP(Table9[[#This Row],[Date]],'DB Details'!$A:$Q,12))</f>
        <v/>
      </c>
      <c r="C49" s="54">
        <f>Table9[[#This Row],[ISM Services]]-B48</f>
        <v/>
      </c>
    </row>
    <row r="50">
      <c r="A50" s="53" t="n">
        <v>36951</v>
      </c>
      <c r="B50" s="54">
        <f>IF(VLOOKUP(Table9[[#This Row],[Date]],'DB Details'!$A:$Q,12)=0,"",VLOOKUP(Table9[[#This Row],[Date]],'DB Details'!$A:$Q,12))</f>
        <v/>
      </c>
      <c r="C50" s="54">
        <f>Table9[[#This Row],[ISM Services]]-B49</f>
        <v/>
      </c>
    </row>
    <row r="51">
      <c r="A51" s="53" t="n">
        <v>36982</v>
      </c>
      <c r="B51" s="54">
        <f>IF(VLOOKUP(Table9[[#This Row],[Date]],'DB Details'!$A:$Q,12)=0,"",VLOOKUP(Table9[[#This Row],[Date]],'DB Details'!$A:$Q,12))</f>
        <v/>
      </c>
      <c r="C51" s="54">
        <f>Table9[[#This Row],[ISM Services]]-B50</f>
        <v/>
      </c>
    </row>
    <row r="52">
      <c r="A52" s="53" t="n">
        <v>37012</v>
      </c>
      <c r="B52" s="54">
        <f>IF(VLOOKUP(Table9[[#This Row],[Date]],'DB Details'!$A:$Q,12)=0,"",VLOOKUP(Table9[[#This Row],[Date]],'DB Details'!$A:$Q,12))</f>
        <v/>
      </c>
      <c r="C52" s="54">
        <f>Table9[[#This Row],[ISM Services]]-B51</f>
        <v/>
      </c>
    </row>
    <row r="53">
      <c r="A53" s="53" t="n">
        <v>37043</v>
      </c>
      <c r="B53" s="54">
        <f>IF(VLOOKUP(Table9[[#This Row],[Date]],'DB Details'!$A:$Q,12)=0,"",VLOOKUP(Table9[[#This Row],[Date]],'DB Details'!$A:$Q,12))</f>
        <v/>
      </c>
      <c r="C53" s="54">
        <f>Table9[[#This Row],[ISM Services]]-B52</f>
        <v/>
      </c>
    </row>
    <row r="54">
      <c r="A54" s="53" t="n">
        <v>37073</v>
      </c>
      <c r="B54" s="54">
        <f>IF(VLOOKUP(Table9[[#This Row],[Date]],'DB Details'!$A:$Q,12)=0,"",VLOOKUP(Table9[[#This Row],[Date]],'DB Details'!$A:$Q,12))</f>
        <v/>
      </c>
      <c r="C54" s="54">
        <f>Table9[[#This Row],[ISM Services]]-B53</f>
        <v/>
      </c>
    </row>
    <row r="55">
      <c r="A55" s="53" t="n">
        <v>37104</v>
      </c>
      <c r="B55" s="54">
        <f>IF(VLOOKUP(Table9[[#This Row],[Date]],'DB Details'!$A:$Q,12)=0,"",VLOOKUP(Table9[[#This Row],[Date]],'DB Details'!$A:$Q,12))</f>
        <v/>
      </c>
      <c r="C55" s="54">
        <f>Table9[[#This Row],[ISM Services]]-B54</f>
        <v/>
      </c>
    </row>
    <row r="56">
      <c r="A56" s="53" t="n">
        <v>37135</v>
      </c>
      <c r="B56" s="54">
        <f>IF(VLOOKUP(Table9[[#This Row],[Date]],'DB Details'!$A:$Q,12)=0,"",VLOOKUP(Table9[[#This Row],[Date]],'DB Details'!$A:$Q,12))</f>
        <v/>
      </c>
      <c r="C56" s="54">
        <f>Table9[[#This Row],[ISM Services]]-B55</f>
        <v/>
      </c>
    </row>
    <row r="57">
      <c r="A57" s="53" t="n">
        <v>37165</v>
      </c>
      <c r="B57" s="54">
        <f>IF(VLOOKUP(Table9[[#This Row],[Date]],'DB Details'!$A:$Q,12)=0,"",VLOOKUP(Table9[[#This Row],[Date]],'DB Details'!$A:$Q,12))</f>
        <v/>
      </c>
      <c r="C57" s="54">
        <f>Table9[[#This Row],[ISM Services]]-B56</f>
        <v/>
      </c>
    </row>
    <row r="58">
      <c r="A58" s="53" t="n">
        <v>37196</v>
      </c>
      <c r="B58" s="54">
        <f>IF(VLOOKUP(Table9[[#This Row],[Date]],'DB Details'!$A:$Q,12)=0,"",VLOOKUP(Table9[[#This Row],[Date]],'DB Details'!$A:$Q,12))</f>
        <v/>
      </c>
      <c r="C58" s="54">
        <f>Table9[[#This Row],[ISM Services]]-B57</f>
        <v/>
      </c>
    </row>
    <row r="59">
      <c r="A59" s="53" t="n">
        <v>37226</v>
      </c>
      <c r="B59" s="54">
        <f>IF(VLOOKUP(Table9[[#This Row],[Date]],'DB Details'!$A:$Q,12)=0,"",VLOOKUP(Table9[[#This Row],[Date]],'DB Details'!$A:$Q,12))</f>
        <v/>
      </c>
      <c r="C59" s="54">
        <f>Table9[[#This Row],[ISM Services]]-B58</f>
        <v/>
      </c>
    </row>
    <row r="60">
      <c r="A60" s="53" t="n">
        <v>37257</v>
      </c>
      <c r="B60" s="54">
        <f>IF(VLOOKUP(Table9[[#This Row],[Date]],'DB Details'!$A:$Q,12)=0,"",VLOOKUP(Table9[[#This Row],[Date]],'DB Details'!$A:$Q,12))</f>
        <v/>
      </c>
      <c r="C60" s="54">
        <f>Table9[[#This Row],[ISM Services]]-B59</f>
        <v/>
      </c>
    </row>
    <row r="61">
      <c r="A61" s="53" t="n">
        <v>37288</v>
      </c>
      <c r="B61" s="54">
        <f>IF(VLOOKUP(Table9[[#This Row],[Date]],'DB Details'!$A:$Q,12)=0,"",VLOOKUP(Table9[[#This Row],[Date]],'DB Details'!$A:$Q,12))</f>
        <v/>
      </c>
      <c r="C61" s="54">
        <f>Table9[[#This Row],[ISM Services]]-B60</f>
        <v/>
      </c>
    </row>
    <row r="62">
      <c r="A62" s="53" t="n">
        <v>37316</v>
      </c>
      <c r="B62" s="54">
        <f>IF(VLOOKUP(Table9[[#This Row],[Date]],'DB Details'!$A:$Q,12)=0,"",VLOOKUP(Table9[[#This Row],[Date]],'DB Details'!$A:$Q,12))</f>
        <v/>
      </c>
      <c r="C62" s="54">
        <f>Table9[[#This Row],[ISM Services]]-B61</f>
        <v/>
      </c>
    </row>
    <row r="63">
      <c r="A63" s="53" t="n">
        <v>37347</v>
      </c>
      <c r="B63" s="54">
        <f>IF(VLOOKUP(Table9[[#This Row],[Date]],'DB Details'!$A:$Q,12)=0,"",VLOOKUP(Table9[[#This Row],[Date]],'DB Details'!$A:$Q,12))</f>
        <v/>
      </c>
      <c r="C63" s="54">
        <f>Table9[[#This Row],[ISM Services]]-B62</f>
        <v/>
      </c>
    </row>
    <row r="64">
      <c r="A64" s="53" t="n">
        <v>37377</v>
      </c>
      <c r="B64" s="54">
        <f>IF(VLOOKUP(Table9[[#This Row],[Date]],'DB Details'!$A:$Q,12)=0,"",VLOOKUP(Table9[[#This Row],[Date]],'DB Details'!$A:$Q,12))</f>
        <v/>
      </c>
      <c r="C64" s="54">
        <f>Table9[[#This Row],[ISM Services]]-B63</f>
        <v/>
      </c>
    </row>
    <row r="65">
      <c r="A65" s="53" t="n">
        <v>37408</v>
      </c>
      <c r="B65" s="54">
        <f>IF(VLOOKUP(Table9[[#This Row],[Date]],'DB Details'!$A:$Q,12)=0,"",VLOOKUP(Table9[[#This Row],[Date]],'DB Details'!$A:$Q,12))</f>
        <v/>
      </c>
      <c r="C65" s="54">
        <f>Table9[[#This Row],[ISM Services]]-B64</f>
        <v/>
      </c>
    </row>
    <row r="66">
      <c r="A66" s="53" t="n">
        <v>37438</v>
      </c>
      <c r="B66" s="54">
        <f>IF(VLOOKUP(Table9[[#This Row],[Date]],'DB Details'!$A:$Q,12)=0,"",VLOOKUP(Table9[[#This Row],[Date]],'DB Details'!$A:$Q,12))</f>
        <v/>
      </c>
      <c r="C66" s="54">
        <f>Table9[[#This Row],[ISM Services]]-B65</f>
        <v/>
      </c>
    </row>
    <row r="67">
      <c r="A67" s="53" t="n">
        <v>37469</v>
      </c>
      <c r="B67" s="54">
        <f>IF(VLOOKUP(Table9[[#This Row],[Date]],'DB Details'!$A:$Q,12)=0,"",VLOOKUP(Table9[[#This Row],[Date]],'DB Details'!$A:$Q,12))</f>
        <v/>
      </c>
      <c r="C67" s="54">
        <f>Table9[[#This Row],[ISM Services]]-B66</f>
        <v/>
      </c>
    </row>
    <row r="68">
      <c r="A68" s="53" t="n">
        <v>37500</v>
      </c>
      <c r="B68" s="54">
        <f>IF(VLOOKUP(Table9[[#This Row],[Date]],'DB Details'!$A:$Q,12)=0,"",VLOOKUP(Table9[[#This Row],[Date]],'DB Details'!$A:$Q,12))</f>
        <v/>
      </c>
      <c r="C68" s="54">
        <f>Table9[[#This Row],[ISM Services]]-B67</f>
        <v/>
      </c>
    </row>
    <row r="69">
      <c r="A69" s="53" t="n">
        <v>37530</v>
      </c>
      <c r="B69" s="54">
        <f>IF(VLOOKUP(Table9[[#This Row],[Date]],'DB Details'!$A:$Q,12)=0,"",VLOOKUP(Table9[[#This Row],[Date]],'DB Details'!$A:$Q,12))</f>
        <v/>
      </c>
      <c r="C69" s="54">
        <f>Table9[[#This Row],[ISM Services]]-B68</f>
        <v/>
      </c>
    </row>
    <row r="70">
      <c r="A70" s="53" t="n">
        <v>37561</v>
      </c>
      <c r="B70" s="54">
        <f>IF(VLOOKUP(Table9[[#This Row],[Date]],'DB Details'!$A:$Q,12)=0,"",VLOOKUP(Table9[[#This Row],[Date]],'DB Details'!$A:$Q,12))</f>
        <v/>
      </c>
      <c r="C70" s="54">
        <f>Table9[[#This Row],[ISM Services]]-B69</f>
        <v/>
      </c>
    </row>
    <row r="71">
      <c r="A71" s="53" t="n">
        <v>37591</v>
      </c>
      <c r="B71" s="54">
        <f>IF(VLOOKUP(Table9[[#This Row],[Date]],'DB Details'!$A:$Q,12)=0,"",VLOOKUP(Table9[[#This Row],[Date]],'DB Details'!$A:$Q,12))</f>
        <v/>
      </c>
      <c r="C71" s="54">
        <f>Table9[[#This Row],[ISM Services]]-B70</f>
        <v/>
      </c>
    </row>
    <row r="72">
      <c r="A72" s="53" t="n">
        <v>37622</v>
      </c>
      <c r="B72" s="54">
        <f>IF(VLOOKUP(Table9[[#This Row],[Date]],'DB Details'!$A:$Q,12)=0,"",VLOOKUP(Table9[[#This Row],[Date]],'DB Details'!$A:$Q,12))</f>
        <v/>
      </c>
      <c r="C72" s="54">
        <f>Table9[[#This Row],[ISM Services]]-B71</f>
        <v/>
      </c>
    </row>
    <row r="73">
      <c r="A73" s="53" t="n">
        <v>37653</v>
      </c>
      <c r="B73" s="54">
        <f>IF(VLOOKUP(Table9[[#This Row],[Date]],'DB Details'!$A:$Q,12)=0,"",VLOOKUP(Table9[[#This Row],[Date]],'DB Details'!$A:$Q,12))</f>
        <v/>
      </c>
      <c r="C73" s="54">
        <f>Table9[[#This Row],[ISM Services]]-B72</f>
        <v/>
      </c>
    </row>
    <row r="74">
      <c r="A74" s="53" t="n">
        <v>37681</v>
      </c>
      <c r="B74" s="54">
        <f>IF(VLOOKUP(Table9[[#This Row],[Date]],'DB Details'!$A:$Q,12)=0,"",VLOOKUP(Table9[[#This Row],[Date]],'DB Details'!$A:$Q,12))</f>
        <v/>
      </c>
      <c r="C74" s="54">
        <f>Table9[[#This Row],[ISM Services]]-B73</f>
        <v/>
      </c>
    </row>
    <row r="75">
      <c r="A75" s="53" t="n">
        <v>37712</v>
      </c>
      <c r="B75" s="54">
        <f>IF(VLOOKUP(Table9[[#This Row],[Date]],'DB Details'!$A:$Q,12)=0,"",VLOOKUP(Table9[[#This Row],[Date]],'DB Details'!$A:$Q,12))</f>
        <v/>
      </c>
      <c r="C75" s="54">
        <f>Table9[[#This Row],[ISM Services]]-B74</f>
        <v/>
      </c>
    </row>
    <row r="76">
      <c r="A76" s="53" t="n">
        <v>37742</v>
      </c>
      <c r="B76" s="54">
        <f>IF(VLOOKUP(Table9[[#This Row],[Date]],'DB Details'!$A:$Q,12)=0,"",VLOOKUP(Table9[[#This Row],[Date]],'DB Details'!$A:$Q,12))</f>
        <v/>
      </c>
      <c r="C76" s="54">
        <f>Table9[[#This Row],[ISM Services]]-B75</f>
        <v/>
      </c>
    </row>
    <row r="77">
      <c r="A77" s="53" t="n">
        <v>37773</v>
      </c>
      <c r="B77" s="54">
        <f>IF(VLOOKUP(Table9[[#This Row],[Date]],'DB Details'!$A:$Q,12)=0,"",VLOOKUP(Table9[[#This Row],[Date]],'DB Details'!$A:$Q,12))</f>
        <v/>
      </c>
      <c r="C77" s="54">
        <f>Table9[[#This Row],[ISM Services]]-B76</f>
        <v/>
      </c>
    </row>
    <row r="78">
      <c r="A78" s="53" t="n">
        <v>37803</v>
      </c>
      <c r="B78" s="54">
        <f>IF(VLOOKUP(Table9[[#This Row],[Date]],'DB Details'!$A:$Q,12)=0,"",VLOOKUP(Table9[[#This Row],[Date]],'DB Details'!$A:$Q,12))</f>
        <v/>
      </c>
      <c r="C78" s="54">
        <f>Table9[[#This Row],[ISM Services]]-B77</f>
        <v/>
      </c>
    </row>
    <row r="79">
      <c r="A79" s="53" t="n">
        <v>37834</v>
      </c>
      <c r="B79" s="54">
        <f>IF(VLOOKUP(Table9[[#This Row],[Date]],'DB Details'!$A:$Q,12)=0,"",VLOOKUP(Table9[[#This Row],[Date]],'DB Details'!$A:$Q,12))</f>
        <v/>
      </c>
      <c r="C79" s="54">
        <f>Table9[[#This Row],[ISM Services]]-B78</f>
        <v/>
      </c>
    </row>
    <row r="80">
      <c r="A80" s="53" t="n">
        <v>37865</v>
      </c>
      <c r="B80" s="54">
        <f>IF(VLOOKUP(Table9[[#This Row],[Date]],'DB Details'!$A:$Q,12)=0,"",VLOOKUP(Table9[[#This Row],[Date]],'DB Details'!$A:$Q,12))</f>
        <v/>
      </c>
      <c r="C80" s="54">
        <f>Table9[[#This Row],[ISM Services]]-B79</f>
        <v/>
      </c>
    </row>
    <row r="81">
      <c r="A81" s="53" t="n">
        <v>37895</v>
      </c>
      <c r="B81" s="54">
        <f>IF(VLOOKUP(Table9[[#This Row],[Date]],'DB Details'!$A:$Q,12)=0,"",VLOOKUP(Table9[[#This Row],[Date]],'DB Details'!$A:$Q,12))</f>
        <v/>
      </c>
      <c r="C81" s="54">
        <f>Table9[[#This Row],[ISM Services]]-B80</f>
        <v/>
      </c>
    </row>
    <row r="82">
      <c r="A82" s="53" t="n">
        <v>37926</v>
      </c>
      <c r="B82" s="54">
        <f>IF(VLOOKUP(Table9[[#This Row],[Date]],'DB Details'!$A:$Q,12)=0,"",VLOOKUP(Table9[[#This Row],[Date]],'DB Details'!$A:$Q,12))</f>
        <v/>
      </c>
      <c r="C82" s="54">
        <f>Table9[[#This Row],[ISM Services]]-B81</f>
        <v/>
      </c>
    </row>
    <row r="83">
      <c r="A83" s="53" t="n">
        <v>37956</v>
      </c>
      <c r="B83" s="54">
        <f>IF(VLOOKUP(Table9[[#This Row],[Date]],'DB Details'!$A:$Q,12)=0,"",VLOOKUP(Table9[[#This Row],[Date]],'DB Details'!$A:$Q,12))</f>
        <v/>
      </c>
      <c r="C83" s="54">
        <f>Table9[[#This Row],[ISM Services]]-B82</f>
        <v/>
      </c>
    </row>
    <row r="84">
      <c r="A84" s="53" t="n">
        <v>37987</v>
      </c>
      <c r="B84" s="54">
        <f>IF(VLOOKUP(Table9[[#This Row],[Date]],'DB Details'!$A:$Q,12)=0,"",VLOOKUP(Table9[[#This Row],[Date]],'DB Details'!$A:$Q,12))</f>
        <v/>
      </c>
      <c r="C84" s="54">
        <f>Table9[[#This Row],[ISM Services]]-B83</f>
        <v/>
      </c>
    </row>
    <row r="85">
      <c r="A85" s="53" t="n">
        <v>38018</v>
      </c>
      <c r="B85" s="54">
        <f>IF(VLOOKUP(Table9[[#This Row],[Date]],'DB Details'!$A:$Q,12)=0,"",VLOOKUP(Table9[[#This Row],[Date]],'DB Details'!$A:$Q,12))</f>
        <v/>
      </c>
      <c r="C85" s="54">
        <f>Table9[[#This Row],[ISM Services]]-B84</f>
        <v/>
      </c>
    </row>
    <row r="86">
      <c r="A86" s="53" t="n">
        <v>38047</v>
      </c>
      <c r="B86" s="54">
        <f>IF(VLOOKUP(Table9[[#This Row],[Date]],'DB Details'!$A:$Q,12)=0,"",VLOOKUP(Table9[[#This Row],[Date]],'DB Details'!$A:$Q,12))</f>
        <v/>
      </c>
      <c r="C86" s="54">
        <f>Table9[[#This Row],[ISM Services]]-B85</f>
        <v/>
      </c>
    </row>
    <row r="87">
      <c r="A87" s="53" t="n">
        <v>38078</v>
      </c>
      <c r="B87" s="54">
        <f>IF(VLOOKUP(Table9[[#This Row],[Date]],'DB Details'!$A:$Q,12)=0,"",VLOOKUP(Table9[[#This Row],[Date]],'DB Details'!$A:$Q,12))</f>
        <v/>
      </c>
      <c r="C87" s="54">
        <f>Table9[[#This Row],[ISM Services]]-B86</f>
        <v/>
      </c>
    </row>
    <row r="88">
      <c r="A88" s="53" t="n">
        <v>38108</v>
      </c>
      <c r="B88" s="54">
        <f>IF(VLOOKUP(Table9[[#This Row],[Date]],'DB Details'!$A:$Q,12)=0,"",VLOOKUP(Table9[[#This Row],[Date]],'DB Details'!$A:$Q,12))</f>
        <v/>
      </c>
      <c r="C88" s="54">
        <f>Table9[[#This Row],[ISM Services]]-B87</f>
        <v/>
      </c>
    </row>
    <row r="89">
      <c r="A89" s="53" t="n">
        <v>38139</v>
      </c>
      <c r="B89" s="54">
        <f>IF(VLOOKUP(Table9[[#This Row],[Date]],'DB Details'!$A:$Q,12)=0,"",VLOOKUP(Table9[[#This Row],[Date]],'DB Details'!$A:$Q,12))</f>
        <v/>
      </c>
      <c r="C89" s="54">
        <f>Table9[[#This Row],[ISM Services]]-B88</f>
        <v/>
      </c>
    </row>
    <row r="90">
      <c r="A90" s="53" t="n">
        <v>38169</v>
      </c>
      <c r="B90" s="54">
        <f>IF(VLOOKUP(Table9[[#This Row],[Date]],'DB Details'!$A:$Q,12)=0,"",VLOOKUP(Table9[[#This Row],[Date]],'DB Details'!$A:$Q,12))</f>
        <v/>
      </c>
      <c r="C90" s="54">
        <f>Table9[[#This Row],[ISM Services]]-B89</f>
        <v/>
      </c>
    </row>
    <row r="91">
      <c r="A91" s="53" t="n">
        <v>38200</v>
      </c>
      <c r="B91" s="54">
        <f>IF(VLOOKUP(Table9[[#This Row],[Date]],'DB Details'!$A:$Q,12)=0,"",VLOOKUP(Table9[[#This Row],[Date]],'DB Details'!$A:$Q,12))</f>
        <v/>
      </c>
      <c r="C91" s="54">
        <f>Table9[[#This Row],[ISM Services]]-B90</f>
        <v/>
      </c>
    </row>
    <row r="92">
      <c r="A92" s="53" t="n">
        <v>38231</v>
      </c>
      <c r="B92" s="54">
        <f>IF(VLOOKUP(Table9[[#This Row],[Date]],'DB Details'!$A:$Q,12)=0,"",VLOOKUP(Table9[[#This Row],[Date]],'DB Details'!$A:$Q,12))</f>
        <v/>
      </c>
      <c r="C92" s="54">
        <f>Table9[[#This Row],[ISM Services]]-B91</f>
        <v/>
      </c>
    </row>
    <row r="93">
      <c r="A93" s="53" t="n">
        <v>38261</v>
      </c>
      <c r="B93" s="54">
        <f>IF(VLOOKUP(Table9[[#This Row],[Date]],'DB Details'!$A:$Q,12)=0,"",VLOOKUP(Table9[[#This Row],[Date]],'DB Details'!$A:$Q,12))</f>
        <v/>
      </c>
      <c r="C93" s="54">
        <f>Table9[[#This Row],[ISM Services]]-B92</f>
        <v/>
      </c>
    </row>
    <row r="94">
      <c r="A94" s="53" t="n">
        <v>38292</v>
      </c>
      <c r="B94" s="54">
        <f>IF(VLOOKUP(Table9[[#This Row],[Date]],'DB Details'!$A:$Q,12)=0,"",VLOOKUP(Table9[[#This Row],[Date]],'DB Details'!$A:$Q,12))</f>
        <v/>
      </c>
      <c r="C94" s="54">
        <f>Table9[[#This Row],[ISM Services]]-B93</f>
        <v/>
      </c>
    </row>
    <row r="95">
      <c r="A95" s="53" t="n">
        <v>38322</v>
      </c>
      <c r="B95" s="54">
        <f>IF(VLOOKUP(Table9[[#This Row],[Date]],'DB Details'!$A:$Q,12)=0,"",VLOOKUP(Table9[[#This Row],[Date]],'DB Details'!$A:$Q,12))</f>
        <v/>
      </c>
      <c r="C95" s="54">
        <f>Table9[[#This Row],[ISM Services]]-B94</f>
        <v/>
      </c>
    </row>
    <row r="96">
      <c r="A96" s="53" t="n">
        <v>38353</v>
      </c>
      <c r="B96" s="54">
        <f>IF(VLOOKUP(Table9[[#This Row],[Date]],'DB Details'!$A:$Q,12)=0,"",VLOOKUP(Table9[[#This Row],[Date]],'DB Details'!$A:$Q,12))</f>
        <v/>
      </c>
      <c r="C96" s="54">
        <f>Table9[[#This Row],[ISM Services]]-B95</f>
        <v/>
      </c>
    </row>
    <row r="97">
      <c r="A97" s="53" t="n">
        <v>38384</v>
      </c>
      <c r="B97" s="54">
        <f>IF(VLOOKUP(Table9[[#This Row],[Date]],'DB Details'!$A:$Q,12)=0,"",VLOOKUP(Table9[[#This Row],[Date]],'DB Details'!$A:$Q,12))</f>
        <v/>
      </c>
      <c r="C97" s="54">
        <f>Table9[[#This Row],[ISM Services]]-B96</f>
        <v/>
      </c>
    </row>
    <row r="98">
      <c r="A98" s="53" t="n">
        <v>38412</v>
      </c>
      <c r="B98" s="54">
        <f>IF(VLOOKUP(Table9[[#This Row],[Date]],'DB Details'!$A:$Q,12)=0,"",VLOOKUP(Table9[[#This Row],[Date]],'DB Details'!$A:$Q,12))</f>
        <v/>
      </c>
      <c r="C98" s="54">
        <f>Table9[[#This Row],[ISM Services]]-B97</f>
        <v/>
      </c>
    </row>
    <row r="99">
      <c r="A99" s="53" t="n">
        <v>38443</v>
      </c>
      <c r="B99" s="54">
        <f>IF(VLOOKUP(Table9[[#This Row],[Date]],'DB Details'!$A:$Q,12)=0,"",VLOOKUP(Table9[[#This Row],[Date]],'DB Details'!$A:$Q,12))</f>
        <v/>
      </c>
      <c r="C99" s="54">
        <f>Table9[[#This Row],[ISM Services]]-B98</f>
        <v/>
      </c>
    </row>
    <row r="100">
      <c r="A100" s="53" t="n">
        <v>38473</v>
      </c>
      <c r="B100" s="54">
        <f>IF(VLOOKUP(Table9[[#This Row],[Date]],'DB Details'!$A:$Q,12)=0,"",VLOOKUP(Table9[[#This Row],[Date]],'DB Details'!$A:$Q,12))</f>
        <v/>
      </c>
      <c r="C100" s="54">
        <f>Table9[[#This Row],[ISM Services]]-B99</f>
        <v/>
      </c>
    </row>
    <row r="101">
      <c r="A101" s="53" t="n">
        <v>38504</v>
      </c>
      <c r="B101" s="54">
        <f>IF(VLOOKUP(Table9[[#This Row],[Date]],'DB Details'!$A:$Q,12)=0,"",VLOOKUP(Table9[[#This Row],[Date]],'DB Details'!$A:$Q,12))</f>
        <v/>
      </c>
      <c r="C101" s="54">
        <f>Table9[[#This Row],[ISM Services]]-B100</f>
        <v/>
      </c>
    </row>
    <row r="102">
      <c r="A102" s="53" t="n">
        <v>38534</v>
      </c>
      <c r="B102" s="54">
        <f>IF(VLOOKUP(Table9[[#This Row],[Date]],'DB Details'!$A:$Q,12)=0,"",VLOOKUP(Table9[[#This Row],[Date]],'DB Details'!$A:$Q,12))</f>
        <v/>
      </c>
      <c r="C102" s="54">
        <f>Table9[[#This Row],[ISM Services]]-B101</f>
        <v/>
      </c>
    </row>
    <row r="103">
      <c r="A103" s="53" t="n">
        <v>38565</v>
      </c>
      <c r="B103" s="54">
        <f>IF(VLOOKUP(Table9[[#This Row],[Date]],'DB Details'!$A:$Q,12)=0,"",VLOOKUP(Table9[[#This Row],[Date]],'DB Details'!$A:$Q,12))</f>
        <v/>
      </c>
      <c r="C103" s="54">
        <f>Table9[[#This Row],[ISM Services]]-B102</f>
        <v/>
      </c>
    </row>
    <row r="104">
      <c r="A104" s="53" t="n">
        <v>38596</v>
      </c>
      <c r="B104" s="54">
        <f>IF(VLOOKUP(Table9[[#This Row],[Date]],'DB Details'!$A:$Q,12)=0,"",VLOOKUP(Table9[[#This Row],[Date]],'DB Details'!$A:$Q,12))</f>
        <v/>
      </c>
      <c r="C104" s="54">
        <f>Table9[[#This Row],[ISM Services]]-B103</f>
        <v/>
      </c>
    </row>
    <row r="105">
      <c r="A105" s="53" t="n">
        <v>38626</v>
      </c>
      <c r="B105" s="54">
        <f>IF(VLOOKUP(Table9[[#This Row],[Date]],'DB Details'!$A:$Q,12)=0,"",VLOOKUP(Table9[[#This Row],[Date]],'DB Details'!$A:$Q,12))</f>
        <v/>
      </c>
      <c r="C105" s="54">
        <f>Table9[[#This Row],[ISM Services]]-B104</f>
        <v/>
      </c>
    </row>
    <row r="106">
      <c r="A106" s="53" t="n">
        <v>38657</v>
      </c>
      <c r="B106" s="54">
        <f>IF(VLOOKUP(Table9[[#This Row],[Date]],'DB Details'!$A:$Q,12)=0,"",VLOOKUP(Table9[[#This Row],[Date]],'DB Details'!$A:$Q,12))</f>
        <v/>
      </c>
      <c r="C106" s="54">
        <f>Table9[[#This Row],[ISM Services]]-B105</f>
        <v/>
      </c>
    </row>
    <row r="107">
      <c r="A107" s="53" t="n">
        <v>38687</v>
      </c>
      <c r="B107" s="54">
        <f>IF(VLOOKUP(Table9[[#This Row],[Date]],'DB Details'!$A:$Q,12)=0,"",VLOOKUP(Table9[[#This Row],[Date]],'DB Details'!$A:$Q,12))</f>
        <v/>
      </c>
      <c r="C107" s="54">
        <f>Table9[[#This Row],[ISM Services]]-B106</f>
        <v/>
      </c>
    </row>
    <row r="108">
      <c r="A108" s="53" t="n">
        <v>38718</v>
      </c>
      <c r="B108" s="54">
        <f>IF(VLOOKUP(Table9[[#This Row],[Date]],'DB Details'!$A:$Q,12)=0,"",VLOOKUP(Table9[[#This Row],[Date]],'DB Details'!$A:$Q,12))</f>
        <v/>
      </c>
      <c r="C108" s="54">
        <f>Table9[[#This Row],[ISM Services]]-B107</f>
        <v/>
      </c>
    </row>
    <row r="109">
      <c r="A109" s="53" t="n">
        <v>38749</v>
      </c>
      <c r="B109" s="54">
        <f>IF(VLOOKUP(Table9[[#This Row],[Date]],'DB Details'!$A:$Q,12)=0,"",VLOOKUP(Table9[[#This Row],[Date]],'DB Details'!$A:$Q,12))</f>
        <v/>
      </c>
      <c r="C109" s="54">
        <f>Table9[[#This Row],[ISM Services]]-B108</f>
        <v/>
      </c>
    </row>
    <row r="110">
      <c r="A110" s="53" t="n">
        <v>38777</v>
      </c>
      <c r="B110" s="54">
        <f>IF(VLOOKUP(Table9[[#This Row],[Date]],'DB Details'!$A:$Q,12)=0,"",VLOOKUP(Table9[[#This Row],[Date]],'DB Details'!$A:$Q,12))</f>
        <v/>
      </c>
      <c r="C110" s="54">
        <f>Table9[[#This Row],[ISM Services]]-B109</f>
        <v/>
      </c>
    </row>
    <row r="111">
      <c r="A111" s="53" t="n">
        <v>38808</v>
      </c>
      <c r="B111" s="54">
        <f>IF(VLOOKUP(Table9[[#This Row],[Date]],'DB Details'!$A:$Q,12)=0,"",VLOOKUP(Table9[[#This Row],[Date]],'DB Details'!$A:$Q,12))</f>
        <v/>
      </c>
      <c r="C111" s="54">
        <f>Table9[[#This Row],[ISM Services]]-B110</f>
        <v/>
      </c>
    </row>
    <row r="112">
      <c r="A112" s="53" t="n">
        <v>38838</v>
      </c>
      <c r="B112" s="54">
        <f>IF(VLOOKUP(Table9[[#This Row],[Date]],'DB Details'!$A:$Q,12)=0,"",VLOOKUP(Table9[[#This Row],[Date]],'DB Details'!$A:$Q,12))</f>
        <v/>
      </c>
      <c r="C112" s="54">
        <f>Table9[[#This Row],[ISM Services]]-B111</f>
        <v/>
      </c>
    </row>
    <row r="113">
      <c r="A113" s="53" t="n">
        <v>38869</v>
      </c>
      <c r="B113" s="54">
        <f>IF(VLOOKUP(Table9[[#This Row],[Date]],'DB Details'!$A:$Q,12)=0,"",VLOOKUP(Table9[[#This Row],[Date]],'DB Details'!$A:$Q,12))</f>
        <v/>
      </c>
      <c r="C113" s="54">
        <f>Table9[[#This Row],[ISM Services]]-B112</f>
        <v/>
      </c>
    </row>
    <row r="114">
      <c r="A114" s="53" t="n">
        <v>38899</v>
      </c>
      <c r="B114" s="54">
        <f>IF(VLOOKUP(Table9[[#This Row],[Date]],'DB Details'!$A:$Q,12)=0,"",VLOOKUP(Table9[[#This Row],[Date]],'DB Details'!$A:$Q,12))</f>
        <v/>
      </c>
      <c r="C114" s="54">
        <f>Table9[[#This Row],[ISM Services]]-B113</f>
        <v/>
      </c>
    </row>
    <row r="115">
      <c r="A115" s="53" t="n">
        <v>38930</v>
      </c>
      <c r="B115" s="54">
        <f>IF(VLOOKUP(Table9[[#This Row],[Date]],'DB Details'!$A:$Q,12)=0,"",VLOOKUP(Table9[[#This Row],[Date]],'DB Details'!$A:$Q,12))</f>
        <v/>
      </c>
      <c r="C115" s="54">
        <f>Table9[[#This Row],[ISM Services]]-B114</f>
        <v/>
      </c>
    </row>
    <row r="116">
      <c r="A116" s="53" t="n">
        <v>38961</v>
      </c>
      <c r="B116" s="54">
        <f>IF(VLOOKUP(Table9[[#This Row],[Date]],'DB Details'!$A:$Q,12)=0,"",VLOOKUP(Table9[[#This Row],[Date]],'DB Details'!$A:$Q,12))</f>
        <v/>
      </c>
      <c r="C116" s="54">
        <f>Table9[[#This Row],[ISM Services]]-B115</f>
        <v/>
      </c>
    </row>
    <row r="117">
      <c r="A117" s="53" t="n">
        <v>38991</v>
      </c>
      <c r="B117" s="54">
        <f>IF(VLOOKUP(Table9[[#This Row],[Date]],'DB Details'!$A:$Q,12)=0,"",VLOOKUP(Table9[[#This Row],[Date]],'DB Details'!$A:$Q,12))</f>
        <v/>
      </c>
      <c r="C117" s="54">
        <f>Table9[[#This Row],[ISM Services]]-B116</f>
        <v/>
      </c>
    </row>
    <row r="118">
      <c r="A118" s="53" t="n">
        <v>39022</v>
      </c>
      <c r="B118" s="54">
        <f>IF(VLOOKUP(Table9[[#This Row],[Date]],'DB Details'!$A:$Q,12)=0,"",VLOOKUP(Table9[[#This Row],[Date]],'DB Details'!$A:$Q,12))</f>
        <v/>
      </c>
      <c r="C118" s="54">
        <f>Table9[[#This Row],[ISM Services]]-B117</f>
        <v/>
      </c>
    </row>
    <row r="119">
      <c r="A119" s="53" t="n">
        <v>39052</v>
      </c>
      <c r="B119" s="54">
        <f>IF(VLOOKUP(Table9[[#This Row],[Date]],'DB Details'!$A:$Q,12)=0,"",VLOOKUP(Table9[[#This Row],[Date]],'DB Details'!$A:$Q,12))</f>
        <v/>
      </c>
      <c r="C119" s="54">
        <f>Table9[[#This Row],[ISM Services]]-B118</f>
        <v/>
      </c>
    </row>
    <row r="120">
      <c r="A120" s="53" t="n">
        <v>39083</v>
      </c>
      <c r="B120" s="54">
        <f>IF(VLOOKUP(Table9[[#This Row],[Date]],'DB Details'!$A:$Q,12)=0,"",VLOOKUP(Table9[[#This Row],[Date]],'DB Details'!$A:$Q,12))</f>
        <v/>
      </c>
      <c r="C120" s="54">
        <f>Table9[[#This Row],[ISM Services]]-B119</f>
        <v/>
      </c>
    </row>
    <row r="121">
      <c r="A121" s="53" t="n">
        <v>39114</v>
      </c>
      <c r="B121" s="54">
        <f>IF(VLOOKUP(Table9[[#This Row],[Date]],'DB Details'!$A:$Q,12)=0,"",VLOOKUP(Table9[[#This Row],[Date]],'DB Details'!$A:$Q,12))</f>
        <v/>
      </c>
      <c r="C121" s="54">
        <f>Table9[[#This Row],[ISM Services]]-B120</f>
        <v/>
      </c>
    </row>
    <row r="122">
      <c r="A122" s="53" t="n">
        <v>39142</v>
      </c>
      <c r="B122" s="54">
        <f>IF(VLOOKUP(Table9[[#This Row],[Date]],'DB Details'!$A:$Q,12)=0,"",VLOOKUP(Table9[[#This Row],[Date]],'DB Details'!$A:$Q,12))</f>
        <v/>
      </c>
      <c r="C122" s="54">
        <f>Table9[[#This Row],[ISM Services]]-B121</f>
        <v/>
      </c>
    </row>
    <row r="123">
      <c r="A123" s="53" t="n">
        <v>39173</v>
      </c>
      <c r="B123" s="54">
        <f>IF(VLOOKUP(Table9[[#This Row],[Date]],'DB Details'!$A:$Q,12)=0,"",VLOOKUP(Table9[[#This Row],[Date]],'DB Details'!$A:$Q,12))</f>
        <v/>
      </c>
      <c r="C123" s="54">
        <f>Table9[[#This Row],[ISM Services]]-B122</f>
        <v/>
      </c>
    </row>
    <row r="124">
      <c r="A124" s="53" t="n">
        <v>39203</v>
      </c>
      <c r="B124" s="54">
        <f>IF(VLOOKUP(Table9[[#This Row],[Date]],'DB Details'!$A:$Q,12)=0,"",VLOOKUP(Table9[[#This Row],[Date]],'DB Details'!$A:$Q,12))</f>
        <v/>
      </c>
      <c r="C124" s="54">
        <f>Table9[[#This Row],[ISM Services]]-B123</f>
        <v/>
      </c>
    </row>
    <row r="125">
      <c r="A125" s="53" t="n">
        <v>39234</v>
      </c>
      <c r="B125" s="54">
        <f>IF(VLOOKUP(Table9[[#This Row],[Date]],'DB Details'!$A:$Q,12)=0,"",VLOOKUP(Table9[[#This Row],[Date]],'DB Details'!$A:$Q,12))</f>
        <v/>
      </c>
      <c r="C125" s="54">
        <f>Table9[[#This Row],[ISM Services]]-B124</f>
        <v/>
      </c>
    </row>
    <row r="126">
      <c r="A126" s="53" t="n">
        <v>39264</v>
      </c>
      <c r="B126" s="54">
        <f>IF(VLOOKUP(Table9[[#This Row],[Date]],'DB Details'!$A:$Q,12)=0,"",VLOOKUP(Table9[[#This Row],[Date]],'DB Details'!$A:$Q,12))</f>
        <v/>
      </c>
      <c r="C126" s="54">
        <f>Table9[[#This Row],[ISM Services]]-B125</f>
        <v/>
      </c>
    </row>
    <row r="127">
      <c r="A127" s="53" t="n">
        <v>39295</v>
      </c>
      <c r="B127" s="54">
        <f>IF(VLOOKUP(Table9[[#This Row],[Date]],'DB Details'!$A:$Q,12)=0,"",VLOOKUP(Table9[[#This Row],[Date]],'DB Details'!$A:$Q,12))</f>
        <v/>
      </c>
      <c r="C127" s="54">
        <f>Table9[[#This Row],[ISM Services]]-B126</f>
        <v/>
      </c>
    </row>
    <row r="128">
      <c r="A128" s="53" t="n">
        <v>39326</v>
      </c>
      <c r="B128" s="54">
        <f>IF(VLOOKUP(Table9[[#This Row],[Date]],'DB Details'!$A:$Q,12)=0,"",VLOOKUP(Table9[[#This Row],[Date]],'DB Details'!$A:$Q,12))</f>
        <v/>
      </c>
      <c r="C128" s="54">
        <f>Table9[[#This Row],[ISM Services]]-B127</f>
        <v/>
      </c>
    </row>
    <row r="129">
      <c r="A129" s="53" t="n">
        <v>39356</v>
      </c>
      <c r="B129" s="54">
        <f>IF(VLOOKUP(Table9[[#This Row],[Date]],'DB Details'!$A:$Q,12)=0,"",VLOOKUP(Table9[[#This Row],[Date]],'DB Details'!$A:$Q,12))</f>
        <v/>
      </c>
      <c r="C129" s="54">
        <f>Table9[[#This Row],[ISM Services]]-B128</f>
        <v/>
      </c>
    </row>
    <row r="130">
      <c r="A130" s="53" t="n">
        <v>39387</v>
      </c>
      <c r="B130" s="54">
        <f>IF(VLOOKUP(Table9[[#This Row],[Date]],'DB Details'!$A:$Q,12)=0,"",VLOOKUP(Table9[[#This Row],[Date]],'DB Details'!$A:$Q,12))</f>
        <v/>
      </c>
      <c r="C130" s="54">
        <f>Table9[[#This Row],[ISM Services]]-B129</f>
        <v/>
      </c>
    </row>
    <row r="131">
      <c r="A131" s="53" t="n">
        <v>39417</v>
      </c>
      <c r="B131" s="54">
        <f>IF(VLOOKUP(Table9[[#This Row],[Date]],'DB Details'!$A:$Q,12)=0,"",VLOOKUP(Table9[[#This Row],[Date]],'DB Details'!$A:$Q,12))</f>
        <v/>
      </c>
      <c r="C131" s="54">
        <f>Table9[[#This Row],[ISM Services]]-B130</f>
        <v/>
      </c>
    </row>
    <row r="132">
      <c r="A132" s="53" t="n">
        <v>39448</v>
      </c>
      <c r="B132" s="54">
        <f>IF(VLOOKUP(Table9[[#This Row],[Date]],'DB Details'!$A:$Q,12)=0,"",VLOOKUP(Table9[[#This Row],[Date]],'DB Details'!$A:$Q,12))</f>
        <v/>
      </c>
      <c r="C132" s="54">
        <f>Table9[[#This Row],[ISM Services]]-B131</f>
        <v/>
      </c>
    </row>
    <row r="133">
      <c r="A133" s="53" t="n">
        <v>39479</v>
      </c>
      <c r="B133" s="54">
        <f>IF(VLOOKUP(Table9[[#This Row],[Date]],'DB Details'!$A:$Q,12)=0,"",VLOOKUP(Table9[[#This Row],[Date]],'DB Details'!$A:$Q,12))</f>
        <v/>
      </c>
      <c r="C133" s="54">
        <f>Table9[[#This Row],[ISM Services]]-B132</f>
        <v/>
      </c>
    </row>
    <row r="134">
      <c r="A134" s="53" t="n">
        <v>39508</v>
      </c>
      <c r="B134" s="54">
        <f>IF(VLOOKUP(Table9[[#This Row],[Date]],'DB Details'!$A:$Q,12)=0,"",VLOOKUP(Table9[[#This Row],[Date]],'DB Details'!$A:$Q,12))</f>
        <v/>
      </c>
      <c r="C134" s="54">
        <f>Table9[[#This Row],[ISM Services]]-B133</f>
        <v/>
      </c>
    </row>
    <row r="135">
      <c r="A135" s="53" t="n">
        <v>39539</v>
      </c>
      <c r="B135" s="54">
        <f>IF(VLOOKUP(Table9[[#This Row],[Date]],'DB Details'!$A:$Q,12)=0,"",VLOOKUP(Table9[[#This Row],[Date]],'DB Details'!$A:$Q,12))</f>
        <v/>
      </c>
      <c r="C135" s="54">
        <f>Table9[[#This Row],[ISM Services]]-B134</f>
        <v/>
      </c>
    </row>
    <row r="136">
      <c r="A136" s="53" t="n">
        <v>39569</v>
      </c>
      <c r="B136" s="54">
        <f>IF(VLOOKUP(Table9[[#This Row],[Date]],'DB Details'!$A:$Q,12)=0,"",VLOOKUP(Table9[[#This Row],[Date]],'DB Details'!$A:$Q,12))</f>
        <v/>
      </c>
      <c r="C136" s="54">
        <f>Table9[[#This Row],[ISM Services]]-B135</f>
        <v/>
      </c>
    </row>
    <row r="137">
      <c r="A137" s="53" t="n">
        <v>39600</v>
      </c>
      <c r="B137" s="54">
        <f>IF(VLOOKUP(Table9[[#This Row],[Date]],'DB Details'!$A:$Q,12)=0,"",VLOOKUP(Table9[[#This Row],[Date]],'DB Details'!$A:$Q,12))</f>
        <v/>
      </c>
      <c r="C137" s="54">
        <f>Table9[[#This Row],[ISM Services]]-B136</f>
        <v/>
      </c>
    </row>
    <row r="138">
      <c r="A138" s="53" t="n">
        <v>39630</v>
      </c>
      <c r="B138" s="54">
        <f>IF(VLOOKUP(Table9[[#This Row],[Date]],'DB Details'!$A:$Q,12)=0,"",VLOOKUP(Table9[[#This Row],[Date]],'DB Details'!$A:$Q,12))</f>
        <v/>
      </c>
      <c r="C138" s="54">
        <f>Table9[[#This Row],[ISM Services]]-B137</f>
        <v/>
      </c>
    </row>
    <row r="139">
      <c r="A139" s="53" t="n">
        <v>39661</v>
      </c>
      <c r="B139" s="54">
        <f>IF(VLOOKUP(Table9[[#This Row],[Date]],'DB Details'!$A:$Q,12)=0,"",VLOOKUP(Table9[[#This Row],[Date]],'DB Details'!$A:$Q,12))</f>
        <v/>
      </c>
      <c r="C139" s="54">
        <f>Table9[[#This Row],[ISM Services]]-B138</f>
        <v/>
      </c>
    </row>
    <row r="140">
      <c r="A140" s="53" t="n">
        <v>39692</v>
      </c>
      <c r="B140" s="54">
        <f>IF(VLOOKUP(Table9[[#This Row],[Date]],'DB Details'!$A:$Q,12)=0,"",VLOOKUP(Table9[[#This Row],[Date]],'DB Details'!$A:$Q,12))</f>
        <v/>
      </c>
      <c r="C140" s="54">
        <f>Table9[[#This Row],[ISM Services]]-B139</f>
        <v/>
      </c>
    </row>
    <row r="141">
      <c r="A141" s="53" t="n">
        <v>39722</v>
      </c>
      <c r="B141" s="54">
        <f>IF(VLOOKUP(Table9[[#This Row],[Date]],'DB Details'!$A:$Q,12)=0,"",VLOOKUP(Table9[[#This Row],[Date]],'DB Details'!$A:$Q,12))</f>
        <v/>
      </c>
      <c r="C141" s="54">
        <f>Table9[[#This Row],[ISM Services]]-B140</f>
        <v/>
      </c>
    </row>
    <row r="142">
      <c r="A142" s="53" t="n">
        <v>39753</v>
      </c>
      <c r="B142" s="54">
        <f>IF(VLOOKUP(Table9[[#This Row],[Date]],'DB Details'!$A:$Q,12)=0,"",VLOOKUP(Table9[[#This Row],[Date]],'DB Details'!$A:$Q,12))</f>
        <v/>
      </c>
      <c r="C142" s="54">
        <f>Table9[[#This Row],[ISM Services]]-B141</f>
        <v/>
      </c>
    </row>
    <row r="143">
      <c r="A143" s="53" t="n">
        <v>39783</v>
      </c>
      <c r="B143" s="54">
        <f>IF(VLOOKUP(Table9[[#This Row],[Date]],'DB Details'!$A:$Q,12)=0,"",VLOOKUP(Table9[[#This Row],[Date]],'DB Details'!$A:$Q,12))</f>
        <v/>
      </c>
      <c r="C143" s="54">
        <f>Table9[[#This Row],[ISM Services]]-B142</f>
        <v/>
      </c>
    </row>
    <row r="144">
      <c r="A144" s="53" t="n">
        <v>39814</v>
      </c>
      <c r="B144" s="54">
        <f>IF(VLOOKUP(Table9[[#This Row],[Date]],'DB Details'!$A:$Q,12)=0,"",VLOOKUP(Table9[[#This Row],[Date]],'DB Details'!$A:$Q,12))</f>
        <v/>
      </c>
      <c r="C144" s="54">
        <f>Table9[[#This Row],[ISM Services]]-B143</f>
        <v/>
      </c>
    </row>
    <row r="145">
      <c r="A145" s="53" t="n">
        <v>39845</v>
      </c>
      <c r="B145" s="54">
        <f>IF(VLOOKUP(Table9[[#This Row],[Date]],'DB Details'!$A:$Q,12)=0,"",VLOOKUP(Table9[[#This Row],[Date]],'DB Details'!$A:$Q,12))</f>
        <v/>
      </c>
      <c r="C145" s="54">
        <f>Table9[[#This Row],[ISM Services]]-B144</f>
        <v/>
      </c>
    </row>
    <row r="146">
      <c r="A146" s="53" t="n">
        <v>39873</v>
      </c>
      <c r="B146" s="54">
        <f>IF(VLOOKUP(Table9[[#This Row],[Date]],'DB Details'!$A:$Q,12)=0,"",VLOOKUP(Table9[[#This Row],[Date]],'DB Details'!$A:$Q,12))</f>
        <v/>
      </c>
      <c r="C146" s="54">
        <f>Table9[[#This Row],[ISM Services]]-B145</f>
        <v/>
      </c>
    </row>
    <row r="147">
      <c r="A147" s="53" t="n">
        <v>39904</v>
      </c>
      <c r="B147" s="54">
        <f>IF(VLOOKUP(Table9[[#This Row],[Date]],'DB Details'!$A:$Q,12)=0,"",VLOOKUP(Table9[[#This Row],[Date]],'DB Details'!$A:$Q,12))</f>
        <v/>
      </c>
      <c r="C147" s="54">
        <f>Table9[[#This Row],[ISM Services]]-B146</f>
        <v/>
      </c>
    </row>
    <row r="148">
      <c r="A148" s="53" t="n">
        <v>39934</v>
      </c>
      <c r="B148" s="54">
        <f>IF(VLOOKUP(Table9[[#This Row],[Date]],'DB Details'!$A:$Q,12)=0,"",VLOOKUP(Table9[[#This Row],[Date]],'DB Details'!$A:$Q,12))</f>
        <v/>
      </c>
      <c r="C148" s="54">
        <f>Table9[[#This Row],[ISM Services]]-B147</f>
        <v/>
      </c>
    </row>
    <row r="149">
      <c r="A149" s="53" t="n">
        <v>39965</v>
      </c>
      <c r="B149" s="54">
        <f>IF(VLOOKUP(Table9[[#This Row],[Date]],'DB Details'!$A:$Q,12)=0,"",VLOOKUP(Table9[[#This Row],[Date]],'DB Details'!$A:$Q,12))</f>
        <v/>
      </c>
      <c r="C149" s="54">
        <f>Table9[[#This Row],[ISM Services]]-B148</f>
        <v/>
      </c>
    </row>
    <row r="150">
      <c r="A150" s="53" t="n">
        <v>39995</v>
      </c>
      <c r="B150" s="54">
        <f>IF(VLOOKUP(Table9[[#This Row],[Date]],'DB Details'!$A:$Q,12)=0,"",VLOOKUP(Table9[[#This Row],[Date]],'DB Details'!$A:$Q,12))</f>
        <v/>
      </c>
      <c r="C150" s="54">
        <f>Table9[[#This Row],[ISM Services]]-B149</f>
        <v/>
      </c>
    </row>
    <row r="151">
      <c r="A151" s="53" t="n">
        <v>40026</v>
      </c>
      <c r="B151" s="54">
        <f>IF(VLOOKUP(Table9[[#This Row],[Date]],'DB Details'!$A:$Q,12)=0,"",VLOOKUP(Table9[[#This Row],[Date]],'DB Details'!$A:$Q,12))</f>
        <v/>
      </c>
      <c r="C151" s="54">
        <f>Table9[[#This Row],[ISM Services]]-B150</f>
        <v/>
      </c>
    </row>
    <row r="152">
      <c r="A152" s="53" t="n">
        <v>40057</v>
      </c>
      <c r="B152" s="54">
        <f>IF(VLOOKUP(Table9[[#This Row],[Date]],'DB Details'!$A:$Q,12)=0,"",VLOOKUP(Table9[[#This Row],[Date]],'DB Details'!$A:$Q,12))</f>
        <v/>
      </c>
      <c r="C152" s="54">
        <f>Table9[[#This Row],[ISM Services]]-B151</f>
        <v/>
      </c>
    </row>
    <row r="153">
      <c r="A153" s="53" t="n">
        <v>40087</v>
      </c>
      <c r="B153" s="54">
        <f>IF(VLOOKUP(Table9[[#This Row],[Date]],'DB Details'!$A:$Q,12)=0,"",VLOOKUP(Table9[[#This Row],[Date]],'DB Details'!$A:$Q,12))</f>
        <v/>
      </c>
      <c r="C153" s="54">
        <f>Table9[[#This Row],[ISM Services]]-B152</f>
        <v/>
      </c>
    </row>
    <row r="154">
      <c r="A154" s="53" t="n">
        <v>40118</v>
      </c>
      <c r="B154" s="54">
        <f>IF(VLOOKUP(Table9[[#This Row],[Date]],'DB Details'!$A:$Q,12)=0,"",VLOOKUP(Table9[[#This Row],[Date]],'DB Details'!$A:$Q,12))</f>
        <v/>
      </c>
      <c r="C154" s="54">
        <f>Table9[[#This Row],[ISM Services]]-B153</f>
        <v/>
      </c>
    </row>
    <row r="155">
      <c r="A155" s="53" t="n">
        <v>40148</v>
      </c>
      <c r="B155" s="54">
        <f>IF(VLOOKUP(Table9[[#This Row],[Date]],'DB Details'!$A:$Q,12)=0,"",VLOOKUP(Table9[[#This Row],[Date]],'DB Details'!$A:$Q,12))</f>
        <v/>
      </c>
      <c r="C155" s="54">
        <f>Table9[[#This Row],[ISM Services]]-B154</f>
        <v/>
      </c>
    </row>
    <row r="156">
      <c r="A156" s="53" t="n">
        <v>40179</v>
      </c>
      <c r="B156" s="54">
        <f>IF(VLOOKUP(Table9[[#This Row],[Date]],'DB Details'!$A:$Q,12)=0,"",VLOOKUP(Table9[[#This Row],[Date]],'DB Details'!$A:$Q,12))</f>
        <v/>
      </c>
      <c r="C156" s="54">
        <f>Table9[[#This Row],[ISM Services]]-B155</f>
        <v/>
      </c>
    </row>
    <row r="157">
      <c r="A157" s="53" t="n">
        <v>40210</v>
      </c>
      <c r="B157" s="54">
        <f>IF(VLOOKUP(Table9[[#This Row],[Date]],'DB Details'!$A:$Q,12)=0,"",VLOOKUP(Table9[[#This Row],[Date]],'DB Details'!$A:$Q,12))</f>
        <v/>
      </c>
      <c r="C157" s="54">
        <f>Table9[[#This Row],[ISM Services]]-B156</f>
        <v/>
      </c>
    </row>
    <row r="158">
      <c r="A158" s="53" t="n">
        <v>40238</v>
      </c>
      <c r="B158" s="54">
        <f>IF(VLOOKUP(Table9[[#This Row],[Date]],'DB Details'!$A:$Q,12)=0,"",VLOOKUP(Table9[[#This Row],[Date]],'DB Details'!$A:$Q,12))</f>
        <v/>
      </c>
      <c r="C158" s="54">
        <f>Table9[[#This Row],[ISM Services]]-B157</f>
        <v/>
      </c>
    </row>
    <row r="159">
      <c r="A159" s="53" t="n">
        <v>40269</v>
      </c>
      <c r="B159" s="54">
        <f>IF(VLOOKUP(Table9[[#This Row],[Date]],'DB Details'!$A:$Q,12)=0,"",VLOOKUP(Table9[[#This Row],[Date]],'DB Details'!$A:$Q,12))</f>
        <v/>
      </c>
      <c r="C159" s="54">
        <f>Table9[[#This Row],[ISM Services]]-B158</f>
        <v/>
      </c>
    </row>
    <row r="160">
      <c r="A160" s="53" t="n">
        <v>40299</v>
      </c>
      <c r="B160" s="54">
        <f>IF(VLOOKUP(Table9[[#This Row],[Date]],'DB Details'!$A:$Q,12)=0,"",VLOOKUP(Table9[[#This Row],[Date]],'DB Details'!$A:$Q,12))</f>
        <v/>
      </c>
      <c r="C160" s="54">
        <f>Table9[[#This Row],[ISM Services]]-B159</f>
        <v/>
      </c>
    </row>
    <row r="161">
      <c r="A161" s="53" t="n">
        <v>40330</v>
      </c>
      <c r="B161" s="54">
        <f>IF(VLOOKUP(Table9[[#This Row],[Date]],'DB Details'!$A:$Q,12)=0,"",VLOOKUP(Table9[[#This Row],[Date]],'DB Details'!$A:$Q,12))</f>
        <v/>
      </c>
      <c r="C161" s="54">
        <f>Table9[[#This Row],[ISM Services]]-B160</f>
        <v/>
      </c>
    </row>
    <row r="162">
      <c r="A162" s="53" t="n">
        <v>40360</v>
      </c>
      <c r="B162" s="54">
        <f>IF(VLOOKUP(Table9[[#This Row],[Date]],'DB Details'!$A:$Q,12)=0,"",VLOOKUP(Table9[[#This Row],[Date]],'DB Details'!$A:$Q,12))</f>
        <v/>
      </c>
      <c r="C162" s="54">
        <f>Table9[[#This Row],[ISM Services]]-B161</f>
        <v/>
      </c>
    </row>
    <row r="163">
      <c r="A163" s="53" t="n">
        <v>40391</v>
      </c>
      <c r="B163" s="54">
        <f>IF(VLOOKUP(Table9[[#This Row],[Date]],'DB Details'!$A:$Q,12)=0,"",VLOOKUP(Table9[[#This Row],[Date]],'DB Details'!$A:$Q,12))</f>
        <v/>
      </c>
      <c r="C163" s="54">
        <f>Table9[[#This Row],[ISM Services]]-B162</f>
        <v/>
      </c>
    </row>
    <row r="164">
      <c r="A164" s="53" t="n">
        <v>40422</v>
      </c>
      <c r="B164" s="54">
        <f>IF(VLOOKUP(Table9[[#This Row],[Date]],'DB Details'!$A:$Q,12)=0,"",VLOOKUP(Table9[[#This Row],[Date]],'DB Details'!$A:$Q,12))</f>
        <v/>
      </c>
      <c r="C164" s="54">
        <f>Table9[[#This Row],[ISM Services]]-B163</f>
        <v/>
      </c>
    </row>
    <row r="165">
      <c r="A165" s="53" t="n">
        <v>40452</v>
      </c>
      <c r="B165" s="54">
        <f>IF(VLOOKUP(Table9[[#This Row],[Date]],'DB Details'!$A:$Q,12)=0,"",VLOOKUP(Table9[[#This Row],[Date]],'DB Details'!$A:$Q,12))</f>
        <v/>
      </c>
      <c r="C165" s="54">
        <f>Table9[[#This Row],[ISM Services]]-B164</f>
        <v/>
      </c>
    </row>
    <row r="166">
      <c r="A166" s="53" t="n">
        <v>40483</v>
      </c>
      <c r="B166" s="54">
        <f>IF(VLOOKUP(Table9[[#This Row],[Date]],'DB Details'!$A:$Q,12)=0,"",VLOOKUP(Table9[[#This Row],[Date]],'DB Details'!$A:$Q,12))</f>
        <v/>
      </c>
      <c r="C166" s="54">
        <f>Table9[[#This Row],[ISM Services]]-B165</f>
        <v/>
      </c>
    </row>
    <row r="167">
      <c r="A167" s="53" t="n">
        <v>40513</v>
      </c>
      <c r="B167" s="54">
        <f>IF(VLOOKUP(Table9[[#This Row],[Date]],'DB Details'!$A:$Q,12)=0,"",VLOOKUP(Table9[[#This Row],[Date]],'DB Details'!$A:$Q,12))</f>
        <v/>
      </c>
      <c r="C167" s="54">
        <f>Table9[[#This Row],[ISM Services]]-B166</f>
        <v/>
      </c>
    </row>
    <row r="168">
      <c r="A168" s="53" t="n">
        <v>40544</v>
      </c>
      <c r="B168" s="54">
        <f>IF(VLOOKUP(Table9[[#This Row],[Date]],'DB Details'!$A:$Q,12)=0,"",VLOOKUP(Table9[[#This Row],[Date]],'DB Details'!$A:$Q,12))</f>
        <v/>
      </c>
      <c r="C168" s="54">
        <f>Table9[[#This Row],[ISM Services]]-B167</f>
        <v/>
      </c>
    </row>
    <row r="169">
      <c r="A169" s="53" t="n">
        <v>40575</v>
      </c>
      <c r="B169" s="54">
        <f>IF(VLOOKUP(Table9[[#This Row],[Date]],'DB Details'!$A:$Q,12)=0,"",VLOOKUP(Table9[[#This Row],[Date]],'DB Details'!$A:$Q,12))</f>
        <v/>
      </c>
      <c r="C169" s="54">
        <f>Table9[[#This Row],[ISM Services]]-B168</f>
        <v/>
      </c>
    </row>
    <row r="170">
      <c r="A170" s="53" t="n">
        <v>40603</v>
      </c>
      <c r="B170" s="54">
        <f>IF(VLOOKUP(Table9[[#This Row],[Date]],'DB Details'!$A:$Q,12)=0,"",VLOOKUP(Table9[[#This Row],[Date]],'DB Details'!$A:$Q,12))</f>
        <v/>
      </c>
      <c r="C170" s="54">
        <f>Table9[[#This Row],[ISM Services]]-B169</f>
        <v/>
      </c>
    </row>
    <row r="171">
      <c r="A171" s="53" t="n">
        <v>40634</v>
      </c>
      <c r="B171" s="54">
        <f>IF(VLOOKUP(Table9[[#This Row],[Date]],'DB Details'!$A:$Q,12)=0,"",VLOOKUP(Table9[[#This Row],[Date]],'DB Details'!$A:$Q,12))</f>
        <v/>
      </c>
      <c r="C171" s="54">
        <f>Table9[[#This Row],[ISM Services]]-B170</f>
        <v/>
      </c>
    </row>
    <row r="172">
      <c r="A172" s="53" t="n">
        <v>40664</v>
      </c>
      <c r="B172" s="54">
        <f>IF(VLOOKUP(Table9[[#This Row],[Date]],'DB Details'!$A:$Q,12)=0,"",VLOOKUP(Table9[[#This Row],[Date]],'DB Details'!$A:$Q,12))</f>
        <v/>
      </c>
      <c r="C172" s="54">
        <f>Table9[[#This Row],[ISM Services]]-B171</f>
        <v/>
      </c>
    </row>
    <row r="173">
      <c r="A173" s="53" t="n">
        <v>40695</v>
      </c>
      <c r="B173" s="54">
        <f>IF(VLOOKUP(Table9[[#This Row],[Date]],'DB Details'!$A:$Q,12)=0,"",VLOOKUP(Table9[[#This Row],[Date]],'DB Details'!$A:$Q,12))</f>
        <v/>
      </c>
      <c r="C173" s="54">
        <f>Table9[[#This Row],[ISM Services]]-B172</f>
        <v/>
      </c>
    </row>
    <row r="174">
      <c r="A174" s="53" t="n">
        <v>40725</v>
      </c>
      <c r="B174" s="54">
        <f>IF(VLOOKUP(Table9[[#This Row],[Date]],'DB Details'!$A:$Q,12)=0,"",VLOOKUP(Table9[[#This Row],[Date]],'DB Details'!$A:$Q,12))</f>
        <v/>
      </c>
      <c r="C174" s="54">
        <f>Table9[[#This Row],[ISM Services]]-B173</f>
        <v/>
      </c>
    </row>
    <row r="175">
      <c r="A175" s="53" t="n">
        <v>40756</v>
      </c>
      <c r="B175" s="54">
        <f>IF(VLOOKUP(Table9[[#This Row],[Date]],'DB Details'!$A:$Q,12)=0,"",VLOOKUP(Table9[[#This Row],[Date]],'DB Details'!$A:$Q,12))</f>
        <v/>
      </c>
      <c r="C175" s="54">
        <f>Table9[[#This Row],[ISM Services]]-B174</f>
        <v/>
      </c>
    </row>
    <row r="176">
      <c r="A176" s="53" t="n">
        <v>40787</v>
      </c>
      <c r="B176" s="54">
        <f>IF(VLOOKUP(Table9[[#This Row],[Date]],'DB Details'!$A:$Q,12)=0,"",VLOOKUP(Table9[[#This Row],[Date]],'DB Details'!$A:$Q,12))</f>
        <v/>
      </c>
      <c r="C176" s="54">
        <f>Table9[[#This Row],[ISM Services]]-B175</f>
        <v/>
      </c>
    </row>
    <row r="177">
      <c r="A177" s="53" t="n">
        <v>40817</v>
      </c>
      <c r="B177" s="54">
        <f>IF(VLOOKUP(Table9[[#This Row],[Date]],'DB Details'!$A:$Q,12)=0,"",VLOOKUP(Table9[[#This Row],[Date]],'DB Details'!$A:$Q,12))</f>
        <v/>
      </c>
      <c r="C177" s="54">
        <f>Table9[[#This Row],[ISM Services]]-B176</f>
        <v/>
      </c>
    </row>
    <row r="178">
      <c r="A178" s="53" t="n">
        <v>40848</v>
      </c>
      <c r="B178" s="54">
        <f>IF(VLOOKUP(Table9[[#This Row],[Date]],'DB Details'!$A:$Q,12)=0,"",VLOOKUP(Table9[[#This Row],[Date]],'DB Details'!$A:$Q,12))</f>
        <v/>
      </c>
      <c r="C178" s="54">
        <f>Table9[[#This Row],[ISM Services]]-B177</f>
        <v/>
      </c>
    </row>
    <row r="179">
      <c r="A179" s="53" t="n">
        <v>40878</v>
      </c>
      <c r="B179" s="54">
        <f>IF(VLOOKUP(Table9[[#This Row],[Date]],'DB Details'!$A:$Q,12)=0,"",VLOOKUP(Table9[[#This Row],[Date]],'DB Details'!$A:$Q,12))</f>
        <v/>
      </c>
      <c r="C179" s="54">
        <f>Table9[[#This Row],[ISM Services]]-B178</f>
        <v/>
      </c>
    </row>
    <row r="180">
      <c r="A180" s="53" t="n">
        <v>40909</v>
      </c>
      <c r="B180" s="54">
        <f>IF(VLOOKUP(Table9[[#This Row],[Date]],'DB Details'!$A:$Q,12)=0,"",VLOOKUP(Table9[[#This Row],[Date]],'DB Details'!$A:$Q,12))</f>
        <v/>
      </c>
      <c r="C180" s="54">
        <f>Table9[[#This Row],[ISM Services]]-B179</f>
        <v/>
      </c>
    </row>
    <row r="181">
      <c r="A181" s="53" t="n">
        <v>40940</v>
      </c>
      <c r="B181" s="54">
        <f>IF(VLOOKUP(Table9[[#This Row],[Date]],'DB Details'!$A:$Q,12)=0,"",VLOOKUP(Table9[[#This Row],[Date]],'DB Details'!$A:$Q,12))</f>
        <v/>
      </c>
      <c r="C181" s="54">
        <f>Table9[[#This Row],[ISM Services]]-B180</f>
        <v/>
      </c>
    </row>
    <row r="182">
      <c r="A182" s="53" t="n">
        <v>40969</v>
      </c>
      <c r="B182" s="54">
        <f>IF(VLOOKUP(Table9[[#This Row],[Date]],'DB Details'!$A:$Q,12)=0,"",VLOOKUP(Table9[[#This Row],[Date]],'DB Details'!$A:$Q,12))</f>
        <v/>
      </c>
      <c r="C182" s="54">
        <f>Table9[[#This Row],[ISM Services]]-B181</f>
        <v/>
      </c>
    </row>
    <row r="183">
      <c r="A183" s="53" t="n">
        <v>41000</v>
      </c>
      <c r="B183" s="54">
        <f>IF(VLOOKUP(Table9[[#This Row],[Date]],'DB Details'!$A:$Q,12)=0,"",VLOOKUP(Table9[[#This Row],[Date]],'DB Details'!$A:$Q,12))</f>
        <v/>
      </c>
      <c r="C183" s="54">
        <f>Table9[[#This Row],[ISM Services]]-B182</f>
        <v/>
      </c>
    </row>
    <row r="184">
      <c r="A184" s="53" t="n">
        <v>41030</v>
      </c>
      <c r="B184" s="54">
        <f>IF(VLOOKUP(Table9[[#This Row],[Date]],'DB Details'!$A:$Q,12)=0,"",VLOOKUP(Table9[[#This Row],[Date]],'DB Details'!$A:$Q,12))</f>
        <v/>
      </c>
      <c r="C184" s="54">
        <f>Table9[[#This Row],[ISM Services]]-B183</f>
        <v/>
      </c>
    </row>
    <row r="185">
      <c r="A185" s="53" t="n">
        <v>41061</v>
      </c>
      <c r="B185" s="54">
        <f>IF(VLOOKUP(Table9[[#This Row],[Date]],'DB Details'!$A:$Q,12)=0,"",VLOOKUP(Table9[[#This Row],[Date]],'DB Details'!$A:$Q,12))</f>
        <v/>
      </c>
      <c r="C185" s="54">
        <f>Table9[[#This Row],[ISM Services]]-B184</f>
        <v/>
      </c>
    </row>
    <row r="186">
      <c r="A186" s="53" t="n">
        <v>41091</v>
      </c>
      <c r="B186" s="54">
        <f>IF(VLOOKUP(Table9[[#This Row],[Date]],'DB Details'!$A:$Q,12)=0,"",VLOOKUP(Table9[[#This Row],[Date]],'DB Details'!$A:$Q,12))</f>
        <v/>
      </c>
      <c r="C186" s="54">
        <f>Table9[[#This Row],[ISM Services]]-B185</f>
        <v/>
      </c>
    </row>
    <row r="187">
      <c r="A187" s="53" t="n">
        <v>41122</v>
      </c>
      <c r="B187" s="54">
        <f>IF(VLOOKUP(Table9[[#This Row],[Date]],'DB Details'!$A:$Q,12)=0,"",VLOOKUP(Table9[[#This Row],[Date]],'DB Details'!$A:$Q,12))</f>
        <v/>
      </c>
      <c r="C187" s="54">
        <f>Table9[[#This Row],[ISM Services]]-B186</f>
        <v/>
      </c>
    </row>
    <row r="188">
      <c r="A188" s="53" t="n">
        <v>41153</v>
      </c>
      <c r="B188" s="54">
        <f>IF(VLOOKUP(Table9[[#This Row],[Date]],'DB Details'!$A:$Q,12)=0,"",VLOOKUP(Table9[[#This Row],[Date]],'DB Details'!$A:$Q,12))</f>
        <v/>
      </c>
      <c r="C188" s="54">
        <f>Table9[[#This Row],[ISM Services]]-B187</f>
        <v/>
      </c>
    </row>
    <row r="189">
      <c r="A189" s="53" t="n">
        <v>41183</v>
      </c>
      <c r="B189" s="54">
        <f>IF(VLOOKUP(Table9[[#This Row],[Date]],'DB Details'!$A:$Q,12)=0,"",VLOOKUP(Table9[[#This Row],[Date]],'DB Details'!$A:$Q,12))</f>
        <v/>
      </c>
      <c r="C189" s="54">
        <f>Table9[[#This Row],[ISM Services]]-B188</f>
        <v/>
      </c>
    </row>
    <row r="190">
      <c r="A190" s="53" t="n">
        <v>41214</v>
      </c>
      <c r="B190" s="54">
        <f>IF(VLOOKUP(Table9[[#This Row],[Date]],'DB Details'!$A:$Q,12)=0,"",VLOOKUP(Table9[[#This Row],[Date]],'DB Details'!$A:$Q,12))</f>
        <v/>
      </c>
      <c r="C190" s="54">
        <f>Table9[[#This Row],[ISM Services]]-B189</f>
        <v/>
      </c>
    </row>
    <row r="191">
      <c r="A191" s="53" t="n">
        <v>41244</v>
      </c>
      <c r="B191" s="54">
        <f>IF(VLOOKUP(Table9[[#This Row],[Date]],'DB Details'!$A:$Q,12)=0,"",VLOOKUP(Table9[[#This Row],[Date]],'DB Details'!$A:$Q,12))</f>
        <v/>
      </c>
      <c r="C191" s="54">
        <f>Table9[[#This Row],[ISM Services]]-B190</f>
        <v/>
      </c>
    </row>
    <row r="192">
      <c r="A192" s="53" t="n">
        <v>41275</v>
      </c>
      <c r="B192" s="54">
        <f>IF(VLOOKUP(Table9[[#This Row],[Date]],'DB Details'!$A:$Q,12)=0,"",VLOOKUP(Table9[[#This Row],[Date]],'DB Details'!$A:$Q,12))</f>
        <v/>
      </c>
      <c r="C192" s="54">
        <f>Table9[[#This Row],[ISM Services]]-B191</f>
        <v/>
      </c>
    </row>
    <row r="193">
      <c r="A193" s="53" t="n">
        <v>41306</v>
      </c>
      <c r="B193" s="54">
        <f>IF(VLOOKUP(Table9[[#This Row],[Date]],'DB Details'!$A:$Q,12)=0,"",VLOOKUP(Table9[[#This Row],[Date]],'DB Details'!$A:$Q,12))</f>
        <v/>
      </c>
      <c r="C193" s="54">
        <f>Table9[[#This Row],[ISM Services]]-B192</f>
        <v/>
      </c>
    </row>
    <row r="194">
      <c r="A194" s="53" t="n">
        <v>41334</v>
      </c>
      <c r="B194" s="54">
        <f>IF(VLOOKUP(Table9[[#This Row],[Date]],'DB Details'!$A:$Q,12)=0,"",VLOOKUP(Table9[[#This Row],[Date]],'DB Details'!$A:$Q,12))</f>
        <v/>
      </c>
      <c r="C194" s="54">
        <f>Table9[[#This Row],[ISM Services]]-B193</f>
        <v/>
      </c>
    </row>
    <row r="195">
      <c r="A195" s="53" t="n">
        <v>41365</v>
      </c>
      <c r="B195" s="54">
        <f>IF(VLOOKUP(Table9[[#This Row],[Date]],'DB Details'!$A:$Q,12)=0,"",VLOOKUP(Table9[[#This Row],[Date]],'DB Details'!$A:$Q,12))</f>
        <v/>
      </c>
      <c r="C195" s="54">
        <f>Table9[[#This Row],[ISM Services]]-B194</f>
        <v/>
      </c>
    </row>
    <row r="196">
      <c r="A196" s="53" t="n">
        <v>41395</v>
      </c>
      <c r="B196" s="54">
        <f>IF(VLOOKUP(Table9[[#This Row],[Date]],'DB Details'!$A:$Q,12)=0,"",VLOOKUP(Table9[[#This Row],[Date]],'DB Details'!$A:$Q,12))</f>
        <v/>
      </c>
      <c r="C196" s="54">
        <f>Table9[[#This Row],[ISM Services]]-B195</f>
        <v/>
      </c>
    </row>
    <row r="197">
      <c r="A197" s="53" t="n">
        <v>41426</v>
      </c>
      <c r="B197" s="54">
        <f>IF(VLOOKUP(Table9[[#This Row],[Date]],'DB Details'!$A:$Q,12)=0,"",VLOOKUP(Table9[[#This Row],[Date]],'DB Details'!$A:$Q,12))</f>
        <v/>
      </c>
      <c r="C197" s="54">
        <f>Table9[[#This Row],[ISM Services]]-B196</f>
        <v/>
      </c>
    </row>
    <row r="198">
      <c r="A198" s="53" t="n">
        <v>41456</v>
      </c>
      <c r="B198" s="54">
        <f>IF(VLOOKUP(Table9[[#This Row],[Date]],'DB Details'!$A:$Q,12)=0,"",VLOOKUP(Table9[[#This Row],[Date]],'DB Details'!$A:$Q,12))</f>
        <v/>
      </c>
      <c r="C198" s="54">
        <f>Table9[[#This Row],[ISM Services]]-B197</f>
        <v/>
      </c>
    </row>
    <row r="199">
      <c r="A199" s="53" t="n">
        <v>41487</v>
      </c>
      <c r="B199" s="54">
        <f>IF(VLOOKUP(Table9[[#This Row],[Date]],'DB Details'!$A:$Q,12)=0,"",VLOOKUP(Table9[[#This Row],[Date]],'DB Details'!$A:$Q,12))</f>
        <v/>
      </c>
      <c r="C199" s="54">
        <f>Table9[[#This Row],[ISM Services]]-B198</f>
        <v/>
      </c>
    </row>
    <row r="200">
      <c r="A200" s="53" t="n">
        <v>41518</v>
      </c>
      <c r="B200" s="54">
        <f>IF(VLOOKUP(Table9[[#This Row],[Date]],'DB Details'!$A:$Q,12)=0,"",VLOOKUP(Table9[[#This Row],[Date]],'DB Details'!$A:$Q,12))</f>
        <v/>
      </c>
      <c r="C200" s="54">
        <f>Table9[[#This Row],[ISM Services]]-B199</f>
        <v/>
      </c>
    </row>
    <row r="201">
      <c r="A201" s="53" t="n">
        <v>41548</v>
      </c>
      <c r="B201" s="54">
        <f>IF(VLOOKUP(Table9[[#This Row],[Date]],'DB Details'!$A:$Q,12)=0,"",VLOOKUP(Table9[[#This Row],[Date]],'DB Details'!$A:$Q,12))</f>
        <v/>
      </c>
      <c r="C201" s="54">
        <f>Table9[[#This Row],[ISM Services]]-B200</f>
        <v/>
      </c>
    </row>
    <row r="202">
      <c r="A202" s="53" t="n">
        <v>41579</v>
      </c>
      <c r="B202" s="54">
        <f>IF(VLOOKUP(Table9[[#This Row],[Date]],'DB Details'!$A:$Q,12)=0,"",VLOOKUP(Table9[[#This Row],[Date]],'DB Details'!$A:$Q,12))</f>
        <v/>
      </c>
      <c r="C202" s="54">
        <f>Table9[[#This Row],[ISM Services]]-B201</f>
        <v/>
      </c>
    </row>
    <row r="203">
      <c r="A203" s="53" t="n">
        <v>41609</v>
      </c>
      <c r="B203" s="54">
        <f>IF(VLOOKUP(Table9[[#This Row],[Date]],'DB Details'!$A:$Q,12)=0,"",VLOOKUP(Table9[[#This Row],[Date]],'DB Details'!$A:$Q,12))</f>
        <v/>
      </c>
      <c r="C203" s="54">
        <f>Table9[[#This Row],[ISM Services]]-B202</f>
        <v/>
      </c>
    </row>
    <row r="204">
      <c r="A204" s="53" t="n">
        <v>41640</v>
      </c>
      <c r="B204" s="54">
        <f>IF(VLOOKUP(Table9[[#This Row],[Date]],'DB Details'!$A:$Q,12)=0,"",VLOOKUP(Table9[[#This Row],[Date]],'DB Details'!$A:$Q,12))</f>
        <v/>
      </c>
      <c r="C204" s="54">
        <f>Table9[[#This Row],[ISM Services]]-B203</f>
        <v/>
      </c>
    </row>
    <row r="205">
      <c r="A205" s="53" t="n">
        <v>41671</v>
      </c>
      <c r="B205" s="54">
        <f>IF(VLOOKUP(Table9[[#This Row],[Date]],'DB Details'!$A:$Q,12)=0,"",VLOOKUP(Table9[[#This Row],[Date]],'DB Details'!$A:$Q,12))</f>
        <v/>
      </c>
      <c r="C205" s="54">
        <f>Table9[[#This Row],[ISM Services]]-B204</f>
        <v/>
      </c>
    </row>
    <row r="206">
      <c r="A206" s="53" t="n">
        <v>41699</v>
      </c>
      <c r="B206" s="54">
        <f>IF(VLOOKUP(Table9[[#This Row],[Date]],'DB Details'!$A:$Q,12)=0,"",VLOOKUP(Table9[[#This Row],[Date]],'DB Details'!$A:$Q,12))</f>
        <v/>
      </c>
      <c r="C206" s="54">
        <f>Table9[[#This Row],[ISM Services]]-B205</f>
        <v/>
      </c>
    </row>
    <row r="207">
      <c r="A207" s="53" t="n">
        <v>41730</v>
      </c>
      <c r="B207" s="54">
        <f>IF(VLOOKUP(Table9[[#This Row],[Date]],'DB Details'!$A:$Q,12)=0,"",VLOOKUP(Table9[[#This Row],[Date]],'DB Details'!$A:$Q,12))</f>
        <v/>
      </c>
      <c r="C207" s="54">
        <f>Table9[[#This Row],[ISM Services]]-B206</f>
        <v/>
      </c>
    </row>
    <row r="208">
      <c r="A208" s="53" t="n">
        <v>41760</v>
      </c>
      <c r="B208" s="54">
        <f>IF(VLOOKUP(Table9[[#This Row],[Date]],'DB Details'!$A:$Q,12)=0,"",VLOOKUP(Table9[[#This Row],[Date]],'DB Details'!$A:$Q,12))</f>
        <v/>
      </c>
      <c r="C208" s="54">
        <f>Table9[[#This Row],[ISM Services]]-B207</f>
        <v/>
      </c>
    </row>
    <row r="209">
      <c r="A209" s="53" t="n">
        <v>41791</v>
      </c>
      <c r="B209" s="54">
        <f>IF(VLOOKUP(Table9[[#This Row],[Date]],'DB Details'!$A:$Q,12)=0,"",VLOOKUP(Table9[[#This Row],[Date]],'DB Details'!$A:$Q,12))</f>
        <v/>
      </c>
      <c r="C209" s="54">
        <f>Table9[[#This Row],[ISM Services]]-B208</f>
        <v/>
      </c>
    </row>
    <row r="210">
      <c r="A210" s="53" t="n">
        <v>41821</v>
      </c>
      <c r="B210" s="54">
        <f>IF(VLOOKUP(Table9[[#This Row],[Date]],'DB Details'!$A:$Q,12)=0,"",VLOOKUP(Table9[[#This Row],[Date]],'DB Details'!$A:$Q,12))</f>
        <v/>
      </c>
      <c r="C210" s="54">
        <f>Table9[[#This Row],[ISM Services]]-B209</f>
        <v/>
      </c>
    </row>
    <row r="211">
      <c r="A211" s="53" t="n">
        <v>41852</v>
      </c>
      <c r="B211" s="54">
        <f>IF(VLOOKUP(Table9[[#This Row],[Date]],'DB Details'!$A:$Q,12)=0,"",VLOOKUP(Table9[[#This Row],[Date]],'DB Details'!$A:$Q,12))</f>
        <v/>
      </c>
      <c r="C211" s="54">
        <f>Table9[[#This Row],[ISM Services]]-B210</f>
        <v/>
      </c>
    </row>
    <row r="212">
      <c r="A212" s="53" t="n">
        <v>41883</v>
      </c>
      <c r="B212" s="54">
        <f>IF(VLOOKUP(Table9[[#This Row],[Date]],'DB Details'!$A:$Q,12)=0,"",VLOOKUP(Table9[[#This Row],[Date]],'DB Details'!$A:$Q,12))</f>
        <v/>
      </c>
      <c r="C212" s="54">
        <f>Table9[[#This Row],[ISM Services]]-B211</f>
        <v/>
      </c>
    </row>
    <row r="213">
      <c r="A213" s="53" t="n">
        <v>41913</v>
      </c>
      <c r="B213" s="54">
        <f>IF(VLOOKUP(Table9[[#This Row],[Date]],'DB Details'!$A:$Q,12)=0,"",VLOOKUP(Table9[[#This Row],[Date]],'DB Details'!$A:$Q,12))</f>
        <v/>
      </c>
      <c r="C213" s="54">
        <f>Table9[[#This Row],[ISM Services]]-B212</f>
        <v/>
      </c>
    </row>
    <row r="214">
      <c r="A214" s="53" t="n">
        <v>41944</v>
      </c>
      <c r="B214" s="54">
        <f>IF(VLOOKUP(Table9[[#This Row],[Date]],'DB Details'!$A:$Q,12)=0,"",VLOOKUP(Table9[[#This Row],[Date]],'DB Details'!$A:$Q,12))</f>
        <v/>
      </c>
      <c r="C214" s="54">
        <f>Table9[[#This Row],[ISM Services]]-B213</f>
        <v/>
      </c>
    </row>
    <row r="215">
      <c r="A215" s="53" t="n">
        <v>41974</v>
      </c>
      <c r="B215" s="54">
        <f>IF(VLOOKUP(Table9[[#This Row],[Date]],'DB Details'!$A:$Q,12)=0,"",VLOOKUP(Table9[[#This Row],[Date]],'DB Details'!$A:$Q,12))</f>
        <v/>
      </c>
      <c r="C215" s="54">
        <f>Table9[[#This Row],[ISM Services]]-B214</f>
        <v/>
      </c>
    </row>
    <row r="216">
      <c r="A216" s="53" t="n">
        <v>42005</v>
      </c>
      <c r="B216" s="54">
        <f>IF(VLOOKUP(Table9[[#This Row],[Date]],'DB Details'!$A:$Q,12)=0,"",VLOOKUP(Table9[[#This Row],[Date]],'DB Details'!$A:$Q,12))</f>
        <v/>
      </c>
      <c r="C216" s="54">
        <f>Table9[[#This Row],[ISM Services]]-B215</f>
        <v/>
      </c>
    </row>
    <row r="217">
      <c r="A217" s="53" t="n">
        <v>42036</v>
      </c>
      <c r="B217" s="54">
        <f>IF(VLOOKUP(Table9[[#This Row],[Date]],'DB Details'!$A:$Q,12)=0,"",VLOOKUP(Table9[[#This Row],[Date]],'DB Details'!$A:$Q,12))</f>
        <v/>
      </c>
      <c r="C217" s="54">
        <f>Table9[[#This Row],[ISM Services]]-B216</f>
        <v/>
      </c>
    </row>
    <row r="218">
      <c r="A218" s="53" t="n">
        <v>42064</v>
      </c>
      <c r="B218" s="54">
        <f>IF(VLOOKUP(Table9[[#This Row],[Date]],'DB Details'!$A:$Q,12)=0,"",VLOOKUP(Table9[[#This Row],[Date]],'DB Details'!$A:$Q,12))</f>
        <v/>
      </c>
      <c r="C218" s="54">
        <f>Table9[[#This Row],[ISM Services]]-B217</f>
        <v/>
      </c>
    </row>
    <row r="219">
      <c r="A219" s="53" t="n">
        <v>42095</v>
      </c>
      <c r="B219" s="54">
        <f>IF(VLOOKUP(Table9[[#This Row],[Date]],'DB Details'!$A:$Q,12)=0,"",VLOOKUP(Table9[[#This Row],[Date]],'DB Details'!$A:$Q,12))</f>
        <v/>
      </c>
      <c r="C219" s="54">
        <f>Table9[[#This Row],[ISM Services]]-B218</f>
        <v/>
      </c>
    </row>
    <row r="220">
      <c r="A220" s="53" t="n">
        <v>42125</v>
      </c>
      <c r="B220" s="54">
        <f>IF(VLOOKUP(Table9[[#This Row],[Date]],'DB Details'!$A:$Q,12)=0,"",VLOOKUP(Table9[[#This Row],[Date]],'DB Details'!$A:$Q,12))</f>
        <v/>
      </c>
      <c r="C220" s="54">
        <f>Table9[[#This Row],[ISM Services]]-B219</f>
        <v/>
      </c>
    </row>
    <row r="221">
      <c r="A221" s="53" t="n">
        <v>42156</v>
      </c>
      <c r="B221" s="54">
        <f>IF(VLOOKUP(Table9[[#This Row],[Date]],'DB Details'!$A:$Q,12)=0,"",VLOOKUP(Table9[[#This Row],[Date]],'DB Details'!$A:$Q,12))</f>
        <v/>
      </c>
      <c r="C221" s="54">
        <f>Table9[[#This Row],[ISM Services]]-B220</f>
        <v/>
      </c>
    </row>
    <row r="222">
      <c r="A222" s="53" t="n">
        <v>42186</v>
      </c>
      <c r="B222" s="54">
        <f>IF(VLOOKUP(Table9[[#This Row],[Date]],'DB Details'!$A:$Q,12)=0,"",VLOOKUP(Table9[[#This Row],[Date]],'DB Details'!$A:$Q,12))</f>
        <v/>
      </c>
      <c r="C222" s="54">
        <f>Table9[[#This Row],[ISM Services]]-B221</f>
        <v/>
      </c>
    </row>
    <row r="223">
      <c r="A223" s="53" t="n">
        <v>42217</v>
      </c>
      <c r="B223" s="54">
        <f>IF(VLOOKUP(Table9[[#This Row],[Date]],'DB Details'!$A:$Q,12)=0,"",VLOOKUP(Table9[[#This Row],[Date]],'DB Details'!$A:$Q,12))</f>
        <v/>
      </c>
      <c r="C223" s="54">
        <f>Table9[[#This Row],[ISM Services]]-B222</f>
        <v/>
      </c>
    </row>
    <row r="224">
      <c r="A224" s="53" t="n">
        <v>42248</v>
      </c>
      <c r="B224" s="54">
        <f>IF(VLOOKUP(Table9[[#This Row],[Date]],'DB Details'!$A:$Q,12)=0,"",VLOOKUP(Table9[[#This Row],[Date]],'DB Details'!$A:$Q,12))</f>
        <v/>
      </c>
      <c r="C224" s="54">
        <f>Table9[[#This Row],[ISM Services]]-B223</f>
        <v/>
      </c>
    </row>
    <row r="225">
      <c r="A225" s="53" t="n">
        <v>42278</v>
      </c>
      <c r="B225" s="54">
        <f>IF(VLOOKUP(Table9[[#This Row],[Date]],'DB Details'!$A:$Q,12)=0,"",VLOOKUP(Table9[[#This Row],[Date]],'DB Details'!$A:$Q,12))</f>
        <v/>
      </c>
      <c r="C225" s="54">
        <f>Table9[[#This Row],[ISM Services]]-B224</f>
        <v/>
      </c>
    </row>
    <row r="226">
      <c r="A226" s="53" t="n">
        <v>42309</v>
      </c>
      <c r="B226" s="54">
        <f>IF(VLOOKUP(Table9[[#This Row],[Date]],'DB Details'!$A:$Q,12)=0,"",VLOOKUP(Table9[[#This Row],[Date]],'DB Details'!$A:$Q,12))</f>
        <v/>
      </c>
      <c r="C226" s="54">
        <f>Table9[[#This Row],[ISM Services]]-B225</f>
        <v/>
      </c>
    </row>
    <row r="227">
      <c r="A227" s="53" t="n">
        <v>42339</v>
      </c>
      <c r="B227" s="54">
        <f>IF(VLOOKUP(Table9[[#This Row],[Date]],'DB Details'!$A:$Q,12)=0,"",VLOOKUP(Table9[[#This Row],[Date]],'DB Details'!$A:$Q,12))</f>
        <v/>
      </c>
      <c r="C227" s="54">
        <f>Table9[[#This Row],[ISM Services]]-B226</f>
        <v/>
      </c>
    </row>
    <row r="228">
      <c r="A228" s="53" t="n">
        <v>42370</v>
      </c>
      <c r="B228" s="54">
        <f>IF(VLOOKUP(Table9[[#This Row],[Date]],'DB Details'!$A:$Q,12)=0,"",VLOOKUP(Table9[[#This Row],[Date]],'DB Details'!$A:$Q,12))</f>
        <v/>
      </c>
      <c r="C228" s="54">
        <f>Table9[[#This Row],[ISM Services]]-B227</f>
        <v/>
      </c>
    </row>
    <row r="229">
      <c r="A229" s="53" t="n">
        <v>42401</v>
      </c>
      <c r="B229" s="54">
        <f>IF(VLOOKUP(Table9[[#This Row],[Date]],'DB Details'!$A:$Q,12)=0,"",VLOOKUP(Table9[[#This Row],[Date]],'DB Details'!$A:$Q,12))</f>
        <v/>
      </c>
      <c r="C229" s="54">
        <f>Table9[[#This Row],[ISM Services]]-B228</f>
        <v/>
      </c>
    </row>
    <row r="230">
      <c r="A230" s="53" t="n">
        <v>42430</v>
      </c>
      <c r="B230" s="54">
        <f>IF(VLOOKUP(Table9[[#This Row],[Date]],'DB Details'!$A:$Q,12)=0,"",VLOOKUP(Table9[[#This Row],[Date]],'DB Details'!$A:$Q,12))</f>
        <v/>
      </c>
      <c r="C230" s="54">
        <f>Table9[[#This Row],[ISM Services]]-B229</f>
        <v/>
      </c>
    </row>
    <row r="231">
      <c r="A231" s="53" t="n">
        <v>42461</v>
      </c>
      <c r="B231" s="54">
        <f>IF(VLOOKUP(Table9[[#This Row],[Date]],'DB Details'!$A:$Q,12)=0,"",VLOOKUP(Table9[[#This Row],[Date]],'DB Details'!$A:$Q,12))</f>
        <v/>
      </c>
      <c r="C231" s="54">
        <f>Table9[[#This Row],[ISM Services]]-B230</f>
        <v/>
      </c>
    </row>
    <row r="232">
      <c r="A232" s="53" t="n">
        <v>42491</v>
      </c>
      <c r="B232" s="54">
        <f>IF(VLOOKUP(Table9[[#This Row],[Date]],'DB Details'!$A:$Q,12)=0,"",VLOOKUP(Table9[[#This Row],[Date]],'DB Details'!$A:$Q,12))</f>
        <v/>
      </c>
      <c r="C232" s="54">
        <f>Table9[[#This Row],[ISM Services]]-B231</f>
        <v/>
      </c>
    </row>
    <row r="233">
      <c r="A233" s="53" t="n">
        <v>42522</v>
      </c>
      <c r="B233" s="54">
        <f>IF(VLOOKUP(Table9[[#This Row],[Date]],'DB Details'!$A:$Q,12)=0,"",VLOOKUP(Table9[[#This Row],[Date]],'DB Details'!$A:$Q,12))</f>
        <v/>
      </c>
      <c r="C233" s="54">
        <f>Table9[[#This Row],[ISM Services]]-B232</f>
        <v/>
      </c>
    </row>
    <row r="234">
      <c r="A234" s="53" t="n">
        <v>42552</v>
      </c>
      <c r="B234" s="54">
        <f>IF(VLOOKUP(Table9[[#This Row],[Date]],'DB Details'!$A:$Q,12)=0,"",VLOOKUP(Table9[[#This Row],[Date]],'DB Details'!$A:$Q,12))</f>
        <v/>
      </c>
      <c r="C234" s="54">
        <f>Table9[[#This Row],[ISM Services]]-B233</f>
        <v/>
      </c>
    </row>
    <row r="235">
      <c r="A235" s="53" t="n">
        <v>42583</v>
      </c>
      <c r="B235" s="54">
        <f>IF(VLOOKUP(Table9[[#This Row],[Date]],'DB Details'!$A:$Q,12)=0,"",VLOOKUP(Table9[[#This Row],[Date]],'DB Details'!$A:$Q,12))</f>
        <v/>
      </c>
      <c r="C235" s="54">
        <f>Table9[[#This Row],[ISM Services]]-B234</f>
        <v/>
      </c>
    </row>
    <row r="236">
      <c r="A236" s="53" t="n">
        <v>42614</v>
      </c>
      <c r="B236" s="54">
        <f>IF(VLOOKUP(Table9[[#This Row],[Date]],'DB Details'!$A:$Q,12)=0,"",VLOOKUP(Table9[[#This Row],[Date]],'DB Details'!$A:$Q,12))</f>
        <v/>
      </c>
      <c r="C236" s="54">
        <f>Table9[[#This Row],[ISM Services]]-B235</f>
        <v/>
      </c>
    </row>
    <row r="237">
      <c r="A237" s="53" t="n">
        <v>42644</v>
      </c>
      <c r="B237" s="54">
        <f>IF(VLOOKUP(Table9[[#This Row],[Date]],'DB Details'!$A:$Q,12)=0,"",VLOOKUP(Table9[[#This Row],[Date]],'DB Details'!$A:$Q,12))</f>
        <v/>
      </c>
      <c r="C237" s="54">
        <f>Table9[[#This Row],[ISM Services]]-B236</f>
        <v/>
      </c>
    </row>
    <row r="238">
      <c r="A238" s="53" t="n">
        <v>42675</v>
      </c>
      <c r="B238" s="54">
        <f>IF(VLOOKUP(Table9[[#This Row],[Date]],'DB Details'!$A:$Q,12)=0,"",VLOOKUP(Table9[[#This Row],[Date]],'DB Details'!$A:$Q,12))</f>
        <v/>
      </c>
      <c r="C238" s="54">
        <f>Table9[[#This Row],[ISM Services]]-B237</f>
        <v/>
      </c>
    </row>
    <row r="239">
      <c r="A239" s="53" t="n">
        <v>42705</v>
      </c>
      <c r="B239" s="54">
        <f>IF(VLOOKUP(Table9[[#This Row],[Date]],'DB Details'!$A:$Q,12)=0,"",VLOOKUP(Table9[[#This Row],[Date]],'DB Details'!$A:$Q,12))</f>
        <v/>
      </c>
      <c r="C239" s="54">
        <f>Table9[[#This Row],[ISM Services]]-B238</f>
        <v/>
      </c>
    </row>
    <row r="240">
      <c r="A240" s="53" t="n">
        <v>42736</v>
      </c>
      <c r="B240" s="54">
        <f>IF(VLOOKUP(Table9[[#This Row],[Date]],'DB Details'!$A:$Q,12)=0,"",VLOOKUP(Table9[[#This Row],[Date]],'DB Details'!$A:$Q,12))</f>
        <v/>
      </c>
      <c r="C240" s="54">
        <f>Table9[[#This Row],[ISM Services]]-B239</f>
        <v/>
      </c>
    </row>
    <row r="241">
      <c r="A241" s="53" t="n">
        <v>42767</v>
      </c>
      <c r="B241" s="54">
        <f>IF(VLOOKUP(Table9[[#This Row],[Date]],'DB Details'!$A:$Q,12)=0,"",VLOOKUP(Table9[[#This Row],[Date]],'DB Details'!$A:$Q,12))</f>
        <v/>
      </c>
      <c r="C241" s="54">
        <f>Table9[[#This Row],[ISM Services]]-B240</f>
        <v/>
      </c>
    </row>
    <row r="242">
      <c r="A242" s="53" t="n">
        <v>42795</v>
      </c>
      <c r="B242" s="54">
        <f>IF(VLOOKUP(Table9[[#This Row],[Date]],'DB Details'!$A:$Q,12)=0,"",VLOOKUP(Table9[[#This Row],[Date]],'DB Details'!$A:$Q,12))</f>
        <v/>
      </c>
      <c r="C242" s="54">
        <f>Table9[[#This Row],[ISM Services]]-B241</f>
        <v/>
      </c>
    </row>
    <row r="243">
      <c r="A243" s="53" t="n">
        <v>42826</v>
      </c>
      <c r="B243" s="54">
        <f>IF(VLOOKUP(Table9[[#This Row],[Date]],'DB Details'!$A:$Q,12)=0,"",VLOOKUP(Table9[[#This Row],[Date]],'DB Details'!$A:$Q,12))</f>
        <v/>
      </c>
      <c r="C243" s="54">
        <f>Table9[[#This Row],[ISM Services]]-B242</f>
        <v/>
      </c>
    </row>
    <row r="244">
      <c r="A244" s="53" t="n">
        <v>42856</v>
      </c>
      <c r="B244" s="54">
        <f>IF(VLOOKUP(Table9[[#This Row],[Date]],'DB Details'!$A:$Q,12)=0,"",VLOOKUP(Table9[[#This Row],[Date]],'DB Details'!$A:$Q,12))</f>
        <v/>
      </c>
      <c r="C244" s="54">
        <f>Table9[[#This Row],[ISM Services]]-B243</f>
        <v/>
      </c>
    </row>
    <row r="245">
      <c r="A245" s="53" t="n">
        <v>42887</v>
      </c>
      <c r="B245" s="54">
        <f>IF(VLOOKUP(Table9[[#This Row],[Date]],'DB Details'!$A:$Q,12)=0,"",VLOOKUP(Table9[[#This Row],[Date]],'DB Details'!$A:$Q,12))</f>
        <v/>
      </c>
      <c r="C245" s="54">
        <f>Table9[[#This Row],[ISM Services]]-B244</f>
        <v/>
      </c>
    </row>
    <row r="246">
      <c r="A246" s="53" t="n">
        <v>42917</v>
      </c>
      <c r="B246" s="54">
        <f>IF(VLOOKUP(Table9[[#This Row],[Date]],'DB Details'!$A:$Q,12)=0,"",VLOOKUP(Table9[[#This Row],[Date]],'DB Details'!$A:$Q,12))</f>
        <v/>
      </c>
      <c r="C246" s="54">
        <f>Table9[[#This Row],[ISM Services]]-B245</f>
        <v/>
      </c>
      <c r="J246" s="35" t="n"/>
    </row>
    <row r="247">
      <c r="A247" s="53" t="n">
        <v>42948</v>
      </c>
      <c r="B247" s="54">
        <f>IF(VLOOKUP(Table9[[#This Row],[Date]],'DB Details'!$A:$Q,12)=0,"",VLOOKUP(Table9[[#This Row],[Date]],'DB Details'!$A:$Q,12))</f>
        <v/>
      </c>
      <c r="C247" s="54">
        <f>Table9[[#This Row],[ISM Services]]-B246</f>
        <v/>
      </c>
      <c r="J247" s="35" t="n"/>
    </row>
    <row r="248">
      <c r="A248" s="53" t="n">
        <v>42979</v>
      </c>
      <c r="B248" s="54">
        <f>IF(VLOOKUP(Table9[[#This Row],[Date]],'DB Details'!$A:$Q,12)=0,"",VLOOKUP(Table9[[#This Row],[Date]],'DB Details'!$A:$Q,12))</f>
        <v/>
      </c>
      <c r="C248" s="54">
        <f>Table9[[#This Row],[ISM Services]]-B247</f>
        <v/>
      </c>
      <c r="J248" s="35" t="n"/>
    </row>
    <row r="249">
      <c r="A249" s="53" t="n">
        <v>43009</v>
      </c>
      <c r="B249" s="54">
        <f>IF(VLOOKUP(Table9[[#This Row],[Date]],'DB Details'!$A:$Q,12)=0,"",VLOOKUP(Table9[[#This Row],[Date]],'DB Details'!$A:$Q,12))</f>
        <v/>
      </c>
      <c r="C249" s="54">
        <f>Table9[[#This Row],[ISM Services]]-B248</f>
        <v/>
      </c>
      <c r="J249" s="35" t="n"/>
    </row>
    <row r="250">
      <c r="A250" s="53" t="n">
        <v>43040</v>
      </c>
      <c r="B250" s="54">
        <f>IF(VLOOKUP(Table9[[#This Row],[Date]],'DB Details'!$A:$Q,12)=0,"",VLOOKUP(Table9[[#This Row],[Date]],'DB Details'!$A:$Q,12))</f>
        <v/>
      </c>
      <c r="C250" s="54">
        <f>Table9[[#This Row],[ISM Services]]-B249</f>
        <v/>
      </c>
      <c r="J250" s="35" t="n"/>
    </row>
    <row r="251">
      <c r="A251" s="53" t="n">
        <v>43070</v>
      </c>
      <c r="B251" s="54">
        <f>IF(VLOOKUP(Table9[[#This Row],[Date]],'DB Details'!$A:$Q,12)=0,"",VLOOKUP(Table9[[#This Row],[Date]],'DB Details'!$A:$Q,12))</f>
        <v/>
      </c>
      <c r="C251" s="54">
        <f>Table9[[#This Row],[ISM Services]]-B250</f>
        <v/>
      </c>
      <c r="J251" s="35" t="n"/>
    </row>
    <row r="252">
      <c r="A252" s="53" t="n">
        <v>43101</v>
      </c>
      <c r="B252" s="54">
        <f>IF(VLOOKUP(Table9[[#This Row],[Date]],'DB Details'!$A:$Q,12)=0,"",VLOOKUP(Table9[[#This Row],[Date]],'DB Details'!$A:$Q,12))</f>
        <v/>
      </c>
      <c r="C252" s="54">
        <f>Table9[[#This Row],[ISM Services]]-B251</f>
        <v/>
      </c>
      <c r="J252" s="35" t="n"/>
    </row>
    <row r="253">
      <c r="A253" s="53" t="n">
        <v>43132</v>
      </c>
      <c r="B253" s="54">
        <f>IF(VLOOKUP(Table9[[#This Row],[Date]],'DB Details'!$A:$Q,12)=0,"",VLOOKUP(Table9[[#This Row],[Date]],'DB Details'!$A:$Q,12))</f>
        <v/>
      </c>
      <c r="C253" s="54">
        <f>Table9[[#This Row],[ISM Services]]-B252</f>
        <v/>
      </c>
      <c r="J253" s="35" t="n"/>
    </row>
    <row r="254">
      <c r="A254" s="53" t="n">
        <v>43160</v>
      </c>
      <c r="B254" s="54">
        <f>IF(VLOOKUP(Table9[[#This Row],[Date]],'DB Details'!$A:$Q,12)=0,"",VLOOKUP(Table9[[#This Row],[Date]],'DB Details'!$A:$Q,12))</f>
        <v/>
      </c>
      <c r="C254" s="54">
        <f>Table9[[#This Row],[ISM Services]]-B253</f>
        <v/>
      </c>
      <c r="J254" s="35" t="n"/>
    </row>
    <row r="255">
      <c r="A255" s="53" t="n">
        <v>43191</v>
      </c>
      <c r="B255" s="54">
        <f>IF(VLOOKUP(Table9[[#This Row],[Date]],'DB Details'!$A:$Q,12)=0,"",VLOOKUP(Table9[[#This Row],[Date]],'DB Details'!$A:$Q,12))</f>
        <v/>
      </c>
      <c r="C255" s="54">
        <f>Table9[[#This Row],[ISM Services]]-B254</f>
        <v/>
      </c>
      <c r="J255" s="35" t="n"/>
    </row>
    <row r="256">
      <c r="A256" s="53" t="n">
        <v>43221</v>
      </c>
      <c r="B256" s="54">
        <f>IF(VLOOKUP(Table9[[#This Row],[Date]],'DB Details'!$A:$Q,12)=0,"",VLOOKUP(Table9[[#This Row],[Date]],'DB Details'!$A:$Q,12))</f>
        <v/>
      </c>
      <c r="C256" s="54">
        <f>Table9[[#This Row],[ISM Services]]-B255</f>
        <v/>
      </c>
      <c r="J256" s="35" t="n"/>
    </row>
    <row r="257">
      <c r="A257" s="53" t="n">
        <v>43252</v>
      </c>
      <c r="B257" s="54">
        <f>IF(VLOOKUP(Table9[[#This Row],[Date]],'DB Details'!$A:$Q,12)=0,"",VLOOKUP(Table9[[#This Row],[Date]],'DB Details'!$A:$Q,12))</f>
        <v/>
      </c>
      <c r="C257" s="54">
        <f>Table9[[#This Row],[ISM Services]]-B256</f>
        <v/>
      </c>
      <c r="J257" s="35" t="n"/>
    </row>
    <row r="258">
      <c r="A258" s="53" t="n">
        <v>43282</v>
      </c>
      <c r="B258" s="54">
        <f>IF(VLOOKUP(Table9[[#This Row],[Date]],'DB Details'!$A:$Q,12)=0,"",VLOOKUP(Table9[[#This Row],[Date]],'DB Details'!$A:$Q,12))</f>
        <v/>
      </c>
      <c r="C258" s="54">
        <f>Table9[[#This Row],[ISM Services]]-B257</f>
        <v/>
      </c>
      <c r="J258" s="35" t="n"/>
    </row>
    <row r="259">
      <c r="A259" s="53" t="n">
        <v>43313</v>
      </c>
      <c r="B259" s="54">
        <f>IF(VLOOKUP(Table9[[#This Row],[Date]],'DB Details'!$A:$Q,12)=0,"",VLOOKUP(Table9[[#This Row],[Date]],'DB Details'!$A:$Q,12))</f>
        <v/>
      </c>
      <c r="C259" s="54">
        <f>Table9[[#This Row],[ISM Services]]-B258</f>
        <v/>
      </c>
      <c r="J259" s="35" t="n"/>
    </row>
    <row r="260">
      <c r="A260" s="53" t="n">
        <v>43344</v>
      </c>
      <c r="B260" s="54">
        <f>IF(VLOOKUP(Table9[[#This Row],[Date]],'DB Details'!$A:$Q,12)=0,"",VLOOKUP(Table9[[#This Row],[Date]],'DB Details'!$A:$Q,12))</f>
        <v/>
      </c>
      <c r="C260" s="54">
        <f>Table9[[#This Row],[ISM Services]]-B259</f>
        <v/>
      </c>
      <c r="J260" s="35" t="n"/>
    </row>
    <row r="261">
      <c r="A261" s="53" t="n">
        <v>43374</v>
      </c>
      <c r="B261" s="54">
        <f>IF(VLOOKUP(Table9[[#This Row],[Date]],'DB Details'!$A:$Q,12)=0,"",VLOOKUP(Table9[[#This Row],[Date]],'DB Details'!$A:$Q,12))</f>
        <v/>
      </c>
      <c r="C261" s="54">
        <f>Table9[[#This Row],[ISM Services]]-B260</f>
        <v/>
      </c>
      <c r="J261" s="35" t="n"/>
    </row>
    <row r="262">
      <c r="A262" s="53" t="n">
        <v>43405</v>
      </c>
      <c r="B262" s="54">
        <f>IF(VLOOKUP(Table9[[#This Row],[Date]],'DB Details'!$A:$Q,12)=0,"",VLOOKUP(Table9[[#This Row],[Date]],'DB Details'!$A:$Q,12))</f>
        <v/>
      </c>
      <c r="C262" s="54">
        <f>Table9[[#This Row],[ISM Services]]-B261</f>
        <v/>
      </c>
      <c r="J262" s="35" t="n"/>
    </row>
    <row r="263">
      <c r="A263" s="53" t="n">
        <v>43435</v>
      </c>
      <c r="B263" s="54">
        <f>IF(VLOOKUP(Table9[[#This Row],[Date]],'DB Details'!$A:$Q,12)=0,"",VLOOKUP(Table9[[#This Row],[Date]],'DB Details'!$A:$Q,12))</f>
        <v/>
      </c>
      <c r="C263" s="54">
        <f>Table9[[#This Row],[ISM Services]]-B262</f>
        <v/>
      </c>
      <c r="J263" s="35" t="n"/>
    </row>
    <row r="264">
      <c r="A264" s="53" t="n">
        <v>43466</v>
      </c>
      <c r="B264" s="54">
        <f>IF(VLOOKUP(Table9[[#This Row],[Date]],'DB Details'!$A:$Q,12)=0,"",VLOOKUP(Table9[[#This Row],[Date]],'DB Details'!$A:$Q,12))</f>
        <v/>
      </c>
      <c r="C264" s="54">
        <f>Table9[[#This Row],[ISM Services]]-B263</f>
        <v/>
      </c>
      <c r="J264" s="35" t="n"/>
    </row>
    <row r="265">
      <c r="A265" s="53" t="n">
        <v>43497</v>
      </c>
      <c r="B265" s="54">
        <f>IF(VLOOKUP(Table9[[#This Row],[Date]],'DB Details'!$A:$Q,12)=0,"",VLOOKUP(Table9[[#This Row],[Date]],'DB Details'!$A:$Q,12))</f>
        <v/>
      </c>
      <c r="C265" s="54">
        <f>Table9[[#This Row],[ISM Services]]-B264</f>
        <v/>
      </c>
      <c r="J265" s="35" t="n"/>
    </row>
    <row r="266">
      <c r="A266" s="53" t="n">
        <v>43525</v>
      </c>
      <c r="B266" s="54">
        <f>IF(VLOOKUP(Table9[[#This Row],[Date]],'DB Details'!$A:$Q,12)=0,"",VLOOKUP(Table9[[#This Row],[Date]],'DB Details'!$A:$Q,12))</f>
        <v/>
      </c>
      <c r="C266" s="54">
        <f>Table9[[#This Row],[ISM Services]]-B265</f>
        <v/>
      </c>
      <c r="J266" s="35" t="n"/>
    </row>
    <row r="267">
      <c r="A267" s="53" t="n">
        <v>43556</v>
      </c>
      <c r="B267" s="54">
        <f>IF(VLOOKUP(Table9[[#This Row],[Date]],'DB Details'!$A:$Q,12)=0,"",VLOOKUP(Table9[[#This Row],[Date]],'DB Details'!$A:$Q,12))</f>
        <v/>
      </c>
      <c r="C267" s="54">
        <f>Table9[[#This Row],[ISM Services]]-B266</f>
        <v/>
      </c>
      <c r="J267" s="35" t="n"/>
    </row>
    <row r="268">
      <c r="A268" s="53" t="n">
        <v>43586</v>
      </c>
      <c r="B268" s="54">
        <f>IF(VLOOKUP(Table9[[#This Row],[Date]],'DB Details'!$A:$Q,12)=0,"",VLOOKUP(Table9[[#This Row],[Date]],'DB Details'!$A:$Q,12))</f>
        <v/>
      </c>
      <c r="C268" s="54">
        <f>Table9[[#This Row],[ISM Services]]-B267</f>
        <v/>
      </c>
      <c r="J268" s="35" t="n"/>
    </row>
    <row r="269">
      <c r="A269" s="53" t="n">
        <v>43617</v>
      </c>
      <c r="B269" s="54">
        <f>IF(VLOOKUP(Table9[[#This Row],[Date]],'DB Details'!$A:$Q,12)=0,"",VLOOKUP(Table9[[#This Row],[Date]],'DB Details'!$A:$Q,12))</f>
        <v/>
      </c>
      <c r="C269" s="54">
        <f>Table9[[#This Row],[ISM Services]]-B268</f>
        <v/>
      </c>
      <c r="J269" s="35" t="n"/>
    </row>
    <row r="270">
      <c r="A270" s="53" t="n">
        <v>43647</v>
      </c>
      <c r="B270" s="54">
        <f>IF(VLOOKUP(Table9[[#This Row],[Date]],'DB Details'!$A:$Q,12)=0,"",VLOOKUP(Table9[[#This Row],[Date]],'DB Details'!$A:$Q,12))</f>
        <v/>
      </c>
      <c r="C270" s="54">
        <f>Table9[[#This Row],[ISM Services]]-B269</f>
        <v/>
      </c>
      <c r="J270" s="35" t="n"/>
    </row>
    <row r="271">
      <c r="A271" s="53" t="n">
        <v>43678</v>
      </c>
      <c r="B271" s="54">
        <f>IF(VLOOKUP(Table9[[#This Row],[Date]],'DB Details'!$A:$Q,12)=0,"",VLOOKUP(Table9[[#This Row],[Date]],'DB Details'!$A:$Q,12))</f>
        <v/>
      </c>
      <c r="C271" s="54">
        <f>Table9[[#This Row],[ISM Services]]-B270</f>
        <v/>
      </c>
      <c r="J271" s="35" t="n"/>
    </row>
    <row r="272">
      <c r="A272" s="53" t="n">
        <v>43709</v>
      </c>
      <c r="B272" s="54">
        <f>IF(VLOOKUP(Table9[[#This Row],[Date]],'DB Details'!$A:$Q,12)=0,"",VLOOKUP(Table9[[#This Row],[Date]],'DB Details'!$A:$Q,12))</f>
        <v/>
      </c>
      <c r="C272" s="54">
        <f>Table9[[#This Row],[ISM Services]]-B271</f>
        <v/>
      </c>
    </row>
    <row r="273">
      <c r="A273" s="53" t="n">
        <v>43739</v>
      </c>
      <c r="B273" s="54">
        <f>IF(VLOOKUP(Table9[[#This Row],[Date]],'DB Details'!$A:$Q,12)=0,"",VLOOKUP(Table9[[#This Row],[Date]],'DB Details'!$A:$Q,12))</f>
        <v/>
      </c>
      <c r="C273" s="54">
        <f>Table9[[#This Row],[ISM Services]]-B272</f>
        <v/>
      </c>
    </row>
    <row r="274">
      <c r="A274" s="53" t="n">
        <v>43770</v>
      </c>
      <c r="B274" s="54">
        <f>IF(VLOOKUP(Table9[[#This Row],[Date]],'DB Details'!$A:$Q,12)=0,"",VLOOKUP(Table9[[#This Row],[Date]],'DB Details'!$A:$Q,12))</f>
        <v/>
      </c>
      <c r="C274" s="54">
        <f>Table9[[#This Row],[ISM Services]]-B273</f>
        <v/>
      </c>
    </row>
    <row r="275">
      <c r="A275" s="53" t="n">
        <v>43800</v>
      </c>
      <c r="B275" s="54">
        <f>IF(VLOOKUP(Table9[[#This Row],[Date]],'DB Details'!$A:$Q,12)=0,"",VLOOKUP(Table9[[#This Row],[Date]],'DB Details'!$A:$Q,12))</f>
        <v/>
      </c>
      <c r="C275" s="54">
        <f>Table9[[#This Row],[ISM Services]]-B274</f>
        <v/>
      </c>
    </row>
    <row r="276">
      <c r="A276" s="53" t="n">
        <v>43831</v>
      </c>
      <c r="B276" s="54">
        <f>IF(VLOOKUP(Table9[[#This Row],[Date]],'DB Details'!$A:$Q,12)=0,"",VLOOKUP(Table9[[#This Row],[Date]],'DB Details'!$A:$Q,12))</f>
        <v/>
      </c>
      <c r="C276" s="54">
        <f>Table9[[#This Row],[ISM Services]]-B275</f>
        <v/>
      </c>
    </row>
    <row r="277">
      <c r="A277" s="53" t="n">
        <v>43862</v>
      </c>
      <c r="B277" s="54">
        <f>IF(VLOOKUP(Table9[[#This Row],[Date]],'DB Details'!$A:$Q,12)=0,"",VLOOKUP(Table9[[#This Row],[Date]],'DB Details'!$A:$Q,12))</f>
        <v/>
      </c>
      <c r="C277" s="54">
        <f>Table9[[#This Row],[ISM Services]]-B276</f>
        <v/>
      </c>
    </row>
    <row r="278">
      <c r="A278" s="53" t="n">
        <v>43891</v>
      </c>
      <c r="B278" s="54">
        <f>IF(VLOOKUP(Table9[[#This Row],[Date]],'DB Details'!$A:$Q,12)=0,"",VLOOKUP(Table9[[#This Row],[Date]],'DB Details'!$A:$Q,12))</f>
        <v/>
      </c>
      <c r="C278" s="54">
        <f>Table9[[#This Row],[ISM Services]]-B277</f>
        <v/>
      </c>
    </row>
    <row r="279">
      <c r="A279" s="53" t="n">
        <v>43922</v>
      </c>
      <c r="B279" s="54">
        <f>IF(VLOOKUP(Table9[[#This Row],[Date]],'DB Details'!$A:$Q,12)=0,"",VLOOKUP(Table9[[#This Row],[Date]],'DB Details'!$A:$Q,12))</f>
        <v/>
      </c>
      <c r="C279" s="54">
        <f>Table9[[#This Row],[ISM Services]]-B278</f>
        <v/>
      </c>
    </row>
    <row r="280">
      <c r="A280" s="53" t="n">
        <v>43952</v>
      </c>
      <c r="B280" s="54">
        <f>IF(VLOOKUP(Table9[[#This Row],[Date]],'DB Details'!$A:$Q,12)=0,"",VLOOKUP(Table9[[#This Row],[Date]],'DB Details'!$A:$Q,12))</f>
        <v/>
      </c>
      <c r="C280" s="54">
        <f>Table9[[#This Row],[ISM Services]]-B279</f>
        <v/>
      </c>
    </row>
    <row r="281">
      <c r="A281" s="53" t="n">
        <v>43983</v>
      </c>
      <c r="B281" s="54">
        <f>IF(VLOOKUP(Table9[[#This Row],[Date]],'DB Details'!$A:$Q,12)=0,"",VLOOKUP(Table9[[#This Row],[Date]],'DB Details'!$A:$Q,12))</f>
        <v/>
      </c>
      <c r="C281" s="54">
        <f>Table9[[#This Row],[ISM Services]]-B280</f>
        <v/>
      </c>
    </row>
    <row r="282">
      <c r="A282" s="53" t="n">
        <v>44013</v>
      </c>
      <c r="B282" s="54">
        <f>IF(VLOOKUP(Table9[[#This Row],[Date]],'DB Details'!$A:$Q,12)=0,"",VLOOKUP(Table9[[#This Row],[Date]],'DB Details'!$A:$Q,12))</f>
        <v/>
      </c>
      <c r="C282" s="54">
        <f>Table9[[#This Row],[ISM Services]]-B281</f>
        <v/>
      </c>
    </row>
    <row r="283">
      <c r="A283" s="53" t="n">
        <v>44044</v>
      </c>
      <c r="B283" s="54">
        <f>IF(VLOOKUP(Table9[[#This Row],[Date]],'DB Details'!$A:$Q,12)=0,"",VLOOKUP(Table9[[#This Row],[Date]],'DB Details'!$A:$Q,12))</f>
        <v/>
      </c>
      <c r="C283" s="54">
        <f>Table9[[#This Row],[ISM Services]]-B282</f>
        <v/>
      </c>
    </row>
    <row r="284">
      <c r="A284" s="53" t="n">
        <v>44075</v>
      </c>
      <c r="B284" s="54">
        <f>IF(VLOOKUP(Table9[[#This Row],[Date]],'DB Details'!$A:$Q,12)=0,"",VLOOKUP(Table9[[#This Row],[Date]],'DB Details'!$A:$Q,12))</f>
        <v/>
      </c>
      <c r="C284" s="54">
        <f>Table9[[#This Row],[ISM Services]]-B283</f>
        <v/>
      </c>
    </row>
    <row r="285">
      <c r="A285" s="53" t="n">
        <v>44105</v>
      </c>
      <c r="B285" s="54">
        <f>IF(VLOOKUP(Table9[[#This Row],[Date]],'DB Details'!$A:$Q,12)=0,"",VLOOKUP(Table9[[#This Row],[Date]],'DB Details'!$A:$Q,12))</f>
        <v/>
      </c>
      <c r="C285" s="54">
        <f>Table9[[#This Row],[ISM Services]]-B284</f>
        <v/>
      </c>
    </row>
    <row r="286">
      <c r="A286" s="53" t="n">
        <v>44136</v>
      </c>
      <c r="B286" s="54">
        <f>IF(VLOOKUP(Table9[[#This Row],[Date]],'DB Details'!$A:$Q,12)=0,"",VLOOKUP(Table9[[#This Row],[Date]],'DB Details'!$A:$Q,12))</f>
        <v/>
      </c>
      <c r="C286" s="54">
        <f>Table9[[#This Row],[ISM Services]]-B285</f>
        <v/>
      </c>
    </row>
    <row r="287">
      <c r="A287" s="53" t="n">
        <v>44166</v>
      </c>
      <c r="B287" s="54">
        <f>IF(VLOOKUP(Table9[[#This Row],[Date]],'DB Details'!$A:$Q,12)=0,"",VLOOKUP(Table9[[#This Row],[Date]],'DB Details'!$A:$Q,12))</f>
        <v/>
      </c>
      <c r="C287" s="54">
        <f>Table9[[#This Row],[ISM Services]]-B286</f>
        <v/>
      </c>
    </row>
    <row r="288">
      <c r="A288" s="53" t="n">
        <v>44197</v>
      </c>
      <c r="B288" s="54">
        <f>IF(VLOOKUP(Table9[[#This Row],[Date]],'DB Details'!$A:$Q,12)=0,"",VLOOKUP(Table9[[#This Row],[Date]],'DB Details'!$A:$Q,12))</f>
        <v/>
      </c>
      <c r="C288" s="54">
        <f>Table9[[#This Row],[ISM Services]]-B287</f>
        <v/>
      </c>
    </row>
    <row r="289">
      <c r="A289" s="53" t="n">
        <v>44228</v>
      </c>
      <c r="B289" s="54">
        <f>IF(VLOOKUP(Table9[[#This Row],[Date]],'DB Details'!$A:$Q,12)=0,"",VLOOKUP(Table9[[#This Row],[Date]],'DB Details'!$A:$Q,12))</f>
        <v/>
      </c>
      <c r="C289" s="54">
        <f>Table9[[#This Row],[ISM Services]]-B288</f>
        <v/>
      </c>
    </row>
    <row r="290">
      <c r="A290" s="53" t="n">
        <v>44256</v>
      </c>
      <c r="B290" s="54">
        <f>IF(VLOOKUP(Table9[[#This Row],[Date]],'DB Details'!$A:$Q,12)=0,"",VLOOKUP(Table9[[#This Row],[Date]],'DB Details'!$A:$Q,12))</f>
        <v/>
      </c>
      <c r="C290" s="54">
        <f>Table9[[#This Row],[ISM Services]]-B289</f>
        <v/>
      </c>
    </row>
    <row r="291">
      <c r="A291" s="53" t="n">
        <v>44287</v>
      </c>
      <c r="B291" s="54">
        <f>IF(VLOOKUP(Table9[[#This Row],[Date]],'DB Details'!$A:$Q,12)=0,"",VLOOKUP(Table9[[#This Row],[Date]],'DB Details'!$A:$Q,12))</f>
        <v/>
      </c>
      <c r="C291" s="54">
        <f>Table9[[#This Row],[ISM Services]]-B290</f>
        <v/>
      </c>
    </row>
    <row r="292">
      <c r="A292" s="53" t="n">
        <v>44317</v>
      </c>
      <c r="B292" s="54">
        <f>IF(VLOOKUP(Table9[[#This Row],[Date]],'DB Details'!$A:$Q,12)=0,"",VLOOKUP(Table9[[#This Row],[Date]],'DB Details'!$A:$Q,12))</f>
        <v/>
      </c>
      <c r="C292" s="54">
        <f>Table9[[#This Row],[ISM Services]]-B291</f>
        <v/>
      </c>
    </row>
    <row r="293">
      <c r="A293" s="53" t="n">
        <v>44348</v>
      </c>
      <c r="B293" s="54">
        <f>IF(VLOOKUP(Table9[[#This Row],[Date]],'DB Details'!$A:$Q,12)=0,"",VLOOKUP(Table9[[#This Row],[Date]],'DB Details'!$A:$Q,12))</f>
        <v/>
      </c>
      <c r="C293" s="54">
        <f>Table9[[#This Row],[ISM Services]]-B292</f>
        <v/>
      </c>
    </row>
    <row r="294">
      <c r="A294" s="53" t="n">
        <v>44378</v>
      </c>
      <c r="B294" s="54">
        <f>IF(VLOOKUP(Table9[[#This Row],[Date]],'DB Details'!$A:$Q,12)=0,"",VLOOKUP(Table9[[#This Row],[Date]],'DB Details'!$A:$Q,12))</f>
        <v/>
      </c>
      <c r="C294" s="54">
        <f>Table9[[#This Row],[ISM Services]]-B293</f>
        <v/>
      </c>
    </row>
    <row r="295">
      <c r="A295" s="53" t="n">
        <v>44409</v>
      </c>
      <c r="B295" s="54">
        <f>IF(VLOOKUP(Table9[[#This Row],[Date]],'DB Details'!$A:$Q,12)=0,"",VLOOKUP(Table9[[#This Row],[Date]],'DB Details'!$A:$Q,12))</f>
        <v/>
      </c>
      <c r="C295" s="54">
        <f>Table9[[#This Row],[ISM Services]]-B294</f>
        <v/>
      </c>
    </row>
    <row r="296">
      <c r="A296" s="53" t="n">
        <v>44440</v>
      </c>
      <c r="B296" s="54">
        <f>IF(VLOOKUP(Table9[[#This Row],[Date]],'DB Details'!$A:$Q,12)=0,"",VLOOKUP(Table9[[#This Row],[Date]],'DB Details'!$A:$Q,12))</f>
        <v/>
      </c>
      <c r="C296" s="54">
        <f>Table9[[#This Row],[ISM Services]]-B295</f>
        <v/>
      </c>
    </row>
    <row r="297">
      <c r="A297" s="53" t="n">
        <v>44470</v>
      </c>
      <c r="B297" s="54">
        <f>IF(VLOOKUP(Table9[[#This Row],[Date]],'DB Details'!$A:$Q,12)=0,"",VLOOKUP(Table9[[#This Row],[Date]],'DB Details'!$A:$Q,12))</f>
        <v/>
      </c>
      <c r="C297" s="54">
        <f>Table9[[#This Row],[ISM Services]]-B296</f>
        <v/>
      </c>
    </row>
    <row r="298">
      <c r="A298" s="53" t="n">
        <v>44501</v>
      </c>
      <c r="B298" s="54">
        <f>IF(VLOOKUP(Table9[[#This Row],[Date]],'DB Details'!$A:$Q,12)=0,"",VLOOKUP(Table9[[#This Row],[Date]],'DB Details'!$A:$Q,12))</f>
        <v/>
      </c>
      <c r="C298" s="54">
        <f>Table9[[#This Row],[ISM Services]]-B297</f>
        <v/>
      </c>
    </row>
    <row r="299">
      <c r="A299" s="53" t="n">
        <v>44531</v>
      </c>
      <c r="B299" s="54">
        <f>IF(VLOOKUP(Table9[[#This Row],[Date]],'DB Details'!$A:$Q,12)=0,"",VLOOKUP(Table9[[#This Row],[Date]],'DB Details'!$A:$Q,12))</f>
        <v/>
      </c>
      <c r="C299" s="54">
        <f>Table9[[#This Row],[ISM Services]]-B298</f>
        <v/>
      </c>
    </row>
    <row r="300">
      <c r="A300" s="53" t="n">
        <v>44562</v>
      </c>
      <c r="B300" s="54">
        <f>IF(VLOOKUP(Table9[[#This Row],[Date]],'DB Details'!$A:$Q,12)=0,"",VLOOKUP(Table9[[#This Row],[Date]],'DB Details'!$A:$Q,12))</f>
        <v/>
      </c>
      <c r="C300" s="54">
        <f>Table9[[#This Row],[ISM Services]]-B299</f>
        <v/>
      </c>
    </row>
    <row r="301">
      <c r="A301" s="53" t="n">
        <v>44593</v>
      </c>
      <c r="B301" s="54">
        <f>IF(VLOOKUP(Table9[[#This Row],[Date]],'DB Details'!$A:$Q,12)=0,"",VLOOKUP(Table9[[#This Row],[Date]],'DB Details'!$A:$Q,12))</f>
        <v/>
      </c>
      <c r="C301" s="54">
        <f>Table9[[#This Row],[ISM Services]]-B300</f>
        <v/>
      </c>
    </row>
    <row r="302">
      <c r="A302" s="53" t="n">
        <v>44621</v>
      </c>
      <c r="B302" s="54">
        <f>IF(VLOOKUP(Table9[[#This Row],[Date]],'DB Details'!$A:$Q,12)=0,"",VLOOKUP(Table9[[#This Row],[Date]],'DB Details'!$A:$Q,12))</f>
        <v/>
      </c>
      <c r="C302" s="54">
        <f>Table9[[#This Row],[ISM Services]]-B301</f>
        <v/>
      </c>
    </row>
    <row r="303">
      <c r="A303" s="53" t="n">
        <v>44652</v>
      </c>
      <c r="B303" s="54">
        <f>IF(VLOOKUP(Table9[[#This Row],[Date]],'DB Details'!$A:$Q,12)=0,"",VLOOKUP(Table9[[#This Row],[Date]],'DB Details'!$A:$Q,12))</f>
        <v/>
      </c>
      <c r="C303" s="54">
        <f>Table9[[#This Row],[ISM Services]]-B302</f>
        <v/>
      </c>
    </row>
    <row r="304">
      <c r="A304" s="53" t="n">
        <v>44682</v>
      </c>
      <c r="B304" s="54">
        <f>IF(VLOOKUP(Table9[[#This Row],[Date]],'DB Details'!$A:$Q,12)=0,"",VLOOKUP(Table9[[#This Row],[Date]],'DB Details'!$A:$Q,12))</f>
        <v/>
      </c>
      <c r="C304" s="54">
        <f>Table9[[#This Row],[ISM Services]]-B303</f>
        <v/>
      </c>
    </row>
    <row r="305">
      <c r="A305" s="53" t="n">
        <v>44713</v>
      </c>
      <c r="B305" s="54">
        <f>IF(VLOOKUP(Table9[[#This Row],[Date]],'DB Details'!$A:$Q,12)=0,"",VLOOKUP(Table9[[#This Row],[Date]],'DB Details'!$A:$Q,12))</f>
        <v/>
      </c>
      <c r="C305" s="54">
        <f>Table9[[#This Row],[ISM Services]]-B304</f>
        <v/>
      </c>
    </row>
  </sheetData>
  <conditionalFormatting sqref="B156:B305">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4.xml><?xml version="1.0" encoding="utf-8"?>
<worksheet xmlns="http://schemas.openxmlformats.org/spreadsheetml/2006/main">
  <sheetPr>
    <outlinePr summaryBelow="1" summaryRight="1"/>
    <pageSetUpPr/>
  </sheetPr>
  <dimension ref="A1:C413"/>
  <sheetViews>
    <sheetView zoomScale="170" zoomScaleNormal="170" workbookViewId="0">
      <pane ySplit="1" topLeftCell="A2" activePane="bottomLeft" state="frozen"/>
      <selection activeCell="C362" sqref="C362"/>
      <selection pane="bottomLeft" activeCell="C362" sqref="C362"/>
    </sheetView>
  </sheetViews>
  <sheetFormatPr baseColWidth="10" defaultRowHeight="15"/>
  <cols>
    <col width="15.6640625" customWidth="1" style="65" min="1" max="1"/>
    <col width="149.5" customWidth="1" style="65" min="3" max="3"/>
  </cols>
  <sheetData>
    <row r="1">
      <c r="A1" t="inlineStr">
        <is>
          <t>Sector</t>
        </is>
      </c>
      <c r="B1" t="inlineStr">
        <is>
          <t>Date</t>
        </is>
      </c>
      <c r="C1" t="inlineStr">
        <is>
          <t>Comments</t>
        </is>
      </c>
    </row>
    <row r="2">
      <c r="A2" t="inlineStr">
        <is>
          <t>Accommodation &amp; Food Services</t>
        </is>
      </c>
      <c r="B2" s="93" t="n">
        <v>44713</v>
      </c>
      <c r="C2" t="inlineStr">
        <is>
          <t>“Supply chain and supplier reliability continues to improve for most of our key food and packaging needs. Equipment still (experiencing) typical long delays. Staffing employment challenges have resurfaced, and costs have dramatically increased on core needs, led by soybean oil products. Rise in diesel fuel affecting almost everything.”</t>
        </is>
      </c>
    </row>
    <row r="3">
      <c r="A3" t="inlineStr">
        <is>
          <t>Accommodation &amp; Food Services</t>
        </is>
      </c>
      <c r="B3" s="93" t="n">
        <v>44682</v>
      </c>
      <c r="C3" t="inlineStr">
        <is>
          <t>“Supply chain improving, with more reliability of supplier deliveries. Inflationary pressures increased on goods and services. Employment also improving in most markets. Fewer daily fires and more planning time.”</t>
        </is>
      </c>
    </row>
    <row r="4">
      <c r="A4" t="inlineStr">
        <is>
          <t>Accommodation &amp; Food Services</t>
        </is>
      </c>
      <c r="B4" s="93" t="n">
        <v>44652</v>
      </c>
      <c r="C4" t="inlineStr">
        <is>
          <t>“Pricing pressures and product availability issues continue to be extremely problematic.”</t>
        </is>
      </c>
    </row>
    <row r="5">
      <c r="A5" t="inlineStr">
        <is>
          <t>Accommodation &amp; Food Services</t>
        </is>
      </c>
      <c r="B5" s="93" t="n">
        <v>44621</v>
      </c>
      <c r="C5" t="inlineStr">
        <is>
          <t>“Supply chain challenges continue at about the same levels as last month. Employment has improved as COVID-19 cases are declining. Restaurant sales have improved since Valentine’s Day, with mask and vaccine verification mandates being dropped.”</t>
        </is>
      </c>
    </row>
    <row r="6">
      <c r="A6" t="inlineStr">
        <is>
          <t>Accommodation &amp; Food Services</t>
        </is>
      </c>
      <c r="B6" s="93" t="n">
        <v>44593</v>
      </c>
      <c r="C6" t="inlineStr">
        <is>
          <t>“Raw material increases, labor shortages, wage increases and transportation issues are still the primary issues affecting our operations and pricing.”</t>
        </is>
      </c>
    </row>
    <row r="7">
      <c r="A7" t="inlineStr">
        <is>
          <t>Accommodation &amp; Food Services</t>
        </is>
      </c>
      <c r="B7" s="93" t="n">
        <v>44562</v>
      </c>
      <c r="C7" t="inlineStr">
        <is>
          <t>“Supply constraints and outages persist. With mechanical component parts, the problems are severe. We are finding widespread depletion of field service part inventories to sustain factory production of new product orders. The inability to satisfy replacement part demand creates tremendous operational risk.”</t>
        </is>
      </c>
    </row>
    <row r="8">
      <c r="A8" t="inlineStr">
        <is>
          <t>Accommodation &amp; Food Services</t>
        </is>
      </c>
      <c r="B8" s="93" t="n">
        <v>44531</v>
      </c>
      <c r="C8" t="inlineStr">
        <is>
          <t>“Supply chain challenges to procure supplies for our restaurants remains our greatest obstacle at present, along with staffing needs. We are considering another price increase after just one in 2021, in August.”</t>
        </is>
      </c>
    </row>
    <row r="9">
      <c r="A9" t="inlineStr">
        <is>
          <t>Accommodation &amp; Food Services</t>
        </is>
      </c>
      <c r="B9" s="93" t="n">
        <v>44501</v>
      </c>
      <c r="C9" t="inlineStr">
        <is>
          <t>“Labor shortages, transportation delays and supply constraints/allocations.” [Accommodation &amp; Food Services]</t>
        </is>
      </c>
    </row>
    <row r="10">
      <c r="A10" t="inlineStr">
        <is>
          <t>Accommodation &amp; Food Services</t>
        </is>
      </c>
      <c r="B10" s="93" t="n">
        <v>44470</v>
      </c>
      <c r="C10" t="inlineStr">
        <is>
          <t>“Manufacturers are failing to keep up with orders, and backlogs continue to grow. We’ve seen proposed pricing increases of more than 20 percent in areas of equipment manufacturing. This is extremely concerning.” [Accommodation &amp; Food Services]</t>
        </is>
      </c>
    </row>
    <row r="11">
      <c r="A11" t="inlineStr">
        <is>
          <t>Accommodation &amp; Food Services</t>
        </is>
      </c>
      <c r="B11" s="93" t="n">
        <v>44440</v>
      </c>
      <c r="C11" t="inlineStr">
        <is>
          <t>“Transportation bottlenecks are increasing, resulting in longer lead times and missed appointments.” [Accommodation &amp; Food Services]</t>
        </is>
      </c>
    </row>
    <row r="12">
      <c r="A12" t="inlineStr">
        <is>
          <t>Accommodation &amp; Food Services</t>
        </is>
      </c>
      <c r="B12" s="93" t="n">
        <v>44409</v>
      </c>
      <c r="C12" t="inlineStr">
        <is>
          <t>Supply chain disruptions — including manufacturing-labor shortages, logistics delays and lack of material to make products — are significantly disrupting our business. [Accommodation &amp; Food Services]</t>
        </is>
      </c>
    </row>
    <row r="13">
      <c r="A13" t="inlineStr">
        <is>
          <t>Accommodation &amp; Food Services</t>
        </is>
      </c>
      <c r="B13" s="93" t="n">
        <v>44378</v>
      </c>
      <c r="C13" t="inlineStr">
        <is>
          <t>“Peak demand while still facing challenges filling open positions.” [Accommodation &amp; Food Services]</t>
        </is>
      </c>
    </row>
    <row r="14">
      <c r="A14" t="inlineStr">
        <is>
          <t>Accommodation &amp; Food Services</t>
        </is>
      </c>
      <c r="B14" s="93" t="n">
        <v>44348</v>
      </c>
      <c r="C14" t="inlineStr">
        <is>
          <t>Our restaurants are quickly — maybe too quickly — returning to 2019 sales levels. Strong consumer demand for dining out is clearly evident as COVID-19 restrictions ease, but the challenges are supply chain outages, logistics delays and employee- and management-staffing constraints. Some locations cannot open for business or (have) limited hours, as we cannot staff the restaurant to meet consumer demand. [Accommodation &amp; Food Services]</t>
        </is>
      </c>
    </row>
    <row r="15">
      <c r="A15" t="inlineStr">
        <is>
          <t>Accommodation &amp; Food Services</t>
        </is>
      </c>
      <c r="B15" s="93" t="n">
        <v>44317</v>
      </c>
      <c r="C15" t="inlineStr">
        <is>
          <t>Stimulus money, increased vaccinations, increased dining capacity and pent-up demand are driving a fast recovery for dine-in restaurants — and all consumer segments, it seems — resulting in labor shortages and supply chain gaps. [Accommodation &amp; Food Services]</t>
        </is>
      </c>
    </row>
    <row r="16">
      <c r="A16" t="inlineStr">
        <is>
          <t>Accommodation &amp; Food Services</t>
        </is>
      </c>
      <c r="B16" s="93" t="n">
        <v>44287</v>
      </c>
      <c r="C16" t="inlineStr">
        <is>
          <t>Restaurant capacity is increasing quickly as restrictions are removed. Consumers have pent-up demand; sales are increasing, and the labor pool is tight. Supply chain is challenged at every level as businesses across the U.S. ramp up. (Accommodation &amp; Food Services)</t>
        </is>
      </c>
    </row>
    <row r="17">
      <c r="A17" t="inlineStr">
        <is>
          <t>Accommodation &amp; Food Services</t>
        </is>
      </c>
      <c r="B17" s="93" t="n">
        <v>44228</v>
      </c>
      <c r="C17" t="inlineStr">
        <is>
          <t>“Suppliers are taking the opportunity with the commodity-price increases in the last few months to propose price increases that are above and beyond normal expectations, causing significant concern. Business growth remains optimistic on the emergence of a post-coronavirus [COVID-19] era in [the] second half of 2021. U.S. port delays are problematic.” (Accommodation &amp; Food Services)</t>
        </is>
      </c>
    </row>
    <row r="18">
      <c r="A18" t="inlineStr">
        <is>
          <t>Accommodation &amp; Food Services</t>
        </is>
      </c>
      <c r="B18" s="93" t="n">
        <v>44197</v>
      </c>
      <c r="C18" t="inlineStr">
        <is>
          <t>“Many of our restaurant locations remain completely shut down to on-site dining. We remain optimistic about business trends beyond April/May 2021. [We] have a very challenging few months to go.” (Accommodation &amp; Food Services)</t>
        </is>
      </c>
    </row>
    <row r="19">
      <c r="A19" t="inlineStr">
        <is>
          <t>Accommodation &amp; Food Services</t>
        </is>
      </c>
      <c r="B19" s="93" t="n">
        <v>44166</v>
      </c>
      <c r="C19" t="inlineStr">
        <is>
          <t>Starting to see demand weakening as states go back to shut down. Will look to see business resume in late first quarter, as vaccine distribution takes place. (Accommodation &amp; Food Services)</t>
        </is>
      </c>
    </row>
    <row r="20">
      <c r="A20" t="inlineStr">
        <is>
          <t>Accommodation &amp; Food Services</t>
        </is>
      </c>
      <c r="B20" s="93" t="n">
        <v>44136</v>
      </c>
      <c r="C20" t="inlineStr">
        <is>
          <t xml:space="preserve">	Conflicting national, regional, and local guidelines/requirements for COVID-19 issues are becoming increasingly difficult to navigate, leading to a lot of just in time (JIT)-type purchases." (Accommodation &amp; Food Services)</t>
        </is>
      </c>
    </row>
    <row r="21">
      <c r="A21" t="inlineStr">
        <is>
          <t>Accommodation &amp; Food Services</t>
        </is>
      </c>
      <c r="B21" s="93" t="n">
        <v>44105</v>
      </c>
      <c r="C21" t="inlineStr">
        <is>
          <t>“Business has improved, but greatly reliant on COVID-19-related restrictions. Supplier’s inventories and lead times are longer and spotty with outages due to keeping lead times lean as a cash flow measure, but putting consistent supply at risk.” (Accommodation &amp; Food Services)</t>
        </is>
      </c>
    </row>
    <row r="22">
      <c r="A22" t="inlineStr">
        <is>
          <t>Accommodation &amp; Food Services</t>
        </is>
      </c>
      <c r="B22" s="93" t="n">
        <v>44044</v>
      </c>
      <c r="C22" t="inlineStr">
        <is>
          <t>“Our business activity is now thriving again, after modifications to our operations. While supply disruptions remain common, very critical items are more stable than in previous months. Tariff threats have caused more concern than in previous months due to actions in aluminum, and the rapid rise in lumber costs for construction expansions.” (Accommodation &amp; Food Services)</t>
        </is>
      </c>
    </row>
    <row r="23">
      <c r="A23" t="inlineStr">
        <is>
          <t>Accommodation &amp; Food Services</t>
        </is>
      </c>
      <c r="B23" s="93" t="n">
        <v>43983</v>
      </c>
      <c r="C23" t="inlineStr">
        <is>
          <t>“Businesses are starting to reopen and the economy seems to be on the road to recovery, but let’s not get too complacent, [as] COVID-19 is still a pandemic, [and] a vaccine has not been developed. Economics is the reason for the push for businesses to reopen. Utmost care and awareness still needs to be cautiously and religiously followed.” (Accommodation &amp; Food Services)</t>
        </is>
      </c>
    </row>
    <row r="24">
      <c r="A24" t="inlineStr">
        <is>
          <t>Accommodation &amp; Food Services</t>
        </is>
      </c>
      <c r="B24" s="93" t="n">
        <v>43952</v>
      </c>
      <c r="C24" t="inlineStr">
        <is>
          <t>“Current operations have been reduced to accommodate a slowed economy, but the business is taking time to review operation and implement more efficient processes. Purchasing has slowed for client facing goods/services but has increased for internal operating supplies/services.” (Accommodation &amp; Food Services)</t>
        </is>
      </c>
    </row>
    <row r="25">
      <c r="A25" t="inlineStr">
        <is>
          <t>Accommodation &amp; Food Services</t>
        </is>
      </c>
      <c r="B25" s="93" t="n">
        <v>43922</v>
      </c>
      <c r="C25" t="inlineStr">
        <is>
          <t>“General uncertainty over ramp-up timeline post COVID-19.” (Accommodation &amp; Food Services)</t>
        </is>
      </c>
    </row>
    <row r="26">
      <c r="A26" t="inlineStr">
        <is>
          <t>Accommodation &amp; Food Services</t>
        </is>
      </c>
      <c r="B26" s="93" t="n">
        <v>43891</v>
      </c>
      <c r="C26" t="inlineStr">
        <is>
          <t>“Significant demand disruption caused by the coronavirus.” (Accommodation &amp; Food Services)</t>
        </is>
      </c>
    </row>
    <row r="27">
      <c r="A27" t="inlineStr">
        <is>
          <t>Accommodation &amp; Food Services</t>
        </is>
      </c>
      <c r="B27" s="93" t="n">
        <v>43831</v>
      </c>
      <c r="C27" t="inlineStr">
        <is>
          <t>“Outlook remains favorable for growth in 2020. Pricing on goods and services [are] stable, with little to no pricing escalations expected for the remainder of the first quarter, except for seasonal- and trade/tariff-related impacts on food products.” (Accommodation &amp; Food Services)</t>
        </is>
      </c>
    </row>
    <row r="28">
      <c r="A28" t="inlineStr">
        <is>
          <t>Accommodation &amp; Food Services</t>
        </is>
      </c>
      <c r="B28" s="93" t="n">
        <v>43800</v>
      </c>
      <c r="C28" t="inlineStr">
        <is>
          <t>"Growth remains steady. While late-year pricing-increase proposals were either flat or in the low single digits, most have been mitigated." (Accommodation &amp; Food Services)</t>
        </is>
      </c>
    </row>
    <row r="29">
      <c r="A29" t="inlineStr">
        <is>
          <t>Accommodation &amp; Food Services</t>
        </is>
      </c>
      <c r="B29" s="93" t="n">
        <v>43739</v>
      </c>
      <c r="C29" t="inlineStr">
        <is>
          <t>“Labor shortage remains a major factor in the increased cost of logistics.” (Accommodation &amp; Food Services)</t>
        </is>
      </c>
    </row>
    <row r="30">
      <c r="A30" t="inlineStr">
        <is>
          <t>Accommodation &amp; Food Services</t>
        </is>
      </c>
      <c r="B30" s="93" t="n">
        <v>43709</v>
      </c>
      <c r="C30" t="inlineStr">
        <is>
          <t>“Tariffs are adding uncertainty to short-term pricing on certain commodities, but suppliers are finding alternate solutions. The bigger impacts appear to be on demand side, which is driving short-term favorability in certain domestic markets.” (Accommodation &amp; Food Services)</t>
        </is>
      </c>
    </row>
    <row r="31">
      <c r="A31" t="inlineStr">
        <is>
          <t>Accommodation &amp; Food Services</t>
        </is>
      </c>
      <c r="B31" s="93" t="n">
        <v>43678</v>
      </c>
      <c r="C31" t="inlineStr">
        <is>
          <t>“Tariffs are affecting the cost of goods on all items imported from China. We’ve experienced a 10-percent increase on Chinese ingredients which kicked in on August 1.” (Accommodation &amp; Food Services)</t>
        </is>
      </c>
    </row>
    <row r="32">
      <c r="A32" t="inlineStr">
        <is>
          <t>Accommodation &amp; Food Services</t>
        </is>
      </c>
      <c r="B32" s="93" t="n">
        <v>43647</v>
      </c>
      <c r="C32" t="inlineStr">
        <is>
          <t>“Business is still strong, considering the seasonality.” (Accommodation &amp; Food Services)</t>
        </is>
      </c>
    </row>
    <row r="33">
      <c r="A33" t="inlineStr">
        <is>
          <t>Accommodation &amp; Food Services</t>
        </is>
      </c>
      <c r="B33" s="93" t="n">
        <v>43586</v>
      </c>
      <c r="C33" t="inlineStr">
        <is>
          <t>“Economy is good and it's showing in our weekly sales, tariffs are affecting some, but doesn't seem to matter. Our prices are up as well as costs, but sales are good.” (Accommodation &amp; Food Services)</t>
        </is>
      </c>
    </row>
    <row r="34">
      <c r="A34" t="inlineStr">
        <is>
          <t>Accommodation &amp; Food Services</t>
        </is>
      </c>
      <c r="B34" s="93" t="n">
        <v>43556</v>
      </c>
      <c r="C34" t="inlineStr">
        <is>
          <t>·         “Several produce products — particularly avocados and celery — are experiencing supply issues that are affecting prices. Prices for these items have increased and will continue to remain high [in retail and wholesale markets] for the foreseeable future.” (Accommodation &amp; Food Services)</t>
        </is>
      </c>
    </row>
    <row r="35">
      <c r="A35" t="inlineStr">
        <is>
          <t>Accommodation &amp; Food Services</t>
        </is>
      </c>
      <c r="B35" s="93" t="n">
        <v>43525</v>
      </c>
      <c r="C35" t="inlineStr">
        <is>
          <t>“Labor is tight and in short supply.” (Accommodation &amp; Food Services)</t>
        </is>
      </c>
    </row>
    <row r="36">
      <c r="A36" t="inlineStr">
        <is>
          <t>Accommodation &amp; Food Services</t>
        </is>
      </c>
      <c r="B36" s="93" t="n">
        <v>43497</v>
      </c>
      <c r="C36" t="inlineStr">
        <is>
          <t>“We are anxiously awaiting decisions in the next couple of weeks on the fate of the proposed tariffs on China. High Chinese commitments to agriculture output will put cost pressure on food and restaurant margins.” (Accommodation &amp; Food Services)</t>
        </is>
      </c>
    </row>
    <row r="37">
      <c r="A37" t="inlineStr">
        <is>
          <t>Agriculture, Forestry, Fishing &amp; Hunting</t>
        </is>
      </c>
      <c r="B37" s="93" t="n">
        <v>44621</v>
      </c>
      <c r="C37" t="inlineStr">
        <is>
          <t>“Grain and fertilizer prices are near all-time highs, resulting in decreased purchasing.”</t>
        </is>
      </c>
    </row>
    <row r="38">
      <c r="A38" t="inlineStr">
        <is>
          <t>Agriculture, Forestry, Fishing &amp; Hunting</t>
        </is>
      </c>
      <c r="B38" s="93" t="n">
        <v>44593</v>
      </c>
      <c r="C38" t="inlineStr">
        <is>
          <t>“Supply chain challenges continue to result in lower inventories of products and higher costs. The challenges are at the highest point since COVID-19 began.”</t>
        </is>
      </c>
    </row>
    <row r="39">
      <c r="A39" t="inlineStr">
        <is>
          <t>Agriculture, Forestry, Fishing &amp; Hunting</t>
        </is>
      </c>
      <c r="B39" s="93" t="n">
        <v>44562</v>
      </c>
      <c r="C39" t="inlineStr">
        <is>
          <t>“Challenging operating conditions remain the same to start the new year. Our biggest service providers seem to be rebounding from labor shortages or are managing their way through them. We will be forced to upgrade some equipment that is less reliant on labor.”</t>
        </is>
      </c>
    </row>
    <row r="40">
      <c r="A40" t="inlineStr">
        <is>
          <t>Agriculture, Forestry, Fishing &amp; Hunting</t>
        </is>
      </c>
      <c r="B40" s="93" t="n">
        <v>44531</v>
      </c>
      <c r="C40" t="inlineStr">
        <is>
          <t>“Supply chain issues continue, but our business is adapting.”</t>
        </is>
      </c>
    </row>
    <row r="41">
      <c r="A41" t="inlineStr">
        <is>
          <t>Agriculture, Forestry, Fishing &amp; Hunting</t>
        </is>
      </c>
      <c r="B41" s="93" t="n">
        <v>44501</v>
      </c>
      <c r="C41" t="inlineStr">
        <is>
          <t>“Business is greater than in the past. Supply chain issues persist, but we’re evolving to overcome or manage them better than in the past.” [Agriculture, Forestry, Fishing &amp; Hunting]</t>
        </is>
      </c>
    </row>
    <row r="42">
      <c r="A42" t="inlineStr">
        <is>
          <t>Agriculture, Forestry, Fishing &amp; Hunting</t>
        </is>
      </c>
      <c r="B42" s="93" t="n">
        <v>44470</v>
      </c>
      <c r="C42" t="inlineStr">
        <is>
          <t>“Container delays are causing serious implications for our supply chain.” [Agriculture, Forestry, Fishing &amp; Hunting]</t>
        </is>
      </c>
    </row>
    <row r="43">
      <c r="A43" t="inlineStr">
        <is>
          <t>Agriculture, Forestry, Fishing &amp; Hunting</t>
        </is>
      </c>
      <c r="B43" s="93" t="n">
        <v>44409</v>
      </c>
      <c r="C43" t="inlineStr">
        <is>
          <t>There is a shortage of available workers which is challenging our business operations. [Agriculture, Forestry, Fishing &amp; Hunting]</t>
        </is>
      </c>
    </row>
    <row r="44">
      <c r="A44" t="inlineStr">
        <is>
          <t>Agriculture, Forestry, Fishing &amp; Hunting</t>
        </is>
      </c>
      <c r="B44" s="93" t="n">
        <v>44378</v>
      </c>
      <c r="C44" t="inlineStr">
        <is>
          <t>“The slow movement of container traffic has definitely impacted our business in the first half of the year. We expect the situation will take another year to correct itself.” [Agriculture, Forestry, Fishing &amp; Hunting]</t>
        </is>
      </c>
    </row>
    <row r="45">
      <c r="A45" t="inlineStr">
        <is>
          <t>Agriculture, Forestry, Fishing &amp; Hunting</t>
        </is>
      </c>
      <c r="B45" s="93" t="n">
        <v>44317</v>
      </c>
      <c r="C45" t="inlineStr">
        <is>
          <t>Container delays are impacting our supply chain in a significant way. Delays as the Port of Montreal and West Coast ports have impacted our ability to provide products in growing season. Truck availability has generally been tighter than normal. We've seen a real impact in the southeastern market. [Agriculture, Forestry, Fishing &amp; Hunting]</t>
        </is>
      </c>
    </row>
    <row r="46">
      <c r="A46" t="inlineStr">
        <is>
          <t>Agriculture, Forestry, Fishing &amp; Hunting</t>
        </is>
      </c>
      <c r="B46" s="93" t="n">
        <v>44287</v>
      </c>
      <c r="C46" t="inlineStr">
        <is>
          <t>Delays in container deliveries are now impacting our business. (Agriculture, Forestry, Fishing &amp; Hunting)</t>
        </is>
      </c>
    </row>
    <row r="47">
      <c r="A47" t="inlineStr">
        <is>
          <t>Agriculture, Forestry, Fishing &amp; Hunting</t>
        </is>
      </c>
      <c r="B47" s="93" t="n">
        <v>44075</v>
      </c>
      <c r="C47" t="inlineStr">
        <is>
          <t>“Business has been fairly stable over the summer; however, there is still a great deal of uncertainty as we move into fall and winter [and] how our sales volume will be.” (Agriculture, Forestry, Fishing &amp; Hunting)</t>
        </is>
      </c>
    </row>
    <row r="48">
      <c r="A48" t="inlineStr">
        <is>
          <t>Agriculture, Forestry, Fishing &amp; Hunting</t>
        </is>
      </c>
      <c r="B48" s="93" t="n">
        <v>43983</v>
      </c>
      <c r="C48" t="inlineStr">
        <is>
          <t>“Surprising recovery to sales volume over the past four weeks.” (Agriculture, Forestry, Fishing &amp; Hunting)</t>
        </is>
      </c>
    </row>
    <row r="49">
      <c r="A49" t="inlineStr">
        <is>
          <t>Agriculture, Forestry, Fishing &amp; Hunting</t>
        </is>
      </c>
      <c r="B49" s="93" t="n">
        <v>43952</v>
      </c>
      <c r="C49" t="inlineStr">
        <is>
          <t>“Demand seems to have bottomed out, and we are seeing signs of increasing interest. Inventories of finished goods are extensive, so production will slowly rebound in the coming months.” (Agriculture, Forestry, Fishing &amp; Hunting)</t>
        </is>
      </c>
    </row>
    <row r="50">
      <c r="A50" t="inlineStr">
        <is>
          <t>Agriculture, Forestry, Fishing &amp; Hunting</t>
        </is>
      </c>
      <c r="B50" s="93" t="n">
        <v>43922</v>
      </c>
      <c r="C50" t="inlineStr">
        <is>
          <t>“COVID-19 pandemic has forced our business to close as of March 17, 2020. We do not have a re-opening date yet; our purchasing activity has been greatly reduced due to the current business environment.” (Arts, Entertainment &amp; Recreation)</t>
        </is>
      </c>
    </row>
    <row r="51">
      <c r="A51" t="inlineStr">
        <is>
          <t>Agriculture, Forestry, Fishing &amp; Hunting</t>
        </is>
      </c>
      <c r="B51" s="93" t="n">
        <v>43770</v>
      </c>
      <c r="C51" t="inlineStr">
        <is>
          <t>“Generally sluggish demand in the past month; back to summertime levels.” (Agriculture, Forestry, Fishing &amp; Hunting)</t>
        </is>
      </c>
    </row>
    <row r="52">
      <c r="A52" t="inlineStr">
        <is>
          <t>Agriculture, Forestry, Fishing &amp; Hunting</t>
        </is>
      </c>
      <c r="B52" s="93" t="n">
        <v>43709</v>
      </c>
      <c r="C52" t="inlineStr">
        <is>
          <t>“Demand has been variable — up one month, down the next. I think customers are watching our input costs and buying ahead on the dips, to the extent that contracts allow.” (Agriculture, Forestry, Fishing &amp; Hunting)</t>
        </is>
      </c>
    </row>
    <row r="53">
      <c r="A53" t="inlineStr">
        <is>
          <t>Agriculture, Forestry, Fishing &amp; Hunting</t>
        </is>
      </c>
      <c r="B53" s="93" t="n">
        <v>43678</v>
      </c>
      <c r="C53" t="inlineStr">
        <is>
          <t>“Generally good. Volumes are near expectations; however, commodity volatility is creating some challenges.” (Agriculture, Forestry, Fishing &amp; Hunting)</t>
        </is>
      </c>
    </row>
    <row r="54">
      <c r="A54" t="inlineStr">
        <is>
          <t>Agriculture, Forestry, Fishing &amp; Hunting</t>
        </is>
      </c>
      <c r="B54" s="93" t="n">
        <v>43617</v>
      </c>
      <c r="C54" t="inlineStr">
        <is>
          <t>“Low milk prices and a weakened dairy economy resulted in reduced feed sales.” (Agriculture, Forestry, Fishing &amp; Hunting)</t>
        </is>
      </c>
    </row>
    <row r="55">
      <c r="A55" t="inlineStr">
        <is>
          <t>Agriculture, Forestry, Fishing &amp; Hunting</t>
        </is>
      </c>
      <c r="B55" s="93" t="n">
        <v>43556</v>
      </c>
      <c r="C55" t="inlineStr">
        <is>
          <t xml:space="preserve"> “We have increased wages to comply with increases in government-mandated minimum-wage levels. In order to retain production employees, we are going to a weekly payroll system.” (Agriculture, Forestry, Fishing &amp; Hunting)</t>
        </is>
      </c>
    </row>
    <row r="56">
      <c r="A56" t="inlineStr">
        <is>
          <t>Arts, Entertainment &amp; Recreation</t>
        </is>
      </c>
      <c r="B56" s="93" t="n">
        <v>44593</v>
      </c>
      <c r="C56" t="inlineStr">
        <is>
          <t>“We are projecting 2022 to be busier than 2021. Our business volume should begin to increase significantly in March.”</t>
        </is>
      </c>
    </row>
    <row r="57">
      <c r="A57" t="inlineStr">
        <is>
          <t>Arts, Entertainment &amp; Recreation</t>
        </is>
      </c>
      <c r="B57" s="93" t="n">
        <v>44501</v>
      </c>
      <c r="C57" t="inlineStr">
        <is>
          <t>“Some food products that we have contracts on have been unavailable. Substitutes are always higher in cost.” [Arts, Entertainment &amp; Recreation]</t>
        </is>
      </c>
    </row>
    <row r="58">
      <c r="A58" t="inlineStr">
        <is>
          <t>Arts, Entertainment &amp; Recreation</t>
        </is>
      </c>
      <c r="B58" s="93" t="n">
        <v>44348</v>
      </c>
      <c r="C58" t="inlineStr">
        <is>
          <t>Severe supply chain disruptions and inflation are continuing in the marketplace, in all sectors. [Arts, Entertainment &amp; Recreation]</t>
        </is>
      </c>
    </row>
    <row r="59">
      <c r="A59" t="inlineStr">
        <is>
          <t>Arts, Entertainment &amp; Recreation</t>
        </is>
      </c>
      <c r="B59" s="93" t="n">
        <v>44317</v>
      </c>
      <c r="C59" t="inlineStr">
        <is>
          <t>Business continues to improve, and we have worked through many of the supply chain disruptions at this time. We have begun to return to work at our corporate office on a limited basis. [Arts, Entertainment &amp; Recreation]</t>
        </is>
      </c>
    </row>
    <row r="60">
      <c r="A60" t="inlineStr">
        <is>
          <t>Arts, Entertainment &amp; Recreation</t>
        </is>
      </c>
      <c r="B60" s="93" t="n">
        <v>44256</v>
      </c>
      <c r="C60" t="inlineStr">
        <is>
          <t>“Our four Southern California locations are finally open after being closed for 12 months. We are currently experiencing severe supply chain and distribution disruptions related to multiple factors. Reopening of the California and New York movie theater markets [is] creating a surge in demand; also, manufacturers and a distributor partner are dealing with labor shortages.” (Arts, Entertainment &amp; Recreation)</t>
        </is>
      </c>
    </row>
    <row r="61">
      <c r="A61" t="inlineStr">
        <is>
          <t>Arts, Entertainment &amp; Recreation</t>
        </is>
      </c>
      <c r="B61" s="93" t="n">
        <v>44228</v>
      </c>
      <c r="C61" t="inlineStr">
        <is>
          <t>“The declining COVID-19 cases in the four states we operate in, combined with the increased vaccination rates, should bode well for our increased business activity moving into the second quarter of 2021.” (Arts, Entertainment &amp; Recreation)</t>
        </is>
      </c>
    </row>
    <row r="62">
      <c r="A62" t="inlineStr">
        <is>
          <t>Arts, Entertainment &amp; Recreation</t>
        </is>
      </c>
      <c r="B62" s="93" t="n">
        <v>43709</v>
      </c>
      <c r="C62" t="inlineStr">
        <is>
          <t>“Our industry is facing a bleak outlook, as the Hollywood studios have pulled back almost all of their content from October and November and moved it into next year. Coupled with the state health mandates restricting our attendance, we expect to operate at a loss in 2020 and 2021.” (Arts, Entertainment &amp; Recreation)</t>
        </is>
      </c>
    </row>
    <row r="63">
      <c r="A63" t="inlineStr">
        <is>
          <t>Arts, Entertainment &amp; Recreation</t>
        </is>
      </c>
      <c r="B63" s="93" t="n">
        <v>43586</v>
      </c>
      <c r="C63" t="inlineStr">
        <is>
          <t>“Low unemployment is good since our business is entertainment and relies on discretionary spend.” (Arts, Entertainment &amp; Recreation</t>
        </is>
      </c>
    </row>
    <row r="64">
      <c r="A64" t="inlineStr">
        <is>
          <t>Construction</t>
        </is>
      </c>
      <c r="B64" s="93" t="n">
        <v>44713</v>
      </c>
      <c r="C64" t="inlineStr">
        <is>
          <t>“(Interest) rate increases have slowed sales but have not helped with supply challenges yet.”</t>
        </is>
      </c>
    </row>
    <row r="65">
      <c r="A65" t="inlineStr">
        <is>
          <t>Construction</t>
        </is>
      </c>
      <c r="B65" s="93" t="n">
        <v>44682</v>
      </c>
      <c r="C65" t="inlineStr">
        <is>
          <t>“Demand seems to be very high for all of the high-voltage electric products we purchase. Lead times are quadruple what they normally are.”</t>
        </is>
      </c>
    </row>
    <row r="66">
      <c r="A66" t="inlineStr">
        <is>
          <t>Construction</t>
        </is>
      </c>
      <c r="B66" s="93" t="n">
        <v>44593</v>
      </c>
      <c r="C66" t="inlineStr">
        <is>
          <t>“We are getting price increases with no notice. For example, our engineered wood products supplier gave us a 10 percent to 20 percent (based on SKU) increase, effective immediately. We are also struggling to get materials. Suppliers cite poor employee attendance, elevated employee turnover and positions open longer than normal as they struggle to fill them.”</t>
        </is>
      </c>
    </row>
    <row r="67">
      <c r="A67" t="inlineStr">
        <is>
          <t>Construction</t>
        </is>
      </c>
      <c r="B67" s="93" t="n">
        <v>44562</v>
      </c>
      <c r="C67" t="inlineStr">
        <is>
          <t>“Costs have escalated to what we believe are unsustainable levels. Available labor is nonexistent, so we have cut staffing and are taking on fewer projects temporarily in an attempt to reduce cost. Outsourcing where possible. We are not optimistic at this time.”</t>
        </is>
      </c>
    </row>
    <row r="68">
      <c r="A68" t="inlineStr">
        <is>
          <t>Construction</t>
        </is>
      </c>
      <c r="B68" s="93" t="n">
        <v>44531</v>
      </c>
      <c r="C68" t="inlineStr">
        <is>
          <t>“The escalation in costs for materials, fuel, labor, lodging and the like continues to negatively impact margins in an unsustainable direction.”</t>
        </is>
      </c>
    </row>
    <row r="69">
      <c r="A69" t="inlineStr">
        <is>
          <t>Construction</t>
        </is>
      </c>
      <c r="B69" s="93" t="n">
        <v>44501</v>
      </c>
      <c r="C69" t="inlineStr">
        <is>
          <t>“Construction material shortages and longer lead times continue to hamper operations. Significant cost increases from labor and freight are forecast for the start of next year.” [Construction]</t>
        </is>
      </c>
    </row>
    <row r="70">
      <c r="A70" t="inlineStr">
        <is>
          <t>Construction</t>
        </is>
      </c>
      <c r="B70" s="93" t="n">
        <v>44470</v>
      </c>
      <c r="C70" t="inlineStr">
        <is>
          <t>“Supply chain disruptions continue to roil new residential construction. Material and skilled labor shortages are lengthening cycle times and forcing substitutions.” [Construction]</t>
        </is>
      </c>
    </row>
    <row r="71">
      <c r="A71" t="inlineStr">
        <is>
          <t>Construction</t>
        </is>
      </c>
      <c r="B71" s="93" t="n">
        <v>44440</v>
      </c>
      <c r="C71" t="inlineStr">
        <is>
          <t>“Constraints on logistics from a cost and availability standpoint continue to be an issue.” [Construction]</t>
        </is>
      </c>
    </row>
    <row r="72">
      <c r="A72" t="inlineStr">
        <is>
          <t>Construction</t>
        </is>
      </c>
      <c r="B72" s="93" t="n">
        <v>44409</v>
      </c>
      <c r="C72" t="inlineStr">
        <is>
          <t>Material and labor shortages continue to hinder productivity. Price increases are ever-present and repetitive. Large, multinational manufacturers have had multiple price increases in the last three months. [Construction]</t>
        </is>
      </c>
    </row>
    <row r="73">
      <c r="A73" t="inlineStr">
        <is>
          <t>Construction</t>
        </is>
      </c>
      <c r="B73" s="93" t="n">
        <v>44378</v>
      </c>
      <c r="C73" t="inlineStr">
        <is>
          <t>“Costs have risen dramatically in the last 45 days. Lodging, fuel, travel and supplies are all rising sharply. Costs for available labor are also rising, as demand increases in a diminished labor pool.” [Construction]</t>
        </is>
      </c>
    </row>
    <row r="74">
      <c r="A74" t="inlineStr">
        <is>
          <t>Construction</t>
        </is>
      </c>
      <c r="B74" s="93" t="n">
        <v>44348</v>
      </c>
      <c r="C74" t="inlineStr">
        <is>
          <t>COVID-19 continues to cause troubles for all of our deliveries, as well as short supply a lot of materials. (Shortages of) lumber, copper, and steel continue, which is driving up pricing and lead times. [Construction]</t>
        </is>
      </c>
    </row>
    <row r="75">
      <c r="A75" t="inlineStr">
        <is>
          <t>Construction</t>
        </is>
      </c>
      <c r="B75" s="93" t="n">
        <v>44317</v>
      </c>
      <c r="C75" t="inlineStr">
        <is>
          <t>We are still busy and adding employees. One of the biggest concerns now is shortages of crucial material and equipment. Metal coils for production are especially scarce. Equipment and material suppliers have been raising prices since the first of the year. We hear of a new increase almost daily. [Construction]</t>
        </is>
      </c>
    </row>
    <row r="76">
      <c r="A76" t="inlineStr">
        <is>
          <t>Construction</t>
        </is>
      </c>
      <c r="B76" s="93" t="n">
        <v>44287</v>
      </c>
      <c r="C76" t="inlineStr">
        <is>
          <t>Consistent with the past year, labor continues to be the biggest issue we are facing. Finding and retaining labor — skilled and unskilled — is highly challenging and frustrating. As the challenges continue, we are not accepting all the work that we could if we had the labor. (Construction)</t>
        </is>
      </c>
    </row>
    <row r="77">
      <c r="A77" t="inlineStr">
        <is>
          <t>Construction</t>
        </is>
      </c>
      <c r="B77" s="93" t="n">
        <v>44256</v>
      </c>
      <c r="C77" t="inlineStr">
        <is>
          <t>“Residential new home construction demand continues to outpace supply. Building material delays, discontinuations and shortages are beginning to develop. Shipping delays at the L.A. and Long Beach ports have contributed to longer lead times. Cold weather in Texas has hurt several component manufacturers for building materials. We have encountered the ‘perfect storm’ for building material shortages and price increases.” (Construction)</t>
        </is>
      </c>
    </row>
    <row r="78">
      <c r="A78" t="inlineStr">
        <is>
          <t>Construction</t>
        </is>
      </c>
      <c r="B78" s="93" t="n">
        <v>44228</v>
      </c>
      <c r="C78" t="inlineStr">
        <is>
          <t>“Sales of residential real estate continue to be strong, even outstripping supply. Cost inflation in building materials seen as shortages develop from sporadic COVID-19 closures at manufacturing facilities. Port congestion on the West Coast [and] winter weather in Canada closing mills and restricting truck shipping are contributing to product shortages nationwide.” (Construction)</t>
        </is>
      </c>
    </row>
    <row r="79">
      <c r="A79" t="inlineStr">
        <is>
          <t>Construction</t>
        </is>
      </c>
      <c r="B79" s="93" t="n">
        <v>44197</v>
      </c>
      <c r="C79" t="inlineStr">
        <is>
          <t>“Orders for new business have picked up. Labor is still the major impediment to the business.” (Construction)</t>
        </is>
      </c>
    </row>
    <row r="80">
      <c r="A80" t="inlineStr">
        <is>
          <t>Construction</t>
        </is>
      </c>
      <c r="B80" s="93" t="n">
        <v>44166</v>
      </c>
      <c r="C80" t="inlineStr">
        <is>
          <t>Lack of labor continues to be a significant drag on the business. We have plenty of work but are now considering rejecting some orders due to shrinking capacity. (Construction)</t>
        </is>
      </c>
    </row>
    <row r="81">
      <c r="A81" t="inlineStr">
        <is>
          <t>Construction</t>
        </is>
      </c>
      <c r="B81" s="93" t="n">
        <v>44136</v>
      </c>
      <c r="C81" t="inlineStr">
        <is>
          <t xml:space="preserve">	Business is pushing to complete projects due to seasonality in most of our markets. Volume is strong at this point but will gradually slow as temperatures drop in most of the country." (Construction)</t>
        </is>
      </c>
    </row>
    <row r="82">
      <c r="A82" t="inlineStr">
        <is>
          <t>Construction</t>
        </is>
      </c>
      <c r="B82" s="93" t="n">
        <v>44105</v>
      </c>
      <c r="C82" t="inlineStr">
        <is>
          <t>“Interesting business cycle: Labor is still in short supply, and work orders are picking up.” (Construction)</t>
        </is>
      </c>
    </row>
    <row r="83">
      <c r="A83" t="inlineStr">
        <is>
          <t>Construction</t>
        </is>
      </c>
      <c r="B83" s="93" t="n">
        <v>44075</v>
      </c>
      <c r="C83" t="inlineStr">
        <is>
          <t>“Work orders are improving rapidly. Lack of available labor is having a significant impact on our ability to fulfill orders.” (Construction)</t>
        </is>
      </c>
    </row>
    <row r="84">
      <c r="A84" t="inlineStr">
        <is>
          <t>Construction</t>
        </is>
      </c>
      <c r="B84" s="93" t="n">
        <v>44044</v>
      </c>
      <c r="C84" t="inlineStr">
        <is>
          <t>“Overall, we are seeing improvement in the level of activity in the short term. Backlog of orders is inconsistent.” (Construction)</t>
        </is>
      </c>
    </row>
    <row r="85">
      <c r="A85" t="inlineStr">
        <is>
          <t>Construction</t>
        </is>
      </c>
      <c r="B85" s="93" t="n">
        <v>43983</v>
      </c>
      <c r="C85" t="inlineStr">
        <is>
          <t>“Sales have picked up tremendously. Sporadic supply issues. Biggest concern for us is lumber shortages.” (Construction)</t>
        </is>
      </c>
    </row>
    <row r="86">
      <c r="A86" t="inlineStr">
        <is>
          <t>Construction</t>
        </is>
      </c>
      <c r="B86" s="93" t="n">
        <v>43952</v>
      </c>
      <c r="C86" t="inlineStr">
        <is>
          <t>“Sales have slowed, but backlog has remained [at] 2019 levels. Several key commodities have seen radical up-and-down swings in pricing, specifically lumber. Some suppliers recognize the downturn and are beginning to voluntarily offer pricing concessions.” (Construction)</t>
        </is>
      </c>
    </row>
    <row r="87">
      <c r="A87" t="inlineStr">
        <is>
          <t>Construction</t>
        </is>
      </c>
      <c r="B87" s="93" t="n">
        <v>43922</v>
      </c>
      <c r="C87" t="inlineStr">
        <is>
          <t>“COVID-19 is altering the operation, supply chain and sales process of home-building. Stay-at-home orders have hampered business in residential construction. As ours has been deemed an essential industry, we continue to navigate changing guidelines and restrictions on a daily basis.” (Construction)</t>
        </is>
      </c>
    </row>
    <row r="88">
      <c r="A88" t="inlineStr">
        <is>
          <t>Construction</t>
        </is>
      </c>
      <c r="B88" s="93" t="n">
        <v>43891</v>
      </c>
      <c r="C88" t="inlineStr">
        <is>
          <t>“The coronavirus is having an impact, but not as much as we thought it would at this point. All sectors are staying busy. Although there are many customer concerns, we are finding work-arounds and adapting to the ever-changing situation.” (Construction)</t>
        </is>
      </c>
    </row>
    <row r="89">
      <c r="A89" t="inlineStr">
        <is>
          <t>Construction</t>
        </is>
      </c>
      <c r="B89" s="93" t="n">
        <v>43862</v>
      </c>
      <c r="C89" t="inlineStr">
        <is>
          <t>“[The] coronavirus has increased lead times for the critical items.” (Construction)</t>
        </is>
      </c>
    </row>
    <row r="90">
      <c r="A90" t="inlineStr">
        <is>
          <t>Construction</t>
        </is>
      </c>
      <c r="B90" s="93" t="n">
        <v>43831</v>
      </c>
      <c r="C90" t="inlineStr">
        <is>
          <t>“Q1 sales are improving, which makes us more optimistic.” (Construction)</t>
        </is>
      </c>
    </row>
    <row r="91">
      <c r="A91" t="inlineStr">
        <is>
          <t>Construction</t>
        </is>
      </c>
      <c r="B91" s="93" t="n">
        <v>43800</v>
      </c>
      <c r="C91" t="inlineStr">
        <is>
          <t>"Weather and the holiday season have had an impact on residential new construction sales and production. While demand is outstripping supply in the housing market, business is down due to global trade insecurity causing affordability, labor and cost pressures." (Construction)</t>
        </is>
      </c>
    </row>
    <row r="92">
      <c r="A92" t="inlineStr">
        <is>
          <t>Construction</t>
        </is>
      </c>
      <c r="B92" s="93" t="n">
        <v>43770</v>
      </c>
      <c r="C92" t="inlineStr">
        <is>
          <t>“Activity is still up in all areas, but primarily in commercial construction.”</t>
        </is>
      </c>
    </row>
    <row r="93">
      <c r="A93" t="inlineStr">
        <is>
          <t>Construction</t>
        </is>
      </c>
      <c r="B93" s="93" t="n">
        <v>43739</v>
      </c>
      <c r="C93" t="inlineStr">
        <is>
          <t>“Current outlooks for commodities, equipment, and materials indicate purchasing now has leverage. Investment is still hampered by uncertainties in trade, global economic environment, manufacturing and the like.” (Construction)</t>
        </is>
      </c>
    </row>
    <row r="94">
      <c r="A94" t="inlineStr">
        <is>
          <t>Construction</t>
        </is>
      </c>
      <c r="B94" s="93" t="n">
        <v>43709</v>
      </c>
      <c r="C94" t="inlineStr">
        <is>
          <t>“We are very busy right now [and] expect to be so for the next 12 months. We are still very shorthanded with qualified labor.” (Construction)</t>
        </is>
      </c>
    </row>
    <row r="95">
      <c r="A95" t="inlineStr">
        <is>
          <t>Construction</t>
        </is>
      </c>
      <c r="B95" s="93" t="n">
        <v>43678</v>
      </c>
      <c r="C95" t="inlineStr">
        <is>
          <t>“Lower mortgage rates have not had a great effect on new residential construction sales. Tariffs continue to apply upward cost pressures to current supply chains.” (Construction)</t>
        </is>
      </c>
    </row>
    <row r="96">
      <c r="A96" t="inlineStr">
        <is>
          <t>Construction</t>
        </is>
      </c>
      <c r="B96" s="93" t="n">
        <v>43647</v>
      </c>
      <c r="C96" t="inlineStr">
        <is>
          <t>“Tariffs continue to push costs higher, and customers are looking for more discounts due to mortgage-rate fluctuations.” (Construction)</t>
        </is>
      </c>
    </row>
    <row r="97">
      <c r="A97" t="inlineStr">
        <is>
          <t>Construction</t>
        </is>
      </c>
      <c r="B97" s="93" t="n">
        <v>43617</v>
      </c>
      <c r="C97" t="inlineStr">
        <is>
          <t>“New residential sales are off the typical pace by 10 to 15 percent year over year. Tariffs are working their way through the system, raising costs on finished materials. Wet weather has slowed construction and starts for the beginning of the season.” (Construction)</t>
        </is>
      </c>
    </row>
    <row r="98">
      <c r="A98" t="inlineStr">
        <is>
          <t>Construction</t>
        </is>
      </c>
      <c r="B98" s="93" t="n">
        <v>43586</v>
      </c>
      <c r="C98" t="inlineStr">
        <is>
          <t>“Ability to source and retain employees continues to strain the business.” (Construction)</t>
        </is>
      </c>
    </row>
    <row r="99">
      <c r="A99" t="inlineStr">
        <is>
          <t>Construction</t>
        </is>
      </c>
      <c r="B99" s="93" t="n">
        <v>43556</v>
      </c>
      <c r="C99" t="inlineStr">
        <is>
          <t>“Spring selling season is here for residential construction. Sales are coming, but negotiations are now the norm. Traffic is higher than the last three months, mostly due to lower mortgage rates.” (Construction)</t>
        </is>
      </c>
    </row>
    <row r="100">
      <c r="A100" t="inlineStr">
        <is>
          <t>Construction</t>
        </is>
      </c>
      <c r="B100" s="93" t="n">
        <v>43525</v>
      </c>
      <c r="C100" t="inlineStr">
        <is>
          <t>“While we have a slowed down in residential service and install [area], we are still experiencing strength in the new commercial construction area.” (Construction)</t>
        </is>
      </c>
    </row>
    <row r="101">
      <c r="A101" t="inlineStr">
        <is>
          <t>Construction</t>
        </is>
      </c>
      <c r="B101" s="93" t="n">
        <v>43497</v>
      </c>
      <c r="C101" t="inlineStr">
        <is>
          <t>“Still strong in all areas, due mostly to commercial construction activity.” (Construction)</t>
        </is>
      </c>
    </row>
    <row r="102">
      <c r="A102" t="inlineStr">
        <is>
          <t>Construction</t>
        </is>
      </c>
      <c r="B102" s="93" t="n">
        <v>43466</v>
      </c>
      <c r="C102" t="inlineStr">
        <is>
          <t>“Business has slowed well below expectations as our customers deal with the effects of economic situations exacerbated by the government shutdown.” (Construction)</t>
        </is>
      </c>
    </row>
    <row r="103">
      <c r="A103" t="inlineStr">
        <is>
          <t>Educational Services</t>
        </is>
      </c>
      <c r="B103" s="93" t="n">
        <v>44713</v>
      </c>
      <c r="C103" t="inlineStr">
        <is>
          <t>“While activity dropped 2 percent from the previous month, activity volume was 47 percent higher compared to May 2021.”</t>
        </is>
      </c>
    </row>
    <row r="104">
      <c r="A104" t="inlineStr">
        <is>
          <t>Educational Services</t>
        </is>
      </c>
      <c r="B104" s="93" t="n">
        <v>44682</v>
      </c>
      <c r="C104" t="inlineStr">
        <is>
          <t>“Long lead times continue to plague equipment deliveries; higher prices or surcharges added to pricing proposals. The ban on Russian imports is causing a shortage of gasses, especially helium. There has been an increase in new college applicants, signaling a strengthening of the higher education sector.”</t>
        </is>
      </c>
    </row>
    <row r="105">
      <c r="A105" t="inlineStr">
        <is>
          <t>Educational Services</t>
        </is>
      </c>
      <c r="B105" s="93" t="n">
        <v>44652</v>
      </c>
      <c r="C105" t="inlineStr">
        <is>
          <t>“Large construction projects have been mostly constrained due to continued supply chain issues and large cost increases. Continued shortages in account management continue to be a source of frustration for day-to-day operations and service.”</t>
        </is>
      </c>
    </row>
    <row r="106">
      <c r="A106" t="inlineStr">
        <is>
          <t>Educational Services</t>
        </is>
      </c>
      <c r="B106" s="93" t="n">
        <v>44621</v>
      </c>
      <c r="C106" t="inlineStr">
        <is>
          <t>“Labor and inflation continue to push costs higher across the board for food and food-service supplies.”</t>
        </is>
      </c>
    </row>
    <row r="107">
      <c r="A107" t="inlineStr">
        <is>
          <t>Educational Services</t>
        </is>
      </c>
      <c r="B107" s="93" t="n">
        <v>44593</v>
      </c>
      <c r="C107" t="inlineStr">
        <is>
          <t>“Inflation is contributing to budget constraints, supply chain restraints and labor shortages.”</t>
        </is>
      </c>
    </row>
    <row r="108">
      <c r="A108" t="inlineStr">
        <is>
          <t>Educational Services</t>
        </is>
      </c>
      <c r="B108" s="93" t="n">
        <v>44501</v>
      </c>
      <c r="C108" t="inlineStr">
        <is>
          <t>“As an institution of higher education, maintaining the safety, health and security of thousands of students, faculty and staff while allowing classes to continue in person and virtually has been a juggling act. We have been faced with multiple shortages on everything from personal protective equipment (PPE) to computers and peripherals, and vehicles. Shipments are taking longer and prices continue to climb, putting additional strain on (already) stressed budgets.” [Educational Services]</t>
        </is>
      </c>
    </row>
    <row r="109">
      <c r="A109" t="inlineStr">
        <is>
          <t>Educational Services</t>
        </is>
      </c>
      <c r="B109" s="93" t="n">
        <v>44470</v>
      </c>
      <c r="C109" t="inlineStr">
        <is>
          <t>“Supply chain backorders. We have to forecast six months out for basic supplies and one year for larger international equipment orders. Ivy [League] or elite higher education institutions will fare better than smaller schools, as applicants find alternative sources of education.” [Educational Services]</t>
        </is>
      </c>
    </row>
    <row r="110">
      <c r="A110" t="inlineStr">
        <is>
          <t>Educational Services</t>
        </is>
      </c>
      <c r="B110" s="93" t="n">
        <v>44440</v>
      </c>
      <c r="C110" t="inlineStr">
        <is>
          <t>“Lead times on electronics and computer chips have greatly increased. Outlook for higher education remains flat for most colleges, not including elite and Ivy League institutions.” [Educational Services]</t>
        </is>
      </c>
    </row>
    <row r="111">
      <c r="A111" t="inlineStr">
        <is>
          <t>Educational Services</t>
        </is>
      </c>
      <c r="B111" s="93" t="n">
        <v>44409</v>
      </c>
      <c r="C111" t="inlineStr">
        <is>
          <t>Budget constraints due to student enrollment (impacted by) COVID-19 restrictions. Outlook to remain flat or little increase. Supply chain constraints with regard to limited supply of computer hardware to fulfill orders. [Educational Services]</t>
        </is>
      </c>
    </row>
    <row r="112">
      <c r="A112" t="inlineStr">
        <is>
          <t>Educational Services</t>
        </is>
      </c>
      <c r="B112" s="93" t="n">
        <v>44348</v>
      </c>
      <c r="C112" t="inlineStr">
        <is>
          <t>The declining positive test rates for COVID-19 is already having a significant impact, as virtually all aspects of our operations are picking up rapidly. The summer is normally the slow period, as limited teaching is taking place, but this year, preparations for the fall semester are already underway. [Educational Services]</t>
        </is>
      </c>
    </row>
    <row r="113">
      <c r="A113" t="inlineStr">
        <is>
          <t>Educational Services</t>
        </is>
      </c>
      <c r="B113" s="93" t="n">
        <v>44287</v>
      </c>
      <c r="C113" t="inlineStr">
        <is>
          <t>Higher volume of activity in anticipation of a reopening of the campus in the fall of 2021. (Educational Services)</t>
        </is>
      </c>
    </row>
    <row r="114">
      <c r="A114" t="inlineStr">
        <is>
          <t>Educational Services</t>
        </is>
      </c>
      <c r="B114" s="93" t="n">
        <v>44256</v>
      </c>
      <c r="C114" t="inlineStr">
        <is>
          <t>“There is optimism in higher education that Fall 2021 will be near normal with vaccinated students, employees and staff returning to their roles on campus.” (Educational Services)</t>
        </is>
      </c>
    </row>
    <row r="115">
      <c r="A115" t="inlineStr">
        <is>
          <t>Educational Services</t>
        </is>
      </c>
      <c r="B115" s="93" t="n">
        <v>44228</v>
      </c>
      <c r="C115" t="inlineStr">
        <is>
          <t>“COVID-19 restrictions continue to affect the number of students either applying to college, living on campus or finding alternative means of a valuable education. As such, revenues have decreased while expenses increased.” (Educational Services)</t>
        </is>
      </c>
    </row>
    <row r="116">
      <c r="A116" t="inlineStr">
        <is>
          <t>Educational Services</t>
        </is>
      </c>
      <c r="B116" s="93" t="n">
        <v>44197</v>
      </c>
      <c r="C116" t="inlineStr">
        <is>
          <t>“Seasonal reduction of activity due to winter break from campus activity.” (Educational Services)</t>
        </is>
      </c>
    </row>
    <row r="117">
      <c r="A117" t="inlineStr">
        <is>
          <t>Educational Services</t>
        </is>
      </c>
      <c r="B117" s="93" t="n">
        <v>44166</v>
      </c>
      <c r="C117" t="inlineStr">
        <is>
          <t>Continued local and state shutdowns negatively impacting a variety of operations. Notably, shipping delays are beginning to affect operations as [parcel companies] all struggle under the strain of holiday-shipping demand. Construction and services continue to also be challenged, as COVID-19 infections become more pervasive with workers calling out to quarantine, etc. (Educational Services)</t>
        </is>
      </c>
    </row>
    <row r="118">
      <c r="A118" t="inlineStr">
        <is>
          <t>Educational Services</t>
        </is>
      </c>
      <c r="B118" s="93" t="n">
        <v>44136</v>
      </c>
      <c r="C118" t="inlineStr">
        <is>
          <t xml:space="preserve">	"Recent spike in the infection rates of COVID-19 have caused us to pause plans to further reopen our campus. Sourcing for the resumption and expanded use of onsite testing of students and staff along with concerns over possible personal protective equipment [PPE] shortages occupy most staff meetings." (Educational Services)</t>
        </is>
      </c>
    </row>
    <row r="119">
      <c r="A119" t="inlineStr">
        <is>
          <t>Educational Services</t>
        </is>
      </c>
      <c r="B119" s="93" t="n">
        <v>44105</v>
      </c>
      <c r="C119" t="inlineStr">
        <is>
          <t>“Challenges to maintain safety and prevent the spread of COVID-19 has meant changes in the way activities are carried out. Purchases of personal protective equipment [PPE] and facilities equipment along with modifications to buildings and walkways has led to higher spending in some areas.” (Educational Services)</t>
        </is>
      </c>
    </row>
    <row r="120">
      <c r="A120" t="inlineStr">
        <is>
          <t>Educational Services</t>
        </is>
      </c>
      <c r="B120" s="93" t="n">
        <v>44075</v>
      </c>
      <c r="C120" t="inlineStr">
        <is>
          <t>“As a public state university, our economic forecast is dependent upon our campus remaining open and students on campus. Currently, our students are on campus, but we have a reduced footprint with a 25-percent decrease in students living in university-provided housing. Enrollment was down 2 percent and most attribute that to COVID-19. Many students choose to stay close to home and attend classes at their local university or community college. Overall, our revenue will be down slightly this year, as long as our campus remains open. If we have to send students home due to a COVID-19 outbreak, then we will experience a drastic reduction in our revenue.” (Educational Services)</t>
        </is>
      </c>
    </row>
    <row r="121">
      <c r="A121" t="inlineStr">
        <is>
          <t>Educational Services</t>
        </is>
      </c>
      <c r="B121" s="93" t="n">
        <v>44044</v>
      </c>
      <c r="C121" t="inlineStr">
        <is>
          <t>“Continuing pandemic uncertainties are challenging abilities to prepare for fall semester activities, resumption of in-person instruction and the research enterprise. Recent decision to provide all undergraduate instruction online has shifted priorities significantly, including reduced need for testing and increased need for remote teaching infrastructure.” (Educational Services)</t>
        </is>
      </c>
    </row>
    <row r="122">
      <c r="A122" t="inlineStr">
        <is>
          <t>Educational Services</t>
        </is>
      </c>
      <c r="B122" s="93" t="n">
        <v>44013</v>
      </c>
      <c r="C122" t="inlineStr">
        <is>
          <t>"We're still not certain whether or not the students will be coming back in their full capacity due to COVID-19. This has caused an influx of ordering safety supplies to prepare for the possibility. We have certainly increased our purchasing in the past month or so by a large amount." (Educational Services)</t>
        </is>
      </c>
    </row>
    <row r="123">
      <c r="A123" t="inlineStr">
        <is>
          <t>Educational Services</t>
        </is>
      </c>
      <c r="B123" s="93" t="n">
        <v>43983</v>
      </c>
      <c r="C123" t="inlineStr">
        <is>
          <t>“We are a public higher-education institution. We are expecting budget cuts for fiscal year 2021. Our biggest concern is COVID-19. The plan for a vast majority of higher education institutions is to have students on campus and blend of face-to-face and online classes. However, if students do not effectively social distance, then we could see a dramatic increase in COVID-19 and campuses forced to move to online classes. This will be a major financial blow to revenue for all universities (athletic events, vending, parking, housing, and the like).” (Educational Services)</t>
        </is>
      </c>
    </row>
    <row r="124">
      <c r="A124" t="inlineStr">
        <is>
          <t>Educational Services</t>
        </is>
      </c>
      <c r="B124" s="93" t="n">
        <v>43952</v>
      </c>
      <c r="C124" t="inlineStr">
        <is>
          <t>“Students participating in online education classes have greatly reduced the need on campus. Coupled with the natural slow down we normally experience in the spring and summer terms with reduced student enrollment, and our workload has diminished substantially.” (Educational Services)</t>
        </is>
      </c>
    </row>
    <row r="125">
      <c r="A125" t="inlineStr">
        <is>
          <t>Educational Services</t>
        </is>
      </c>
      <c r="B125" s="93" t="n">
        <v>43922</v>
      </c>
      <c r="C125" t="inlineStr">
        <is>
          <t>“The university abruptly transitioned from students on campus to remote teaching for the spring quarter; however, the number of students registered for the quarter has remained consistent with previous years. Overall, activity dropped 17 percent compared to February and 31 percent compared to March 2019.” (Educational Services)</t>
        </is>
      </c>
    </row>
    <row r="126">
      <c r="A126" t="inlineStr">
        <is>
          <t>Educational Services</t>
        </is>
      </c>
      <c r="B126" s="93" t="n">
        <v>43891</v>
      </c>
      <c r="C126" t="inlineStr">
        <is>
          <t>“COVID-19 shelter-in-place order in effect. Offices closed except for essential personnel.” (Educational Services)</t>
        </is>
      </c>
    </row>
    <row r="127">
      <c r="A127" t="inlineStr">
        <is>
          <t>Finance &amp; Insurance</t>
        </is>
      </c>
      <c r="B127" s="93" t="n">
        <v>44593</v>
      </c>
      <c r="C127" t="inlineStr">
        <is>
          <t>“Employee turnover within our company and with our suppliers is causing delays in decisions and orders.”</t>
        </is>
      </c>
    </row>
    <row r="128">
      <c r="A128" t="inlineStr">
        <is>
          <t>Finance &amp; Insurance</t>
        </is>
      </c>
      <c r="B128" s="93" t="n">
        <v>44562</v>
      </c>
      <c r="C128" t="inlineStr">
        <is>
          <t>“Business activity is increasing, but professional labor continues to be in short supply. Virtual work is preferred by clients.”</t>
        </is>
      </c>
    </row>
    <row r="129">
      <c r="A129" t="inlineStr">
        <is>
          <t>Finance &amp; Insurance</t>
        </is>
      </c>
      <c r="B129" s="93" t="n">
        <v>44531</v>
      </c>
      <c r="C129" t="inlineStr">
        <is>
          <t>“Higher than normal employee attrition within our own company and at our suppliers, which is causing disruptions and delays.”</t>
        </is>
      </c>
    </row>
    <row r="130">
      <c r="A130" t="inlineStr">
        <is>
          <t>Finance &amp; Insurance</t>
        </is>
      </c>
      <c r="B130" s="93" t="n">
        <v>44501</v>
      </c>
      <c r="C130" t="inlineStr">
        <is>
          <t>“Seeing inflationary forces in the marketplace, which is resulting in suppliers raising their prices moving into 2022.” [Finance &amp; Insurance]</t>
        </is>
      </c>
    </row>
    <row r="131">
      <c r="A131" t="inlineStr">
        <is>
          <t>Finance &amp; Insurance</t>
        </is>
      </c>
      <c r="B131" s="93" t="n">
        <v>44440</v>
      </c>
      <c r="C131" t="inlineStr">
        <is>
          <t>“International and domestic demand remains very strong.” [Finance &amp; Insurance]</t>
        </is>
      </c>
    </row>
    <row r="132">
      <c r="A132" t="inlineStr">
        <is>
          <t>Finance &amp; Insurance</t>
        </is>
      </c>
      <c r="B132" s="93" t="n">
        <v>44348</v>
      </c>
      <c r="C132" t="inlineStr">
        <is>
          <t>New business is actively trending up locally, nationally and internationally. [Finance &amp; Insurance]</t>
        </is>
      </c>
    </row>
    <row r="133">
      <c r="A133" t="inlineStr">
        <is>
          <t>Finance &amp; Insurance</t>
        </is>
      </c>
      <c r="B133" s="93" t="n">
        <v>44317</v>
      </c>
      <c r="C133" t="inlineStr">
        <is>
          <t>We anticipated the reopening reasonably well but were caught off guard with respect to some materials. Steel and copper went higher than anticipated, and shortages are having an impact. [Finance &amp; Insurance]</t>
        </is>
      </c>
    </row>
    <row r="134">
      <c r="A134" t="inlineStr">
        <is>
          <t>Finance &amp; Insurance</t>
        </is>
      </c>
      <c r="B134" s="93" t="n">
        <v>44287</v>
      </c>
      <c r="C134" t="inlineStr">
        <is>
          <t>Conditions are good for the market/industry. Continuing to trend under budget for operating expenses. Outlook is positive for the second quarter of 2021. (Finance &amp; Insurance)</t>
        </is>
      </c>
    </row>
    <row r="135">
      <c r="A135" t="inlineStr">
        <is>
          <t>Finance &amp; Insurance</t>
        </is>
      </c>
      <c r="B135" s="93" t="n">
        <v>44256</v>
      </c>
      <c r="C135" t="inlineStr">
        <is>
          <t>“Local and national outlook remains positive, despite return-to-work concerns [and] work-from-home-related issues/purchases.” (Finance &amp; Insurance)</t>
        </is>
      </c>
    </row>
    <row r="136">
      <c r="A136" t="inlineStr">
        <is>
          <t>Finance &amp; Insurance</t>
        </is>
      </c>
      <c r="B136" s="93" t="n">
        <v>44228</v>
      </c>
      <c r="C136" t="inlineStr">
        <is>
          <t>“Business is steady during Q1 2021.” (Finance &amp; Insurance)</t>
        </is>
      </c>
    </row>
    <row r="137">
      <c r="A137" t="inlineStr">
        <is>
          <t>Finance &amp; Insurance</t>
        </is>
      </c>
      <c r="B137" s="93" t="n">
        <v>44197</v>
      </c>
      <c r="C137" t="inlineStr">
        <is>
          <t>“Start of 2021 on track with a positive outlook.” (Finance &amp; Insurance)</t>
        </is>
      </c>
    </row>
    <row r="138">
      <c r="A138" t="inlineStr">
        <is>
          <t>Finance &amp; Insurance</t>
        </is>
      </c>
      <c r="B138" s="93" t="n">
        <v>44136</v>
      </c>
      <c r="C138" t="inlineStr">
        <is>
          <t xml:space="preserve">	"Uncertainty related to the U.S. election is resulting in additional cybersecurity needs." (Finance &amp; Insurance)</t>
        </is>
      </c>
    </row>
    <row r="139">
      <c r="A139" t="inlineStr">
        <is>
          <t>Finance &amp; Insurance</t>
        </is>
      </c>
      <c r="B139" s="93" t="n">
        <v>44105</v>
      </c>
      <c r="C139" t="inlineStr">
        <is>
          <t>“Given COVID-19, the adjustments we have made across the company has allowed us to reach previous employment levels, and those furloughed are back to work. Everyone is careful to wear the required PPE and keep distancing. We have added additional cleaning staff between shifts to upgrade sanitation.” (Finance &amp; Insurance)</t>
        </is>
      </c>
    </row>
    <row r="140">
      <c r="A140" t="inlineStr">
        <is>
          <t>Finance &amp; Insurance</t>
        </is>
      </c>
      <c r="B140" s="93" t="n">
        <v>44075</v>
      </c>
      <c r="C140" t="inlineStr">
        <is>
          <t>“Insurance industry will experience some impact from weather- and protest-related property damage and business interruption.” (Finance &amp; Insurance)</t>
        </is>
      </c>
    </row>
    <row r="141">
      <c r="A141" t="inlineStr">
        <is>
          <t>Finance &amp; Insurance</t>
        </is>
      </c>
      <c r="B141" s="93" t="n">
        <v>44044</v>
      </c>
      <c r="C141" t="inlineStr">
        <is>
          <t>“Revenue challenges for our customers still remain a primary challenge.” (Finance &amp; Insurance)</t>
        </is>
      </c>
    </row>
    <row r="142">
      <c r="A142" t="inlineStr">
        <is>
          <t>Finance &amp; Insurance</t>
        </is>
      </c>
      <c r="B142" s="93" t="n">
        <v>44013</v>
      </c>
      <c r="C142" t="inlineStr">
        <is>
          <t>"COVID-19 posture continues, with some 95 percent of the company workforce working remotely." (Finance &amp; Insurance)</t>
        </is>
      </c>
    </row>
    <row r="143">
      <c r="A143" t="inlineStr">
        <is>
          <t>Finance &amp; Insurance</t>
        </is>
      </c>
      <c r="B143" s="93" t="n">
        <v>43983</v>
      </c>
      <c r="C143" t="inlineStr">
        <is>
          <t>“We continue to all work from home globally. Strict restriction on travel and external events. Senior management focusing on a plan for returning to the office.” (Finance &amp; Insurance)</t>
        </is>
      </c>
    </row>
    <row r="144">
      <c r="A144" t="inlineStr">
        <is>
          <t>Finance &amp; Insurance</t>
        </is>
      </c>
      <c r="B144" s="93" t="n">
        <v>43952</v>
      </c>
      <c r="C144" t="inlineStr">
        <is>
          <t>"Extremely busy with Small Business Administration Paycheck Protection Program work.” (Finance &amp; Insurance)</t>
        </is>
      </c>
    </row>
    <row r="145">
      <c r="A145" t="inlineStr">
        <is>
          <t>Finance &amp; Insurance</t>
        </is>
      </c>
      <c r="B145" s="93" t="n">
        <v>43922</v>
      </c>
      <c r="C145" t="inlineStr">
        <is>
          <t>“Due to increased loans from [the federal] stimulus package, [we are] seeing an increase in new business.” (Finance &amp; Insurance)</t>
        </is>
      </c>
    </row>
    <row r="146">
      <c r="A146" t="inlineStr">
        <is>
          <t>Finance &amp; Insurance</t>
        </is>
      </c>
      <c r="B146" s="93" t="n">
        <v>43862</v>
      </c>
      <c r="C146" t="inlineStr">
        <is>
          <t>“[First-quarter numbers] are slightly behind projections, but still positive.” (Finance &amp; Insurance)</t>
        </is>
      </c>
    </row>
    <row r="147">
      <c r="A147" t="inlineStr">
        <is>
          <t>Finance &amp; Insurance</t>
        </is>
      </c>
      <c r="B147" s="93" t="n">
        <v>43831</v>
      </c>
      <c r="C147" t="inlineStr">
        <is>
          <t>“Cautious start to 2020. Looking forward with optimism and encouragement. Conditions are favorable.” (Finance &amp; Insurance)</t>
        </is>
      </c>
    </row>
    <row r="148">
      <c r="A148" t="inlineStr">
        <is>
          <t>Finance &amp; Insurance</t>
        </is>
      </c>
      <c r="B148" s="93" t="n">
        <v>43770</v>
      </c>
      <c r="C148" t="inlineStr">
        <is>
          <t>“No significant changes in business conditions. Closing out current projects and initiatives. Preparing for year-end and the beginning of 2020.” (Finance &amp; Insurance)</t>
        </is>
      </c>
    </row>
    <row r="149">
      <c r="A149" t="inlineStr">
        <is>
          <t>Finance &amp; Insurance</t>
        </is>
      </c>
      <c r="B149" s="93" t="n">
        <v>43739</v>
      </c>
      <c r="C149" t="inlineStr">
        <is>
          <t>“Wrapping up fiscal year budgets — overall outlook is positive.” (Finance &amp; Insurance)</t>
        </is>
      </c>
    </row>
    <row r="150">
      <c r="A150" t="inlineStr">
        <is>
          <t>Finance &amp; Insurance</t>
        </is>
      </c>
      <c r="B150" s="93" t="n">
        <v>43709</v>
      </c>
      <c r="C150" t="inlineStr">
        <is>
          <t>“Gearing up for the fourth quarter of 2019. On track to end the year generally as anticipated, considering interest-rate changes, trade and tariff issues and other economic indicators and trends.” (Finance &amp; Insurance)</t>
        </is>
      </c>
    </row>
    <row r="151">
      <c r="A151" t="inlineStr">
        <is>
          <t>Finance &amp; Insurance</t>
        </is>
      </c>
      <c r="B151" s="93" t="n">
        <v>43678</v>
      </c>
      <c r="C151" t="inlineStr">
        <is>
          <t>“Trading volumes slowed, despite an extra day in the month for financial market activity. The competitive landscape for financial services continues to be challenging, with new lower cost offerings from competitors and new startups. At the end of the month, the federal funds rate was lowered to 2.25 percent, which affects company revenues.” (Finance &amp; Insurance)</t>
        </is>
      </c>
    </row>
    <row r="152">
      <c r="A152" t="inlineStr">
        <is>
          <t>Finance &amp; Insurance</t>
        </is>
      </c>
      <c r="B152" s="93" t="n">
        <v>43586</v>
      </c>
      <c r="C152" t="inlineStr">
        <is>
          <t>“Our local economy is doing very well except for a large number of suburban office vacancies.” (Finance &amp; Insurance)</t>
        </is>
      </c>
    </row>
    <row r="153">
      <c r="A153" t="inlineStr">
        <is>
          <t>Finance &amp; Insurance</t>
        </is>
      </c>
      <c r="B153" s="93" t="n">
        <v>43497</v>
      </c>
      <c r="C153" t="inlineStr">
        <is>
          <t>“The local economy is doing well. Business lending remains competitive. The rise in interest rates have helped boost our net interest margin.” (Finance &amp; Insurance)</t>
        </is>
      </c>
    </row>
    <row r="154">
      <c r="A154" t="inlineStr">
        <is>
          <t>Health Care &amp; Social Assistance</t>
        </is>
      </c>
      <c r="B154" s="93" t="n">
        <v>44713</v>
      </c>
      <c r="C154" t="inlineStr">
        <is>
          <t>“The shutdowns in China due to the zero-COVID policy have adversely impacted our supply chain.”</t>
        </is>
      </c>
    </row>
    <row r="155">
      <c r="A155" t="inlineStr">
        <is>
          <t>Health Care &amp; Social Assistance</t>
        </is>
      </c>
      <c r="B155" s="93" t="n">
        <v>44652</v>
      </c>
      <c r="C155" t="inlineStr">
        <is>
          <t>“Restrictions lifted as COVID-19 case volumes drop, allowing for more elective procedures and reduction in (average) length of stay. Freight costs are rising.”</t>
        </is>
      </c>
    </row>
    <row r="156">
      <c r="A156" t="inlineStr">
        <is>
          <t>Health Care &amp; Social Assistance</t>
        </is>
      </c>
      <c r="B156" s="93" t="n">
        <v>44621</v>
      </c>
      <c r="C156" t="inlineStr">
        <is>
          <t>“Supply chain disruptions are still a problem due to reduced allocations and manufacturer back orders. Demand continues to outpace manufacturing capacity.”</t>
        </is>
      </c>
    </row>
    <row r="157">
      <c r="A157" t="inlineStr">
        <is>
          <t>Health Care &amp; Social Assistance</t>
        </is>
      </c>
      <c r="B157" s="93" t="n">
        <v>44593</v>
      </c>
      <c r="C157" t="inlineStr">
        <is>
          <t>“As the COVID-19 surge starts to loosen its grip, we are planning to resume elective surgeries soon. Demand is still high, as these procedures were delayed while the surge was occurring.”</t>
        </is>
      </c>
    </row>
    <row r="158">
      <c r="A158" t="inlineStr">
        <is>
          <t>Health Care &amp; Social Assistance</t>
        </is>
      </c>
      <c r="B158" s="93" t="n">
        <v>44531</v>
      </c>
      <c r="C158" t="inlineStr">
        <is>
          <t>There is widespread fatigue across the organization as COVID-19 hospitalizations have plateaued, but in the face of yet another variant (omicron), the winter forecast is not positive. Although hospitalizations have eased, demand for services is up, as is acuity of patients. Due to mainly logistical concerns, the supply chain remains turbulent and some supply shortages, including of Vacutainers, are hindering operations. Our organization is cautiously optimistic going into flu season.” [Health Care &amp; Social Assistance]</t>
        </is>
      </c>
    </row>
    <row r="159">
      <c r="A159" t="inlineStr">
        <is>
          <t>Health Care &amp; Social Assistance</t>
        </is>
      </c>
      <c r="B159" s="93" t="n">
        <v>44501</v>
      </c>
      <c r="C159" t="inlineStr">
        <is>
          <t>“COVID-19 patients continue to impact census and procedures. Supplies continue to be difficult to obtain at times.” [Health Care &amp; Social Assistance]</t>
        </is>
      </c>
    </row>
    <row r="160">
      <c r="A160" t="inlineStr">
        <is>
          <t>Health Care &amp; Social Assistance</t>
        </is>
      </c>
      <c r="B160" s="93" t="n">
        <v>44470</v>
      </c>
      <c r="C160" t="inlineStr">
        <is>
          <t>“Gross revenue continues to be strong due to high patient volume and inpatient census. At the same time, staffing continues to be a challenge and is driving significant cost overruns. To ensure we have adequate staff to care for increased patient demand, we are reliant on higher levels of temporary staff and incentivized staffing programs.” [Health Care &amp; Social Assistance]</t>
        </is>
      </c>
    </row>
    <row r="161">
      <c r="A161" t="inlineStr">
        <is>
          <t>Health Care &amp; Social Assistance</t>
        </is>
      </c>
      <c r="B161" s="93" t="n">
        <v>44440</v>
      </c>
      <c r="C161" t="inlineStr">
        <is>
          <t>“Retaining clinical and temporary staffing is critical at this time. With the Delta variant’s spread, we continue to see increased (COVID-19) cases, but not as bad as January 2021. Vaccinations are clearly working. Most inpatient hospitalizations are of unvaccinated patients. The supply chain is still being impacted significantly by increased lead times for equipment and supplies.” [Health Care &amp; Social Assistance]</t>
        </is>
      </c>
    </row>
    <row r="162">
      <c r="A162" t="inlineStr">
        <is>
          <t>Health Care &amp; Social Assistance</t>
        </is>
      </c>
      <c r="B162" s="93" t="n">
        <v>44409</v>
      </c>
      <c r="C162" t="inlineStr">
        <is>
          <t>Inpatient- and outpatient-services and ancillary-services volumes continue to be very high. Driven by increased admissions and increased lengths of stay. Pharmaceutical volume is high as well, which relates to patient volume in our cancer center. Surgical-case volumes remain strong, as do associated physician services. Emergency room visits exceeded budgeted levels by 14.2 percent. This volume resulted in an increase in diagnostic services, specifically CT scans. In addition, we are seeing an increase in COVID-19 patients again. [Health Care &amp; Social Assistance]</t>
        </is>
      </c>
    </row>
    <row r="163">
      <c r="A163" t="inlineStr">
        <is>
          <t>Health Care &amp; Social Assistance</t>
        </is>
      </c>
      <c r="B163" s="93" t="n">
        <v>44378</v>
      </c>
      <c r="C163" t="inlineStr">
        <is>
          <t>“Surgical volumes continue to increase, reflecting pent-up demand for services. However, the COVID-19 delta variant is impeding our ability to manage increased surgical volumes due to increased COVID-19 case admissions. Consistency of supply in a couple of categories (coagulation tubes and nitrile gloves) remains challenging, though moderately manageable.” [Health Care &amp; Social Assistance]</t>
        </is>
      </c>
    </row>
    <row r="164">
      <c r="A164" t="inlineStr">
        <is>
          <t>Health Care &amp; Social Assistance</t>
        </is>
      </c>
      <c r="B164" s="93" t="n">
        <v>44348</v>
      </c>
      <c r="C164" t="inlineStr">
        <is>
          <t>We continue to see a high (patient) census as COVID-19 restrictions are eased, but the volumes are not pandemic related. There are more patients now because they wouldn't or couldn't get treatment because of restrictions on (non-COVID-19) care or personal cautiousness. [Health Care &amp; Social Assistance]</t>
        </is>
      </c>
    </row>
    <row r="165">
      <c r="A165" t="inlineStr">
        <is>
          <t>Health Care &amp; Social Assistance</t>
        </is>
      </c>
      <c r="B165" s="93" t="n">
        <v>44317</v>
      </c>
      <c r="C165" t="inlineStr">
        <is>
          <t>As the vaccination rate continues to climb and the coronavirus (COVID-19) infection rate continues to plummet, business conditions are steadily improving: Strong revenue performance is returning, and outlooks are improving. Some supply categories remain constrained (nitrile gloves, sterile wrap and the like), remain constrained yet are somewhat manageable, limiting the impact to daily operations. [Health Care &amp; Social Assistance]</t>
        </is>
      </c>
    </row>
    <row r="166">
      <c r="A166" t="inlineStr">
        <is>
          <t>Health Care &amp; Social Assistance</t>
        </is>
      </c>
      <c r="B166" s="93" t="n">
        <v>44287</v>
      </c>
      <c r="C166" t="inlineStr">
        <is>
          <t>Elective surgeries coming back to pre-COVID-19 rates. Patient census continues to drop, as it does this time of year. (Health Care &amp; Social Assistance)</t>
        </is>
      </c>
    </row>
    <row r="167">
      <c r="A167" t="inlineStr">
        <is>
          <t>Health Care &amp; Social Assistance</t>
        </is>
      </c>
      <c r="B167" s="93" t="n">
        <v>44256</v>
      </c>
      <c r="C167" t="inlineStr">
        <is>
          <t>“Vaccination rates are rising, and coronavirus [COVID-19] infections are falling in the region, leading to optimistic outlooks and forecasts for increased business activity. Patient census numbers are trending upward, mainly due to a better ratio of patients seeking elective procedures versus COVID-19 hospitalizations. However, revenues are still soft, indicating that a full rebound in business activity has not yet been realized.” (Health Care &amp; Social Assistance)</t>
        </is>
      </c>
    </row>
    <row r="168">
      <c r="A168" t="inlineStr">
        <is>
          <t>Health Care &amp; Social Assistance</t>
        </is>
      </c>
      <c r="B168" s="93" t="n">
        <v>44228</v>
      </c>
      <c r="C168" t="inlineStr">
        <is>
          <t>“Exponential demand for critical supplies due to [the] pandemic is driving distributer allocations and forcing alternative sourcing.” (Health Care &amp; Social Assistance)</t>
        </is>
      </c>
    </row>
    <row r="169">
      <c r="A169" t="inlineStr">
        <is>
          <t>Health Care &amp; Social Assistance</t>
        </is>
      </c>
      <c r="B169" s="93" t="n">
        <v>44197</v>
      </c>
      <c r="C169" t="inlineStr">
        <is>
          <t>“Increased number of COVID-19 patients has forced the cancellation of elective surgeries. Bed capacity limited.” (Health Care &amp; Social Assistance)</t>
        </is>
      </c>
    </row>
    <row r="170">
      <c r="A170" t="inlineStr">
        <is>
          <t>Health Care &amp; Social Assistance</t>
        </is>
      </c>
      <c r="B170" s="93" t="n">
        <v>44166</v>
      </c>
      <c r="C170" t="inlineStr">
        <is>
          <t>COVID-19 continues to be an impediment to normalized business operations, and the pandemic is not abating — only worsening as [we] get into the winter months. Stocks of personal protective equipment [PPE] are adequate but not sufficient for most categories, with the exception of nitrile exam gloves, which are in extremely short supply internationally. Our hospital system achieved 94- percent capacity in our intensive care units and continued to hover around that number with new admissions, fatalities and discharges on a daily basis. This situation continues to impede normal revenue-generating surgical volumes. (Health Care &amp; Social Assistance)</t>
        </is>
      </c>
    </row>
    <row r="171">
      <c r="A171" t="inlineStr">
        <is>
          <t>Health Care &amp; Social Assistance</t>
        </is>
      </c>
      <c r="B171" s="93" t="n">
        <v>44105</v>
      </c>
      <c r="C171" t="inlineStr">
        <is>
          <t>"Continue to experience difficulty in procuring PPE due to rising COVID-19 numbers." (Health Care &amp; Social Assistance)</t>
        </is>
      </c>
    </row>
    <row r="172">
      <c r="A172" t="inlineStr">
        <is>
          <t>Health Care &amp; Social Assistance</t>
        </is>
      </c>
      <c r="B172" s="93" t="n">
        <v>44075</v>
      </c>
      <c r="C172" t="inlineStr">
        <is>
          <t>“Elective procedures remain at near-historic levels, even with periodic and small [coronavirus] spikes within the region. Our organization is rolling back and approving some — not all — of the capital projects previously approved for this year and starting to regroup and plan/budget for 2021. We continue to have furloughed staff in more administrative roles than clinical, and shared services staff that are working well in the alternative work environments will not return until (at the earliest) mid next year. Our productivity remains high, possibly higher, than when we are in our offices, at least for shared-services roles that are having no information technology [IT] issues. We are starting to see an increase in backorders and rejections from our main vendors. End-of-year typically brings more discontinuations and catalog consolidations from vendors, and on top of COVID-19 product issues, resources are being stretched further again.” (Health Care &amp; Social Assistance)</t>
        </is>
      </c>
    </row>
    <row r="173">
      <c r="A173" t="inlineStr">
        <is>
          <t>Health Care &amp; Social Assistance</t>
        </is>
      </c>
      <c r="B173" s="93" t="n">
        <v>44044</v>
      </c>
      <c r="C173" t="inlineStr">
        <is>
          <t>“Continuing to build our ancillary clinic volume as well as elective surgical cases since ceasing these services from mid-March through May 1.” (Health Care &amp; Social Assistance)</t>
        </is>
      </c>
    </row>
    <row r="174">
      <c r="A174" t="inlineStr">
        <is>
          <t>Health Care &amp; Social Assistance</t>
        </is>
      </c>
      <c r="B174" s="93" t="n">
        <v>44013</v>
      </c>
      <c r="C174" t="inlineStr">
        <is>
          <t>"Surgical services still only scheduling at 50 percent capacity. Raw material shortages worldwide affecting ability to get finished PPE (iso gowns, bouffant caps, shoe covers)." (Health Care &amp; Social Assistance)</t>
        </is>
      </c>
    </row>
    <row r="175">
      <c r="A175" t="inlineStr">
        <is>
          <t>Health Care &amp; Social Assistance</t>
        </is>
      </c>
      <c r="B175" s="93" t="n">
        <v>43983</v>
      </c>
      <c r="C175" t="inlineStr">
        <is>
          <t>“COVID-19 has affected us, of course — obtaining PPE supplies has been our focus. Overall census has been very low. Operating rooms, rehab clinics and physician practices were closed or working fewer hours but have since opened back up.” (Health Care &amp; Social Assistance)</t>
        </is>
      </c>
    </row>
    <row r="176">
      <c r="A176" t="inlineStr">
        <is>
          <t>Health Care &amp; Social Assistance</t>
        </is>
      </c>
      <c r="B176" s="93" t="n">
        <v>43952</v>
      </c>
      <c r="C176" t="inlineStr">
        <is>
          <t>“Low volumes due to COVID-19. No elective surgeries.” (Health Care &amp; Social Assistance)</t>
        </is>
      </c>
    </row>
    <row r="177">
      <c r="A177" t="inlineStr">
        <is>
          <t>Health Care &amp; Social Assistance</t>
        </is>
      </c>
      <c r="B177" s="93" t="n">
        <v>43922</v>
      </c>
      <c r="C177" t="inlineStr">
        <is>
          <t>“COVID-19 has halted much of our standard work to procure items for our organization. It’s halted much of the world, except for health care. Distributors were woefully unprepared for the spread of this pandemic, and many health-care systems/providers depend on them for inventory planning and availability. Combine that with the global [surgical] gown recall just before the pandemic struck — and isolation masks are created from the same material as isolation gowns — and you had a perfect storm for chaos across the supply chain. It will be very hard for major medical distributors who did not manage their core customers well to recover from both the gown recall and the pandemic. It also provided some insight into whether or not the distributor partners were actually skilled at inventory planning and movement. I believe that the healthcare supply chain landscape will change dramatically after this.” (Health Care &amp; Social Assistance)</t>
        </is>
      </c>
    </row>
    <row r="178">
      <c r="A178" t="inlineStr">
        <is>
          <t>Health Care &amp; Social Assistance</t>
        </is>
      </c>
      <c r="B178" s="93" t="n">
        <v>43891</v>
      </c>
      <c r="C178" t="inlineStr">
        <is>
          <t>“Significant shortages of personal protective equipment (PPE), chemical reagents, test swabs and other basic medical supplies persist. Extreme sourcing measures are required to procure necessary supplies for basic operations. Distributor allocations continue across the board.” (Health Care &amp; Social Assistance)</t>
        </is>
      </c>
    </row>
    <row r="179">
      <c r="A179" t="inlineStr">
        <is>
          <t>Health Care &amp; Social Assistance</t>
        </is>
      </c>
      <c r="B179" s="93" t="n">
        <v>43862</v>
      </c>
      <c r="C179" t="inlineStr">
        <is>
          <t>“Because of the coronavirus, we are looking at major back-orders in masks, gloves, and PPE (personal protection equipment). A lot of the masks are manufactured in China, so not only are we facing a shortage because of the virus, there is a drastic shortage because the masks are manufactured where the virus originated.” (Health Care &amp; Social Assistance)</t>
        </is>
      </c>
    </row>
    <row r="180">
      <c r="A180" t="inlineStr">
        <is>
          <t>Health Care &amp; Social Assistance</t>
        </is>
      </c>
      <c r="B180" s="93" t="n">
        <v>43831</v>
      </c>
      <c r="C180" t="inlineStr">
        <is>
          <t>“Closely monitoring China’s coronavirus and its potential impact on medical supplies like surgical masks and protective goggles.” (Health Care &amp; Social Assistance)</t>
        </is>
      </c>
    </row>
    <row r="181">
      <c r="A181" t="inlineStr">
        <is>
          <t>Health Care &amp; Social Assistance</t>
        </is>
      </c>
      <c r="B181" s="93" t="n">
        <v>43770</v>
      </c>
      <c r="C181" t="inlineStr">
        <is>
          <t>“Lower reimbursement rates will continue to affect funding levels.” (Health Care &amp; Social Assistance)</t>
        </is>
      </c>
    </row>
    <row r="182">
      <c r="A182" t="inlineStr">
        <is>
          <t>Health Care &amp; Social Assistance</t>
        </is>
      </c>
      <c r="B182" s="93" t="n">
        <v>43709</v>
      </c>
      <c r="C182" t="inlineStr">
        <is>
          <t>“We continue with low patient census, which affects our orders and revenue.” (Health Care &amp; Social Assistance)</t>
        </is>
      </c>
    </row>
    <row r="183">
      <c r="A183" t="inlineStr">
        <is>
          <t>Health Care &amp; Social Assistance</t>
        </is>
      </c>
      <c r="B183" s="93" t="n">
        <v>43647</v>
      </c>
      <c r="C183" t="inlineStr">
        <is>
          <t>“Business volumes were flat compared to the previous month.” (Health Care &amp; Social Assistance)</t>
        </is>
      </c>
    </row>
    <row r="184">
      <c r="A184" t="inlineStr">
        <is>
          <t>Health Care &amp; Social Assistance</t>
        </is>
      </c>
      <c r="B184" s="93" t="n">
        <v>43617</v>
      </c>
      <c r="C184" t="inlineStr">
        <is>
          <t>“Closely watching the Trump tariffs on China, which could significantly impact medical supplies.” (Health Care &amp; Social Assistance)</t>
        </is>
      </c>
    </row>
    <row r="185">
      <c r="A185" t="inlineStr">
        <is>
          <t>Health Care &amp; Social Assistance</t>
        </is>
      </c>
      <c r="B185" s="93" t="n">
        <v>43586</v>
      </c>
      <c r="C185" t="inlineStr">
        <is>
          <t>“There is added pressure to find operational savings so we can reduce the cost of healthcare, be a model to others, and pass the savings along to our patients and members of our health insurance business.” (Health Care &amp; Social Assistance)</t>
        </is>
      </c>
    </row>
    <row r="186">
      <c r="A186" t="inlineStr">
        <is>
          <t>Health Care &amp; Social Assistance</t>
        </is>
      </c>
      <c r="B186" s="93" t="n">
        <v>43556</v>
      </c>
      <c r="C186" t="inlineStr">
        <is>
          <t>·         “Extremely difficult to fill direct care personnel positions.” (Health Care &amp; Social Assistance)</t>
        </is>
      </c>
    </row>
    <row r="187">
      <c r="A187" t="inlineStr">
        <is>
          <t>Health Care &amp; Social Assistance</t>
        </is>
      </c>
      <c r="B187" s="93" t="n">
        <v>43525</v>
      </c>
      <c r="C187" t="inlineStr">
        <is>
          <t>“Supply expenses are up commensurately with business conditions as business activity has outpaced the budget on average four to six percent for our fiscal cycle that [began] 7/1/18.” (Health Care &amp; Social Assistance)</t>
        </is>
      </c>
    </row>
    <row r="188">
      <c r="A188" t="inlineStr">
        <is>
          <t>Health Care &amp; Social Assistance</t>
        </is>
      </c>
      <c r="B188" s="93" t="n">
        <v>43497</v>
      </c>
      <c r="C188" t="inlineStr">
        <is>
          <t>“The beginning of the year is generally our slowest time of year in the health-care industry. [Activity] will gradually pick up until April, then be steady until the fourth quarter, when there will be a large increase.” (Health Care &amp; Social Assistance)</t>
        </is>
      </c>
    </row>
    <row r="189">
      <c r="A189" t="inlineStr">
        <is>
          <t>Information</t>
        </is>
      </c>
      <c r="B189" s="93" t="n">
        <v>44713</v>
      </c>
      <c r="C189" t="inlineStr">
        <is>
          <t>“Demand has softened across consumer product lines, channels and brands over the last year, to levels below those forecast earlier this year. Adjusting all outlooks down for the rest of year. The (Shanghai) omicron slowdown had an impact, but activity is slowly coming back.”</t>
        </is>
      </c>
    </row>
    <row r="190">
      <c r="A190" t="inlineStr">
        <is>
          <t>Information</t>
        </is>
      </c>
      <c r="B190" s="93" t="n">
        <v>44682</v>
      </c>
      <c r="C190" t="inlineStr">
        <is>
          <t>“The paper industry is still being hampered by employment issues, freight costs and scarcity of truckers, as well as the war in Ukraine. European paper sent to North America is being slashed due to the war and the lack of fiber, along with high energy costs. Mills in North America are still struggling to keep up with demand.”</t>
        </is>
      </c>
    </row>
    <row r="191">
      <c r="A191" t="inlineStr">
        <is>
          <t>Information</t>
        </is>
      </c>
      <c r="B191" s="93" t="n">
        <v>44652</v>
      </c>
      <c r="C191" t="inlineStr">
        <is>
          <t>“Overall business has softened.”</t>
        </is>
      </c>
    </row>
    <row r="192">
      <c r="A192" t="inlineStr">
        <is>
          <t>Information</t>
        </is>
      </c>
      <c r="B192" s="93" t="n">
        <v>44621</v>
      </c>
      <c r="C192" t="inlineStr">
        <is>
          <t>“Energy costs are putting a pinch on all suppliers. We have received many surcharge notices.”</t>
        </is>
      </c>
    </row>
    <row r="193">
      <c r="A193" t="inlineStr">
        <is>
          <t>Information</t>
        </is>
      </c>
      <c r="B193" s="93" t="n">
        <v>44593</v>
      </c>
      <c r="C193" t="inlineStr">
        <is>
          <t>“Business has flattened but holding steady.”</t>
        </is>
      </c>
    </row>
    <row r="194">
      <c r="A194" t="inlineStr">
        <is>
          <t>Information</t>
        </is>
      </c>
      <c r="B194" s="93" t="n">
        <v>44562</v>
      </c>
      <c r="C194" t="inlineStr">
        <is>
          <t>“January has been tough, as product quantities intended for holiday sales are just now coming in, inventories of seasonal products are (very) high and now dormant for nine months, cash flow is down, and new orders are delayed. Omicron is keeping between 20 and 25 percent of our workforce out daily. Inflation is a concern.”</t>
        </is>
      </c>
    </row>
    <row r="195">
      <c r="A195" t="inlineStr">
        <is>
          <t>Information</t>
        </is>
      </c>
      <c r="B195" s="93" t="n">
        <v>44531</v>
      </c>
      <c r="C195" t="inlineStr">
        <is>
          <t>“Most upstream production materials are being pressured by constrained supply chains as well as domestic transportation challenges. Vendors are trying not to pass on expenses, but their margins are such that they will need to raise prices. While we have done a good job holding prices down, we will not be able to hold the vendors at bay. All (cost of goods) will be impacted.”</t>
        </is>
      </c>
    </row>
    <row r="196">
      <c r="A196" t="inlineStr">
        <is>
          <t>Information</t>
        </is>
      </c>
      <c r="B196" s="93" t="n">
        <v>44470</v>
      </c>
      <c r="C196" t="inlineStr">
        <is>
          <t>“Everything — from sales demand to orders to manufacturers, domestic and international — is ramping up. The international freight crisis is a critical problem, from capacity to transit times with port delays and costs now reaching three times pre-pandemic levels. Fourth-quarter holiday peak sales are at risk for delayed supply. Labor is still an issue, as it’s hard to find and get people who want to work, especially in services, trucking and warehouse fulfillment. Profitability outlook is down, thanks to rising costs, lower sales and reduced on-time supply.” [Information]</t>
        </is>
      </c>
    </row>
    <row r="197">
      <c r="A197" t="inlineStr">
        <is>
          <t>Information</t>
        </is>
      </c>
      <c r="B197" s="93" t="n">
        <v>44440</v>
      </c>
      <c r="C197" t="inlineStr">
        <is>
          <t>“The semiconductor (shortage is) impacting server delivery. Alternate parts and engineering efforts are being used to create workaround solutions.” [Information]</t>
        </is>
      </c>
    </row>
    <row r="198">
      <c r="A198" t="inlineStr">
        <is>
          <t>Information</t>
        </is>
      </c>
      <c r="B198" s="93" t="n">
        <v>44409</v>
      </c>
      <c r="C198" t="inlineStr">
        <is>
          <t>Supplies are tight in technology hardware. [Information]</t>
        </is>
      </c>
    </row>
    <row r="199">
      <c r="A199" t="inlineStr">
        <is>
          <t>Information</t>
        </is>
      </c>
      <c r="B199" s="93" t="n">
        <v>44348</v>
      </c>
      <c r="C199" t="inlineStr">
        <is>
          <t>Employees globally are returning to the office where possible. We expect to have most employees in the office starting in September. [Information]</t>
        </is>
      </c>
    </row>
    <row r="200">
      <c r="A200" t="inlineStr">
        <is>
          <t>Information</t>
        </is>
      </c>
      <c r="B200" s="93" t="n">
        <v>44287</v>
      </c>
      <c r="C200" t="inlineStr">
        <is>
          <t>Overall, there is pricing pressure for goods and services in the market. (Information)</t>
        </is>
      </c>
    </row>
    <row r="201">
      <c r="A201" t="inlineStr">
        <is>
          <t>Information</t>
        </is>
      </c>
      <c r="B201" s="93" t="n">
        <v>44256</v>
      </c>
      <c r="C201" t="inlineStr">
        <is>
          <t>“Resin/oil price increases are beginning to filter down to products that we procure. In addition to price increases, we are also seeing longer lead times as supply chains pivot to find cheaper supply options.” (Information)</t>
        </is>
      </c>
    </row>
    <row r="202">
      <c r="A202" t="inlineStr">
        <is>
          <t>Information</t>
        </is>
      </c>
      <c r="B202" s="93" t="n">
        <v>44228</v>
      </c>
      <c r="C202" t="inlineStr">
        <is>
          <t>“The business continues to reduce real-estate/brick-and-mortar [operations] and transition to a work-from-home model. Innovation is the watchword in all things; as such, the need to right-size all consumption as patterns have changed.” (Information)</t>
        </is>
      </c>
    </row>
    <row r="203">
      <c r="A203" t="inlineStr">
        <is>
          <t>Information</t>
        </is>
      </c>
      <c r="B203" s="93" t="n">
        <v>44197</v>
      </c>
      <c r="C203" t="inlineStr">
        <is>
          <t>“The copper shortage is slowing deliveries of key network equipment.” (Information)</t>
        </is>
      </c>
    </row>
    <row r="204">
      <c r="A204" t="inlineStr">
        <is>
          <t>Information</t>
        </is>
      </c>
      <c r="B204" s="93" t="n">
        <v>44136</v>
      </c>
      <c r="C204" t="inlineStr">
        <is>
          <t>"Tough economic conditions. Lost revenues from the COVID-19 crisis are coming back, but not completely." (Information)</t>
        </is>
      </c>
    </row>
    <row r="205">
      <c r="A205" t="inlineStr">
        <is>
          <t>Information</t>
        </is>
      </c>
      <c r="B205" s="93" t="n">
        <v>44105</v>
      </c>
      <c r="C205" t="inlineStr">
        <is>
          <t>“We are remaining cautiously positive and resuming normal business operations.” (Management of Companies &amp; Support Services)</t>
        </is>
      </c>
    </row>
    <row r="206">
      <c r="A206" t="inlineStr">
        <is>
          <t>Information</t>
        </is>
      </c>
      <c r="B206" s="93" t="n">
        <v>44044</v>
      </c>
      <c r="C206" t="inlineStr">
        <is>
          <t>“Clear signs of gearing up manufacturing and distribution for an extraordinary e-commerce Christmas. Brick-and-mortar likely closed to crowds. Also, hearing the other shoe is about to drop, probably in first quarter of 2021, on U.S.-China trade. “Get out of China now” is resonating.” (Information)</t>
        </is>
      </c>
    </row>
    <row r="207">
      <c r="A207" t="inlineStr">
        <is>
          <t>Information</t>
        </is>
      </c>
      <c r="B207" s="93" t="n">
        <v>43983</v>
      </c>
      <c r="C207" t="inlineStr">
        <is>
          <t>“Advertisers are starting to place more advertisements and the media business is turning around. Generally, we are at the end of the employee furloughs and layoffs. Our work efforts have been focused on navigating COVID-19. We are now shifting to value-add projects. We are cautiously optimistic, although as we get closer to the presidential election, we are on guard of unprecedented civil and social unrest.” (Information)</t>
        </is>
      </c>
    </row>
    <row r="208">
      <c r="A208" t="inlineStr">
        <is>
          <t>Information</t>
        </is>
      </c>
      <c r="B208" s="93" t="n">
        <v>43952</v>
      </c>
      <c r="C208" t="inlineStr">
        <is>
          <t>“Company is preparing to reopen offices worldwide, as communities relax work-from-home lockdowns. No employees have been furloughed or RIF’d and CEO says company should be able to maintain full employment at least through 3rd quarter if health situation remains as is. By Q4, a re-evaluation of staffing levels would need to be done if no improvement to the economic situation.” (Information)</t>
        </is>
      </c>
    </row>
    <row r="209">
      <c r="A209" t="inlineStr">
        <is>
          <t>Information</t>
        </is>
      </c>
      <c r="B209" s="93" t="n">
        <v>43891</v>
      </c>
      <c r="C209" t="inlineStr">
        <is>
          <t>“Like most businesses, we cannot fully project how the coronavirus will impact us. By displaying prudence and avoiding panic, we are trying to navigate this crisis. As human capital is our greatest expense, protecting that capital is job one. Supply chains are overstressed and will normalize only when the panic subsides.” (Information)</t>
        </is>
      </c>
    </row>
    <row r="210">
      <c r="A210" t="inlineStr">
        <is>
          <t>Information</t>
        </is>
      </c>
      <c r="B210" s="93" t="n">
        <v>43800</v>
      </c>
      <c r="C210" t="inlineStr">
        <is>
          <t>"Supply [is] good. Holiday sales below plan." (Information)</t>
        </is>
      </c>
    </row>
    <row r="211">
      <c r="A211" t="inlineStr">
        <is>
          <t>Information</t>
        </is>
      </c>
      <c r="B211" s="93" t="n">
        <v>43709</v>
      </c>
      <c r="C211" t="inlineStr">
        <is>
          <t>“As employee cost [wages] are increasing in this better economy, it is getting harder to fight price increases on goods and services.” (Information)</t>
        </is>
      </c>
    </row>
    <row r="212">
      <c r="A212" t="inlineStr">
        <is>
          <t>Information</t>
        </is>
      </c>
      <c r="B212" s="93" t="n">
        <v>43647</v>
      </c>
      <c r="C212" t="inlineStr">
        <is>
          <t>“Some uncertainty hinges on tariffs, but there have been no changes in market conditions.” (Information)</t>
        </is>
      </c>
    </row>
    <row r="213">
      <c r="A213" t="inlineStr">
        <is>
          <t>Information</t>
        </is>
      </c>
      <c r="B213" s="93" t="n">
        <v>43586</v>
      </c>
      <c r="C213" t="inlineStr">
        <is>
          <t>“General conditions are steady, not increasing or going down.” (Information)</t>
        </is>
      </c>
    </row>
    <row r="214">
      <c r="A214" t="inlineStr">
        <is>
          <t>Management of Companies &amp; Support Services</t>
        </is>
      </c>
      <c r="B214" s="93" t="n">
        <v>44682</v>
      </c>
      <c r="C214" t="inlineStr">
        <is>
          <t>“Unstable prices on various commodities are making budgetary planning difficult. We are maintaining a cautious approach due to energy costs continuing to increase.”</t>
        </is>
      </c>
    </row>
    <row r="215">
      <c r="A215" t="inlineStr">
        <is>
          <t>Management of Companies &amp; Support Services</t>
        </is>
      </c>
      <c r="B215" s="93" t="n">
        <v>44652</v>
      </c>
      <c r="C215" t="inlineStr">
        <is>
          <t>“Business remains strong, only dampened by shortages in labor, increased material costs and lengthy lead times.”</t>
        </is>
      </c>
    </row>
    <row r="216">
      <c r="A216" t="inlineStr">
        <is>
          <t>Management of Companies &amp; Support Services</t>
        </is>
      </c>
      <c r="B216" s="93" t="n">
        <v>44621</v>
      </c>
      <c r="C216" t="inlineStr">
        <is>
          <t>“Concerns over inflation and rising energy prices are causing our company to take a cautious approach, especially related to planned capital expenditures.”</t>
        </is>
      </c>
    </row>
    <row r="217">
      <c r="A217" t="inlineStr">
        <is>
          <t>Management of Companies &amp; Support Services</t>
        </is>
      </c>
      <c r="B217" s="93" t="n">
        <v>44501</v>
      </c>
      <c r="C217" t="inlineStr">
        <is>
          <t>“Suppliers continue to report that labor shortages are leading to production issues and delays. In some areas, sufficient raw materials and capacity exist, but labor is the gating factor. Continued inflationary pressures driven by the cost of fuel, shipping capacity constraints, and imbalances in supply and demand are impacting a broad spectrum of products.” [Management of Companies &amp; Support Services]</t>
        </is>
      </c>
    </row>
    <row r="218">
      <c r="A218" t="inlineStr">
        <is>
          <t>Management of Companies &amp; Support Services</t>
        </is>
      </c>
      <c r="B218" s="93" t="n">
        <v>44470</v>
      </c>
      <c r="C218" t="inlineStr">
        <is>
          <t>“While new opportunities continue to present themselves, we are turning work away due to delayed shipments from suppliers and the general lack of new workers.” [Management of Companies &amp; Support Services]</t>
        </is>
      </c>
    </row>
    <row r="219">
      <c r="A219" t="inlineStr">
        <is>
          <t>Management of Companies &amp; Support Services</t>
        </is>
      </c>
      <c r="B219" s="93" t="n">
        <v>44440</v>
      </c>
      <c r="C219" t="inlineStr">
        <is>
          <t>“Both domestic and international logistics are increasing lead times about six weeks for ocean freight and two weeks for domestic freight.” [Management of Companies &amp; Support Services]</t>
        </is>
      </c>
    </row>
    <row r="220">
      <c r="A220" t="inlineStr">
        <is>
          <t>Management of Companies &amp; Support Services</t>
        </is>
      </c>
      <c r="B220" s="93" t="n">
        <v>44409</v>
      </c>
      <c r="C220" t="inlineStr">
        <is>
          <t>Temporary labor continues to be in short supply. Transportation costs are inflating prices on all products. [Management of Companies &amp; Support Services]</t>
        </is>
      </c>
    </row>
    <row r="221">
      <c r="A221" t="inlineStr">
        <is>
          <t>Management of Companies &amp; Support Services</t>
        </is>
      </c>
      <c r="B221" s="93" t="n">
        <v>44378</v>
      </c>
      <c r="C221" t="inlineStr">
        <is>
          <t>“Fuel prices are coming back down a bit. Labor shortage continues for drivers and general labor work. We have increased pay for many positions, but the shortage continues.” [Management of Companies &amp; Support Services]</t>
        </is>
      </c>
    </row>
    <row r="222">
      <c r="A222" t="inlineStr">
        <is>
          <t>Management of Companies &amp; Support Services</t>
        </is>
      </c>
      <c r="B222" s="93" t="n">
        <v>44317</v>
      </c>
      <c r="C222" t="inlineStr">
        <is>
          <t>(We are) seeing cost increases and long lead times with steel and steel containers. Worker shortages, temp labor and the like. [Management of Companies &amp; Support Services]</t>
        </is>
      </c>
    </row>
    <row r="223">
      <c r="A223" t="inlineStr">
        <is>
          <t>Management of Companies &amp; Support Services</t>
        </is>
      </c>
      <c r="B223" s="93" t="n">
        <v>44136</v>
      </c>
      <c r="C223" t="inlineStr">
        <is>
          <t>“Our company has an overall positive outlook, with new COVID-19 cases trending down nationally and vaccine distribution coming online. However, possible changes to the regulatory environment for oil and gas is a looming negative influence.” (Management of Companies &amp; Support Services)</t>
        </is>
      </c>
    </row>
    <row r="224">
      <c r="A224" t="inlineStr">
        <is>
          <t>Management of Companies &amp; Support Services</t>
        </is>
      </c>
      <c r="B224" s="93" t="n">
        <v>44013</v>
      </c>
      <c r="C224" t="inlineStr">
        <is>
          <t>"Overall positive, but cautious outlook with oil prices stabilizing in the midst of the pandemic spiking again in our region. Our company has begun to put mitigation procedures in place to bring workers back to the office despite the lingering pandemic." (Management of Companies &amp; Support Services)</t>
        </is>
      </c>
    </row>
    <row r="225">
      <c r="A225" t="inlineStr">
        <is>
          <t>Management of Companies &amp; Support Services</t>
        </is>
      </c>
      <c r="B225" s="93" t="n">
        <v>43922</v>
      </c>
      <c r="C225" t="inlineStr">
        <is>
          <t>“The oil exploration sector is very weak, with the record low price of oil and the country’s shutdown due to the COVID-19 threat. We are hopeful for a bump in activity once the country starts to reopen.” (Management of Companies &amp; Support Services)</t>
        </is>
      </c>
    </row>
    <row r="226">
      <c r="A226" t="inlineStr">
        <is>
          <t>Management of Companies &amp; Support Services</t>
        </is>
      </c>
      <c r="B226" s="93" t="n">
        <v>43891</v>
      </c>
      <c r="C226" t="inlineStr">
        <is>
          <t>“COVID-19 has greatly impacted daily operations. All staff personnel are telecommuting, and customer concerns have shifted from normal activities to preventative measures.” (Management of Companies &amp; Support Services)</t>
        </is>
      </c>
    </row>
    <row r="227">
      <c r="A227" t="inlineStr">
        <is>
          <t>Management of Companies &amp; Support Services</t>
        </is>
      </c>
      <c r="B227" s="93" t="n">
        <v>43862</v>
      </c>
      <c r="C227" t="inlineStr">
        <is>
          <t>“Business is rapidly improving.” (Management of Companies &amp; Support Services)</t>
        </is>
      </c>
    </row>
    <row r="228">
      <c r="A228" t="inlineStr">
        <is>
          <t>Management of Companies &amp; Support Services</t>
        </is>
      </c>
      <c r="B228" s="93" t="n">
        <v>43831</v>
      </c>
      <c r="C228" t="inlineStr">
        <is>
          <t>“The labor market continues to be a challenge, impacting capacity and pushing up costs. Despite this, overall business volume remains positive, with growth in key sectors for our business.” (Management of Companies &amp; Support Services)</t>
        </is>
      </c>
    </row>
    <row r="229">
      <c r="A229" t="inlineStr">
        <is>
          <t>Management of Companies &amp; Support Services</t>
        </is>
      </c>
      <c r="B229" s="93" t="n">
        <v>43800</v>
      </c>
      <c r="C229" t="inlineStr">
        <is>
          <t>"Business activity and growth in our business continues to expand." (Management of Companies &amp; Support Services)</t>
        </is>
      </c>
    </row>
    <row r="230">
      <c r="A230" t="inlineStr">
        <is>
          <t>Management of Companies &amp; Support Services</t>
        </is>
      </c>
      <c r="B230" s="93" t="n">
        <v>43770</v>
      </c>
      <c r="C230" t="inlineStr">
        <is>
          <t>“Tariffs are impacting prices for a broad array of products used in the delivery of services and completion of projects for our clients. Upward pressure is impacting suppliers and their pricing to customers. We are seeing no relief from our customers, so we’re being negatively impacted by tariff-driven price increases. Numerous suppliers report looking for alternative manufacturing/supply locations outside of China, but with limited or no success so far.” (Management of Companies &amp; Support Services)</t>
        </is>
      </c>
    </row>
    <row r="231">
      <c r="A231" t="inlineStr">
        <is>
          <t>Management of Companies &amp; Support Services</t>
        </is>
      </c>
      <c r="B231" s="93" t="n">
        <v>43709</v>
      </c>
      <c r="C231" t="inlineStr">
        <is>
          <t>“Costs are going up, from labor to chemicals to metals.” (Management of Companies &amp; Support Services)</t>
        </is>
      </c>
    </row>
    <row r="232">
      <c r="A232" t="inlineStr">
        <is>
          <t>Management of Companies &amp; Support Services</t>
        </is>
      </c>
      <c r="B232" s="93" t="n">
        <v>43678</v>
      </c>
      <c r="C232" t="inlineStr">
        <is>
          <t>“The advertising specialties industry continues to remain robust, despite the escalation of tariffs on apparel and other related promotional products. Many suppliers bought deep into inventory to avoid price increases; however, pricing effects from the tariffs are trickling into the supply chain. Clients are still converting quotes into orders, and we are still on track for a record sales year.” (Management of Companies &amp; Support Services)</t>
        </is>
      </c>
    </row>
    <row r="233">
      <c r="A233" t="inlineStr">
        <is>
          <t>Management of Companies &amp; Support Services</t>
        </is>
      </c>
      <c r="B233" s="93" t="n">
        <v>43647</v>
      </c>
      <c r="C233" t="inlineStr">
        <is>
          <t>“For our company, July is looking to be a record-setting month for sales. Customers have been converting quotes to sales quicker than in past months. The tariffs have increased prices for our industry, but our clients are not balking at the slight price increases that have been passed along. We feel that (the third quarter) will be strong.” (Management of Companies &amp; Support Services)</t>
        </is>
      </c>
    </row>
    <row r="234">
      <c r="A234" t="inlineStr">
        <is>
          <t>Management of Companies &amp; Support Services</t>
        </is>
      </c>
      <c r="B234" s="93" t="n">
        <v>43617</v>
      </c>
      <c r="C234" t="inlineStr">
        <is>
          <t>“The suppliers we do business with are ‘claiming tariffs’ to justify price increases. While some of these issues could be credible, it’s our opinion that this issue provides cover to increase margins, as few will detail the line-item impact.” (Management of Companies &amp; Support Services)</t>
        </is>
      </c>
    </row>
    <row r="235">
      <c r="A235" t="inlineStr">
        <is>
          <t>Management of Companies &amp; Support Services</t>
        </is>
      </c>
      <c r="B235" s="93" t="n">
        <v>43556</v>
      </c>
      <c r="C235" t="inlineStr">
        <is>
          <t>·         “April business has slowed a bit over March, which is typical. However, while January and February were slightly under last year’s numbers for the same months, March [brought] a resurgence in orders that continued into April. So, the March and April order levels are significantly higher than last year’s. The volume is helping with negotiation for lower prices, while causing backlogs in the supply chain.” (Management of Companies &amp; Support Services)</t>
        </is>
      </c>
    </row>
    <row r="236">
      <c r="A236" t="inlineStr">
        <is>
          <t>Management of Companies &amp; Support Services</t>
        </is>
      </c>
      <c r="B236" s="93" t="n">
        <v>43525</v>
      </c>
      <c r="C236" t="inlineStr">
        <is>
          <t>“There is a sense of relief in our industry with the temporary reprieve of the additional tariffs. As of now, we feel this will help us maintain competitive prices and steady margins over the next quarter.” (Management of Companies &amp; Support Services)</t>
        </is>
      </c>
    </row>
    <row r="237">
      <c r="A237" t="inlineStr">
        <is>
          <t>Management of Companies &amp; Support Services</t>
        </is>
      </c>
      <c r="B237" s="93" t="n">
        <v>43497</v>
      </c>
      <c r="C237" t="inlineStr">
        <is>
          <t>“Business continues to stay steady, with little drop off. However, we are more concerned about tariffs in the short term, since there seems to be no agreement. However, we do believe it will be a short-lived issue. In the long term, tariffs will force our suppliers to source elsewhere, which will levy more competition from manufacturers in other low- or non-tariffed countries and even in the U.S. Ultimately, the tariffs will force an improvement to the overall supply chain and better mitigate supply risk in our industry.” (Management of Companies &amp; Support Services)</t>
        </is>
      </c>
    </row>
    <row r="238">
      <c r="A238" t="inlineStr">
        <is>
          <t>Management of Companies &amp; Support Services</t>
        </is>
      </c>
      <c r="B238" s="93" t="n">
        <v>43466</v>
      </c>
      <c r="C238" t="inlineStr">
        <is>
          <t>·         “Prices are volatile due to tariff restrictions.” (Management of Companies &amp; Support Services)</t>
        </is>
      </c>
    </row>
    <row r="239">
      <c r="A239" t="inlineStr">
        <is>
          <t>Mining</t>
        </is>
      </c>
      <c r="B239" s="93" t="n">
        <v>44713</v>
      </c>
      <c r="C239" t="inlineStr">
        <is>
          <t>“Energy services sector demand and activity remains strong.”</t>
        </is>
      </c>
    </row>
    <row r="240">
      <c r="A240" t="inlineStr">
        <is>
          <t>Mining</t>
        </is>
      </c>
      <c r="B240" s="93" t="n">
        <v>44409</v>
      </c>
      <c r="C240" t="inlineStr">
        <is>
          <t>Activity level continues to increase. [Mining]</t>
        </is>
      </c>
    </row>
    <row r="241">
      <c r="A241" t="inlineStr">
        <is>
          <t>Mining</t>
        </is>
      </c>
      <c r="B241" s="93" t="n">
        <v>44348</v>
      </c>
      <c r="C241" t="inlineStr">
        <is>
          <t>Starting to see a lot of commodity-price increases for chemicals, acidizing and cementing. This is driven by product cost increases stemming from low production from plants. [Mining]</t>
        </is>
      </c>
    </row>
    <row r="242">
      <c r="A242" t="inlineStr">
        <is>
          <t>Mining</t>
        </is>
      </c>
      <c r="B242" s="93" t="n">
        <v>44317</v>
      </c>
      <c r="C242" t="inlineStr">
        <is>
          <t>Transportation, labor, steel and general commodities are all increasing (in price) based upon general inflation and the rising price of oil. [Mining]</t>
        </is>
      </c>
    </row>
    <row r="243">
      <c r="A243" t="inlineStr">
        <is>
          <t>Mining</t>
        </is>
      </c>
      <c r="B243" s="93" t="n">
        <v>44256</v>
      </c>
      <c r="C243" t="inlineStr">
        <is>
          <t>“Lack of chemicals and the recent freeze in Texas has delayed some orders and is creating a micro [price] increases for certain products. Suppliers are using the short-term shortage to their advantage to raise rates.” (Mining)</t>
        </is>
      </c>
    </row>
    <row r="244">
      <c r="A244" t="inlineStr">
        <is>
          <t>Mining</t>
        </is>
      </c>
      <c r="B244" s="93" t="n">
        <v>44197</v>
      </c>
      <c r="C244" t="inlineStr">
        <is>
          <t>“Still working under COVID-19 restrictions and uncertain political climate.” (Mining)</t>
        </is>
      </c>
    </row>
    <row r="245">
      <c r="A245" t="inlineStr">
        <is>
          <t>Mining</t>
        </is>
      </c>
      <c r="B245" s="93" t="n">
        <v>44136</v>
      </c>
      <c r="C245" t="inlineStr">
        <is>
          <t>"COVID-19 has brought some changes to operations, but for the most part, things are progressing as usual." (Mining)</t>
        </is>
      </c>
    </row>
    <row r="246">
      <c r="A246" t="inlineStr">
        <is>
          <t>Mining</t>
        </is>
      </c>
      <c r="B246" s="93" t="n">
        <v>44075</v>
      </c>
      <c r="C246" t="inlineStr">
        <is>
          <t>“Activity level is holding steady, with optimistic outlook.” (Mining)</t>
        </is>
      </c>
    </row>
    <row r="247">
      <c r="A247" t="inlineStr">
        <is>
          <t>Mining</t>
        </is>
      </c>
      <c r="B247" s="93" t="n">
        <v>43983</v>
      </c>
      <c r="C247" t="inlineStr">
        <is>
          <t>“Activity level is holding steady, with the potential of a rebound in the near future.” (Mining)</t>
        </is>
      </c>
    </row>
    <row r="248">
      <c r="A248" t="inlineStr">
        <is>
          <t>Mining</t>
        </is>
      </c>
      <c r="B248" s="93" t="n">
        <v>43891</v>
      </c>
      <c r="C248" t="inlineStr">
        <is>
          <t>“We are experiencing no real issues from a business perspective, although COVID-19 has forced us to reconsider elements of how our workforce gets things done.” (Mining)</t>
        </is>
      </c>
    </row>
    <row r="249">
      <c r="A249" t="inlineStr">
        <is>
          <t>Mining</t>
        </is>
      </c>
      <c r="B249" s="93" t="n">
        <v>43862</v>
      </c>
      <c r="C249" t="inlineStr">
        <is>
          <t>“The business outlook remains positive, but foggy due to the Chinese coronavirus outbreak. The mining industry is well dependent on Chinese consumption. On the other side, it is difficult to [make] sourcing decisions, since it is not clear how long China will need to return to normal production capacity, and if it is worth it to pay more from other countries.” (Mining)</t>
        </is>
      </c>
    </row>
    <row r="250">
      <c r="A250" t="inlineStr">
        <is>
          <t>Mining</t>
        </is>
      </c>
      <c r="B250" s="93" t="n">
        <v>43800</v>
      </c>
      <c r="C250" t="inlineStr">
        <is>
          <t>"Our company's production, sales and purchasing [activities] are back to normal. Maintenance, planned and otherwise, is driving the usual necessity for spare parts." (Mining)</t>
        </is>
      </c>
    </row>
    <row r="251">
      <c r="A251" t="inlineStr">
        <is>
          <t>Mining</t>
        </is>
      </c>
      <c r="B251" s="93" t="n">
        <v>43739</v>
      </c>
      <c r="C251" t="inlineStr">
        <is>
          <t>“Our business remains at the same level. There is no expectation for new orders, since clients normally do not make capital-expenditure decisions in the last quarter. Our only expectation is with regards to the U.S.-China trade deal outcome.” (Mining)</t>
        </is>
      </c>
    </row>
    <row r="252">
      <c r="A252" t="inlineStr">
        <is>
          <t>Mining</t>
        </is>
      </c>
      <c r="B252" s="93" t="n">
        <v>43647</v>
      </c>
      <c r="C252" t="inlineStr">
        <is>
          <t>“It appears that the mining capital-expense environment is improving, with a good prospectus for the coming months. Our dependence on Chinese and Asian supply chains remains strong. NAFTA countries do not have the same capacity and speed.” (Mining)</t>
        </is>
      </c>
    </row>
    <row r="253">
      <c r="A253" t="inlineStr">
        <is>
          <t>Mining</t>
        </is>
      </c>
      <c r="B253" s="93" t="n">
        <v>43586</v>
      </c>
      <c r="C253" t="inlineStr">
        <is>
          <t>“Our business level is connected to metal commodity future outlook, but current trade war does not let investors have a clear sight. In this sense, [it] has been very difficult to plan in a long term ahead.” (Mining)</t>
        </is>
      </c>
    </row>
    <row r="254">
      <c r="A254" t="inlineStr">
        <is>
          <t>Mining</t>
        </is>
      </c>
      <c r="B254" s="93" t="n">
        <v>43556</v>
      </c>
      <c r="C254" t="inlineStr">
        <is>
          <t>·         “The outlook for mining capital expenditures looks like it will not change for a while. [We don’t] expect much growth, so we keep working with same team and shrinking capex investments.” (Mining)</t>
        </is>
      </c>
    </row>
    <row r="255">
      <c r="A255" t="inlineStr">
        <is>
          <t>Mining</t>
        </is>
      </c>
      <c r="B255" s="93" t="n">
        <v>43525</v>
      </c>
      <c r="C255" t="inlineStr">
        <is>
          <t>“Activity level held flat.” (Mining)</t>
        </is>
      </c>
    </row>
    <row r="256">
      <c r="A256" t="inlineStr">
        <is>
          <t>Mining</t>
        </is>
      </c>
      <c r="B256" s="93" t="n">
        <v>43497</v>
      </c>
      <c r="C256" t="inlineStr">
        <is>
          <t>“Increased activity level over the end of 2018.” (Mining)</t>
        </is>
      </c>
    </row>
    <row r="257">
      <c r="A257" t="inlineStr">
        <is>
          <t>Other Services</t>
        </is>
      </c>
      <c r="B257" s="93" t="n">
        <v>44562</v>
      </c>
      <c r="C257" t="inlineStr">
        <is>
          <t>“Downturn in business in the last month due to outbreak in COVID-19 cases.”</t>
        </is>
      </c>
    </row>
    <row r="258">
      <c r="A258" t="inlineStr">
        <is>
          <t>Other Services</t>
        </is>
      </c>
      <c r="B258" s="93" t="n">
        <v>44531</v>
      </c>
      <c r="C258" t="inlineStr">
        <is>
          <t>Activity continues to maintain a steady pace. Inventory levels and outages are persistent with our suppliers; however, starting to see some relief in the supply chain, but not below the critical point yet. Prices continue to be driven up, with shipping costs the largest driver due to inflated pressures on capacity and fuel costs.” [Other Services]</t>
        </is>
      </c>
    </row>
    <row r="259">
      <c r="A259" t="inlineStr">
        <is>
          <t>Other Services</t>
        </is>
      </c>
      <c r="B259" s="93" t="n">
        <v>44197</v>
      </c>
      <c r="C259" t="inlineStr">
        <is>
          <t>“Overall, everything continues to be more optimistic; however, we are still seeing impacts from suppliers that are being affected by limiting staff due to COVID-19 restrictions.” (Other Services)</t>
        </is>
      </c>
    </row>
    <row r="260">
      <c r="A260" t="inlineStr">
        <is>
          <t>Other Services</t>
        </is>
      </c>
      <c r="B260" s="93" t="n">
        <v>43983</v>
      </c>
      <c r="C260" t="inlineStr">
        <is>
          <t>“We have seen an overall reduction in our business as a result of COVID-19, with the greatest reduction in the aviation and oil and gas industries. In contrast, the pharmaceutical industry has seen an increase in business during the same time frame.” (Other Services)</t>
        </is>
      </c>
    </row>
    <row r="261">
      <c r="A261" t="inlineStr">
        <is>
          <t>Other Services</t>
        </is>
      </c>
      <c r="B261" s="93" t="n">
        <v>43770</v>
      </c>
      <c r="C261" t="inlineStr">
        <is>
          <t>“Tariffs on steel and aluminum are still having a negative impact on costs. Oil and gas business is increasing, which is favorably impacting our orders.” (Other Services)</t>
        </is>
      </c>
    </row>
    <row r="262">
      <c r="A262" t="inlineStr">
        <is>
          <t>Professional, Scientific &amp; Technical Services</t>
        </is>
      </c>
      <c r="B262" s="93" t="n">
        <v>44682</v>
      </c>
      <c r="C262" t="inlineStr">
        <is>
          <t>“Demand for all labor types remains strong, as open positions continue to exceed candidates to fill those positions. Light industrial, heavy industrial and information technology labor roles are particularly difficult to fill. Companies are having to pay more and offer incentives to attract talent. Resignations continue at a record pace across all age groups, and baby boomer retirements continue to increase.”</t>
        </is>
      </c>
    </row>
    <row r="263">
      <c r="A263" t="inlineStr">
        <is>
          <t>Professional, Scientific &amp; Technical Services</t>
        </is>
      </c>
      <c r="B263" s="93" t="n">
        <v>44652</v>
      </c>
      <c r="C263" t="inlineStr">
        <is>
          <t>“Talent shortages continue to make it difficult to get work done at companies across many industry sectors. Light industrial labor is in high demand, but supply gaps still exist. Wages continue to rise in nearly all labor categories, contributing to the rise in prices of goods and services.”</t>
        </is>
      </c>
    </row>
    <row r="264">
      <c r="A264" t="inlineStr">
        <is>
          <t>Professional, Scientific &amp; Technical Services</t>
        </is>
      </c>
      <c r="B264" s="93" t="n">
        <v>44562</v>
      </c>
      <c r="C264" t="inlineStr">
        <is>
          <t>“Blood shortages are causing issues in the emergency rooms.”</t>
        </is>
      </c>
    </row>
    <row r="265">
      <c r="A265" t="inlineStr">
        <is>
          <t>Professional, Scientific &amp; Technical Services</t>
        </is>
      </c>
      <c r="B265" s="93" t="n">
        <v>44531</v>
      </c>
      <c r="C265" t="inlineStr">
        <is>
          <t>“Electronic chip (shortage) is severely affecting deliveries from our supply base, thus impacting our ability to deliver to customers.”</t>
        </is>
      </c>
    </row>
    <row r="266">
      <c r="A266" t="inlineStr">
        <is>
          <t>Professional, Scientific &amp; Technical Services</t>
        </is>
      </c>
      <c r="B266" s="93" t="n">
        <v>44470</v>
      </c>
      <c r="C266" t="inlineStr">
        <is>
          <t>“Positive indications that have been building in the last couple of months are continuing into the beginning of this quarter.” [Professional, Scientific &amp; Technical Services]</t>
        </is>
      </c>
    </row>
    <row r="267">
      <c r="A267" t="inlineStr">
        <is>
          <t>Professional, Scientific &amp; Technical Services</t>
        </is>
      </c>
      <c r="B267" s="93" t="n">
        <v>44440</v>
      </c>
      <c r="C267" t="inlineStr">
        <is>
          <t>“Inventories shrinking due to global shipping logistics being a seller’s/provider’s market, with primary focus on yield versus market expansion.” [Professional, Scientific &amp; Technical Services]</t>
        </is>
      </c>
    </row>
    <row r="268">
      <c r="A268" t="inlineStr">
        <is>
          <t>Professional, Scientific &amp; Technical Services</t>
        </is>
      </c>
      <c r="B268" s="93" t="n">
        <v>44409</v>
      </c>
      <c r="C268" t="inlineStr">
        <is>
          <t>Continuing supply chain disruptions and supply cost increases. [Professional, Scientific &amp; Technical Services]</t>
        </is>
      </c>
    </row>
    <row r="269">
      <c r="A269" t="inlineStr">
        <is>
          <t>Professional, Scientific &amp; Technical Services</t>
        </is>
      </c>
      <c r="B269" s="93" t="n">
        <v>44378</v>
      </c>
      <c r="C269" t="inlineStr">
        <is>
          <t>“Supply chain disruptions continue to impact sales.” [Professional, Scientific &amp; Technical Services]</t>
        </is>
      </c>
    </row>
    <row r="270">
      <c r="A270" t="inlineStr">
        <is>
          <t>Professional, Scientific &amp; Technical Services</t>
        </is>
      </c>
      <c r="B270" s="93" t="n">
        <v>44317</v>
      </c>
      <c r="C270" t="inlineStr">
        <is>
          <t>Small businesses in the area are reporting stimulus checks and extension of unemployment are hampering their ability to hire workers. Seasonal labor and H-2B (visa) workers are in very short supply, causing an uptick in cost per hour. Some employers are reporting they are offering cash incentives of (US)$50 if you show up for an interview. [Professional, Scientific &amp; Technical Services]</t>
        </is>
      </c>
    </row>
    <row r="271">
      <c r="A271" t="inlineStr">
        <is>
          <t>Professional, Scientific &amp; Technical Services</t>
        </is>
      </c>
      <c r="B271" s="93" t="n">
        <v>44287</v>
      </c>
      <c r="C271" t="inlineStr">
        <is>
          <t>Supply has been dwarfed by demand [and] ocean-transport logistics imbalances with ships and containers. North America parcel carriers swamped with volume-processing constraints, and highway carriers can't supply drivers, regardless of choked original equipment manufacturer [OEM] truck orders. Rail intermodal is only competitive among two dozen or so origins, to about as many destinations. (Professional, Scientific &amp; Technical Services)</t>
        </is>
      </c>
    </row>
    <row r="272">
      <c r="A272" t="inlineStr">
        <is>
          <t>Professional, Scientific &amp; Technical Services</t>
        </is>
      </c>
      <c r="B272" s="93" t="n">
        <v>44256</v>
      </c>
      <c r="C272" t="inlineStr">
        <is>
          <t>“Higher levels of demand related to additional business reopening, and increased activity related to vaccination distribution.” (Professional, Scientific &amp; Technical Services)</t>
        </is>
      </c>
    </row>
    <row r="273">
      <c r="A273" t="inlineStr">
        <is>
          <t>Professional, Scientific &amp; Technical Services</t>
        </is>
      </c>
      <c r="B273" s="93" t="n">
        <v>44228</v>
      </c>
      <c r="C273" t="inlineStr">
        <is>
          <t>“We were excited [in January], when orders and activity were increasing. Now, they are not receding, but they’re flat month over month. That’s not the rebound we were hoping for.” (Professional, Scientific &amp; Technical Services)</t>
        </is>
      </c>
    </row>
    <row r="274">
      <c r="A274" t="inlineStr">
        <is>
          <t>Professional, Scientific &amp; Technical Services</t>
        </is>
      </c>
      <c r="B274" s="93" t="n">
        <v>44166</v>
      </c>
      <c r="C274" t="inlineStr">
        <is>
          <t>Deliveries as a whole, are slowing down considerably. Between COVID-19, the holidays, and inclement weather of late, the remainder of [2020] stands to be very challenging regarding maintaining adequate materials for operations. (Professional, Scientific &amp; Technical Services)</t>
        </is>
      </c>
    </row>
    <row r="275">
      <c r="A275" t="inlineStr">
        <is>
          <t>Professional, Scientific &amp; Technical Services</t>
        </is>
      </c>
      <c r="B275" s="93" t="n">
        <v>44136</v>
      </c>
      <c r="C275" t="inlineStr">
        <is>
          <t>"Availability on PPE and other supplies is getting worse again; [the situation] is especially dire with nitrile gloves." (Professional, Scientific &amp; Technical Services)</t>
        </is>
      </c>
    </row>
    <row r="276">
      <c r="A276" t="inlineStr">
        <is>
          <t>Professional, Scientific &amp; Technical Services</t>
        </is>
      </c>
      <c r="B276" s="93" t="n">
        <v>44105</v>
      </c>
      <c r="C276" t="inlineStr">
        <is>
          <t>“Encouraging signs continue for an improved fourth quarter.” (Professional, Scientific &amp; Technical Services)</t>
        </is>
      </c>
    </row>
    <row r="277">
      <c r="A277" t="inlineStr">
        <is>
          <t>Professional, Scientific &amp; Technical Services</t>
        </is>
      </c>
      <c r="B277" s="93" t="n">
        <v>44075</v>
      </c>
      <c r="C277" t="inlineStr">
        <is>
          <t>“Customer confidence creeping back as a belief in the end, or perhaps taming, of COVID-19 increases; however, it comes with a high degree of caution regarding uncertainty in the marketplace and a reluctance to commit. Exploratory conversations are increasing, but hard orders are not.” (Professional, Scientific &amp; Technical Services)</t>
        </is>
      </c>
    </row>
    <row r="278">
      <c r="A278" t="inlineStr">
        <is>
          <t>Professional, Scientific &amp; Technical Services</t>
        </is>
      </c>
      <c r="B278" s="93" t="n">
        <v>44044</v>
      </c>
      <c r="C278" t="inlineStr">
        <is>
          <t>“Increase in service- and work-order requests are signs of economic improvement as companies reopen and begin to ramp up employment activity.” (Professional, Scientific &amp; Technical Services)</t>
        </is>
      </c>
    </row>
    <row r="279">
      <c r="A279" t="inlineStr">
        <is>
          <t>Professional, Scientific &amp; Technical Services</t>
        </is>
      </c>
      <c r="B279" s="93" t="n">
        <v>44013</v>
      </c>
      <c r="C279" t="inlineStr">
        <is>
          <t>"Some business picking up, but mostly virtual meetings, training and consulting. Time will tell if its profitable. The economic situation is quite dire regionally, so there is no telling if this is a trend or just a short respite. Any business at this point is much appreciated." (Professional, Scientific &amp; Technical Services)</t>
        </is>
      </c>
    </row>
    <row r="280">
      <c r="A280" t="inlineStr">
        <is>
          <t>Professional, Scientific &amp; Technical Services</t>
        </is>
      </c>
      <c r="B280" s="93" t="n">
        <v>43862</v>
      </c>
      <c r="C280" t="inlineStr">
        <is>
          <t>“The outlook appears positive, as our order book is nearing full capacity for the first half of 2020.” (Professional, Scientific &amp; Technical Services)</t>
        </is>
      </c>
    </row>
    <row r="281">
      <c r="A281" t="inlineStr">
        <is>
          <t>Professional, Scientific &amp; Technical Services</t>
        </is>
      </c>
      <c r="B281" s="93" t="n">
        <v>43800</v>
      </c>
      <c r="C281" t="inlineStr">
        <is>
          <t>"New prospects have improved this month, although continuing uncertainty is causing clients to delay confirmation." (Professional, Scientific &amp; Technical Services)</t>
        </is>
      </c>
    </row>
    <row r="282">
      <c r="A282" t="inlineStr">
        <is>
          <t>Professional, Scientific &amp; Technical Services</t>
        </is>
      </c>
      <c r="B282" s="93" t="n">
        <v>43770</v>
      </c>
      <c r="C282" t="inlineStr">
        <is>
          <t>“Business activity is lower after the end of the 2019 fiscal year. The federal government is under a continuing resolution appropriations bill. This means we have not received a full annual budget, and all spending is restricted to past operational budgets for only necessary items.” (Public Administration)</t>
        </is>
      </c>
    </row>
    <row r="283">
      <c r="A283" t="inlineStr">
        <is>
          <t>Professional, Scientific &amp; Technical Services</t>
        </is>
      </c>
      <c r="B283" s="93" t="n">
        <v>43739</v>
      </c>
      <c r="C283" t="inlineStr">
        <is>
          <t>“Positive-but-cautious outlook, with oil prices hovering above [US]$50 a barrel.” (Professional, Scientific &amp; Technical Services)</t>
        </is>
      </c>
    </row>
    <row r="284">
      <c r="A284" t="inlineStr">
        <is>
          <t>Professional, Scientific &amp; Technical Services</t>
        </is>
      </c>
      <c r="B284" s="93" t="n">
        <v>43678</v>
      </c>
      <c r="C284" t="inlineStr">
        <is>
          <t>“Summer doldrums appear to be over, and the fourth quarter will be solid, with higher-than-expected revenues.” (Professional, Scientific &amp; Technical Services)</t>
        </is>
      </c>
    </row>
    <row r="285">
      <c r="A285" t="inlineStr">
        <is>
          <t>Professional, Scientific &amp; Technical Services</t>
        </is>
      </c>
      <c r="B285" s="93" t="n">
        <v>43647</v>
      </c>
      <c r="C285" t="inlineStr">
        <is>
          <t>“Companies involved in the oil and gas industry remain cautious relative to hiring direct employees and contingent workers, as well as investing in new capital projects. Volatility in oil price and geopolitical concerns are driving this wait-and-see approach.” (Professional, Scientific &amp; Technical Services)</t>
        </is>
      </c>
    </row>
    <row r="286">
      <c r="A286" t="inlineStr">
        <is>
          <t>Professional, Scientific &amp; Technical Services</t>
        </is>
      </c>
      <c r="B286" s="93" t="n">
        <v>43617</v>
      </c>
      <c r="C286" t="inlineStr">
        <is>
          <t>“Waiting to see what new tariffs on Mexican steel will do to the market.” (Professional, Scientific &amp; Technical Services)</t>
        </is>
      </c>
    </row>
    <row r="287">
      <c r="A287" t="inlineStr">
        <is>
          <t>Professional, Scientific &amp; Technical Services</t>
        </is>
      </c>
      <c r="B287" s="93" t="n">
        <v>43556</v>
      </c>
      <c r="C287" t="inlineStr">
        <is>
          <t>·         “We have experienced several cancellations that have significantly impacted the month’s revenue. [The cancellations] appear to be attributed to an international business situation — which was the source for the potential revenue.” (Professional, Scientific &amp; Technical Services)</t>
        </is>
      </c>
    </row>
    <row r="288">
      <c r="A288" t="inlineStr">
        <is>
          <t>Professional, Scientific &amp; Technical Services</t>
        </is>
      </c>
      <c r="B288" s="93" t="n">
        <v>43525</v>
      </c>
      <c r="C288" t="inlineStr">
        <is>
          <t>“Initial surge in business at the beginning of the year has peaked and settled to a more stable level.” (Professional, Scientific &amp; Technical Services)</t>
        </is>
      </c>
    </row>
    <row r="289">
      <c r="A289" t="inlineStr">
        <is>
          <t>Professional, Scientific &amp; Technical Services</t>
        </is>
      </c>
      <c r="B289" s="93" t="n">
        <v>43466</v>
      </c>
      <c r="C289" t="inlineStr">
        <is>
          <t>·         “We are trying to hold out through the government shutdown. Currently, our work is continuing with already obligated prior-year funds. We have not had to suspend any activities. The shutdown is affecting the United States Agency for International Development’s [USAID] and the Department of State’s ability to process actions, share information or plan for the future. That is the shutdown’s effect on us. The longer it lasts, the greater the disruption.” (Professional, Scientific &amp; Technical Services)</t>
        </is>
      </c>
    </row>
    <row r="290">
      <c r="A290" t="inlineStr">
        <is>
          <t>Public Administration</t>
        </is>
      </c>
      <c r="B290" s="93" t="n">
        <v>44713</v>
      </c>
      <c r="C290" t="inlineStr">
        <is>
          <t>“It seems like everyone is jumping on the bandwagon (of) raising prices under the guise of inflation, cost of energy and shortages. Costs on even software renewals have gone up between 5 and 10 percent. This is getting out of control, and we need to be diligent in researching the cause of rising prices on every transaction.”</t>
        </is>
      </c>
    </row>
    <row r="291">
      <c r="A291" t="inlineStr">
        <is>
          <t>Public Administration</t>
        </is>
      </c>
      <c r="B291" s="93" t="n">
        <v>44682</v>
      </c>
      <c r="C291" t="inlineStr">
        <is>
          <t>“Concerns about how the new COVID-19 subvariants and rising cases may impact staffing.”</t>
        </is>
      </c>
    </row>
    <row r="292">
      <c r="A292" t="inlineStr">
        <is>
          <t>Public Administration</t>
        </is>
      </c>
      <c r="B292" s="93" t="n">
        <v>44652</v>
      </c>
      <c r="C292" t="inlineStr">
        <is>
          <t>“Inflation, supply chain issues and access to qualified workers continue to be issues. There are still lingering effects from the pandemic, although those seem to be subsiding. The future impacts of the war in Ukraine are unclear.”</t>
        </is>
      </c>
    </row>
    <row r="293">
      <c r="A293" t="inlineStr">
        <is>
          <t>Public Administration</t>
        </is>
      </c>
      <c r="B293" s="93" t="n">
        <v>44621</v>
      </c>
      <c r="C293" t="inlineStr">
        <is>
          <t>“Long lead times for electronic components are becoming normal and expected. Chemical deliveries are often delayed due to a lack of qualified hazardous materials drivers.”</t>
        </is>
      </c>
    </row>
    <row r="294">
      <c r="A294" t="inlineStr">
        <is>
          <t>Public Administration</t>
        </is>
      </c>
      <c r="B294" s="93" t="n">
        <v>44501</v>
      </c>
      <c r="C294" t="inlineStr">
        <is>
          <t>“Late deliveries and shortages continue. Disruptions seem to be declining somewhat, as suppliers and customers are finding innovative ways to keep supplies moving.” [Public Administration]</t>
        </is>
      </c>
    </row>
    <row r="295">
      <c r="A295" t="inlineStr">
        <is>
          <t>Public Administration</t>
        </is>
      </c>
      <c r="B295" s="93" t="n">
        <v>44470</v>
      </c>
      <c r="C295" t="inlineStr">
        <is>
          <t>“Deliveries are significantly delayed. Metals continue to be volatile.” [Public Administration]</t>
        </is>
      </c>
    </row>
    <row r="296">
      <c r="A296" t="inlineStr">
        <is>
          <t>Public Administration</t>
        </is>
      </c>
      <c r="B296" s="93" t="n">
        <v>44440</v>
      </c>
      <c r="C296" t="inlineStr">
        <is>
          <t>“Lead times have improved slightly over the last period, but still remain lengthy relative to pre-pandemic levels. We continue to see rising costs for both supply and service inputs. The effects of these price increases have the potential to significantly impact our operations through the end of the year, especially if seasonal trends prove exceptionally strong.” [Public Administration]</t>
        </is>
      </c>
    </row>
    <row r="297">
      <c r="A297" t="inlineStr">
        <is>
          <t>Public Administration</t>
        </is>
      </c>
      <c r="B297" s="93" t="n">
        <v>44409</v>
      </c>
      <c r="C297" t="inlineStr">
        <is>
          <t>Chemicals and transportation services are in short supply. Also, chip shortages are affecting several large-project time lines. [Public Administration]</t>
        </is>
      </c>
    </row>
    <row r="298">
      <c r="A298" t="inlineStr">
        <is>
          <t>Public Administration</t>
        </is>
      </c>
      <c r="B298" s="93" t="n">
        <v>44378</v>
      </c>
      <c r="C298" t="inlineStr">
        <is>
          <t>“Appliances, laptops and certain chemicals are still in short supply.” [Public Administration]</t>
        </is>
      </c>
    </row>
    <row r="299">
      <c r="A299" t="inlineStr">
        <is>
          <t>Public Administration</t>
        </is>
      </c>
      <c r="B299" s="93" t="n">
        <v>44287</v>
      </c>
      <c r="C299" t="inlineStr">
        <is>
          <t>Business is generally upbeat. There is pent-up demand and resources, especially people. The pandemic, while not over, is subsiding in most places with the vaccines. Many people who were previously unable to think about relocating for jobs are now doing so. Other areas of the economy are opening up. Many medical treatments that were not critical and were put off are now being administered. (Public Administration)</t>
        </is>
      </c>
    </row>
    <row r="300">
      <c r="A300" t="inlineStr">
        <is>
          <t>Public Administration</t>
        </is>
      </c>
      <c r="B300" s="93" t="n">
        <v>44197</v>
      </c>
      <c r="C300" t="inlineStr">
        <is>
          <t>“Post-holidays spending is up. Many capital projects and expenditures are coming to fruition.” (Public Administration)</t>
        </is>
      </c>
    </row>
    <row r="301">
      <c r="A301" t="inlineStr">
        <is>
          <t>Public Administration</t>
        </is>
      </c>
      <c r="B301" s="93" t="n">
        <v>44013</v>
      </c>
      <c r="C301" t="inlineStr">
        <is>
          <t>"Phased opening of businesses continues at a slow pace. Spending is down. Unemployment is up this year, though down compared to last month. Unemployment last year was 2.9 percent. Last month, it was 19.2 percent. This month, it is 16.2 percent." (Public Administration)</t>
        </is>
      </c>
    </row>
    <row r="302">
      <c r="A302" t="inlineStr">
        <is>
          <t>Public Administration</t>
        </is>
      </c>
      <c r="B302" s="93" t="n">
        <v>43952</v>
      </c>
      <c r="C302" t="inlineStr">
        <is>
          <t>“COVID-19 is still impacting our revenue significantly and the prices we are paying for goods and services.” (Public Administration)</t>
        </is>
      </c>
    </row>
    <row r="303">
      <c r="A303" t="inlineStr">
        <is>
          <t>Public Administration</t>
        </is>
      </c>
      <c r="B303" s="93" t="n">
        <v>43891</v>
      </c>
      <c r="C303" t="inlineStr">
        <is>
          <t>“Severe impact to operations as a result of COVID-19. Major challenges in obtaining needed supplies for first responders, including N95 masks, gowns, disinfecting products and medical supplies. As a local government, we are experiencing a significant increase in activity due to emergency-response efforts. Starting to experience inappropriate price increases for short-supply items.” (Public Administration)</t>
        </is>
      </c>
    </row>
    <row r="304">
      <c r="A304" t="inlineStr">
        <is>
          <t>Public Administration</t>
        </is>
      </c>
      <c r="B304" s="93" t="n">
        <v>43800</v>
      </c>
      <c r="C304" t="inlineStr">
        <is>
          <t>"Budgets and business accelerating." (Public Administration)</t>
        </is>
      </c>
    </row>
    <row r="305">
      <c r="A305" t="inlineStr">
        <is>
          <t>Public Administration</t>
        </is>
      </c>
      <c r="B305" s="93" t="n">
        <v>43739</v>
      </c>
      <c r="C305" t="inlineStr">
        <is>
          <t>“Beginning of a new fiscal year brings a tremendous amount of spending.” (Public Administration)</t>
        </is>
      </c>
    </row>
    <row r="306">
      <c r="A306" t="inlineStr">
        <is>
          <t>Public Administration</t>
        </is>
      </c>
      <c r="B306" s="93" t="n">
        <v>43617</v>
      </c>
      <c r="C306" t="inlineStr">
        <is>
          <t>“Demand seems strong. There are still pressures for skilled labor. It is difficult to find fully qualified candidates. Suppliers are having trouble with demand.” (Public Administration)</t>
        </is>
      </c>
    </row>
    <row r="307">
      <c r="A307" t="inlineStr">
        <is>
          <t>Public Administration</t>
        </is>
      </c>
      <c r="B307" s="93" t="n">
        <v>43586</v>
      </c>
      <c r="C307" t="inlineStr">
        <is>
          <t>“Gearing up for summer busy construction season.” (Public Administration)</t>
        </is>
      </c>
    </row>
    <row r="308">
      <c r="A308" t="inlineStr">
        <is>
          <t>Public Administration</t>
        </is>
      </c>
      <c r="B308" s="93" t="n">
        <v>43556</v>
      </c>
      <c r="C308" t="inlineStr">
        <is>
          <t>·         “Business is steady. Recruiting qualified employees has been difficult.” (Public Administration)</t>
        </is>
      </c>
    </row>
    <row r="309">
      <c r="A309" t="inlineStr">
        <is>
          <t>Public Administration</t>
        </is>
      </c>
      <c r="B309" s="93" t="n">
        <v>43525</v>
      </c>
      <c r="C309" t="inlineStr">
        <is>
          <t>“Locally as construction grows, a shortage of available workers for the industry is occurring for future projects.” (Public Administration)</t>
        </is>
      </c>
    </row>
    <row r="310">
      <c r="A310" t="inlineStr">
        <is>
          <t>Public Administration</t>
        </is>
      </c>
      <c r="B310" s="93" t="n">
        <v>43466</v>
      </c>
      <c r="C310" t="inlineStr">
        <is>
          <t>·         “Apprehension regarding overall economic conditions due to uncertainly of the partial government shutdown, its effect on business climate and lack of national strategic direction. Economic activity remains strong locally; however, there is concern that this may change quickly due to uncertainty and reports of slowing economic indicators.” (Public Administration)</t>
        </is>
      </c>
    </row>
    <row r="311">
      <c r="A311" t="inlineStr">
        <is>
          <t>Real Estate, Rental &amp; Leasing</t>
        </is>
      </c>
      <c r="B311" s="93" t="n">
        <v>44470</v>
      </c>
      <c r="C311" t="inlineStr">
        <is>
          <t>“Construction remains quite strong, although material supply issues persist.” [Real Estate, Rental &amp; Leasing]</t>
        </is>
      </c>
    </row>
    <row r="312">
      <c r="A312" t="inlineStr">
        <is>
          <t>Real Estate, Rental &amp; Leasing</t>
        </is>
      </c>
      <c r="B312" s="93" t="n">
        <v>44440</v>
      </c>
      <c r="C312" t="inlineStr">
        <is>
          <t>“Business volumes remain remarkably high, although material shortages persist.” [Real Estate, Rental &amp; Leasing]</t>
        </is>
      </c>
    </row>
    <row r="313">
      <c r="A313" t="inlineStr">
        <is>
          <t>Real Estate, Rental &amp; Leasing</t>
        </is>
      </c>
      <c r="B313" s="93" t="n">
        <v>44409</v>
      </c>
      <c r="C313" t="inlineStr">
        <is>
          <t>Business in all segments continues to gain, both month over month and year-to-date versus 2020. Projections and forecasts remain quite robust. [Real Estate, Rental &amp; Leasing]</t>
        </is>
      </c>
    </row>
    <row r="314">
      <c r="A314" t="inlineStr">
        <is>
          <t>Real Estate, Rental &amp; Leasing</t>
        </is>
      </c>
      <c r="B314" s="93" t="n">
        <v>44378</v>
      </c>
      <c r="C314" t="inlineStr">
        <is>
          <t>“Business continues to gain speed as the economy recovers and assuming there won’t be additional government-mandated lockdowns.” [Real Estate, Rental &amp; Leasing]</t>
        </is>
      </c>
    </row>
    <row r="315">
      <c r="A315" t="inlineStr">
        <is>
          <t>Real Estate, Rental &amp; Leasing</t>
        </is>
      </c>
      <c r="B315" s="93" t="n">
        <v>44317</v>
      </c>
      <c r="C315" t="inlineStr">
        <is>
          <t>Business is very strong, and customer orders continue to increase at a rapid pace. Material shortages, increased prices and qualified personnel shortages are becoming a much larger concern. [Real Estate, Rental &amp; Leasing]</t>
        </is>
      </c>
    </row>
    <row r="316">
      <c r="A316" t="inlineStr">
        <is>
          <t>Real Estate, Rental &amp; Leasing</t>
        </is>
      </c>
      <c r="B316" s="93" t="n">
        <v>44287</v>
      </c>
      <c r="C316" t="inlineStr">
        <is>
          <t>Business levels are quite strong as we head into the spring construction season. (Real Estate, Rental &amp; Leasing)</t>
        </is>
      </c>
    </row>
    <row r="317">
      <c r="A317" t="inlineStr">
        <is>
          <t>Real Estate, Rental &amp; Leasing</t>
        </is>
      </c>
      <c r="B317" s="93" t="n">
        <v>44256</v>
      </c>
      <c r="C317" t="inlineStr">
        <is>
          <t>“Business is picking up as mandated restrictions seem to be easing and spring is right around the corner.” (Real Estate, Rental &amp; Leasing)</t>
        </is>
      </c>
    </row>
    <row r="318">
      <c r="A318" t="inlineStr">
        <is>
          <t>Real Estate, Rental &amp; Leasing</t>
        </is>
      </c>
      <c r="B318" s="93" t="n">
        <v>44166</v>
      </c>
      <c r="C318" t="inlineStr">
        <is>
          <t>Business quite good, all things considered, although below the original 2020 planned forecast. (Real Estate, Rental &amp; Leasing)</t>
        </is>
      </c>
    </row>
    <row r="319">
      <c r="A319" t="inlineStr">
        <is>
          <t>Real Estate, Rental &amp; Leasing</t>
        </is>
      </c>
      <c r="B319" s="93" t="n">
        <v>44013</v>
      </c>
      <c r="C319" t="inlineStr">
        <is>
          <t>"COVID-19 interruptions are changing the way business is done." (Real Estate, Rental &amp; Leasing)</t>
        </is>
      </c>
    </row>
    <row r="320">
      <c r="A320" t="inlineStr">
        <is>
          <t>Real Estate, Rental &amp; Leasing</t>
        </is>
      </c>
      <c r="B320" s="93" t="n">
        <v>43983</v>
      </c>
      <c r="C320" t="inlineStr">
        <is>
          <t>“COVID-19 and the riots have disrupted the normal flow of business. There is no new normal yet.” (Real Estate, Rental &amp; Leasing)</t>
        </is>
      </c>
    </row>
    <row r="321">
      <c r="A321" t="inlineStr">
        <is>
          <t>Real Estate, Rental &amp; Leasing</t>
        </is>
      </c>
      <c r="B321" s="93" t="n">
        <v>43862</v>
      </c>
      <c r="C321" t="inlineStr">
        <is>
          <t>“Construction activity appears to be getting off to a good start for 2020.” (Real Estate, Rental &amp; Leasing)</t>
        </is>
      </c>
    </row>
    <row r="322">
      <c r="A322" t="inlineStr">
        <is>
          <t>Real Estate, Rental &amp; Leasing</t>
        </is>
      </c>
      <c r="B322" s="93" t="n">
        <v>43831</v>
      </c>
      <c r="C322" t="inlineStr">
        <is>
          <t>“Customer inquiries are strong to start the new year.” (Real Estate, Rental &amp; Leasing)</t>
        </is>
      </c>
    </row>
    <row r="323">
      <c r="A323" t="inlineStr">
        <is>
          <t>Real Estate, Rental &amp; Leasing</t>
        </is>
      </c>
      <c r="B323" s="93" t="n">
        <v>43739</v>
      </c>
      <c r="C323" t="inlineStr">
        <is>
          <t>“Business remains brisk and well ahead of last year to date, as we near the peak of our busiest season. Looking ahead, our customers remain upbeat about their business well into next year.” (Real Estate, Rental &amp; Leasing)</t>
        </is>
      </c>
    </row>
    <row r="324">
      <c r="A324" t="inlineStr">
        <is>
          <t>Real Estate, Rental &amp; Leasing</t>
        </is>
      </c>
      <c r="B324" s="93" t="n">
        <v>43678</v>
      </c>
      <c r="C324" t="inlineStr">
        <is>
          <t>“Construction markets remain busy. Projects that were delayed are trying to get back on track.” (Real Estate, Rental &amp; Leasing)</t>
        </is>
      </c>
    </row>
    <row r="325">
      <c r="A325" t="inlineStr">
        <is>
          <t>Real Estate, Rental &amp; Leasing</t>
        </is>
      </c>
      <c r="B325" s="93" t="n">
        <v>43525</v>
      </c>
      <c r="C325" t="inlineStr">
        <is>
          <t>“April is when our real busy season begins and it has arrived early this year, demand is quite strong.” (Real Estate, Rental &amp; Leasing)</t>
        </is>
      </c>
    </row>
    <row r="326">
      <c r="A326" t="inlineStr">
        <is>
          <t>Real Estate, Rental &amp; Leasing</t>
        </is>
      </c>
      <c r="B326" s="93" t="n">
        <v>43466</v>
      </c>
      <c r="C326" t="inlineStr">
        <is>
          <t>·         “Order input stable, and supplier deliveries growing. The industry is struggling with capacity constraints.” (Real Estate, Rental &amp; Leasing)</t>
        </is>
      </c>
    </row>
    <row r="327">
      <c r="A327" t="inlineStr">
        <is>
          <t>Retail Trade</t>
        </is>
      </c>
      <c r="B327" s="93" t="n">
        <v>44713</v>
      </c>
      <c r="C327" t="inlineStr">
        <is>
          <t>“Consumers are shifting purchases away from our discretionary products to essentials. Inflation is definitely taking a bite from our sales, and mall traffic is far below the norm, potentially due to inflation, a need for more disposable income on essentials and less willingness to drive to malls. E-commerce sales will be going up again.”</t>
        </is>
      </c>
    </row>
    <row r="328">
      <c r="A328" t="inlineStr">
        <is>
          <t>Retail Trade</t>
        </is>
      </c>
      <c r="B328" s="93" t="n">
        <v>44682</v>
      </c>
      <c r="C328" t="inlineStr">
        <is>
          <t>“Chip shortage showing no signs of easing.”</t>
        </is>
      </c>
    </row>
    <row r="329">
      <c r="A329" t="inlineStr">
        <is>
          <t>Retail Trade</t>
        </is>
      </c>
      <c r="B329" s="93" t="n">
        <v>44652</v>
      </c>
      <c r="C329" t="inlineStr">
        <is>
          <t>“Continued delays due to supply chain logistics issues; increased pricing across the board.”</t>
        </is>
      </c>
    </row>
    <row r="330">
      <c r="A330" t="inlineStr">
        <is>
          <t>Retail Trade</t>
        </is>
      </c>
      <c r="B330" s="93" t="n">
        <v>44621</v>
      </c>
      <c r="C330" t="inlineStr">
        <is>
          <t>“Global supply chain issues continue to disrupt chip supply, which is suppressing production of new vehicles.”</t>
        </is>
      </c>
    </row>
    <row r="331">
      <c r="A331" t="inlineStr">
        <is>
          <t>Retail Trade</t>
        </is>
      </c>
      <c r="B331" s="93" t="n">
        <v>44562</v>
      </c>
      <c r="C331" t="inlineStr">
        <is>
          <t>“Business outlook remains cautiously optimistic, although uncertainty remains concerning the impact of omicron, inflation and the lack of major improvements to supply chain issues.”</t>
        </is>
      </c>
    </row>
    <row r="332">
      <c r="A332" t="inlineStr">
        <is>
          <t>Retail Trade</t>
        </is>
      </c>
      <c r="B332" s="93" t="n">
        <v>44531</v>
      </c>
      <c r="C332" t="inlineStr">
        <is>
          <t>“Long lead times, transportation bottlenecks, delivery inconsistency and price increases continue to affect a range of products.”</t>
        </is>
      </c>
    </row>
    <row r="333">
      <c r="A333" t="inlineStr">
        <is>
          <t>Retail Trade</t>
        </is>
      </c>
      <c r="B333" s="93" t="n">
        <v>44501</v>
      </c>
      <c r="C333" t="inlineStr">
        <is>
          <t>“Continuing struggle with transportation capacity.” [Retail Trade]</t>
        </is>
      </c>
    </row>
    <row r="334">
      <c r="A334" t="inlineStr">
        <is>
          <t>Retail Trade</t>
        </is>
      </c>
      <c r="B334" s="93" t="n">
        <v>44440</v>
      </c>
      <c r="C334" t="inlineStr">
        <is>
          <t>“Still experiencing very strong demand. Supply chain is still a challenge.” [Retail Trade]</t>
        </is>
      </c>
    </row>
    <row r="335">
      <c r="A335" t="inlineStr">
        <is>
          <t>Retail Trade</t>
        </is>
      </c>
      <c r="B335" s="93" t="n">
        <v>44409</v>
      </c>
      <c r="C335" t="inlineStr">
        <is>
          <t>A limited supply of critical items has caused us to expand our line of products and our supplier base. Services like ash cleaning, trash removal, internet installations and the like are experiencing staffing shortages, causing us to find alternative sources or adjust schedules. Travel has increased 60 percent since February for internal employees. [Retail Trade]</t>
        </is>
      </c>
    </row>
    <row r="336">
      <c r="A336" t="inlineStr">
        <is>
          <t>Retail Trade</t>
        </is>
      </c>
      <c r="B336" s="93" t="n">
        <v>44378</v>
      </c>
      <c r="C336" t="inlineStr">
        <is>
          <t>“Continued shortages in computer equipment (laptops and PCs) are challenging for fulfillment needs. Corporate travel has resumed, but we’re seeing many flight cancellations and car-rental shortages. Heating, ventilation and air conditioning (HVAC) repairs also impacted by longer than normal lead times for replacement units.” [Retail Trade]</t>
        </is>
      </c>
    </row>
    <row r="337">
      <c r="A337" t="inlineStr">
        <is>
          <t>Retail Trade</t>
        </is>
      </c>
      <c r="B337" s="93" t="n">
        <v>44348</v>
      </c>
      <c r="C337" t="inlineStr">
        <is>
          <t>Business conditions continue to rebound; however, like everywhere, the challenges in the supply chain are numerous. We continue to see cost increases, delayed shipments, pushed-out lead times, and no clarity as to when predictive balance returns to this market. [Retail Trade]</t>
        </is>
      </c>
    </row>
    <row r="338">
      <c r="A338" t="inlineStr">
        <is>
          <t>Retail Trade</t>
        </is>
      </c>
      <c r="B338" s="93" t="n">
        <v>44317</v>
      </c>
      <c r="C338" t="inlineStr">
        <is>
          <t>Very concerned about the rapid and continuing price escalations for any products with copper, steel, and polyvinyl chloride (PVC). Production issues and lead-time extensions are not improving. [Retail Trade]</t>
        </is>
      </c>
    </row>
    <row r="339">
      <c r="A339" t="inlineStr">
        <is>
          <t>Retail Trade</t>
        </is>
      </c>
      <c r="B339" s="93" t="n">
        <v>44256</v>
      </c>
      <c r="C339" t="inlineStr">
        <is>
          <t>“Outlook remains cautiously optimistic for the second half of the year as businesses continue to open up and projects come online.” (Retail Trade)</t>
        </is>
      </c>
    </row>
    <row r="340">
      <c r="A340" t="inlineStr">
        <is>
          <t>Retail Trade</t>
        </is>
      </c>
      <c r="B340" s="93" t="n">
        <v>44228</v>
      </c>
      <c r="C340" t="inlineStr">
        <is>
          <t>“Supplier deliveries continue to be an issue as well as lead-times. Additionally, price increases are occurring with more frequency for products containing raw materials such as copper and steel.” (Retail Trade)</t>
        </is>
      </c>
    </row>
    <row r="341">
      <c r="A341" t="inlineStr">
        <is>
          <t>Retail Trade</t>
        </is>
      </c>
      <c r="B341" s="93" t="n">
        <v>44197</v>
      </c>
      <c r="C341" t="inlineStr">
        <is>
          <t>“Business outlook for 2021 looks better. Companies are optimistic that conditions will start improving by the end of the second quarter.” (Retail Trade)</t>
        </is>
      </c>
    </row>
    <row r="342">
      <c r="A342" t="inlineStr">
        <is>
          <t>Retail Trade</t>
        </is>
      </c>
      <c r="B342" s="93" t="n">
        <v>44136</v>
      </c>
      <c r="C342" t="inlineStr">
        <is>
          <t>"Remote working has continued to impact our ability to obtain standard equipment such as iPads, printers and PCs for our stores and employees, who require these items to operate our approximately 800 retail locations. Most items are on a 30 to 60 day back order from our suppliers." (Retail Trade)</t>
        </is>
      </c>
    </row>
    <row r="343">
      <c r="A343" t="inlineStr">
        <is>
          <t>Retail Trade</t>
        </is>
      </c>
      <c r="B343" s="93" t="n">
        <v>44105</v>
      </c>
      <c r="C343" t="inlineStr">
        <is>
          <t>“We continue to be cautiously optimistic that the rebound in business that began in July continues to sustain.” (Retail Trade)</t>
        </is>
      </c>
    </row>
    <row r="344">
      <c r="A344" t="inlineStr">
        <is>
          <t>Retail Trade</t>
        </is>
      </c>
      <c r="B344" s="93" t="n">
        <v>44075</v>
      </c>
      <c r="C344" t="inlineStr">
        <is>
          <t>“Business has come back solidly since mid-July, with a strong August and September. However, suppliers are plagued with lead-time challenges driven by (1) cautionary practices in terms of rebuilding capacity, (2) hiring difficulties for those trying to build capacity and (3) the impact of recent hurricanes in some regions.” (Retail Trade)</t>
        </is>
      </c>
    </row>
    <row r="345">
      <c r="A345" t="inlineStr">
        <is>
          <t>Retail Trade</t>
        </is>
      </c>
      <c r="B345" s="93" t="n">
        <v>44044</v>
      </c>
      <c r="C345" t="inlineStr">
        <is>
          <t>“The coronavirus continues to be a challenge for the business as we pivot and adapt to these new conditions. Sales have been affected in the retail space with less foot traffic in our brick-and-mortar stores, while e-commerce sales have increased significantly. We are starting to see sales level out in this new environment from the pandemic.” (Retail Trade)</t>
        </is>
      </c>
    </row>
    <row r="346">
      <c r="A346" t="inlineStr">
        <is>
          <t>Retail Trade</t>
        </is>
      </c>
      <c r="B346" s="93" t="n">
        <v>44013</v>
      </c>
      <c r="C346" t="inlineStr">
        <is>
          <t>"Retail sales have continued to increase month over month, likely due to the general reopening of the economy. Mask mandates have been put in place for almost every market we operate in, causing an increased need for supply of masks for employees and customers." (Retail Trade)</t>
        </is>
      </c>
    </row>
    <row r="347">
      <c r="A347" t="inlineStr">
        <is>
          <t>Retail Trade</t>
        </is>
      </c>
      <c r="B347" s="93" t="n">
        <v>43952</v>
      </c>
      <c r="C347" t="inlineStr">
        <is>
          <t>“COVID-19 has had the largest impact on our company; however, we successfully kept 90 percent of our retail locations open to the public while implementing intense cleaning procedures and safety protocols. Our entire 300+ headquarters has been set up to work remotely to support our retail locations.” (Retail Trade)</t>
        </is>
      </c>
    </row>
    <row r="348">
      <c r="A348" t="inlineStr">
        <is>
          <t>Retail Trade</t>
        </is>
      </c>
      <c r="B348" s="93" t="n">
        <v>43922</v>
      </c>
      <c r="C348" t="inlineStr">
        <is>
          <t>“New challenges working from home and getting inventory to the retail locations.” (Retail Trade)</t>
        </is>
      </c>
    </row>
    <row r="349">
      <c r="A349" t="inlineStr">
        <is>
          <t>Retail Trade</t>
        </is>
      </c>
      <c r="B349" s="93" t="n">
        <v>43891</v>
      </c>
      <c r="C349" t="inlineStr">
        <is>
          <t>“As expected for many industries (whether manufacturing or non-manufacturing), purchasing has slowed as we evaluate the economic climate and prepare for long-term effects.” (Retail Trade)</t>
        </is>
      </c>
    </row>
    <row r="350">
      <c r="A350" t="inlineStr">
        <is>
          <t>Retail Trade</t>
        </is>
      </c>
      <c r="B350" s="93" t="n">
        <v>43862</v>
      </c>
      <c r="C350" t="inlineStr">
        <is>
          <t>“A post-holiday slow period for retail. Business is strong overall; however, volume and inventories are lower due to the season. Pricing is still in check, with specialty labor the primary price risk.” (Retail Trade)</t>
        </is>
      </c>
    </row>
    <row r="351">
      <c r="A351" t="inlineStr">
        <is>
          <t>Retail Trade</t>
        </is>
      </c>
      <c r="B351" s="93" t="n">
        <v>43800</v>
      </c>
      <c r="C351" t="inlineStr">
        <is>
          <t>"The shorter-than-normal holiday season tightens sales opportunities; however, initial trends have been favorable." (Retail Trade)</t>
        </is>
      </c>
    </row>
    <row r="352">
      <c r="A352" t="inlineStr">
        <is>
          <t>Retail Trade</t>
        </is>
      </c>
      <c r="B352" s="93" t="n">
        <v>43709</v>
      </c>
      <c r="C352" t="inlineStr">
        <is>
          <t>“Business continues to pick up as we quickly approach Q4. Week by week, we inch closer to a much-anticipated holiday retail season, which requires not only last-minute buys, but a push to fill open positions.” (Retail Trade)</t>
        </is>
      </c>
    </row>
    <row r="353">
      <c r="A353" t="inlineStr">
        <is>
          <t>Retail Trade</t>
        </is>
      </c>
      <c r="B353" s="93" t="n">
        <v>43678</v>
      </c>
      <c r="C353" t="inlineStr">
        <is>
          <t>“As Q2 wraps up for many retailers, we begin focusing on holiday readiness. In turn, head count and requests for additional products and services will gradually increase.” (Retail Trade)</t>
        </is>
      </c>
    </row>
    <row r="354">
      <c r="A354" t="inlineStr">
        <is>
          <t>Retail Trade</t>
        </is>
      </c>
      <c r="B354" s="93" t="n">
        <v>43647</v>
      </c>
      <c r="C354" t="inlineStr">
        <is>
          <t>“As our corporate objectives drive us more and more into digitization, advanced analytics, and data management in general, we are finding it increasingly difficult to find, develop and retain professional with advanced skills in these disciplines.” (Retail Trade)</t>
        </is>
      </c>
    </row>
    <row r="355">
      <c r="A355" t="inlineStr">
        <is>
          <t>Retail Trade</t>
        </is>
      </c>
      <c r="B355" s="93" t="n">
        <v>43617</v>
      </c>
      <c r="C355" t="inlineStr">
        <is>
          <t>“The largest business condition impacting general purchasing operations is the increased cost of goods due to the tariffs placed on China.” (Retail Trade)</t>
        </is>
      </c>
    </row>
    <row r="356">
      <c r="A356" t="inlineStr">
        <is>
          <t>Retail Trade</t>
        </is>
      </c>
      <c r="B356" s="93" t="n">
        <v>43586</v>
      </c>
      <c r="C356" t="inlineStr">
        <is>
          <t>“We reported very strong Q1 results and raised our FY guidance. However, our stock has traded down due to the continued uncertainty in healthcare/Rx. There is a concern that tariffs on pharmaceuticals could be on the horizon.” (Retail Trade)</t>
        </is>
      </c>
    </row>
    <row r="357">
      <c r="A357" t="inlineStr">
        <is>
          <t>Retail Trade</t>
        </is>
      </c>
      <c r="B357" s="93" t="n">
        <v>43556</v>
      </c>
      <c r="C357" t="inlineStr">
        <is>
          <t>·         “Continuing momentum in most areas. We continue to have pressure finding talent to support open positions. Starting to see increases in building costs due to increases in labor [costs]. Inventory moving well, with deliveries on time.” (Retail Trade)</t>
        </is>
      </c>
    </row>
    <row r="358">
      <c r="A358" t="inlineStr">
        <is>
          <t>Retail Trade</t>
        </is>
      </c>
      <c r="B358" s="93" t="n">
        <v>43497</v>
      </c>
      <c r="C358" t="inlineStr">
        <is>
          <t>“Confidence is returning in the marketplace, but tariff surcharges are still in place.” (Retail Trade)</t>
        </is>
      </c>
    </row>
    <row r="359">
      <c r="A359" t="inlineStr">
        <is>
          <t>Retail Trade</t>
        </is>
      </c>
      <c r="B359" s="93" t="n">
        <v>43466</v>
      </c>
      <c r="C359" t="inlineStr">
        <is>
          <t>·         “Things are steady. We’re trying to mitigate any impact of the tariffs.” (Retail Trade)</t>
        </is>
      </c>
    </row>
    <row r="360">
      <c r="A360" t="inlineStr">
        <is>
          <t>Transportation &amp; Warehousing</t>
        </is>
      </c>
      <c r="B360" s="93" t="n">
        <v>44501</v>
      </c>
      <c r="C360" t="inlineStr">
        <is>
          <t>“The COVID-19 surge, inventory shortages, driver and maintenance worker shortages, and long lead times for materials are straining our system. This limits our ability to keep vehicles on the road and necessary services running on schedule.” [Transportation &amp; Warehousing]</t>
        </is>
      </c>
    </row>
    <row r="361">
      <c r="A361" t="inlineStr">
        <is>
          <t>Transportation &amp; Warehousing</t>
        </is>
      </c>
      <c r="B361" s="93" t="n">
        <v>44348</v>
      </c>
      <c r="C361" t="inlineStr">
        <is>
          <t>“Demand far outweighs supply for goods and services.” [Transportation &amp; Warehousing]</t>
        </is>
      </c>
    </row>
    <row r="362">
      <c r="A362" t="inlineStr">
        <is>
          <t>Transportation &amp; Warehousing</t>
        </is>
      </c>
      <c r="B362" s="93" t="n">
        <v>44166</v>
      </c>
      <c r="C362" t="inlineStr">
        <is>
          <t>Business conditions are improving with increased volume, but [growth has] slowed slightly due to COVID-19 shutdowns in some states. (Transportation &amp; Warehousing)</t>
        </is>
      </c>
    </row>
    <row r="363">
      <c r="A363" t="inlineStr">
        <is>
          <t>Transportation &amp; Warehousing</t>
        </is>
      </c>
      <c r="B363" s="93" t="n">
        <v>43862</v>
      </c>
      <c r="C363" t="inlineStr">
        <is>
          <t>“A shortage of workers at several levels is impacting the quality of employees we are looking to hire for capital projects we need to start.” (Transportation &amp; Warehousing</t>
        </is>
      </c>
    </row>
    <row r="364">
      <c r="A364" t="inlineStr">
        <is>
          <t>Transportation &amp; Warehousing</t>
        </is>
      </c>
      <c r="B364" s="93" t="n">
        <v>43770</v>
      </c>
      <c r="C364" t="inlineStr">
        <is>
          <t>“Fourth-quarter seasonal retail volume increase is affecting labor hours, temporary labor demand and availability of short-term rental trailers to compensate for overflow.” (Transportation &amp; Warehousing)</t>
        </is>
      </c>
    </row>
    <row r="365">
      <c r="A365" t="inlineStr">
        <is>
          <t>Transportation &amp; Warehousing</t>
        </is>
      </c>
      <c r="B365" s="93" t="n">
        <v>43739</v>
      </c>
      <c r="C365" t="inlineStr">
        <is>
          <t>“Preparing for an increase in holiday revenues.” (Transportation &amp; Warehousing)</t>
        </is>
      </c>
    </row>
    <row r="366">
      <c r="A366" t="inlineStr">
        <is>
          <t>Transportation &amp; Warehousing</t>
        </is>
      </c>
      <c r="B366" s="93" t="n">
        <v>43678</v>
      </c>
      <c r="C366" t="inlineStr">
        <is>
          <t>“Our summer load factor was high, and as we transition to the holiday season, we are forecasting a high load as well.” (Transportation &amp; Warehousing)</t>
        </is>
      </c>
    </row>
    <row r="367">
      <c r="A367" t="inlineStr">
        <is>
          <t>Transportation &amp; Warehousing</t>
        </is>
      </c>
      <c r="B367" s="93" t="n">
        <v>43617</v>
      </c>
      <c r="C367" t="inlineStr">
        <is>
          <t>“Business continues to run well, [with] indications of slowing customer demand and improvement in supplier delivery performance.” (Transportation &amp; Warehousing)</t>
        </is>
      </c>
    </row>
    <row r="368">
      <c r="A368" t="inlineStr">
        <is>
          <t>Transportation &amp; Warehousing</t>
        </is>
      </c>
      <c r="B368" s="93" t="n">
        <v>43525</v>
      </c>
      <c r="C368" t="inlineStr">
        <is>
          <t>“Labor, weather and regulatory issues have impacted operations.” (Transportation &amp; Warehousing)</t>
        </is>
      </c>
    </row>
    <row r="369">
      <c r="A369" t="inlineStr">
        <is>
          <t>Transportation &amp; Warehousing</t>
        </is>
      </c>
      <c r="B369" s="93" t="n">
        <v>43466</v>
      </c>
      <c r="C369" t="inlineStr">
        <is>
          <t>·         “Central processing unit (CPU) shortages continue to impact fulfillment of orders.” (Transportation &amp; Warehousing)</t>
        </is>
      </c>
    </row>
    <row r="370">
      <c r="A370" t="inlineStr">
        <is>
          <t>Utilities</t>
        </is>
      </c>
      <c r="B370" s="93" t="n">
        <v>44713</v>
      </c>
      <c r="C370" t="inlineStr">
        <is>
          <t>“Despite higher inflation and energy costs, demand and business activity continue to be at record highs, with little sign of a slowdown.”</t>
        </is>
      </c>
    </row>
    <row r="371">
      <c r="A371" t="inlineStr">
        <is>
          <t>Utilities</t>
        </is>
      </c>
      <c r="B371" s="93" t="n">
        <v>44682</v>
      </c>
      <c r="C371" t="inlineStr">
        <is>
          <t>“Exhausting. Continuous shortages, transportation delays and price increases all contribute to the destruction of historical lead times and firm commitments on delivery dates. This requires placing orders earlier and qualifying secondary sources. It is relentless.”</t>
        </is>
      </c>
    </row>
    <row r="372">
      <c r="A372" t="inlineStr">
        <is>
          <t>Utilities</t>
        </is>
      </c>
      <c r="B372" s="93" t="n">
        <v>44652</v>
      </c>
      <c r="C372" t="inlineStr">
        <is>
          <t>“Fuel and chemicals continue to go up in price.”</t>
        </is>
      </c>
    </row>
    <row r="373">
      <c r="A373" t="inlineStr">
        <is>
          <t>Utilities</t>
        </is>
      </c>
      <c r="B373" s="93" t="n">
        <v>44621</v>
      </c>
      <c r="C373" t="inlineStr">
        <is>
          <t>“We are still seeing raw material subcomponent shortages, transportation delays and price increases.”</t>
        </is>
      </c>
    </row>
    <row r="374">
      <c r="A374" t="inlineStr">
        <is>
          <t>Utilities</t>
        </is>
      </c>
      <c r="B374" s="93" t="n">
        <v>44593</v>
      </c>
      <c r="C374" t="inlineStr">
        <is>
          <t>“Appear to be on the upswing from COVID-19 from an absenteeism standpoint. Still dealing with long lead times for wire, polyvinyl chloride (PVC), steel, transformers and meters. Winter weather has not had an impact on productivity levels.”</t>
        </is>
      </c>
    </row>
    <row r="375">
      <c r="A375" t="inlineStr">
        <is>
          <t>Utilities</t>
        </is>
      </c>
      <c r="B375" s="93" t="n">
        <v>44562</v>
      </c>
      <c r="C375" t="inlineStr">
        <is>
          <t>“Business activity is very high, and we have maintained a consistent amount of back orders. Labor constraints are presenting problems throughout all areas of the business.”</t>
        </is>
      </c>
    </row>
    <row r="376">
      <c r="A376" t="inlineStr">
        <is>
          <t>Utilities</t>
        </is>
      </c>
      <c r="B376" s="93" t="n">
        <v>44531</v>
      </c>
      <c r="C376" t="inlineStr">
        <is>
          <t>“We continue to experience supply chain disruptions across the nation and around the globe, resulting in raw material and subcomponent shortages, longer manufacturer lead times, transportation resource constraints, labor pool issues and significant price increases. Supply management continues to recommend pulling in demand, placing orders earlier than historical lead times for long lead-time materials, and qualifying secondary sources of supply (if applicable).”</t>
        </is>
      </c>
    </row>
    <row r="377">
      <c r="A377" t="inlineStr">
        <is>
          <t>Utilities</t>
        </is>
      </c>
      <c r="B377" s="93" t="n">
        <v>44287</v>
      </c>
      <c r="C377" t="inlineStr">
        <is>
          <t>“We continue to deal with extended delivery lead times and high costs. Stress on the supply chain beginning to be reflected in the quality of products offered and delivered. Current buying strategy is to wait — except with equipment, as (price) increases are expected.” [Utilities]</t>
        </is>
      </c>
    </row>
    <row r="378">
      <c r="A378" t="inlineStr">
        <is>
          <t>Utilities</t>
        </is>
      </c>
      <c r="B378" s="93" t="n">
        <v>44228</v>
      </c>
      <c r="C378" t="inlineStr">
        <is>
          <t>“Construction and customer activity remains robust. Many materials have inconsistent lead times or are facing delivery delays.” (Utilities)</t>
        </is>
      </c>
    </row>
    <row r="379">
      <c r="A379" t="inlineStr">
        <is>
          <t>Utilities</t>
        </is>
      </c>
      <c r="B379" s="93" t="n">
        <v>44197</v>
      </c>
      <c r="C379" t="inlineStr">
        <is>
          <t>“Business outlook for 2021 is positive with projects and capital investments moving forward. Target financial objectives have been obtained.” (Utilities)</t>
        </is>
      </c>
    </row>
    <row r="380">
      <c r="A380" t="inlineStr">
        <is>
          <t>Utilities</t>
        </is>
      </c>
      <c r="B380" s="93" t="n">
        <v>44166</v>
      </c>
      <c r="C380" t="inlineStr">
        <is>
          <t>The general business conditions are steady/stable. Expecting a very slight slowdown to end the year, with a rebound in mid-January. (Utilities)</t>
        </is>
      </c>
    </row>
    <row r="381">
      <c r="A381" t="inlineStr">
        <is>
          <t>Utilities</t>
        </is>
      </c>
      <c r="B381" s="93" t="n">
        <v>44013</v>
      </c>
      <c r="C381" t="inlineStr">
        <is>
          <t>"Orders and business activity are back to pre-pandemic levels. Previously stalled projects are starting back up." (Utilities)</t>
        </is>
      </c>
    </row>
    <row r="382">
      <c r="A382" t="inlineStr">
        <is>
          <t>Utilities</t>
        </is>
      </c>
      <c r="B382" s="93" t="n">
        <v>43800</v>
      </c>
      <c r="C382" t="inlineStr">
        <is>
          <t>"We are seeing extended lead times for already purchased materials across the board. Suppliers, as well, are warning that they are seeing longer lead times for engineered and manufactured goods." (Utilities)</t>
        </is>
      </c>
    </row>
    <row r="383">
      <c r="A383" t="inlineStr">
        <is>
          <t>Utilities</t>
        </is>
      </c>
      <c r="B383" s="93" t="n">
        <v>43586</v>
      </c>
      <c r="C383" t="inlineStr">
        <is>
          <t>“Waiting to see [the] impact of Chinese import tariff affect.” (Utilities)</t>
        </is>
      </c>
    </row>
    <row r="384">
      <c r="A384" t="inlineStr">
        <is>
          <t>Utilities</t>
        </is>
      </c>
      <c r="B384" s="93" t="n">
        <v>43497</v>
      </c>
      <c r="C384" t="inlineStr">
        <is>
          <t>“Tariffs continue to have an impact on our business. The contractor labor shortage continues to be the biggest supply challenge for our company and others in our region and industry.” (Utilities)</t>
        </is>
      </c>
    </row>
    <row r="385">
      <c r="A385" t="inlineStr">
        <is>
          <t>Wholesale Trade</t>
        </is>
      </c>
      <c r="B385" s="93" t="n">
        <v>44682</v>
      </c>
      <c r="C385" t="inlineStr">
        <is>
          <t>“National consumer and builder demand continues to drive sales domestically. COVID-19 in China continues to affect our supply chain more than the Russia-Ukraine war.”</t>
        </is>
      </c>
    </row>
    <row r="386">
      <c r="A386" t="inlineStr">
        <is>
          <t>Wholesale Trade</t>
        </is>
      </c>
      <c r="B386" s="93" t="n">
        <v>44652</v>
      </c>
      <c r="C386" t="inlineStr">
        <is>
          <t>“Cost pressures beginning to slow demand.”</t>
        </is>
      </c>
    </row>
    <row r="387">
      <c r="A387" t="inlineStr">
        <is>
          <t>Wholesale Trade</t>
        </is>
      </c>
      <c r="B387" s="93" t="n">
        <v>44621</v>
      </c>
      <c r="C387" t="inlineStr">
        <is>
          <t>“Constrained supply of many key product groups continues. Inflation worsening. Overall sales and profitability continue to be strong.”</t>
        </is>
      </c>
    </row>
    <row r="388">
      <c r="A388" t="inlineStr">
        <is>
          <t>Wholesale Trade</t>
        </is>
      </c>
      <c r="B388" s="93" t="n">
        <v>44562</v>
      </c>
      <c r="C388" t="inlineStr">
        <is>
          <t>“Constrained supplies of many key product groups continue. Inflation worsening; however, sales and profitability continue to be strong.”</t>
        </is>
      </c>
    </row>
    <row r="389">
      <c r="A389" t="inlineStr">
        <is>
          <t>Wholesale Trade</t>
        </is>
      </c>
      <c r="B389" s="93" t="n">
        <v>44531</v>
      </c>
      <c r="C389" t="inlineStr">
        <is>
          <t>“Demand is good, but supply chain issues continue to get worse. Trucking availability is worsening. Labor shortages are causing issues. We could do much more business if we had more people and access to more products.”</t>
        </is>
      </c>
    </row>
    <row r="390">
      <c r="A390" t="inlineStr">
        <is>
          <t>Wholesale Trade</t>
        </is>
      </c>
      <c r="B390" s="93" t="n">
        <v>44501</v>
      </c>
      <c r="C390" t="inlineStr">
        <is>
          <t>“Inflation and supply chain issues have caused cost increases and stockouts, but sales continue to be strong, with a positive outlook for the next quarter and beyond.” [Wholesale Trade]</t>
        </is>
      </c>
    </row>
    <row r="391">
      <c r="A391" t="inlineStr">
        <is>
          <t>Wholesale Trade</t>
        </is>
      </c>
      <c r="B391" s="93" t="n">
        <v>44470</v>
      </c>
      <c r="C391" t="inlineStr">
        <is>
          <t>“In general, we still have very strong business activity throughout our business channels. This is despite a very challenging business environment of increasing costs, a very difficult employee retention and hiring environment, and massive logistical backlogs. These issues have forced us to lower our top-line sales forecast slightly, due to a lack of supply and throughput challenges. Where possible, we are looking for substitute products to sell. We are still projecting to be well above last year for the month.” [Wholesale Trade]</t>
        </is>
      </c>
    </row>
    <row r="392">
      <c r="A392" t="inlineStr">
        <is>
          <t>Wholesale Trade</t>
        </is>
      </c>
      <c r="B392" s="93" t="n">
        <v>44440</v>
      </c>
      <c r="C392" t="inlineStr">
        <is>
          <t>“Continued constrained supply of many key product groups. Also, inflationary pressures in most areas of the business keep driving costs higher. Inconsistent COVID-19 restrictions throughout the country are creating unstable business conditions that are concerning. However, business continues to be strong overall.” [Wholesale Trade]</t>
        </is>
      </c>
    </row>
    <row r="393">
      <c r="A393" t="inlineStr">
        <is>
          <t>Wholesale Trade</t>
        </is>
      </c>
      <c r="B393" s="93" t="n">
        <v>44409</v>
      </c>
      <c r="C393" t="inlineStr">
        <is>
          <t>Steel shortages continue. Labor constraints at suppliers continue to push delivery dates out. Logistics issues (are also ongoing), as container space, truck drivers and the like remain difficult to obtain. [Wholesale Trade]</t>
        </is>
      </c>
    </row>
    <row r="394">
      <c r="A394" t="inlineStr">
        <is>
          <t>Wholesale Trade</t>
        </is>
      </c>
      <c r="B394" s="93" t="n">
        <v>44378</v>
      </c>
      <c r="C394" t="inlineStr">
        <is>
          <t>“Ocean freight costs have created a negative impact to our business. The congestions at (the ports of) Long Beach/Los Angeles and Seattle have increased lead time by 15 days. Additional delays are occurring at the Chicago rail yard, (causing) two to three weeks of additional lead time.” [Wholesale Trade]</t>
        </is>
      </c>
    </row>
    <row r="395">
      <c r="A395" t="inlineStr">
        <is>
          <t>Wholesale Trade</t>
        </is>
      </c>
      <c r="B395" s="93" t="n">
        <v>44348</v>
      </c>
      <c r="C395" t="inlineStr">
        <is>
          <t>Overall business activity in the month has been strong. We are seeing increased orders and slight improvements in backlogs. The primary headwinds this month continue to be very expensive ocean freight rates, increasing business costs and increasing raw-materials costs. The top line is not outrunning expenses. [Wholesale Trade]</t>
        </is>
      </c>
    </row>
    <row r="396">
      <c r="A396" t="inlineStr">
        <is>
          <t>Wholesale Trade</t>
        </is>
      </c>
      <c r="B396" s="93" t="n">
        <v>44317</v>
      </c>
      <c r="C396" t="inlineStr">
        <is>
          <t>Business is doing good, exceeding sales target, but we have challenging issues with (1) increases in raw-materials costs and freight rates, (2) huge freight delays from overseas and (3) continued U.S. port delays. The (COVID-19 surges) in India and Taiwan are also causing delays on product availability/shipments. [Wholesale Trade]</t>
        </is>
      </c>
    </row>
    <row r="397">
      <c r="A397" t="inlineStr">
        <is>
          <t>Wholesale Trade</t>
        </is>
      </c>
      <c r="B397" s="93" t="n">
        <v>44287</v>
      </c>
      <c r="C397" t="inlineStr">
        <is>
          <t>Business is very robust, but logistics and supply cannot keep up. (Wholesale Trade)</t>
        </is>
      </c>
    </row>
    <row r="398">
      <c r="A398" t="inlineStr">
        <is>
          <t>Wholesale Trade</t>
        </is>
      </c>
      <c r="B398" s="93" t="n">
        <v>44256</v>
      </c>
      <c r="C398" t="inlineStr">
        <is>
          <t>“Overall, there are still delays in import shipments of goods, though [the situation has] slightly improved. The market forecast on ocean shipments and logistics is still the same for next quarter; improvements might be seen in Q3. COVID-19 issues continue to impact demand and supply across the globe, and the new stimulus aid is expected to help the economy and lead to an increase in retail spending over the next few months.” (Wholesale Trade)</t>
        </is>
      </c>
    </row>
    <row r="399">
      <c r="A399" t="inlineStr">
        <is>
          <t>Wholesale Trade</t>
        </is>
      </c>
      <c r="B399" s="93" t="n">
        <v>44228</v>
      </c>
      <c r="C399" t="inlineStr">
        <is>
          <t>“We are seeing an ongoing influx of price increases due to raw-material shortages, labor shortages, and transportation delays.” (Wholesale Trade)</t>
        </is>
      </c>
    </row>
    <row r="400">
      <c r="A400" t="inlineStr">
        <is>
          <t>Wholesale Trade</t>
        </is>
      </c>
      <c r="B400" s="93" t="n">
        <v>44197</v>
      </c>
      <c r="C400" t="inlineStr">
        <is>
          <t>Good start to the year; business has promising growth. Market conditions are still affected by logistics issues, both domestic and international. Also, prices for raw material prices and freight are increasing up, by 4 percent to 13 percent.” (Wholesale Trade)</t>
        </is>
      </c>
    </row>
    <row r="401">
      <c r="A401" t="inlineStr">
        <is>
          <t>Wholesale Trade</t>
        </is>
      </c>
      <c r="B401" s="93" t="n">
        <v>44166</v>
      </c>
      <c r="C401" t="inlineStr">
        <is>
          <t>"We have seen a growing number of product shortages and increased lead times during the last quarter. (Wholesale Trade)</t>
        </is>
      </c>
    </row>
    <row r="402">
      <c r="A402" t="inlineStr">
        <is>
          <t>Wholesale Trade</t>
        </is>
      </c>
      <c r="B402" s="93" t="n">
        <v>44105</v>
      </c>
      <c r="C402" t="inlineStr">
        <is>
          <t>“Business continues to gain as people are travelling and businesses are opening up to consumers.” (Wholesale Trade)</t>
        </is>
      </c>
    </row>
    <row r="403">
      <c r="A403" t="inlineStr">
        <is>
          <t>Wholesale Trade</t>
        </is>
      </c>
      <c r="B403" s="93" t="n">
        <v>44044</v>
      </c>
      <c r="C403" t="inlineStr">
        <is>
          <t>“Very good sales trend in home-improvement product sales, but challenges on market conditions exist like limited ocean capacity from Asia to U.S., delays in port and rails as a result of COVID-19 pandemic impact.” (Wholesale Trade)</t>
        </is>
      </c>
    </row>
    <row r="404">
      <c r="A404" t="inlineStr">
        <is>
          <t>Wholesale Trade</t>
        </is>
      </c>
      <c r="B404" s="93" t="n">
        <v>43952</v>
      </c>
      <c r="C404" t="inlineStr">
        <is>
          <t>“Business is slightly picking up but is still drastically down due to COVID-19 and hospitality businesses being closed or limited in service.” (Wholesale Trade)</t>
        </is>
      </c>
    </row>
    <row r="405">
      <c r="A405" t="inlineStr">
        <is>
          <t>Wholesale Trade</t>
        </is>
      </c>
      <c r="B405" s="93" t="n">
        <v>43922</v>
      </c>
      <c r="C405" t="inlineStr">
        <is>
          <t>“As an essential business, we have remained open during the month. A significant number of our customers are closed (i.e. schools) and other have substantially reduced their buying (i.e. hotels, office building). Sales of janitorial, sanitation, and paper products [have] increased across all business lines, but other categories are greatly reduced. Overall, reduction in sales of 20 percent to 30 percent.” (Wholesale Trade)</t>
        </is>
      </c>
    </row>
    <row r="406">
      <c r="A406" t="inlineStr">
        <is>
          <t>Wholesale Trade</t>
        </is>
      </c>
      <c r="B406" s="93" t="n">
        <v>43831</v>
      </c>
      <c r="C406" t="inlineStr">
        <is>
          <t>“Activity is fair overall, but with regional ups and downs. The West in general has been favorable due to snowfall increasing sales activity, while the East has been down due to warmer weather in key winter tire markets. Optimism for the month, however, is good.” (Wholesale Trade)</t>
        </is>
      </c>
    </row>
    <row r="407">
      <c r="A407" t="inlineStr">
        <is>
          <t>Wholesale Trade</t>
        </is>
      </c>
      <c r="B407" s="93" t="n">
        <v>43800</v>
      </c>
      <c r="C407" t="inlineStr">
        <is>
          <t>"Overall business is down from this time last year, but sales have increased over the last month, causing more buys with our suppliers." (Wholesale Trade)</t>
        </is>
      </c>
    </row>
    <row r="408">
      <c r="A408" t="inlineStr">
        <is>
          <t>Wholesale Trade</t>
        </is>
      </c>
      <c r="B408" s="93" t="n">
        <v>43739</v>
      </c>
      <c r="C408" t="inlineStr">
        <is>
          <t>"Business is still lower than this time last year due to tariff issues and a soft market.” (Wholesale Trade)</t>
        </is>
      </c>
    </row>
    <row r="409">
      <c r="A409" t="inlineStr">
        <is>
          <t>Wholesale Trade</t>
        </is>
      </c>
      <c r="B409" s="93" t="n">
        <v>43647</v>
      </c>
      <c r="C409" t="inlineStr">
        <is>
          <t>“Business is somewhat slow for the first half of 2019, but it is expected to pick up for the second half.” (Wholesale Trade)</t>
        </is>
      </c>
    </row>
    <row r="410">
      <c r="A410" t="inlineStr">
        <is>
          <t>Wholesale Trade</t>
        </is>
      </c>
      <c r="B410" s="93" t="n">
        <v>43617</v>
      </c>
      <c r="C410" t="inlineStr">
        <is>
          <t>“The continued restructuring of ocean-carrier routing is still causing havoc in the supply chain. We are experiencing minimal impact due to an increase in inventory levels.” (Wholesale Trade)</t>
        </is>
      </c>
    </row>
    <row r="411">
      <c r="A411" t="inlineStr">
        <is>
          <t>Wholesale Trade</t>
        </is>
      </c>
      <c r="B411" s="93" t="n">
        <v>43556</v>
      </c>
      <c r="C411" t="inlineStr">
        <is>
          <t>·         “We had a general slowing of business activity beginning in February. We initially believed that February’s slowness was primarily weather related, but the slowness continued into March and now April.” (Wholesale Trade)</t>
        </is>
      </c>
    </row>
    <row r="412">
      <c r="A412" t="inlineStr">
        <is>
          <t>Wholesale Trade</t>
        </is>
      </c>
      <c r="B412" s="93" t="n">
        <v>43497</v>
      </c>
      <c r="C412" t="inlineStr">
        <is>
          <t>“Seeing increases in business activity. Projecting strong sales for the month, stable prices and generally good fill rates from suppliers. Some spot outages, mostly due to capacity and planning limitations or shortfalls.” (Wholesale Trade)</t>
        </is>
      </c>
    </row>
    <row r="413">
      <c r="A413" t="inlineStr">
        <is>
          <t>Wholesale Trade</t>
        </is>
      </c>
      <c r="B413" s="93" t="n">
        <v>43466</v>
      </c>
      <c r="C413" t="inlineStr">
        <is>
          <t>·         “The shutdown and potential delay in tax refunds will hurt our business.” (Wholesale Trade)</t>
        </is>
      </c>
    </row>
  </sheetData>
  <pageMargins left="0.7" right="0.7" top="0.75" bottom="0.75" header="0.3" footer="0.3"/>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dc:creator xmlns:dc="http://purl.org/dc/elements/1.1/">g.dupont</dc:creator>
  <dcterms:created xmlns:dcterms="http://purl.org/dc/terms/" xmlns:xsi="http://www.w3.org/2001/XMLSchema-instance" xsi:type="dcterms:W3CDTF">2018-01-16T08:15:19Z</dcterms:created>
  <dcterms:modified xmlns:dcterms="http://purl.org/dc/terms/" xmlns:xsi="http://www.w3.org/2001/XMLSchema-instance" xsi:type="dcterms:W3CDTF">2022-07-22T13:11:23Z</dcterms:modified>
  <cp:lastModifiedBy>Mark Mukherjee</cp:lastModifiedBy>
</cp:coreProperties>
</file>