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Services'!$A$6:$A$309</f>
              <numCache>
                <formatCode>m/d/yyyy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Services'!$B$6:$B$309</f>
              <numCache>
                <formatCode>General</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Sectors!$B$6:$B$11</f>
              <numCache>
                <formatCode>General</formatCode>
                <ptCount val="6"/>
                <pt idx="0">
                  <v>6</v>
                </pt>
                <pt idx="1">
                  <v>14</v>
                </pt>
                <pt idx="2">
                  <v>0</v>
                </pt>
                <pt idx="3">
                  <v>3</v>
                </pt>
                <pt idx="4">
                  <v>9</v>
                </pt>
                <pt idx="5">
                  <v>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Sectors!$C$6:$C$11</f>
              <numCache>
                <formatCode>General</formatCode>
                <ptCount val="6"/>
                <pt idx="0">
                  <v>2</v>
                </pt>
                <pt idx="1">
                  <v>5</v>
                </pt>
                <pt idx="2">
                  <v>2</v>
                </pt>
                <pt idx="3">
                  <v>10</v>
                </pt>
                <pt idx="4">
                  <v>13</v>
                </pt>
                <pt idx="5">
                  <v>12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Sectors!$D$6:$D$11</f>
              <numCache>
                <formatCode>General</formatCode>
                <ptCount val="6"/>
                <pt idx="0">
                  <v>18</v>
                </pt>
                <pt idx="1">
                  <v>18</v>
                </pt>
                <pt idx="2">
                  <v>0</v>
                </pt>
                <pt idx="3">
                  <v>15</v>
                </pt>
                <pt idx="4">
                  <v>18</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Sectors!$E$6:$E$11</f>
              <numCache>
                <formatCode>General</formatCode>
                <ptCount val="6"/>
                <pt idx="0">
                  <v>10</v>
                </pt>
                <pt idx="1">
                  <v>2</v>
                </pt>
                <pt idx="2">
                  <v>3</v>
                </pt>
                <pt idx="3">
                  <v>14</v>
                </pt>
                <pt idx="4">
                  <v>7</v>
                </pt>
                <pt idx="5">
                  <v>4</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Sectors!$F$6:$F$11</f>
              <numCache>
                <formatCode>General</formatCode>
                <ptCount val="6"/>
                <pt idx="0">
                  <v>3</v>
                </pt>
                <pt idx="1">
                  <v>4</v>
                </pt>
                <pt idx="2">
                  <v>4</v>
                </pt>
                <pt idx="3">
                  <v>13</v>
                </pt>
                <pt idx="4">
                  <v>16</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Sectors!$G$6:$G$11</f>
              <numCache>
                <formatCode>General</formatCode>
                <ptCount val="6"/>
                <pt idx="0">
                  <v>14</v>
                </pt>
                <pt idx="1">
                  <v>13</v>
                </pt>
                <pt idx="2">
                  <v>13</v>
                </pt>
                <pt idx="3">
                  <v>-1</v>
                </pt>
                <pt idx="4">
                  <v>3</v>
                </pt>
                <pt idx="5">
                  <v>2</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Sectors!$H$6:$H$11</f>
              <numCache>
                <formatCode>General</formatCode>
                <ptCount val="6"/>
                <pt idx="0">
                  <v>7</v>
                </pt>
                <pt idx="1">
                  <v>7</v>
                </pt>
                <pt idx="2">
                  <v>10</v>
                </pt>
                <pt idx="3">
                  <v>7</v>
                </pt>
                <pt idx="4">
                  <v>11</v>
                </pt>
                <pt idx="5">
                  <v>15</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Sectors!$I$6:$I$11</f>
              <numCache>
                <formatCode>General</formatCode>
                <ptCount val="6"/>
                <pt idx="0">
                  <v>12</v>
                </pt>
                <pt idx="1">
                  <v>8</v>
                </pt>
                <pt idx="2">
                  <v>7</v>
                </pt>
                <pt idx="3">
                  <v>16</v>
                </pt>
                <pt idx="4">
                  <v>12</v>
                </pt>
                <pt idx="5">
                  <v>17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Sectors!$J$6:$J$11</f>
              <numCache>
                <formatCode>General</formatCode>
                <ptCount val="6"/>
                <pt idx="0">
                  <v>13</v>
                </pt>
                <pt idx="1">
                  <v>16</v>
                </pt>
                <pt idx="2">
                  <v>6</v>
                </pt>
                <pt idx="3">
                  <v>12</v>
                </pt>
                <pt idx="4">
                  <v>1</v>
                </pt>
                <pt idx="5">
                  <v>10</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Sectors!$K$6:$K$11</f>
              <numCache>
                <formatCode>General</formatCode>
                <ptCount val="6"/>
                <pt idx="0">
                  <v>17</v>
                </pt>
                <pt idx="1">
                  <v>17</v>
                </pt>
                <pt idx="2">
                  <v>16</v>
                </pt>
                <pt idx="3">
                  <v>17</v>
                </pt>
                <pt idx="4">
                  <v>6</v>
                </pt>
                <pt idx="5">
                  <v>13</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Sectors!$L$6:$L$11</f>
              <numCache>
                <formatCode>General</formatCode>
                <ptCount val="6"/>
                <pt idx="0">
                  <v>16</v>
                </pt>
                <pt idx="1">
                  <v>6</v>
                </pt>
                <pt idx="2">
                  <v>5</v>
                </pt>
                <pt idx="3">
                  <v>4</v>
                </pt>
                <pt idx="4">
                  <v>8</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Sectors!$M$6:$M$11</f>
              <numCache>
                <formatCode>General</formatCode>
                <ptCount val="6"/>
                <pt idx="0">
                  <v>11</v>
                </pt>
                <pt idx="1">
                  <v>11</v>
                </pt>
                <pt idx="2">
                  <v>1</v>
                </pt>
                <pt idx="3">
                  <v>2</v>
                </pt>
                <pt idx="4">
                  <v>2</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Sectors!$N$6:$N$11</f>
              <numCache>
                <formatCode>General</formatCode>
                <ptCount val="6"/>
                <pt idx="0">
                  <v>9</v>
                </pt>
                <pt idx="1">
                  <v>15</v>
                </pt>
                <pt idx="2">
                  <v>15</v>
                </pt>
                <pt idx="3">
                  <v>11</v>
                </pt>
                <pt idx="4">
                  <v>17</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Sectors!$O$6:$O$11</f>
              <numCache>
                <formatCode>General</formatCode>
                <ptCount val="6"/>
                <pt idx="0">
                  <v>4</v>
                </pt>
                <pt idx="1">
                  <v>9</v>
                </pt>
                <pt idx="2">
                  <v>8</v>
                </pt>
                <pt idx="3">
                  <v>1</v>
                </pt>
                <pt idx="4">
                  <v>5</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Sectors!$P$6:$P$11</f>
              <numCache>
                <formatCode>General</formatCode>
                <ptCount val="6"/>
                <pt idx="0">
                  <v>1</v>
                </pt>
                <pt idx="1">
                  <v>1</v>
                </pt>
                <pt idx="2">
                  <v>12</v>
                </pt>
                <pt idx="3">
                  <v>9</v>
                </pt>
                <pt idx="4">
                  <v>15</v>
                </pt>
                <pt idx="5">
                  <v>3</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Sectors!$Q$6:$Q$11</f>
              <numCache>
                <formatCode>General</formatCode>
                <ptCount val="6"/>
                <pt idx="0">
                  <v>5</v>
                </pt>
                <pt idx="1">
                  <v>10</v>
                </pt>
                <pt idx="2">
                  <v>14</v>
                </pt>
                <pt idx="3">
                  <v>5</v>
                </pt>
                <pt idx="4">
                  <v>10</v>
                </pt>
                <pt idx="5">
                  <v>16</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Sectors!$R$6:$R$11</f>
              <numCache>
                <formatCode>General</formatCode>
                <ptCount val="6"/>
                <pt idx="0">
                  <v>8</v>
                </pt>
                <pt idx="1">
                  <v>12</v>
                </pt>
                <pt idx="2">
                  <v>11</v>
                </pt>
                <pt idx="3">
                  <v>8</v>
                </pt>
                <pt idx="4">
                  <v>4</v>
                </pt>
                <pt idx="5">
                  <v>9</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Sectors!$S$6:$S$11</f>
              <numCache>
                <formatCode>General</formatCode>
                <ptCount val="6"/>
                <pt idx="0">
                  <v>15</v>
                </pt>
                <pt idx="1">
                  <v>3</v>
                </pt>
                <pt idx="2">
                  <v>9</v>
                </pt>
                <pt idx="3">
                  <v>6</v>
                </pt>
                <pt idx="4">
                  <v>14</v>
                </pt>
                <pt idx="5">
                  <v>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SectorsBusinessActivity!$B$6:$B$11</f>
              <numCache>
                <formatCode>General</formatCode>
                <ptCount val="6"/>
                <pt idx="0">
                  <v>-2</v>
                </pt>
                <pt idx="1">
                  <v>0</v>
                </pt>
                <pt idx="2">
                  <v>-2</v>
                </pt>
                <pt idx="3">
                  <v>0</v>
                </pt>
                <pt idx="4">
                  <v>2</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SectorsBusinessActivity!$C$6:$C$11</f>
              <numCache>
                <formatCode>General</formatCode>
                <ptCount val="6"/>
                <pt idx="0">
                  <v>7</v>
                </pt>
                <pt idx="1">
                  <v>8</v>
                </pt>
                <pt idx="2">
                  <v>8</v>
                </pt>
                <pt idx="3">
                  <v>10</v>
                </pt>
                <pt idx="4">
                  <v>7</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SectorsBusinessActivity!$D$6:$D$11</f>
              <numCache>
                <formatCode>General</formatCode>
                <ptCount val="6"/>
                <pt idx="0">
                  <v>10</v>
                </pt>
                <pt idx="1">
                  <v>11</v>
                </pt>
                <pt idx="2">
                  <v>0</v>
                </pt>
                <pt idx="3">
                  <v>-1</v>
                </pt>
                <pt idx="4">
                  <v>-1</v>
                </pt>
                <pt idx="5">
                  <v>11</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SectorsBusinessActivity!$E$6:$E$11</f>
              <numCache>
                <formatCode>General</formatCode>
                <ptCount val="6"/>
                <pt idx="0">
                  <v>0</v>
                </pt>
                <pt idx="1">
                  <v>13</v>
                </pt>
                <pt idx="2">
                  <v>6</v>
                </pt>
                <pt idx="3">
                  <v>0</v>
                </pt>
                <pt idx="4">
                  <v>12</v>
                </pt>
                <pt idx="5">
                  <v>5</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SectorsBusinessActivity!$F$6:$F$11</f>
              <numCache>
                <formatCode>General</formatCode>
                <ptCount val="6"/>
                <pt idx="0">
                  <v>1</v>
                </pt>
                <pt idx="1">
                  <v>4</v>
                </pt>
                <pt idx="2">
                  <v>4</v>
                </pt>
                <pt idx="3">
                  <v>2</v>
                </pt>
                <pt idx="4">
                  <v>9</v>
                </pt>
                <pt idx="5">
                  <v>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SectorsBusinessActivity!$G$6:$G$11</f>
              <numCache>
                <formatCode>General</formatCode>
                <ptCount val="6"/>
                <pt idx="0">
                  <v>5</v>
                </pt>
                <pt idx="1">
                  <v>12</v>
                </pt>
                <pt idx="2">
                  <v>-3</v>
                </pt>
                <pt idx="3">
                  <v>-2</v>
                </pt>
                <pt idx="4">
                  <v>-2</v>
                </pt>
                <pt idx="5">
                  <v>7</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SectorsBusinessActivity!$H$6:$H$11</f>
              <numCache>
                <formatCode>General</formatCode>
                <ptCount val="6"/>
                <pt idx="0">
                  <v>0</v>
                </pt>
                <pt idx="1">
                  <v>7</v>
                </pt>
                <pt idx="2">
                  <v>-1</v>
                </pt>
                <pt idx="3">
                  <v>1</v>
                </pt>
                <pt idx="4">
                  <v>8</v>
                </pt>
                <pt idx="5">
                  <v>4</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SectorsBusinessActivity!$I$6:$I$11</f>
              <numCache>
                <formatCode>General</formatCode>
                <ptCount val="6"/>
                <pt idx="0">
                  <v>8</v>
                </pt>
                <pt idx="1">
                  <v>0</v>
                </pt>
                <pt idx="2">
                  <v>12</v>
                </pt>
                <pt idx="3">
                  <v>11</v>
                </pt>
                <pt idx="4">
                  <v>5</v>
                </pt>
                <pt idx="5">
                  <v>-2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SectorsBusinessActivity!$J$6:$J$11</f>
              <numCache>
                <formatCode>General</formatCode>
                <ptCount val="6"/>
                <pt idx="0">
                  <v>2</v>
                </pt>
                <pt idx="1">
                  <v>2</v>
                </pt>
                <pt idx="2">
                  <v>2</v>
                </pt>
                <pt idx="3">
                  <v>5</v>
                </pt>
                <pt idx="4">
                  <v>1</v>
                </pt>
                <pt idx="5">
                  <v>9</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SectorsBusinessActivity!$K$6:$K$11</f>
              <numCache>
                <formatCode>General</formatCode>
                <ptCount val="6"/>
                <pt idx="0">
                  <v>13</v>
                </pt>
                <pt idx="1">
                  <v>10</v>
                </pt>
                <pt idx="2">
                  <v>13</v>
                </pt>
                <pt idx="3">
                  <v>0</v>
                </pt>
                <pt idx="4">
                  <v>14</v>
                </pt>
                <pt idx="5">
                  <v>15</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SectorsBusinessActivity!$L$6:$L$11</f>
              <numCache>
                <formatCode>General</formatCode>
                <ptCount val="6"/>
                <pt idx="0">
                  <v>12</v>
                </pt>
                <pt idx="1">
                  <v>14</v>
                </pt>
                <pt idx="2">
                  <v>7</v>
                </pt>
                <pt idx="3">
                  <v>7</v>
                </pt>
                <pt idx="4">
                  <v>0</v>
                </pt>
                <pt idx="5">
                  <v>13</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SectorsBusinessActivity!$M$6:$M$11</f>
              <numCache>
                <formatCode>General</formatCode>
                <ptCount val="6"/>
                <pt idx="0">
                  <v>4</v>
                </pt>
                <pt idx="1">
                  <v>6</v>
                </pt>
                <pt idx="2">
                  <v>3</v>
                </pt>
                <pt idx="3">
                  <v>6</v>
                </pt>
                <pt idx="4">
                  <v>10</v>
                </pt>
                <pt idx="5">
                  <v>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SectorsBusinessActivity!$N$6:$N$11</f>
              <numCache>
                <formatCode>General</formatCode>
                <ptCount val="6"/>
                <pt idx="0">
                  <v>3</v>
                </pt>
                <pt idx="1">
                  <v>1</v>
                </pt>
                <pt idx="2">
                  <v>10</v>
                </pt>
                <pt idx="3">
                  <v>4</v>
                </pt>
                <pt idx="4">
                  <v>4</v>
                </pt>
                <pt idx="5">
                  <v>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SectorsBusinessActivity!$O$6:$O$11</f>
              <numCache>
                <formatCode>General</formatCode>
                <ptCount val="6"/>
                <pt idx="0">
                  <v>6</v>
                </pt>
                <pt idx="1">
                  <v>9</v>
                </pt>
                <pt idx="2">
                  <v>5</v>
                </pt>
                <pt idx="3">
                  <v>3</v>
                </pt>
                <pt idx="4">
                  <v>3</v>
                </pt>
                <pt idx="5">
                  <v>6</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SectorsBusinessActivity!$P$6:$P$11</f>
              <numCache>
                <formatCode>General</formatCode>
                <ptCount val="6"/>
                <pt idx="0">
                  <v>-3</v>
                </pt>
                <pt idx="1">
                  <v>0</v>
                </pt>
                <pt idx="2">
                  <v>-4</v>
                </pt>
                <pt idx="3">
                  <v>-3</v>
                </pt>
                <pt idx="4">
                  <v>6</v>
                </pt>
                <pt idx="5">
                  <v>14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SectorsBusinessActivity!$Q$6:$Q$11</f>
              <numCache>
                <formatCode>General</formatCode>
                <ptCount val="6"/>
                <pt idx="0">
                  <v>-1</v>
                </pt>
                <pt idx="1">
                  <v>3</v>
                </pt>
                <pt idx="2">
                  <v>1</v>
                </pt>
                <pt idx="3">
                  <v>9</v>
                </pt>
                <pt idx="4">
                  <v>13</v>
                </pt>
                <pt idx="5">
                  <v>12</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SectorsBusinessActivity!$R$6:$R$11</f>
              <numCache>
                <formatCode>General</formatCode>
                <ptCount val="6"/>
                <pt idx="0">
                  <v>11</v>
                </pt>
                <pt idx="1">
                  <v>5</v>
                </pt>
                <pt idx="2">
                  <v>11</v>
                </pt>
                <pt idx="3">
                  <v>8</v>
                </pt>
                <pt idx="4">
                  <v>11</v>
                </pt>
                <pt idx="5">
                  <v>10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44682</v>
                </pt>
                <pt idx="1">
                  <v>44713</v>
                </pt>
                <pt idx="2">
                  <v>44743</v>
                </pt>
                <pt idx="3">
                  <v>44774</v>
                </pt>
                <pt idx="4">
                  <v>44805</v>
                </pt>
                <pt idx="5">
                  <v>44835</v>
                </pt>
              </numCache>
            </numRef>
          </cat>
          <val>
            <numRef>
              <f>SectorsBusinessActivity!$S$6:$S$11</f>
              <numCache>
                <formatCode>General</formatCode>
                <ptCount val="6"/>
                <pt idx="0">
                  <v>9</v>
                </pt>
                <pt idx="1">
                  <v>15</v>
                </pt>
                <pt idx="2">
                  <v>9</v>
                </pt>
                <pt idx="3">
                  <v>0</v>
                </pt>
                <pt idx="4">
                  <v>0</v>
                </pt>
                <pt idx="5">
                  <v>-1</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SectorsNewOrders!$B$6:$B$11</f>
              <numCache>
                <formatCode>General</formatCode>
                <ptCount val="6"/>
                <pt idx="0">
                  <v>0</v>
                </pt>
                <pt idx="1">
                  <v>0</v>
                </pt>
                <pt idx="2">
                  <v>-3</v>
                </pt>
                <pt idx="3">
                  <v>5</v>
                </pt>
                <pt idx="4">
                  <v>11</v>
                </pt>
                <pt idx="5">
                  <v>8</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SectorsNewOrders!$C$6:$C$11</f>
              <numCache>
                <formatCode>General</formatCode>
                <ptCount val="6"/>
                <pt idx="0">
                  <v>9</v>
                </pt>
                <pt idx="1">
                  <v>6</v>
                </pt>
                <pt idx="2">
                  <v>5</v>
                </pt>
                <pt idx="3">
                  <v>9</v>
                </pt>
                <pt idx="4">
                  <v>1</v>
                </pt>
                <pt idx="5">
                  <v>3</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SectorsNewOrders!$D$6:$D$11</f>
              <numCache>
                <formatCode>General</formatCode>
                <ptCount val="6"/>
                <pt idx="0">
                  <v>14</v>
                </pt>
                <pt idx="1">
                  <v>9</v>
                </pt>
                <pt idx="2">
                  <v>0</v>
                </pt>
                <pt idx="3">
                  <v>0</v>
                </pt>
                <pt idx="4">
                  <v>-2</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SectorsNewOrders!$E$6:$E$11</f>
              <numCache>
                <formatCode>General</formatCode>
                <ptCount val="6"/>
                <pt idx="0">
                  <v>3</v>
                </pt>
                <pt idx="1">
                  <v>10</v>
                </pt>
                <pt idx="2">
                  <v>6</v>
                </pt>
                <pt idx="3">
                  <v>0</v>
                </pt>
                <pt idx="4">
                  <v>12</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SectorsNewOrders!$F$6:$F$11</f>
              <numCache>
                <formatCode>General</formatCode>
                <ptCount val="6"/>
                <pt idx="0">
                  <v>2</v>
                </pt>
                <pt idx="1">
                  <v>5</v>
                </pt>
                <pt idx="2">
                  <v>1</v>
                </pt>
                <pt idx="3">
                  <v>4</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SectorsNewOrders!$G$6:$G$11</f>
              <numCache>
                <formatCode>General</formatCode>
                <ptCount val="6"/>
                <pt idx="0">
                  <v>5</v>
                </pt>
                <pt idx="1">
                  <v>13</v>
                </pt>
                <pt idx="2">
                  <v>-4</v>
                </pt>
                <pt idx="3">
                  <v>0</v>
                </pt>
                <pt idx="4">
                  <v>0</v>
                </pt>
                <pt idx="5">
                  <v>7</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SectorsNewOrders!$H$6:$H$11</f>
              <numCache>
                <formatCode>General</formatCode>
                <ptCount val="6"/>
                <pt idx="0">
                  <v>4</v>
                </pt>
                <pt idx="1">
                  <v>3</v>
                </pt>
                <pt idx="2">
                  <v>0</v>
                </pt>
                <pt idx="3">
                  <v>2</v>
                </pt>
                <pt idx="4">
                  <v>2</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SectorsNewOrders!$I$6:$I$11</f>
              <numCache>
                <formatCode>General</formatCode>
                <ptCount val="6"/>
                <pt idx="0">
                  <v>10</v>
                </pt>
                <pt idx="1">
                  <v>7</v>
                </pt>
                <pt idx="2">
                  <v>11</v>
                </pt>
                <pt idx="3">
                  <v>8</v>
                </pt>
                <pt idx="4">
                  <v>9</v>
                </pt>
                <pt idx="5">
                  <v>-2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SectorsNewOrders!$J$6:$J$11</f>
              <numCache>
                <formatCode>General</formatCode>
                <ptCount val="6"/>
                <pt idx="0">
                  <v>6</v>
                </pt>
                <pt idx="1">
                  <v>8</v>
                </pt>
                <pt idx="2">
                  <v>7</v>
                </pt>
                <pt idx="3">
                  <v>0</v>
                </pt>
                <pt idx="4">
                  <v>-1</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SectorsNewOrders!$K$6:$K$11</f>
              <numCache>
                <formatCode>General</formatCode>
                <ptCount val="6"/>
                <pt idx="0">
                  <v>12</v>
                </pt>
                <pt idx="1">
                  <v>12</v>
                </pt>
                <pt idx="2">
                  <v>10</v>
                </pt>
                <pt idx="3">
                  <v>11</v>
                </pt>
                <pt idx="4">
                  <v>13</v>
                </pt>
                <pt idx="5">
                  <v>13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SectorsNewOrders!$L$6:$L$11</f>
              <numCache>
                <formatCode>General</formatCode>
                <ptCount val="6"/>
                <pt idx="0">
                  <v>15</v>
                </pt>
                <pt idx="1">
                  <v>-2</v>
                </pt>
                <pt idx="2">
                  <v>3</v>
                </pt>
                <pt idx="3">
                  <v>0</v>
                </pt>
                <pt idx="4">
                  <v>0</v>
                </pt>
                <pt idx="5">
                  <v>5</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SectorsNewOrders!$M$6:$M$11</f>
              <numCache>
                <formatCode>General</formatCode>
                <ptCount val="6"/>
                <pt idx="0">
                  <v>7</v>
                </pt>
                <pt idx="1">
                  <v>4</v>
                </pt>
                <pt idx="2">
                  <v>-1</v>
                </pt>
                <pt idx="3">
                  <v>6</v>
                </pt>
                <pt idx="4">
                  <v>6</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SectorsNewOrders!$N$6:$N$11</f>
              <numCache>
                <formatCode>General</formatCode>
                <ptCount val="6"/>
                <pt idx="0">
                  <v>1</v>
                </pt>
                <pt idx="1">
                  <v>1</v>
                </pt>
                <pt idx="2">
                  <v>8</v>
                </pt>
                <pt idx="3">
                  <v>7</v>
                </pt>
                <pt idx="4">
                  <v>7</v>
                </pt>
                <pt idx="5">
                  <v>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SectorsNewOrders!$O$6:$O$11</f>
              <numCache>
                <formatCode>General</formatCode>
                <ptCount val="6"/>
                <pt idx="0">
                  <v>8</v>
                </pt>
                <pt idx="1">
                  <v>2</v>
                </pt>
                <pt idx="2">
                  <v>2</v>
                </pt>
                <pt idx="3">
                  <v>1</v>
                </pt>
                <pt idx="4">
                  <v>3</v>
                </pt>
                <pt idx="5">
                  <v>6</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SectorsNewOrders!$P$6:$P$11</f>
              <numCache>
                <formatCode>General</formatCode>
                <ptCount val="6"/>
                <pt idx="0">
                  <v>-2</v>
                </pt>
                <pt idx="1">
                  <v>0</v>
                </pt>
                <pt idx="2">
                  <v>-5</v>
                </pt>
                <pt idx="3">
                  <v>-1</v>
                </pt>
                <pt idx="4">
                  <v>4</v>
                </pt>
                <pt idx="5">
                  <v>9</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SectorsNewOrders!$Q$6:$Q$11</f>
              <numCache>
                <formatCode>General</formatCode>
                <ptCount val="6"/>
                <pt idx="0">
                  <v>-1</v>
                </pt>
                <pt idx="1">
                  <v>0</v>
                </pt>
                <pt idx="2">
                  <v>-2</v>
                </pt>
                <pt idx="3">
                  <v>10</v>
                </pt>
                <pt idx="4">
                  <v>8</v>
                </pt>
                <pt idx="5">
                  <v>12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SectorsNewOrders!$R$6:$R$11</f>
              <numCache>
                <formatCode>General</formatCode>
                <ptCount val="6"/>
                <pt idx="0">
                  <v>13</v>
                </pt>
                <pt idx="1">
                  <v>-1</v>
                </pt>
                <pt idx="2">
                  <v>9</v>
                </pt>
                <pt idx="3">
                  <v>12</v>
                </pt>
                <pt idx="4">
                  <v>10</v>
                </pt>
                <pt idx="5">
                  <v>2</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SectorsNewOrders!$S$6:$S$11</f>
              <numCache>
                <formatCode>General</formatCode>
                <ptCount val="6"/>
                <pt idx="0">
                  <v>11</v>
                </pt>
                <pt idx="1">
                  <v>11</v>
                </pt>
                <pt idx="2">
                  <v>4</v>
                </pt>
                <pt idx="3">
                  <v>3</v>
                </pt>
                <pt idx="4">
                  <v>0</v>
                </pt>
                <pt idx="5">
                  <v>0</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Details!$B$6:$B$311</f>
              <numCache>
                <formatCode>0.00</formatCode>
                <ptCount val="306"/>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Details!$C$6:$C$311</f>
              <numCache>
                <formatCode>General</formatCode>
                <ptCount val="306"/>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Details!$C$6:$C$311</f>
              <numCache>
                <formatCode>General</formatCode>
                <ptCount val="306"/>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Details!$D$6:$D$311</f>
              <numCache>
                <formatCode>General</formatCode>
                <ptCount val="306"/>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Details!$D$6:$D$311</f>
              <numCache>
                <formatCode>General</formatCode>
                <ptCount val="306"/>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Details!$E$6:$E$311</f>
              <numCache>
                <formatCode>General</formatCode>
                <ptCount val="306"/>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Details!$E$6:$E$311</f>
              <numCache>
                <formatCode>General</formatCode>
                <ptCount val="306"/>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Details!$F$6:$F$311</f>
              <numCache>
                <formatCode>General</formatCode>
                <ptCount val="306"/>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Details!$F$6:$F$311</f>
              <numCache>
                <formatCode>General</formatCode>
                <ptCount val="306"/>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Details!$G$6:$G$311</f>
              <numCache>
                <formatCode>General</formatCode>
                <ptCount val="306"/>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Details!$G$6:$G$311</f>
              <numCache>
                <formatCode>General</formatCode>
                <ptCount val="306"/>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Details!$H$6:$H$311</f>
              <numCache>
                <formatCode>General</formatCode>
                <ptCount val="306"/>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Details!$H$6:$H$311</f>
              <numCache>
                <formatCode>General</formatCode>
                <ptCount val="306"/>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Details!$I$6:$I$311</f>
              <numCache>
                <formatCode>General</formatCode>
                <ptCount val="306"/>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Details!$I$6:$I$311</f>
              <numCache>
                <formatCode>General</formatCode>
                <ptCount val="306"/>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Details!$J$6:$J$311</f>
              <numCache>
                <formatCode>General</formatCode>
                <ptCount val="306"/>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Details!$J$6:$J$311</f>
              <numCache>
                <formatCode>General</formatCode>
                <ptCount val="306"/>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Details!$K$6:$K$311</f>
              <numCache>
                <formatCode>General</formatCode>
                <ptCount val="306"/>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Details!$K$6:$K$311</f>
              <numCache>
                <formatCode>General</formatCode>
                <ptCount val="306"/>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GDP'!$A$6:$A$309</f>
              <numCache>
                <formatCode>m/d/yyyy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GDP'!$C$6:$C$309</f>
              <numCache>
                <formatCode>0.00%</formatCode>
                <ptCount val="304"/>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GDP'!$A$6:$A$309</f>
              <numCache>
                <formatCode>m/d/yyyy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GDP'!$B$6:$B$309</f>
              <numCache>
                <formatCode>0.00</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GDP'!$A$6:$A$309</f>
              <numCache>
                <formatCode>m/d/yyyy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GDP'!$E$6:$E$309</f>
              <numCache>
                <formatCode>0.00%</formatCode>
                <ptCount val="304"/>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GDP'!$A$6:$A$309</f>
              <numCache>
                <formatCode>m/d/yyyy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 vs GDP'!$B$6:$B$309</f>
              <numCache>
                <formatCode>0.00</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Services'!$A$6:$A$309</f>
              <numCache>
                <formatCode>m/d/yyyy</formatCode>
                <ptCount val="30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numCache>
            </numRef>
          </cat>
          <val>
            <numRef>
              <f>'ISM Services'!$B$6:$B$309</f>
              <numCache>
                <formatCode>General</formatCode>
                <ptCount val="30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9" headerRowCount="1" totalsRowShown="0" headerRowDxfId="134" dataDxfId="132" headerRowBorderDxfId="133">
  <autoFilter ref="A5:L309"/>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9" headerRowCount="1" totalsRowShown="0" headerRowDxfId="119" dataDxfId="117" headerRowBorderDxfId="118" tableBorderDxfId="116" totalsRowBorderDxfId="115">
  <autoFilter ref="A5:E309"/>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9" headerRowCount="1" totalsRowShown="0" headerRowDxfId="109" dataDxfId="107" headerRowBorderDxfId="108">
  <autoFilter ref="A5:C309"/>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70" zoomScaleNormal="70" workbookViewId="0">
      <selection activeCell="R22" sqref="R22"/>
    </sheetView>
  </sheetViews>
  <sheetFormatPr baseColWidth="8" defaultColWidth="9.1796875" defaultRowHeight="14.5"/>
  <cols>
    <col width="15.6328125" customWidth="1" style="76" min="1" max="1"/>
    <col width="12.81640625" customWidth="1" style="76" min="2" max="5"/>
    <col width="13.6328125" customWidth="1" style="76" min="6" max="6"/>
    <col width="12.81640625" customWidth="1" style="76" min="7" max="10"/>
    <col width="2" customWidth="1" style="76" min="11" max="13"/>
    <col width="9.1796875" customWidth="1" style="76" min="14" max="14"/>
    <col width="15.453125" customWidth="1" style="76" min="15" max="15"/>
    <col width="12.6328125" customWidth="1" style="76" min="16" max="18"/>
    <col width="5.453125" customWidth="1" style="76" min="19" max="19"/>
    <col width="16.6328125" customWidth="1" style="76" min="20" max="20"/>
    <col width="9.1796875" customWidth="1" style="76" min="21" max="41"/>
    <col width="9.1796875" customWidth="1" style="76" min="42"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44835</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cols>
    <col width="25.179687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R35" t="n">
        <v>8</v>
      </c>
      <c r="S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R36" t="n">
        <v>10</v>
      </c>
      <c r="S36"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9"/>
  <sheetViews>
    <sheetView topLeftCell="J1" zoomScale="150" zoomScaleNormal="150" workbookViewId="0">
      <pane ySplit="1" topLeftCell="A583" activePane="bottomLeft" state="frozen"/>
      <selection pane="bottomLeft" activeCell="U396" sqref="U396"/>
    </sheetView>
  </sheetViews>
  <sheetFormatPr baseColWidth="8" defaultColWidth="10.90625" defaultRowHeight="14.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20039.406</v>
      </c>
      <c r="O604" t="n">
        <v>0.01679094392068376</v>
      </c>
      <c r="P604" t="n">
        <v>0.05531736362184171</v>
      </c>
      <c r="Q604" t="n">
        <v>0.06887440582969107</v>
      </c>
      <c r="R604" t="n">
        <v>0.007244686438299754</v>
      </c>
      <c r="S604" t="n">
        <v>0.02929518236088735</v>
      </c>
      <c r="T604" t="n">
        <v>0.01864583796117574</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60" zoomScaleNormal="60" workbookViewId="0">
      <selection activeCell="AB24" sqref="AB24"/>
    </sheetView>
  </sheetViews>
  <sheetFormatPr baseColWidth="8" defaultColWidth="9.1796875" defaultRowHeight="14.5"/>
  <cols>
    <col width="9.6328125" customWidth="1" style="76" min="1" max="1"/>
    <col width="8.81640625" customWidth="1" style="76" min="2" max="18"/>
    <col width="12.453125" customWidth="1" style="76" min="19" max="19"/>
    <col width="8.81640625" customWidth="1" style="76" min="20" max="20"/>
    <col width="9.1796875" customWidth="1" style="76" min="21" max="41"/>
    <col width="9.1796875" customWidth="1" style="76" min="42" max="16384"/>
  </cols>
  <sheetData>
    <row r="1">
      <c r="B1" s="14" t="inlineStr">
        <is>
          <t>* to modify</t>
        </is>
      </c>
      <c r="J1" s="76" t="inlineStr">
        <is>
          <t>Last Month</t>
        </is>
      </c>
      <c r="L1" s="43" t="n">
        <v>44835</v>
      </c>
      <c r="O1" s="6" t="n"/>
    </row>
    <row r="2">
      <c r="L2" s="14" t="n">
        <v>34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Trend'!$B$6:$AN$23,VLOOKUP(A6,$U:$V,2,),)</f>
        <v/>
      </c>
      <c r="C6" s="38">
        <f>VLOOKUP($C$5,'Sectors Trend'!$B$6:$AN$23,VLOOKUP(A6,$U:$V,2,),)</f>
        <v/>
      </c>
      <c r="D6" s="38">
        <f>VLOOKUP($D$5,'Sectors Trend'!$B$6:$AN$23,VLOOKUP(A6,$U:$V,2,),)</f>
        <v/>
      </c>
      <c r="E6" s="38">
        <f>VLOOKUP($E$5,'Sectors Trend'!$B$6:$AN$23,VLOOKUP(A6,$U:$V,2,),)</f>
        <v/>
      </c>
      <c r="F6" s="38">
        <f>VLOOKUP($F$5,'Sectors Trend'!$B$6:$AN$23,VLOOKUP(A6,$U:$V,2,),)</f>
        <v/>
      </c>
      <c r="G6" s="38">
        <f>VLOOKUP($G$5,'Sectors Trend'!$B$6:$AN$23,VLOOKUP(A6,$U:$V,2,),)</f>
        <v/>
      </c>
      <c r="H6" s="38">
        <f>VLOOKUP($H$5,'Sectors Trend'!$B$6:$AN$23,VLOOKUP(A6,$U:$V,2,),)</f>
        <v/>
      </c>
      <c r="I6" s="38">
        <f>VLOOKUP($I$5,'Sectors Trend'!$B$6:$AN$23,VLOOKUP(A6,$U:$V,2,),)</f>
        <v/>
      </c>
      <c r="J6" s="38">
        <f>VLOOKUP($J$5,'Sectors Trend'!$B$6:$AN$23,VLOOKUP(A6,$U:$V,2,),)</f>
        <v/>
      </c>
      <c r="K6" s="38">
        <f>VLOOKUP($K$5,'Sectors Trend'!$B$6:$AN$23,VLOOKUP(A6,$U:$V,2,),)</f>
        <v/>
      </c>
      <c r="L6" s="38">
        <f>VLOOKUP($L$5,'Sectors Trend'!$B$6:$AN$23,VLOOKUP(A6,$U:$V,2,),)</f>
        <v/>
      </c>
      <c r="M6" s="38">
        <f>VLOOKUP($M$5,'Sectors Trend'!$B$6:$AN$23,VLOOKUP(A6,$U:$V,2,),)</f>
        <v/>
      </c>
      <c r="N6" s="38">
        <f>VLOOKUP($N$5,'Sectors Trend'!$B$6:$AN$23,VLOOKUP(A6,$U:$V,2,),)</f>
        <v/>
      </c>
      <c r="O6" s="38">
        <f>VLOOKUP($O$5,'Sectors Trend'!$B$6:$AN$23,VLOOKUP(A6,$U:$V,2,),)</f>
        <v/>
      </c>
      <c r="P6" s="38">
        <f>VLOOKUP($P$5,'Sectors Trend'!$B$6:$AN$23,VLOOKUP(A6,$U:$V,2,),)</f>
        <v/>
      </c>
      <c r="Q6" s="38">
        <f>VLOOKUP($Q$5,'Sectors Trend'!$B$6:$AN$23,VLOOKUP(A6,$U:$V,2,),)</f>
        <v/>
      </c>
      <c r="R6" s="38">
        <f>VLOOKUP($R$5,'Sectors Trend'!$B$6:$AN$23,VLOOKUP(A6,$U:$V,2,),)</f>
        <v/>
      </c>
      <c r="S6" s="39">
        <f>VLOOKUP($S$5,'Sectors Trend'!$B$6:$AN$23,VLOOKUP(A6,$U:$V,2,),)</f>
        <v/>
      </c>
      <c r="U6" s="7">
        <f>DATE(YEAR(U7),MONTH(U7)-1,DAY(U7))</f>
        <v/>
      </c>
      <c r="V6" s="1">
        <f>V7-1</f>
        <v/>
      </c>
      <c r="Y6" s="76">
        <f>MIN(B6:S6)</f>
        <v/>
      </c>
      <c r="Z6" s="76">
        <f>MAX(B6:S6)</f>
        <v/>
      </c>
    </row>
    <row r="7">
      <c r="A7" s="8">
        <f>DATE(YEAR(A8),MONTH(A8)-1,DAY(A8))</f>
        <v/>
      </c>
      <c r="B7" s="5">
        <f>VLOOKUP($B$5,'Sectors Trend'!$B$6:$AN$23,VLOOKUP(A7,$U:$V,2,),)</f>
        <v/>
      </c>
      <c r="C7" s="5">
        <f>VLOOKUP($C$5,'Sectors Trend'!$B$6:$AN$23,VLOOKUP(A7,$U:$V,2,),)</f>
        <v/>
      </c>
      <c r="D7" s="5">
        <f>VLOOKUP($D$5,'Sectors Trend'!$B$6:$AN$23,VLOOKUP(A7,$U:$V,2,),)</f>
        <v/>
      </c>
      <c r="E7" s="5">
        <f>VLOOKUP($E$5,'Sectors Trend'!$B$6:$AN$23,VLOOKUP(A7,$U:$V,2,),)</f>
        <v/>
      </c>
      <c r="F7" s="5">
        <f>VLOOKUP($F$5,'Sectors Trend'!$B$6:$AN$23,VLOOKUP(A7,$U:$V,2,),)</f>
        <v/>
      </c>
      <c r="G7" s="5">
        <f>VLOOKUP($G$5,'Sectors Trend'!$B$6:$AN$23,VLOOKUP(A7,$U:$V,2,),)</f>
        <v/>
      </c>
      <c r="H7" s="5">
        <f>VLOOKUP($H$5,'Sectors Trend'!$B$6:$AN$23,VLOOKUP(A7,$U:$V,2,),)</f>
        <v/>
      </c>
      <c r="I7" s="5">
        <f>VLOOKUP($I$5,'Sectors Trend'!$B$6:$AN$23,VLOOKUP(A7,$U:$V,2,),)</f>
        <v/>
      </c>
      <c r="J7" s="5">
        <f>VLOOKUP($J$5,'Sectors Trend'!$B$6:$AN$23,VLOOKUP(A7,$U:$V,2,),)</f>
        <v/>
      </c>
      <c r="K7" s="5">
        <f>VLOOKUP($K$5,'Sectors Trend'!$B$6:$AN$23,VLOOKUP(A7,$U:$V,2,),)</f>
        <v/>
      </c>
      <c r="L7" s="5">
        <f>VLOOKUP($L$5,'Sectors Trend'!$B$6:$AN$23,VLOOKUP(A7,$U:$V,2,),)</f>
        <v/>
      </c>
      <c r="M7" s="5">
        <f>VLOOKUP($M$5,'Sectors Trend'!$B$6:$AN$23,VLOOKUP(A7,$U:$V,2,),)</f>
        <v/>
      </c>
      <c r="N7" s="5">
        <f>VLOOKUP($N$5,'Sectors Trend'!$B$6:$AN$23,VLOOKUP(A7,$U:$V,2,),)</f>
        <v/>
      </c>
      <c r="O7" s="5">
        <f>VLOOKUP($O$5,'Sectors Trend'!$B$6:$AN$23,VLOOKUP(A7,$U:$V,2,),)</f>
        <v/>
      </c>
      <c r="P7" s="5">
        <f>VLOOKUP($P$5,'Sectors Trend'!$B$6:$AN$23,VLOOKUP(A7,$U:$V,2,),)</f>
        <v/>
      </c>
      <c r="Q7" s="5">
        <f>VLOOKUP($Q$5,'Sectors Trend'!$B$6:$AN$23,VLOOKUP(A7,$U:$V,2,),)</f>
        <v/>
      </c>
      <c r="R7" s="5">
        <f>VLOOKUP($R$5,'Sectors Trend'!$B$6:$AN$23,VLOOKUP(A7,$U:$V,2,),)</f>
        <v/>
      </c>
      <c r="S7" s="40">
        <f>VLOOKUP($S$5,'Sectors Trend'!$B$6:$AN$23,VLOOKUP(A7,$U:$V,2,),)</f>
        <v/>
      </c>
      <c r="U7" s="7">
        <f>DATE(YEAR(U8),MONTH(U8)-1,DAY(U8))</f>
        <v/>
      </c>
      <c r="V7" s="1">
        <f>V8-1</f>
        <v/>
      </c>
      <c r="Y7" s="76">
        <f>MIN(B7:S7)</f>
        <v/>
      </c>
      <c r="Z7" s="76">
        <f>MAX(B7:S7)</f>
        <v/>
      </c>
    </row>
    <row r="8">
      <c r="A8" s="8">
        <f>DATE(YEAR(A9),MONTH(A9)-1,DAY(A9))</f>
        <v/>
      </c>
      <c r="B8" s="5">
        <f>VLOOKUP($B$5,'Sectors Trend'!$B$6:$AN$23,VLOOKUP(A8,$U:$V,2,),)</f>
        <v/>
      </c>
      <c r="C8" s="5">
        <f>VLOOKUP($C$5,'Sectors Trend'!$B$6:$AN$23,VLOOKUP(A8,$U:$V,2,),)</f>
        <v/>
      </c>
      <c r="D8" s="5">
        <f>VLOOKUP($D$5,'Sectors Trend'!$B$6:$AN$23,VLOOKUP(A8,$U:$V,2,),)</f>
        <v/>
      </c>
      <c r="E8" s="5">
        <f>VLOOKUP($E$5,'Sectors Trend'!$B$6:$AN$23,VLOOKUP(A8,$U:$V,2,),)</f>
        <v/>
      </c>
      <c r="F8" s="5">
        <f>VLOOKUP($F$5,'Sectors Trend'!$B$6:$AN$23,VLOOKUP(A8,$U:$V,2,),)</f>
        <v/>
      </c>
      <c r="G8" s="5">
        <f>VLOOKUP($G$5,'Sectors Trend'!$B$6:$AN$23,VLOOKUP(A8,$U:$V,2,),)</f>
        <v/>
      </c>
      <c r="H8" s="5">
        <f>VLOOKUP($H$5,'Sectors Trend'!$B$6:$AN$23,VLOOKUP(A8,$U:$V,2,),)</f>
        <v/>
      </c>
      <c r="I8" s="5">
        <f>VLOOKUP($I$5,'Sectors Trend'!$B$6:$AN$23,VLOOKUP(A8,$U:$V,2,),)</f>
        <v/>
      </c>
      <c r="J8" s="5">
        <f>VLOOKUP($J$5,'Sectors Trend'!$B$6:$AN$23,VLOOKUP(A8,$U:$V,2,),)</f>
        <v/>
      </c>
      <c r="K8" s="5">
        <f>VLOOKUP($K$5,'Sectors Trend'!$B$6:$AN$23,VLOOKUP(A8,$U:$V,2,),)</f>
        <v/>
      </c>
      <c r="L8" s="5">
        <f>VLOOKUP($L$5,'Sectors Trend'!$B$6:$AN$23,VLOOKUP(A8,$U:$V,2,),)</f>
        <v/>
      </c>
      <c r="M8" s="5">
        <f>VLOOKUP($M$5,'Sectors Trend'!$B$6:$AN$23,VLOOKUP(A8,$U:$V,2,),)</f>
        <v/>
      </c>
      <c r="N8" s="5">
        <f>VLOOKUP($N$5,'Sectors Trend'!$B$6:$AN$23,VLOOKUP(A8,$U:$V,2,),)</f>
        <v/>
      </c>
      <c r="O8" s="5">
        <f>VLOOKUP($O$5,'Sectors Trend'!$B$6:$AN$23,VLOOKUP(A8,$U:$V,2,),)</f>
        <v/>
      </c>
      <c r="P8" s="5">
        <f>VLOOKUP($P$5,'Sectors Trend'!$B$6:$AN$23,VLOOKUP(A8,$U:$V,2,),)</f>
        <v/>
      </c>
      <c r="Q8" s="5">
        <f>VLOOKUP($Q$5,'Sectors Trend'!$B$6:$AN$23,VLOOKUP(A8,$U:$V,2,),)</f>
        <v/>
      </c>
      <c r="R8" s="5">
        <f>VLOOKUP($R$5,'Sectors Trend'!$B$6:$AN$23,VLOOKUP(A8,$U:$V,2,),)</f>
        <v/>
      </c>
      <c r="S8" s="40">
        <f>VLOOKUP($S$5,'Sectors Trend'!$B$6:$AN$23,VLOOKUP(A8,$U:$V,2,),)</f>
        <v/>
      </c>
      <c r="U8" s="7">
        <f>DATE(YEAR(U9),MONTH(U9)-1,DAY(U9))</f>
        <v/>
      </c>
      <c r="V8" s="1">
        <f>V9-1</f>
        <v/>
      </c>
      <c r="Y8" s="76">
        <f>MIN(B8:S8)</f>
        <v/>
      </c>
      <c r="Z8" s="76">
        <f>MAX(B8:S8)</f>
        <v/>
      </c>
    </row>
    <row r="9">
      <c r="A9" s="8">
        <f>DATE(YEAR(A10),MONTH(A10)-1,DAY(A10))</f>
        <v/>
      </c>
      <c r="B9" s="5">
        <f>VLOOKUP($B$5,'Sectors Trend'!$B$6:$AN$23,VLOOKUP(A9,$U:$V,2,),)</f>
        <v/>
      </c>
      <c r="C9" s="5">
        <f>VLOOKUP($C$5,'Sectors Trend'!$B$6:$AN$23,VLOOKUP(A9,$U:$V,2,),)</f>
        <v/>
      </c>
      <c r="D9" s="5">
        <f>VLOOKUP($D$5,'Sectors Trend'!$B$6:$AN$23,VLOOKUP(A9,$U:$V,2,),)</f>
        <v/>
      </c>
      <c r="E9" s="5">
        <f>VLOOKUP($E$5,'Sectors Trend'!$B$6:$AN$23,VLOOKUP(A9,$U:$V,2,),)</f>
        <v/>
      </c>
      <c r="F9" s="5">
        <f>VLOOKUP($F$5,'Sectors Trend'!$B$6:$AN$23,VLOOKUP(A9,$U:$V,2,),)</f>
        <v/>
      </c>
      <c r="G9" s="5">
        <f>VLOOKUP($G$5,'Sectors Trend'!$B$6:$AN$23,VLOOKUP(A9,$U:$V,2,),)</f>
        <v/>
      </c>
      <c r="H9" s="5">
        <f>VLOOKUP($H$5,'Sectors Trend'!$B$6:$AN$23,VLOOKUP(A9,$U:$V,2,),)</f>
        <v/>
      </c>
      <c r="I9" s="5">
        <f>VLOOKUP($I$5,'Sectors Trend'!$B$6:$AN$23,VLOOKUP(A9,$U:$V,2,),)</f>
        <v/>
      </c>
      <c r="J9" s="5">
        <f>VLOOKUP($J$5,'Sectors Trend'!$B$6:$AN$23,VLOOKUP(A9,$U:$V,2,),)</f>
        <v/>
      </c>
      <c r="K9" s="5">
        <f>VLOOKUP($K$5,'Sectors Trend'!$B$6:$AN$23,VLOOKUP(A9,$U:$V,2,),)</f>
        <v/>
      </c>
      <c r="L9" s="5">
        <f>VLOOKUP($L$5,'Sectors Trend'!$B$6:$AN$23,VLOOKUP(A9,$U:$V,2,),)</f>
        <v/>
      </c>
      <c r="M9" s="5">
        <f>VLOOKUP($M$5,'Sectors Trend'!$B$6:$AN$23,VLOOKUP(A9,$U:$V,2,),)</f>
        <v/>
      </c>
      <c r="N9" s="5">
        <f>VLOOKUP($N$5,'Sectors Trend'!$B$6:$AN$23,VLOOKUP(A9,$U:$V,2,),)</f>
        <v/>
      </c>
      <c r="O9" s="5">
        <f>VLOOKUP($O$5,'Sectors Trend'!$B$6:$AN$23,VLOOKUP(A9,$U:$V,2,),)</f>
        <v/>
      </c>
      <c r="P9" s="5">
        <f>VLOOKUP($P$5,'Sectors Trend'!$B$6:$AN$23,VLOOKUP(A9,$U:$V,2,),)</f>
        <v/>
      </c>
      <c r="Q9" s="5">
        <f>VLOOKUP($Q$5,'Sectors Trend'!$B$6:$AN$23,VLOOKUP(A9,$U:$V,2,),)</f>
        <v/>
      </c>
      <c r="R9" s="5">
        <f>VLOOKUP($R$5,'Sectors Trend'!$B$6:$AN$23,VLOOKUP(A9,$U:$V,2,),)</f>
        <v/>
      </c>
      <c r="S9" s="40">
        <f>VLOOKUP($S$5,'Sectors Trend'!$B$6:$AN$23,VLOOKUP(A9,$U:$V,2,),)</f>
        <v/>
      </c>
      <c r="U9" s="7">
        <f>DATE(YEAR(U10),MONTH(U10)-1,DAY(U10))</f>
        <v/>
      </c>
      <c r="V9" s="1">
        <f>V10-1</f>
        <v/>
      </c>
      <c r="Y9" s="76">
        <f>MIN(B9:S9)</f>
        <v/>
      </c>
      <c r="Z9" s="76">
        <f>MAX(B9:S9)</f>
        <v/>
      </c>
    </row>
    <row r="10">
      <c r="A10" s="8">
        <f>DATE(YEAR(A11),MONTH(A11)-1,DAY(A11))</f>
        <v/>
      </c>
      <c r="B10" s="5">
        <f>VLOOKUP($B$5,'Sectors Trend'!$B$6:$AN$23,VLOOKUP(A10,$U:$V,2,),)</f>
        <v/>
      </c>
      <c r="C10" s="5">
        <f>VLOOKUP($C$5,'Sectors Trend'!$B$6:$AN$23,VLOOKUP(A10,$U:$V,2,),)</f>
        <v/>
      </c>
      <c r="D10" s="5">
        <f>VLOOKUP($D$5,'Sectors Trend'!$B$6:$AN$23,VLOOKUP(A10,$U:$V,2,),)</f>
        <v/>
      </c>
      <c r="E10" s="5">
        <f>VLOOKUP($E$5,'Sectors Trend'!$B$6:$AN$23,VLOOKUP(A10,$U:$V,2,),)</f>
        <v/>
      </c>
      <c r="F10" s="5">
        <f>VLOOKUP($F$5,'Sectors Trend'!$B$6:$AN$23,VLOOKUP(A10,$U:$V,2,),)</f>
        <v/>
      </c>
      <c r="G10" s="5">
        <f>VLOOKUP($G$5,'Sectors Trend'!$B$6:$AN$23,VLOOKUP(A10,$U:$V,2,),)</f>
        <v/>
      </c>
      <c r="H10" s="5">
        <f>VLOOKUP($H$5,'Sectors Trend'!$B$6:$AN$23,VLOOKUP(A10,$U:$V,2,),)</f>
        <v/>
      </c>
      <c r="I10" s="5">
        <f>VLOOKUP($I$5,'Sectors Trend'!$B$6:$AN$23,VLOOKUP(A10,$U:$V,2,),)</f>
        <v/>
      </c>
      <c r="J10" s="5">
        <f>VLOOKUP($J$5,'Sectors Trend'!$B$6:$AN$23,VLOOKUP(A10,$U:$V,2,),)</f>
        <v/>
      </c>
      <c r="K10" s="5">
        <f>VLOOKUP($K$5,'Sectors Trend'!$B$6:$AN$23,VLOOKUP(A10,$U:$V,2,),)</f>
        <v/>
      </c>
      <c r="L10" s="5">
        <f>VLOOKUP($L$5,'Sectors Trend'!$B$6:$AN$23,VLOOKUP(A10,$U:$V,2,),)</f>
        <v/>
      </c>
      <c r="M10" s="5">
        <f>VLOOKUP($M$5,'Sectors Trend'!$B$6:$AN$23,VLOOKUP(A10,$U:$V,2,),)</f>
        <v/>
      </c>
      <c r="N10" s="5">
        <f>VLOOKUP($N$5,'Sectors Trend'!$B$6:$AN$23,VLOOKUP(A10,$U:$V,2,),)</f>
        <v/>
      </c>
      <c r="O10" s="5">
        <f>VLOOKUP($O$5,'Sectors Trend'!$B$6:$AN$23,VLOOKUP(A10,$U:$V,2,),)</f>
        <v/>
      </c>
      <c r="P10" s="5">
        <f>VLOOKUP($P$5,'Sectors Trend'!$B$6:$AN$23,VLOOKUP(A10,$U:$V,2,),)</f>
        <v/>
      </c>
      <c r="Q10" s="5">
        <f>VLOOKUP($Q$5,'Sectors Trend'!$B$6:$AN$23,VLOOKUP(A10,$U:$V,2,),)</f>
        <v/>
      </c>
      <c r="R10" s="5">
        <f>VLOOKUP($R$5,'Sectors Trend'!$B$6:$AN$23,VLOOKUP(A10,$U:$V,2,),)</f>
        <v/>
      </c>
      <c r="S10" s="40">
        <f>VLOOKUP($S$5,'Sectors Trend'!$B$6:$AN$23,VLOOKUP(A10,$U:$V,2,),)</f>
        <v/>
      </c>
      <c r="U10" s="7">
        <f>DATE(YEAR(U11),MONTH(U11)-1,DAY(U11))</f>
        <v/>
      </c>
      <c r="V10" s="1">
        <f>V11-1</f>
        <v/>
      </c>
      <c r="Y10" s="76">
        <f>MIN(B10:S10)</f>
        <v/>
      </c>
      <c r="Z10" s="76">
        <f>MAX(B10:S10)</f>
        <v/>
      </c>
    </row>
    <row r="11" ht="16" customHeight="1" s="65" thickBot="1">
      <c r="A11" s="8">
        <f>L1</f>
        <v/>
      </c>
      <c r="B11" s="41">
        <f>VLOOKUP($B$5,'Sectors Trend'!$B$6:$AN$23,VLOOKUP(A11,$U:$V,2,),)</f>
        <v/>
      </c>
      <c r="C11" s="41">
        <f>VLOOKUP($C$5,'Sectors Trend'!$B$6:$AN$23,VLOOKUP(A11,$U:$V,2,),)</f>
        <v/>
      </c>
      <c r="D11" s="41">
        <f>VLOOKUP($D$5,'Sectors Trend'!$B$6:$AN$23,VLOOKUP(A11,$U:$V,2,),)</f>
        <v/>
      </c>
      <c r="E11" s="41">
        <f>VLOOKUP($E$5,'Sectors Trend'!$B$6:$AN$23,VLOOKUP(A11,$U:$V,2,),)</f>
        <v/>
      </c>
      <c r="F11" s="41">
        <f>VLOOKUP($F$5,'Sectors Trend'!$B$6:$AN$23,VLOOKUP(A11,$U:$V,2,),)</f>
        <v/>
      </c>
      <c r="G11" s="41">
        <f>VLOOKUP($G$5,'Sectors Trend'!$B$6:$AN$23,VLOOKUP(A11,$U:$V,2,),)</f>
        <v/>
      </c>
      <c r="H11" s="41">
        <f>VLOOKUP($H$5,'Sectors Trend'!$B$6:$AN$23,VLOOKUP(A11,$U:$V,2,),)</f>
        <v/>
      </c>
      <c r="I11" s="41">
        <f>VLOOKUP($I$5,'Sectors Trend'!$B$6:$AN$23,VLOOKUP(A11,$U:$V,2,),)</f>
        <v/>
      </c>
      <c r="J11" s="41">
        <f>VLOOKUP($J$5,'Sectors Trend'!$B$6:$AN$23,VLOOKUP(A11,$U:$V,2,),)</f>
        <v/>
      </c>
      <c r="K11" s="41">
        <f>VLOOKUP($K$5,'Sectors Trend'!$B$6:$AN$23,VLOOKUP(A11,$U:$V,2,),)</f>
        <v/>
      </c>
      <c r="L11" s="41">
        <f>VLOOKUP($L$5,'Sectors Trend'!$B$6:$AN$23,VLOOKUP(A11,$U:$V,2,),)</f>
        <v/>
      </c>
      <c r="M11" s="41">
        <f>VLOOKUP($M$5,'Sectors Trend'!$B$6:$AN$23,VLOOKUP(A11,$U:$V,2,),)</f>
        <v/>
      </c>
      <c r="N11" s="41">
        <f>VLOOKUP($N$5,'Sectors Trend'!$B$6:$AN$23,VLOOKUP(A11,$U:$V,2,),)</f>
        <v/>
      </c>
      <c r="O11" s="41">
        <f>VLOOKUP($O$5,'Sectors Trend'!$B$6:$AN$23,VLOOKUP(A11,$U:$V,2,),)</f>
        <v/>
      </c>
      <c r="P11" s="41">
        <f>VLOOKUP($P$5,'Sectors Trend'!$B$6:$AN$23,VLOOKUP(A11,$U:$V,2,),)</f>
        <v/>
      </c>
      <c r="Q11" s="41">
        <f>VLOOKUP($Q$5,'Sectors Trend'!$B$6:$AN$23,VLOOKUP(A11,$U:$V,2,),)</f>
        <v/>
      </c>
      <c r="R11" s="41">
        <f>VLOOKUP($R$5,'Sectors Trend'!$B$6:$AN$23,VLOOKUP(A11,$U:$V,2,),)</f>
        <v/>
      </c>
      <c r="S11" s="42">
        <f>VLOOKUP($S$5,'Sectors Trend'!$B$6:$AN$23,VLOOKUP(A11,$U:$V,2,),)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70" zoomScaleNormal="70" workbookViewId="0">
      <selection activeCell="C362" sqref="C362"/>
    </sheetView>
  </sheetViews>
  <sheetFormatPr baseColWidth="8" defaultColWidth="9.1796875" defaultRowHeight="14.5"/>
  <cols>
    <col width="9.6328125" customWidth="1" style="76" min="1" max="1"/>
    <col width="8.81640625" customWidth="1" style="76" min="2" max="18"/>
    <col width="10.453125" customWidth="1" style="76" min="19" max="19"/>
    <col width="8.81640625" customWidth="1" style="76" min="20" max="20"/>
    <col width="9.1796875" customWidth="1" style="76" min="21" max="41"/>
    <col width="9.1796875" customWidth="1" style="76" min="42"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Trend'!$B$28:$AN$45,VLOOKUP(A6,$U:$V,2,),)</f>
        <v/>
      </c>
      <c r="C6" s="38">
        <f>VLOOKUP($C$5,'Sectors Trend'!$B$28:$AN$45,VLOOKUP(A6,$U:$V,2,),)</f>
        <v/>
      </c>
      <c r="D6" s="38">
        <f>VLOOKUP($D$5,'Sectors Trend'!$B$28:$AN$45,VLOOKUP(A6,$U:$V,2,),)</f>
        <v/>
      </c>
      <c r="E6" s="38">
        <f>VLOOKUP($E$5,'Sectors Trend'!$B$28:$AN$45,VLOOKUP(A6,$U:$V,2,),)</f>
        <v/>
      </c>
      <c r="F6" s="38">
        <f>VLOOKUP($F$5,'Sectors Trend'!$B$28:$AN$45,VLOOKUP(A6,$U:$V,2,),)</f>
        <v/>
      </c>
      <c r="G6" s="38">
        <f>VLOOKUP($G$5,'Sectors Trend'!$B$28:$AN$45,VLOOKUP(A6,$U:$V,2,),)</f>
        <v/>
      </c>
      <c r="H6" s="38">
        <f>VLOOKUP($H$5,'Sectors Trend'!$B$28:$AN$45,VLOOKUP(A6,$U:$V,2,),)</f>
        <v/>
      </c>
      <c r="I6" s="38">
        <f>VLOOKUP($I$5,'Sectors Trend'!$B$28:$AN$45,VLOOKUP(A6,$U:$V,2,),)</f>
        <v/>
      </c>
      <c r="J6" s="38">
        <f>VLOOKUP($J$5,'Sectors Trend'!$B$28:$AN$45,VLOOKUP(A6,$U:$V,2,),)</f>
        <v/>
      </c>
      <c r="K6" s="38">
        <f>VLOOKUP($K$5,'Sectors Trend'!$B$28:$AN$45,VLOOKUP(A6,$U:$V,2,),)</f>
        <v/>
      </c>
      <c r="L6" s="38">
        <f>VLOOKUP($L$5,'Sectors Trend'!$B$28:$AN$45,VLOOKUP(A6,$U:$V,2,),)</f>
        <v/>
      </c>
      <c r="M6" s="38">
        <f>VLOOKUP($M$5,'Sectors Trend'!$B$28:$AN$45,VLOOKUP(A6,$U:$V,2,),)</f>
        <v/>
      </c>
      <c r="N6" s="38">
        <f>VLOOKUP($N$5,'Sectors Trend'!$B$28:$AN$45,VLOOKUP(A6,$U:$V,2,),)</f>
        <v/>
      </c>
      <c r="O6" s="38">
        <f>VLOOKUP($O$5,'Sectors Trend'!$B$28:$AN$45,VLOOKUP(A6,$U:$V,2,),)</f>
        <v/>
      </c>
      <c r="P6" s="38">
        <f>VLOOKUP($P$5,'Sectors Trend'!$B$28:$AN$45,VLOOKUP(A6,$U:$V,2,),)</f>
        <v/>
      </c>
      <c r="Q6" s="38">
        <f>VLOOKUP($Q$5,'Sectors Trend'!$B$28:$AN$45,VLOOKUP(A6,$U:$V,2,),)</f>
        <v/>
      </c>
      <c r="R6" s="38">
        <f>VLOOKUP($R$5,'Sectors Trend'!$B$28:$AN$45,VLOOKUP(A6,$U:$V,2,),)</f>
        <v/>
      </c>
      <c r="S6" s="39">
        <f>VLOOKUP($S$5,'Sectors Trend'!$B$28:$AN$45,VLOOKUP(A6,$U:$V,2,),)</f>
        <v/>
      </c>
      <c r="U6" s="7">
        <f>DATE(YEAR(U7),MONTH(U7)-1,DAY(U7))</f>
        <v/>
      </c>
      <c r="V6" s="1">
        <f>V7-1</f>
        <v/>
      </c>
      <c r="Y6" s="76">
        <f>MIN(B6:S6)</f>
        <v/>
      </c>
      <c r="Z6" s="76">
        <f>MAX(B6:S6)</f>
        <v/>
      </c>
    </row>
    <row r="7">
      <c r="A7" s="8">
        <f>DATE(YEAR(A8),MONTH(A8)-1,DAY(A8))</f>
        <v/>
      </c>
      <c r="B7" s="5">
        <f>VLOOKUP($B$5,'Sectors Trend'!$B$28:$AN$45,VLOOKUP(A7,$U:$V,2,),)</f>
        <v/>
      </c>
      <c r="C7" s="5">
        <f>VLOOKUP($C$5,'Sectors Trend'!$B$28:$AN$45,VLOOKUP(A7,$U:$V,2,),)</f>
        <v/>
      </c>
      <c r="D7" s="5">
        <f>VLOOKUP($D$5,'Sectors Trend'!$B$28:$AN$45,VLOOKUP(A7,$U:$V,2,),)</f>
        <v/>
      </c>
      <c r="E7" s="5">
        <f>VLOOKUP($E$5,'Sectors Trend'!$B$28:$AN$45,VLOOKUP(A7,$U:$V,2,),)</f>
        <v/>
      </c>
      <c r="F7" s="5">
        <f>VLOOKUP($F$5,'Sectors Trend'!$B$28:$AN$45,VLOOKUP(A7,$U:$V,2,),)</f>
        <v/>
      </c>
      <c r="G7" s="5">
        <f>VLOOKUP($G$5,'Sectors Trend'!$B$28:$AN$45,VLOOKUP(A7,$U:$V,2,),)</f>
        <v/>
      </c>
      <c r="H7" s="5">
        <f>VLOOKUP($H$5,'Sectors Trend'!$B$28:$AN$45,VLOOKUP(A7,$U:$V,2,),)</f>
        <v/>
      </c>
      <c r="I7" s="5">
        <f>VLOOKUP($I$5,'Sectors Trend'!$B$28:$AN$45,VLOOKUP(A7,$U:$V,2,),)</f>
        <v/>
      </c>
      <c r="J7" s="5">
        <f>VLOOKUP($J$5,'Sectors Trend'!$B$28:$AN$45,VLOOKUP(A7,$U:$V,2,),)</f>
        <v/>
      </c>
      <c r="K7" s="5">
        <f>VLOOKUP($K$5,'Sectors Trend'!$B$28:$AN$45,VLOOKUP(A7,$U:$V,2,),)</f>
        <v/>
      </c>
      <c r="L7" s="5">
        <f>VLOOKUP($L$5,'Sectors Trend'!$B$28:$AN$45,VLOOKUP(A7,$U:$V,2,),)</f>
        <v/>
      </c>
      <c r="M7" s="5">
        <f>VLOOKUP($M$5,'Sectors Trend'!$B$28:$AN$45,VLOOKUP(A7,$U:$V,2,),)</f>
        <v/>
      </c>
      <c r="N7" s="5">
        <f>VLOOKUP($N$5,'Sectors Trend'!$B$28:$AN$45,VLOOKUP(A7,$U:$V,2,),)</f>
        <v/>
      </c>
      <c r="O7" s="5">
        <f>VLOOKUP($O$5,'Sectors Trend'!$B$28:$AN$45,VLOOKUP(A7,$U:$V,2,),)</f>
        <v/>
      </c>
      <c r="P7" s="5">
        <f>VLOOKUP($P$5,'Sectors Trend'!$B$28:$AN$45,VLOOKUP(A7,$U:$V,2,),)</f>
        <v/>
      </c>
      <c r="Q7" s="5">
        <f>VLOOKUP($Q$5,'Sectors Trend'!$B$28:$AN$45,VLOOKUP(A7,$U:$V,2,),)</f>
        <v/>
      </c>
      <c r="R7" s="5">
        <f>VLOOKUP($R$5,'Sectors Trend'!$B$28:$AN$45,VLOOKUP(A7,$U:$V,2,),)</f>
        <v/>
      </c>
      <c r="S7" s="40">
        <f>VLOOKUP($S$5,'Sectors Trend'!$B$28:$AN$45,VLOOKUP(A7,$U:$V,2,),)</f>
        <v/>
      </c>
      <c r="U7" s="7">
        <f>DATE(YEAR(U8),MONTH(U8)-1,DAY(U8))</f>
        <v/>
      </c>
      <c r="V7" s="1">
        <f>V8-1</f>
        <v/>
      </c>
      <c r="Y7" s="76">
        <f>MIN(B7:S7)</f>
        <v/>
      </c>
      <c r="Z7" s="76">
        <f>MAX(B7:S7)</f>
        <v/>
      </c>
    </row>
    <row r="8">
      <c r="A8" s="8">
        <f>DATE(YEAR(A9),MONTH(A9)-1,DAY(A9))</f>
        <v/>
      </c>
      <c r="B8" s="5">
        <f>VLOOKUP($B$5,'Sectors Trend'!$B$28:$AN$45,VLOOKUP(A8,$U:$V,2,),)</f>
        <v/>
      </c>
      <c r="C8" s="5">
        <f>VLOOKUP($C$5,'Sectors Trend'!$B$28:$AN$45,VLOOKUP(A8,$U:$V,2,),)</f>
        <v/>
      </c>
      <c r="D8" s="5">
        <f>VLOOKUP($D$5,'Sectors Trend'!$B$28:$AN$45,VLOOKUP(A8,$U:$V,2,),)</f>
        <v/>
      </c>
      <c r="E8" s="5">
        <f>VLOOKUP($E$5,'Sectors Trend'!$B$28:$AN$45,VLOOKUP(A8,$U:$V,2,),)</f>
        <v/>
      </c>
      <c r="F8" s="5">
        <f>VLOOKUP($F$5,'Sectors Trend'!$B$28:$AN$45,VLOOKUP(A8,$U:$V,2,),)</f>
        <v/>
      </c>
      <c r="G8" s="5">
        <f>VLOOKUP($G$5,'Sectors Trend'!$B$28:$AN$45,VLOOKUP(A8,$U:$V,2,),)</f>
        <v/>
      </c>
      <c r="H8" s="5">
        <f>VLOOKUP($H$5,'Sectors Trend'!$B$28:$AN$45,VLOOKUP(A8,$U:$V,2,),)</f>
        <v/>
      </c>
      <c r="I8" s="5">
        <f>VLOOKUP($I$5,'Sectors Trend'!$B$28:$AN$45,VLOOKUP(A8,$U:$V,2,),)</f>
        <v/>
      </c>
      <c r="J8" s="5">
        <f>VLOOKUP($J$5,'Sectors Trend'!$B$28:$AN$45,VLOOKUP(A8,$U:$V,2,),)</f>
        <v/>
      </c>
      <c r="K8" s="5">
        <f>VLOOKUP($K$5,'Sectors Trend'!$B$28:$AN$45,VLOOKUP(A8,$U:$V,2,),)</f>
        <v/>
      </c>
      <c r="L8" s="5">
        <f>VLOOKUP($L$5,'Sectors Trend'!$B$28:$AN$45,VLOOKUP(A8,$U:$V,2,),)</f>
        <v/>
      </c>
      <c r="M8" s="5">
        <f>VLOOKUP($M$5,'Sectors Trend'!$B$28:$AN$45,VLOOKUP(A8,$U:$V,2,),)</f>
        <v/>
      </c>
      <c r="N8" s="5">
        <f>VLOOKUP($N$5,'Sectors Trend'!$B$28:$AN$45,VLOOKUP(A8,$U:$V,2,),)</f>
        <v/>
      </c>
      <c r="O8" s="5">
        <f>VLOOKUP($O$5,'Sectors Trend'!$B$28:$AN$45,VLOOKUP(A8,$U:$V,2,),)</f>
        <v/>
      </c>
      <c r="P8" s="5">
        <f>VLOOKUP($P$5,'Sectors Trend'!$B$28:$AN$45,VLOOKUP(A8,$U:$V,2,),)</f>
        <v/>
      </c>
      <c r="Q8" s="5">
        <f>VLOOKUP($Q$5,'Sectors Trend'!$B$28:$AN$45,VLOOKUP(A8,$U:$V,2,),)</f>
        <v/>
      </c>
      <c r="R8" s="5">
        <f>VLOOKUP($R$5,'Sectors Trend'!$B$28:$AN$45,VLOOKUP(A8,$U:$V,2,),)</f>
        <v/>
      </c>
      <c r="S8" s="40">
        <f>VLOOKUP($S$5,'Sectors Trend'!$B$28:$AN$45,VLOOKUP(A8,$U:$V,2,),)</f>
        <v/>
      </c>
      <c r="U8" s="7">
        <f>DATE(YEAR(U9),MONTH(U9)-1,DAY(U9))</f>
        <v/>
      </c>
      <c r="V8" s="1">
        <f>V9-1</f>
        <v/>
      </c>
      <c r="Y8" s="76">
        <f>MIN(B8:S8)</f>
        <v/>
      </c>
      <c r="Z8" s="76">
        <f>MAX(B8:S8)</f>
        <v/>
      </c>
    </row>
    <row r="9">
      <c r="A9" s="8">
        <f>DATE(YEAR(A10),MONTH(A10)-1,DAY(A10))</f>
        <v/>
      </c>
      <c r="B9" s="5">
        <f>VLOOKUP($B$5,'Sectors Trend'!$B$28:$AN$45,VLOOKUP(A9,$U:$V,2,),)</f>
        <v/>
      </c>
      <c r="C9" s="5">
        <f>VLOOKUP($C$5,'Sectors Trend'!$B$28:$AN$45,VLOOKUP(A9,$U:$V,2,),)</f>
        <v/>
      </c>
      <c r="D9" s="5">
        <f>VLOOKUP($D$5,'Sectors Trend'!$B$28:$AN$45,VLOOKUP(A9,$U:$V,2,),)</f>
        <v/>
      </c>
      <c r="E9" s="5">
        <f>VLOOKUP($E$5,'Sectors Trend'!$B$28:$AN$45,VLOOKUP(A9,$U:$V,2,),)</f>
        <v/>
      </c>
      <c r="F9" s="5">
        <f>VLOOKUP($F$5,'Sectors Trend'!$B$28:$AN$45,VLOOKUP(A9,$U:$V,2,),)</f>
        <v/>
      </c>
      <c r="G9" s="5">
        <f>VLOOKUP($G$5,'Sectors Trend'!$B$28:$AN$45,VLOOKUP(A9,$U:$V,2,),)</f>
        <v/>
      </c>
      <c r="H9" s="5">
        <f>VLOOKUP($H$5,'Sectors Trend'!$B$28:$AN$45,VLOOKUP(A9,$U:$V,2,),)</f>
        <v/>
      </c>
      <c r="I9" s="5">
        <f>VLOOKUP($I$5,'Sectors Trend'!$B$28:$AN$45,VLOOKUP(A9,$U:$V,2,),)</f>
        <v/>
      </c>
      <c r="J9" s="5">
        <f>VLOOKUP($J$5,'Sectors Trend'!$B$28:$AN$45,VLOOKUP(A9,$U:$V,2,),)</f>
        <v/>
      </c>
      <c r="K9" s="5">
        <f>VLOOKUP($K$5,'Sectors Trend'!$B$28:$AN$45,VLOOKUP(A9,$U:$V,2,),)</f>
        <v/>
      </c>
      <c r="L9" s="5">
        <f>VLOOKUP($L$5,'Sectors Trend'!$B$28:$AN$45,VLOOKUP(A9,$U:$V,2,),)</f>
        <v/>
      </c>
      <c r="M9" s="5">
        <f>VLOOKUP($M$5,'Sectors Trend'!$B$28:$AN$45,VLOOKUP(A9,$U:$V,2,),)</f>
        <v/>
      </c>
      <c r="N9" s="5">
        <f>VLOOKUP($N$5,'Sectors Trend'!$B$28:$AN$45,VLOOKUP(A9,$U:$V,2,),)</f>
        <v/>
      </c>
      <c r="O9" s="5">
        <f>VLOOKUP($O$5,'Sectors Trend'!$B$28:$AN$45,VLOOKUP(A9,$U:$V,2,),)</f>
        <v/>
      </c>
      <c r="P9" s="5">
        <f>VLOOKUP($P$5,'Sectors Trend'!$B$28:$AN$45,VLOOKUP(A9,$U:$V,2,),)</f>
        <v/>
      </c>
      <c r="Q9" s="5">
        <f>VLOOKUP($Q$5,'Sectors Trend'!$B$28:$AN$45,VLOOKUP(A9,$U:$V,2,),)</f>
        <v/>
      </c>
      <c r="R9" s="5">
        <f>VLOOKUP($R$5,'Sectors Trend'!$B$28:$AN$45,VLOOKUP(A9,$U:$V,2,),)</f>
        <v/>
      </c>
      <c r="S9" s="40">
        <f>VLOOKUP($S$5,'Sectors Trend'!$B$28:$AN$45,VLOOKUP(A9,$U:$V,2,),)</f>
        <v/>
      </c>
      <c r="U9" s="7">
        <f>DATE(YEAR(U10),MONTH(U10)-1,DAY(U10))</f>
        <v/>
      </c>
      <c r="V9" s="1">
        <f>V10-1</f>
        <v/>
      </c>
      <c r="Y9" s="76">
        <f>MIN(B9:S9)</f>
        <v/>
      </c>
      <c r="Z9" s="76">
        <f>MAX(B9:S9)</f>
        <v/>
      </c>
    </row>
    <row r="10">
      <c r="A10" s="8">
        <f>DATE(YEAR(A11),MONTH(A11)-1,DAY(A11))</f>
        <v/>
      </c>
      <c r="B10" s="5">
        <f>VLOOKUP($B$5,'Sectors Trend'!$B$28:$AN$45,VLOOKUP(A10,$U:$V,2,),)</f>
        <v/>
      </c>
      <c r="C10" s="5">
        <f>VLOOKUP($C$5,'Sectors Trend'!$B$28:$AN$45,VLOOKUP(A10,$U:$V,2,),)</f>
        <v/>
      </c>
      <c r="D10" s="5">
        <f>VLOOKUP($D$5,'Sectors Trend'!$B$28:$AN$45,VLOOKUP(A10,$U:$V,2,),)</f>
        <v/>
      </c>
      <c r="E10" s="5">
        <f>VLOOKUP($E$5,'Sectors Trend'!$B$28:$AN$45,VLOOKUP(A10,$U:$V,2,),)</f>
        <v/>
      </c>
      <c r="F10" s="5">
        <f>VLOOKUP($F$5,'Sectors Trend'!$B$28:$AN$45,VLOOKUP(A10,$U:$V,2,),)</f>
        <v/>
      </c>
      <c r="G10" s="5">
        <f>VLOOKUP($G$5,'Sectors Trend'!$B$28:$AN$45,VLOOKUP(A10,$U:$V,2,),)</f>
        <v/>
      </c>
      <c r="H10" s="5">
        <f>VLOOKUP($H$5,'Sectors Trend'!$B$28:$AN$45,VLOOKUP(A10,$U:$V,2,),)</f>
        <v/>
      </c>
      <c r="I10" s="5">
        <f>VLOOKUP($I$5,'Sectors Trend'!$B$28:$AN$45,VLOOKUP(A10,$U:$V,2,),)</f>
        <v/>
      </c>
      <c r="J10" s="5">
        <f>VLOOKUP($J$5,'Sectors Trend'!$B$28:$AN$45,VLOOKUP(A10,$U:$V,2,),)</f>
        <v/>
      </c>
      <c r="K10" s="5">
        <f>VLOOKUP($K$5,'Sectors Trend'!$B$28:$AN$45,VLOOKUP(A10,$U:$V,2,),)</f>
        <v/>
      </c>
      <c r="L10" s="5">
        <f>VLOOKUP($L$5,'Sectors Trend'!$B$28:$AN$45,VLOOKUP(A10,$U:$V,2,),)</f>
        <v/>
      </c>
      <c r="M10" s="5">
        <f>VLOOKUP($M$5,'Sectors Trend'!$B$28:$AN$45,VLOOKUP(A10,$U:$V,2,),)</f>
        <v/>
      </c>
      <c r="N10" s="5">
        <f>VLOOKUP($N$5,'Sectors Trend'!$B$28:$AN$45,VLOOKUP(A10,$U:$V,2,),)</f>
        <v/>
      </c>
      <c r="O10" s="5">
        <f>VLOOKUP($O$5,'Sectors Trend'!$B$28:$AN$45,VLOOKUP(A10,$U:$V,2,),)</f>
        <v/>
      </c>
      <c r="P10" s="5">
        <f>VLOOKUP($P$5,'Sectors Trend'!$B$28:$AN$45,VLOOKUP(A10,$U:$V,2,),)</f>
        <v/>
      </c>
      <c r="Q10" s="5">
        <f>VLOOKUP($Q$5,'Sectors Trend'!$B$28:$AN$45,VLOOKUP(A10,$U:$V,2,),)</f>
        <v/>
      </c>
      <c r="R10" s="5">
        <f>VLOOKUP($R$5,'Sectors Trend'!$B$28:$AN$45,VLOOKUP(A10,$U:$V,2,),)</f>
        <v/>
      </c>
      <c r="S10" s="40">
        <f>VLOOKUP($S$5,'Sectors Trend'!$B$28:$AN$45,VLOOKUP(A10,$U:$V,2,),)</f>
        <v/>
      </c>
      <c r="U10" s="7">
        <f>DATE(YEAR(U11),MONTH(U11)-1,DAY(U11))</f>
        <v/>
      </c>
      <c r="V10" s="1">
        <f>V11-1</f>
        <v/>
      </c>
      <c r="Y10" s="76">
        <f>MIN(B10:S10)</f>
        <v/>
      </c>
      <c r="Z10" s="76">
        <f>MAX(B10:S10)</f>
        <v/>
      </c>
    </row>
    <row r="11" ht="16" customHeight="1" s="65" thickBot="1">
      <c r="A11" s="8">
        <f>L1</f>
        <v/>
      </c>
      <c r="B11" s="41">
        <f>VLOOKUP($B$5,'Sectors Trend'!$B$28:$AN$45,VLOOKUP(A11,$U:$V,2,),)</f>
        <v/>
      </c>
      <c r="C11" s="41">
        <f>VLOOKUP($C$5,'Sectors Trend'!$B$28:$AN$45,VLOOKUP(A11,$U:$V,2,),)</f>
        <v/>
      </c>
      <c r="D11" s="41">
        <f>VLOOKUP($D$5,'Sectors Trend'!$B$28:$AN$45,VLOOKUP(A11,$U:$V,2,),)</f>
        <v/>
      </c>
      <c r="E11" s="41">
        <f>VLOOKUP($E$5,'Sectors Trend'!$B$28:$AN$45,VLOOKUP(A11,$U:$V,2,),)</f>
        <v/>
      </c>
      <c r="F11" s="41">
        <f>VLOOKUP($F$5,'Sectors Trend'!$B$28:$AN$45,VLOOKUP(A11,$U:$V,2,),)</f>
        <v/>
      </c>
      <c r="G11" s="41">
        <f>VLOOKUP($G$5,'Sectors Trend'!$B$28:$AN$45,VLOOKUP(A11,$U:$V,2,),)</f>
        <v/>
      </c>
      <c r="H11" s="41">
        <f>VLOOKUP($H$5,'Sectors Trend'!$B$28:$AN$45,VLOOKUP(A11,$U:$V,2,),)</f>
        <v/>
      </c>
      <c r="I11" s="41">
        <f>VLOOKUP($I$5,'Sectors Trend'!$B$28:$AN$45,VLOOKUP(A11,$U:$V,2,),)</f>
        <v/>
      </c>
      <c r="J11" s="41">
        <f>VLOOKUP($J$5,'Sectors Trend'!$B$28:$AN$45,VLOOKUP(A11,$U:$V,2,),)</f>
        <v/>
      </c>
      <c r="K11" s="41">
        <f>VLOOKUP($K$5,'Sectors Trend'!$B$28:$AN$45,VLOOKUP(A11,$U:$V,2,),)</f>
        <v/>
      </c>
      <c r="L11" s="41">
        <f>VLOOKUP($L$5,'Sectors Trend'!$B$28:$AN$45,VLOOKUP(A11,$U:$V,2,),)</f>
        <v/>
      </c>
      <c r="M11" s="41">
        <f>VLOOKUP($M$5,'Sectors Trend'!$B$28:$AN$45,VLOOKUP(A11,$U:$V,2,),)</f>
        <v/>
      </c>
      <c r="N11" s="41">
        <f>VLOOKUP($N$5,'Sectors Trend'!$B$28:$AN$45,VLOOKUP(A11,$U:$V,2,),)</f>
        <v/>
      </c>
      <c r="O11" s="41">
        <f>VLOOKUP($O$5,'Sectors Trend'!$B$28:$AN$45,VLOOKUP(A11,$U:$V,2,),)</f>
        <v/>
      </c>
      <c r="P11" s="41">
        <f>VLOOKUP($P$5,'Sectors Trend'!$B$28:$AN$45,VLOOKUP(A11,$U:$V,2,),)</f>
        <v/>
      </c>
      <c r="Q11" s="41">
        <f>VLOOKUP($Q$5,'Sectors Trend'!$B$28:$AN$45,VLOOKUP(A11,$U:$V,2,),)</f>
        <v/>
      </c>
      <c r="R11" s="41">
        <f>VLOOKUP($R$5,'Sectors Trend'!$B$28:$AN$45,VLOOKUP(A11,$U:$V,2,),)</f>
        <v/>
      </c>
      <c r="S11" s="42">
        <f>VLOOKUP($S$5,'Sectors Trend'!$B$28:$AN$45,VLOOKUP(A11,$U:$V,2,),)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50" zoomScaleNormal="50" workbookViewId="0">
      <selection activeCell="AC25" sqref="AC25"/>
    </sheetView>
  </sheetViews>
  <sheetFormatPr baseColWidth="8" defaultColWidth="9.1796875" defaultRowHeight="14.5"/>
  <cols>
    <col width="9.6328125" customWidth="1" style="76" min="1" max="1"/>
    <col width="8.81640625" customWidth="1" style="76" min="2" max="20"/>
    <col width="9.1796875" customWidth="1" style="76" min="21" max="41"/>
    <col width="9.1796875" customWidth="1" style="76" min="42"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Trend'!$B$50:$AN$67,VLOOKUP(A6,$U:$V,2,),)</f>
        <v/>
      </c>
      <c r="C6" s="38">
        <f>VLOOKUP($C$5,'Sectors Trend'!$B$50:$AN$67,VLOOKUP(A6,$U:$V,2,),)</f>
        <v/>
      </c>
      <c r="D6" s="38">
        <f>VLOOKUP($D$5,'Sectors Trend'!$B$50:$AN$67,VLOOKUP(A6,$U:$V,2,),)</f>
        <v/>
      </c>
      <c r="E6" s="38">
        <f>VLOOKUP($E$5,'Sectors Trend'!$B$50:$AN$67,VLOOKUP(A6,$U:$V,2,),)</f>
        <v/>
      </c>
      <c r="F6" s="38">
        <f>VLOOKUP($F$5,'Sectors Trend'!$B$50:$AN$67,VLOOKUP(A6,$U:$V,2,),)</f>
        <v/>
      </c>
      <c r="G6" s="38">
        <f>VLOOKUP($G$5,'Sectors Trend'!$B$50:$AN$67,VLOOKUP(A6,$U:$V,2,),)</f>
        <v/>
      </c>
      <c r="H6" s="38">
        <f>VLOOKUP($H$5,'Sectors Trend'!$B$50:$AN$67,VLOOKUP(A6,$U:$V,2,),)</f>
        <v/>
      </c>
      <c r="I6" s="38">
        <f>VLOOKUP($I$5,'Sectors Trend'!$B$50:$AN$67,VLOOKUP(A6,$U:$V,2,),)</f>
        <v/>
      </c>
      <c r="J6" s="38">
        <f>VLOOKUP($J$5,'Sectors Trend'!$B$50:$AN$67,VLOOKUP(A6,$U:$V,2,),)</f>
        <v/>
      </c>
      <c r="K6" s="38">
        <f>VLOOKUP($K$5,'Sectors Trend'!$B$50:$AN$67,VLOOKUP(A6,$U:$V,2,),)</f>
        <v/>
      </c>
      <c r="L6" s="38">
        <f>VLOOKUP($L$5,'Sectors Trend'!$B$50:$AN$67,VLOOKUP(A6,$U:$V,2,),)</f>
        <v/>
      </c>
      <c r="M6" s="38">
        <f>VLOOKUP($M$5,'Sectors Trend'!$B$50:$AN$67,VLOOKUP(A6,$U:$V,2,),)</f>
        <v/>
      </c>
      <c r="N6" s="38">
        <f>VLOOKUP($N$5,'Sectors Trend'!$B$50:$AN$67,VLOOKUP(A6,$U:$V,2,),)</f>
        <v/>
      </c>
      <c r="O6" s="38">
        <f>VLOOKUP($O$5,'Sectors Trend'!$B$50:$AN$67,VLOOKUP(A6,$U:$V,2,),)</f>
        <v/>
      </c>
      <c r="P6" s="38">
        <f>VLOOKUP($P$5,'Sectors Trend'!$B$50:$AN$67,VLOOKUP(A6,$U:$V,2,),)</f>
        <v/>
      </c>
      <c r="Q6" s="38">
        <f>VLOOKUP($Q$5,'Sectors Trend'!$B$50:$AN$67,VLOOKUP(A6,$U:$V,2,),)</f>
        <v/>
      </c>
      <c r="R6" s="38">
        <f>VLOOKUP($R$5,'Sectors Trend'!$B$50:$AN$67,VLOOKUP(A6,$U:$V,2,),)</f>
        <v/>
      </c>
      <c r="S6" s="39">
        <f>VLOOKUP($S$5,'Sectors Trend'!$B$50:$AN$67,VLOOKUP(A6,$U:$V,2,),)</f>
        <v/>
      </c>
      <c r="U6" s="7">
        <f>DATE(YEAR(U7),MONTH(U7)-1,DAY(U7))</f>
        <v/>
      </c>
      <c r="V6" s="1">
        <f>V7-1</f>
        <v/>
      </c>
      <c r="Y6" s="76">
        <f>MIN(B6:S6)</f>
        <v/>
      </c>
      <c r="Z6" s="76">
        <f>MAX(B6:S6)</f>
        <v/>
      </c>
    </row>
    <row r="7">
      <c r="A7" s="8">
        <f>DATE(YEAR(A8),MONTH(A8)-1,DAY(A8))</f>
        <v/>
      </c>
      <c r="B7" s="5">
        <f>VLOOKUP($B$5,'Sectors Trend'!$B$50:$AN$67,VLOOKUP(A7,$U:$V,2,),)</f>
        <v/>
      </c>
      <c r="C7" s="5">
        <f>VLOOKUP($C$5,'Sectors Trend'!$B$50:$AN$67,VLOOKUP(A7,$U:$V,2,),)</f>
        <v/>
      </c>
      <c r="D7" s="5">
        <f>VLOOKUP($D$5,'Sectors Trend'!$B$50:$AN$67,VLOOKUP(A7,$U:$V,2,),)</f>
        <v/>
      </c>
      <c r="E7" s="5">
        <f>VLOOKUP($E$5,'Sectors Trend'!$B$50:$AN$67,VLOOKUP(A7,$U:$V,2,),)</f>
        <v/>
      </c>
      <c r="F7" s="5">
        <f>VLOOKUP($F$5,'Sectors Trend'!$B$50:$AN$67,VLOOKUP(A7,$U:$V,2,),)</f>
        <v/>
      </c>
      <c r="G7" s="5">
        <f>VLOOKUP($G$5,'Sectors Trend'!$B$50:$AN$67,VLOOKUP(A7,$U:$V,2,),)</f>
        <v/>
      </c>
      <c r="H7" s="5">
        <f>VLOOKUP($H$5,'Sectors Trend'!$B$50:$AN$67,VLOOKUP(A7,$U:$V,2,),)</f>
        <v/>
      </c>
      <c r="I7" s="5">
        <f>VLOOKUP($I$5,'Sectors Trend'!$B$50:$AN$67,VLOOKUP(A7,$U:$V,2,),)</f>
        <v/>
      </c>
      <c r="J7" s="5">
        <f>VLOOKUP($J$5,'Sectors Trend'!$B$50:$AN$67,VLOOKUP(A7,$U:$V,2,),)</f>
        <v/>
      </c>
      <c r="K7" s="5">
        <f>VLOOKUP($K$5,'Sectors Trend'!$B$50:$AN$67,VLOOKUP(A7,$U:$V,2,),)</f>
        <v/>
      </c>
      <c r="L7" s="5">
        <f>VLOOKUP($L$5,'Sectors Trend'!$B$50:$AN$67,VLOOKUP(A7,$U:$V,2,),)</f>
        <v/>
      </c>
      <c r="M7" s="5">
        <f>VLOOKUP($M$5,'Sectors Trend'!$B$50:$AN$67,VLOOKUP(A7,$U:$V,2,),)</f>
        <v/>
      </c>
      <c r="N7" s="5">
        <f>VLOOKUP($N$5,'Sectors Trend'!$B$50:$AN$67,VLOOKUP(A7,$U:$V,2,),)</f>
        <v/>
      </c>
      <c r="O7" s="5">
        <f>VLOOKUP($O$5,'Sectors Trend'!$B$50:$AN$67,VLOOKUP(A7,$U:$V,2,),)</f>
        <v/>
      </c>
      <c r="P7" s="5">
        <f>VLOOKUP($P$5,'Sectors Trend'!$B$50:$AN$67,VLOOKUP(A7,$U:$V,2,),)</f>
        <v/>
      </c>
      <c r="Q7" s="5">
        <f>VLOOKUP($Q$5,'Sectors Trend'!$B$50:$AN$67,VLOOKUP(A7,$U:$V,2,),)</f>
        <v/>
      </c>
      <c r="R7" s="5">
        <f>VLOOKUP($R$5,'Sectors Trend'!$B$50:$AN$67,VLOOKUP(A7,$U:$V,2,),)</f>
        <v/>
      </c>
      <c r="S7" s="40">
        <f>VLOOKUP($S$5,'Sectors Trend'!$B$50:$AN$67,VLOOKUP(A7,$U:$V,2,),)</f>
        <v/>
      </c>
      <c r="U7" s="7">
        <f>DATE(YEAR(U8),MONTH(U8)-1,DAY(U8))</f>
        <v/>
      </c>
      <c r="V7" s="1">
        <f>V8-1</f>
        <v/>
      </c>
      <c r="Y7" s="76">
        <f>MIN(B7:S7)</f>
        <v/>
      </c>
      <c r="Z7" s="76">
        <f>MAX(B7:S7)</f>
        <v/>
      </c>
    </row>
    <row r="8">
      <c r="A8" s="8">
        <f>DATE(YEAR(A9),MONTH(A9)-1,DAY(A9))</f>
        <v/>
      </c>
      <c r="B8" s="5">
        <f>VLOOKUP($B$5,'Sectors Trend'!$B$50:$AN$67,VLOOKUP(A8,$U:$V,2,),)</f>
        <v/>
      </c>
      <c r="C8" s="5">
        <f>VLOOKUP($C$5,'Sectors Trend'!$B$50:$AN$67,VLOOKUP(A8,$U:$V,2,),)</f>
        <v/>
      </c>
      <c r="D8" s="5">
        <f>VLOOKUP($D$5,'Sectors Trend'!$B$50:$AN$67,VLOOKUP(A8,$U:$V,2,),)</f>
        <v/>
      </c>
      <c r="E8" s="5">
        <f>VLOOKUP($E$5,'Sectors Trend'!$B$50:$AN$67,VLOOKUP(A8,$U:$V,2,),)</f>
        <v/>
      </c>
      <c r="F8" s="5">
        <f>VLOOKUP($F$5,'Sectors Trend'!$B$50:$AN$67,VLOOKUP(A8,$U:$V,2,),)</f>
        <v/>
      </c>
      <c r="G8" s="5">
        <f>VLOOKUP($G$5,'Sectors Trend'!$B$50:$AN$67,VLOOKUP(A8,$U:$V,2,),)</f>
        <v/>
      </c>
      <c r="H8" s="5">
        <f>VLOOKUP($H$5,'Sectors Trend'!$B$50:$AN$67,VLOOKUP(A8,$U:$V,2,),)</f>
        <v/>
      </c>
      <c r="I8" s="5">
        <f>VLOOKUP($I$5,'Sectors Trend'!$B$50:$AN$67,VLOOKUP(A8,$U:$V,2,),)</f>
        <v/>
      </c>
      <c r="J8" s="5">
        <f>VLOOKUP($J$5,'Sectors Trend'!$B$50:$AN$67,VLOOKUP(A8,$U:$V,2,),)</f>
        <v/>
      </c>
      <c r="K8" s="5">
        <f>VLOOKUP($K$5,'Sectors Trend'!$B$50:$AN$67,VLOOKUP(A8,$U:$V,2,),)</f>
        <v/>
      </c>
      <c r="L8" s="5">
        <f>VLOOKUP($L$5,'Sectors Trend'!$B$50:$AN$67,VLOOKUP(A8,$U:$V,2,),)</f>
        <v/>
      </c>
      <c r="M8" s="5">
        <f>VLOOKUP($M$5,'Sectors Trend'!$B$50:$AN$67,VLOOKUP(A8,$U:$V,2,),)</f>
        <v/>
      </c>
      <c r="N8" s="5">
        <f>VLOOKUP($N$5,'Sectors Trend'!$B$50:$AN$67,VLOOKUP(A8,$U:$V,2,),)</f>
        <v/>
      </c>
      <c r="O8" s="5">
        <f>VLOOKUP($O$5,'Sectors Trend'!$B$50:$AN$67,VLOOKUP(A8,$U:$V,2,),)</f>
        <v/>
      </c>
      <c r="P8" s="5">
        <f>VLOOKUP($P$5,'Sectors Trend'!$B$50:$AN$67,VLOOKUP(A8,$U:$V,2,),)</f>
        <v/>
      </c>
      <c r="Q8" s="5">
        <f>VLOOKUP($Q$5,'Sectors Trend'!$B$50:$AN$67,VLOOKUP(A8,$U:$V,2,),)</f>
        <v/>
      </c>
      <c r="R8" s="5">
        <f>VLOOKUP($R$5,'Sectors Trend'!$B$50:$AN$67,VLOOKUP(A8,$U:$V,2,),)</f>
        <v/>
      </c>
      <c r="S8" s="40">
        <f>VLOOKUP($S$5,'Sectors Trend'!$B$50:$AN$67,VLOOKUP(A8,$U:$V,2,),)</f>
        <v/>
      </c>
      <c r="U8" s="7">
        <f>DATE(YEAR(U9),MONTH(U9)-1,DAY(U9))</f>
        <v/>
      </c>
      <c r="V8" s="1">
        <f>V9-1</f>
        <v/>
      </c>
      <c r="Y8" s="76">
        <f>MIN(B8:S8)</f>
        <v/>
      </c>
      <c r="Z8" s="76">
        <f>MAX(B8:S8)</f>
        <v/>
      </c>
    </row>
    <row r="9">
      <c r="A9" s="8">
        <f>DATE(YEAR(A10),MONTH(A10)-1,DAY(A10))</f>
        <v/>
      </c>
      <c r="B9" s="5">
        <f>VLOOKUP($B$5,'Sectors Trend'!$B$50:$AN$67,VLOOKUP(A9,$U:$V,2,),)</f>
        <v/>
      </c>
      <c r="C9" s="5">
        <f>VLOOKUP($C$5,'Sectors Trend'!$B$50:$AN$67,VLOOKUP(A9,$U:$V,2,),)</f>
        <v/>
      </c>
      <c r="D9" s="5">
        <f>VLOOKUP($D$5,'Sectors Trend'!$B$50:$AN$67,VLOOKUP(A9,$U:$V,2,),)</f>
        <v/>
      </c>
      <c r="E9" s="5">
        <f>VLOOKUP($E$5,'Sectors Trend'!$B$50:$AN$67,VLOOKUP(A9,$U:$V,2,),)</f>
        <v/>
      </c>
      <c r="F9" s="5">
        <f>VLOOKUP($F$5,'Sectors Trend'!$B$50:$AN$67,VLOOKUP(A9,$U:$V,2,),)</f>
        <v/>
      </c>
      <c r="G9" s="5">
        <f>VLOOKUP($G$5,'Sectors Trend'!$B$50:$AN$67,VLOOKUP(A9,$U:$V,2,),)</f>
        <v/>
      </c>
      <c r="H9" s="5">
        <f>VLOOKUP($H$5,'Sectors Trend'!$B$50:$AN$67,VLOOKUP(A9,$U:$V,2,),)</f>
        <v/>
      </c>
      <c r="I9" s="5">
        <f>VLOOKUP($I$5,'Sectors Trend'!$B$50:$AN$67,VLOOKUP(A9,$U:$V,2,),)</f>
        <v/>
      </c>
      <c r="J9" s="5">
        <f>VLOOKUP($J$5,'Sectors Trend'!$B$50:$AN$67,VLOOKUP(A9,$U:$V,2,),)</f>
        <v/>
      </c>
      <c r="K9" s="5">
        <f>VLOOKUP($K$5,'Sectors Trend'!$B$50:$AN$67,VLOOKUP(A9,$U:$V,2,),)</f>
        <v/>
      </c>
      <c r="L9" s="5">
        <f>VLOOKUP($L$5,'Sectors Trend'!$B$50:$AN$67,VLOOKUP(A9,$U:$V,2,),)</f>
        <v/>
      </c>
      <c r="M9" s="5">
        <f>VLOOKUP($M$5,'Sectors Trend'!$B$50:$AN$67,VLOOKUP(A9,$U:$V,2,),)</f>
        <v/>
      </c>
      <c r="N9" s="5">
        <f>VLOOKUP($N$5,'Sectors Trend'!$B$50:$AN$67,VLOOKUP(A9,$U:$V,2,),)</f>
        <v/>
      </c>
      <c r="O9" s="5">
        <f>VLOOKUP($O$5,'Sectors Trend'!$B$50:$AN$67,VLOOKUP(A9,$U:$V,2,),)</f>
        <v/>
      </c>
      <c r="P9" s="5">
        <f>VLOOKUP($P$5,'Sectors Trend'!$B$50:$AN$67,VLOOKUP(A9,$U:$V,2,),)</f>
        <v/>
      </c>
      <c r="Q9" s="5">
        <f>VLOOKUP($Q$5,'Sectors Trend'!$B$50:$AN$67,VLOOKUP(A9,$U:$V,2,),)</f>
        <v/>
      </c>
      <c r="R9" s="5">
        <f>VLOOKUP($R$5,'Sectors Trend'!$B$50:$AN$67,VLOOKUP(A9,$U:$V,2,),)</f>
        <v/>
      </c>
      <c r="S9" s="40">
        <f>VLOOKUP($S$5,'Sectors Trend'!$B$50:$AN$67,VLOOKUP(A9,$U:$V,2,),)</f>
        <v/>
      </c>
      <c r="U9" s="7">
        <f>DATE(YEAR(U10),MONTH(U10)-1,DAY(U10))</f>
        <v/>
      </c>
      <c r="V9" s="1">
        <f>V10-1</f>
        <v/>
      </c>
      <c r="Y9" s="76">
        <f>MIN(B9:S9)</f>
        <v/>
      </c>
      <c r="Z9" s="76">
        <f>MAX(B9:S9)</f>
        <v/>
      </c>
    </row>
    <row r="10">
      <c r="A10" s="8">
        <f>DATE(YEAR(A11),MONTH(A11)-1,DAY(A11))</f>
        <v/>
      </c>
      <c r="B10" s="5">
        <f>VLOOKUP($B$5,'Sectors Trend'!$B$50:$AN$67,VLOOKUP(A10,$U:$V,2,),)</f>
        <v/>
      </c>
      <c r="C10" s="5">
        <f>VLOOKUP($C$5,'Sectors Trend'!$B$50:$AN$67,VLOOKUP(A10,$U:$V,2,),)</f>
        <v/>
      </c>
      <c r="D10" s="5">
        <f>VLOOKUP($D$5,'Sectors Trend'!$B$50:$AN$67,VLOOKUP(A10,$U:$V,2,),)</f>
        <v/>
      </c>
      <c r="E10" s="5">
        <f>VLOOKUP($E$5,'Sectors Trend'!$B$50:$AN$67,VLOOKUP(A10,$U:$V,2,),)</f>
        <v/>
      </c>
      <c r="F10" s="5">
        <f>VLOOKUP($F$5,'Sectors Trend'!$B$50:$AN$67,VLOOKUP(A10,$U:$V,2,),)</f>
        <v/>
      </c>
      <c r="G10" s="5">
        <f>VLOOKUP($G$5,'Sectors Trend'!$B$50:$AN$67,VLOOKUP(A10,$U:$V,2,),)</f>
        <v/>
      </c>
      <c r="H10" s="5">
        <f>VLOOKUP($H$5,'Sectors Trend'!$B$50:$AN$67,VLOOKUP(A10,$U:$V,2,),)</f>
        <v/>
      </c>
      <c r="I10" s="5">
        <f>VLOOKUP($I$5,'Sectors Trend'!$B$50:$AN$67,VLOOKUP(A10,$U:$V,2,),)</f>
        <v/>
      </c>
      <c r="J10" s="5">
        <f>VLOOKUP($J$5,'Sectors Trend'!$B$50:$AN$67,VLOOKUP(A10,$U:$V,2,),)</f>
        <v/>
      </c>
      <c r="K10" s="5">
        <f>VLOOKUP($K$5,'Sectors Trend'!$B$50:$AN$67,VLOOKUP(A10,$U:$V,2,),)</f>
        <v/>
      </c>
      <c r="L10" s="5">
        <f>VLOOKUP($L$5,'Sectors Trend'!$B$50:$AN$67,VLOOKUP(A10,$U:$V,2,),)</f>
        <v/>
      </c>
      <c r="M10" s="5">
        <f>VLOOKUP($M$5,'Sectors Trend'!$B$50:$AN$67,VLOOKUP(A10,$U:$V,2,),)</f>
        <v/>
      </c>
      <c r="N10" s="5">
        <f>VLOOKUP($N$5,'Sectors Trend'!$B$50:$AN$67,VLOOKUP(A10,$U:$V,2,),)</f>
        <v/>
      </c>
      <c r="O10" s="5">
        <f>VLOOKUP($O$5,'Sectors Trend'!$B$50:$AN$67,VLOOKUP(A10,$U:$V,2,),)</f>
        <v/>
      </c>
      <c r="P10" s="5">
        <f>VLOOKUP($P$5,'Sectors Trend'!$B$50:$AN$67,VLOOKUP(A10,$U:$V,2,),)</f>
        <v/>
      </c>
      <c r="Q10" s="5">
        <f>VLOOKUP($Q$5,'Sectors Trend'!$B$50:$AN$67,VLOOKUP(A10,$U:$V,2,),)</f>
        <v/>
      </c>
      <c r="R10" s="5">
        <f>VLOOKUP($R$5,'Sectors Trend'!$B$50:$AN$67,VLOOKUP(A10,$U:$V,2,),)</f>
        <v/>
      </c>
      <c r="S10" s="40">
        <f>VLOOKUP($S$5,'Sectors Trend'!$B$50:$AN$67,VLOOKUP(A10,$U:$V,2,),)</f>
        <v/>
      </c>
      <c r="U10" s="7">
        <f>DATE(YEAR(U11),MONTH(U11)-1,DAY(U11))</f>
        <v/>
      </c>
      <c r="V10" s="1">
        <f>V11-1</f>
        <v/>
      </c>
      <c r="Y10" s="76">
        <f>MIN(B10:S10)</f>
        <v/>
      </c>
      <c r="Z10" s="76">
        <f>MAX(B10:S10)</f>
        <v/>
      </c>
    </row>
    <row r="11" ht="16" customHeight="1" s="65" thickBot="1">
      <c r="A11" s="8">
        <f>L1</f>
        <v/>
      </c>
      <c r="B11" s="41">
        <f>VLOOKUP($B$5,'Sectors Trend'!$B$50:$AN$67,VLOOKUP(A11,$U:$V,2,),)</f>
        <v/>
      </c>
      <c r="C11" s="41">
        <f>VLOOKUP($C$5,'Sectors Trend'!$B$50:$AN$67,VLOOKUP(A11,$U:$V,2,),)</f>
        <v/>
      </c>
      <c r="D11" s="41">
        <f>VLOOKUP($D$5,'Sectors Trend'!$B$50:$AN$67,VLOOKUP(A11,$U:$V,2,),)</f>
        <v/>
      </c>
      <c r="E11" s="41">
        <f>VLOOKUP($E$5,'Sectors Trend'!$B$50:$AN$67,VLOOKUP(A11,$U:$V,2,),)</f>
        <v/>
      </c>
      <c r="F11" s="41">
        <f>VLOOKUP($F$5,'Sectors Trend'!$B$50:$AN$67,VLOOKUP(A11,$U:$V,2,),)</f>
        <v/>
      </c>
      <c r="G11" s="41">
        <f>VLOOKUP($G$5,'Sectors Trend'!$B$50:$AN$67,VLOOKUP(A11,$U:$V,2,),)</f>
        <v/>
      </c>
      <c r="H11" s="41">
        <f>VLOOKUP($H$5,'Sectors Trend'!$B$50:$AN$67,VLOOKUP(A11,$U:$V,2,),)</f>
        <v/>
      </c>
      <c r="I11" s="41">
        <f>VLOOKUP($I$5,'Sectors Trend'!$B$50:$AN$67,VLOOKUP(A11,$U:$V,2,),)</f>
        <v/>
      </c>
      <c r="J11" s="41">
        <f>VLOOKUP($J$5,'Sectors Trend'!$B$50:$AN$67,VLOOKUP(A11,$U:$V,2,),)</f>
        <v/>
      </c>
      <c r="K11" s="41">
        <f>VLOOKUP($K$5,'Sectors Trend'!$B$50:$AN$67,VLOOKUP(A11,$U:$V,2,),)</f>
        <v/>
      </c>
      <c r="L11" s="41">
        <f>VLOOKUP($L$5,'Sectors Trend'!$B$50:$AN$67,VLOOKUP(A11,$U:$V,2,),)</f>
        <v/>
      </c>
      <c r="M11" s="41">
        <f>VLOOKUP($M$5,'Sectors Trend'!$B$50:$AN$67,VLOOKUP(A11,$U:$V,2,),)</f>
        <v/>
      </c>
      <c r="N11" s="41">
        <f>VLOOKUP($N$5,'Sectors Trend'!$B$50:$AN$67,VLOOKUP(A11,$U:$V,2,),)</f>
        <v/>
      </c>
      <c r="O11" s="41">
        <f>VLOOKUP($O$5,'Sectors Trend'!$B$50:$AN$67,VLOOKUP(A11,$U:$V,2,),)</f>
        <v/>
      </c>
      <c r="P11" s="41">
        <f>VLOOKUP($P$5,'Sectors Trend'!$B$50:$AN$67,VLOOKUP(A11,$U:$V,2,),)</f>
        <v/>
      </c>
      <c r="Q11" s="41">
        <f>VLOOKUP($Q$5,'Sectors Trend'!$B$50:$AN$67,VLOOKUP(A11,$U:$V,2,),)</f>
        <v/>
      </c>
      <c r="R11" s="41">
        <f>VLOOKUP($R$5,'Sectors Trend'!$B$50:$AN$67,VLOOKUP(A11,$U:$V,2,),)</f>
        <v/>
      </c>
      <c r="S11" s="42">
        <f>VLOOKUP($S$5,'Sectors Trend'!$B$50:$AN$67,VLOOKUP(A11,$U:$V,2,),)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Q68"/>
  <sheetViews>
    <sheetView zoomScale="70" zoomScaleNormal="70" workbookViewId="0">
      <pane xSplit="2" ySplit="5" topLeftCell="Y6" activePane="bottomRight" state="frozen"/>
      <selection activeCell="C362" sqref="C362"/>
      <selection pane="topRight" activeCell="C362" sqref="C362"/>
      <selection pane="bottomLeft" activeCell="C362" sqref="C362"/>
      <selection pane="bottomRight" activeCell="AQ25" sqref="AQ25"/>
    </sheetView>
  </sheetViews>
  <sheetFormatPr baseColWidth="8" defaultColWidth="8.81640625" defaultRowHeight="14.5"/>
  <cols>
    <col width="9.1796875" customWidth="1" style="76" min="1" max="1"/>
    <col width="30.453125" customWidth="1" style="76" min="2" max="2"/>
    <col width="10.453125" customWidth="1" style="29" min="3" max="36"/>
    <col width="10.1796875" customWidth="1" style="76" min="37" max="40"/>
    <col width="9.1796875" customWidth="1" style="76" min="41" max="42"/>
    <col width="10.6328125" bestFit="1" customWidth="1" style="76" min="43" max="43"/>
    <col width="9.1796875" customWidth="1" style="76" min="44" max="243"/>
    <col width="28.6328125" customWidth="1" style="76" min="244" max="244"/>
    <col width="9" bestFit="1" customWidth="1" style="76" min="245" max="245"/>
    <col width="5.36328125" customWidth="1" style="76" min="246" max="246"/>
    <col width="9" bestFit="1" customWidth="1" style="76" min="247" max="247"/>
    <col width="5.36328125" customWidth="1" style="76" min="248" max="248"/>
    <col width="9" bestFit="1" customWidth="1" style="76" min="249" max="249"/>
    <col width="5" customWidth="1" style="76" min="250" max="250"/>
    <col width="9" bestFit="1" customWidth="1" style="76" min="251" max="251"/>
    <col width="5.1796875" customWidth="1" style="76" min="252" max="252"/>
    <col width="9.1796875" customWidth="1" style="76" min="253" max="253"/>
    <col width="6" customWidth="1" style="76" min="254" max="254"/>
    <col width="9.1796875" customWidth="1" style="76" min="255" max="255"/>
    <col width="6" customWidth="1" style="76" min="256" max="256"/>
    <col width="10.1796875" customWidth="1" style="76" min="257" max="258"/>
    <col width="10" customWidth="1" style="76" min="259" max="259"/>
    <col width="10.36328125" customWidth="1" style="76" min="260" max="260"/>
    <col width="9.1796875" customWidth="1" style="76" min="261" max="271"/>
    <col width="11.36328125" customWidth="1" style="76" min="272" max="272"/>
    <col hidden="1" width="13" customWidth="1" style="76" min="273" max="293"/>
    <col width="9.1796875" customWidth="1" style="76" min="294" max="499"/>
    <col width="28.6328125" customWidth="1" style="76" min="500" max="500"/>
    <col width="9" bestFit="1" customWidth="1" style="76" min="501" max="501"/>
    <col width="5.36328125" customWidth="1" style="76" min="502" max="502"/>
    <col width="9" bestFit="1" customWidth="1" style="76" min="503" max="503"/>
    <col width="5.36328125" customWidth="1" style="76" min="504" max="504"/>
    <col width="9" bestFit="1" customWidth="1" style="76" min="505" max="505"/>
    <col width="5" customWidth="1" style="76" min="506" max="506"/>
    <col width="9" bestFit="1" customWidth="1" style="76" min="507" max="507"/>
    <col width="5.1796875" customWidth="1" style="76" min="508" max="508"/>
    <col width="9.1796875" customWidth="1" style="76" min="509" max="509"/>
    <col width="6" customWidth="1" style="76" min="510" max="510"/>
    <col width="9.1796875" customWidth="1" style="76" min="511" max="511"/>
    <col width="6" customWidth="1" style="76" min="512" max="512"/>
    <col width="10.1796875" customWidth="1" style="76" min="513" max="514"/>
    <col width="10" customWidth="1" style="76" min="515" max="515"/>
    <col width="10.36328125" customWidth="1" style="76" min="516" max="516"/>
    <col width="9.1796875" customWidth="1" style="76" min="517" max="527"/>
    <col width="11.36328125" customWidth="1" style="76" min="528" max="528"/>
    <col hidden="1" width="13" customWidth="1" style="76" min="529" max="549"/>
    <col width="9.1796875" customWidth="1" style="76" min="550" max="755"/>
    <col width="28.6328125" customWidth="1" style="76" min="756" max="756"/>
    <col width="9" bestFit="1" customWidth="1" style="76" min="757" max="757"/>
    <col width="5.36328125" customWidth="1" style="76" min="758" max="758"/>
    <col width="9" bestFit="1" customWidth="1" style="76" min="759" max="759"/>
    <col width="5.36328125" customWidth="1" style="76" min="760" max="760"/>
    <col width="9" bestFit="1" customWidth="1" style="76" min="761" max="761"/>
    <col width="5" customWidth="1" style="76" min="762" max="762"/>
    <col width="9" bestFit="1" customWidth="1" style="76" min="763" max="763"/>
    <col width="5.1796875" customWidth="1" style="76" min="764" max="764"/>
    <col width="9.1796875" customWidth="1" style="76" min="765" max="765"/>
    <col width="6" customWidth="1" style="76" min="766" max="766"/>
    <col width="9.1796875" customWidth="1" style="76" min="767" max="767"/>
    <col width="6" customWidth="1" style="76" min="768" max="768"/>
    <col width="10.1796875" customWidth="1" style="76" min="769" max="770"/>
    <col width="10" customWidth="1" style="76" min="771" max="771"/>
    <col width="10.36328125" customWidth="1" style="76" min="772" max="772"/>
    <col width="9.1796875" customWidth="1" style="76" min="773" max="783"/>
    <col width="11.36328125" customWidth="1" style="76" min="784" max="784"/>
    <col hidden="1" width="13" customWidth="1" style="76" min="785" max="805"/>
    <col width="9.1796875" customWidth="1" style="76" min="806" max="1011"/>
    <col width="28.6328125" customWidth="1" style="76" min="1012" max="1012"/>
    <col width="9" bestFit="1" customWidth="1" style="76" min="1013" max="1013"/>
    <col width="5.36328125" customWidth="1" style="76" min="1014" max="1014"/>
    <col width="9" bestFit="1" customWidth="1" style="76" min="1015" max="1015"/>
    <col width="5.36328125" customWidth="1" style="76" min="1016" max="1016"/>
    <col width="9" bestFit="1" customWidth="1" style="76" min="1017" max="1017"/>
    <col width="5" customWidth="1" style="76" min="1018" max="1018"/>
    <col width="9" bestFit="1" customWidth="1" style="76" min="1019" max="1019"/>
    <col width="5.1796875" customWidth="1" style="76" min="1020" max="1020"/>
    <col width="9.1796875" customWidth="1" style="76" min="1021" max="1021"/>
    <col width="6" customWidth="1" style="76" min="1022" max="1022"/>
    <col width="9.1796875" customWidth="1" style="76" min="1023" max="1023"/>
    <col width="6" customWidth="1" style="76" min="1024" max="1024"/>
    <col width="10.1796875" customWidth="1" style="76" min="1025" max="1026"/>
    <col width="10" customWidth="1" style="76" min="1027" max="1027"/>
    <col width="10.36328125" customWidth="1" style="76" min="1028" max="1028"/>
    <col width="9.1796875" customWidth="1" style="76" min="1029" max="1039"/>
    <col width="11.36328125" customWidth="1" style="76" min="1040" max="1040"/>
    <col hidden="1" width="13" customWidth="1" style="76" min="1041" max="1061"/>
    <col width="9.1796875" customWidth="1" style="76" min="1062" max="1267"/>
    <col width="28.6328125" customWidth="1" style="76" min="1268" max="1268"/>
    <col width="9" bestFit="1" customWidth="1" style="76" min="1269" max="1269"/>
    <col width="5.36328125" customWidth="1" style="76" min="1270" max="1270"/>
    <col width="9" bestFit="1" customWidth="1" style="76" min="1271" max="1271"/>
    <col width="5.36328125" customWidth="1" style="76" min="1272" max="1272"/>
    <col width="9" bestFit="1" customWidth="1" style="76" min="1273" max="1273"/>
    <col width="5" customWidth="1" style="76" min="1274" max="1274"/>
    <col width="9" bestFit="1" customWidth="1" style="76" min="1275" max="1275"/>
    <col width="5.1796875" customWidth="1" style="76" min="1276" max="1276"/>
    <col width="9.1796875" customWidth="1" style="76" min="1277" max="1277"/>
    <col width="6" customWidth="1" style="76" min="1278" max="1278"/>
    <col width="9.1796875" customWidth="1" style="76" min="1279" max="1279"/>
    <col width="6" customWidth="1" style="76" min="1280" max="1280"/>
    <col width="10.1796875" customWidth="1" style="76" min="1281" max="1282"/>
    <col width="10" customWidth="1" style="76" min="1283" max="1283"/>
    <col width="10.36328125" customWidth="1" style="76" min="1284" max="1284"/>
    <col width="9.1796875" customWidth="1" style="76" min="1285" max="1295"/>
    <col width="11.36328125" customWidth="1" style="76" min="1296" max="1296"/>
    <col hidden="1" width="13" customWidth="1" style="76" min="1297" max="1317"/>
    <col width="9.1796875" customWidth="1" style="76" min="1318" max="1523"/>
    <col width="28.6328125" customWidth="1" style="76" min="1524" max="1524"/>
    <col width="9" bestFit="1" customWidth="1" style="76" min="1525" max="1525"/>
    <col width="5.36328125" customWidth="1" style="76" min="1526" max="1526"/>
    <col width="9" bestFit="1" customWidth="1" style="76" min="1527" max="1527"/>
    <col width="5.36328125" customWidth="1" style="76" min="1528" max="1528"/>
    <col width="9" bestFit="1" customWidth="1" style="76" min="1529" max="1529"/>
    <col width="5" customWidth="1" style="76" min="1530" max="1530"/>
    <col width="9" bestFit="1" customWidth="1" style="76" min="1531" max="1531"/>
    <col width="5.1796875" customWidth="1" style="76" min="1532" max="1532"/>
    <col width="9.1796875" customWidth="1" style="76" min="1533" max="1533"/>
    <col width="6" customWidth="1" style="76" min="1534" max="1534"/>
    <col width="9.1796875" customWidth="1" style="76" min="1535" max="1535"/>
    <col width="6" customWidth="1" style="76" min="1536" max="1536"/>
    <col width="10.1796875" customWidth="1" style="76" min="1537" max="1538"/>
    <col width="10" customWidth="1" style="76" min="1539" max="1539"/>
    <col width="10.36328125" customWidth="1" style="76" min="1540" max="1540"/>
    <col width="9.1796875" customWidth="1" style="76" min="1541" max="1551"/>
    <col width="11.36328125" customWidth="1" style="76" min="1552" max="1552"/>
    <col hidden="1" width="13" customWidth="1" style="76" min="1553" max="1573"/>
    <col width="9.1796875" customWidth="1" style="76" min="1574" max="1779"/>
    <col width="28.6328125" customWidth="1" style="76" min="1780" max="1780"/>
    <col width="9" bestFit="1" customWidth="1" style="76" min="1781" max="1781"/>
    <col width="5.36328125" customWidth="1" style="76" min="1782" max="1782"/>
    <col width="9" bestFit="1" customWidth="1" style="76" min="1783" max="1783"/>
    <col width="5.36328125" customWidth="1" style="76" min="1784" max="1784"/>
    <col width="9" bestFit="1" customWidth="1" style="76" min="1785" max="1785"/>
    <col width="5" customWidth="1" style="76" min="1786" max="1786"/>
    <col width="9" bestFit="1" customWidth="1" style="76" min="1787" max="1787"/>
    <col width="5.1796875" customWidth="1" style="76" min="1788" max="1788"/>
    <col width="9.1796875" customWidth="1" style="76" min="1789" max="1789"/>
    <col width="6" customWidth="1" style="76" min="1790" max="1790"/>
    <col width="9.1796875" customWidth="1" style="76" min="1791" max="1791"/>
    <col width="6" customWidth="1" style="76" min="1792" max="1792"/>
    <col width="10.1796875" customWidth="1" style="76" min="1793" max="1794"/>
    <col width="10" customWidth="1" style="76" min="1795" max="1795"/>
    <col width="10.36328125" customWidth="1" style="76" min="1796" max="1796"/>
    <col width="9.1796875" customWidth="1" style="76" min="1797" max="1807"/>
    <col width="11.36328125" customWidth="1" style="76" min="1808" max="1808"/>
    <col hidden="1" width="13" customWidth="1" style="76" min="1809" max="1829"/>
    <col width="9.1796875" customWidth="1" style="76" min="1830" max="2035"/>
    <col width="28.6328125" customWidth="1" style="76" min="2036" max="2036"/>
    <col width="9" bestFit="1" customWidth="1" style="76" min="2037" max="2037"/>
    <col width="5.36328125" customWidth="1" style="76" min="2038" max="2038"/>
    <col width="9" bestFit="1" customWidth="1" style="76" min="2039" max="2039"/>
    <col width="5.36328125" customWidth="1" style="76" min="2040" max="2040"/>
    <col width="9" bestFit="1" customWidth="1" style="76" min="2041" max="2041"/>
    <col width="5" customWidth="1" style="76" min="2042" max="2042"/>
    <col width="9" bestFit="1" customWidth="1" style="76" min="2043" max="2043"/>
    <col width="5.1796875" customWidth="1" style="76" min="2044" max="2044"/>
    <col width="9.1796875" customWidth="1" style="76" min="2045" max="2045"/>
    <col width="6" customWidth="1" style="76" min="2046" max="2046"/>
    <col width="9.1796875" customWidth="1" style="76" min="2047" max="2047"/>
    <col width="6" customWidth="1" style="76" min="2048" max="2048"/>
    <col width="10.1796875" customWidth="1" style="76" min="2049" max="2050"/>
    <col width="10" customWidth="1" style="76" min="2051" max="2051"/>
    <col width="10.36328125" customWidth="1" style="76" min="2052" max="2052"/>
    <col width="9.1796875" customWidth="1" style="76" min="2053" max="2063"/>
    <col width="11.36328125" customWidth="1" style="76" min="2064" max="2064"/>
    <col hidden="1" width="13" customWidth="1" style="76" min="2065" max="2085"/>
    <col width="9.1796875" customWidth="1" style="76" min="2086" max="2291"/>
    <col width="28.6328125" customWidth="1" style="76" min="2292" max="2292"/>
    <col width="9" bestFit="1" customWidth="1" style="76" min="2293" max="2293"/>
    <col width="5.36328125" customWidth="1" style="76" min="2294" max="2294"/>
    <col width="9" bestFit="1" customWidth="1" style="76" min="2295" max="2295"/>
    <col width="5.36328125" customWidth="1" style="76" min="2296" max="2296"/>
    <col width="9" bestFit="1" customWidth="1" style="76" min="2297" max="2297"/>
    <col width="5" customWidth="1" style="76" min="2298" max="2298"/>
    <col width="9" bestFit="1" customWidth="1" style="76" min="2299" max="2299"/>
    <col width="5.1796875" customWidth="1" style="76" min="2300" max="2300"/>
    <col width="9.1796875" customWidth="1" style="76" min="2301" max="2301"/>
    <col width="6" customWidth="1" style="76" min="2302" max="2302"/>
    <col width="9.1796875" customWidth="1" style="76" min="2303" max="2303"/>
    <col width="6" customWidth="1" style="76" min="2304" max="2304"/>
    <col width="10.1796875" customWidth="1" style="76" min="2305" max="2306"/>
    <col width="10" customWidth="1" style="76" min="2307" max="2307"/>
    <col width="10.36328125" customWidth="1" style="76" min="2308" max="2308"/>
    <col width="9.1796875" customWidth="1" style="76" min="2309" max="2319"/>
    <col width="11.36328125" customWidth="1" style="76" min="2320" max="2320"/>
    <col hidden="1" width="13" customWidth="1" style="76" min="2321" max="2341"/>
    <col width="9.1796875" customWidth="1" style="76" min="2342" max="2547"/>
    <col width="28.6328125" customWidth="1" style="76" min="2548" max="2548"/>
    <col width="9" bestFit="1" customWidth="1" style="76" min="2549" max="2549"/>
    <col width="5.36328125" customWidth="1" style="76" min="2550" max="2550"/>
    <col width="9" bestFit="1" customWidth="1" style="76" min="2551" max="2551"/>
    <col width="5.36328125" customWidth="1" style="76" min="2552" max="2552"/>
    <col width="9" bestFit="1" customWidth="1" style="76" min="2553" max="2553"/>
    <col width="5" customWidth="1" style="76" min="2554" max="2554"/>
    <col width="9" bestFit="1" customWidth="1" style="76" min="2555" max="2555"/>
    <col width="5.1796875" customWidth="1" style="76" min="2556" max="2556"/>
    <col width="9.1796875" customWidth="1" style="76" min="2557" max="2557"/>
    <col width="6" customWidth="1" style="76" min="2558" max="2558"/>
    <col width="9.1796875" customWidth="1" style="76" min="2559" max="2559"/>
    <col width="6" customWidth="1" style="76" min="2560" max="2560"/>
    <col width="10.1796875" customWidth="1" style="76" min="2561" max="2562"/>
    <col width="10" customWidth="1" style="76" min="2563" max="2563"/>
    <col width="10.36328125" customWidth="1" style="76" min="2564" max="2564"/>
    <col width="9.1796875" customWidth="1" style="76" min="2565" max="2575"/>
    <col width="11.36328125" customWidth="1" style="76" min="2576" max="2576"/>
    <col hidden="1" width="13" customWidth="1" style="76" min="2577" max="2597"/>
    <col width="9.1796875" customWidth="1" style="76" min="2598" max="2803"/>
    <col width="28.6328125" customWidth="1" style="76" min="2804" max="2804"/>
    <col width="9" bestFit="1" customWidth="1" style="76" min="2805" max="2805"/>
    <col width="5.36328125" customWidth="1" style="76" min="2806" max="2806"/>
    <col width="9" bestFit="1" customWidth="1" style="76" min="2807" max="2807"/>
    <col width="5.36328125" customWidth="1" style="76" min="2808" max="2808"/>
    <col width="9" bestFit="1" customWidth="1" style="76" min="2809" max="2809"/>
    <col width="5" customWidth="1" style="76" min="2810" max="2810"/>
    <col width="9" bestFit="1" customWidth="1" style="76" min="2811" max="2811"/>
    <col width="5.1796875" customWidth="1" style="76" min="2812" max="2812"/>
    <col width="9.1796875" customWidth="1" style="76" min="2813" max="2813"/>
    <col width="6" customWidth="1" style="76" min="2814" max="2814"/>
    <col width="9.1796875" customWidth="1" style="76" min="2815" max="2815"/>
    <col width="6" customWidth="1" style="76" min="2816" max="2816"/>
    <col width="10.1796875" customWidth="1" style="76" min="2817" max="2818"/>
    <col width="10" customWidth="1" style="76" min="2819" max="2819"/>
    <col width="10.36328125" customWidth="1" style="76" min="2820" max="2820"/>
    <col width="9.1796875" customWidth="1" style="76" min="2821" max="2831"/>
    <col width="11.36328125" customWidth="1" style="76" min="2832" max="2832"/>
    <col hidden="1" width="13" customWidth="1" style="76" min="2833" max="2853"/>
    <col width="9.1796875" customWidth="1" style="76" min="2854" max="3059"/>
    <col width="28.6328125" customWidth="1" style="76" min="3060" max="3060"/>
    <col width="9" bestFit="1" customWidth="1" style="76" min="3061" max="3061"/>
    <col width="5.36328125" customWidth="1" style="76" min="3062" max="3062"/>
    <col width="9" bestFit="1" customWidth="1" style="76" min="3063" max="3063"/>
    <col width="5.36328125" customWidth="1" style="76" min="3064" max="3064"/>
    <col width="9" bestFit="1" customWidth="1" style="76" min="3065" max="3065"/>
    <col width="5" customWidth="1" style="76" min="3066" max="3066"/>
    <col width="9" bestFit="1" customWidth="1" style="76" min="3067" max="3067"/>
    <col width="5.1796875" customWidth="1" style="76" min="3068" max="3068"/>
    <col width="9.1796875" customWidth="1" style="76" min="3069" max="3069"/>
    <col width="6" customWidth="1" style="76" min="3070" max="3070"/>
    <col width="9.1796875" customWidth="1" style="76" min="3071" max="3071"/>
    <col width="6" customWidth="1" style="76" min="3072" max="3072"/>
    <col width="10.1796875" customWidth="1" style="76" min="3073" max="3074"/>
    <col width="10" customWidth="1" style="76" min="3075" max="3075"/>
    <col width="10.36328125" customWidth="1" style="76" min="3076" max="3076"/>
    <col width="9.1796875" customWidth="1" style="76" min="3077" max="3087"/>
    <col width="11.36328125" customWidth="1" style="76" min="3088" max="3088"/>
    <col hidden="1" width="13" customWidth="1" style="76" min="3089" max="3109"/>
    <col width="9.1796875" customWidth="1" style="76" min="3110" max="3315"/>
    <col width="28.6328125" customWidth="1" style="76" min="3316" max="3316"/>
    <col width="9" bestFit="1" customWidth="1" style="76" min="3317" max="3317"/>
    <col width="5.36328125" customWidth="1" style="76" min="3318" max="3318"/>
    <col width="9" bestFit="1" customWidth="1" style="76" min="3319" max="3319"/>
    <col width="5.36328125" customWidth="1" style="76" min="3320" max="3320"/>
    <col width="9" bestFit="1" customWidth="1" style="76" min="3321" max="3321"/>
    <col width="5" customWidth="1" style="76" min="3322" max="3322"/>
    <col width="9" bestFit="1" customWidth="1" style="76" min="3323" max="3323"/>
    <col width="5.1796875" customWidth="1" style="76" min="3324" max="3324"/>
    <col width="9.1796875" customWidth="1" style="76" min="3325" max="3325"/>
    <col width="6" customWidth="1" style="76" min="3326" max="3326"/>
    <col width="9.1796875" customWidth="1" style="76" min="3327" max="3327"/>
    <col width="6" customWidth="1" style="76" min="3328" max="3328"/>
    <col width="10.1796875" customWidth="1" style="76" min="3329" max="3330"/>
    <col width="10" customWidth="1" style="76" min="3331" max="3331"/>
    <col width="10.36328125" customWidth="1" style="76" min="3332" max="3332"/>
    <col width="9.1796875" customWidth="1" style="76" min="3333" max="3343"/>
    <col width="11.36328125" customWidth="1" style="76" min="3344" max="3344"/>
    <col hidden="1" width="13" customWidth="1" style="76" min="3345" max="3365"/>
    <col width="9.1796875" customWidth="1" style="76" min="3366" max="3571"/>
    <col width="28.6328125" customWidth="1" style="76" min="3572" max="3572"/>
    <col width="9" bestFit="1" customWidth="1" style="76" min="3573" max="3573"/>
    <col width="5.36328125" customWidth="1" style="76" min="3574" max="3574"/>
    <col width="9" bestFit="1" customWidth="1" style="76" min="3575" max="3575"/>
    <col width="5.36328125" customWidth="1" style="76" min="3576" max="3576"/>
    <col width="9" bestFit="1" customWidth="1" style="76" min="3577" max="3577"/>
    <col width="5" customWidth="1" style="76" min="3578" max="3578"/>
    <col width="9" bestFit="1" customWidth="1" style="76" min="3579" max="3579"/>
    <col width="5.1796875" customWidth="1" style="76" min="3580" max="3580"/>
    <col width="9.1796875" customWidth="1" style="76" min="3581" max="3581"/>
    <col width="6" customWidth="1" style="76" min="3582" max="3582"/>
    <col width="9.1796875" customWidth="1" style="76" min="3583" max="3583"/>
    <col width="6" customWidth="1" style="76" min="3584" max="3584"/>
    <col width="10.1796875" customWidth="1" style="76" min="3585" max="3586"/>
    <col width="10" customWidth="1" style="76" min="3587" max="3587"/>
    <col width="10.36328125" customWidth="1" style="76" min="3588" max="3588"/>
    <col width="9.1796875" customWidth="1" style="76" min="3589" max="3599"/>
    <col width="11.36328125" customWidth="1" style="76" min="3600" max="3600"/>
    <col hidden="1" width="13" customWidth="1" style="76" min="3601" max="3621"/>
    <col width="9.1796875" customWidth="1" style="76" min="3622" max="3827"/>
    <col width="28.6328125" customWidth="1" style="76" min="3828" max="3828"/>
    <col width="9" bestFit="1" customWidth="1" style="76" min="3829" max="3829"/>
    <col width="5.36328125" customWidth="1" style="76" min="3830" max="3830"/>
    <col width="9" bestFit="1" customWidth="1" style="76" min="3831" max="3831"/>
    <col width="5.36328125" customWidth="1" style="76" min="3832" max="3832"/>
    <col width="9" bestFit="1" customWidth="1" style="76" min="3833" max="3833"/>
    <col width="5" customWidth="1" style="76" min="3834" max="3834"/>
    <col width="9" bestFit="1" customWidth="1" style="76" min="3835" max="3835"/>
    <col width="5.1796875" customWidth="1" style="76" min="3836" max="3836"/>
    <col width="9.1796875" customWidth="1" style="76" min="3837" max="3837"/>
    <col width="6" customWidth="1" style="76" min="3838" max="3838"/>
    <col width="9.1796875" customWidth="1" style="76" min="3839" max="3839"/>
    <col width="6" customWidth="1" style="76" min="3840" max="3840"/>
    <col width="10.1796875" customWidth="1" style="76" min="3841" max="3842"/>
    <col width="10" customWidth="1" style="76" min="3843" max="3843"/>
    <col width="10.36328125" customWidth="1" style="76" min="3844" max="3844"/>
    <col width="9.1796875" customWidth="1" style="76" min="3845" max="3855"/>
    <col width="11.36328125" customWidth="1" style="76" min="3856" max="3856"/>
    <col hidden="1" width="13" customWidth="1" style="76" min="3857" max="3877"/>
    <col width="9.1796875" customWidth="1" style="76" min="3878" max="4083"/>
    <col width="28.6328125" customWidth="1" style="76" min="4084" max="4084"/>
    <col width="9" bestFit="1" customWidth="1" style="76" min="4085" max="4085"/>
    <col width="5.36328125" customWidth="1" style="76" min="4086" max="4086"/>
    <col width="9" bestFit="1" customWidth="1" style="76" min="4087" max="4087"/>
    <col width="5.36328125" customWidth="1" style="76" min="4088" max="4088"/>
    <col width="9" bestFit="1" customWidth="1" style="76" min="4089" max="4089"/>
    <col width="5" customWidth="1" style="76" min="4090" max="4090"/>
    <col width="9" bestFit="1" customWidth="1" style="76" min="4091" max="4091"/>
    <col width="5.1796875" customWidth="1" style="76" min="4092" max="4092"/>
    <col width="9.1796875" customWidth="1" style="76" min="4093" max="4093"/>
    <col width="6" customWidth="1" style="76" min="4094" max="4094"/>
    <col width="9.1796875" customWidth="1" style="76" min="4095" max="4095"/>
    <col width="6" customWidth="1" style="76" min="4096" max="4096"/>
    <col width="10.1796875" customWidth="1" style="76" min="4097" max="4098"/>
    <col width="10" customWidth="1" style="76" min="4099" max="4099"/>
    <col width="10.36328125" customWidth="1" style="76" min="4100" max="4100"/>
    <col width="9.1796875" customWidth="1" style="76" min="4101" max="4111"/>
    <col width="11.36328125" customWidth="1" style="76" min="4112" max="4112"/>
    <col hidden="1" width="13" customWidth="1" style="76" min="4113" max="4133"/>
    <col width="9.1796875" customWidth="1" style="76" min="4134" max="4339"/>
    <col width="28.6328125" customWidth="1" style="76" min="4340" max="4340"/>
    <col width="9" bestFit="1" customWidth="1" style="76" min="4341" max="4341"/>
    <col width="5.36328125" customWidth="1" style="76" min="4342" max="4342"/>
    <col width="9" bestFit="1" customWidth="1" style="76" min="4343" max="4343"/>
    <col width="5.36328125" customWidth="1" style="76" min="4344" max="4344"/>
    <col width="9" bestFit="1" customWidth="1" style="76" min="4345" max="4345"/>
    <col width="5" customWidth="1" style="76" min="4346" max="4346"/>
    <col width="9" bestFit="1" customWidth="1" style="76" min="4347" max="4347"/>
    <col width="5.1796875" customWidth="1" style="76" min="4348" max="4348"/>
    <col width="9.1796875" customWidth="1" style="76" min="4349" max="4349"/>
    <col width="6" customWidth="1" style="76" min="4350" max="4350"/>
    <col width="9.1796875" customWidth="1" style="76" min="4351" max="4351"/>
    <col width="6" customWidth="1" style="76" min="4352" max="4352"/>
    <col width="10.1796875" customWidth="1" style="76" min="4353" max="4354"/>
    <col width="10" customWidth="1" style="76" min="4355" max="4355"/>
    <col width="10.36328125" customWidth="1" style="76" min="4356" max="4356"/>
    <col width="9.1796875" customWidth="1" style="76" min="4357" max="4367"/>
    <col width="11.36328125" customWidth="1" style="76" min="4368" max="4368"/>
    <col hidden="1" width="13" customWidth="1" style="76" min="4369" max="4389"/>
    <col width="9.1796875" customWidth="1" style="76" min="4390" max="4595"/>
    <col width="28.6328125" customWidth="1" style="76" min="4596" max="4596"/>
    <col width="9" bestFit="1" customWidth="1" style="76" min="4597" max="4597"/>
    <col width="5.36328125" customWidth="1" style="76" min="4598" max="4598"/>
    <col width="9" bestFit="1" customWidth="1" style="76" min="4599" max="4599"/>
    <col width="5.36328125" customWidth="1" style="76" min="4600" max="4600"/>
    <col width="9" bestFit="1" customWidth="1" style="76" min="4601" max="4601"/>
    <col width="5" customWidth="1" style="76" min="4602" max="4602"/>
    <col width="9" bestFit="1" customWidth="1" style="76" min="4603" max="4603"/>
    <col width="5.1796875" customWidth="1" style="76" min="4604" max="4604"/>
    <col width="9.1796875" customWidth="1" style="76" min="4605" max="4605"/>
    <col width="6" customWidth="1" style="76" min="4606" max="4606"/>
    <col width="9.1796875" customWidth="1" style="76" min="4607" max="4607"/>
    <col width="6" customWidth="1" style="76" min="4608" max="4608"/>
    <col width="10.1796875" customWidth="1" style="76" min="4609" max="4610"/>
    <col width="10" customWidth="1" style="76" min="4611" max="4611"/>
    <col width="10.36328125" customWidth="1" style="76" min="4612" max="4612"/>
    <col width="9.1796875" customWidth="1" style="76" min="4613" max="4623"/>
    <col width="11.36328125" customWidth="1" style="76" min="4624" max="4624"/>
    <col hidden="1" width="13" customWidth="1" style="76" min="4625" max="4645"/>
    <col width="9.1796875" customWidth="1" style="76" min="4646" max="4851"/>
    <col width="28.6328125" customWidth="1" style="76" min="4852" max="4852"/>
    <col width="9" bestFit="1" customWidth="1" style="76" min="4853" max="4853"/>
    <col width="5.36328125" customWidth="1" style="76" min="4854" max="4854"/>
    <col width="9" bestFit="1" customWidth="1" style="76" min="4855" max="4855"/>
    <col width="5.36328125" customWidth="1" style="76" min="4856" max="4856"/>
    <col width="9" bestFit="1" customWidth="1" style="76" min="4857" max="4857"/>
    <col width="5" customWidth="1" style="76" min="4858" max="4858"/>
    <col width="9" bestFit="1" customWidth="1" style="76" min="4859" max="4859"/>
    <col width="5.1796875" customWidth="1" style="76" min="4860" max="4860"/>
    <col width="9.1796875" customWidth="1" style="76" min="4861" max="4861"/>
    <col width="6" customWidth="1" style="76" min="4862" max="4862"/>
    <col width="9.1796875" customWidth="1" style="76" min="4863" max="4863"/>
    <col width="6" customWidth="1" style="76" min="4864" max="4864"/>
    <col width="10.1796875" customWidth="1" style="76" min="4865" max="4866"/>
    <col width="10" customWidth="1" style="76" min="4867" max="4867"/>
    <col width="10.36328125" customWidth="1" style="76" min="4868" max="4868"/>
    <col width="9.1796875" customWidth="1" style="76" min="4869" max="4879"/>
    <col width="11.36328125" customWidth="1" style="76" min="4880" max="4880"/>
    <col hidden="1" width="13" customWidth="1" style="76" min="4881" max="4901"/>
    <col width="9.1796875" customWidth="1" style="76" min="4902" max="5107"/>
    <col width="28.6328125" customWidth="1" style="76" min="5108" max="5108"/>
    <col width="9" bestFit="1" customWidth="1" style="76" min="5109" max="5109"/>
    <col width="5.36328125" customWidth="1" style="76" min="5110" max="5110"/>
    <col width="9" bestFit="1" customWidth="1" style="76" min="5111" max="5111"/>
    <col width="5.36328125" customWidth="1" style="76" min="5112" max="5112"/>
    <col width="9" bestFit="1" customWidth="1" style="76" min="5113" max="5113"/>
    <col width="5" customWidth="1" style="76" min="5114" max="5114"/>
    <col width="9" bestFit="1" customWidth="1" style="76" min="5115" max="5115"/>
    <col width="5.1796875" customWidth="1" style="76" min="5116" max="5116"/>
    <col width="9.1796875" customWidth="1" style="76" min="5117" max="5117"/>
    <col width="6" customWidth="1" style="76" min="5118" max="5118"/>
    <col width="9.1796875" customWidth="1" style="76" min="5119" max="5119"/>
    <col width="6" customWidth="1" style="76" min="5120" max="5120"/>
    <col width="10.1796875" customWidth="1" style="76" min="5121" max="5122"/>
    <col width="10" customWidth="1" style="76" min="5123" max="5123"/>
    <col width="10.36328125" customWidth="1" style="76" min="5124" max="5124"/>
    <col width="9.1796875" customWidth="1" style="76" min="5125" max="5135"/>
    <col width="11.36328125" customWidth="1" style="76" min="5136" max="5136"/>
    <col hidden="1" width="13" customWidth="1" style="76" min="5137" max="5157"/>
    <col width="9.1796875" customWidth="1" style="76" min="5158" max="5363"/>
    <col width="28.6328125" customWidth="1" style="76" min="5364" max="5364"/>
    <col width="9" bestFit="1" customWidth="1" style="76" min="5365" max="5365"/>
    <col width="5.36328125" customWidth="1" style="76" min="5366" max="5366"/>
    <col width="9" bestFit="1" customWidth="1" style="76" min="5367" max="5367"/>
    <col width="5.36328125" customWidth="1" style="76" min="5368" max="5368"/>
    <col width="9" bestFit="1" customWidth="1" style="76" min="5369" max="5369"/>
    <col width="5" customWidth="1" style="76" min="5370" max="5370"/>
    <col width="9" bestFit="1" customWidth="1" style="76" min="5371" max="5371"/>
    <col width="5.1796875" customWidth="1" style="76" min="5372" max="5372"/>
    <col width="9.1796875" customWidth="1" style="76" min="5373" max="5373"/>
    <col width="6" customWidth="1" style="76" min="5374" max="5374"/>
    <col width="9.1796875" customWidth="1" style="76" min="5375" max="5375"/>
    <col width="6" customWidth="1" style="76" min="5376" max="5376"/>
    <col width="10.1796875" customWidth="1" style="76" min="5377" max="5378"/>
    <col width="10" customWidth="1" style="76" min="5379" max="5379"/>
    <col width="10.36328125" customWidth="1" style="76" min="5380" max="5380"/>
    <col width="9.1796875" customWidth="1" style="76" min="5381" max="5391"/>
    <col width="11.36328125" customWidth="1" style="76" min="5392" max="5392"/>
    <col hidden="1" width="13" customWidth="1" style="76" min="5393" max="5413"/>
    <col width="9.1796875" customWidth="1" style="76" min="5414" max="5619"/>
    <col width="28.6328125" customWidth="1" style="76" min="5620" max="5620"/>
    <col width="9" bestFit="1" customWidth="1" style="76" min="5621" max="5621"/>
    <col width="5.36328125" customWidth="1" style="76" min="5622" max="5622"/>
    <col width="9" bestFit="1" customWidth="1" style="76" min="5623" max="5623"/>
    <col width="5.36328125" customWidth="1" style="76" min="5624" max="5624"/>
    <col width="9" bestFit="1" customWidth="1" style="76" min="5625" max="5625"/>
    <col width="5" customWidth="1" style="76" min="5626" max="5626"/>
    <col width="9" bestFit="1" customWidth="1" style="76" min="5627" max="5627"/>
    <col width="5.1796875" customWidth="1" style="76" min="5628" max="5628"/>
    <col width="9.1796875" customWidth="1" style="76" min="5629" max="5629"/>
    <col width="6" customWidth="1" style="76" min="5630" max="5630"/>
    <col width="9.1796875" customWidth="1" style="76" min="5631" max="5631"/>
    <col width="6" customWidth="1" style="76" min="5632" max="5632"/>
    <col width="10.1796875" customWidth="1" style="76" min="5633" max="5634"/>
    <col width="10" customWidth="1" style="76" min="5635" max="5635"/>
    <col width="10.36328125" customWidth="1" style="76" min="5636" max="5636"/>
    <col width="9.1796875" customWidth="1" style="76" min="5637" max="5647"/>
    <col width="11.36328125" customWidth="1" style="76" min="5648" max="5648"/>
    <col hidden="1" width="13" customWidth="1" style="76" min="5649" max="5669"/>
    <col width="9.1796875" customWidth="1" style="76" min="5670" max="5875"/>
    <col width="28.6328125" customWidth="1" style="76" min="5876" max="5876"/>
    <col width="9" bestFit="1" customWidth="1" style="76" min="5877" max="5877"/>
    <col width="5.36328125" customWidth="1" style="76" min="5878" max="5878"/>
    <col width="9" bestFit="1" customWidth="1" style="76" min="5879" max="5879"/>
    <col width="5.36328125" customWidth="1" style="76" min="5880" max="5880"/>
    <col width="9" bestFit="1" customWidth="1" style="76" min="5881" max="5881"/>
    <col width="5" customWidth="1" style="76" min="5882" max="5882"/>
    <col width="9" bestFit="1" customWidth="1" style="76" min="5883" max="5883"/>
    <col width="5.1796875" customWidth="1" style="76" min="5884" max="5884"/>
    <col width="9.1796875" customWidth="1" style="76" min="5885" max="5885"/>
    <col width="6" customWidth="1" style="76" min="5886" max="5886"/>
    <col width="9.1796875" customWidth="1" style="76" min="5887" max="5887"/>
    <col width="6" customWidth="1" style="76" min="5888" max="5888"/>
    <col width="10.1796875" customWidth="1" style="76" min="5889" max="5890"/>
    <col width="10" customWidth="1" style="76" min="5891" max="5891"/>
    <col width="10.36328125" customWidth="1" style="76" min="5892" max="5892"/>
    <col width="9.1796875" customWidth="1" style="76" min="5893" max="5903"/>
    <col width="11.36328125" customWidth="1" style="76" min="5904" max="5904"/>
    <col hidden="1" width="13" customWidth="1" style="76" min="5905" max="5925"/>
    <col width="9.1796875" customWidth="1" style="76" min="5926" max="6131"/>
    <col width="28.6328125" customWidth="1" style="76" min="6132" max="6132"/>
    <col width="9" bestFit="1" customWidth="1" style="76" min="6133" max="6133"/>
    <col width="5.36328125" customWidth="1" style="76" min="6134" max="6134"/>
    <col width="9" bestFit="1" customWidth="1" style="76" min="6135" max="6135"/>
    <col width="5.36328125" customWidth="1" style="76" min="6136" max="6136"/>
    <col width="9" bestFit="1" customWidth="1" style="76" min="6137" max="6137"/>
    <col width="5" customWidth="1" style="76" min="6138" max="6138"/>
    <col width="9" bestFit="1" customWidth="1" style="76" min="6139" max="6139"/>
    <col width="5.1796875" customWidth="1" style="76" min="6140" max="6140"/>
    <col width="9.1796875" customWidth="1" style="76" min="6141" max="6141"/>
    <col width="6" customWidth="1" style="76" min="6142" max="6142"/>
    <col width="9.1796875" customWidth="1" style="76" min="6143" max="6143"/>
    <col width="6" customWidth="1" style="76" min="6144" max="6144"/>
    <col width="10.1796875" customWidth="1" style="76" min="6145" max="6146"/>
    <col width="10" customWidth="1" style="76" min="6147" max="6147"/>
    <col width="10.36328125" customWidth="1" style="76" min="6148" max="6148"/>
    <col width="9.1796875" customWidth="1" style="76" min="6149" max="6159"/>
    <col width="11.36328125" customWidth="1" style="76" min="6160" max="6160"/>
    <col hidden="1" width="13" customWidth="1" style="76" min="6161" max="6181"/>
    <col width="9.1796875" customWidth="1" style="76" min="6182" max="6387"/>
    <col width="28.6328125" customWidth="1" style="76" min="6388" max="6388"/>
    <col width="9" bestFit="1" customWidth="1" style="76" min="6389" max="6389"/>
    <col width="5.36328125" customWidth="1" style="76" min="6390" max="6390"/>
    <col width="9" bestFit="1" customWidth="1" style="76" min="6391" max="6391"/>
    <col width="5.36328125" customWidth="1" style="76" min="6392" max="6392"/>
    <col width="9" bestFit="1" customWidth="1" style="76" min="6393" max="6393"/>
    <col width="5" customWidth="1" style="76" min="6394" max="6394"/>
    <col width="9" bestFit="1" customWidth="1" style="76" min="6395" max="6395"/>
    <col width="5.1796875" customWidth="1" style="76" min="6396" max="6396"/>
    <col width="9.1796875" customWidth="1" style="76" min="6397" max="6397"/>
    <col width="6" customWidth="1" style="76" min="6398" max="6398"/>
    <col width="9.1796875" customWidth="1" style="76" min="6399" max="6399"/>
    <col width="6" customWidth="1" style="76" min="6400" max="6400"/>
    <col width="10.1796875" customWidth="1" style="76" min="6401" max="6402"/>
    <col width="10" customWidth="1" style="76" min="6403" max="6403"/>
    <col width="10.36328125" customWidth="1" style="76" min="6404" max="6404"/>
    <col width="9.1796875" customWidth="1" style="76" min="6405" max="6415"/>
    <col width="11.36328125" customWidth="1" style="76" min="6416" max="6416"/>
    <col hidden="1" width="13" customWidth="1" style="76" min="6417" max="6437"/>
    <col width="9.1796875" customWidth="1" style="76" min="6438" max="6643"/>
    <col width="28.6328125" customWidth="1" style="76" min="6644" max="6644"/>
    <col width="9" bestFit="1" customWidth="1" style="76" min="6645" max="6645"/>
    <col width="5.36328125" customWidth="1" style="76" min="6646" max="6646"/>
    <col width="9" bestFit="1" customWidth="1" style="76" min="6647" max="6647"/>
    <col width="5.36328125" customWidth="1" style="76" min="6648" max="6648"/>
    <col width="9" bestFit="1" customWidth="1" style="76" min="6649" max="6649"/>
    <col width="5" customWidth="1" style="76" min="6650" max="6650"/>
    <col width="9" bestFit="1" customWidth="1" style="76" min="6651" max="6651"/>
    <col width="5.1796875" customWidth="1" style="76" min="6652" max="6652"/>
    <col width="9.1796875" customWidth="1" style="76" min="6653" max="6653"/>
    <col width="6" customWidth="1" style="76" min="6654" max="6654"/>
    <col width="9.1796875" customWidth="1" style="76" min="6655" max="6655"/>
    <col width="6" customWidth="1" style="76" min="6656" max="6656"/>
    <col width="10.1796875" customWidth="1" style="76" min="6657" max="6658"/>
    <col width="10" customWidth="1" style="76" min="6659" max="6659"/>
    <col width="10.36328125" customWidth="1" style="76" min="6660" max="6660"/>
    <col width="9.1796875" customWidth="1" style="76" min="6661" max="6671"/>
    <col width="11.36328125" customWidth="1" style="76" min="6672" max="6672"/>
    <col hidden="1" width="13" customWidth="1" style="76" min="6673" max="6693"/>
    <col width="9.1796875" customWidth="1" style="76" min="6694" max="6899"/>
    <col width="28.6328125" customWidth="1" style="76" min="6900" max="6900"/>
    <col width="9" bestFit="1" customWidth="1" style="76" min="6901" max="6901"/>
    <col width="5.36328125" customWidth="1" style="76" min="6902" max="6902"/>
    <col width="9" bestFit="1" customWidth="1" style="76" min="6903" max="6903"/>
    <col width="5.36328125" customWidth="1" style="76" min="6904" max="6904"/>
    <col width="9" bestFit="1" customWidth="1" style="76" min="6905" max="6905"/>
    <col width="5" customWidth="1" style="76" min="6906" max="6906"/>
    <col width="9" bestFit="1" customWidth="1" style="76" min="6907" max="6907"/>
    <col width="5.1796875" customWidth="1" style="76" min="6908" max="6908"/>
    <col width="9.1796875" customWidth="1" style="76" min="6909" max="6909"/>
    <col width="6" customWidth="1" style="76" min="6910" max="6910"/>
    <col width="9.1796875" customWidth="1" style="76" min="6911" max="6911"/>
    <col width="6" customWidth="1" style="76" min="6912" max="6912"/>
    <col width="10.1796875" customWidth="1" style="76" min="6913" max="6914"/>
    <col width="10" customWidth="1" style="76" min="6915" max="6915"/>
    <col width="10.36328125" customWidth="1" style="76" min="6916" max="6916"/>
    <col width="9.1796875" customWidth="1" style="76" min="6917" max="6927"/>
    <col width="11.36328125" customWidth="1" style="76" min="6928" max="6928"/>
    <col hidden="1" width="13" customWidth="1" style="76" min="6929" max="6949"/>
    <col width="9.1796875" customWidth="1" style="76" min="6950" max="7155"/>
    <col width="28.6328125" customWidth="1" style="76" min="7156" max="7156"/>
    <col width="9" bestFit="1" customWidth="1" style="76" min="7157" max="7157"/>
    <col width="5.36328125" customWidth="1" style="76" min="7158" max="7158"/>
    <col width="9" bestFit="1" customWidth="1" style="76" min="7159" max="7159"/>
    <col width="5.36328125" customWidth="1" style="76" min="7160" max="7160"/>
    <col width="9" bestFit="1" customWidth="1" style="76" min="7161" max="7161"/>
    <col width="5" customWidth="1" style="76" min="7162" max="7162"/>
    <col width="9" bestFit="1" customWidth="1" style="76" min="7163" max="7163"/>
    <col width="5.1796875" customWidth="1" style="76" min="7164" max="7164"/>
    <col width="9.1796875" customWidth="1" style="76" min="7165" max="7165"/>
    <col width="6" customWidth="1" style="76" min="7166" max="7166"/>
    <col width="9.1796875" customWidth="1" style="76" min="7167" max="7167"/>
    <col width="6" customWidth="1" style="76" min="7168" max="7168"/>
    <col width="10.1796875" customWidth="1" style="76" min="7169" max="7170"/>
    <col width="10" customWidth="1" style="76" min="7171" max="7171"/>
    <col width="10.36328125" customWidth="1" style="76" min="7172" max="7172"/>
    <col width="9.1796875" customWidth="1" style="76" min="7173" max="7183"/>
    <col width="11.36328125" customWidth="1" style="76" min="7184" max="7184"/>
    <col hidden="1" width="13" customWidth="1" style="76" min="7185" max="7205"/>
    <col width="9.1796875" customWidth="1" style="76" min="7206" max="7411"/>
    <col width="28.6328125" customWidth="1" style="76" min="7412" max="7412"/>
    <col width="9" bestFit="1" customWidth="1" style="76" min="7413" max="7413"/>
    <col width="5.36328125" customWidth="1" style="76" min="7414" max="7414"/>
    <col width="9" bestFit="1" customWidth="1" style="76" min="7415" max="7415"/>
    <col width="5.36328125" customWidth="1" style="76" min="7416" max="7416"/>
    <col width="9" bestFit="1" customWidth="1" style="76" min="7417" max="7417"/>
    <col width="5" customWidth="1" style="76" min="7418" max="7418"/>
    <col width="9" bestFit="1" customWidth="1" style="76" min="7419" max="7419"/>
    <col width="5.1796875" customWidth="1" style="76" min="7420" max="7420"/>
    <col width="9.1796875" customWidth="1" style="76" min="7421" max="7421"/>
    <col width="6" customWidth="1" style="76" min="7422" max="7422"/>
    <col width="9.1796875" customWidth="1" style="76" min="7423" max="7423"/>
    <col width="6" customWidth="1" style="76" min="7424" max="7424"/>
    <col width="10.1796875" customWidth="1" style="76" min="7425" max="7426"/>
    <col width="10" customWidth="1" style="76" min="7427" max="7427"/>
    <col width="10.36328125" customWidth="1" style="76" min="7428" max="7428"/>
    <col width="9.1796875" customWidth="1" style="76" min="7429" max="7439"/>
    <col width="11.36328125" customWidth="1" style="76" min="7440" max="7440"/>
    <col hidden="1" width="13" customWidth="1" style="76" min="7441" max="7461"/>
    <col width="9.1796875" customWidth="1" style="76" min="7462" max="7667"/>
    <col width="28.6328125" customWidth="1" style="76" min="7668" max="7668"/>
    <col width="9" bestFit="1" customWidth="1" style="76" min="7669" max="7669"/>
    <col width="5.36328125" customWidth="1" style="76" min="7670" max="7670"/>
    <col width="9" bestFit="1" customWidth="1" style="76" min="7671" max="7671"/>
    <col width="5.36328125" customWidth="1" style="76" min="7672" max="7672"/>
    <col width="9" bestFit="1" customWidth="1" style="76" min="7673" max="7673"/>
    <col width="5" customWidth="1" style="76" min="7674" max="7674"/>
    <col width="9" bestFit="1" customWidth="1" style="76" min="7675" max="7675"/>
    <col width="5.1796875" customWidth="1" style="76" min="7676" max="7676"/>
    <col width="9.1796875" customWidth="1" style="76" min="7677" max="7677"/>
    <col width="6" customWidth="1" style="76" min="7678" max="7678"/>
    <col width="9.1796875" customWidth="1" style="76" min="7679" max="7679"/>
    <col width="6" customWidth="1" style="76" min="7680" max="7680"/>
    <col width="10.1796875" customWidth="1" style="76" min="7681" max="7682"/>
    <col width="10" customWidth="1" style="76" min="7683" max="7683"/>
    <col width="10.36328125" customWidth="1" style="76" min="7684" max="7684"/>
    <col width="9.1796875" customWidth="1" style="76" min="7685" max="7695"/>
    <col width="11.36328125" customWidth="1" style="76" min="7696" max="7696"/>
    <col hidden="1" width="13" customWidth="1" style="76" min="7697" max="7717"/>
    <col width="9.1796875" customWidth="1" style="76" min="7718" max="7923"/>
    <col width="28.6328125" customWidth="1" style="76" min="7924" max="7924"/>
    <col width="9" bestFit="1" customWidth="1" style="76" min="7925" max="7925"/>
    <col width="5.36328125" customWidth="1" style="76" min="7926" max="7926"/>
    <col width="9" bestFit="1" customWidth="1" style="76" min="7927" max="7927"/>
    <col width="5.36328125" customWidth="1" style="76" min="7928" max="7928"/>
    <col width="9" bestFit="1" customWidth="1" style="76" min="7929" max="7929"/>
    <col width="5" customWidth="1" style="76" min="7930" max="7930"/>
    <col width="9" bestFit="1" customWidth="1" style="76" min="7931" max="7931"/>
    <col width="5.1796875" customWidth="1" style="76" min="7932" max="7932"/>
    <col width="9.1796875" customWidth="1" style="76" min="7933" max="7933"/>
    <col width="6" customWidth="1" style="76" min="7934" max="7934"/>
    <col width="9.1796875" customWidth="1" style="76" min="7935" max="7935"/>
    <col width="6" customWidth="1" style="76" min="7936" max="7936"/>
    <col width="10.1796875" customWidth="1" style="76" min="7937" max="7938"/>
    <col width="10" customWidth="1" style="76" min="7939" max="7939"/>
    <col width="10.36328125" customWidth="1" style="76" min="7940" max="7940"/>
    <col width="9.1796875" customWidth="1" style="76" min="7941" max="7951"/>
    <col width="11.36328125" customWidth="1" style="76" min="7952" max="7952"/>
    <col hidden="1" width="13" customWidth="1" style="76" min="7953" max="7973"/>
    <col width="9.1796875" customWidth="1" style="76" min="7974" max="8179"/>
    <col width="28.6328125" customWidth="1" style="76" min="8180" max="8180"/>
    <col width="9" bestFit="1" customWidth="1" style="76" min="8181" max="8181"/>
    <col width="5.36328125" customWidth="1" style="76" min="8182" max="8182"/>
    <col width="9" bestFit="1" customWidth="1" style="76" min="8183" max="8183"/>
    <col width="5.36328125" customWidth="1" style="76" min="8184" max="8184"/>
    <col width="9" bestFit="1" customWidth="1" style="76" min="8185" max="8185"/>
    <col width="5" customWidth="1" style="76" min="8186" max="8186"/>
    <col width="9" bestFit="1" customWidth="1" style="76" min="8187" max="8187"/>
    <col width="5.1796875" customWidth="1" style="76" min="8188" max="8188"/>
    <col width="9.1796875" customWidth="1" style="76" min="8189" max="8189"/>
    <col width="6" customWidth="1" style="76" min="8190" max="8190"/>
    <col width="9.1796875" customWidth="1" style="76" min="8191" max="8191"/>
    <col width="6" customWidth="1" style="76" min="8192" max="8192"/>
    <col width="10.1796875" customWidth="1" style="76" min="8193" max="8194"/>
    <col width="10" customWidth="1" style="76" min="8195" max="8195"/>
    <col width="10.36328125" customWidth="1" style="76" min="8196" max="8196"/>
    <col width="9.1796875" customWidth="1" style="76" min="8197" max="8207"/>
    <col width="11.36328125" customWidth="1" style="76" min="8208" max="8208"/>
    <col hidden="1" width="13" customWidth="1" style="76" min="8209" max="8229"/>
    <col width="9.1796875" customWidth="1" style="76" min="8230" max="8435"/>
    <col width="28.6328125" customWidth="1" style="76" min="8436" max="8436"/>
    <col width="9" bestFit="1" customWidth="1" style="76" min="8437" max="8437"/>
    <col width="5.36328125" customWidth="1" style="76" min="8438" max="8438"/>
    <col width="9" bestFit="1" customWidth="1" style="76" min="8439" max="8439"/>
    <col width="5.36328125" customWidth="1" style="76" min="8440" max="8440"/>
    <col width="9" bestFit="1" customWidth="1" style="76" min="8441" max="8441"/>
    <col width="5" customWidth="1" style="76" min="8442" max="8442"/>
    <col width="9" bestFit="1" customWidth="1" style="76" min="8443" max="8443"/>
    <col width="5.1796875" customWidth="1" style="76" min="8444" max="8444"/>
    <col width="9.1796875" customWidth="1" style="76" min="8445" max="8445"/>
    <col width="6" customWidth="1" style="76" min="8446" max="8446"/>
    <col width="9.1796875" customWidth="1" style="76" min="8447" max="8447"/>
    <col width="6" customWidth="1" style="76" min="8448" max="8448"/>
    <col width="10.1796875" customWidth="1" style="76" min="8449" max="8450"/>
    <col width="10" customWidth="1" style="76" min="8451" max="8451"/>
    <col width="10.36328125" customWidth="1" style="76" min="8452" max="8452"/>
    <col width="9.1796875" customWidth="1" style="76" min="8453" max="8463"/>
    <col width="11.36328125" customWidth="1" style="76" min="8464" max="8464"/>
    <col hidden="1" width="13" customWidth="1" style="76" min="8465" max="8485"/>
    <col width="9.1796875" customWidth="1" style="76" min="8486" max="8691"/>
    <col width="28.6328125" customWidth="1" style="76" min="8692" max="8692"/>
    <col width="9" bestFit="1" customWidth="1" style="76" min="8693" max="8693"/>
    <col width="5.36328125" customWidth="1" style="76" min="8694" max="8694"/>
    <col width="9" bestFit="1" customWidth="1" style="76" min="8695" max="8695"/>
    <col width="5.36328125" customWidth="1" style="76" min="8696" max="8696"/>
    <col width="9" bestFit="1" customWidth="1" style="76" min="8697" max="8697"/>
    <col width="5" customWidth="1" style="76" min="8698" max="8698"/>
    <col width="9" bestFit="1" customWidth="1" style="76" min="8699" max="8699"/>
    <col width="5.1796875" customWidth="1" style="76" min="8700" max="8700"/>
    <col width="9.1796875" customWidth="1" style="76" min="8701" max="8701"/>
    <col width="6" customWidth="1" style="76" min="8702" max="8702"/>
    <col width="9.1796875" customWidth="1" style="76" min="8703" max="8703"/>
    <col width="6" customWidth="1" style="76" min="8704" max="8704"/>
    <col width="10.1796875" customWidth="1" style="76" min="8705" max="8706"/>
    <col width="10" customWidth="1" style="76" min="8707" max="8707"/>
    <col width="10.36328125" customWidth="1" style="76" min="8708" max="8708"/>
    <col width="9.1796875" customWidth="1" style="76" min="8709" max="8719"/>
    <col width="11.36328125" customWidth="1" style="76" min="8720" max="8720"/>
    <col hidden="1" width="13" customWidth="1" style="76" min="8721" max="8741"/>
    <col width="9.1796875" customWidth="1" style="76" min="8742" max="8947"/>
    <col width="28.6328125" customWidth="1" style="76" min="8948" max="8948"/>
    <col width="9" bestFit="1" customWidth="1" style="76" min="8949" max="8949"/>
    <col width="5.36328125" customWidth="1" style="76" min="8950" max="8950"/>
    <col width="9" bestFit="1" customWidth="1" style="76" min="8951" max="8951"/>
    <col width="5.36328125" customWidth="1" style="76" min="8952" max="8952"/>
    <col width="9" bestFit="1" customWidth="1" style="76" min="8953" max="8953"/>
    <col width="5" customWidth="1" style="76" min="8954" max="8954"/>
    <col width="9" bestFit="1" customWidth="1" style="76" min="8955" max="8955"/>
    <col width="5.1796875" customWidth="1" style="76" min="8956" max="8956"/>
    <col width="9.1796875" customWidth="1" style="76" min="8957" max="8957"/>
    <col width="6" customWidth="1" style="76" min="8958" max="8958"/>
    <col width="9.1796875" customWidth="1" style="76" min="8959" max="8959"/>
    <col width="6" customWidth="1" style="76" min="8960" max="8960"/>
    <col width="10.1796875" customWidth="1" style="76" min="8961" max="8962"/>
    <col width="10" customWidth="1" style="76" min="8963" max="8963"/>
    <col width="10.36328125" customWidth="1" style="76" min="8964" max="8964"/>
    <col width="9.1796875" customWidth="1" style="76" min="8965" max="8975"/>
    <col width="11.36328125" customWidth="1" style="76" min="8976" max="8976"/>
    <col hidden="1" width="13" customWidth="1" style="76" min="8977" max="8997"/>
    <col width="9.1796875" customWidth="1" style="76" min="8998" max="9203"/>
    <col width="28.6328125" customWidth="1" style="76" min="9204" max="9204"/>
    <col width="9" bestFit="1" customWidth="1" style="76" min="9205" max="9205"/>
    <col width="5.36328125" customWidth="1" style="76" min="9206" max="9206"/>
    <col width="9" bestFit="1" customWidth="1" style="76" min="9207" max="9207"/>
    <col width="5.36328125" customWidth="1" style="76" min="9208" max="9208"/>
    <col width="9" bestFit="1" customWidth="1" style="76" min="9209" max="9209"/>
    <col width="5" customWidth="1" style="76" min="9210" max="9210"/>
    <col width="9" bestFit="1" customWidth="1" style="76" min="9211" max="9211"/>
    <col width="5.1796875" customWidth="1" style="76" min="9212" max="9212"/>
    <col width="9.1796875" customWidth="1" style="76" min="9213" max="9213"/>
    <col width="6" customWidth="1" style="76" min="9214" max="9214"/>
    <col width="9.1796875" customWidth="1" style="76" min="9215" max="9215"/>
    <col width="6" customWidth="1" style="76" min="9216" max="9216"/>
    <col width="10.1796875" customWidth="1" style="76" min="9217" max="9218"/>
    <col width="10" customWidth="1" style="76" min="9219" max="9219"/>
    <col width="10.36328125" customWidth="1" style="76" min="9220" max="9220"/>
    <col width="9.1796875" customWidth="1" style="76" min="9221" max="9231"/>
    <col width="11.36328125" customWidth="1" style="76" min="9232" max="9232"/>
    <col hidden="1" width="13" customWidth="1" style="76" min="9233" max="9253"/>
    <col width="9.1796875" customWidth="1" style="76" min="9254" max="9459"/>
    <col width="28.6328125" customWidth="1" style="76" min="9460" max="9460"/>
    <col width="9" bestFit="1" customWidth="1" style="76" min="9461" max="9461"/>
    <col width="5.36328125" customWidth="1" style="76" min="9462" max="9462"/>
    <col width="9" bestFit="1" customWidth="1" style="76" min="9463" max="9463"/>
    <col width="5.36328125" customWidth="1" style="76" min="9464" max="9464"/>
    <col width="9" bestFit="1" customWidth="1" style="76" min="9465" max="9465"/>
    <col width="5" customWidth="1" style="76" min="9466" max="9466"/>
    <col width="9" bestFit="1" customWidth="1" style="76" min="9467" max="9467"/>
    <col width="5.1796875" customWidth="1" style="76" min="9468" max="9468"/>
    <col width="9.1796875" customWidth="1" style="76" min="9469" max="9469"/>
    <col width="6" customWidth="1" style="76" min="9470" max="9470"/>
    <col width="9.1796875" customWidth="1" style="76" min="9471" max="9471"/>
    <col width="6" customWidth="1" style="76" min="9472" max="9472"/>
    <col width="10.1796875" customWidth="1" style="76" min="9473" max="9474"/>
    <col width="10" customWidth="1" style="76" min="9475" max="9475"/>
    <col width="10.36328125" customWidth="1" style="76" min="9476" max="9476"/>
    <col width="9.1796875" customWidth="1" style="76" min="9477" max="9487"/>
    <col width="11.36328125" customWidth="1" style="76" min="9488" max="9488"/>
    <col hidden="1" width="13" customWidth="1" style="76" min="9489" max="9509"/>
    <col width="9.1796875" customWidth="1" style="76" min="9510" max="9715"/>
    <col width="28.6328125" customWidth="1" style="76" min="9716" max="9716"/>
    <col width="9" bestFit="1" customWidth="1" style="76" min="9717" max="9717"/>
    <col width="5.36328125" customWidth="1" style="76" min="9718" max="9718"/>
    <col width="9" bestFit="1" customWidth="1" style="76" min="9719" max="9719"/>
    <col width="5.36328125" customWidth="1" style="76" min="9720" max="9720"/>
    <col width="9" bestFit="1" customWidth="1" style="76" min="9721" max="9721"/>
    <col width="5" customWidth="1" style="76" min="9722" max="9722"/>
    <col width="9" bestFit="1" customWidth="1" style="76" min="9723" max="9723"/>
    <col width="5.1796875" customWidth="1" style="76" min="9724" max="9724"/>
    <col width="9.1796875" customWidth="1" style="76" min="9725" max="9725"/>
    <col width="6" customWidth="1" style="76" min="9726" max="9726"/>
    <col width="9.1796875" customWidth="1" style="76" min="9727" max="9727"/>
    <col width="6" customWidth="1" style="76" min="9728" max="9728"/>
    <col width="10.1796875" customWidth="1" style="76" min="9729" max="9730"/>
    <col width="10" customWidth="1" style="76" min="9731" max="9731"/>
    <col width="10.36328125" customWidth="1" style="76" min="9732" max="9732"/>
    <col width="9.1796875" customWidth="1" style="76" min="9733" max="9743"/>
    <col width="11.36328125" customWidth="1" style="76" min="9744" max="9744"/>
    <col hidden="1" width="13" customWidth="1" style="76" min="9745" max="9765"/>
    <col width="9.1796875" customWidth="1" style="76" min="9766" max="9971"/>
    <col width="28.6328125" customWidth="1" style="76" min="9972" max="9972"/>
    <col width="9" bestFit="1" customWidth="1" style="76" min="9973" max="9973"/>
    <col width="5.36328125" customWidth="1" style="76" min="9974" max="9974"/>
    <col width="9" bestFit="1" customWidth="1" style="76" min="9975" max="9975"/>
    <col width="5.36328125" customWidth="1" style="76" min="9976" max="9976"/>
    <col width="9" bestFit="1" customWidth="1" style="76" min="9977" max="9977"/>
    <col width="5" customWidth="1" style="76" min="9978" max="9978"/>
    <col width="9" bestFit="1" customWidth="1" style="76" min="9979" max="9979"/>
    <col width="5.1796875" customWidth="1" style="76" min="9980" max="9980"/>
    <col width="9.1796875" customWidth="1" style="76" min="9981" max="9981"/>
    <col width="6" customWidth="1" style="76" min="9982" max="9982"/>
    <col width="9.1796875" customWidth="1" style="76" min="9983" max="9983"/>
    <col width="6" customWidth="1" style="76" min="9984" max="9984"/>
    <col width="10.1796875" customWidth="1" style="76" min="9985" max="9986"/>
    <col width="10" customWidth="1" style="76" min="9987" max="9987"/>
    <col width="10.36328125" customWidth="1" style="76" min="9988" max="9988"/>
    <col width="9.1796875" customWidth="1" style="76" min="9989" max="9999"/>
    <col width="11.36328125" customWidth="1" style="76" min="10000" max="10000"/>
    <col hidden="1" width="13" customWidth="1" style="76" min="10001" max="10021"/>
    <col width="9.1796875" customWidth="1" style="76" min="10022" max="10227"/>
    <col width="28.6328125" customWidth="1" style="76" min="10228" max="10228"/>
    <col width="9" bestFit="1" customWidth="1" style="76" min="10229" max="10229"/>
    <col width="5.36328125" customWidth="1" style="76" min="10230" max="10230"/>
    <col width="9" bestFit="1" customWidth="1" style="76" min="10231" max="10231"/>
    <col width="5.36328125" customWidth="1" style="76" min="10232" max="10232"/>
    <col width="9" bestFit="1" customWidth="1" style="76" min="10233" max="10233"/>
    <col width="5" customWidth="1" style="76" min="10234" max="10234"/>
    <col width="9" bestFit="1" customWidth="1" style="76" min="10235" max="10235"/>
    <col width="5.1796875" customWidth="1" style="76" min="10236" max="10236"/>
    <col width="9.1796875" customWidth="1" style="76" min="10237" max="10237"/>
    <col width="6" customWidth="1" style="76" min="10238" max="10238"/>
    <col width="9.1796875" customWidth="1" style="76" min="10239" max="10239"/>
    <col width="6" customWidth="1" style="76" min="10240" max="10240"/>
    <col width="10.1796875" customWidth="1" style="76" min="10241" max="10242"/>
    <col width="10" customWidth="1" style="76" min="10243" max="10243"/>
    <col width="10.36328125" customWidth="1" style="76" min="10244" max="10244"/>
    <col width="9.1796875" customWidth="1" style="76" min="10245" max="10255"/>
    <col width="11.36328125" customWidth="1" style="76" min="10256" max="10256"/>
    <col hidden="1" width="13" customWidth="1" style="76" min="10257" max="10277"/>
    <col width="9.1796875" customWidth="1" style="76" min="10278" max="10483"/>
    <col width="28.6328125" customWidth="1" style="76" min="10484" max="10484"/>
    <col width="9" bestFit="1" customWidth="1" style="76" min="10485" max="10485"/>
    <col width="5.36328125" customWidth="1" style="76" min="10486" max="10486"/>
    <col width="9" bestFit="1" customWidth="1" style="76" min="10487" max="10487"/>
    <col width="5.36328125" customWidth="1" style="76" min="10488" max="10488"/>
    <col width="9" bestFit="1" customWidth="1" style="76" min="10489" max="10489"/>
    <col width="5" customWidth="1" style="76" min="10490" max="10490"/>
    <col width="9" bestFit="1" customWidth="1" style="76" min="10491" max="10491"/>
    <col width="5.1796875" customWidth="1" style="76" min="10492" max="10492"/>
    <col width="9.1796875" customWidth="1" style="76" min="10493" max="10493"/>
    <col width="6" customWidth="1" style="76" min="10494" max="10494"/>
    <col width="9.1796875" customWidth="1" style="76" min="10495" max="10495"/>
    <col width="6" customWidth="1" style="76" min="10496" max="10496"/>
    <col width="10.1796875" customWidth="1" style="76" min="10497" max="10498"/>
    <col width="10" customWidth="1" style="76" min="10499" max="10499"/>
    <col width="10.36328125" customWidth="1" style="76" min="10500" max="10500"/>
    <col width="9.1796875" customWidth="1" style="76" min="10501" max="10511"/>
    <col width="11.36328125" customWidth="1" style="76" min="10512" max="10512"/>
    <col hidden="1" width="13" customWidth="1" style="76" min="10513" max="10533"/>
    <col width="9.1796875" customWidth="1" style="76" min="10534" max="10739"/>
    <col width="28.6328125" customWidth="1" style="76" min="10740" max="10740"/>
    <col width="9" bestFit="1" customWidth="1" style="76" min="10741" max="10741"/>
    <col width="5.36328125" customWidth="1" style="76" min="10742" max="10742"/>
    <col width="9" bestFit="1" customWidth="1" style="76" min="10743" max="10743"/>
    <col width="5.36328125" customWidth="1" style="76" min="10744" max="10744"/>
    <col width="9" bestFit="1" customWidth="1" style="76" min="10745" max="10745"/>
    <col width="5" customWidth="1" style="76" min="10746" max="10746"/>
    <col width="9" bestFit="1" customWidth="1" style="76" min="10747" max="10747"/>
    <col width="5.1796875" customWidth="1" style="76" min="10748" max="10748"/>
    <col width="9.1796875" customWidth="1" style="76" min="10749" max="10749"/>
    <col width="6" customWidth="1" style="76" min="10750" max="10750"/>
    <col width="9.1796875" customWidth="1" style="76" min="10751" max="10751"/>
    <col width="6" customWidth="1" style="76" min="10752" max="10752"/>
    <col width="10.1796875" customWidth="1" style="76" min="10753" max="10754"/>
    <col width="10" customWidth="1" style="76" min="10755" max="10755"/>
    <col width="10.36328125" customWidth="1" style="76" min="10756" max="10756"/>
    <col width="9.1796875" customWidth="1" style="76" min="10757" max="10767"/>
    <col width="11.36328125" customWidth="1" style="76" min="10768" max="10768"/>
    <col hidden="1" width="13" customWidth="1" style="76" min="10769" max="10789"/>
    <col width="9.1796875" customWidth="1" style="76" min="10790" max="10995"/>
    <col width="28.6328125" customWidth="1" style="76" min="10996" max="10996"/>
    <col width="9" bestFit="1" customWidth="1" style="76" min="10997" max="10997"/>
    <col width="5.36328125" customWidth="1" style="76" min="10998" max="10998"/>
    <col width="9" bestFit="1" customWidth="1" style="76" min="10999" max="10999"/>
    <col width="5.36328125" customWidth="1" style="76" min="11000" max="11000"/>
    <col width="9" bestFit="1" customWidth="1" style="76" min="11001" max="11001"/>
    <col width="5" customWidth="1" style="76" min="11002" max="11002"/>
    <col width="9" bestFit="1" customWidth="1" style="76" min="11003" max="11003"/>
    <col width="5.1796875" customWidth="1" style="76" min="11004" max="11004"/>
    <col width="9.1796875" customWidth="1" style="76" min="11005" max="11005"/>
    <col width="6" customWidth="1" style="76" min="11006" max="11006"/>
    <col width="9.1796875" customWidth="1" style="76" min="11007" max="11007"/>
    <col width="6" customWidth="1" style="76" min="11008" max="11008"/>
    <col width="10.1796875" customWidth="1" style="76" min="11009" max="11010"/>
    <col width="10" customWidth="1" style="76" min="11011" max="11011"/>
    <col width="10.36328125" customWidth="1" style="76" min="11012" max="11012"/>
    <col width="9.1796875" customWidth="1" style="76" min="11013" max="11023"/>
    <col width="11.36328125" customWidth="1" style="76" min="11024" max="11024"/>
    <col hidden="1" width="13" customWidth="1" style="76" min="11025" max="11045"/>
    <col width="9.1796875" customWidth="1" style="76" min="11046" max="11251"/>
    <col width="28.6328125" customWidth="1" style="76" min="11252" max="11252"/>
    <col width="9" bestFit="1" customWidth="1" style="76" min="11253" max="11253"/>
    <col width="5.36328125" customWidth="1" style="76" min="11254" max="11254"/>
    <col width="9" bestFit="1" customWidth="1" style="76" min="11255" max="11255"/>
    <col width="5.36328125" customWidth="1" style="76" min="11256" max="11256"/>
    <col width="9" bestFit="1" customWidth="1" style="76" min="11257" max="11257"/>
    <col width="5" customWidth="1" style="76" min="11258" max="11258"/>
    <col width="9" bestFit="1" customWidth="1" style="76" min="11259" max="11259"/>
    <col width="5.1796875" customWidth="1" style="76" min="11260" max="11260"/>
    <col width="9.1796875" customWidth="1" style="76" min="11261" max="11261"/>
    <col width="6" customWidth="1" style="76" min="11262" max="11262"/>
    <col width="9.1796875" customWidth="1" style="76" min="11263" max="11263"/>
    <col width="6" customWidth="1" style="76" min="11264" max="11264"/>
    <col width="10.1796875" customWidth="1" style="76" min="11265" max="11266"/>
    <col width="10" customWidth="1" style="76" min="11267" max="11267"/>
    <col width="10.36328125" customWidth="1" style="76" min="11268" max="11268"/>
    <col width="9.1796875" customWidth="1" style="76" min="11269" max="11279"/>
    <col width="11.36328125" customWidth="1" style="76" min="11280" max="11280"/>
    <col hidden="1" width="13" customWidth="1" style="76" min="11281" max="11301"/>
    <col width="9.1796875" customWidth="1" style="76" min="11302" max="11507"/>
    <col width="28.6328125" customWidth="1" style="76" min="11508" max="11508"/>
    <col width="9" bestFit="1" customWidth="1" style="76" min="11509" max="11509"/>
    <col width="5.36328125" customWidth="1" style="76" min="11510" max="11510"/>
    <col width="9" bestFit="1" customWidth="1" style="76" min="11511" max="11511"/>
    <col width="5.36328125" customWidth="1" style="76" min="11512" max="11512"/>
    <col width="9" bestFit="1" customWidth="1" style="76" min="11513" max="11513"/>
    <col width="5" customWidth="1" style="76" min="11514" max="11514"/>
    <col width="9" bestFit="1" customWidth="1" style="76" min="11515" max="11515"/>
    <col width="5.1796875" customWidth="1" style="76" min="11516" max="11516"/>
    <col width="9.1796875" customWidth="1" style="76" min="11517" max="11517"/>
    <col width="6" customWidth="1" style="76" min="11518" max="11518"/>
    <col width="9.1796875" customWidth="1" style="76" min="11519" max="11519"/>
    <col width="6" customWidth="1" style="76" min="11520" max="11520"/>
    <col width="10.1796875" customWidth="1" style="76" min="11521" max="11522"/>
    <col width="10" customWidth="1" style="76" min="11523" max="11523"/>
    <col width="10.36328125" customWidth="1" style="76" min="11524" max="11524"/>
    <col width="9.1796875" customWidth="1" style="76" min="11525" max="11535"/>
    <col width="11.36328125" customWidth="1" style="76" min="11536" max="11536"/>
    <col hidden="1" width="13" customWidth="1" style="76" min="11537" max="11557"/>
    <col width="9.1796875" customWidth="1" style="76" min="11558" max="11763"/>
    <col width="28.6328125" customWidth="1" style="76" min="11764" max="11764"/>
    <col width="9" bestFit="1" customWidth="1" style="76" min="11765" max="11765"/>
    <col width="5.36328125" customWidth="1" style="76" min="11766" max="11766"/>
    <col width="9" bestFit="1" customWidth="1" style="76" min="11767" max="11767"/>
    <col width="5.36328125" customWidth="1" style="76" min="11768" max="11768"/>
    <col width="9" bestFit="1" customWidth="1" style="76" min="11769" max="11769"/>
    <col width="5" customWidth="1" style="76" min="11770" max="11770"/>
    <col width="9" bestFit="1" customWidth="1" style="76" min="11771" max="11771"/>
    <col width="5.1796875" customWidth="1" style="76" min="11772" max="11772"/>
    <col width="9.1796875" customWidth="1" style="76" min="11773" max="11773"/>
    <col width="6" customWidth="1" style="76" min="11774" max="11774"/>
    <col width="9.1796875" customWidth="1" style="76" min="11775" max="11775"/>
    <col width="6" customWidth="1" style="76" min="11776" max="11776"/>
    <col width="10.1796875" customWidth="1" style="76" min="11777" max="11778"/>
    <col width="10" customWidth="1" style="76" min="11779" max="11779"/>
    <col width="10.36328125" customWidth="1" style="76" min="11780" max="11780"/>
    <col width="9.1796875" customWidth="1" style="76" min="11781" max="11791"/>
    <col width="11.36328125" customWidth="1" style="76" min="11792" max="11792"/>
    <col hidden="1" width="13" customWidth="1" style="76" min="11793" max="11813"/>
    <col width="9.1796875" customWidth="1" style="76" min="11814" max="12019"/>
    <col width="28.6328125" customWidth="1" style="76" min="12020" max="12020"/>
    <col width="9" bestFit="1" customWidth="1" style="76" min="12021" max="12021"/>
    <col width="5.36328125" customWidth="1" style="76" min="12022" max="12022"/>
    <col width="9" bestFit="1" customWidth="1" style="76" min="12023" max="12023"/>
    <col width="5.36328125" customWidth="1" style="76" min="12024" max="12024"/>
    <col width="9" bestFit="1" customWidth="1" style="76" min="12025" max="12025"/>
    <col width="5" customWidth="1" style="76" min="12026" max="12026"/>
    <col width="9" bestFit="1" customWidth="1" style="76" min="12027" max="12027"/>
    <col width="5.1796875" customWidth="1" style="76" min="12028" max="12028"/>
    <col width="9.1796875" customWidth="1" style="76" min="12029" max="12029"/>
    <col width="6" customWidth="1" style="76" min="12030" max="12030"/>
    <col width="9.1796875" customWidth="1" style="76" min="12031" max="12031"/>
    <col width="6" customWidth="1" style="76" min="12032" max="12032"/>
    <col width="10.1796875" customWidth="1" style="76" min="12033" max="12034"/>
    <col width="10" customWidth="1" style="76" min="12035" max="12035"/>
    <col width="10.36328125" customWidth="1" style="76" min="12036" max="12036"/>
    <col width="9.1796875" customWidth="1" style="76" min="12037" max="12047"/>
    <col width="11.36328125" customWidth="1" style="76" min="12048" max="12048"/>
    <col hidden="1" width="13" customWidth="1" style="76" min="12049" max="12069"/>
    <col width="9.1796875" customWidth="1" style="76" min="12070" max="12275"/>
    <col width="28.6328125" customWidth="1" style="76" min="12276" max="12276"/>
    <col width="9" bestFit="1" customWidth="1" style="76" min="12277" max="12277"/>
    <col width="5.36328125" customWidth="1" style="76" min="12278" max="12278"/>
    <col width="9" bestFit="1" customWidth="1" style="76" min="12279" max="12279"/>
    <col width="5.36328125" customWidth="1" style="76" min="12280" max="12280"/>
    <col width="9" bestFit="1" customWidth="1" style="76" min="12281" max="12281"/>
    <col width="5" customWidth="1" style="76" min="12282" max="12282"/>
    <col width="9" bestFit="1" customWidth="1" style="76" min="12283" max="12283"/>
    <col width="5.1796875" customWidth="1" style="76" min="12284" max="12284"/>
    <col width="9.1796875" customWidth="1" style="76" min="12285" max="12285"/>
    <col width="6" customWidth="1" style="76" min="12286" max="12286"/>
    <col width="9.1796875" customWidth="1" style="76" min="12287" max="12287"/>
    <col width="6" customWidth="1" style="76" min="12288" max="12288"/>
    <col width="10.1796875" customWidth="1" style="76" min="12289" max="12290"/>
    <col width="10" customWidth="1" style="76" min="12291" max="12291"/>
    <col width="10.36328125" customWidth="1" style="76" min="12292" max="12292"/>
    <col width="9.1796875" customWidth="1" style="76" min="12293" max="12303"/>
    <col width="11.36328125" customWidth="1" style="76" min="12304" max="12304"/>
    <col hidden="1" width="13" customWidth="1" style="76" min="12305" max="12325"/>
    <col width="9.1796875" customWidth="1" style="76" min="12326" max="12531"/>
    <col width="28.6328125" customWidth="1" style="76" min="12532" max="12532"/>
    <col width="9" bestFit="1" customWidth="1" style="76" min="12533" max="12533"/>
    <col width="5.36328125" customWidth="1" style="76" min="12534" max="12534"/>
    <col width="9" bestFit="1" customWidth="1" style="76" min="12535" max="12535"/>
    <col width="5.36328125" customWidth="1" style="76" min="12536" max="12536"/>
    <col width="9" bestFit="1" customWidth="1" style="76" min="12537" max="12537"/>
    <col width="5" customWidth="1" style="76" min="12538" max="12538"/>
    <col width="9" bestFit="1" customWidth="1" style="76" min="12539" max="12539"/>
    <col width="5.1796875" customWidth="1" style="76" min="12540" max="12540"/>
    <col width="9.1796875" customWidth="1" style="76" min="12541" max="12541"/>
    <col width="6" customWidth="1" style="76" min="12542" max="12542"/>
    <col width="9.1796875" customWidth="1" style="76" min="12543" max="12543"/>
    <col width="6" customWidth="1" style="76" min="12544" max="12544"/>
    <col width="10.1796875" customWidth="1" style="76" min="12545" max="12546"/>
    <col width="10" customWidth="1" style="76" min="12547" max="12547"/>
    <col width="10.36328125" customWidth="1" style="76" min="12548" max="12548"/>
    <col width="9.1796875" customWidth="1" style="76" min="12549" max="12559"/>
    <col width="11.36328125" customWidth="1" style="76" min="12560" max="12560"/>
    <col hidden="1" width="13" customWidth="1" style="76" min="12561" max="12581"/>
    <col width="9.1796875" customWidth="1" style="76" min="12582" max="12787"/>
    <col width="28.6328125" customWidth="1" style="76" min="12788" max="12788"/>
    <col width="9" bestFit="1" customWidth="1" style="76" min="12789" max="12789"/>
    <col width="5.36328125" customWidth="1" style="76" min="12790" max="12790"/>
    <col width="9" bestFit="1" customWidth="1" style="76" min="12791" max="12791"/>
    <col width="5.36328125" customWidth="1" style="76" min="12792" max="12792"/>
    <col width="9" bestFit="1" customWidth="1" style="76" min="12793" max="12793"/>
    <col width="5" customWidth="1" style="76" min="12794" max="12794"/>
    <col width="9" bestFit="1" customWidth="1" style="76" min="12795" max="12795"/>
    <col width="5.1796875" customWidth="1" style="76" min="12796" max="12796"/>
    <col width="9.1796875" customWidth="1" style="76" min="12797" max="12797"/>
    <col width="6" customWidth="1" style="76" min="12798" max="12798"/>
    <col width="9.1796875" customWidth="1" style="76" min="12799" max="12799"/>
    <col width="6" customWidth="1" style="76" min="12800" max="12800"/>
    <col width="10.1796875" customWidth="1" style="76" min="12801" max="12802"/>
    <col width="10" customWidth="1" style="76" min="12803" max="12803"/>
    <col width="10.36328125" customWidth="1" style="76" min="12804" max="12804"/>
    <col width="9.1796875" customWidth="1" style="76" min="12805" max="12815"/>
    <col width="11.36328125" customWidth="1" style="76" min="12816" max="12816"/>
    <col hidden="1" width="13" customWidth="1" style="76" min="12817" max="12837"/>
    <col width="9.1796875" customWidth="1" style="76" min="12838" max="13043"/>
    <col width="28.6328125" customWidth="1" style="76" min="13044" max="13044"/>
    <col width="9" bestFit="1" customWidth="1" style="76" min="13045" max="13045"/>
    <col width="5.36328125" customWidth="1" style="76" min="13046" max="13046"/>
    <col width="9" bestFit="1" customWidth="1" style="76" min="13047" max="13047"/>
    <col width="5.36328125" customWidth="1" style="76" min="13048" max="13048"/>
    <col width="9" bestFit="1" customWidth="1" style="76" min="13049" max="13049"/>
    <col width="5" customWidth="1" style="76" min="13050" max="13050"/>
    <col width="9" bestFit="1" customWidth="1" style="76" min="13051" max="13051"/>
    <col width="5.1796875" customWidth="1" style="76" min="13052" max="13052"/>
    <col width="9.1796875" customWidth="1" style="76" min="13053" max="13053"/>
    <col width="6" customWidth="1" style="76" min="13054" max="13054"/>
    <col width="9.1796875" customWidth="1" style="76" min="13055" max="13055"/>
    <col width="6" customWidth="1" style="76" min="13056" max="13056"/>
    <col width="10.1796875" customWidth="1" style="76" min="13057" max="13058"/>
    <col width="10" customWidth="1" style="76" min="13059" max="13059"/>
    <col width="10.36328125" customWidth="1" style="76" min="13060" max="13060"/>
    <col width="9.1796875" customWidth="1" style="76" min="13061" max="13071"/>
    <col width="11.36328125" customWidth="1" style="76" min="13072" max="13072"/>
    <col hidden="1" width="13" customWidth="1" style="76" min="13073" max="13093"/>
    <col width="9.1796875" customWidth="1" style="76" min="13094" max="13299"/>
    <col width="28.6328125" customWidth="1" style="76" min="13300" max="13300"/>
    <col width="9" bestFit="1" customWidth="1" style="76" min="13301" max="13301"/>
    <col width="5.36328125" customWidth="1" style="76" min="13302" max="13302"/>
    <col width="9" bestFit="1" customWidth="1" style="76" min="13303" max="13303"/>
    <col width="5.36328125" customWidth="1" style="76" min="13304" max="13304"/>
    <col width="9" bestFit="1" customWidth="1" style="76" min="13305" max="13305"/>
    <col width="5" customWidth="1" style="76" min="13306" max="13306"/>
    <col width="9" bestFit="1" customWidth="1" style="76" min="13307" max="13307"/>
    <col width="5.1796875" customWidth="1" style="76" min="13308" max="13308"/>
    <col width="9.1796875" customWidth="1" style="76" min="13309" max="13309"/>
    <col width="6" customWidth="1" style="76" min="13310" max="13310"/>
    <col width="9.1796875" customWidth="1" style="76" min="13311" max="13311"/>
    <col width="6" customWidth="1" style="76" min="13312" max="13312"/>
    <col width="10.1796875" customWidth="1" style="76" min="13313" max="13314"/>
    <col width="10" customWidth="1" style="76" min="13315" max="13315"/>
    <col width="10.36328125" customWidth="1" style="76" min="13316" max="13316"/>
    <col width="9.1796875" customWidth="1" style="76" min="13317" max="13327"/>
    <col width="11.36328125" customWidth="1" style="76" min="13328" max="13328"/>
    <col hidden="1" width="13" customWidth="1" style="76" min="13329" max="13349"/>
    <col width="9.1796875" customWidth="1" style="76" min="13350" max="13555"/>
    <col width="28.6328125" customWidth="1" style="76" min="13556" max="13556"/>
    <col width="9" bestFit="1" customWidth="1" style="76" min="13557" max="13557"/>
    <col width="5.36328125" customWidth="1" style="76" min="13558" max="13558"/>
    <col width="9" bestFit="1" customWidth="1" style="76" min="13559" max="13559"/>
    <col width="5.36328125" customWidth="1" style="76" min="13560" max="13560"/>
    <col width="9" bestFit="1" customWidth="1" style="76" min="13561" max="13561"/>
    <col width="5" customWidth="1" style="76" min="13562" max="13562"/>
    <col width="9" bestFit="1" customWidth="1" style="76" min="13563" max="13563"/>
    <col width="5.1796875" customWidth="1" style="76" min="13564" max="13564"/>
    <col width="9.1796875" customWidth="1" style="76" min="13565" max="13565"/>
    <col width="6" customWidth="1" style="76" min="13566" max="13566"/>
    <col width="9.1796875" customWidth="1" style="76" min="13567" max="13567"/>
    <col width="6" customWidth="1" style="76" min="13568" max="13568"/>
    <col width="10.1796875" customWidth="1" style="76" min="13569" max="13570"/>
    <col width="10" customWidth="1" style="76" min="13571" max="13571"/>
    <col width="10.36328125" customWidth="1" style="76" min="13572" max="13572"/>
    <col width="9.1796875" customWidth="1" style="76" min="13573" max="13583"/>
    <col width="11.36328125" customWidth="1" style="76" min="13584" max="13584"/>
    <col hidden="1" width="13" customWidth="1" style="76" min="13585" max="13605"/>
    <col width="9.1796875" customWidth="1" style="76" min="13606" max="13811"/>
    <col width="28.6328125" customWidth="1" style="76" min="13812" max="13812"/>
    <col width="9" bestFit="1" customWidth="1" style="76" min="13813" max="13813"/>
    <col width="5.36328125" customWidth="1" style="76" min="13814" max="13814"/>
    <col width="9" bestFit="1" customWidth="1" style="76" min="13815" max="13815"/>
    <col width="5.36328125" customWidth="1" style="76" min="13816" max="13816"/>
    <col width="9" bestFit="1" customWidth="1" style="76" min="13817" max="13817"/>
    <col width="5" customWidth="1" style="76" min="13818" max="13818"/>
    <col width="9" bestFit="1" customWidth="1" style="76" min="13819" max="13819"/>
    <col width="5.1796875" customWidth="1" style="76" min="13820" max="13820"/>
    <col width="9.1796875" customWidth="1" style="76" min="13821" max="13821"/>
    <col width="6" customWidth="1" style="76" min="13822" max="13822"/>
    <col width="9.1796875" customWidth="1" style="76" min="13823" max="13823"/>
    <col width="6" customWidth="1" style="76" min="13824" max="13824"/>
    <col width="10.1796875" customWidth="1" style="76" min="13825" max="13826"/>
    <col width="10" customWidth="1" style="76" min="13827" max="13827"/>
    <col width="10.36328125" customWidth="1" style="76" min="13828" max="13828"/>
    <col width="9.1796875" customWidth="1" style="76" min="13829" max="13839"/>
    <col width="11.36328125" customWidth="1" style="76" min="13840" max="13840"/>
    <col hidden="1" width="13" customWidth="1" style="76" min="13841" max="13861"/>
    <col width="9.1796875" customWidth="1" style="76" min="13862" max="14067"/>
    <col width="28.6328125" customWidth="1" style="76" min="14068" max="14068"/>
    <col width="9" bestFit="1" customWidth="1" style="76" min="14069" max="14069"/>
    <col width="5.36328125" customWidth="1" style="76" min="14070" max="14070"/>
    <col width="9" bestFit="1" customWidth="1" style="76" min="14071" max="14071"/>
    <col width="5.36328125" customWidth="1" style="76" min="14072" max="14072"/>
    <col width="9" bestFit="1" customWidth="1" style="76" min="14073" max="14073"/>
    <col width="5" customWidth="1" style="76" min="14074" max="14074"/>
    <col width="9" bestFit="1" customWidth="1" style="76" min="14075" max="14075"/>
    <col width="5.1796875" customWidth="1" style="76" min="14076" max="14076"/>
    <col width="9.1796875" customWidth="1" style="76" min="14077" max="14077"/>
    <col width="6" customWidth="1" style="76" min="14078" max="14078"/>
    <col width="9.1796875" customWidth="1" style="76" min="14079" max="14079"/>
    <col width="6" customWidth="1" style="76" min="14080" max="14080"/>
    <col width="10.1796875" customWidth="1" style="76" min="14081" max="14082"/>
    <col width="10" customWidth="1" style="76" min="14083" max="14083"/>
    <col width="10.36328125" customWidth="1" style="76" min="14084" max="14084"/>
    <col width="9.1796875" customWidth="1" style="76" min="14085" max="14095"/>
    <col width="11.36328125" customWidth="1" style="76" min="14096" max="14096"/>
    <col hidden="1" width="13" customWidth="1" style="76" min="14097" max="14117"/>
    <col width="9.1796875" customWidth="1" style="76" min="14118" max="14323"/>
    <col width="28.6328125" customWidth="1" style="76" min="14324" max="14324"/>
    <col width="9" bestFit="1" customWidth="1" style="76" min="14325" max="14325"/>
    <col width="5.36328125" customWidth="1" style="76" min="14326" max="14326"/>
    <col width="9" bestFit="1" customWidth="1" style="76" min="14327" max="14327"/>
    <col width="5.36328125" customWidth="1" style="76" min="14328" max="14328"/>
    <col width="9" bestFit="1" customWidth="1" style="76" min="14329" max="14329"/>
    <col width="5" customWidth="1" style="76" min="14330" max="14330"/>
    <col width="9" bestFit="1" customWidth="1" style="76" min="14331" max="14331"/>
    <col width="5.1796875" customWidth="1" style="76" min="14332" max="14332"/>
    <col width="9.1796875" customWidth="1" style="76" min="14333" max="14333"/>
    <col width="6" customWidth="1" style="76" min="14334" max="14334"/>
    <col width="9.1796875" customWidth="1" style="76" min="14335" max="14335"/>
    <col width="6" customWidth="1" style="76" min="14336" max="14336"/>
    <col width="10.1796875" customWidth="1" style="76" min="14337" max="14338"/>
    <col width="10" customWidth="1" style="76" min="14339" max="14339"/>
    <col width="10.36328125" customWidth="1" style="76" min="14340" max="14340"/>
    <col width="9.1796875" customWidth="1" style="76" min="14341" max="14351"/>
    <col width="11.36328125" customWidth="1" style="76" min="14352" max="14352"/>
    <col hidden="1" width="13" customWidth="1" style="76" min="14353" max="14373"/>
    <col width="9.1796875" customWidth="1" style="76" min="14374" max="14579"/>
    <col width="28.6328125" customWidth="1" style="76" min="14580" max="14580"/>
    <col width="9" bestFit="1" customWidth="1" style="76" min="14581" max="14581"/>
    <col width="5.36328125" customWidth="1" style="76" min="14582" max="14582"/>
    <col width="9" bestFit="1" customWidth="1" style="76" min="14583" max="14583"/>
    <col width="5.36328125" customWidth="1" style="76" min="14584" max="14584"/>
    <col width="9" bestFit="1" customWidth="1" style="76" min="14585" max="14585"/>
    <col width="5" customWidth="1" style="76" min="14586" max="14586"/>
    <col width="9" bestFit="1" customWidth="1" style="76" min="14587" max="14587"/>
    <col width="5.1796875" customWidth="1" style="76" min="14588" max="14588"/>
    <col width="9.1796875" customWidth="1" style="76" min="14589" max="14589"/>
    <col width="6" customWidth="1" style="76" min="14590" max="14590"/>
    <col width="9.1796875" customWidth="1" style="76" min="14591" max="14591"/>
    <col width="6" customWidth="1" style="76" min="14592" max="14592"/>
    <col width="10.1796875" customWidth="1" style="76" min="14593" max="14594"/>
    <col width="10" customWidth="1" style="76" min="14595" max="14595"/>
    <col width="10.36328125" customWidth="1" style="76" min="14596" max="14596"/>
    <col width="9.1796875" customWidth="1" style="76" min="14597" max="14607"/>
    <col width="11.36328125" customWidth="1" style="76" min="14608" max="14608"/>
    <col hidden="1" width="13" customWidth="1" style="76" min="14609" max="14629"/>
    <col width="9.1796875" customWidth="1" style="76" min="14630" max="14835"/>
    <col width="28.6328125" customWidth="1" style="76" min="14836" max="14836"/>
    <col width="9" bestFit="1" customWidth="1" style="76" min="14837" max="14837"/>
    <col width="5.36328125" customWidth="1" style="76" min="14838" max="14838"/>
    <col width="9" bestFit="1" customWidth="1" style="76" min="14839" max="14839"/>
    <col width="5.36328125" customWidth="1" style="76" min="14840" max="14840"/>
    <col width="9" bestFit="1" customWidth="1" style="76" min="14841" max="14841"/>
    <col width="5" customWidth="1" style="76" min="14842" max="14842"/>
    <col width="9" bestFit="1" customWidth="1" style="76" min="14843" max="14843"/>
    <col width="5.1796875" customWidth="1" style="76" min="14844" max="14844"/>
    <col width="9.1796875" customWidth="1" style="76" min="14845" max="14845"/>
    <col width="6" customWidth="1" style="76" min="14846" max="14846"/>
    <col width="9.1796875" customWidth="1" style="76" min="14847" max="14847"/>
    <col width="6" customWidth="1" style="76" min="14848" max="14848"/>
    <col width="10.1796875" customWidth="1" style="76" min="14849" max="14850"/>
    <col width="10" customWidth="1" style="76" min="14851" max="14851"/>
    <col width="10.36328125" customWidth="1" style="76" min="14852" max="14852"/>
    <col width="9.1796875" customWidth="1" style="76" min="14853" max="14863"/>
    <col width="11.36328125" customWidth="1" style="76" min="14864" max="14864"/>
    <col hidden="1" width="13" customWidth="1" style="76" min="14865" max="14885"/>
    <col width="9.1796875" customWidth="1" style="76" min="14886" max="15091"/>
    <col width="28.6328125" customWidth="1" style="76" min="15092" max="15092"/>
    <col width="9" bestFit="1" customWidth="1" style="76" min="15093" max="15093"/>
    <col width="5.36328125" customWidth="1" style="76" min="15094" max="15094"/>
    <col width="9" bestFit="1" customWidth="1" style="76" min="15095" max="15095"/>
    <col width="5.36328125" customWidth="1" style="76" min="15096" max="15096"/>
    <col width="9" bestFit="1" customWidth="1" style="76" min="15097" max="15097"/>
    <col width="5" customWidth="1" style="76" min="15098" max="15098"/>
    <col width="9" bestFit="1" customWidth="1" style="76" min="15099" max="15099"/>
    <col width="5.1796875" customWidth="1" style="76" min="15100" max="15100"/>
    <col width="9.1796875" customWidth="1" style="76" min="15101" max="15101"/>
    <col width="6" customWidth="1" style="76" min="15102" max="15102"/>
    <col width="9.1796875" customWidth="1" style="76" min="15103" max="15103"/>
    <col width="6" customWidth="1" style="76" min="15104" max="15104"/>
    <col width="10.1796875" customWidth="1" style="76" min="15105" max="15106"/>
    <col width="10" customWidth="1" style="76" min="15107" max="15107"/>
    <col width="10.36328125" customWidth="1" style="76" min="15108" max="15108"/>
    <col width="9.1796875" customWidth="1" style="76" min="15109" max="15119"/>
    <col width="11.36328125" customWidth="1" style="76" min="15120" max="15120"/>
    <col hidden="1" width="13" customWidth="1" style="76" min="15121" max="15141"/>
    <col width="9.1796875" customWidth="1" style="76" min="15142" max="15347"/>
    <col width="28.6328125" customWidth="1" style="76" min="15348" max="15348"/>
    <col width="9" bestFit="1" customWidth="1" style="76" min="15349" max="15349"/>
    <col width="5.36328125" customWidth="1" style="76" min="15350" max="15350"/>
    <col width="9" bestFit="1" customWidth="1" style="76" min="15351" max="15351"/>
    <col width="5.36328125" customWidth="1" style="76" min="15352" max="15352"/>
    <col width="9" bestFit="1" customWidth="1" style="76" min="15353" max="15353"/>
    <col width="5" customWidth="1" style="76" min="15354" max="15354"/>
    <col width="9" bestFit="1" customWidth="1" style="76" min="15355" max="15355"/>
    <col width="5.1796875" customWidth="1" style="76" min="15356" max="15356"/>
    <col width="9.1796875" customWidth="1" style="76" min="15357" max="15357"/>
    <col width="6" customWidth="1" style="76" min="15358" max="15358"/>
    <col width="9.1796875" customWidth="1" style="76" min="15359" max="15359"/>
    <col width="6" customWidth="1" style="76" min="15360" max="15360"/>
    <col width="10.1796875" customWidth="1" style="76" min="15361" max="15362"/>
    <col width="10" customWidth="1" style="76" min="15363" max="15363"/>
    <col width="10.36328125" customWidth="1" style="76" min="15364" max="15364"/>
    <col width="9.1796875" customWidth="1" style="76" min="15365" max="15375"/>
    <col width="11.36328125" customWidth="1" style="76" min="15376" max="15376"/>
    <col hidden="1" width="13" customWidth="1" style="76" min="15377" max="15397"/>
    <col width="9.1796875" customWidth="1" style="76" min="15398" max="15603"/>
    <col width="28.6328125" customWidth="1" style="76" min="15604" max="15604"/>
    <col width="9" bestFit="1" customWidth="1" style="76" min="15605" max="15605"/>
    <col width="5.36328125" customWidth="1" style="76" min="15606" max="15606"/>
    <col width="9" bestFit="1" customWidth="1" style="76" min="15607" max="15607"/>
    <col width="5.36328125" customWidth="1" style="76" min="15608" max="15608"/>
    <col width="9" bestFit="1" customWidth="1" style="76" min="15609" max="15609"/>
    <col width="5" customWidth="1" style="76" min="15610" max="15610"/>
    <col width="9" bestFit="1" customWidth="1" style="76" min="15611" max="15611"/>
    <col width="5.1796875" customWidth="1" style="76" min="15612" max="15612"/>
    <col width="9.1796875" customWidth="1" style="76" min="15613" max="15613"/>
    <col width="6" customWidth="1" style="76" min="15614" max="15614"/>
    <col width="9.1796875" customWidth="1" style="76" min="15615" max="15615"/>
    <col width="6" customWidth="1" style="76" min="15616" max="15616"/>
    <col width="10.1796875" customWidth="1" style="76" min="15617" max="15618"/>
    <col width="10" customWidth="1" style="76" min="15619" max="15619"/>
    <col width="10.36328125" customWidth="1" style="76" min="15620" max="15620"/>
    <col width="9.1796875" customWidth="1" style="76" min="15621" max="15631"/>
    <col width="11.36328125" customWidth="1" style="76" min="15632" max="15632"/>
    <col hidden="1" width="13" customWidth="1" style="76" min="15633" max="15653"/>
    <col width="9.1796875" customWidth="1" style="76" min="15654" max="15859"/>
    <col width="28.6328125" customWidth="1" style="76" min="15860" max="15860"/>
    <col width="9" bestFit="1" customWidth="1" style="76" min="15861" max="15861"/>
    <col width="5.36328125" customWidth="1" style="76" min="15862" max="15862"/>
    <col width="9" bestFit="1" customWidth="1" style="76" min="15863" max="15863"/>
    <col width="5.36328125" customWidth="1" style="76" min="15864" max="15864"/>
    <col width="9" bestFit="1" customWidth="1" style="76" min="15865" max="15865"/>
    <col width="5" customWidth="1" style="76" min="15866" max="15866"/>
    <col width="9" bestFit="1" customWidth="1" style="76" min="15867" max="15867"/>
    <col width="5.1796875" customWidth="1" style="76" min="15868" max="15868"/>
    <col width="9.1796875" customWidth="1" style="76" min="15869" max="15869"/>
    <col width="6" customWidth="1" style="76" min="15870" max="15870"/>
    <col width="9.1796875" customWidth="1" style="76" min="15871" max="15871"/>
    <col width="6" customWidth="1" style="76" min="15872" max="15872"/>
    <col width="10.1796875" customWidth="1" style="76" min="15873" max="15874"/>
    <col width="10" customWidth="1" style="76" min="15875" max="15875"/>
    <col width="10.36328125" customWidth="1" style="76" min="15876" max="15876"/>
    <col width="9.1796875" customWidth="1" style="76" min="15877" max="15887"/>
    <col width="11.36328125" customWidth="1" style="76" min="15888" max="15888"/>
    <col hidden="1" width="13" customWidth="1" style="76" min="15889" max="15909"/>
    <col width="9.1796875" customWidth="1" style="76" min="15910" max="16115"/>
    <col width="28.6328125" customWidth="1" style="76" min="16116" max="16116"/>
    <col width="9" bestFit="1" customWidth="1" style="76" min="16117" max="16117"/>
    <col width="5.36328125" customWidth="1" style="76" min="16118" max="16118"/>
    <col width="9" bestFit="1" customWidth="1" style="76" min="16119" max="16119"/>
    <col width="5.36328125" customWidth="1" style="76" min="16120" max="16120"/>
    <col width="9" bestFit="1" customWidth="1" style="76" min="16121" max="16121"/>
    <col width="5" customWidth="1" style="76" min="16122" max="16122"/>
    <col width="9" bestFit="1" customWidth="1" style="76" min="16123" max="16123"/>
    <col width="5.1796875" customWidth="1" style="76" min="16124" max="16124"/>
    <col width="9.1796875" customWidth="1" style="76" min="16125" max="16125"/>
    <col width="6" customWidth="1" style="76" min="16126" max="16126"/>
    <col width="9.1796875" customWidth="1" style="76" min="16127" max="16127"/>
    <col width="6" customWidth="1" style="76" min="16128" max="16128"/>
    <col width="10.1796875" customWidth="1" style="76" min="16129" max="16130"/>
    <col width="10" customWidth="1" style="76" min="16131" max="16131"/>
    <col width="10.36328125" customWidth="1" style="76" min="16132" max="16132"/>
    <col width="9.1796875" customWidth="1" style="76" min="16133" max="16143"/>
    <col width="11.36328125" customWidth="1" style="76" min="16144" max="16144"/>
    <col hidden="1" width="13" customWidth="1" style="76" min="16145" max="16165"/>
    <col width="9.1796875" customWidth="1" style="76" min="16166" max="16384"/>
  </cols>
  <sheetData>
    <row r="1">
      <c r="AK1" s="14" t="inlineStr">
        <is>
          <t>Add column</t>
        </is>
      </c>
      <c r="AL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I3" s="11" t="n"/>
      <c r="AJ3" s="11" t="n"/>
      <c r="AM3" s="91" t="inlineStr">
        <is>
          <t>Average</t>
        </is>
      </c>
      <c r="AN3" s="79"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31" t="n">
        <v>44774</v>
      </c>
      <c r="AI4" s="31" t="n">
        <v>44805</v>
      </c>
      <c r="AJ4" s="31" t="n">
        <v>44835</v>
      </c>
      <c r="AK4" s="10" t="n"/>
      <c r="AL4" s="88" t="inlineStr">
        <is>
          <t>mom</t>
        </is>
      </c>
      <c r="AM4" s="88" t="inlineStr">
        <is>
          <t>3 months</t>
        </is>
      </c>
      <c r="AN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10" t="n"/>
      <c r="AL5" s="89" t="n"/>
      <c r="AM5" s="89" t="n"/>
      <c r="AN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2">
        <f>VLOOKUP(AI$4,'DB Services ISM'!$A:$S,MATCH($B6,'DB Services ISM'!$A$1:$S$1,0),0)</f>
        <v/>
      </c>
      <c r="AJ6" s="2">
        <f>VLOOKUP(AJ$4,'DB Services ISM'!$A:$S,MATCH($B6,'DB Services ISM'!$A$1:$S$1,0),0)</f>
        <v/>
      </c>
      <c r="AK6" s="33" t="n"/>
      <c r="AL6" s="22">
        <f>AJ6-AI6</f>
        <v/>
      </c>
      <c r="AM6" s="34">
        <f>AVERAGE(AH6:AJ6)</f>
        <v/>
      </c>
      <c r="AN6" s="34">
        <f>AVERAGE(AE6:AJ6)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2">
        <f>VLOOKUP(AI$4,'DB Services ISM'!$A:$S,MATCH($B7,'DB Services ISM'!$A$1:$S$1,0),0)</f>
        <v/>
      </c>
      <c r="AJ7" s="2">
        <f>VLOOKUP(AJ$4,'DB Services ISM'!$A:$S,MATCH($B7,'DB Services ISM'!$A$1:$S$1,0),0)</f>
        <v/>
      </c>
      <c r="AK7" s="33" t="n"/>
      <c r="AL7" s="22">
        <f>AJ7-AI7</f>
        <v/>
      </c>
      <c r="AM7" s="34">
        <f>AVERAGE(AH7:AJ7)</f>
        <v/>
      </c>
      <c r="AN7" s="34">
        <f>AVERAGE(AE7:AJ7)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2">
        <f>VLOOKUP(AI$4,'DB Services ISM'!$A:$S,MATCH($B8,'DB Services ISM'!$A$1:$S$1,0),0)</f>
        <v/>
      </c>
      <c r="AJ8" s="2">
        <f>VLOOKUP(AJ$4,'DB Services ISM'!$A:$S,MATCH($B8,'DB Services ISM'!$A$1:$S$1,0),0)</f>
        <v/>
      </c>
      <c r="AK8" s="33" t="n"/>
      <c r="AL8" s="22">
        <f>AJ8-AI8</f>
        <v/>
      </c>
      <c r="AM8" s="34">
        <f>AVERAGE(AH8:AJ8)</f>
        <v/>
      </c>
      <c r="AN8" s="34">
        <f>AVERAGE(AE8:AJ8)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2">
        <f>VLOOKUP(AI$4,'DB Services ISM'!$A:$S,MATCH($B9,'DB Services ISM'!$A$1:$S$1,0),0)</f>
        <v/>
      </c>
      <c r="AJ9" s="2">
        <f>VLOOKUP(AJ$4,'DB Services ISM'!$A:$S,MATCH($B9,'DB Services ISM'!$A$1:$S$1,0),0)</f>
        <v/>
      </c>
      <c r="AK9" s="33" t="n"/>
      <c r="AL9" s="22">
        <f>AJ9-AI9</f>
        <v/>
      </c>
      <c r="AM9" s="34">
        <f>AVERAGE(AH9:AJ9)</f>
        <v/>
      </c>
      <c r="AN9" s="34">
        <f>AVERAGE(AE9:AJ9)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2">
        <f>VLOOKUP(AI$4,'DB Services ISM'!$A:$S,MATCH($B10,'DB Services ISM'!$A$1:$S$1,0),0)</f>
        <v/>
      </c>
      <c r="AJ10" s="2">
        <f>VLOOKUP(AJ$4,'DB Services ISM'!$A:$S,MATCH($B10,'DB Services ISM'!$A$1:$S$1,0),0)</f>
        <v/>
      </c>
      <c r="AK10" s="33" t="n"/>
      <c r="AL10" s="22">
        <f>AJ10-AI10</f>
        <v/>
      </c>
      <c r="AM10" s="34">
        <f>AVERAGE(AH10:AJ10)</f>
        <v/>
      </c>
      <c r="AN10" s="34">
        <f>AVERAGE(AE10:AJ10)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2">
        <f>VLOOKUP(AI$4,'DB Services ISM'!$A:$S,MATCH($B11,'DB Services ISM'!$A$1:$S$1,0),0)</f>
        <v/>
      </c>
      <c r="AJ11" s="2">
        <f>VLOOKUP(AJ$4,'DB Services ISM'!$A:$S,MATCH($B11,'DB Services ISM'!$A$1:$S$1,0),0)</f>
        <v/>
      </c>
      <c r="AK11" s="33" t="n"/>
      <c r="AL11" s="22">
        <f>AJ11-AI11</f>
        <v/>
      </c>
      <c r="AM11" s="34">
        <f>AVERAGE(AH11:AJ11)</f>
        <v/>
      </c>
      <c r="AN11" s="34">
        <f>AVERAGE(AE11:AJ11)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2">
        <f>VLOOKUP(AI$4,'DB Services ISM'!$A:$S,MATCH($B12,'DB Services ISM'!$A$1:$S$1,0),0)</f>
        <v/>
      </c>
      <c r="AJ12" s="2">
        <f>VLOOKUP(AJ$4,'DB Services ISM'!$A:$S,MATCH($B12,'DB Services ISM'!$A$1:$S$1,0),0)</f>
        <v/>
      </c>
      <c r="AK12" s="33" t="n"/>
      <c r="AL12" s="22">
        <f>AJ12-AI12</f>
        <v/>
      </c>
      <c r="AM12" s="34">
        <f>AVERAGE(AH12:AJ12)</f>
        <v/>
      </c>
      <c r="AN12" s="34">
        <f>AVERAGE(AE12:AJ12)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2">
        <f>VLOOKUP(AI$4,'DB Services ISM'!$A:$S,MATCH($B13,'DB Services ISM'!$A$1:$S$1,0),0)</f>
        <v/>
      </c>
      <c r="AJ13" s="2">
        <f>VLOOKUP(AJ$4,'DB Services ISM'!$A:$S,MATCH($B13,'DB Services ISM'!$A$1:$S$1,0),0)</f>
        <v/>
      </c>
      <c r="AK13" s="33" t="n"/>
      <c r="AL13" s="22">
        <f>AJ13-AI13</f>
        <v/>
      </c>
      <c r="AM13" s="34">
        <f>AVERAGE(AH13:AJ13)</f>
        <v/>
      </c>
      <c r="AN13" s="34">
        <f>AVERAGE(AE13:AJ13)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2">
        <f>VLOOKUP(AI$4,'DB Services ISM'!$A:$S,MATCH($B14,'DB Services ISM'!$A$1:$S$1,0),0)</f>
        <v/>
      </c>
      <c r="AJ14" s="2">
        <f>VLOOKUP(AJ$4,'DB Services ISM'!$A:$S,MATCH($B14,'DB Services ISM'!$A$1:$S$1,0),0)</f>
        <v/>
      </c>
      <c r="AK14" s="33" t="n"/>
      <c r="AL14" s="22">
        <f>AJ14-AI14</f>
        <v/>
      </c>
      <c r="AM14" s="34">
        <f>AVERAGE(AH14:AJ14)</f>
        <v/>
      </c>
      <c r="AN14" s="34">
        <f>AVERAGE(AE14:AJ14)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2">
        <f>VLOOKUP(AI$4,'DB Services ISM'!$A:$S,MATCH($B15,'DB Services ISM'!$A$1:$S$1,0),0)</f>
        <v/>
      </c>
      <c r="AJ15" s="2">
        <f>VLOOKUP(AJ$4,'DB Services ISM'!$A:$S,MATCH($B15,'DB Services ISM'!$A$1:$S$1,0),0)</f>
        <v/>
      </c>
      <c r="AK15" s="33" t="n"/>
      <c r="AL15" s="22">
        <f>AJ15-AI15</f>
        <v/>
      </c>
      <c r="AM15" s="34">
        <f>AVERAGE(AH15:AJ15)</f>
        <v/>
      </c>
      <c r="AN15" s="34">
        <f>AVERAGE(AE15:AJ15)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2">
        <f>VLOOKUP(AI$4,'DB Services ISM'!$A:$S,MATCH($B16,'DB Services ISM'!$A$1:$S$1,0),0)</f>
        <v/>
      </c>
      <c r="AJ16" s="2">
        <f>VLOOKUP(AJ$4,'DB Services ISM'!$A:$S,MATCH($B16,'DB Services ISM'!$A$1:$S$1,0),0)</f>
        <v/>
      </c>
      <c r="AK16" s="33" t="n"/>
      <c r="AL16" s="22">
        <f>AJ16-AI16</f>
        <v/>
      </c>
      <c r="AM16" s="34">
        <f>AVERAGE(AH16:AJ16)</f>
        <v/>
      </c>
      <c r="AN16" s="34">
        <f>AVERAGE(AE16:AJ16)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2">
        <f>VLOOKUP(AI$4,'DB Services ISM'!$A:$S,MATCH($B17,'DB Services ISM'!$A$1:$S$1,0),0)</f>
        <v/>
      </c>
      <c r="AJ17" s="2">
        <f>VLOOKUP(AJ$4,'DB Services ISM'!$A:$S,MATCH($B17,'DB Services ISM'!$A$1:$S$1,0),0)</f>
        <v/>
      </c>
      <c r="AK17" s="33" t="n"/>
      <c r="AL17" s="22">
        <f>AJ17-AI17</f>
        <v/>
      </c>
      <c r="AM17" s="34">
        <f>AVERAGE(AH17:AJ17)</f>
        <v/>
      </c>
      <c r="AN17" s="34">
        <f>AVERAGE(AE17:AJ17)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2">
        <f>VLOOKUP(AI$4,'DB Services ISM'!$A:$S,MATCH($B18,'DB Services ISM'!$A$1:$S$1,0),0)</f>
        <v/>
      </c>
      <c r="AJ18" s="2">
        <f>VLOOKUP(AJ$4,'DB Services ISM'!$A:$S,MATCH($B18,'DB Services ISM'!$A$1:$S$1,0),0)</f>
        <v/>
      </c>
      <c r="AK18" s="33" t="n"/>
      <c r="AL18" s="22">
        <f>AJ18-AI18</f>
        <v/>
      </c>
      <c r="AM18" s="34">
        <f>AVERAGE(AH18:AJ18)</f>
        <v/>
      </c>
      <c r="AN18" s="34">
        <f>AVERAGE(AE18:AJ18)</f>
        <v/>
      </c>
      <c r="AQ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2">
        <f>VLOOKUP(AI$4,'DB Services ISM'!$A:$S,MATCH($B19,'DB Services ISM'!$A$1:$S$1,0),0)</f>
        <v/>
      </c>
      <c r="AJ19" s="2">
        <f>VLOOKUP(AJ$4,'DB Services ISM'!$A:$S,MATCH($B19,'DB Services ISM'!$A$1:$S$1,0),0)</f>
        <v/>
      </c>
      <c r="AK19" s="33" t="n"/>
      <c r="AL19" s="22">
        <f>AJ19-AI19</f>
        <v/>
      </c>
      <c r="AM19" s="34">
        <f>AVERAGE(AH19:AJ19)</f>
        <v/>
      </c>
      <c r="AN19" s="34">
        <f>AVERAGE(AE19:AJ19)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2">
        <f>VLOOKUP(AI$4,'DB Services ISM'!$A:$S,MATCH($B20,'DB Services ISM'!$A$1:$S$1,0),0)</f>
        <v/>
      </c>
      <c r="AJ20" s="2">
        <f>VLOOKUP(AJ$4,'DB Services ISM'!$A:$S,MATCH($B20,'DB Services ISM'!$A$1:$S$1,0),0)</f>
        <v/>
      </c>
      <c r="AK20" s="33" t="n"/>
      <c r="AL20" s="22">
        <f>AJ20-AI20</f>
        <v/>
      </c>
      <c r="AM20" s="34">
        <f>AVERAGE(AH20:AJ20)</f>
        <v/>
      </c>
      <c r="AN20" s="34">
        <f>AVERAGE(AE20:AJ20)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2">
        <f>VLOOKUP(AI$4,'DB Services ISM'!$A:$S,MATCH($B21,'DB Services ISM'!$A$1:$S$1,0),0)</f>
        <v/>
      </c>
      <c r="AJ21" s="2">
        <f>VLOOKUP(AJ$4,'DB Services ISM'!$A:$S,MATCH($B21,'DB Services ISM'!$A$1:$S$1,0),0)</f>
        <v/>
      </c>
      <c r="AK21" s="33" t="n"/>
      <c r="AL21" s="22">
        <f>AJ21-AI21</f>
        <v/>
      </c>
      <c r="AM21" s="34">
        <f>AVERAGE(AH21:AJ21)</f>
        <v/>
      </c>
      <c r="AN21" s="34">
        <f>AVERAGE(AE21:AJ21)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2">
        <f>VLOOKUP(AI$4,'DB Services ISM'!$A:$S,MATCH($B22,'DB Services ISM'!$A$1:$S$1,0),0)</f>
        <v/>
      </c>
      <c r="AJ22" s="2">
        <f>VLOOKUP(AJ$4,'DB Services ISM'!$A:$S,MATCH($B22,'DB Services ISM'!$A$1:$S$1,0),0)</f>
        <v/>
      </c>
      <c r="AK22" s="33" t="n"/>
      <c r="AL22" s="22">
        <f>AJ22-AI22</f>
        <v/>
      </c>
      <c r="AM22" s="34">
        <f>AVERAGE(AH22:AJ22)</f>
        <v/>
      </c>
      <c r="AN22" s="34">
        <f>AVERAGE(AE22:AJ22)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2">
        <f>VLOOKUP(AI$4,'DB Services ISM'!$A:$S,MATCH($B23,'DB Services ISM'!$A$1:$S$1,0),0)</f>
        <v/>
      </c>
      <c r="AJ23" s="2">
        <f>VLOOKUP(AJ$4,'DB Services ISM'!$A:$S,MATCH($B23,'DB Services ISM'!$A$1:$S$1,0),0)</f>
        <v/>
      </c>
      <c r="AK23" s="33" t="n"/>
      <c r="AL23" s="22">
        <f>AJ23-AI23</f>
        <v/>
      </c>
      <c r="AM23" s="34">
        <f>AVERAGE(AH23:AJ23)</f>
        <v/>
      </c>
      <c r="AN23" s="34">
        <f>AVERAGE(AE23:AJ23)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6" t="n">
        <v>32</v>
      </c>
      <c r="AI24" s="36" t="n">
        <v>33</v>
      </c>
      <c r="AJ24" s="36" t="n">
        <v>34</v>
      </c>
      <c r="AK24" s="33" t="n"/>
      <c r="AL24" s="33" t="n"/>
      <c r="AM24" s="33" t="n"/>
      <c r="AN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c r="AI25" s="37" t="n"/>
      <c r="AJ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31" t="n">
        <v>44774</v>
      </c>
      <c r="AI26" s="31" t="n">
        <v>44805</v>
      </c>
      <c r="AJ26" s="31" t="n">
        <v>44835</v>
      </c>
      <c r="AK26" s="10" t="n"/>
      <c r="AL26" s="88" t="inlineStr">
        <is>
          <t>mom</t>
        </is>
      </c>
      <c r="AM26" s="88" t="inlineStr">
        <is>
          <t>3 months</t>
        </is>
      </c>
      <c r="AN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32" t="n"/>
      <c r="AI27" s="32" t="n"/>
      <c r="AJ27" s="32" t="n"/>
      <c r="AK27" s="10" t="n"/>
      <c r="AL27" s="89" t="n"/>
      <c r="AM27" s="89" t="n"/>
      <c r="AN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I28" s="2">
        <f>VLOOKUP(AI$26,'DB Business'!$A:$S,MATCH($B28,'DB Business'!$A$1:$S$1,0),0)</f>
        <v/>
      </c>
      <c r="AJ28" s="2">
        <f>VLOOKUP(AJ$26,'DB Business'!$A:$S,MATCH($B28,'DB Business'!$A$1:$S$1,0),0)</f>
        <v/>
      </c>
      <c r="AL28" s="22">
        <f>AJ28-AI28</f>
        <v/>
      </c>
      <c r="AM28" s="34">
        <f>AVERAGE(AH28:AJ28)</f>
        <v/>
      </c>
      <c r="AN28" s="34">
        <f>AVERAGE(AE28:AJ28)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I29" s="2">
        <f>VLOOKUP(AI$26,'DB Business'!$A:$S,MATCH($B29,'DB Business'!$A$1:$S$1,0),0)</f>
        <v/>
      </c>
      <c r="AJ29" s="2">
        <f>VLOOKUP(AJ$26,'DB Business'!$A:$S,MATCH($B29,'DB Business'!$A$1:$S$1,0),0)</f>
        <v/>
      </c>
      <c r="AL29" s="22">
        <f>AJ29-AI29</f>
        <v/>
      </c>
      <c r="AM29" s="34">
        <f>AVERAGE(AH29:AJ29)</f>
        <v/>
      </c>
      <c r="AN29" s="34">
        <f>AVERAGE(AE29:AJ29)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I30" s="2">
        <f>VLOOKUP(AI$26,'DB Business'!$A:$S,MATCH($B30,'DB Business'!$A$1:$S$1,0),0)</f>
        <v/>
      </c>
      <c r="AJ30" s="2">
        <f>VLOOKUP(AJ$26,'DB Business'!$A:$S,MATCH($B30,'DB Business'!$A$1:$S$1,0),0)</f>
        <v/>
      </c>
      <c r="AL30" s="22">
        <f>AJ30-AI30</f>
        <v/>
      </c>
      <c r="AM30" s="34">
        <f>AVERAGE(AH30:AJ30)</f>
        <v/>
      </c>
      <c r="AN30" s="34">
        <f>AVERAGE(AE30:AJ30)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I31" s="2">
        <f>VLOOKUP(AI$26,'DB Business'!$A:$S,MATCH($B31,'DB Business'!$A$1:$S$1,0),0)</f>
        <v/>
      </c>
      <c r="AJ31" s="2">
        <f>VLOOKUP(AJ$26,'DB Business'!$A:$S,MATCH($B31,'DB Business'!$A$1:$S$1,0),0)</f>
        <v/>
      </c>
      <c r="AL31" s="22">
        <f>AJ31-AI31</f>
        <v/>
      </c>
      <c r="AM31" s="34">
        <f>AVERAGE(AH31:AJ31)</f>
        <v/>
      </c>
      <c r="AN31" s="34">
        <f>AVERAGE(AE31:AJ31)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I32" s="2">
        <f>VLOOKUP(AI$26,'DB Business'!$A:$S,MATCH($B32,'DB Business'!$A$1:$S$1,0),0)</f>
        <v/>
      </c>
      <c r="AJ32" s="2">
        <f>VLOOKUP(AJ$26,'DB Business'!$A:$S,MATCH($B32,'DB Business'!$A$1:$S$1,0),0)</f>
        <v/>
      </c>
      <c r="AL32" s="22">
        <f>AJ32-AI32</f>
        <v/>
      </c>
      <c r="AM32" s="34">
        <f>AVERAGE(AH32:AJ32)</f>
        <v/>
      </c>
      <c r="AN32" s="34">
        <f>AVERAGE(AE32:AJ32)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I33" s="2">
        <f>VLOOKUP(AI$26,'DB Business'!$A:$S,MATCH($B33,'DB Business'!$A$1:$S$1,0),0)</f>
        <v/>
      </c>
      <c r="AJ33" s="2">
        <f>VLOOKUP(AJ$26,'DB Business'!$A:$S,MATCH($B33,'DB Business'!$A$1:$S$1,0),0)</f>
        <v/>
      </c>
      <c r="AL33" s="22">
        <f>AJ33-AI33</f>
        <v/>
      </c>
      <c r="AM33" s="34">
        <f>AVERAGE(AH33:AJ33)</f>
        <v/>
      </c>
      <c r="AN33" s="34">
        <f>AVERAGE(AE33:AJ33)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I34" s="2">
        <f>VLOOKUP(AI$26,'DB Business'!$A:$S,MATCH($B34,'DB Business'!$A$1:$S$1,0),0)</f>
        <v/>
      </c>
      <c r="AJ34" s="2">
        <f>VLOOKUP(AJ$26,'DB Business'!$A:$S,MATCH($B34,'DB Business'!$A$1:$S$1,0),0)</f>
        <v/>
      </c>
      <c r="AL34" s="22">
        <f>AJ34-AI34</f>
        <v/>
      </c>
      <c r="AM34" s="34">
        <f>AVERAGE(AH34:AJ34)</f>
        <v/>
      </c>
      <c r="AN34" s="34">
        <f>AVERAGE(AE34:AJ34)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I35" s="2">
        <f>VLOOKUP(AI$26,'DB Business'!$A:$S,MATCH($B35,'DB Business'!$A$1:$S$1,0),0)</f>
        <v/>
      </c>
      <c r="AJ35" s="2">
        <f>VLOOKUP(AJ$26,'DB Business'!$A:$S,MATCH($B35,'DB Business'!$A$1:$S$1,0),0)</f>
        <v/>
      </c>
      <c r="AL35" s="22">
        <f>AJ35-AI35</f>
        <v/>
      </c>
      <c r="AM35" s="34">
        <f>AVERAGE(AH35:AJ35)</f>
        <v/>
      </c>
      <c r="AN35" s="34">
        <f>AVERAGE(AE35:AJ35)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I36" s="2">
        <f>VLOOKUP(AI$26,'DB Business'!$A:$S,MATCH($B36,'DB Business'!$A$1:$S$1,0),0)</f>
        <v/>
      </c>
      <c r="AJ36" s="2">
        <f>VLOOKUP(AJ$26,'DB Business'!$A:$S,MATCH($B36,'DB Business'!$A$1:$S$1,0),0)</f>
        <v/>
      </c>
      <c r="AL36" s="22">
        <f>AJ36-AI36</f>
        <v/>
      </c>
      <c r="AM36" s="34">
        <f>AVERAGE(AH36:AJ36)</f>
        <v/>
      </c>
      <c r="AN36" s="34">
        <f>AVERAGE(AE36:AJ36)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I37" s="2">
        <f>VLOOKUP(AI$26,'DB Business'!$A:$S,MATCH($B37,'DB Business'!$A$1:$S$1,0),0)</f>
        <v/>
      </c>
      <c r="AJ37" s="2">
        <f>VLOOKUP(AJ$26,'DB Business'!$A:$S,MATCH($B37,'DB Business'!$A$1:$S$1,0),0)</f>
        <v/>
      </c>
      <c r="AL37" s="22">
        <f>AJ37-AI37</f>
        <v/>
      </c>
      <c r="AM37" s="34">
        <f>AVERAGE(AH37:AJ37)</f>
        <v/>
      </c>
      <c r="AN37" s="34">
        <f>AVERAGE(AE37:AJ37)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I38" s="2">
        <f>VLOOKUP(AI$26,'DB Business'!$A:$S,MATCH($B38,'DB Business'!$A$1:$S$1,0),0)</f>
        <v/>
      </c>
      <c r="AJ38" s="2">
        <f>VLOOKUP(AJ$26,'DB Business'!$A:$S,MATCH($B38,'DB Business'!$A$1:$S$1,0),0)</f>
        <v/>
      </c>
      <c r="AL38" s="22">
        <f>AJ38-AI38</f>
        <v/>
      </c>
      <c r="AM38" s="34">
        <f>AVERAGE(AH38:AJ38)</f>
        <v/>
      </c>
      <c r="AN38" s="34">
        <f>AVERAGE(AE38:AJ38)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I39" s="2">
        <f>VLOOKUP(AI$26,'DB Business'!$A:$S,MATCH($B39,'DB Business'!$A$1:$S$1,0),0)</f>
        <v/>
      </c>
      <c r="AJ39" s="2">
        <f>VLOOKUP(AJ$26,'DB Business'!$A:$S,MATCH($B39,'DB Business'!$A$1:$S$1,0),0)</f>
        <v/>
      </c>
      <c r="AL39" s="22">
        <f>AJ39-AI39</f>
        <v/>
      </c>
      <c r="AM39" s="34">
        <f>AVERAGE(AH39:AJ39)</f>
        <v/>
      </c>
      <c r="AN39" s="34">
        <f>AVERAGE(AE39:AJ39)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I40" s="2">
        <f>VLOOKUP(AI$26,'DB Business'!$A:$S,MATCH($B40,'DB Business'!$A$1:$S$1,0),0)</f>
        <v/>
      </c>
      <c r="AJ40" s="2">
        <f>VLOOKUP(AJ$26,'DB Business'!$A:$S,MATCH($B40,'DB Business'!$A$1:$S$1,0),0)</f>
        <v/>
      </c>
      <c r="AL40" s="22">
        <f>AJ40-AI40</f>
        <v/>
      </c>
      <c r="AM40" s="34">
        <f>AVERAGE(AH40:AJ40)</f>
        <v/>
      </c>
      <c r="AN40" s="34">
        <f>AVERAGE(AE40:AJ40)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I41" s="2">
        <f>VLOOKUP(AI$26,'DB Business'!$A:$S,MATCH($B41,'DB Business'!$A$1:$S$1,0),0)</f>
        <v/>
      </c>
      <c r="AJ41" s="2">
        <f>VLOOKUP(AJ$26,'DB Business'!$A:$S,MATCH($B41,'DB Business'!$A$1:$S$1,0),0)</f>
        <v/>
      </c>
      <c r="AL41" s="22">
        <f>AJ41-AI41</f>
        <v/>
      </c>
      <c r="AM41" s="34">
        <f>AVERAGE(AH41:AJ41)</f>
        <v/>
      </c>
      <c r="AN41" s="34">
        <f>AVERAGE(AE41:AJ41)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I42" s="2">
        <f>VLOOKUP(AI$26,'DB Business'!$A:$S,MATCH($B42,'DB Business'!$A$1:$S$1,0),0)</f>
        <v/>
      </c>
      <c r="AJ42" s="2">
        <f>VLOOKUP(AJ$26,'DB Business'!$A:$S,MATCH($B42,'DB Business'!$A$1:$S$1,0),0)</f>
        <v/>
      </c>
      <c r="AL42" s="22">
        <f>AJ42-AI42</f>
        <v/>
      </c>
      <c r="AM42" s="34">
        <f>AVERAGE(AH42:AJ42)</f>
        <v/>
      </c>
      <c r="AN42" s="34">
        <f>AVERAGE(AE42:AJ42)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I43" s="2">
        <f>VLOOKUP(AI$26,'DB Business'!$A:$S,MATCH($B43,'DB Business'!$A$1:$S$1,0),0)</f>
        <v/>
      </c>
      <c r="AJ43" s="2">
        <f>VLOOKUP(AJ$26,'DB Business'!$A:$S,MATCH($B43,'DB Business'!$A$1:$S$1,0),0)</f>
        <v/>
      </c>
      <c r="AL43" s="22">
        <f>AJ43-AI43</f>
        <v/>
      </c>
      <c r="AM43" s="34">
        <f>AVERAGE(AH43:AJ43)</f>
        <v/>
      </c>
      <c r="AN43" s="34">
        <f>AVERAGE(AE43:AJ43)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I44" s="2">
        <f>VLOOKUP(AI$26,'DB Business'!$A:$S,MATCH($B44,'DB Business'!$A$1:$S$1,0),0)</f>
        <v/>
      </c>
      <c r="AJ44" s="2">
        <f>VLOOKUP(AJ$26,'DB Business'!$A:$S,MATCH($B44,'DB Business'!$A$1:$S$1,0),0)</f>
        <v/>
      </c>
      <c r="AL44" s="22">
        <f>AJ44-AI44</f>
        <v/>
      </c>
      <c r="AM44" s="34">
        <f>AVERAGE(AH44:AJ44)</f>
        <v/>
      </c>
      <c r="AN44" s="34">
        <f>AVERAGE(AE44:AJ44)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I45" s="2">
        <f>VLOOKUP(AI$26,'DB Business'!$A:$S,MATCH($B45,'DB Business'!$A$1:$S$1,0),0)</f>
        <v/>
      </c>
      <c r="AJ45" s="2">
        <f>VLOOKUP(AJ$26,'DB Business'!$A:$S,MATCH($B45,'DB Business'!$A$1:$S$1,0),0)</f>
        <v/>
      </c>
      <c r="AL45" s="22">
        <f>AJ45-AI45</f>
        <v/>
      </c>
      <c r="AM45" s="34">
        <f>AVERAGE(AH45:AJ45)</f>
        <v/>
      </c>
      <c r="AN45" s="34">
        <f>AVERAGE(AE45:AJ45)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c r="AH46" s="37" t="n"/>
      <c r="AI46" s="37" t="n"/>
      <c r="AJ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c r="AH47" s="37" t="n"/>
      <c r="AI47" s="37" t="n"/>
      <c r="AJ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31" t="n">
        <v>44774</v>
      </c>
      <c r="AI48" s="31" t="n">
        <v>44805</v>
      </c>
      <c r="AJ48" s="31" t="n">
        <v>44835</v>
      </c>
      <c r="AK48" s="10" t="n"/>
      <c r="AL48" s="88" t="inlineStr">
        <is>
          <t>mom</t>
        </is>
      </c>
      <c r="AM48" s="88" t="inlineStr">
        <is>
          <t>3 months</t>
        </is>
      </c>
      <c r="AN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32" t="n"/>
      <c r="AI49" s="32" t="n"/>
      <c r="AJ49" s="32" t="n"/>
      <c r="AK49" s="10" t="n"/>
      <c r="AL49" s="89" t="n"/>
      <c r="AM49" s="89" t="n"/>
      <c r="AN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H50" s="22">
        <f>VLOOKUP(AH$48,'DB New Orders'!$A:$S,MATCH($B50,'DB New Orders'!$A$1:$S$1,0),0)</f>
        <v/>
      </c>
      <c r="AI50" s="22">
        <f>VLOOKUP(AI$48,'DB New Orders'!$A:$S,MATCH($B50,'DB New Orders'!$A$1:$S$1,0),0)</f>
        <v/>
      </c>
      <c r="AJ50" s="22">
        <f>VLOOKUP(AJ$48,'DB New Orders'!$A:$S,MATCH($B50,'DB New Orders'!$A$1:$S$1,0),0)</f>
        <v/>
      </c>
      <c r="AL50" s="22">
        <f>AJ50-AI50</f>
        <v/>
      </c>
      <c r="AM50" s="34">
        <f>AVERAGE(AH50:AJ50)</f>
        <v/>
      </c>
      <c r="AN50" s="34">
        <f>AVERAGE(AE50:AJ50)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H51" s="22">
        <f>VLOOKUP(AH$48,'DB New Orders'!$A:$S,MATCH($B51,'DB New Orders'!$A$1:$S$1,0),0)</f>
        <v/>
      </c>
      <c r="AI51" s="22">
        <f>VLOOKUP(AI$48,'DB New Orders'!$A:$S,MATCH($B51,'DB New Orders'!$A$1:$S$1,0),0)</f>
        <v/>
      </c>
      <c r="AJ51" s="22">
        <f>VLOOKUP(AJ$48,'DB New Orders'!$A:$S,MATCH($B51,'DB New Orders'!$A$1:$S$1,0),0)</f>
        <v/>
      </c>
      <c r="AL51" s="22">
        <f>AJ51-AI51</f>
        <v/>
      </c>
      <c r="AM51" s="34">
        <f>AVERAGE(AH51:AJ51)</f>
        <v/>
      </c>
      <c r="AN51" s="34">
        <f>AVERAGE(AE51:AJ51)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H52" s="22">
        <f>VLOOKUP(AH$48,'DB New Orders'!$A:$S,MATCH($B52,'DB New Orders'!$A$1:$S$1,0),0)</f>
        <v/>
      </c>
      <c r="AI52" s="22">
        <f>VLOOKUP(AI$48,'DB New Orders'!$A:$S,MATCH($B52,'DB New Orders'!$A$1:$S$1,0),0)</f>
        <v/>
      </c>
      <c r="AJ52" s="22">
        <f>VLOOKUP(AJ$48,'DB New Orders'!$A:$S,MATCH($B52,'DB New Orders'!$A$1:$S$1,0),0)</f>
        <v/>
      </c>
      <c r="AL52" s="22">
        <f>AJ52-AI52</f>
        <v/>
      </c>
      <c r="AM52" s="34">
        <f>AVERAGE(AH52:AJ52)</f>
        <v/>
      </c>
      <c r="AN52" s="34">
        <f>AVERAGE(AE52:AJ52)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H53" s="22">
        <f>VLOOKUP(AH$48,'DB New Orders'!$A:$S,MATCH($B53,'DB New Orders'!$A$1:$S$1,0),0)</f>
        <v/>
      </c>
      <c r="AI53" s="22">
        <f>VLOOKUP(AI$48,'DB New Orders'!$A:$S,MATCH($B53,'DB New Orders'!$A$1:$S$1,0),0)</f>
        <v/>
      </c>
      <c r="AJ53" s="22">
        <f>VLOOKUP(AJ$48,'DB New Orders'!$A:$S,MATCH($B53,'DB New Orders'!$A$1:$S$1,0),0)</f>
        <v/>
      </c>
      <c r="AL53" s="22">
        <f>AJ53-AI53</f>
        <v/>
      </c>
      <c r="AM53" s="34">
        <f>AVERAGE(AH53:AJ53)</f>
        <v/>
      </c>
      <c r="AN53" s="34">
        <f>AVERAGE(AE53:AJ53)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H54" s="22">
        <f>VLOOKUP(AH$48,'DB New Orders'!$A:$S,MATCH($B54,'DB New Orders'!$A$1:$S$1,0),0)</f>
        <v/>
      </c>
      <c r="AI54" s="22">
        <f>VLOOKUP(AI$48,'DB New Orders'!$A:$S,MATCH($B54,'DB New Orders'!$A$1:$S$1,0),0)</f>
        <v/>
      </c>
      <c r="AJ54" s="22">
        <f>VLOOKUP(AJ$48,'DB New Orders'!$A:$S,MATCH($B54,'DB New Orders'!$A$1:$S$1,0),0)</f>
        <v/>
      </c>
      <c r="AL54" s="22">
        <f>AJ54-AI54</f>
        <v/>
      </c>
      <c r="AM54" s="34">
        <f>AVERAGE(AH54:AJ54)</f>
        <v/>
      </c>
      <c r="AN54" s="34">
        <f>AVERAGE(AE54:AJ54)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H55" s="22">
        <f>VLOOKUP(AH$48,'DB New Orders'!$A:$S,MATCH($B55,'DB New Orders'!$A$1:$S$1,0),0)</f>
        <v/>
      </c>
      <c r="AI55" s="22">
        <f>VLOOKUP(AI$48,'DB New Orders'!$A:$S,MATCH($B55,'DB New Orders'!$A$1:$S$1,0),0)</f>
        <v/>
      </c>
      <c r="AJ55" s="22">
        <f>VLOOKUP(AJ$48,'DB New Orders'!$A:$S,MATCH($B55,'DB New Orders'!$A$1:$S$1,0),0)</f>
        <v/>
      </c>
      <c r="AL55" s="22">
        <f>AJ55-AI55</f>
        <v/>
      </c>
      <c r="AM55" s="34">
        <f>AVERAGE(AH55:AJ55)</f>
        <v/>
      </c>
      <c r="AN55" s="34">
        <f>AVERAGE(AE55:AJ55)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H56" s="22">
        <f>VLOOKUP(AH$48,'DB New Orders'!$A:$S,MATCH($B56,'DB New Orders'!$A$1:$S$1,0),0)</f>
        <v/>
      </c>
      <c r="AI56" s="22">
        <f>VLOOKUP(AI$48,'DB New Orders'!$A:$S,MATCH($B56,'DB New Orders'!$A$1:$S$1,0),0)</f>
        <v/>
      </c>
      <c r="AJ56" s="22">
        <f>VLOOKUP(AJ$48,'DB New Orders'!$A:$S,MATCH($B56,'DB New Orders'!$A$1:$S$1,0),0)</f>
        <v/>
      </c>
      <c r="AL56" s="22">
        <f>AJ56-AI56</f>
        <v/>
      </c>
      <c r="AM56" s="34">
        <f>AVERAGE(AH56:AJ56)</f>
        <v/>
      </c>
      <c r="AN56" s="34">
        <f>AVERAGE(AE56:AJ56)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H57" s="22">
        <f>VLOOKUP(AH$48,'DB New Orders'!$A:$S,MATCH($B57,'DB New Orders'!$A$1:$S$1,0),0)</f>
        <v/>
      </c>
      <c r="AI57" s="22">
        <f>VLOOKUP(AI$48,'DB New Orders'!$A:$S,MATCH($B57,'DB New Orders'!$A$1:$S$1,0),0)</f>
        <v/>
      </c>
      <c r="AJ57" s="22">
        <f>VLOOKUP(AJ$48,'DB New Orders'!$A:$S,MATCH($B57,'DB New Orders'!$A$1:$S$1,0),0)</f>
        <v/>
      </c>
      <c r="AL57" s="22">
        <f>AJ57-AI57</f>
        <v/>
      </c>
      <c r="AM57" s="34">
        <f>AVERAGE(AH57:AJ57)</f>
        <v/>
      </c>
      <c r="AN57" s="34">
        <f>AVERAGE(AE57:AJ57)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H58" s="22">
        <f>VLOOKUP(AH$48,'DB New Orders'!$A:$S,MATCH($B58,'DB New Orders'!$A$1:$S$1,0),0)</f>
        <v/>
      </c>
      <c r="AI58" s="22">
        <f>VLOOKUP(AI$48,'DB New Orders'!$A:$S,MATCH($B58,'DB New Orders'!$A$1:$S$1,0),0)</f>
        <v/>
      </c>
      <c r="AJ58" s="22">
        <f>VLOOKUP(AJ$48,'DB New Orders'!$A:$S,MATCH($B58,'DB New Orders'!$A$1:$S$1,0),0)</f>
        <v/>
      </c>
      <c r="AL58" s="22">
        <f>AJ58-AI58</f>
        <v/>
      </c>
      <c r="AM58" s="34">
        <f>AVERAGE(AH58:AJ58)</f>
        <v/>
      </c>
      <c r="AN58" s="34">
        <f>AVERAGE(AE58:AJ58)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H59" s="22">
        <f>VLOOKUP(AH$48,'DB New Orders'!$A:$S,MATCH($B59,'DB New Orders'!$A$1:$S$1,0),0)</f>
        <v/>
      </c>
      <c r="AI59" s="22">
        <f>VLOOKUP(AI$48,'DB New Orders'!$A:$S,MATCH($B59,'DB New Orders'!$A$1:$S$1,0),0)</f>
        <v/>
      </c>
      <c r="AJ59" s="22">
        <f>VLOOKUP(AJ$48,'DB New Orders'!$A:$S,MATCH($B59,'DB New Orders'!$A$1:$S$1,0),0)</f>
        <v/>
      </c>
      <c r="AL59" s="22">
        <f>AJ59-AI59</f>
        <v/>
      </c>
      <c r="AM59" s="34">
        <f>AVERAGE(AH59:AJ59)</f>
        <v/>
      </c>
      <c r="AN59" s="34">
        <f>AVERAGE(AE59:AJ59)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H60" s="22">
        <f>VLOOKUP(AH$48,'DB New Orders'!$A:$S,MATCH($B60,'DB New Orders'!$A$1:$S$1,0),0)</f>
        <v/>
      </c>
      <c r="AI60" s="22">
        <f>VLOOKUP(AI$48,'DB New Orders'!$A:$S,MATCH($B60,'DB New Orders'!$A$1:$S$1,0),0)</f>
        <v/>
      </c>
      <c r="AJ60" s="22">
        <f>VLOOKUP(AJ$48,'DB New Orders'!$A:$S,MATCH($B60,'DB New Orders'!$A$1:$S$1,0),0)</f>
        <v/>
      </c>
      <c r="AL60" s="22">
        <f>AJ60-AI60</f>
        <v/>
      </c>
      <c r="AM60" s="34">
        <f>AVERAGE(AH60:AJ60)</f>
        <v/>
      </c>
      <c r="AN60" s="34">
        <f>AVERAGE(AE60:AJ60)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H61" s="22">
        <f>VLOOKUP(AH$48,'DB New Orders'!$A:$S,MATCH($B61,'DB New Orders'!$A$1:$S$1,0),0)</f>
        <v/>
      </c>
      <c r="AI61" s="22">
        <f>VLOOKUP(AI$48,'DB New Orders'!$A:$S,MATCH($B61,'DB New Orders'!$A$1:$S$1,0),0)</f>
        <v/>
      </c>
      <c r="AJ61" s="22">
        <f>VLOOKUP(AJ$48,'DB New Orders'!$A:$S,MATCH($B61,'DB New Orders'!$A$1:$S$1,0),0)</f>
        <v/>
      </c>
      <c r="AL61" s="22">
        <f>AJ61-AI61</f>
        <v/>
      </c>
      <c r="AM61" s="34">
        <f>AVERAGE(AH61:AJ61)</f>
        <v/>
      </c>
      <c r="AN61" s="34">
        <f>AVERAGE(AE61:AJ61)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H62" s="22">
        <f>VLOOKUP(AH$48,'DB New Orders'!$A:$S,MATCH($B62,'DB New Orders'!$A$1:$S$1,0),0)</f>
        <v/>
      </c>
      <c r="AI62" s="22">
        <f>VLOOKUP(AI$48,'DB New Orders'!$A:$S,MATCH($B62,'DB New Orders'!$A$1:$S$1,0),0)</f>
        <v/>
      </c>
      <c r="AJ62" s="22">
        <f>VLOOKUP(AJ$48,'DB New Orders'!$A:$S,MATCH($B62,'DB New Orders'!$A$1:$S$1,0),0)</f>
        <v/>
      </c>
      <c r="AL62" s="22">
        <f>AJ62-AI62</f>
        <v/>
      </c>
      <c r="AM62" s="34">
        <f>AVERAGE(AH62:AJ62)</f>
        <v/>
      </c>
      <c r="AN62" s="34">
        <f>AVERAGE(AE62:AJ62)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H63" s="22">
        <f>VLOOKUP(AH$48,'DB New Orders'!$A:$S,MATCH($B63,'DB New Orders'!$A$1:$S$1,0),0)</f>
        <v/>
      </c>
      <c r="AI63" s="22">
        <f>VLOOKUP(AI$48,'DB New Orders'!$A:$S,MATCH($B63,'DB New Orders'!$A$1:$S$1,0),0)</f>
        <v/>
      </c>
      <c r="AJ63" s="22">
        <f>VLOOKUP(AJ$48,'DB New Orders'!$A:$S,MATCH($B63,'DB New Orders'!$A$1:$S$1,0),0)</f>
        <v/>
      </c>
      <c r="AL63" s="22">
        <f>AJ63-AI63</f>
        <v/>
      </c>
      <c r="AM63" s="34">
        <f>AVERAGE(AH63:AJ63)</f>
        <v/>
      </c>
      <c r="AN63" s="34">
        <f>AVERAGE(AE63:AJ63)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H64" s="22">
        <f>VLOOKUP(AH$48,'DB New Orders'!$A:$S,MATCH($B64,'DB New Orders'!$A$1:$S$1,0),0)</f>
        <v/>
      </c>
      <c r="AI64" s="22">
        <f>VLOOKUP(AI$48,'DB New Orders'!$A:$S,MATCH($B64,'DB New Orders'!$A$1:$S$1,0),0)</f>
        <v/>
      </c>
      <c r="AJ64" s="22">
        <f>VLOOKUP(AJ$48,'DB New Orders'!$A:$S,MATCH($B64,'DB New Orders'!$A$1:$S$1,0),0)</f>
        <v/>
      </c>
      <c r="AL64" s="22">
        <f>AJ64-AI64</f>
        <v/>
      </c>
      <c r="AM64" s="34">
        <f>AVERAGE(AH64:AJ64)</f>
        <v/>
      </c>
      <c r="AN64" s="34">
        <f>AVERAGE(AE64:AJ64)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H65" s="22">
        <f>VLOOKUP(AH$48,'DB New Orders'!$A:$S,MATCH($B65,'DB New Orders'!$A$1:$S$1,0),0)</f>
        <v/>
      </c>
      <c r="AI65" s="22">
        <f>VLOOKUP(AI$48,'DB New Orders'!$A:$S,MATCH($B65,'DB New Orders'!$A$1:$S$1,0),0)</f>
        <v/>
      </c>
      <c r="AJ65" s="22">
        <f>VLOOKUP(AJ$48,'DB New Orders'!$A:$S,MATCH($B65,'DB New Orders'!$A$1:$S$1,0),0)</f>
        <v/>
      </c>
      <c r="AL65" s="22">
        <f>AJ65-AI65</f>
        <v/>
      </c>
      <c r="AM65" s="34">
        <f>AVERAGE(AH65:AJ65)</f>
        <v/>
      </c>
      <c r="AN65" s="34">
        <f>AVERAGE(AE65:AJ65)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H66" s="22">
        <f>VLOOKUP(AH$48,'DB New Orders'!$A:$S,MATCH($B66,'DB New Orders'!$A$1:$S$1,0),0)</f>
        <v/>
      </c>
      <c r="AI66" s="22">
        <f>VLOOKUP(AI$48,'DB New Orders'!$A:$S,MATCH($B66,'DB New Orders'!$A$1:$S$1,0),0)</f>
        <v/>
      </c>
      <c r="AJ66" s="22">
        <f>VLOOKUP(AJ$48,'DB New Orders'!$A:$S,MATCH($B66,'DB New Orders'!$A$1:$S$1,0),0)</f>
        <v/>
      </c>
      <c r="AL66" s="22">
        <f>AJ66-AI66</f>
        <v/>
      </c>
      <c r="AM66" s="34">
        <f>AVERAGE(AH66:AJ66)</f>
        <v/>
      </c>
      <c r="AN66" s="34">
        <f>AVERAGE(AE66:AJ66)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H67" s="22">
        <f>VLOOKUP(AH$48,'DB New Orders'!$A:$S,MATCH($B67,'DB New Orders'!$A$1:$S$1,0),0)</f>
        <v/>
      </c>
      <c r="AI67" s="22">
        <f>VLOOKUP(AI$48,'DB New Orders'!$A:$S,MATCH($B67,'DB New Orders'!$A$1:$S$1,0),0)</f>
        <v/>
      </c>
      <c r="AJ67" s="22">
        <f>VLOOKUP(AJ$48,'DB New Orders'!$A:$S,MATCH($B67,'DB New Orders'!$A$1:$S$1,0),0)</f>
        <v/>
      </c>
      <c r="AL67" s="22">
        <f>AJ67-AI67</f>
        <v/>
      </c>
      <c r="AM67" s="34">
        <f>AVERAGE(AH67:AJ67)</f>
        <v/>
      </c>
      <c r="AN67" s="34">
        <f>AVERAGE(AE67:AJ67)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c r="AH68" s="37" t="n"/>
      <c r="AI68" s="37" t="n"/>
      <c r="AJ68" s="37" t="n"/>
    </row>
  </sheetData>
  <mergeCells count="14">
    <mergeCell ref="B48:B49"/>
    <mergeCell ref="AL48:AL49"/>
    <mergeCell ref="AM48:AM49"/>
    <mergeCell ref="AN48:AN49"/>
    <mergeCell ref="AL1:AN1"/>
    <mergeCell ref="AM3:AN3"/>
    <mergeCell ref="B4:B5"/>
    <mergeCell ref="AL4:AL5"/>
    <mergeCell ref="AM4:AM5"/>
    <mergeCell ref="AN4:AN5"/>
    <mergeCell ref="B26:B27"/>
    <mergeCell ref="AL26:AL27"/>
    <mergeCell ref="AM26:AM27"/>
    <mergeCell ref="AN26:AN27"/>
  </mergeCells>
  <conditionalFormatting sqref="AL6:AL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M6:AM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N6:AN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J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J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J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L28:AL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M28:AM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N28:AN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L50:AL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M50:AM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N50:AN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9"/>
  <sheetViews>
    <sheetView zoomScale="120" zoomScaleNormal="120" workbookViewId="0">
      <pane xSplit="1" ySplit="5" topLeftCell="D301" activePane="bottomRight" state="frozen"/>
      <selection pane="topRight" activeCell="B1" sqref="B1"/>
      <selection pane="bottomLeft" activeCell="A6" sqref="A6"/>
      <selection pane="bottomRight" activeCell="A305" sqref="A305:L309"/>
    </sheetView>
  </sheetViews>
  <sheetFormatPr baseColWidth="8" defaultColWidth="9.1796875" defaultRowHeight="14.5"/>
  <cols>
    <col width="12" customWidth="1" style="76" min="1" max="1"/>
    <col width="13.1796875" customWidth="1" style="76" min="2" max="2"/>
    <col width="11.453125" customWidth="1" style="76" min="3" max="9"/>
    <col width="12.1796875" customWidth="1" style="76" min="10" max="10"/>
    <col width="11.453125" customWidth="1" style="76" min="11" max="11"/>
    <col width="15.36328125" customWidth="1" style="76" min="12" max="12"/>
    <col width="9.1796875" customWidth="1" style="76" min="13" max="33"/>
    <col width="9.1796875" customWidth="1" style="76" min="34"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row r="307">
      <c r="A307" s="53" t="n">
        <v>44774</v>
      </c>
      <c r="B307" s="50">
        <f>IF(VLOOKUP(Table91213[[#This Row],[Date]],'DB Details'!$A:$Q,2)=0,"",VLOOKUP(Table91213[[#This Row],[Date]],'DB Details'!$A:$Q,2))</f>
        <v/>
      </c>
      <c r="C307" s="51">
        <f>IF(VLOOKUP(Table91213[[#This Row],[Date]],'DB Details'!$A:$Q,3)=0,"",VLOOKUP(Table91213[[#This Row],[Date]],'DB Details'!$A:$Q,3))</f>
        <v/>
      </c>
      <c r="D307" s="51">
        <f>IF(VLOOKUP(Table91213[[#This Row],[Date]],'DB Details'!$A:$Q,4)=0,"",VLOOKUP(Table91213[[#This Row],[Date]],'DB Details'!$A:$Q,4))</f>
        <v/>
      </c>
      <c r="E307" s="52">
        <f>IF(VLOOKUP(Table91213[[#This Row],[Date]],'DB Details'!$A:$Q,5)=0,"",VLOOKUP(Table91213[[#This Row],[Date]],'DB Details'!$A:$Q,5))</f>
        <v/>
      </c>
      <c r="F307" s="51">
        <f>IF(VLOOKUP(Table91213[[#This Row],[Date]],'DB Details'!$A:$Q,6)=0,"",VLOOKUP(Table91213[[#This Row],[Date]],'DB Details'!$A:$Q,6))</f>
        <v/>
      </c>
      <c r="G307" s="52">
        <f>IF(VLOOKUP(Table91213[[#This Row],[Date]],'DB Details'!$A:$Q,7)=0,"",VLOOKUP(Table91213[[#This Row],[Date]],'DB Details'!$A:$Q,7))</f>
        <v/>
      </c>
      <c r="H307" s="52">
        <f>IF(VLOOKUP(Table91213[[#This Row],[Date]],'DB Details'!$A:$Q,8)=0,"",VLOOKUP(Table91213[[#This Row],[Date]],'DB Details'!$A:$Q,8))</f>
        <v/>
      </c>
      <c r="I307" s="52">
        <f>IF(VLOOKUP(Table91213[[#This Row],[Date]],'DB Details'!$A:$Q,9)=0,"",VLOOKUP(Table91213[[#This Row],[Date]],'DB Details'!$A:$Q,9))</f>
        <v/>
      </c>
      <c r="J307" s="52">
        <f>IF(VLOOKUP(Table91213[[#This Row],[Date]],'DB Details'!$A:$Q,10)=0,"",VLOOKUP(Table91213[[#This Row],[Date]],'DB Details'!$A:$Q,10))</f>
        <v/>
      </c>
      <c r="K307" s="52">
        <f>IF(VLOOKUP(Table91213[[#This Row],[Date]],'DB Details'!$A:$Q,11)=0,"",VLOOKUP(Table91213[[#This Row],[Date]],'DB Details'!$A:$Q,11))</f>
        <v/>
      </c>
      <c r="L307" s="50">
        <f>IF(VLOOKUP(Table91213[[#This Row],[Date]],'DB Details'!$A:$Q,12)=0,"",VLOOKUP(Table91213[[#This Row],[Date]],'DB Details'!$A:$Q,12))</f>
        <v/>
      </c>
    </row>
    <row r="308">
      <c r="A308" s="53" t="n">
        <v>44805</v>
      </c>
      <c r="B308" s="50">
        <f>IF(VLOOKUP(Table91213[[#This Row],[Date]],'DB Details'!$A:$Q,2)=0,"",VLOOKUP(Table91213[[#This Row],[Date]],'DB Details'!$A:$Q,2))</f>
        <v/>
      </c>
      <c r="C308" s="51">
        <f>IF(VLOOKUP(Table91213[[#This Row],[Date]],'DB Details'!$A:$Q,3)=0,"",VLOOKUP(Table91213[[#This Row],[Date]],'DB Details'!$A:$Q,3))</f>
        <v/>
      </c>
      <c r="D308" s="51">
        <f>IF(VLOOKUP(Table91213[[#This Row],[Date]],'DB Details'!$A:$Q,4)=0,"",VLOOKUP(Table91213[[#This Row],[Date]],'DB Details'!$A:$Q,4))</f>
        <v/>
      </c>
      <c r="E308" s="52">
        <f>IF(VLOOKUP(Table91213[[#This Row],[Date]],'DB Details'!$A:$Q,5)=0,"",VLOOKUP(Table91213[[#This Row],[Date]],'DB Details'!$A:$Q,5))</f>
        <v/>
      </c>
      <c r="F308" s="51">
        <f>IF(VLOOKUP(Table91213[[#This Row],[Date]],'DB Details'!$A:$Q,6)=0,"",VLOOKUP(Table91213[[#This Row],[Date]],'DB Details'!$A:$Q,6))</f>
        <v/>
      </c>
      <c r="G308" s="52">
        <f>IF(VLOOKUP(Table91213[[#This Row],[Date]],'DB Details'!$A:$Q,7)=0,"",VLOOKUP(Table91213[[#This Row],[Date]],'DB Details'!$A:$Q,7))</f>
        <v/>
      </c>
      <c r="H308" s="52">
        <f>IF(VLOOKUP(Table91213[[#This Row],[Date]],'DB Details'!$A:$Q,8)=0,"",VLOOKUP(Table91213[[#This Row],[Date]],'DB Details'!$A:$Q,8))</f>
        <v/>
      </c>
      <c r="I308" s="52">
        <f>IF(VLOOKUP(Table91213[[#This Row],[Date]],'DB Details'!$A:$Q,9)=0,"",VLOOKUP(Table91213[[#This Row],[Date]],'DB Details'!$A:$Q,9))</f>
        <v/>
      </c>
      <c r="J308" s="52">
        <f>IF(VLOOKUP(Table91213[[#This Row],[Date]],'DB Details'!$A:$Q,10)=0,"",VLOOKUP(Table91213[[#This Row],[Date]],'DB Details'!$A:$Q,10))</f>
        <v/>
      </c>
      <c r="K308" s="52">
        <f>IF(VLOOKUP(Table91213[[#This Row],[Date]],'DB Details'!$A:$Q,11)=0,"",VLOOKUP(Table91213[[#This Row],[Date]],'DB Details'!$A:$Q,11))</f>
        <v/>
      </c>
      <c r="L308" s="50">
        <f>IF(VLOOKUP(Table91213[[#This Row],[Date]],'DB Details'!$A:$Q,12)=0,"",VLOOKUP(Table91213[[#This Row],[Date]],'DB Details'!$A:$Q,12))</f>
        <v/>
      </c>
    </row>
    <row r="309">
      <c r="A309" s="53" t="n">
        <v>44835</v>
      </c>
      <c r="B309" s="50">
        <f>IF(VLOOKUP(Table91213[[#This Row],[Date]],'DB Details'!$A:$Q,2)=0,"",VLOOKUP(Table91213[[#This Row],[Date]],'DB Details'!$A:$Q,2))</f>
        <v/>
      </c>
      <c r="C309" s="51">
        <f>IF(VLOOKUP(Table91213[[#This Row],[Date]],'DB Details'!$A:$Q,3)=0,"",VLOOKUP(Table91213[[#This Row],[Date]],'DB Details'!$A:$Q,3))</f>
        <v/>
      </c>
      <c r="D309" s="51">
        <f>IF(VLOOKUP(Table91213[[#This Row],[Date]],'DB Details'!$A:$Q,4)=0,"",VLOOKUP(Table91213[[#This Row],[Date]],'DB Details'!$A:$Q,4))</f>
        <v/>
      </c>
      <c r="E309" s="52">
        <f>IF(VLOOKUP(Table91213[[#This Row],[Date]],'DB Details'!$A:$Q,5)=0,"",VLOOKUP(Table91213[[#This Row],[Date]],'DB Details'!$A:$Q,5))</f>
        <v/>
      </c>
      <c r="F309" s="51">
        <f>IF(VLOOKUP(Table91213[[#This Row],[Date]],'DB Details'!$A:$Q,6)=0,"",VLOOKUP(Table91213[[#This Row],[Date]],'DB Details'!$A:$Q,6))</f>
        <v/>
      </c>
      <c r="G309" s="52">
        <f>IF(VLOOKUP(Table91213[[#This Row],[Date]],'DB Details'!$A:$Q,7)=0,"",VLOOKUP(Table91213[[#This Row],[Date]],'DB Details'!$A:$Q,7))</f>
        <v/>
      </c>
      <c r="H309" s="52">
        <f>IF(VLOOKUP(Table91213[[#This Row],[Date]],'DB Details'!$A:$Q,8)=0,"",VLOOKUP(Table91213[[#This Row],[Date]],'DB Details'!$A:$Q,8))</f>
        <v/>
      </c>
      <c r="I309" s="52">
        <f>IF(VLOOKUP(Table91213[[#This Row],[Date]],'DB Details'!$A:$Q,9)=0,"",VLOOKUP(Table91213[[#This Row],[Date]],'DB Details'!$A:$Q,9))</f>
        <v/>
      </c>
      <c r="J309" s="52">
        <f>IF(VLOOKUP(Table91213[[#This Row],[Date]],'DB Details'!$A:$Q,10)=0,"",VLOOKUP(Table91213[[#This Row],[Date]],'DB Details'!$A:$Q,10))</f>
        <v/>
      </c>
      <c r="K309" s="52">
        <f>IF(VLOOKUP(Table91213[[#This Row],[Date]],'DB Details'!$A:$Q,11)=0,"",VLOOKUP(Table91213[[#This Row],[Date]],'DB Details'!$A:$Q,11))</f>
        <v/>
      </c>
      <c r="L309"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20" zoomScale="40" zoomScaleNormal="40" workbookViewId="0">
      <selection activeCell="AF56" sqref="AF56"/>
    </sheetView>
  </sheetViews>
  <sheetFormatPr baseColWidth="8" defaultColWidth="9.1796875" defaultRowHeight="14.5"/>
  <cols>
    <col width="9.1796875" customWidth="1" style="76" min="1" max="21"/>
    <col width="9.1796875" customWidth="1" style="76" min="22"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9"/>
  <sheetViews>
    <sheetView zoomScale="80" zoomScaleNormal="80" workbookViewId="0">
      <pane ySplit="5" topLeftCell="A288" activePane="bottomLeft" state="frozen"/>
      <selection activeCell="F274" sqref="F274"/>
      <selection pane="bottomLeft" activeCell="E315" sqref="E315"/>
    </sheetView>
  </sheetViews>
  <sheetFormatPr baseColWidth="8" defaultColWidth="9.1796875" defaultRowHeight="14.5"/>
  <cols>
    <col width="12.36328125" customWidth="1" style="76" min="1" max="1"/>
    <col width="14.6328125" customWidth="1" style="76" min="2" max="5"/>
    <col width="9.1796875" customWidth="1" style="76" min="6" max="26"/>
    <col width="9.1796875" customWidth="1" style="76" min="27"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row r="307">
      <c r="A307" s="60" t="n">
        <v>44774</v>
      </c>
      <c r="B307" s="50">
        <f>IF(VLOOKUP(Table311[[#This Row],[Date]],'DB Details'!$A:$Q,12)=0,"",VLOOKUP(Table311[[#This Row],[Date]],'DB Details'!$A:$Q,12))</f>
        <v/>
      </c>
      <c r="C307" s="61">
        <f>IF(VLOOKUP(Table311[[#This Row],[Date]],'DB Details'!$A:$Q,16)=0,"",VLOOKUP(Table311[[#This Row],[Date]],'DB Details'!$A:$Q,16))</f>
        <v/>
      </c>
      <c r="D307" s="61">
        <f>IF(VLOOKUP(Table311[[#This Row],[Date]],'DB Details'!$A:$Q,15)=0,"",VLOOKUP(Table311[[#This Row],[Date]],'DB Details'!$A:$Q,15))</f>
        <v/>
      </c>
      <c r="E307" s="61">
        <f>IF(VLOOKUP(Table311[[#This Row],[Date]],'DB Details'!$A:$Q,17)=0,"",VLOOKUP(Table311[[#This Row],[Date]],'DB Details'!$A:$Q,17))</f>
        <v/>
      </c>
    </row>
    <row r="308">
      <c r="A308" s="60" t="n">
        <v>44805</v>
      </c>
      <c r="B308" s="50">
        <f>IF(VLOOKUP(Table311[[#This Row],[Date]],'DB Details'!$A:$Q,12)=0,"",VLOOKUP(Table311[[#This Row],[Date]],'DB Details'!$A:$Q,12))</f>
        <v/>
      </c>
      <c r="C308" s="61">
        <f>IF(VLOOKUP(Table311[[#This Row],[Date]],'DB Details'!$A:$Q,16)=0,"",VLOOKUP(Table311[[#This Row],[Date]],'DB Details'!$A:$Q,16))</f>
        <v/>
      </c>
      <c r="D308" s="61">
        <f>IF(VLOOKUP(Table311[[#This Row],[Date]],'DB Details'!$A:$Q,15)=0,"",VLOOKUP(Table311[[#This Row],[Date]],'DB Details'!$A:$Q,15))</f>
        <v/>
      </c>
      <c r="E308" s="61">
        <f>IF(VLOOKUP(Table311[[#This Row],[Date]],'DB Details'!$A:$Q,17)=0,"",VLOOKUP(Table311[[#This Row],[Date]],'DB Details'!$A:$Q,17))</f>
        <v/>
      </c>
    </row>
    <row r="309">
      <c r="A309" s="60" t="n">
        <v>44835</v>
      </c>
      <c r="B309" s="50">
        <f>IF(VLOOKUP(Table311[[#This Row],[Date]],'DB Details'!$A:$Q,12)=0,"",VLOOKUP(Table311[[#This Row],[Date]],'DB Details'!$A:$Q,12))</f>
        <v/>
      </c>
      <c r="C309" s="61">
        <f>IF(VLOOKUP(Table311[[#This Row],[Date]],'DB Details'!$A:$Q,16)=0,"",VLOOKUP(Table311[[#This Row],[Date]],'DB Details'!$A:$Q,16))</f>
        <v/>
      </c>
      <c r="D309" s="61">
        <f>IF(VLOOKUP(Table311[[#This Row],[Date]],'DB Details'!$A:$Q,15)=0,"",VLOOKUP(Table311[[#This Row],[Date]],'DB Details'!$A:$Q,15))</f>
        <v/>
      </c>
      <c r="E309" s="61">
        <f>IF(VLOOKUP(Table311[[#This Row],[Date]],'DB Details'!$A:$Q,17)=0,"",VLOOKUP(Table311[[#This Row],[Date]],'DB Details'!$A:$Q,17))</f>
        <v/>
      </c>
    </row>
  </sheetData>
  <conditionalFormatting sqref="B156:B309">
    <cfRule type="colorScale" priority="2">
      <colorScale>
        <cfvo type="min"/>
        <cfvo type="percentile" val="50"/>
        <cfvo type="max"/>
        <color rgb="FFF8696B"/>
        <color rgb="FFFFEB84"/>
        <color rgb="FF63BE7B"/>
      </colorScale>
    </cfRule>
  </conditionalFormatting>
  <conditionalFormatting sqref="E156:E3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9"/>
  <sheetViews>
    <sheetView zoomScale="190" zoomScaleNormal="190" workbookViewId="0">
      <pane ySplit="5" topLeftCell="A295" activePane="bottomLeft" state="frozen"/>
      <selection activeCell="P256" sqref="P256"/>
      <selection pane="bottomLeft" activeCell="A303" sqref="A303:C309"/>
    </sheetView>
  </sheetViews>
  <sheetFormatPr baseColWidth="8" defaultColWidth="9.1796875" defaultRowHeight="14.5"/>
  <cols>
    <col width="18.36328125" customWidth="1" style="76" min="1" max="1"/>
    <col width="11" customWidth="1" style="76" min="2" max="3"/>
    <col width="9.1796875" customWidth="1" style="76" min="4" max="6"/>
    <col width="12.81640625" customWidth="1" style="76" min="7" max="7"/>
    <col width="14.453125" customWidth="1" style="76" min="8" max="8"/>
    <col width="9.1796875" customWidth="1" style="76" min="9" max="9"/>
    <col width="14.81640625" customWidth="1" style="76" min="10" max="10"/>
    <col width="9.1796875" customWidth="1" style="76" min="11" max="31"/>
    <col width="9.1796875" customWidth="1" style="76" min="32"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row r="307">
      <c r="A307" s="53" t="n">
        <v>44774</v>
      </c>
      <c r="B307" s="54">
        <f>IF(VLOOKUP(Table9[[#This Row],[Date]],'DB Details'!$A:$Q,12)=0,"",VLOOKUP(Table9[[#This Row],[Date]],'DB Details'!$A:$Q,12))</f>
        <v/>
      </c>
      <c r="C307" s="54">
        <f>Table9[[#This Row],[ISM Services]]-B306</f>
        <v/>
      </c>
    </row>
    <row r="308">
      <c r="A308" s="53" t="n">
        <v>44805</v>
      </c>
      <c r="B308" s="54">
        <f>IF(VLOOKUP(Table9[[#This Row],[Date]],'DB Details'!$A:$Q,12)=0,"",VLOOKUP(Table9[[#This Row],[Date]],'DB Details'!$A:$Q,12))</f>
        <v/>
      </c>
      <c r="C308" s="54">
        <f>Table9[[#This Row],[ISM Services]]-B307</f>
        <v/>
      </c>
    </row>
    <row r="309">
      <c r="A309" s="53" t="n">
        <v>44835</v>
      </c>
      <c r="B309" s="54">
        <f>IF(VLOOKUP(Table9[[#This Row],[Date]],'DB Details'!$A:$Q,12)=0,"",VLOOKUP(Table9[[#This Row],[Date]],'DB Details'!$A:$Q,12))</f>
        <v/>
      </c>
      <c r="C309" s="54">
        <f>Table9[[#This Row],[ISM Services]]-B308</f>
        <v/>
      </c>
    </row>
  </sheetData>
  <conditionalFormatting sqref="B156:B3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56"/>
  <sheetViews>
    <sheetView topLeftCell="C1" zoomScale="50" zoomScaleNormal="50" workbookViewId="0">
      <pane ySplit="1" topLeftCell="A372" activePane="bottomLeft" state="frozen"/>
      <selection activeCell="C362" sqref="C362"/>
      <selection pane="bottomLeft" activeCell="C382" sqref="C382"/>
    </sheetView>
  </sheetViews>
  <sheetFormatPr baseColWidth="8" defaultColWidth="10.90625" defaultRowHeight="14.5"/>
  <cols>
    <col width="32.36328125" customWidth="1" style="65" min="1" max="1"/>
    <col width="149.453125" customWidth="1" style="65"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44866</v>
      </c>
      <c r="C41" t="inlineStr">
        <is>
          <t>“Business is doing well, almost back to pre-coronavirus pandemic volumes.”</t>
        </is>
      </c>
    </row>
    <row r="42">
      <c r="A42" t="inlineStr">
        <is>
          <t>Agriculture, Forestry, Fishing &amp; Hunting</t>
        </is>
      </c>
      <c r="B42" s="93" t="n">
        <v>44835</v>
      </c>
      <c r="C42" t="inlineStr">
        <is>
          <t>“Business remains tepid. We have a general concern that sales volumes are trending down as buyers communicate that they’re planning to buy only what they need for immediate sales.”</t>
        </is>
      </c>
    </row>
    <row r="43">
      <c r="A43" t="inlineStr">
        <is>
          <t>Agriculture, Forestry, Fishing &amp; Hunting</t>
        </is>
      </c>
      <c r="B43" s="93" t="n">
        <v>44805</v>
      </c>
      <c r="C43" t="inlineStr">
        <is>
          <t>“General slowdown in sales. We believe high commodity prices and inflation have impacted consumers’ desire for fertilizer from our turf and ornamental division. Farmers have already cut back on consumption due to pricing and weather-related issues.”</t>
        </is>
      </c>
    </row>
    <row r="44">
      <c r="A44" t="inlineStr">
        <is>
          <t>Agriculture, Forestry, Fishing &amp; Hunting</t>
        </is>
      </c>
      <c r="B44" s="93" t="n">
        <v>44621</v>
      </c>
      <c r="C44" t="inlineStr">
        <is>
          <t>“Grain and fertilizer prices are near all-time highs, resulting in decreased purchasing.”</t>
        </is>
      </c>
    </row>
    <row r="45">
      <c r="A45" t="inlineStr">
        <is>
          <t>Agriculture, Forestry, Fishing &amp; Hunting</t>
        </is>
      </c>
      <c r="B45" s="93" t="n">
        <v>44593</v>
      </c>
      <c r="C45" t="inlineStr">
        <is>
          <t>“Supply chain challenges continue to result in lower inventories of products and higher costs. The challenges are at the highest point since COVID-19 began.”</t>
        </is>
      </c>
    </row>
    <row r="46">
      <c r="A46" t="inlineStr">
        <is>
          <t>Agriculture, Forestry, Fishing &amp; Hunting</t>
        </is>
      </c>
      <c r="B46" s="93" t="n">
        <v>44562</v>
      </c>
      <c r="C46"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7">
      <c r="A47" t="inlineStr">
        <is>
          <t>Agriculture, Forestry, Fishing &amp; Hunting</t>
        </is>
      </c>
      <c r="B47" s="93" t="n">
        <v>44531</v>
      </c>
      <c r="C47" t="inlineStr">
        <is>
          <t>“Supply chain issues continue, but our business is adapting.”</t>
        </is>
      </c>
    </row>
    <row r="48">
      <c r="A48" t="inlineStr">
        <is>
          <t>Agriculture, Forestry, Fishing &amp; Hunting</t>
        </is>
      </c>
      <c r="B48" s="93" t="n">
        <v>44501</v>
      </c>
      <c r="C48" t="inlineStr">
        <is>
          <t>“Business is greater than in the past. Supply chain issues persist, but we’re evolving to overcome or manage them better than in the past.” [Agriculture, Forestry, Fishing &amp; Hunting]</t>
        </is>
      </c>
    </row>
    <row r="49">
      <c r="A49" t="inlineStr">
        <is>
          <t>Agriculture, Forestry, Fishing &amp; Hunting</t>
        </is>
      </c>
      <c r="B49" s="93" t="n">
        <v>44470</v>
      </c>
      <c r="C49" t="inlineStr">
        <is>
          <t>“Container delays are causing serious implications for our supply chain.” [Agriculture, Forestry, Fishing &amp; Hunting]</t>
        </is>
      </c>
    </row>
    <row r="50">
      <c r="A50" t="inlineStr">
        <is>
          <t>Agriculture, Forestry, Fishing &amp; Hunting</t>
        </is>
      </c>
      <c r="B50" s="93" t="n">
        <v>44409</v>
      </c>
      <c r="C50" t="inlineStr">
        <is>
          <t>There is a shortage of available workers which is challenging our business operations. [Agriculture, Forestry, Fishing &amp; Hunting]</t>
        </is>
      </c>
    </row>
    <row r="51">
      <c r="A51" t="inlineStr">
        <is>
          <t>Agriculture, Forestry, Fishing &amp; Hunting</t>
        </is>
      </c>
      <c r="B51" s="93" t="n">
        <v>44378</v>
      </c>
      <c r="C51" t="inlineStr">
        <is>
          <t>“The slow movement of container traffic has definitely impacted our business in the first half of the year. We expect the situation will take another year to correct itself.” [Agriculture, Forestry, Fishing &amp; Hunting]</t>
        </is>
      </c>
    </row>
    <row r="52">
      <c r="A52" t="inlineStr">
        <is>
          <t>Agriculture, Forestry, Fishing &amp; Hunting</t>
        </is>
      </c>
      <c r="B52" s="93" t="n">
        <v>44317</v>
      </c>
      <c r="C52"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3">
      <c r="A53" t="inlineStr">
        <is>
          <t>Agriculture, Forestry, Fishing &amp; Hunting</t>
        </is>
      </c>
      <c r="B53" s="93" t="n">
        <v>44287</v>
      </c>
      <c r="C53" t="inlineStr">
        <is>
          <t>Delays in container deliveries are now impacting our business. (Agriculture, Forestry, Fishing &amp; Hunting)</t>
        </is>
      </c>
    </row>
    <row r="54">
      <c r="A54" t="inlineStr">
        <is>
          <t>Agriculture, Forestry, Fishing &amp; Hunting</t>
        </is>
      </c>
      <c r="B54" s="93" t="n">
        <v>44075</v>
      </c>
      <c r="C54" t="inlineStr">
        <is>
          <t>“Business has been fairly stable over the summer; however, there is still a great deal of uncertainty as we move into fall and winter [and] how our sales volume will be.” (Agriculture, Forestry, Fishing &amp; Hunting)</t>
        </is>
      </c>
    </row>
    <row r="55">
      <c r="A55" t="inlineStr">
        <is>
          <t>Agriculture, Forestry, Fishing &amp; Hunting</t>
        </is>
      </c>
      <c r="B55" s="93" t="n">
        <v>43983</v>
      </c>
      <c r="C55" t="inlineStr">
        <is>
          <t>“Surprising recovery to sales volume over the past four weeks.” (Agriculture, Forestry, Fishing &amp; Hunting)</t>
        </is>
      </c>
    </row>
    <row r="56">
      <c r="A56" t="inlineStr">
        <is>
          <t>Agriculture, Forestry, Fishing &amp; Hunting</t>
        </is>
      </c>
      <c r="B56" s="93" t="n">
        <v>43952</v>
      </c>
      <c r="C56" t="inlineStr">
        <is>
          <t>“Demand seems to have bottomed out, and we are seeing signs of increasing interest. Inventories of finished goods are extensive, so production will slowly rebound in the coming months.” (Agriculture, Forestry, Fishing &amp; Hunting)</t>
        </is>
      </c>
    </row>
    <row r="57">
      <c r="A57" t="inlineStr">
        <is>
          <t>Agriculture, Forestry, Fishing &amp; Hunting</t>
        </is>
      </c>
      <c r="B57" s="93" t="n">
        <v>43922</v>
      </c>
      <c r="C57" t="inlineStr">
        <is>
          <t>“COVID-19 pandemic has forced our business to close as of March 17, 2020. We do not have a re-opening date yet; our purchasing activity has been greatly reduced due to the current business environment.” (Arts, Entertainment &amp; Recreation)</t>
        </is>
      </c>
    </row>
    <row r="58">
      <c r="A58" t="inlineStr">
        <is>
          <t>Agriculture, Forestry, Fishing &amp; Hunting</t>
        </is>
      </c>
      <c r="B58" s="93" t="n">
        <v>43770</v>
      </c>
      <c r="C58" t="inlineStr">
        <is>
          <t>“Generally sluggish demand in the past month; back to summertime levels.” (Agriculture, Forestry, Fishing &amp; Hunting)</t>
        </is>
      </c>
    </row>
    <row r="59">
      <c r="A59" t="inlineStr">
        <is>
          <t>Agriculture, Forestry, Fishing &amp; Hunting</t>
        </is>
      </c>
      <c r="B59" s="93" t="n">
        <v>43709</v>
      </c>
      <c r="C59" t="inlineStr">
        <is>
          <t>“Demand has been variable — up one month, down the next. I think customers are watching our input costs and buying ahead on the dips, to the extent that contracts allow.” (Agriculture, Forestry, Fishing &amp; Hunting)</t>
        </is>
      </c>
    </row>
    <row r="60">
      <c r="A60" t="inlineStr">
        <is>
          <t>Agriculture, Forestry, Fishing &amp; Hunting</t>
        </is>
      </c>
      <c r="B60" s="93" t="n">
        <v>43678</v>
      </c>
      <c r="C60" t="inlineStr">
        <is>
          <t>“Generally good. Volumes are near expectations; however, commodity volatility is creating some challenges.” (Agriculture, Forestry, Fishing &amp; Hunting)</t>
        </is>
      </c>
    </row>
    <row r="61">
      <c r="A61" t="inlineStr">
        <is>
          <t>Agriculture, Forestry, Fishing &amp; Hunting</t>
        </is>
      </c>
      <c r="B61" s="93" t="n">
        <v>43617</v>
      </c>
      <c r="C61" t="inlineStr">
        <is>
          <t>“Low milk prices and a weakened dairy economy resulted in reduced feed sales.” (Agriculture, Forestry, Fishing &amp; Hunting)</t>
        </is>
      </c>
    </row>
    <row r="62">
      <c r="A62" t="inlineStr">
        <is>
          <t>Agriculture, Forestry, Fishing &amp; Hunting</t>
        </is>
      </c>
      <c r="B62" s="93" t="n">
        <v>43556</v>
      </c>
      <c r="C62" t="inlineStr">
        <is>
          <t xml:space="preserve"> “We have increased wages to comply with increases in government-mandated minimum-wage levels. In order to retain production employees, we are going to a weekly payroll system.” (Agriculture, Forestry, Fishing &amp; Hunting)</t>
        </is>
      </c>
    </row>
    <row r="63">
      <c r="A63" t="inlineStr">
        <is>
          <t>Arts, Entertainment &amp; Recreation</t>
        </is>
      </c>
      <c r="B63" s="93" t="n">
        <v>44805</v>
      </c>
      <c r="C63" t="inlineStr">
        <is>
          <t>“September is one of our slowest months of the year. We are gearing up to have a very busy fourth quarter and are seeing some signs of relief in our supply chain.”</t>
        </is>
      </c>
    </row>
    <row r="64">
      <c r="A64" t="inlineStr">
        <is>
          <t>Arts, Entertainment &amp; Recreation</t>
        </is>
      </c>
      <c r="B64" s="93" t="n">
        <v>44593</v>
      </c>
      <c r="C64" t="inlineStr">
        <is>
          <t>“We are projecting 2022 to be busier than 2021. Our business volume should begin to increase significantly in March.”</t>
        </is>
      </c>
    </row>
    <row r="65">
      <c r="A65" t="inlineStr">
        <is>
          <t>Arts, Entertainment &amp; Recreation</t>
        </is>
      </c>
      <c r="B65" s="93" t="n">
        <v>44501</v>
      </c>
      <c r="C65" t="inlineStr">
        <is>
          <t>“Some food products that we have contracts on have been unavailable. Substitutes are always higher in cost.” [Arts, Entertainment &amp; Recreation]</t>
        </is>
      </c>
    </row>
    <row r="66">
      <c r="A66" t="inlineStr">
        <is>
          <t>Arts, Entertainment &amp; Recreation</t>
        </is>
      </c>
      <c r="B66" s="93" t="n">
        <v>44348</v>
      </c>
      <c r="C66" t="inlineStr">
        <is>
          <t>Severe supply chain disruptions and inflation are continuing in the marketplace, in all sectors. [Arts, Entertainment &amp; Recreation]</t>
        </is>
      </c>
    </row>
    <row r="67">
      <c r="A67" t="inlineStr">
        <is>
          <t>Arts, Entertainment &amp; Recreation</t>
        </is>
      </c>
      <c r="B67" s="93" t="n">
        <v>44317</v>
      </c>
      <c r="C67" t="inlineStr">
        <is>
          <t>Business continues to improve, and we have worked through many of the supply chain disruptions at this time. We have begun to return to work at our corporate office on a limited basis. [Arts, Entertainment &amp; Recreation]</t>
        </is>
      </c>
    </row>
    <row r="68">
      <c r="A68" t="inlineStr">
        <is>
          <t>Arts, Entertainment &amp; Recreation</t>
        </is>
      </c>
      <c r="B68" s="93" t="n">
        <v>44256</v>
      </c>
      <c r="C68"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9">
      <c r="A69" t="inlineStr">
        <is>
          <t>Arts, Entertainment &amp; Recreation</t>
        </is>
      </c>
      <c r="B69" s="93" t="n">
        <v>44228</v>
      </c>
      <c r="C69" t="inlineStr">
        <is>
          <t>“The declining COVID-19 cases in the four states we operate in, combined with the increased vaccination rates, should bode well for our increased business activity moving into the second quarter of 2021.” (Arts, Entertainment &amp; Recreation)</t>
        </is>
      </c>
    </row>
    <row r="70">
      <c r="A70" t="inlineStr">
        <is>
          <t>Arts, Entertainment &amp; Recreation</t>
        </is>
      </c>
      <c r="B70" s="93" t="n">
        <v>43709</v>
      </c>
      <c r="C70"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1">
      <c r="A71" t="inlineStr">
        <is>
          <t>Arts, Entertainment &amp; Recreation</t>
        </is>
      </c>
      <c r="B71" s="93" t="n">
        <v>43586</v>
      </c>
      <c r="C71" t="inlineStr">
        <is>
          <t>“Low unemployment is good since our business is entertainment and relies on discretionary spend.” (Arts, Entertainment &amp; Recreation</t>
        </is>
      </c>
    </row>
    <row r="72">
      <c r="A72" t="inlineStr">
        <is>
          <t>Construction</t>
        </is>
      </c>
      <c r="B72" s="93" t="n">
        <v>44866</v>
      </c>
      <c r="C72" t="inlineStr">
        <is>
          <t>“Generally unchanged month over month. New business requests are solid, with costs rising steadily for materials, meals and lodging.”</t>
        </is>
      </c>
    </row>
    <row r="73">
      <c r="A73" t="inlineStr">
        <is>
          <t>Construction</t>
        </is>
      </c>
      <c r="B73" s="93" t="n">
        <v>44805</v>
      </c>
      <c r="C73"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4">
      <c r="A74" t="inlineStr">
        <is>
          <t>Construction</t>
        </is>
      </c>
      <c r="B74" s="93" t="n">
        <v>44774</v>
      </c>
      <c r="C74"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5">
      <c r="A75" t="inlineStr">
        <is>
          <t>Construction</t>
        </is>
      </c>
      <c r="B75" s="93" t="n">
        <v>44743</v>
      </c>
      <c r="C75" t="inlineStr">
        <is>
          <t>“Interest rates have significantly impacted the homebuilding market. Cancellation rates have increased, as homebuyers can no longer afford the monthly payment. Traffic to our communities is down. Inflation has sidelined many would-be buyers.”</t>
        </is>
      </c>
    </row>
    <row r="76">
      <c r="A76" t="inlineStr">
        <is>
          <t>Construction</t>
        </is>
      </c>
      <c r="B76" s="93" t="n">
        <v>44713</v>
      </c>
      <c r="C76" t="inlineStr">
        <is>
          <t>“(Interest) rate increases have slowed sales but have not helped with supply challenges yet.”</t>
        </is>
      </c>
    </row>
    <row r="77">
      <c r="A77" t="inlineStr">
        <is>
          <t>Construction</t>
        </is>
      </c>
      <c r="B77" s="93" t="n">
        <v>44682</v>
      </c>
      <c r="C77" t="inlineStr">
        <is>
          <t>“Demand seems to be very high for all of the high-voltage electric products we purchase. Lead times are quadruple what they normally are.”</t>
        </is>
      </c>
    </row>
    <row r="78">
      <c r="A78" t="inlineStr">
        <is>
          <t>Construction</t>
        </is>
      </c>
      <c r="B78" s="93" t="n">
        <v>44593</v>
      </c>
      <c r="C78"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9">
      <c r="A79" t="inlineStr">
        <is>
          <t>Construction</t>
        </is>
      </c>
      <c r="B79" s="93" t="n">
        <v>44562</v>
      </c>
      <c r="C79"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0">
      <c r="A80" t="inlineStr">
        <is>
          <t>Construction</t>
        </is>
      </c>
      <c r="B80" s="93" t="n">
        <v>44531</v>
      </c>
      <c r="C80" t="inlineStr">
        <is>
          <t>“The escalation in costs for materials, fuel, labor, lodging and the like continues to negatively impact margins in an unsustainable direction.”</t>
        </is>
      </c>
    </row>
    <row r="81">
      <c r="A81" t="inlineStr">
        <is>
          <t>Construction</t>
        </is>
      </c>
      <c r="B81" s="93" t="n">
        <v>44501</v>
      </c>
      <c r="C81" t="inlineStr">
        <is>
          <t>“Construction material shortages and longer lead times continue to hamper operations. Significant cost increases from labor and freight are forecast for the start of next year.” [Construction]</t>
        </is>
      </c>
    </row>
    <row r="82">
      <c r="A82" t="inlineStr">
        <is>
          <t>Construction</t>
        </is>
      </c>
      <c r="B82" s="93" t="n">
        <v>44470</v>
      </c>
      <c r="C82" t="inlineStr">
        <is>
          <t>“Supply chain disruptions continue to roil new residential construction. Material and skilled labor shortages are lengthening cycle times and forcing substitutions.” [Construction]</t>
        </is>
      </c>
    </row>
    <row r="83">
      <c r="A83" t="inlineStr">
        <is>
          <t>Construction</t>
        </is>
      </c>
      <c r="B83" s="93" t="n">
        <v>44440</v>
      </c>
      <c r="C83" t="inlineStr">
        <is>
          <t>“Constraints on logistics from a cost and availability standpoint continue to be an issue.” [Construction]</t>
        </is>
      </c>
    </row>
    <row r="84">
      <c r="A84" t="inlineStr">
        <is>
          <t>Construction</t>
        </is>
      </c>
      <c r="B84" s="93" t="n">
        <v>44409</v>
      </c>
      <c r="C84" t="inlineStr">
        <is>
          <t>Material and labor shortages continue to hinder productivity. Price increases are ever-present and repetitive. Large, multinational manufacturers have had multiple price increases in the last three months. [Construction]</t>
        </is>
      </c>
    </row>
    <row r="85">
      <c r="A85" t="inlineStr">
        <is>
          <t>Construction</t>
        </is>
      </c>
      <c r="B85" s="93" t="n">
        <v>44378</v>
      </c>
      <c r="C85" t="inlineStr">
        <is>
          <t>“Costs have risen dramatically in the last 45 days. Lodging, fuel, travel and supplies are all rising sharply. Costs for available labor are also rising, as demand increases in a diminished labor pool.” [Construction]</t>
        </is>
      </c>
    </row>
    <row r="86">
      <c r="A86" t="inlineStr">
        <is>
          <t>Construction</t>
        </is>
      </c>
      <c r="B86" s="93" t="n">
        <v>44348</v>
      </c>
      <c r="C86" t="inlineStr">
        <is>
          <t>COVID-19 continues to cause troubles for all of our deliveries, as well as short supply a lot of materials. (Shortages of) lumber, copper, and steel continue, which is driving up pricing and lead times. [Construction]</t>
        </is>
      </c>
    </row>
    <row r="87">
      <c r="A87" t="inlineStr">
        <is>
          <t>Construction</t>
        </is>
      </c>
      <c r="B87" s="93" t="n">
        <v>44317</v>
      </c>
      <c r="C87"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8">
      <c r="A88" t="inlineStr">
        <is>
          <t>Construction</t>
        </is>
      </c>
      <c r="B88" s="93" t="n">
        <v>44287</v>
      </c>
      <c r="C88"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9">
      <c r="A89" t="inlineStr">
        <is>
          <t>Construction</t>
        </is>
      </c>
      <c r="B89" s="93" t="n">
        <v>44256</v>
      </c>
      <c r="C89"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0">
      <c r="A90" t="inlineStr">
        <is>
          <t>Construction</t>
        </is>
      </c>
      <c r="B90" s="93" t="n">
        <v>44228</v>
      </c>
      <c r="C90"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1">
      <c r="A91" t="inlineStr">
        <is>
          <t>Construction</t>
        </is>
      </c>
      <c r="B91" s="93" t="n">
        <v>44197</v>
      </c>
      <c r="C91" t="inlineStr">
        <is>
          <t>“Orders for new business have picked up. Labor is still the major impediment to the business.” (Construction)</t>
        </is>
      </c>
    </row>
    <row r="92">
      <c r="A92" t="inlineStr">
        <is>
          <t>Construction</t>
        </is>
      </c>
      <c r="B92" s="93" t="n">
        <v>44166</v>
      </c>
      <c r="C92" t="inlineStr">
        <is>
          <t>Lack of labor continues to be a significant drag on the business. We have plenty of work but are now considering rejecting some orders due to shrinking capacity. (Construction)</t>
        </is>
      </c>
    </row>
    <row r="93">
      <c r="A93" t="inlineStr">
        <is>
          <t>Construction</t>
        </is>
      </c>
      <c r="B93" s="93" t="n">
        <v>44136</v>
      </c>
      <c r="C93" t="inlineStr">
        <is>
          <t xml:space="preserve">	Business is pushing to complete projects due to seasonality in most of our markets. Volume is strong at this point but will gradually slow as temperatures drop in most of the country." (Construction)</t>
        </is>
      </c>
    </row>
    <row r="94">
      <c r="A94" t="inlineStr">
        <is>
          <t>Construction</t>
        </is>
      </c>
      <c r="B94" s="93" t="n">
        <v>44105</v>
      </c>
      <c r="C94" t="inlineStr">
        <is>
          <t>“Interesting business cycle: Labor is still in short supply, and work orders are picking up.” (Construction)</t>
        </is>
      </c>
    </row>
    <row r="95">
      <c r="A95" t="inlineStr">
        <is>
          <t>Construction</t>
        </is>
      </c>
      <c r="B95" s="93" t="n">
        <v>44075</v>
      </c>
      <c r="C95" t="inlineStr">
        <is>
          <t>“Work orders are improving rapidly. Lack of available labor is having a significant impact on our ability to fulfill orders.” (Construction)</t>
        </is>
      </c>
    </row>
    <row r="96">
      <c r="A96" t="inlineStr">
        <is>
          <t>Construction</t>
        </is>
      </c>
      <c r="B96" s="93" t="n">
        <v>44044</v>
      </c>
      <c r="C96" t="inlineStr">
        <is>
          <t>“Overall, we are seeing improvement in the level of activity in the short term. Backlog of orders is inconsistent.” (Construction)</t>
        </is>
      </c>
    </row>
    <row r="97">
      <c r="A97" t="inlineStr">
        <is>
          <t>Construction</t>
        </is>
      </c>
      <c r="B97" s="93" t="n">
        <v>43983</v>
      </c>
      <c r="C97" t="inlineStr">
        <is>
          <t>“Sales have picked up tremendously. Sporadic supply issues. Biggest concern for us is lumber shortages.” (Construction)</t>
        </is>
      </c>
    </row>
    <row r="98">
      <c r="A98" t="inlineStr">
        <is>
          <t>Construction</t>
        </is>
      </c>
      <c r="B98" s="93" t="n">
        <v>43952</v>
      </c>
      <c r="C98"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9">
      <c r="A99" t="inlineStr">
        <is>
          <t>Construction</t>
        </is>
      </c>
      <c r="B99" s="93" t="n">
        <v>43922</v>
      </c>
      <c r="C99"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0">
      <c r="A100" t="inlineStr">
        <is>
          <t>Construction</t>
        </is>
      </c>
      <c r="B100" s="93" t="n">
        <v>43891</v>
      </c>
      <c r="C100" t="inlineStr">
        <is>
          <t>“The coronavirus is having an impact, but not as much as we thought it would at this point. All sectors are staying busy. Although there are many customer concerns, we are finding work-arounds and adapting to the ever-changing situation.” (Construction)</t>
        </is>
      </c>
    </row>
    <row r="101">
      <c r="A101" t="inlineStr">
        <is>
          <t>Construction</t>
        </is>
      </c>
      <c r="B101" s="93" t="n">
        <v>43862</v>
      </c>
      <c r="C101" t="inlineStr">
        <is>
          <t>“[The] coronavirus has increased lead times for the critical items.” (Construction)</t>
        </is>
      </c>
    </row>
    <row r="102">
      <c r="A102" t="inlineStr">
        <is>
          <t>Construction</t>
        </is>
      </c>
      <c r="B102" s="93" t="n">
        <v>43831</v>
      </c>
      <c r="C102" t="inlineStr">
        <is>
          <t>“Q1 sales are improving, which makes us more optimistic.” (Construction)</t>
        </is>
      </c>
    </row>
    <row r="103">
      <c r="A103" t="inlineStr">
        <is>
          <t>Construction</t>
        </is>
      </c>
      <c r="B103" s="93" t="n">
        <v>43800</v>
      </c>
      <c r="C103"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4">
      <c r="A104" t="inlineStr">
        <is>
          <t>Construction</t>
        </is>
      </c>
      <c r="B104" s="93" t="n">
        <v>43770</v>
      </c>
      <c r="C104" t="inlineStr">
        <is>
          <t>“Activity is still up in all areas, but primarily in commercial construction.”</t>
        </is>
      </c>
    </row>
    <row r="105">
      <c r="A105" t="inlineStr">
        <is>
          <t>Construction</t>
        </is>
      </c>
      <c r="B105" s="93" t="n">
        <v>43739</v>
      </c>
      <c r="C105" t="inlineStr">
        <is>
          <t>“Current outlooks for commodities, equipment, and materials indicate purchasing now has leverage. Investment is still hampered by uncertainties in trade, global economic environment, manufacturing and the like.” (Construction)</t>
        </is>
      </c>
    </row>
    <row r="106">
      <c r="A106" t="inlineStr">
        <is>
          <t>Construction</t>
        </is>
      </c>
      <c r="B106" s="93" t="n">
        <v>43709</v>
      </c>
      <c r="C106" t="inlineStr">
        <is>
          <t>“We are very busy right now [and] expect to be so for the next 12 months. We are still very shorthanded with qualified labor.” (Construction)</t>
        </is>
      </c>
    </row>
    <row r="107">
      <c r="A107" t="inlineStr">
        <is>
          <t>Construction</t>
        </is>
      </c>
      <c r="B107" s="93" t="n">
        <v>43678</v>
      </c>
      <c r="C107" t="inlineStr">
        <is>
          <t>“Lower mortgage rates have not had a great effect on new residential construction sales. Tariffs continue to apply upward cost pressures to current supply chains.” (Construction)</t>
        </is>
      </c>
    </row>
    <row r="108">
      <c r="A108" t="inlineStr">
        <is>
          <t>Construction</t>
        </is>
      </c>
      <c r="B108" s="93" t="n">
        <v>43647</v>
      </c>
      <c r="C108" t="inlineStr">
        <is>
          <t>“Tariffs continue to push costs higher, and customers are looking for more discounts due to mortgage-rate fluctuations.” (Construction)</t>
        </is>
      </c>
    </row>
    <row r="109">
      <c r="A109" t="inlineStr">
        <is>
          <t>Construction</t>
        </is>
      </c>
      <c r="B109" s="93" t="n">
        <v>43617</v>
      </c>
      <c r="C109"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0">
      <c r="A110" t="inlineStr">
        <is>
          <t>Construction</t>
        </is>
      </c>
      <c r="B110" s="93" t="n">
        <v>43586</v>
      </c>
      <c r="C110" t="inlineStr">
        <is>
          <t>“Ability to source and retain employees continues to strain the business.” (Construction)</t>
        </is>
      </c>
    </row>
    <row r="111">
      <c r="A111" t="inlineStr">
        <is>
          <t>Construction</t>
        </is>
      </c>
      <c r="B111" s="93" t="n">
        <v>43556</v>
      </c>
      <c r="C111" t="inlineStr">
        <is>
          <t>“Spring selling season is here for residential construction. Sales are coming, but negotiations are now the norm. Traffic is higher than the last three months, mostly due to lower mortgage rates.” (Construction)</t>
        </is>
      </c>
    </row>
    <row r="112">
      <c r="A112" t="inlineStr">
        <is>
          <t>Construction</t>
        </is>
      </c>
      <c r="B112" s="93" t="n">
        <v>43525</v>
      </c>
      <c r="C112" t="inlineStr">
        <is>
          <t>“While we have a slowed down in residential service and install [area], we are still experiencing strength in the new commercial construction area.” (Construction)</t>
        </is>
      </c>
    </row>
    <row r="113">
      <c r="A113" t="inlineStr">
        <is>
          <t>Construction</t>
        </is>
      </c>
      <c r="B113" s="93" t="n">
        <v>43497</v>
      </c>
      <c r="C113" t="inlineStr">
        <is>
          <t>“Still strong in all areas, due mostly to commercial construction activity.” (Construction)</t>
        </is>
      </c>
    </row>
    <row r="114">
      <c r="A114" t="inlineStr">
        <is>
          <t>Construction</t>
        </is>
      </c>
      <c r="B114" s="93" t="n">
        <v>43466</v>
      </c>
      <c r="C114" t="inlineStr">
        <is>
          <t>“Business has slowed well below expectations as our customers deal with the effects of economic situations exacerbated by the government shutdown.” (Construction)</t>
        </is>
      </c>
    </row>
    <row r="115">
      <c r="A115" t="inlineStr">
        <is>
          <t>Educational Services</t>
        </is>
      </c>
      <c r="B115" s="93" t="n">
        <v>44866</v>
      </c>
      <c r="C115" t="inlineStr">
        <is>
          <t>“Still long lead times for service-related needs. A slight downturn in fuel costs in this region, but we are still experiencing supply chain shortages and delays.”</t>
        </is>
      </c>
    </row>
    <row r="116">
      <c r="A116" t="inlineStr">
        <is>
          <t>Educational Services</t>
        </is>
      </c>
      <c r="B116" s="93" t="n">
        <v>44835</v>
      </c>
      <c r="C116" t="inlineStr">
        <is>
          <t>“There are supply chain challenges for some paper- and tech-related products.”</t>
        </is>
      </c>
    </row>
    <row r="117">
      <c r="A117" t="inlineStr">
        <is>
          <t>Educational Services</t>
        </is>
      </c>
      <c r="B117" s="93" t="n">
        <v>44774</v>
      </c>
      <c r="C117"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8">
      <c r="A118" t="inlineStr">
        <is>
          <t>Educational Services</t>
        </is>
      </c>
      <c r="B118" s="93" t="n">
        <v>44743</v>
      </c>
      <c r="C118" t="inlineStr">
        <is>
          <t>“Strengthening market overall and signs of improvement. Increased prices putting a strain on fixed budgets. There has been a shift from driving down costs to securing continuity of supply. Higher education is growing, with an increase in applicants.”</t>
        </is>
      </c>
    </row>
    <row r="119">
      <c r="A119" t="inlineStr">
        <is>
          <t>Educational Services</t>
        </is>
      </c>
      <c r="B119" s="93" t="n">
        <v>44713</v>
      </c>
      <c r="C119" t="inlineStr">
        <is>
          <t>“While activity dropped 2 percent from the previous month, activity volume was 47 percent higher compared to May 2021.”</t>
        </is>
      </c>
    </row>
    <row r="120">
      <c r="A120" t="inlineStr">
        <is>
          <t>Educational Services</t>
        </is>
      </c>
      <c r="B120" s="93" t="n">
        <v>44682</v>
      </c>
      <c r="C120"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1">
      <c r="A121" t="inlineStr">
        <is>
          <t>Educational Services</t>
        </is>
      </c>
      <c r="B121" s="93" t="n">
        <v>44652</v>
      </c>
      <c r="C121" t="inlineStr">
        <is>
          <t>“Large construction projects have been mostly constrained due to continued supply chain issues and large cost increases. Continued shortages in account management continue to be a source of frustration for day-to-day operations and service.”</t>
        </is>
      </c>
    </row>
    <row r="122">
      <c r="A122" t="inlineStr">
        <is>
          <t>Educational Services</t>
        </is>
      </c>
      <c r="B122" s="93" t="n">
        <v>44621</v>
      </c>
      <c r="C122" t="inlineStr">
        <is>
          <t>“Labor and inflation continue to push costs higher across the board for food and food-service supplies.”</t>
        </is>
      </c>
    </row>
    <row r="123">
      <c r="A123" t="inlineStr">
        <is>
          <t>Educational Services</t>
        </is>
      </c>
      <c r="B123" s="93" t="n">
        <v>44593</v>
      </c>
      <c r="C123" t="inlineStr">
        <is>
          <t>“Inflation is contributing to budget constraints, supply chain restraints and labor shortages.”</t>
        </is>
      </c>
    </row>
    <row r="124">
      <c r="A124" t="inlineStr">
        <is>
          <t>Educational Services</t>
        </is>
      </c>
      <c r="B124" s="93" t="n">
        <v>44501</v>
      </c>
      <c r="C124"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5">
      <c r="A125" t="inlineStr">
        <is>
          <t>Educational Services</t>
        </is>
      </c>
      <c r="B125" s="93" t="n">
        <v>44470</v>
      </c>
      <c r="C12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6">
      <c r="A126" t="inlineStr">
        <is>
          <t>Educational Services</t>
        </is>
      </c>
      <c r="B126" s="93" t="n">
        <v>44440</v>
      </c>
      <c r="C126" t="inlineStr">
        <is>
          <t>“Lead times on electronics and computer chips have greatly increased. Outlook for higher education remains flat for most colleges, not including elite and Ivy League institutions.” [Educational Services]</t>
        </is>
      </c>
    </row>
    <row r="127">
      <c r="A127" t="inlineStr">
        <is>
          <t>Educational Services</t>
        </is>
      </c>
      <c r="B127" s="93" t="n">
        <v>44409</v>
      </c>
      <c r="C127" t="inlineStr">
        <is>
          <t>Budget constraints due to student enrollment (impacted by) COVID-19 restrictions. Outlook to remain flat or little increase. Supply chain constraints with regard to limited supply of computer hardware to fulfill orders. [Educational Services]</t>
        </is>
      </c>
    </row>
    <row r="128">
      <c r="A128" t="inlineStr">
        <is>
          <t>Educational Services</t>
        </is>
      </c>
      <c r="B128" s="93" t="n">
        <v>44348</v>
      </c>
      <c r="C128"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9">
      <c r="A129" t="inlineStr">
        <is>
          <t>Educational Services</t>
        </is>
      </c>
      <c r="B129" s="93" t="n">
        <v>44287</v>
      </c>
      <c r="C129" t="inlineStr">
        <is>
          <t>Higher volume of activity in anticipation of a reopening of the campus in the fall of 2021. (Educational Services)</t>
        </is>
      </c>
    </row>
    <row r="130">
      <c r="A130" t="inlineStr">
        <is>
          <t>Educational Services</t>
        </is>
      </c>
      <c r="B130" s="93" t="n">
        <v>44256</v>
      </c>
      <c r="C130" t="inlineStr">
        <is>
          <t>“There is optimism in higher education that Fall 2021 will be near normal with vaccinated students, employees and staff returning to their roles on campus.” (Educational Services)</t>
        </is>
      </c>
    </row>
    <row r="131">
      <c r="A131" t="inlineStr">
        <is>
          <t>Educational Services</t>
        </is>
      </c>
      <c r="B131" s="93" t="n">
        <v>44228</v>
      </c>
      <c r="C131" t="inlineStr">
        <is>
          <t>“COVID-19 restrictions continue to affect the number of students either applying to college, living on campus or finding alternative means of a valuable education. As such, revenues have decreased while expenses increased.” (Educational Services)</t>
        </is>
      </c>
    </row>
    <row r="132">
      <c r="A132" t="inlineStr">
        <is>
          <t>Educational Services</t>
        </is>
      </c>
      <c r="B132" s="93" t="n">
        <v>44197</v>
      </c>
      <c r="C132" t="inlineStr">
        <is>
          <t>“Seasonal reduction of activity due to winter break from campus activity.” (Educational Services)</t>
        </is>
      </c>
    </row>
    <row r="133">
      <c r="A133" t="inlineStr">
        <is>
          <t>Educational Services</t>
        </is>
      </c>
      <c r="B133" s="93" t="n">
        <v>44166</v>
      </c>
      <c r="C133"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4">
      <c r="A134" t="inlineStr">
        <is>
          <t>Educational Services</t>
        </is>
      </c>
      <c r="B134" s="93" t="n">
        <v>44136</v>
      </c>
      <c r="C134"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5">
      <c r="A135" t="inlineStr">
        <is>
          <t>Educational Services</t>
        </is>
      </c>
      <c r="B135" s="93" t="n">
        <v>44105</v>
      </c>
      <c r="C13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6">
      <c r="A136" t="inlineStr">
        <is>
          <t>Educational Services</t>
        </is>
      </c>
      <c r="B136" s="93" t="n">
        <v>44075</v>
      </c>
      <c r="C136"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7">
      <c r="A137" t="inlineStr">
        <is>
          <t>Educational Services</t>
        </is>
      </c>
      <c r="B137" s="93" t="n">
        <v>44044</v>
      </c>
      <c r="C137"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8">
      <c r="A138" t="inlineStr">
        <is>
          <t>Educational Services</t>
        </is>
      </c>
      <c r="B138" s="93" t="n">
        <v>44013</v>
      </c>
      <c r="C138"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9">
      <c r="A139" t="inlineStr">
        <is>
          <t>Educational Services</t>
        </is>
      </c>
      <c r="B139" s="93" t="n">
        <v>43983</v>
      </c>
      <c r="C139"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0">
      <c r="A140" t="inlineStr">
        <is>
          <t>Educational Services</t>
        </is>
      </c>
      <c r="B140" s="93" t="n">
        <v>43952</v>
      </c>
      <c r="C140"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1">
      <c r="A141" t="inlineStr">
        <is>
          <t>Educational Services</t>
        </is>
      </c>
      <c r="B141" s="93" t="n">
        <v>43922</v>
      </c>
      <c r="C141"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2">
      <c r="A142" t="inlineStr">
        <is>
          <t>Educational Services</t>
        </is>
      </c>
      <c r="B142" s="93" t="n">
        <v>43891</v>
      </c>
      <c r="C142" t="inlineStr">
        <is>
          <t>“COVID-19 shelter-in-place order in effect. Offices closed except for essential personnel.” (Educational Services)</t>
        </is>
      </c>
    </row>
    <row r="143">
      <c r="A143" t="inlineStr">
        <is>
          <t>Finance &amp; Insurance</t>
        </is>
      </c>
      <c r="B143" s="93" t="n">
        <v>44593</v>
      </c>
      <c r="C143" t="inlineStr">
        <is>
          <t>“Employee turnover within our company and with our suppliers is causing delays in decisions and orders.”</t>
        </is>
      </c>
    </row>
    <row r="144">
      <c r="A144" t="inlineStr">
        <is>
          <t>Finance &amp; Insurance</t>
        </is>
      </c>
      <c r="B144" s="93" t="n">
        <v>44562</v>
      </c>
      <c r="C144" t="inlineStr">
        <is>
          <t>“Business activity is increasing, but professional labor continues to be in short supply. Virtual work is preferred by clients.”</t>
        </is>
      </c>
    </row>
    <row r="145">
      <c r="A145" t="inlineStr">
        <is>
          <t>Finance &amp; Insurance</t>
        </is>
      </c>
      <c r="B145" s="93" t="n">
        <v>44531</v>
      </c>
      <c r="C145" t="inlineStr">
        <is>
          <t>“Higher than normal employee attrition within our own company and at our suppliers, which is causing disruptions and delays.”</t>
        </is>
      </c>
    </row>
    <row r="146">
      <c r="A146" t="inlineStr">
        <is>
          <t>Finance &amp; Insurance</t>
        </is>
      </c>
      <c r="B146" s="93" t="n">
        <v>44501</v>
      </c>
      <c r="C146" t="inlineStr">
        <is>
          <t>“Seeing inflationary forces in the marketplace, which is resulting in suppliers raising their prices moving into 2022.” [Finance &amp; Insurance]</t>
        </is>
      </c>
    </row>
    <row r="147">
      <c r="A147" t="inlineStr">
        <is>
          <t>Finance &amp; Insurance</t>
        </is>
      </c>
      <c r="B147" s="93" t="n">
        <v>44440</v>
      </c>
      <c r="C147" t="inlineStr">
        <is>
          <t>“International and domestic demand remains very strong.” [Finance &amp; Insurance]</t>
        </is>
      </c>
    </row>
    <row r="148">
      <c r="A148" t="inlineStr">
        <is>
          <t>Finance &amp; Insurance</t>
        </is>
      </c>
      <c r="B148" s="93" t="n">
        <v>44348</v>
      </c>
      <c r="C148" t="inlineStr">
        <is>
          <t>New business is actively trending up locally, nationally and internationally. [Finance &amp; Insurance]</t>
        </is>
      </c>
    </row>
    <row r="149">
      <c r="A149" t="inlineStr">
        <is>
          <t>Finance &amp; Insurance</t>
        </is>
      </c>
      <c r="B149" s="93" t="n">
        <v>44317</v>
      </c>
      <c r="C149" t="inlineStr">
        <is>
          <t>We anticipated the reopening reasonably well but were caught off guard with respect to some materials. Steel and copper went higher than anticipated, and shortages are having an impact. [Finance &amp; Insurance]</t>
        </is>
      </c>
    </row>
    <row r="150">
      <c r="A150" t="inlineStr">
        <is>
          <t>Finance &amp; Insurance</t>
        </is>
      </c>
      <c r="B150" s="93" t="n">
        <v>44287</v>
      </c>
      <c r="C150" t="inlineStr">
        <is>
          <t>Conditions are good for the market/industry. Continuing to trend under budget for operating expenses. Outlook is positive for the second quarter of 2021. (Finance &amp; Insurance)</t>
        </is>
      </c>
    </row>
    <row r="151">
      <c r="A151" t="inlineStr">
        <is>
          <t>Finance &amp; Insurance</t>
        </is>
      </c>
      <c r="B151" s="93" t="n">
        <v>44256</v>
      </c>
      <c r="C151" t="inlineStr">
        <is>
          <t>“Local and national outlook remains positive, despite return-to-work concerns [and] work-from-home-related issues/purchases.” (Finance &amp; Insurance)</t>
        </is>
      </c>
    </row>
    <row r="152">
      <c r="A152" t="inlineStr">
        <is>
          <t>Finance &amp; Insurance</t>
        </is>
      </c>
      <c r="B152" s="93" t="n">
        <v>44228</v>
      </c>
      <c r="C152" t="inlineStr">
        <is>
          <t>“Business is steady during Q1 2021.” (Finance &amp; Insurance)</t>
        </is>
      </c>
    </row>
    <row r="153">
      <c r="A153" t="inlineStr">
        <is>
          <t>Finance &amp; Insurance</t>
        </is>
      </c>
      <c r="B153" s="93" t="n">
        <v>44197</v>
      </c>
      <c r="C153" t="inlineStr">
        <is>
          <t>“Start of 2021 on track with a positive outlook.” (Finance &amp; Insurance)</t>
        </is>
      </c>
    </row>
    <row r="154">
      <c r="A154" t="inlineStr">
        <is>
          <t>Finance &amp; Insurance</t>
        </is>
      </c>
      <c r="B154" s="93" t="n">
        <v>44136</v>
      </c>
      <c r="C154" t="inlineStr">
        <is>
          <t xml:space="preserve">	"Uncertainty related to the U.S. election is resulting in additional cybersecurity needs." (Finance &amp; Insurance)</t>
        </is>
      </c>
    </row>
    <row r="155">
      <c r="A155" t="inlineStr">
        <is>
          <t>Finance &amp; Insurance</t>
        </is>
      </c>
      <c r="B155" s="93" t="n">
        <v>44105</v>
      </c>
      <c r="C155"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6">
      <c r="A156" t="inlineStr">
        <is>
          <t>Finance &amp; Insurance</t>
        </is>
      </c>
      <c r="B156" s="93" t="n">
        <v>44075</v>
      </c>
      <c r="C156" t="inlineStr">
        <is>
          <t>“Insurance industry will experience some impact from weather- and protest-related property damage and business interruption.” (Finance &amp; Insurance)</t>
        </is>
      </c>
    </row>
    <row r="157">
      <c r="A157" t="inlineStr">
        <is>
          <t>Finance &amp; Insurance</t>
        </is>
      </c>
      <c r="B157" s="93" t="n">
        <v>44044</v>
      </c>
      <c r="C157" t="inlineStr">
        <is>
          <t>“Revenue challenges for our customers still remain a primary challenge.” (Finance &amp; Insurance)</t>
        </is>
      </c>
    </row>
    <row r="158">
      <c r="A158" t="inlineStr">
        <is>
          <t>Finance &amp; Insurance</t>
        </is>
      </c>
      <c r="B158" s="93" t="n">
        <v>44013</v>
      </c>
      <c r="C158" t="inlineStr">
        <is>
          <t>"COVID-19 posture continues, with some 95 percent of the company workforce working remotely." (Finance &amp; Insurance)</t>
        </is>
      </c>
    </row>
    <row r="159">
      <c r="A159" t="inlineStr">
        <is>
          <t>Finance &amp; Insurance</t>
        </is>
      </c>
      <c r="B159" s="93" t="n">
        <v>43983</v>
      </c>
      <c r="C159" t="inlineStr">
        <is>
          <t>“We continue to all work from home globally. Strict restriction on travel and external events. Senior management focusing on a plan for returning to the office.” (Finance &amp; Insurance)</t>
        </is>
      </c>
    </row>
    <row r="160">
      <c r="A160" t="inlineStr">
        <is>
          <t>Finance &amp; Insurance</t>
        </is>
      </c>
      <c r="B160" s="93" t="n">
        <v>43952</v>
      </c>
      <c r="C160" t="inlineStr">
        <is>
          <t>"Extremely busy with Small Business Administration Paycheck Protection Program work.” (Finance &amp; Insurance)</t>
        </is>
      </c>
    </row>
    <row r="161">
      <c r="A161" t="inlineStr">
        <is>
          <t>Finance &amp; Insurance</t>
        </is>
      </c>
      <c r="B161" s="93" t="n">
        <v>43922</v>
      </c>
      <c r="C161" t="inlineStr">
        <is>
          <t>“Due to increased loans from [the federal] stimulus package, [we are] seeing an increase in new business.” (Finance &amp; Insurance)</t>
        </is>
      </c>
    </row>
    <row r="162">
      <c r="A162" t="inlineStr">
        <is>
          <t>Finance &amp; Insurance</t>
        </is>
      </c>
      <c r="B162" s="93" t="n">
        <v>43862</v>
      </c>
      <c r="C162" t="inlineStr">
        <is>
          <t>“[First-quarter numbers] are slightly behind projections, but still positive.” (Finance &amp; Insurance)</t>
        </is>
      </c>
    </row>
    <row r="163">
      <c r="A163" t="inlineStr">
        <is>
          <t>Finance &amp; Insurance</t>
        </is>
      </c>
      <c r="B163" s="93" t="n">
        <v>43831</v>
      </c>
      <c r="C163" t="inlineStr">
        <is>
          <t>“Cautious start to 2020. Looking forward with optimism and encouragement. Conditions are favorable.” (Finance &amp; Insurance)</t>
        </is>
      </c>
    </row>
    <row r="164">
      <c r="A164" t="inlineStr">
        <is>
          <t>Finance &amp; Insurance</t>
        </is>
      </c>
      <c r="B164" s="93" t="n">
        <v>43770</v>
      </c>
      <c r="C164" t="inlineStr">
        <is>
          <t>“No significant changes in business conditions. Closing out current projects and initiatives. Preparing for year-end and the beginning of 2020.” (Finance &amp; Insurance)</t>
        </is>
      </c>
    </row>
    <row r="165">
      <c r="A165" t="inlineStr">
        <is>
          <t>Finance &amp; Insurance</t>
        </is>
      </c>
      <c r="B165" s="93" t="n">
        <v>43739</v>
      </c>
      <c r="C165" t="inlineStr">
        <is>
          <t>“Wrapping up fiscal year budgets — overall outlook is positive.” (Finance &amp; Insurance)</t>
        </is>
      </c>
    </row>
    <row r="166">
      <c r="A166" t="inlineStr">
        <is>
          <t>Finance &amp; Insurance</t>
        </is>
      </c>
      <c r="B166" s="93" t="n">
        <v>43709</v>
      </c>
      <c r="C166" t="inlineStr">
        <is>
          <t>“Gearing up for the fourth quarter of 2019. On track to end the year generally as anticipated, considering interest-rate changes, trade and tariff issues and other economic indicators and trends.” (Finance &amp; Insurance)</t>
        </is>
      </c>
    </row>
    <row r="167">
      <c r="A167" t="inlineStr">
        <is>
          <t>Finance &amp; Insurance</t>
        </is>
      </c>
      <c r="B167" s="93" t="n">
        <v>43678</v>
      </c>
      <c r="C167"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8">
      <c r="A168" t="inlineStr">
        <is>
          <t>Finance &amp; Insurance</t>
        </is>
      </c>
      <c r="B168" s="93" t="n">
        <v>43586</v>
      </c>
      <c r="C168" t="inlineStr">
        <is>
          <t>“Our local economy is doing very well except for a large number of suburban office vacancies.” (Finance &amp; Insurance)</t>
        </is>
      </c>
    </row>
    <row r="169">
      <c r="A169" t="inlineStr">
        <is>
          <t>Finance &amp; Insurance</t>
        </is>
      </c>
      <c r="B169" s="93" t="n">
        <v>43497</v>
      </c>
      <c r="C169" t="inlineStr">
        <is>
          <t>“The local economy is doing well. Business lending remains competitive. The rise in interest rates have helped boost our net interest margin.” (Finance &amp; Insurance)</t>
        </is>
      </c>
    </row>
    <row r="170">
      <c r="A170" t="inlineStr">
        <is>
          <t>Health Care &amp; Social Assistance</t>
        </is>
      </c>
      <c r="B170" s="93" t="n">
        <v>44835</v>
      </c>
      <c r="C170" t="inlineStr">
        <is>
          <t>“Shortages and delays stabilizing. Labor availability and patient volume continue to be a challenge.”</t>
        </is>
      </c>
    </row>
    <row r="171">
      <c r="A171" t="inlineStr">
        <is>
          <t>Health Care &amp; Social Assistance</t>
        </is>
      </c>
      <c r="B171" s="93" t="n">
        <v>44743</v>
      </c>
      <c r="C171" t="inlineStr">
        <is>
          <t>“Business continues to remain below pre-pandemic levels. (Patient) census and visits have increased but seem to have plateaued in the last six-month period.”</t>
        </is>
      </c>
    </row>
    <row r="172">
      <c r="A172" t="inlineStr">
        <is>
          <t>Health Care &amp; Social Assistance</t>
        </is>
      </c>
      <c r="B172" s="93" t="n">
        <v>44713</v>
      </c>
      <c r="C172" t="inlineStr">
        <is>
          <t>“The shutdowns in China due to the zero-COVID policy have adversely impacted our supply chain.”</t>
        </is>
      </c>
    </row>
    <row r="173">
      <c r="A173" t="inlineStr">
        <is>
          <t>Health Care &amp; Social Assistance</t>
        </is>
      </c>
      <c r="B173" s="93" t="n">
        <v>44652</v>
      </c>
      <c r="C173" t="inlineStr">
        <is>
          <t>“Restrictions lifted as COVID-19 case volumes drop, allowing for more elective procedures and reduction in (average) length of stay. Freight costs are rising.”</t>
        </is>
      </c>
    </row>
    <row r="174">
      <c r="A174" t="inlineStr">
        <is>
          <t>Health Care &amp; Social Assistance</t>
        </is>
      </c>
      <c r="B174" s="93" t="n">
        <v>44621</v>
      </c>
      <c r="C174" t="inlineStr">
        <is>
          <t>“Supply chain disruptions are still a problem due to reduced allocations and manufacturer back orders. Demand continues to outpace manufacturing capacity.”</t>
        </is>
      </c>
    </row>
    <row r="175">
      <c r="A175" t="inlineStr">
        <is>
          <t>Health Care &amp; Social Assistance</t>
        </is>
      </c>
      <c r="B175" s="93" t="n">
        <v>44593</v>
      </c>
      <c r="C175" t="inlineStr">
        <is>
          <t>“As the COVID-19 surge starts to loosen its grip, we are planning to resume elective surgeries soon. Demand is still high, as these procedures were delayed while the surge was occurring.”</t>
        </is>
      </c>
    </row>
    <row r="176">
      <c r="A176" t="inlineStr">
        <is>
          <t>Health Care &amp; Social Assistance</t>
        </is>
      </c>
      <c r="B176" s="93" t="n">
        <v>44531</v>
      </c>
      <c r="C176"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7">
      <c r="A177" t="inlineStr">
        <is>
          <t>Health Care &amp; Social Assistance</t>
        </is>
      </c>
      <c r="B177" s="93" t="n">
        <v>44501</v>
      </c>
      <c r="C177" t="inlineStr">
        <is>
          <t>“COVID-19 patients continue to impact census and procedures. Supplies continue to be difficult to obtain at times.” [Health Care &amp; Social Assistance]</t>
        </is>
      </c>
    </row>
    <row r="178">
      <c r="A178" t="inlineStr">
        <is>
          <t>Health Care &amp; Social Assistance</t>
        </is>
      </c>
      <c r="B178" s="93" t="n">
        <v>44470</v>
      </c>
      <c r="C178"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9">
      <c r="A179" t="inlineStr">
        <is>
          <t>Health Care &amp; Social Assistance</t>
        </is>
      </c>
      <c r="B179" s="93" t="n">
        <v>44440</v>
      </c>
      <c r="C179"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0">
      <c r="A180" t="inlineStr">
        <is>
          <t>Health Care &amp; Social Assistance</t>
        </is>
      </c>
      <c r="B180" s="93" t="n">
        <v>44409</v>
      </c>
      <c r="C180"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1">
      <c r="A181" t="inlineStr">
        <is>
          <t>Health Care &amp; Social Assistance</t>
        </is>
      </c>
      <c r="B181" s="93" t="n">
        <v>44378</v>
      </c>
      <c r="C181"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2">
      <c r="A182" t="inlineStr">
        <is>
          <t>Health Care &amp; Social Assistance</t>
        </is>
      </c>
      <c r="B182" s="93" t="n">
        <v>44348</v>
      </c>
      <c r="C182"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3">
      <c r="A183" t="inlineStr">
        <is>
          <t>Health Care &amp; Social Assistance</t>
        </is>
      </c>
      <c r="B183" s="93" t="n">
        <v>44317</v>
      </c>
      <c r="C183"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4">
      <c r="A184" t="inlineStr">
        <is>
          <t>Health Care &amp; Social Assistance</t>
        </is>
      </c>
      <c r="B184" s="93" t="n">
        <v>44287</v>
      </c>
      <c r="C184" t="inlineStr">
        <is>
          <t>Elective surgeries coming back to pre-COVID-19 rates. Patient census continues to drop, as it does this time of year. (Health Care &amp; Social Assistance)</t>
        </is>
      </c>
    </row>
    <row r="185">
      <c r="A185" t="inlineStr">
        <is>
          <t>Health Care &amp; Social Assistance</t>
        </is>
      </c>
      <c r="B185" s="93" t="n">
        <v>44256</v>
      </c>
      <c r="C185"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86">
      <c r="A186" t="inlineStr">
        <is>
          <t>Health Care &amp; Social Assistance</t>
        </is>
      </c>
      <c r="B186" s="93" t="n">
        <v>44228</v>
      </c>
      <c r="C186" t="inlineStr">
        <is>
          <t>“Exponential demand for critical supplies due to [the] pandemic is driving distributer allocations and forcing alternative sourcing.” (Health Care &amp; Social Assistance)</t>
        </is>
      </c>
    </row>
    <row r="187">
      <c r="A187" t="inlineStr">
        <is>
          <t>Health Care &amp; Social Assistance</t>
        </is>
      </c>
      <c r="B187" s="93" t="n">
        <v>44197</v>
      </c>
      <c r="C187" t="inlineStr">
        <is>
          <t>“Increased number of COVID-19 patients has forced the cancellation of elective surgeries. Bed capacity limited.” (Health Care &amp; Social Assistance)</t>
        </is>
      </c>
    </row>
    <row r="188">
      <c r="A188" t="inlineStr">
        <is>
          <t>Health Care &amp; Social Assistance</t>
        </is>
      </c>
      <c r="B188" s="93" t="n">
        <v>44166</v>
      </c>
      <c r="C188"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9">
      <c r="A189" t="inlineStr">
        <is>
          <t>Health Care &amp; Social Assistance</t>
        </is>
      </c>
      <c r="B189" s="93" t="n">
        <v>44105</v>
      </c>
      <c r="C189" t="inlineStr">
        <is>
          <t>"Continue to experience difficulty in procuring PPE due to rising COVID-19 numbers." (Health Care &amp; Social Assistance)</t>
        </is>
      </c>
    </row>
    <row r="190">
      <c r="A190" t="inlineStr">
        <is>
          <t>Health Care &amp; Social Assistance</t>
        </is>
      </c>
      <c r="B190" s="93" t="n">
        <v>44075</v>
      </c>
      <c r="C190"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1">
      <c r="A191" t="inlineStr">
        <is>
          <t>Health Care &amp; Social Assistance</t>
        </is>
      </c>
      <c r="B191" s="93" t="n">
        <v>44044</v>
      </c>
      <c r="C191" t="inlineStr">
        <is>
          <t>“Continuing to build our ancillary clinic volume as well as elective surgical cases since ceasing these services from mid-March through May 1.” (Health Care &amp; Social Assistance)</t>
        </is>
      </c>
    </row>
    <row r="192">
      <c r="A192" t="inlineStr">
        <is>
          <t>Health Care &amp; Social Assistance</t>
        </is>
      </c>
      <c r="B192" s="93" t="n">
        <v>44013</v>
      </c>
      <c r="C192" t="inlineStr">
        <is>
          <t>"Surgical services still only scheduling at 50 percent capacity. Raw material shortages worldwide affecting ability to get finished PPE (iso gowns, bouffant caps, shoe covers)." (Health Care &amp; Social Assistance)</t>
        </is>
      </c>
    </row>
    <row r="193">
      <c r="A193" t="inlineStr">
        <is>
          <t>Health Care &amp; Social Assistance</t>
        </is>
      </c>
      <c r="B193" s="93" t="n">
        <v>43983</v>
      </c>
      <c r="C193"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4">
      <c r="A194" t="inlineStr">
        <is>
          <t>Health Care &amp; Social Assistance</t>
        </is>
      </c>
      <c r="B194" s="93" t="n">
        <v>43952</v>
      </c>
      <c r="C194" t="inlineStr">
        <is>
          <t>“Low volumes due to COVID-19. No elective surgeries.” (Health Care &amp; Social Assistance)</t>
        </is>
      </c>
    </row>
    <row r="195">
      <c r="A195" t="inlineStr">
        <is>
          <t>Health Care &amp; Social Assistance</t>
        </is>
      </c>
      <c r="B195" s="93" t="n">
        <v>43922</v>
      </c>
      <c r="C195"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96">
      <c r="A196" t="inlineStr">
        <is>
          <t>Health Care &amp; Social Assistance</t>
        </is>
      </c>
      <c r="B196" s="93" t="n">
        <v>43891</v>
      </c>
      <c r="C196"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7">
      <c r="A197" t="inlineStr">
        <is>
          <t>Health Care &amp; Social Assistance</t>
        </is>
      </c>
      <c r="B197" s="93" t="n">
        <v>43862</v>
      </c>
      <c r="C197"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8">
      <c r="A198" t="inlineStr">
        <is>
          <t>Health Care &amp; Social Assistance</t>
        </is>
      </c>
      <c r="B198" s="93" t="n">
        <v>43831</v>
      </c>
      <c r="C198" t="inlineStr">
        <is>
          <t>“Closely monitoring China’s coronavirus and its potential impact on medical supplies like surgical masks and protective goggles.” (Health Care &amp; Social Assistance)</t>
        </is>
      </c>
    </row>
    <row r="199">
      <c r="A199" t="inlineStr">
        <is>
          <t>Health Care &amp; Social Assistance</t>
        </is>
      </c>
      <c r="B199" s="93" t="n">
        <v>43770</v>
      </c>
      <c r="C199" t="inlineStr">
        <is>
          <t>“Lower reimbursement rates will continue to affect funding levels.” (Health Care &amp; Social Assistance)</t>
        </is>
      </c>
    </row>
    <row r="200">
      <c r="A200" t="inlineStr">
        <is>
          <t>Health Care &amp; Social Assistance</t>
        </is>
      </c>
      <c r="B200" s="93" t="n">
        <v>43709</v>
      </c>
      <c r="C200" t="inlineStr">
        <is>
          <t>“We continue with low patient census, which affects our orders and revenue.” (Health Care &amp; Social Assistance)</t>
        </is>
      </c>
    </row>
    <row r="201">
      <c r="A201" t="inlineStr">
        <is>
          <t>Health Care &amp; Social Assistance</t>
        </is>
      </c>
      <c r="B201" s="93" t="n">
        <v>43647</v>
      </c>
      <c r="C201" t="inlineStr">
        <is>
          <t>“Business volumes were flat compared to the previous month.” (Health Care &amp; Social Assistance)</t>
        </is>
      </c>
    </row>
    <row r="202">
      <c r="A202" t="inlineStr">
        <is>
          <t>Health Care &amp; Social Assistance</t>
        </is>
      </c>
      <c r="B202" s="93" t="n">
        <v>43617</v>
      </c>
      <c r="C202" t="inlineStr">
        <is>
          <t>“Closely watching the Trump tariffs on China, which could significantly impact medical supplies.” (Health Care &amp; Social Assistance)</t>
        </is>
      </c>
    </row>
    <row r="203">
      <c r="A203" t="inlineStr">
        <is>
          <t>Health Care &amp; Social Assistance</t>
        </is>
      </c>
      <c r="B203" s="93" t="n">
        <v>43586</v>
      </c>
      <c r="C203" t="inlineStr">
        <is>
          <t>“There is added pressure to find operational savings so we can reduce the cost of healthcare, be a model to others, and pass the savings along to our patients and members of our health insurance business.” (Health Care &amp; Social Assistance)</t>
        </is>
      </c>
    </row>
    <row r="204">
      <c r="A204" t="inlineStr">
        <is>
          <t>Health Care &amp; Social Assistance</t>
        </is>
      </c>
      <c r="B204" s="93" t="n">
        <v>43556</v>
      </c>
      <c r="C204" t="inlineStr">
        <is>
          <t>·         “Extremely difficult to fill direct care personnel positions.” (Health Care &amp; Social Assistance)</t>
        </is>
      </c>
    </row>
    <row r="205">
      <c r="A205" t="inlineStr">
        <is>
          <t>Health Care &amp; Social Assistance</t>
        </is>
      </c>
      <c r="B205" s="93" t="n">
        <v>43525</v>
      </c>
      <c r="C205" t="inlineStr">
        <is>
          <t>“Supply expenses are up commensurately with business conditions as business activity has outpaced the budget on average four to six percent for our fiscal cycle that [began] 7/1/18.” (Health Care &amp; Social Assistance)</t>
        </is>
      </c>
    </row>
    <row r="206">
      <c r="A206" t="inlineStr">
        <is>
          <t>Health Care &amp; Social Assistance</t>
        </is>
      </c>
      <c r="B206" s="93" t="n">
        <v>43497</v>
      </c>
      <c r="C206" t="inlineStr">
        <is>
          <t>“The beginning of the year is generally our slowest time of year in the health-care industry. [Activity] will gradually pick up until April, then be steady until the fourth quarter, when there will be a large increase.” (Health Care &amp; Social Assistance)</t>
        </is>
      </c>
    </row>
    <row r="207">
      <c r="A207" t="inlineStr">
        <is>
          <t>Information</t>
        </is>
      </c>
      <c r="B207" s="93" t="n">
        <v>44713</v>
      </c>
      <c r="C207"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8">
      <c r="A208" t="inlineStr">
        <is>
          <t>Information</t>
        </is>
      </c>
      <c r="B208" s="93" t="n">
        <v>44682</v>
      </c>
      <c r="C208"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9">
      <c r="A209" t="inlineStr">
        <is>
          <t>Information</t>
        </is>
      </c>
      <c r="B209" s="93" t="n">
        <v>44652</v>
      </c>
      <c r="C209" t="inlineStr">
        <is>
          <t>“Overall business has softened.”</t>
        </is>
      </c>
    </row>
    <row r="210">
      <c r="A210" t="inlineStr">
        <is>
          <t>Information</t>
        </is>
      </c>
      <c r="B210" s="93" t="n">
        <v>44621</v>
      </c>
      <c r="C210" t="inlineStr">
        <is>
          <t>“Energy costs are putting a pinch on all suppliers. We have received many surcharge notices.”</t>
        </is>
      </c>
    </row>
    <row r="211">
      <c r="A211" t="inlineStr">
        <is>
          <t>Information</t>
        </is>
      </c>
      <c r="B211" s="93" t="n">
        <v>44593</v>
      </c>
      <c r="C211" t="inlineStr">
        <is>
          <t>“Business has flattened but holding steady.”</t>
        </is>
      </c>
    </row>
    <row r="212">
      <c r="A212" t="inlineStr">
        <is>
          <t>Information</t>
        </is>
      </c>
      <c r="B212" s="93" t="n">
        <v>44562</v>
      </c>
      <c r="C212"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3">
      <c r="A213" t="inlineStr">
        <is>
          <t>Information</t>
        </is>
      </c>
      <c r="B213" s="93" t="n">
        <v>44531</v>
      </c>
      <c r="C213"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14">
      <c r="A214" t="inlineStr">
        <is>
          <t>Information</t>
        </is>
      </c>
      <c r="B214" s="93" t="n">
        <v>44470</v>
      </c>
      <c r="C214"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15">
      <c r="A215" t="inlineStr">
        <is>
          <t>Information</t>
        </is>
      </c>
      <c r="B215" s="93" t="n">
        <v>44440</v>
      </c>
      <c r="C215" t="inlineStr">
        <is>
          <t>“The semiconductor (shortage is) impacting server delivery. Alternate parts and engineering efforts are being used to create workaround solutions.” [Information]</t>
        </is>
      </c>
    </row>
    <row r="216">
      <c r="A216" t="inlineStr">
        <is>
          <t>Information</t>
        </is>
      </c>
      <c r="B216" s="93" t="n">
        <v>44409</v>
      </c>
      <c r="C216" t="inlineStr">
        <is>
          <t>Supplies are tight in technology hardware. [Information]</t>
        </is>
      </c>
    </row>
    <row r="217">
      <c r="A217" t="inlineStr">
        <is>
          <t>Information</t>
        </is>
      </c>
      <c r="B217" s="93" t="n">
        <v>44348</v>
      </c>
      <c r="C217" t="inlineStr">
        <is>
          <t>Employees globally are returning to the office where possible. We expect to have most employees in the office starting in September. [Information]</t>
        </is>
      </c>
    </row>
    <row r="218">
      <c r="A218" t="inlineStr">
        <is>
          <t>Information</t>
        </is>
      </c>
      <c r="B218" s="93" t="n">
        <v>44287</v>
      </c>
      <c r="C218" t="inlineStr">
        <is>
          <t>Overall, there is pricing pressure for goods and services in the market. (Information)</t>
        </is>
      </c>
    </row>
    <row r="219">
      <c r="A219" t="inlineStr">
        <is>
          <t>Information</t>
        </is>
      </c>
      <c r="B219" s="93" t="n">
        <v>44256</v>
      </c>
      <c r="C219" t="inlineStr">
        <is>
          <t>“Resin/oil price increases are beginning to filter down to products that we procure. In addition to price increases, we are also seeing longer lead times as supply chains pivot to find cheaper supply options.” (Information)</t>
        </is>
      </c>
    </row>
    <row r="220">
      <c r="A220" t="inlineStr">
        <is>
          <t>Information</t>
        </is>
      </c>
      <c r="B220" s="93" t="n">
        <v>44228</v>
      </c>
      <c r="C220" t="inlineStr">
        <is>
          <t>“The business continues to reduce real-estate/brick-and-mortar [operations] and transition to a work-from-home model. Innovation is the watchword in all things; as such, the need to right-size all consumption as patterns have changed.” (Information)</t>
        </is>
      </c>
    </row>
    <row r="221">
      <c r="A221" t="inlineStr">
        <is>
          <t>Information</t>
        </is>
      </c>
      <c r="B221" s="93" t="n">
        <v>44197</v>
      </c>
      <c r="C221" t="inlineStr">
        <is>
          <t>“The copper shortage is slowing deliveries of key network equipment.” (Information)</t>
        </is>
      </c>
    </row>
    <row r="222">
      <c r="A222" t="inlineStr">
        <is>
          <t>Information</t>
        </is>
      </c>
      <c r="B222" s="93" t="n">
        <v>44136</v>
      </c>
      <c r="C222" t="inlineStr">
        <is>
          <t>"Tough economic conditions. Lost revenues from the COVID-19 crisis are coming back, but not completely." (Information)</t>
        </is>
      </c>
    </row>
    <row r="223">
      <c r="A223" t="inlineStr">
        <is>
          <t>Information</t>
        </is>
      </c>
      <c r="B223" s="93" t="n">
        <v>44105</v>
      </c>
      <c r="C223" t="inlineStr">
        <is>
          <t>“We are remaining cautiously positive and resuming normal business operations.” (Management of Companies &amp; Support Services)</t>
        </is>
      </c>
    </row>
    <row r="224">
      <c r="A224" t="inlineStr">
        <is>
          <t>Information</t>
        </is>
      </c>
      <c r="B224" s="93" t="n">
        <v>44044</v>
      </c>
      <c r="C224"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25">
      <c r="A225" t="inlineStr">
        <is>
          <t>Information</t>
        </is>
      </c>
      <c r="B225" s="93" t="n">
        <v>43983</v>
      </c>
      <c r="C225"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26">
      <c r="A226" t="inlineStr">
        <is>
          <t>Information</t>
        </is>
      </c>
      <c r="B226" s="93" t="n">
        <v>43952</v>
      </c>
      <c r="C226"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7">
      <c r="A227" t="inlineStr">
        <is>
          <t>Information</t>
        </is>
      </c>
      <c r="B227" s="93" t="n">
        <v>43891</v>
      </c>
      <c r="C227"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8">
      <c r="A228" t="inlineStr">
        <is>
          <t>Information</t>
        </is>
      </c>
      <c r="B228" s="93" t="n">
        <v>43800</v>
      </c>
      <c r="C228" t="inlineStr">
        <is>
          <t>"Supply [is] good. Holiday sales below plan." (Information)</t>
        </is>
      </c>
    </row>
    <row r="229">
      <c r="A229" t="inlineStr">
        <is>
          <t>Information</t>
        </is>
      </c>
      <c r="B229" s="93" t="n">
        <v>43709</v>
      </c>
      <c r="C229" t="inlineStr">
        <is>
          <t>“As employee cost [wages] are increasing in this better economy, it is getting harder to fight price increases on goods and services.” (Information)</t>
        </is>
      </c>
    </row>
    <row r="230">
      <c r="A230" t="inlineStr">
        <is>
          <t>Information</t>
        </is>
      </c>
      <c r="B230" s="93" t="n">
        <v>43647</v>
      </c>
      <c r="C230" t="inlineStr">
        <is>
          <t>“Some uncertainty hinges on tariffs, but there have been no changes in market conditions.” (Information)</t>
        </is>
      </c>
    </row>
    <row r="231">
      <c r="A231" t="inlineStr">
        <is>
          <t>Information</t>
        </is>
      </c>
      <c r="B231" s="93" t="n">
        <v>43586</v>
      </c>
      <c r="C231" t="inlineStr">
        <is>
          <t>“General conditions are steady, not increasing or going down.” (Information)</t>
        </is>
      </c>
    </row>
    <row r="232">
      <c r="A232" t="inlineStr">
        <is>
          <t>Management of Companies &amp; Support Services</t>
        </is>
      </c>
      <c r="B232" s="93" t="n">
        <v>44774</v>
      </c>
      <c r="C232" t="inlineStr">
        <is>
          <t>“The supply chain challenges affect a portion of our buys as they include products and components made outside of the U.S. that are subject to shipping delays and other issues.”</t>
        </is>
      </c>
    </row>
    <row r="233">
      <c r="A233" t="inlineStr">
        <is>
          <t>Management of Companies &amp; Support Services</t>
        </is>
      </c>
      <c r="B233" s="93" t="n">
        <v>44743</v>
      </c>
      <c r="C233" t="inlineStr">
        <is>
          <t>“Can feel the economy weakening. Clients are making appropriate moves in anticipation of a recession.”</t>
        </is>
      </c>
    </row>
    <row r="234">
      <c r="A234" t="inlineStr">
        <is>
          <t>Management of Companies &amp; Support Services</t>
        </is>
      </c>
      <c r="B234" s="93" t="n">
        <v>44682</v>
      </c>
      <c r="C234" t="inlineStr">
        <is>
          <t>“Unstable prices on various commodities are making budgetary planning difficult. We are maintaining a cautious approach due to energy costs continuing to increase.”</t>
        </is>
      </c>
    </row>
    <row r="235">
      <c r="A235" t="inlineStr">
        <is>
          <t>Management of Companies &amp; Support Services</t>
        </is>
      </c>
      <c r="B235" s="93" t="n">
        <v>44652</v>
      </c>
      <c r="C235" t="inlineStr">
        <is>
          <t>“Business remains strong, only dampened by shortages in labor, increased material costs and lengthy lead times.”</t>
        </is>
      </c>
    </row>
    <row r="236">
      <c r="A236" t="inlineStr">
        <is>
          <t>Management of Companies &amp; Support Services</t>
        </is>
      </c>
      <c r="B236" s="93" t="n">
        <v>44621</v>
      </c>
      <c r="C236" t="inlineStr">
        <is>
          <t>“Concerns over inflation and rising energy prices are causing our company to take a cautious approach, especially related to planned capital expenditures.”</t>
        </is>
      </c>
    </row>
    <row r="237">
      <c r="A237" t="inlineStr">
        <is>
          <t>Management of Companies &amp; Support Services</t>
        </is>
      </c>
      <c r="B237" s="93" t="n">
        <v>44501</v>
      </c>
      <c r="C23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8">
      <c r="A238" t="inlineStr">
        <is>
          <t>Management of Companies &amp; Support Services</t>
        </is>
      </c>
      <c r="B238" s="93" t="n">
        <v>44470</v>
      </c>
      <c r="C238" t="inlineStr">
        <is>
          <t>“While new opportunities continue to present themselves, we are turning work away due to delayed shipments from suppliers and the general lack of new workers.” [Management of Companies &amp; Support Services]</t>
        </is>
      </c>
    </row>
    <row r="239">
      <c r="A239" t="inlineStr">
        <is>
          <t>Management of Companies &amp; Support Services</t>
        </is>
      </c>
      <c r="B239" s="93" t="n">
        <v>44440</v>
      </c>
      <c r="C239" t="inlineStr">
        <is>
          <t>“Both domestic and international logistics are increasing lead times about six weeks for ocean freight and two weeks for domestic freight.” [Management of Companies &amp; Support Services]</t>
        </is>
      </c>
    </row>
    <row r="240">
      <c r="A240" t="inlineStr">
        <is>
          <t>Management of Companies &amp; Support Services</t>
        </is>
      </c>
      <c r="B240" s="93" t="n">
        <v>44409</v>
      </c>
      <c r="C240" t="inlineStr">
        <is>
          <t>Temporary labor continues to be in short supply. Transportation costs are inflating prices on all products. [Management of Companies &amp; Support Services]</t>
        </is>
      </c>
    </row>
    <row r="241">
      <c r="A241" t="inlineStr">
        <is>
          <t>Management of Companies &amp; Support Services</t>
        </is>
      </c>
      <c r="B241" s="93" t="n">
        <v>44378</v>
      </c>
      <c r="C241" t="inlineStr">
        <is>
          <t>“Fuel prices are coming back down a bit. Labor shortage continues for drivers and general labor work. We have increased pay for many positions, but the shortage continues.” [Management of Companies &amp; Support Services]</t>
        </is>
      </c>
    </row>
    <row r="242">
      <c r="A242" t="inlineStr">
        <is>
          <t>Management of Companies &amp; Support Services</t>
        </is>
      </c>
      <c r="B242" s="93" t="n">
        <v>44317</v>
      </c>
      <c r="C242" t="inlineStr">
        <is>
          <t>(We are) seeing cost increases and long lead times with steel and steel containers. Worker shortages, temp labor and the like. [Management of Companies &amp; Support Services]</t>
        </is>
      </c>
    </row>
    <row r="243">
      <c r="A243" t="inlineStr">
        <is>
          <t>Management of Companies &amp; Support Services</t>
        </is>
      </c>
      <c r="B243" s="93" t="n">
        <v>44136</v>
      </c>
      <c r="C24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44">
      <c r="A244" t="inlineStr">
        <is>
          <t>Management of Companies &amp; Support Services</t>
        </is>
      </c>
      <c r="B244" s="93" t="n">
        <v>44013</v>
      </c>
      <c r="C24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45">
      <c r="A245" t="inlineStr">
        <is>
          <t>Management of Companies &amp; Support Services</t>
        </is>
      </c>
      <c r="B245" s="93" t="n">
        <v>43922</v>
      </c>
      <c r="C245" t="inlineStr">
        <is>
          <t>“The oil exploration sector is very weak, with the record low price of oil and the country’s shutdown due to the COVID-19 threat. We are hopeful for a bump in activity once the country starts to reopen.” (Management of Companies &amp; Support Services)</t>
        </is>
      </c>
    </row>
    <row r="246">
      <c r="A246" t="inlineStr">
        <is>
          <t>Management of Companies &amp; Support Services</t>
        </is>
      </c>
      <c r="B246" s="93" t="n">
        <v>43891</v>
      </c>
      <c r="C246" t="inlineStr">
        <is>
          <t>“COVID-19 has greatly impacted daily operations. All staff personnel are telecommuting, and customer concerns have shifted from normal activities to preventative measures.” (Management of Companies &amp; Support Services)</t>
        </is>
      </c>
    </row>
    <row r="247">
      <c r="A247" t="inlineStr">
        <is>
          <t>Management of Companies &amp; Support Services</t>
        </is>
      </c>
      <c r="B247" s="93" t="n">
        <v>43862</v>
      </c>
      <c r="C247" t="inlineStr">
        <is>
          <t>“Business is rapidly improving.” (Management of Companies &amp; Support Services)</t>
        </is>
      </c>
    </row>
    <row r="248">
      <c r="A248" t="inlineStr">
        <is>
          <t>Management of Companies &amp; Support Services</t>
        </is>
      </c>
      <c r="B248" s="93" t="n">
        <v>43831</v>
      </c>
      <c r="C248" t="inlineStr">
        <is>
          <t>“The labor market continues to be a challenge, impacting capacity and pushing up costs. Despite this, overall business volume remains positive, with growth in key sectors for our business.” (Management of Companies &amp; Support Services)</t>
        </is>
      </c>
    </row>
    <row r="249">
      <c r="A249" t="inlineStr">
        <is>
          <t>Management of Companies &amp; Support Services</t>
        </is>
      </c>
      <c r="B249" s="93" t="n">
        <v>43800</v>
      </c>
      <c r="C249" t="inlineStr">
        <is>
          <t>"Business activity and growth in our business continues to expand." (Management of Companies &amp; Support Services)</t>
        </is>
      </c>
    </row>
    <row r="250">
      <c r="A250" t="inlineStr">
        <is>
          <t>Management of Companies &amp; Support Services</t>
        </is>
      </c>
      <c r="B250" s="93" t="n">
        <v>43770</v>
      </c>
      <c r="C25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1">
      <c r="A251" t="inlineStr">
        <is>
          <t>Management of Companies &amp; Support Services</t>
        </is>
      </c>
      <c r="B251" s="93" t="n">
        <v>43709</v>
      </c>
      <c r="C251" t="inlineStr">
        <is>
          <t>“Costs are going up, from labor to chemicals to metals.” (Management of Companies &amp; Support Services)</t>
        </is>
      </c>
    </row>
    <row r="252">
      <c r="A252" t="inlineStr">
        <is>
          <t>Management of Companies &amp; Support Services</t>
        </is>
      </c>
      <c r="B252" s="93" t="n">
        <v>43678</v>
      </c>
      <c r="C25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3">
      <c r="A253" t="inlineStr">
        <is>
          <t>Management of Companies &amp; Support Services</t>
        </is>
      </c>
      <c r="B253" s="93" t="n">
        <v>43647</v>
      </c>
      <c r="C25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54">
      <c r="A254" t="inlineStr">
        <is>
          <t>Management of Companies &amp; Support Services</t>
        </is>
      </c>
      <c r="B254" s="93" t="n">
        <v>43617</v>
      </c>
      <c r="C25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55">
      <c r="A255" t="inlineStr">
        <is>
          <t>Management of Companies &amp; Support Services</t>
        </is>
      </c>
      <c r="B255" s="93" t="n">
        <v>43556</v>
      </c>
      <c r="C25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56">
      <c r="A256" t="inlineStr">
        <is>
          <t>Management of Companies &amp; Support Services</t>
        </is>
      </c>
      <c r="B256" s="93" t="n">
        <v>43525</v>
      </c>
      <c r="C25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7">
      <c r="A257" t="inlineStr">
        <is>
          <t>Management of Companies &amp; Support Services</t>
        </is>
      </c>
      <c r="B257" s="93" t="n">
        <v>43497</v>
      </c>
      <c r="C25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8">
      <c r="A258" t="inlineStr">
        <is>
          <t>Management of Companies &amp; Support Services</t>
        </is>
      </c>
      <c r="B258" s="93" t="n">
        <v>43466</v>
      </c>
      <c r="C258" t="inlineStr">
        <is>
          <t>·         “Prices are volatile due to tariff restrictions.” (Management of Companies &amp; Support Services)</t>
        </is>
      </c>
    </row>
    <row r="259">
      <c r="A259" t="inlineStr">
        <is>
          <t>Mining</t>
        </is>
      </c>
      <c r="B259" s="93" t="n">
        <v>44866</v>
      </c>
      <c r="C259" t="inlineStr">
        <is>
          <t>“The demand for energy services remains very strong for the foreseeable future.”</t>
        </is>
      </c>
    </row>
    <row r="260">
      <c r="A260" t="inlineStr">
        <is>
          <t>Mining</t>
        </is>
      </c>
      <c r="B260" s="93" t="n">
        <v>44713</v>
      </c>
      <c r="C260" t="inlineStr">
        <is>
          <t>“Energy services sector demand and activity remains strong.”</t>
        </is>
      </c>
    </row>
    <row r="261">
      <c r="A261" t="inlineStr">
        <is>
          <t>Mining</t>
        </is>
      </c>
      <c r="B261" s="93" t="n">
        <v>44409</v>
      </c>
      <c r="C261" t="inlineStr">
        <is>
          <t>Activity level continues to increase. [Mining]</t>
        </is>
      </c>
    </row>
    <row r="262">
      <c r="A262" t="inlineStr">
        <is>
          <t>Mining</t>
        </is>
      </c>
      <c r="B262" s="93" t="n">
        <v>44348</v>
      </c>
      <c r="C262" t="inlineStr">
        <is>
          <t>Starting to see a lot of commodity-price increases for chemicals, acidizing and cementing. This is driven by product cost increases stemming from low production from plants. [Mining]</t>
        </is>
      </c>
    </row>
    <row r="263">
      <c r="A263" t="inlineStr">
        <is>
          <t>Mining</t>
        </is>
      </c>
      <c r="B263" s="93" t="n">
        <v>44317</v>
      </c>
      <c r="C263" t="inlineStr">
        <is>
          <t>Transportation, labor, steel and general commodities are all increasing (in price) based upon general inflation and the rising price of oil. [Mining]</t>
        </is>
      </c>
    </row>
    <row r="264">
      <c r="A264" t="inlineStr">
        <is>
          <t>Mining</t>
        </is>
      </c>
      <c r="B264" s="93" t="n">
        <v>44256</v>
      </c>
      <c r="C264" t="inlineStr">
        <is>
          <t>“Lack of chemicals and the recent freeze in Texas has delayed some orders and is creating a micro [price] increases for certain products. Suppliers are using the short-term shortage to their advantage to raise rates.” (Mining)</t>
        </is>
      </c>
    </row>
    <row r="265">
      <c r="A265" t="inlineStr">
        <is>
          <t>Mining</t>
        </is>
      </c>
      <c r="B265" s="93" t="n">
        <v>44197</v>
      </c>
      <c r="C265" t="inlineStr">
        <is>
          <t>“Still working under COVID-19 restrictions and uncertain political climate.” (Mining)</t>
        </is>
      </c>
    </row>
    <row r="266">
      <c r="A266" t="inlineStr">
        <is>
          <t>Mining</t>
        </is>
      </c>
      <c r="B266" s="93" t="n">
        <v>44136</v>
      </c>
      <c r="C266" t="inlineStr">
        <is>
          <t>"COVID-19 has brought some changes to operations, but for the most part, things are progressing as usual." (Mining)</t>
        </is>
      </c>
    </row>
    <row r="267">
      <c r="A267" t="inlineStr">
        <is>
          <t>Mining</t>
        </is>
      </c>
      <c r="B267" s="93" t="n">
        <v>44075</v>
      </c>
      <c r="C267" t="inlineStr">
        <is>
          <t>“Activity level is holding steady, with optimistic outlook.” (Mining)</t>
        </is>
      </c>
    </row>
    <row r="268">
      <c r="A268" t="inlineStr">
        <is>
          <t>Mining</t>
        </is>
      </c>
      <c r="B268" s="93" t="n">
        <v>43983</v>
      </c>
      <c r="C268" t="inlineStr">
        <is>
          <t>“Activity level is holding steady, with the potential of a rebound in the near future.” (Mining)</t>
        </is>
      </c>
    </row>
    <row r="269">
      <c r="A269" t="inlineStr">
        <is>
          <t>Mining</t>
        </is>
      </c>
      <c r="B269" s="93" t="n">
        <v>43891</v>
      </c>
      <c r="C269" t="inlineStr">
        <is>
          <t>“We are experiencing no real issues from a business perspective, although COVID-19 has forced us to reconsider elements of how our workforce gets things done.” (Mining)</t>
        </is>
      </c>
    </row>
    <row r="270">
      <c r="A270" t="inlineStr">
        <is>
          <t>Mining</t>
        </is>
      </c>
      <c r="B270" s="93" t="n">
        <v>43862</v>
      </c>
      <c r="C270"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1">
      <c r="A271" t="inlineStr">
        <is>
          <t>Mining</t>
        </is>
      </c>
      <c r="B271" s="93" t="n">
        <v>43800</v>
      </c>
      <c r="C271" t="inlineStr">
        <is>
          <t>"Our company's production, sales and purchasing [activities] are back to normal. Maintenance, planned and otherwise, is driving the usual necessity for spare parts." (Mining)</t>
        </is>
      </c>
    </row>
    <row r="272">
      <c r="A272" t="inlineStr">
        <is>
          <t>Mining</t>
        </is>
      </c>
      <c r="B272" s="93" t="n">
        <v>43739</v>
      </c>
      <c r="C272" t="inlineStr">
        <is>
          <t>“Our business remains at the same level. There is no expectation for new orders, since clients normally do not make capital-expenditure decisions in the last quarter. Our only expectation is with regards to the U.S.-China trade deal outcome.” (Mining)</t>
        </is>
      </c>
    </row>
    <row r="273">
      <c r="A273" t="inlineStr">
        <is>
          <t>Mining</t>
        </is>
      </c>
      <c r="B273" s="93" t="n">
        <v>43647</v>
      </c>
      <c r="C273" t="inlineStr">
        <is>
          <t>“It appears that the mining capital-expense environment is improving, with a good prospectus for the coming months. Our dependence on Chinese and Asian supply chains remains strong. NAFTA countries do not have the same capacity and speed.” (Mining)</t>
        </is>
      </c>
    </row>
    <row r="274">
      <c r="A274" t="inlineStr">
        <is>
          <t>Mining</t>
        </is>
      </c>
      <c r="B274" s="93" t="n">
        <v>43586</v>
      </c>
      <c r="C274" t="inlineStr">
        <is>
          <t>“Our business level is connected to metal commodity future outlook, but current trade war does not let investors have a clear sight. In this sense, [it] has been very difficult to plan in a long term ahead.” (Mining)</t>
        </is>
      </c>
    </row>
    <row r="275">
      <c r="A275" t="inlineStr">
        <is>
          <t>Mining</t>
        </is>
      </c>
      <c r="B275" s="93" t="n">
        <v>43556</v>
      </c>
      <c r="C275" t="inlineStr">
        <is>
          <t>·         “The outlook for mining capital expenditures looks like it will not change for a while. [We don’t] expect much growth, so we keep working with same team and shrinking capex investments.” (Mining)</t>
        </is>
      </c>
    </row>
    <row r="276">
      <c r="A276" t="inlineStr">
        <is>
          <t>Mining</t>
        </is>
      </c>
      <c r="B276" s="93" t="n">
        <v>43525</v>
      </c>
      <c r="C276" t="inlineStr">
        <is>
          <t>“Activity level held flat.” (Mining)</t>
        </is>
      </c>
    </row>
    <row r="277">
      <c r="A277" t="inlineStr">
        <is>
          <t>Mining</t>
        </is>
      </c>
      <c r="B277" s="93" t="n">
        <v>43497</v>
      </c>
      <c r="C277" t="inlineStr">
        <is>
          <t>“Increased activity level over the end of 2018.” (Mining)</t>
        </is>
      </c>
    </row>
    <row r="278">
      <c r="A278" t="inlineStr">
        <is>
          <t>Other Services</t>
        </is>
      </c>
      <c r="B278" s="93" t="n">
        <v>44835</v>
      </c>
      <c r="C278" t="inlineStr">
        <is>
          <t>“Electronic components lead times are becoming longer, pushing out almost a year. Not seeing much change in pricing based on inflation pressures at this point, but we expect to see changes after the first of the year. Business volume remains strong.”</t>
        </is>
      </c>
    </row>
    <row r="279">
      <c r="A279" t="inlineStr">
        <is>
          <t>Other Services</t>
        </is>
      </c>
      <c r="B279" s="93" t="n">
        <v>44562</v>
      </c>
      <c r="C279" t="inlineStr">
        <is>
          <t>“Downturn in business in the last month due to outbreak in COVID-19 cases.”</t>
        </is>
      </c>
    </row>
    <row r="280">
      <c r="A280" t="inlineStr">
        <is>
          <t>Other Services</t>
        </is>
      </c>
      <c r="B280" s="93" t="n">
        <v>44531</v>
      </c>
      <c r="C280"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1">
      <c r="A281" t="inlineStr">
        <is>
          <t>Other Services</t>
        </is>
      </c>
      <c r="B281" s="93" t="n">
        <v>44197</v>
      </c>
      <c r="C281" t="inlineStr">
        <is>
          <t>“Overall, everything continues to be more optimistic; however, we are still seeing impacts from suppliers that are being affected by limiting staff due to COVID-19 restrictions.” (Other Services)</t>
        </is>
      </c>
    </row>
    <row r="282">
      <c r="A282" t="inlineStr">
        <is>
          <t>Other Services</t>
        </is>
      </c>
      <c r="B282" s="93" t="n">
        <v>43983</v>
      </c>
      <c r="C282"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83">
      <c r="A283" t="inlineStr">
        <is>
          <t>Other Services</t>
        </is>
      </c>
      <c r="B283" s="93" t="n">
        <v>43770</v>
      </c>
      <c r="C283" t="inlineStr">
        <is>
          <t>“Tariffs on steel and aluminum are still having a negative impact on costs. Oil and gas business is increasing, which is favorably impacting our orders.” (Other Services)</t>
        </is>
      </c>
    </row>
    <row r="284">
      <c r="A284" t="inlineStr">
        <is>
          <t>Professional, Scientific &amp; Technical Services</t>
        </is>
      </c>
      <c r="B284" s="93" t="n">
        <v>44866</v>
      </c>
      <c r="C284" t="inlineStr">
        <is>
          <t>“Job openings are seemingly continuing to decrease, but with demand for top talent still high and availability still rather scarce, the opportunity for growth is still there.”</t>
        </is>
      </c>
    </row>
    <row r="285">
      <c r="A285" t="inlineStr">
        <is>
          <t>Professional, Scientific &amp; Technical Services</t>
        </is>
      </c>
      <c r="B285" s="93" t="n">
        <v>44835</v>
      </c>
      <c r="C285"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86">
      <c r="A286" t="inlineStr">
        <is>
          <t>Professional, Scientific &amp; Technical Services</t>
        </is>
      </c>
      <c r="B286" s="93" t="n">
        <v>44805</v>
      </c>
      <c r="C286"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87">
      <c r="A287" t="inlineStr">
        <is>
          <t>Professional, Scientific &amp; Technical Services</t>
        </is>
      </c>
      <c r="B287" s="93" t="n">
        <v>44774</v>
      </c>
      <c r="C287" t="inlineStr">
        <is>
          <t>“COVID-19 still affecting many businesses. Also, there is a labor shortage.”</t>
        </is>
      </c>
    </row>
    <row r="288">
      <c r="A288" t="inlineStr">
        <is>
          <t>Professional, Scientific &amp; Technical Services</t>
        </is>
      </c>
      <c r="B288" s="93" t="n">
        <v>44743</v>
      </c>
      <c r="C288"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89">
      <c r="A289" t="inlineStr">
        <is>
          <t>Professional, Scientific &amp; Technical Services</t>
        </is>
      </c>
      <c r="B289" s="93" t="n">
        <v>44682</v>
      </c>
      <c r="C289"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0">
      <c r="A290" t="inlineStr">
        <is>
          <t>Professional, Scientific &amp; Technical Services</t>
        </is>
      </c>
      <c r="B290" s="93" t="n">
        <v>44652</v>
      </c>
      <c r="C290"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1">
      <c r="A291" t="inlineStr">
        <is>
          <t>Professional, Scientific &amp; Technical Services</t>
        </is>
      </c>
      <c r="B291" s="93" t="n">
        <v>44562</v>
      </c>
      <c r="C291" t="inlineStr">
        <is>
          <t>“Blood shortages are causing issues in the emergency rooms.”</t>
        </is>
      </c>
    </row>
    <row r="292">
      <c r="A292" t="inlineStr">
        <is>
          <t>Professional, Scientific &amp; Technical Services</t>
        </is>
      </c>
      <c r="B292" s="93" t="n">
        <v>44531</v>
      </c>
      <c r="C292" t="inlineStr">
        <is>
          <t>“Electronic chip (shortage) is severely affecting deliveries from our supply base, thus impacting our ability to deliver to customers.”</t>
        </is>
      </c>
    </row>
    <row r="293">
      <c r="A293" t="inlineStr">
        <is>
          <t>Professional, Scientific &amp; Technical Services</t>
        </is>
      </c>
      <c r="B293" s="93" t="n">
        <v>44470</v>
      </c>
      <c r="C293" t="inlineStr">
        <is>
          <t>“Positive indications that have been building in the last couple of months are continuing into the beginning of this quarter.” [Professional, Scientific &amp; Technical Services]</t>
        </is>
      </c>
    </row>
    <row r="294">
      <c r="A294" t="inlineStr">
        <is>
          <t>Professional, Scientific &amp; Technical Services</t>
        </is>
      </c>
      <c r="B294" s="93" t="n">
        <v>44440</v>
      </c>
      <c r="C294" t="inlineStr">
        <is>
          <t>“Inventories shrinking due to global shipping logistics being a seller’s/provider’s market, with primary focus on yield versus market expansion.” [Professional, Scientific &amp; Technical Services]</t>
        </is>
      </c>
    </row>
    <row r="295">
      <c r="A295" t="inlineStr">
        <is>
          <t>Professional, Scientific &amp; Technical Services</t>
        </is>
      </c>
      <c r="B295" s="93" t="n">
        <v>44409</v>
      </c>
      <c r="C295" t="inlineStr">
        <is>
          <t>Continuing supply chain disruptions and supply cost increases. [Professional, Scientific &amp; Technical Services]</t>
        </is>
      </c>
    </row>
    <row r="296">
      <c r="A296" t="inlineStr">
        <is>
          <t>Professional, Scientific &amp; Technical Services</t>
        </is>
      </c>
      <c r="B296" s="93" t="n">
        <v>44378</v>
      </c>
      <c r="C296" t="inlineStr">
        <is>
          <t>“Supply chain disruptions continue to impact sales.” [Professional, Scientific &amp; Technical Services]</t>
        </is>
      </c>
    </row>
    <row r="297">
      <c r="A297" t="inlineStr">
        <is>
          <t>Professional, Scientific &amp; Technical Services</t>
        </is>
      </c>
      <c r="B297" s="93" t="n">
        <v>44317</v>
      </c>
      <c r="C297"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98">
      <c r="A298" t="inlineStr">
        <is>
          <t>Professional, Scientific &amp; Technical Services</t>
        </is>
      </c>
      <c r="B298" s="93" t="n">
        <v>44287</v>
      </c>
      <c r="C298"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99">
      <c r="A299" t="inlineStr">
        <is>
          <t>Professional, Scientific &amp; Technical Services</t>
        </is>
      </c>
      <c r="B299" s="93" t="n">
        <v>44256</v>
      </c>
      <c r="C299" t="inlineStr">
        <is>
          <t>“Higher levels of demand related to additional business reopening, and increased activity related to vaccination distribution.” (Professional, Scientific &amp; Technical Services)</t>
        </is>
      </c>
    </row>
    <row r="300">
      <c r="A300" t="inlineStr">
        <is>
          <t>Professional, Scientific &amp; Technical Services</t>
        </is>
      </c>
      <c r="B300" s="93" t="n">
        <v>44228</v>
      </c>
      <c r="C300" t="inlineStr">
        <is>
          <t>“We were excited [in January], when orders and activity were increasing. Now, they are not receding, but they’re flat month over month. That’s not the rebound we were hoping for.” (Professional, Scientific &amp; Technical Services)</t>
        </is>
      </c>
    </row>
    <row r="301">
      <c r="A301" t="inlineStr">
        <is>
          <t>Professional, Scientific &amp; Technical Services</t>
        </is>
      </c>
      <c r="B301" s="93" t="n">
        <v>44166</v>
      </c>
      <c r="C301"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02">
      <c r="A302" t="inlineStr">
        <is>
          <t>Professional, Scientific &amp; Technical Services</t>
        </is>
      </c>
      <c r="B302" s="93" t="n">
        <v>44136</v>
      </c>
      <c r="C302" t="inlineStr">
        <is>
          <t>"Availability on PPE and other supplies is getting worse again; [the situation] is especially dire with nitrile gloves." (Professional, Scientific &amp; Technical Services)</t>
        </is>
      </c>
    </row>
    <row r="303">
      <c r="A303" t="inlineStr">
        <is>
          <t>Professional, Scientific &amp; Technical Services</t>
        </is>
      </c>
      <c r="B303" s="93" t="n">
        <v>44105</v>
      </c>
      <c r="C303" t="inlineStr">
        <is>
          <t>“Encouraging signs continue for an improved fourth quarter.” (Professional, Scientific &amp; Technical Services)</t>
        </is>
      </c>
    </row>
    <row r="304">
      <c r="A304" t="inlineStr">
        <is>
          <t>Professional, Scientific &amp; Technical Services</t>
        </is>
      </c>
      <c r="B304" s="93" t="n">
        <v>44075</v>
      </c>
      <c r="C304"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05">
      <c r="A305" t="inlineStr">
        <is>
          <t>Professional, Scientific &amp; Technical Services</t>
        </is>
      </c>
      <c r="B305" s="93" t="n">
        <v>44044</v>
      </c>
      <c r="C305" t="inlineStr">
        <is>
          <t>“Increase in service- and work-order requests are signs of economic improvement as companies reopen and begin to ramp up employment activity.” (Professional, Scientific &amp; Technical Services)</t>
        </is>
      </c>
    </row>
    <row r="306">
      <c r="A306" t="inlineStr">
        <is>
          <t>Professional, Scientific &amp; Technical Services</t>
        </is>
      </c>
      <c r="B306" s="93" t="n">
        <v>44013</v>
      </c>
      <c r="C306"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07">
      <c r="A307" t="inlineStr">
        <is>
          <t>Professional, Scientific &amp; Technical Services</t>
        </is>
      </c>
      <c r="B307" s="93" t="n">
        <v>43862</v>
      </c>
      <c r="C307" t="inlineStr">
        <is>
          <t>“The outlook appears positive, as our order book is nearing full capacity for the first half of 2020.” (Professional, Scientific &amp; Technical Services)</t>
        </is>
      </c>
    </row>
    <row r="308">
      <c r="A308" t="inlineStr">
        <is>
          <t>Professional, Scientific &amp; Technical Services</t>
        </is>
      </c>
      <c r="B308" s="93" t="n">
        <v>43800</v>
      </c>
      <c r="C308" t="inlineStr">
        <is>
          <t>"New prospects have improved this month, although continuing uncertainty is causing clients to delay confirmation." (Professional, Scientific &amp; Technical Services)</t>
        </is>
      </c>
    </row>
    <row r="309">
      <c r="A309" t="inlineStr">
        <is>
          <t>Professional, Scientific &amp; Technical Services</t>
        </is>
      </c>
      <c r="B309" s="93" t="n">
        <v>43770</v>
      </c>
      <c r="C309"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0">
      <c r="A310" t="inlineStr">
        <is>
          <t>Professional, Scientific &amp; Technical Services</t>
        </is>
      </c>
      <c r="B310" s="93" t="n">
        <v>43739</v>
      </c>
      <c r="C310" t="inlineStr">
        <is>
          <t>“Positive-but-cautious outlook, with oil prices hovering above [US]$50 a barrel.” (Professional, Scientific &amp; Technical Services)</t>
        </is>
      </c>
    </row>
    <row r="311">
      <c r="A311" t="inlineStr">
        <is>
          <t>Professional, Scientific &amp; Technical Services</t>
        </is>
      </c>
      <c r="B311" s="93" t="n">
        <v>43678</v>
      </c>
      <c r="C311" t="inlineStr">
        <is>
          <t>“Summer doldrums appear to be over, and the fourth quarter will be solid, with higher-than-expected revenues.” (Professional, Scientific &amp; Technical Services)</t>
        </is>
      </c>
    </row>
    <row r="312">
      <c r="A312" t="inlineStr">
        <is>
          <t>Professional, Scientific &amp; Technical Services</t>
        </is>
      </c>
      <c r="B312" s="93" t="n">
        <v>43647</v>
      </c>
      <c r="C312"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13">
      <c r="A313" t="inlineStr">
        <is>
          <t>Professional, Scientific &amp; Technical Services</t>
        </is>
      </c>
      <c r="B313" s="93" t="n">
        <v>43617</v>
      </c>
      <c r="C313" t="inlineStr">
        <is>
          <t>“Waiting to see what new tariffs on Mexican steel will do to the market.” (Professional, Scientific &amp; Technical Services)</t>
        </is>
      </c>
    </row>
    <row r="314">
      <c r="A314" t="inlineStr">
        <is>
          <t>Professional, Scientific &amp; Technical Services</t>
        </is>
      </c>
      <c r="B314" s="93" t="n">
        <v>43556</v>
      </c>
      <c r="C314"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15">
      <c r="A315" t="inlineStr">
        <is>
          <t>Professional, Scientific &amp; Technical Services</t>
        </is>
      </c>
      <c r="B315" s="93" t="n">
        <v>43525</v>
      </c>
      <c r="C315" t="inlineStr">
        <is>
          <t>“Initial surge in business at the beginning of the year has peaked and settled to a more stable level.” (Professional, Scientific &amp; Technical Services)</t>
        </is>
      </c>
    </row>
    <row r="316">
      <c r="A316" t="inlineStr">
        <is>
          <t>Professional, Scientific &amp; Technical Services</t>
        </is>
      </c>
      <c r="B316" s="93" t="n">
        <v>43466</v>
      </c>
      <c r="C316"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17">
      <c r="A317" t="inlineStr">
        <is>
          <t>Public Administration</t>
        </is>
      </c>
      <c r="B317" s="93" t="n">
        <v>44774</v>
      </c>
      <c r="C317" t="inlineStr">
        <is>
          <t>“Lingering concerns about inflation and price increases. Still having difficulties hiring staff to fill many positions.”</t>
        </is>
      </c>
    </row>
    <row r="318">
      <c r="A318" t="inlineStr">
        <is>
          <t>Public Administration</t>
        </is>
      </c>
      <c r="B318" s="93" t="n">
        <v>44743</v>
      </c>
      <c r="C318" t="inlineStr">
        <is>
          <t>“Rising costs across the board seems to be the big focus now. Fuel and food are the most common focus but it is across the board, and there is pressure of a job market shortage for qualified workers to increase wages and other benefits.”</t>
        </is>
      </c>
    </row>
    <row r="319">
      <c r="A319" t="inlineStr">
        <is>
          <t>Public Administration</t>
        </is>
      </c>
      <c r="B319" s="93" t="n">
        <v>44713</v>
      </c>
      <c r="C319"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0">
      <c r="A320" t="inlineStr">
        <is>
          <t>Public Administration</t>
        </is>
      </c>
      <c r="B320" s="93" t="n">
        <v>44682</v>
      </c>
      <c r="C320" t="inlineStr">
        <is>
          <t>“Concerns about how the new COVID-19 subvariants and rising cases may impact staffing.”</t>
        </is>
      </c>
    </row>
    <row r="321">
      <c r="A321" t="inlineStr">
        <is>
          <t>Public Administration</t>
        </is>
      </c>
      <c r="B321" s="93" t="n">
        <v>44652</v>
      </c>
      <c r="C321" t="inlineStr">
        <is>
          <t>“Inflation, supply chain issues and access to qualified workers continue to be issues. There are still lingering effects from the pandemic, although those seem to be subsiding. The future impacts of the war in Ukraine are unclear.”</t>
        </is>
      </c>
    </row>
    <row r="322">
      <c r="A322" t="inlineStr">
        <is>
          <t>Public Administration</t>
        </is>
      </c>
      <c r="B322" s="93" t="n">
        <v>44621</v>
      </c>
      <c r="C322" t="inlineStr">
        <is>
          <t>“Long lead times for electronic components are becoming normal and expected. Chemical deliveries are often delayed due to a lack of qualified hazardous materials drivers.”</t>
        </is>
      </c>
    </row>
    <row r="323">
      <c r="A323" t="inlineStr">
        <is>
          <t>Public Administration</t>
        </is>
      </c>
      <c r="B323" s="93" t="n">
        <v>44501</v>
      </c>
      <c r="C323" t="inlineStr">
        <is>
          <t>“Late deliveries and shortages continue. Disruptions seem to be declining somewhat, as suppliers and customers are finding innovative ways to keep supplies moving.” [Public Administration]</t>
        </is>
      </c>
    </row>
    <row r="324">
      <c r="A324" t="inlineStr">
        <is>
          <t>Public Administration</t>
        </is>
      </c>
      <c r="B324" s="93" t="n">
        <v>44470</v>
      </c>
      <c r="C324" t="inlineStr">
        <is>
          <t>“Deliveries are significantly delayed. Metals continue to be volatile.” [Public Administration]</t>
        </is>
      </c>
    </row>
    <row r="325">
      <c r="A325" t="inlineStr">
        <is>
          <t>Public Administration</t>
        </is>
      </c>
      <c r="B325" s="93" t="n">
        <v>44440</v>
      </c>
      <c r="C325"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26">
      <c r="A326" t="inlineStr">
        <is>
          <t>Public Administration</t>
        </is>
      </c>
      <c r="B326" s="93" t="n">
        <v>44409</v>
      </c>
      <c r="C326" t="inlineStr">
        <is>
          <t>Chemicals and transportation services are in short supply. Also, chip shortages are affecting several large-project time lines. [Public Administration]</t>
        </is>
      </c>
    </row>
    <row r="327">
      <c r="A327" t="inlineStr">
        <is>
          <t>Public Administration</t>
        </is>
      </c>
      <c r="B327" s="93" t="n">
        <v>44378</v>
      </c>
      <c r="C327" t="inlineStr">
        <is>
          <t>“Appliances, laptops and certain chemicals are still in short supply.” [Public Administration]</t>
        </is>
      </c>
    </row>
    <row r="328">
      <c r="A328" t="inlineStr">
        <is>
          <t>Public Administration</t>
        </is>
      </c>
      <c r="B328" s="93" t="n">
        <v>44287</v>
      </c>
      <c r="C328"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29">
      <c r="A329" t="inlineStr">
        <is>
          <t>Public Administration</t>
        </is>
      </c>
      <c r="B329" s="93" t="n">
        <v>44197</v>
      </c>
      <c r="C329" t="inlineStr">
        <is>
          <t>“Post-holidays spending is up. Many capital projects and expenditures are coming to fruition.” (Public Administration)</t>
        </is>
      </c>
    </row>
    <row r="330">
      <c r="A330" t="inlineStr">
        <is>
          <t>Public Administration</t>
        </is>
      </c>
      <c r="B330" s="93" t="n">
        <v>44013</v>
      </c>
      <c r="C330"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1">
      <c r="A331" t="inlineStr">
        <is>
          <t>Public Administration</t>
        </is>
      </c>
      <c r="B331" s="93" t="n">
        <v>43952</v>
      </c>
      <c r="C331" t="inlineStr">
        <is>
          <t>“COVID-19 is still impacting our revenue significantly and the prices we are paying for goods and services.” (Public Administration)</t>
        </is>
      </c>
    </row>
    <row r="332">
      <c r="A332" t="inlineStr">
        <is>
          <t>Public Administration</t>
        </is>
      </c>
      <c r="B332" s="93" t="n">
        <v>43891</v>
      </c>
      <c r="C332"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33">
      <c r="A333" t="inlineStr">
        <is>
          <t>Public Administration</t>
        </is>
      </c>
      <c r="B333" s="93" t="n">
        <v>43800</v>
      </c>
      <c r="C333" t="inlineStr">
        <is>
          <t>"Budgets and business accelerating." (Public Administration)</t>
        </is>
      </c>
    </row>
    <row r="334">
      <c r="A334" t="inlineStr">
        <is>
          <t>Public Administration</t>
        </is>
      </c>
      <c r="B334" s="93" t="n">
        <v>43739</v>
      </c>
      <c r="C334" t="inlineStr">
        <is>
          <t>“Beginning of a new fiscal year brings a tremendous amount of spending.” (Public Administration)</t>
        </is>
      </c>
    </row>
    <row r="335">
      <c r="A335" t="inlineStr">
        <is>
          <t>Public Administration</t>
        </is>
      </c>
      <c r="B335" s="93" t="n">
        <v>43617</v>
      </c>
      <c r="C335" t="inlineStr">
        <is>
          <t>“Demand seems strong. There are still pressures for skilled labor. It is difficult to find fully qualified candidates. Suppliers are having trouble with demand.” (Public Administration)</t>
        </is>
      </c>
    </row>
    <row r="336">
      <c r="A336" t="inlineStr">
        <is>
          <t>Public Administration</t>
        </is>
      </c>
      <c r="B336" s="93" t="n">
        <v>43586</v>
      </c>
      <c r="C336" t="inlineStr">
        <is>
          <t>“Gearing up for summer busy construction season.” (Public Administration)</t>
        </is>
      </c>
    </row>
    <row r="337">
      <c r="A337" t="inlineStr">
        <is>
          <t>Public Administration</t>
        </is>
      </c>
      <c r="B337" s="93" t="n">
        <v>43556</v>
      </c>
      <c r="C337" t="inlineStr">
        <is>
          <t>·         “Business is steady. Recruiting qualified employees has been difficult.” (Public Administration)</t>
        </is>
      </c>
    </row>
    <row r="338">
      <c r="A338" t="inlineStr">
        <is>
          <t>Public Administration</t>
        </is>
      </c>
      <c r="B338" s="93" t="n">
        <v>43525</v>
      </c>
      <c r="C338" t="inlineStr">
        <is>
          <t>“Locally as construction grows, a shortage of available workers for the industry is occurring for future projects.” (Public Administration)</t>
        </is>
      </c>
    </row>
    <row r="339">
      <c r="A339" t="inlineStr">
        <is>
          <t>Public Administration</t>
        </is>
      </c>
      <c r="B339" s="93" t="n">
        <v>43466</v>
      </c>
      <c r="C339"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0">
      <c r="A340" t="inlineStr">
        <is>
          <t>Real Estate, Rental &amp; Leasing</t>
        </is>
      </c>
      <c r="B340" s="93" t="n">
        <v>44835</v>
      </c>
      <c r="C340" t="inlineStr">
        <is>
          <t>“Prices seem to continue increasing for commodities, including plumbing, flooring materials, floor adhesives, door locks, and bedroom and bathroom doors. Delays in delivery have increased after leveling off in the middle of the year.”</t>
        </is>
      </c>
    </row>
    <row r="341">
      <c r="A341" t="inlineStr">
        <is>
          <t>Real Estate, Rental &amp; Leasing</t>
        </is>
      </c>
      <c r="B341" s="93" t="n">
        <v>44470</v>
      </c>
      <c r="C341" t="inlineStr">
        <is>
          <t>“Construction remains quite strong, although material supply issues persist.” [Real Estate, Rental &amp; Leasing]</t>
        </is>
      </c>
    </row>
    <row r="342">
      <c r="A342" t="inlineStr">
        <is>
          <t>Real Estate, Rental &amp; Leasing</t>
        </is>
      </c>
      <c r="B342" s="93" t="n">
        <v>44440</v>
      </c>
      <c r="C342" t="inlineStr">
        <is>
          <t>“Business volumes remain remarkably high, although material shortages persist.” [Real Estate, Rental &amp; Leasing]</t>
        </is>
      </c>
    </row>
    <row r="343">
      <c r="A343" t="inlineStr">
        <is>
          <t>Real Estate, Rental &amp; Leasing</t>
        </is>
      </c>
      <c r="B343" s="93" t="n">
        <v>44409</v>
      </c>
      <c r="C343" t="inlineStr">
        <is>
          <t>Business in all segments continues to gain, both month over month and year-to-date versus 2020. Projections and forecasts remain quite robust. [Real Estate, Rental &amp; Leasing]</t>
        </is>
      </c>
    </row>
    <row r="344">
      <c r="A344" t="inlineStr">
        <is>
          <t>Real Estate, Rental &amp; Leasing</t>
        </is>
      </c>
      <c r="B344" s="93" t="n">
        <v>44378</v>
      </c>
      <c r="C344" t="inlineStr">
        <is>
          <t>“Business continues to gain speed as the economy recovers and assuming there won’t be additional government-mandated lockdowns.” [Real Estate, Rental &amp; Leasing]</t>
        </is>
      </c>
    </row>
    <row r="345">
      <c r="A345" t="inlineStr">
        <is>
          <t>Real Estate, Rental &amp; Leasing</t>
        </is>
      </c>
      <c r="B345" s="93" t="n">
        <v>44317</v>
      </c>
      <c r="C345" t="inlineStr">
        <is>
          <t>Business is very strong, and customer orders continue to increase at a rapid pace. Material shortages, increased prices and qualified personnel shortages are becoming a much larger concern. [Real Estate, Rental &amp; Leasing]</t>
        </is>
      </c>
    </row>
    <row r="346">
      <c r="A346" t="inlineStr">
        <is>
          <t>Real Estate, Rental &amp; Leasing</t>
        </is>
      </c>
      <c r="B346" s="93" t="n">
        <v>44287</v>
      </c>
      <c r="C346" t="inlineStr">
        <is>
          <t>Business levels are quite strong as we head into the spring construction season. (Real Estate, Rental &amp; Leasing)</t>
        </is>
      </c>
    </row>
    <row r="347">
      <c r="A347" t="inlineStr">
        <is>
          <t>Real Estate, Rental &amp; Leasing</t>
        </is>
      </c>
      <c r="B347" s="93" t="n">
        <v>44256</v>
      </c>
      <c r="C347" t="inlineStr">
        <is>
          <t>“Business is picking up as mandated restrictions seem to be easing and spring is right around the corner.” (Real Estate, Rental &amp; Leasing)</t>
        </is>
      </c>
    </row>
    <row r="348">
      <c r="A348" t="inlineStr">
        <is>
          <t>Real Estate, Rental &amp; Leasing</t>
        </is>
      </c>
      <c r="B348" s="93" t="n">
        <v>44166</v>
      </c>
      <c r="C348" t="inlineStr">
        <is>
          <t>Business quite good, all things considered, although below the original 2020 planned forecast. (Real Estate, Rental &amp; Leasing)</t>
        </is>
      </c>
    </row>
    <row r="349">
      <c r="A349" t="inlineStr">
        <is>
          <t>Real Estate, Rental &amp; Leasing</t>
        </is>
      </c>
      <c r="B349" s="93" t="n">
        <v>44013</v>
      </c>
      <c r="C349" t="inlineStr">
        <is>
          <t>"COVID-19 interruptions are changing the way business is done." (Real Estate, Rental &amp; Leasing)</t>
        </is>
      </c>
    </row>
    <row r="350">
      <c r="A350" t="inlineStr">
        <is>
          <t>Real Estate, Rental &amp; Leasing</t>
        </is>
      </c>
      <c r="B350" s="93" t="n">
        <v>43983</v>
      </c>
      <c r="C350" t="inlineStr">
        <is>
          <t>“COVID-19 and the riots have disrupted the normal flow of business. There is no new normal yet.” (Real Estate, Rental &amp; Leasing)</t>
        </is>
      </c>
    </row>
    <row r="351">
      <c r="A351" t="inlineStr">
        <is>
          <t>Real Estate, Rental &amp; Leasing</t>
        </is>
      </c>
      <c r="B351" s="93" t="n">
        <v>43862</v>
      </c>
      <c r="C351" t="inlineStr">
        <is>
          <t>“Construction activity appears to be getting off to a good start for 2020.” (Real Estate, Rental &amp; Leasing)</t>
        </is>
      </c>
    </row>
    <row r="352">
      <c r="A352" t="inlineStr">
        <is>
          <t>Real Estate, Rental &amp; Leasing</t>
        </is>
      </c>
      <c r="B352" s="93" t="n">
        <v>43831</v>
      </c>
      <c r="C352" t="inlineStr">
        <is>
          <t>“Customer inquiries are strong to start the new year.” (Real Estate, Rental &amp; Leasing)</t>
        </is>
      </c>
    </row>
    <row r="353">
      <c r="A353" t="inlineStr">
        <is>
          <t>Real Estate, Rental &amp; Leasing</t>
        </is>
      </c>
      <c r="B353" s="93" t="n">
        <v>43739</v>
      </c>
      <c r="C353" t="inlineStr">
        <is>
          <t>“Business remains brisk and well ahead of last year to date, as we near the peak of our busiest season. Looking ahead, our customers remain upbeat about their business well into next year.” (Real Estate, Rental &amp; Leasing)</t>
        </is>
      </c>
    </row>
    <row r="354">
      <c r="A354" t="inlineStr">
        <is>
          <t>Real Estate, Rental &amp; Leasing</t>
        </is>
      </c>
      <c r="B354" s="93" t="n">
        <v>43678</v>
      </c>
      <c r="C354" t="inlineStr">
        <is>
          <t>“Construction markets remain busy. Projects that were delayed are trying to get back on track.” (Real Estate, Rental &amp; Leasing)</t>
        </is>
      </c>
    </row>
    <row r="355">
      <c r="A355" t="inlineStr">
        <is>
          <t>Real Estate, Rental &amp; Leasing</t>
        </is>
      </c>
      <c r="B355" s="93" t="n">
        <v>43525</v>
      </c>
      <c r="C355" t="inlineStr">
        <is>
          <t>“April is when our real busy season begins and it has arrived early this year, demand is quite strong.” (Real Estate, Rental &amp; Leasing)</t>
        </is>
      </c>
    </row>
    <row r="356">
      <c r="A356" t="inlineStr">
        <is>
          <t>Real Estate, Rental &amp; Leasing</t>
        </is>
      </c>
      <c r="B356" s="93" t="n">
        <v>43466</v>
      </c>
      <c r="C356" t="inlineStr">
        <is>
          <t>·         “Order input stable, and supplier deliveries growing. The industry is struggling with capacity constraints.” (Real Estate, Rental &amp; Leasing)</t>
        </is>
      </c>
    </row>
    <row r="357">
      <c r="A357" t="inlineStr">
        <is>
          <t>Retail Trade</t>
        </is>
      </c>
      <c r="B357" s="93" t="n">
        <v>44866</v>
      </c>
      <c r="C357" t="inlineStr">
        <is>
          <t>“Overall business is stable. Employment is low and inflation is lower than last month. Supply chain issues are stabilizing.”</t>
        </is>
      </c>
    </row>
    <row r="358">
      <c r="A358" t="inlineStr">
        <is>
          <t>Retail Trade</t>
        </is>
      </c>
      <c r="B358" s="93" t="n">
        <v>44835</v>
      </c>
      <c r="C358" t="inlineStr">
        <is>
          <t>“We are in the final preparations for a successful holiday, despite lower sales. Labor is more available this year, and supply chain delays seem caught up for now.”</t>
        </is>
      </c>
    </row>
    <row r="359">
      <c r="A359" t="inlineStr">
        <is>
          <t>Retail Trade</t>
        </is>
      </c>
      <c r="B359" s="93" t="n">
        <v>44805</v>
      </c>
      <c r="C359" t="inlineStr">
        <is>
          <t>“Chip shortage shows no signs of abating.”</t>
        </is>
      </c>
    </row>
    <row r="360">
      <c r="A360" t="inlineStr">
        <is>
          <t>Retail Trade</t>
        </is>
      </c>
      <c r="B360" s="93" t="n">
        <v>44774</v>
      </c>
      <c r="C360" t="inlineStr">
        <is>
          <t>“No major changes. Concerns about the macroeconomic climate and consumer confidence.”</t>
        </is>
      </c>
    </row>
    <row r="361">
      <c r="A361" t="inlineStr">
        <is>
          <t>Retail Trade</t>
        </is>
      </c>
      <c r="B361" s="93" t="n">
        <v>44743</v>
      </c>
      <c r="C361" t="inlineStr">
        <is>
          <t>“(We are) in inventory reduction mode, attempting to match inventory levels to current lower sales trends.”</t>
        </is>
      </c>
    </row>
    <row r="362">
      <c r="A362" t="inlineStr">
        <is>
          <t>Retail Trade</t>
        </is>
      </c>
      <c r="B362" s="93" t="n">
        <v>44713</v>
      </c>
      <c r="C36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63">
      <c r="A363" t="inlineStr">
        <is>
          <t>Retail Trade</t>
        </is>
      </c>
      <c r="B363" s="93" t="n">
        <v>44682</v>
      </c>
      <c r="C363" t="inlineStr">
        <is>
          <t>“Chip shortage showing no signs of easing.”</t>
        </is>
      </c>
    </row>
    <row r="364">
      <c r="A364" t="inlineStr">
        <is>
          <t>Retail Trade</t>
        </is>
      </c>
      <c r="B364" s="93" t="n">
        <v>44652</v>
      </c>
      <c r="C364" t="inlineStr">
        <is>
          <t>“Continued delays due to supply chain logistics issues; increased pricing across the board.”</t>
        </is>
      </c>
    </row>
    <row r="365">
      <c r="A365" t="inlineStr">
        <is>
          <t>Retail Trade</t>
        </is>
      </c>
      <c r="B365" s="93" t="n">
        <v>44621</v>
      </c>
      <c r="C365" t="inlineStr">
        <is>
          <t>“Global supply chain issues continue to disrupt chip supply, which is suppressing production of new vehicles.”</t>
        </is>
      </c>
    </row>
    <row r="366">
      <c r="A366" t="inlineStr">
        <is>
          <t>Retail Trade</t>
        </is>
      </c>
      <c r="B366" s="93" t="n">
        <v>44562</v>
      </c>
      <c r="C366" t="inlineStr">
        <is>
          <t>“Business outlook remains cautiously optimistic, although uncertainty remains concerning the impact of omicron, inflation and the lack of major improvements to supply chain issues.”</t>
        </is>
      </c>
    </row>
    <row r="367">
      <c r="A367" t="inlineStr">
        <is>
          <t>Retail Trade</t>
        </is>
      </c>
      <c r="B367" s="93" t="n">
        <v>44531</v>
      </c>
      <c r="C367" t="inlineStr">
        <is>
          <t>“Long lead times, transportation bottlenecks, delivery inconsistency and price increases continue to affect a range of products.”</t>
        </is>
      </c>
    </row>
    <row r="368">
      <c r="A368" t="inlineStr">
        <is>
          <t>Retail Trade</t>
        </is>
      </c>
      <c r="B368" s="93" t="n">
        <v>44501</v>
      </c>
      <c r="C368" t="inlineStr">
        <is>
          <t>“Continuing struggle with transportation capacity.” [Retail Trade]</t>
        </is>
      </c>
    </row>
    <row r="369">
      <c r="A369" t="inlineStr">
        <is>
          <t>Retail Trade</t>
        </is>
      </c>
      <c r="B369" s="93" t="n">
        <v>44440</v>
      </c>
      <c r="C369" t="inlineStr">
        <is>
          <t>“Still experiencing very strong demand. Supply chain is still a challenge.” [Retail Trade]</t>
        </is>
      </c>
    </row>
    <row r="370">
      <c r="A370" t="inlineStr">
        <is>
          <t>Retail Trade</t>
        </is>
      </c>
      <c r="B370" s="93" t="n">
        <v>44409</v>
      </c>
      <c r="C37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71">
      <c r="A371" t="inlineStr">
        <is>
          <t>Retail Trade</t>
        </is>
      </c>
      <c r="B371" s="93" t="n">
        <v>44378</v>
      </c>
      <c r="C37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72">
      <c r="A372" t="inlineStr">
        <is>
          <t>Retail Trade</t>
        </is>
      </c>
      <c r="B372" s="93" t="n">
        <v>44348</v>
      </c>
      <c r="C37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73">
      <c r="A373" t="inlineStr">
        <is>
          <t>Retail Trade</t>
        </is>
      </c>
      <c r="B373" s="93" t="n">
        <v>44317</v>
      </c>
      <c r="C373" t="inlineStr">
        <is>
          <t>Very concerned about the rapid and continuing price escalations for any products with copper, steel, and polyvinyl chloride (PVC). Production issues and lead-time extensions are not improving. [Retail Trade]</t>
        </is>
      </c>
    </row>
    <row r="374">
      <c r="A374" t="inlineStr">
        <is>
          <t>Retail Trade</t>
        </is>
      </c>
      <c r="B374" s="93" t="n">
        <v>44256</v>
      </c>
      <c r="C374" t="inlineStr">
        <is>
          <t>“Outlook remains cautiously optimistic for the second half of the year as businesses continue to open up and projects come online.” (Retail Trade)</t>
        </is>
      </c>
    </row>
    <row r="375">
      <c r="A375" t="inlineStr">
        <is>
          <t>Retail Trade</t>
        </is>
      </c>
      <c r="B375" s="93" t="n">
        <v>44228</v>
      </c>
      <c r="C375" t="inlineStr">
        <is>
          <t>“Supplier deliveries continue to be an issue as well as lead-times. Additionally, price increases are occurring with more frequency for products containing raw materials such as copper and steel.” (Retail Trade)</t>
        </is>
      </c>
    </row>
    <row r="376">
      <c r="A376" t="inlineStr">
        <is>
          <t>Retail Trade</t>
        </is>
      </c>
      <c r="B376" s="93" t="n">
        <v>44197</v>
      </c>
      <c r="C376" t="inlineStr">
        <is>
          <t>“Business outlook for 2021 looks better. Companies are optimistic that conditions will start improving by the end of the second quarter.” (Retail Trade)</t>
        </is>
      </c>
    </row>
    <row r="377">
      <c r="A377" t="inlineStr">
        <is>
          <t>Retail Trade</t>
        </is>
      </c>
      <c r="B377" s="93" t="n">
        <v>44136</v>
      </c>
      <c r="C37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78">
      <c r="A378" t="inlineStr">
        <is>
          <t>Retail Trade</t>
        </is>
      </c>
      <c r="B378" s="93" t="n">
        <v>44105</v>
      </c>
      <c r="C378" t="inlineStr">
        <is>
          <t>“We continue to be cautiously optimistic that the rebound in business that began in July continues to sustain.” (Retail Trade)</t>
        </is>
      </c>
    </row>
    <row r="379">
      <c r="A379" t="inlineStr">
        <is>
          <t>Retail Trade</t>
        </is>
      </c>
      <c r="B379" s="93" t="n">
        <v>44075</v>
      </c>
      <c r="C37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80">
      <c r="A380" t="inlineStr">
        <is>
          <t>Retail Trade</t>
        </is>
      </c>
      <c r="B380" s="93" t="n">
        <v>44044</v>
      </c>
      <c r="C38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81">
      <c r="A381" t="inlineStr">
        <is>
          <t>Retail Trade</t>
        </is>
      </c>
      <c r="B381" s="93" t="n">
        <v>44013</v>
      </c>
      <c r="C38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82">
      <c r="A382" t="inlineStr">
        <is>
          <t>Retail Trade</t>
        </is>
      </c>
      <c r="B382" s="93" t="n">
        <v>43952</v>
      </c>
      <c r="C38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83">
      <c r="A383" t="inlineStr">
        <is>
          <t>Retail Trade</t>
        </is>
      </c>
      <c r="B383" s="93" t="n">
        <v>43922</v>
      </c>
      <c r="C383" t="inlineStr">
        <is>
          <t>“New challenges working from home and getting inventory to the retail locations.” (Retail Trade)</t>
        </is>
      </c>
    </row>
    <row r="384">
      <c r="A384" t="inlineStr">
        <is>
          <t>Retail Trade</t>
        </is>
      </c>
      <c r="B384" s="93" t="n">
        <v>43891</v>
      </c>
      <c r="C384" t="inlineStr">
        <is>
          <t>“As expected for many industries (whether manufacturing or non-manufacturing), purchasing has slowed as we evaluate the economic climate and prepare for long-term effects.” (Retail Trade)</t>
        </is>
      </c>
    </row>
    <row r="385">
      <c r="A385" t="inlineStr">
        <is>
          <t>Retail Trade</t>
        </is>
      </c>
      <c r="B385" s="93" t="n">
        <v>43862</v>
      </c>
      <c r="C385" t="inlineStr">
        <is>
          <t>“A post-holiday slow period for retail. Business is strong overall; however, volume and inventories are lower due to the season. Pricing is still in check, with specialty labor the primary price risk.” (Retail Trade)</t>
        </is>
      </c>
    </row>
    <row r="386">
      <c r="A386" t="inlineStr">
        <is>
          <t>Retail Trade</t>
        </is>
      </c>
      <c r="B386" s="93" t="n">
        <v>43800</v>
      </c>
      <c r="C386" t="inlineStr">
        <is>
          <t>"The shorter-than-normal holiday season tightens sales opportunities; however, initial trends have been favorable." (Retail Trade)</t>
        </is>
      </c>
    </row>
    <row r="387">
      <c r="A387" t="inlineStr">
        <is>
          <t>Retail Trade</t>
        </is>
      </c>
      <c r="B387" s="93" t="n">
        <v>43709</v>
      </c>
      <c r="C387" t="inlineStr">
        <is>
          <t>“Business continues to pick up as we quickly approach Q4. Week by week, we inch closer to a much-anticipated holiday retail season, which requires not only last-minute buys, but a push to fill open positions.” (Retail Trade)</t>
        </is>
      </c>
    </row>
    <row r="388">
      <c r="A388" t="inlineStr">
        <is>
          <t>Retail Trade</t>
        </is>
      </c>
      <c r="B388" s="93" t="n">
        <v>43678</v>
      </c>
      <c r="C388" t="inlineStr">
        <is>
          <t>“As Q2 wraps up for many retailers, we begin focusing on holiday readiness. In turn, head count and requests for additional products and services will gradually increase.” (Retail Trade)</t>
        </is>
      </c>
    </row>
    <row r="389">
      <c r="A389" t="inlineStr">
        <is>
          <t>Retail Trade</t>
        </is>
      </c>
      <c r="B389" s="93" t="n">
        <v>43647</v>
      </c>
      <c r="C38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90">
      <c r="A390" t="inlineStr">
        <is>
          <t>Retail Trade</t>
        </is>
      </c>
      <c r="B390" s="93" t="n">
        <v>43617</v>
      </c>
      <c r="C390" t="inlineStr">
        <is>
          <t>“The largest business condition impacting general purchasing operations is the increased cost of goods due to the tariffs placed on China.” (Retail Trade)</t>
        </is>
      </c>
    </row>
    <row r="391">
      <c r="A391" t="inlineStr">
        <is>
          <t>Retail Trade</t>
        </is>
      </c>
      <c r="B391" s="93" t="n">
        <v>43586</v>
      </c>
      <c r="C391" t="inlineStr">
        <is>
          <t>“We reported very strong Q1 results and raised our FY guidance. However, our stock has traded down due to the continued uncertainty in healthcare/Rx. There is a concern that tariffs on pharmaceuticals could be on the horizon.” (Retail Trade)</t>
        </is>
      </c>
    </row>
    <row r="392">
      <c r="A392" t="inlineStr">
        <is>
          <t>Retail Trade</t>
        </is>
      </c>
      <c r="B392" s="93" t="n">
        <v>43556</v>
      </c>
      <c r="C392" t="inlineStr">
        <is>
          <t>·         “Continuing momentum in most areas. We continue to have pressure finding talent to support open positions. Starting to see increases in building costs due to increases in labor [costs]. Inventory moving well, with deliveries on time.” (Retail Trade)</t>
        </is>
      </c>
    </row>
    <row r="393">
      <c r="A393" t="inlineStr">
        <is>
          <t>Retail Trade</t>
        </is>
      </c>
      <c r="B393" s="93" t="n">
        <v>43497</v>
      </c>
      <c r="C393" t="inlineStr">
        <is>
          <t>“Confidence is returning in the marketplace, but tariff surcharges are still in place.” (Retail Trade)</t>
        </is>
      </c>
    </row>
    <row r="394">
      <c r="A394" t="inlineStr">
        <is>
          <t>Retail Trade</t>
        </is>
      </c>
      <c r="B394" s="93" t="n">
        <v>43466</v>
      </c>
      <c r="C394" t="inlineStr">
        <is>
          <t>·         “Things are steady. We’re trying to mitigate any impact of the tariffs.” (Retail Trade)</t>
        </is>
      </c>
    </row>
    <row r="395">
      <c r="A395" t="inlineStr">
        <is>
          <t>Transportation &amp; Warehousing</t>
        </is>
      </c>
      <c r="B395" s="93" t="n">
        <v>44866</v>
      </c>
      <c r="C39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396">
      <c r="A396" t="inlineStr">
        <is>
          <t>Transportation &amp; Warehousing</t>
        </is>
      </c>
      <c r="B396" s="93" t="n">
        <v>44835</v>
      </c>
      <c r="C396" t="inlineStr">
        <is>
          <t>“It has become more challenging to maintain our level of service, due to increased demand, extended supplier lead times and the hyper-competitive employment market.”</t>
        </is>
      </c>
    </row>
    <row r="397">
      <c r="A397" t="inlineStr">
        <is>
          <t>Transportation &amp; Warehousing</t>
        </is>
      </c>
      <c r="B397" s="93" t="n">
        <v>44501</v>
      </c>
      <c r="C39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98">
      <c r="A398" t="inlineStr">
        <is>
          <t>Transportation &amp; Warehousing</t>
        </is>
      </c>
      <c r="B398" s="93" t="n">
        <v>44348</v>
      </c>
      <c r="C398" t="inlineStr">
        <is>
          <t>“Demand far outweighs supply for goods and services.” [Transportation &amp; Warehousing]</t>
        </is>
      </c>
    </row>
    <row r="399">
      <c r="A399" t="inlineStr">
        <is>
          <t>Transportation &amp; Warehousing</t>
        </is>
      </c>
      <c r="B399" s="93" t="n">
        <v>44166</v>
      </c>
      <c r="C399" t="inlineStr">
        <is>
          <t>Business conditions are improving with increased volume, but [growth has] slowed slightly due to COVID-19 shutdowns in some states. (Transportation &amp; Warehousing)</t>
        </is>
      </c>
    </row>
    <row r="400">
      <c r="A400" t="inlineStr">
        <is>
          <t>Transportation &amp; Warehousing</t>
        </is>
      </c>
      <c r="B400" s="93" t="n">
        <v>43862</v>
      </c>
      <c r="C400" t="inlineStr">
        <is>
          <t>“A shortage of workers at several levels is impacting the quality of employees we are looking to hire for capital projects we need to start.” (Transportation &amp; Warehousing</t>
        </is>
      </c>
    </row>
    <row r="401">
      <c r="A401" t="inlineStr">
        <is>
          <t>Transportation &amp; Warehousing</t>
        </is>
      </c>
      <c r="B401" s="93" t="n">
        <v>43770</v>
      </c>
      <c r="C401" t="inlineStr">
        <is>
          <t>“Fourth-quarter seasonal retail volume increase is affecting labor hours, temporary labor demand and availability of short-term rental trailers to compensate for overflow.” (Transportation &amp; Warehousing)</t>
        </is>
      </c>
    </row>
    <row r="402">
      <c r="A402" t="inlineStr">
        <is>
          <t>Transportation &amp; Warehousing</t>
        </is>
      </c>
      <c r="B402" s="93" t="n">
        <v>43739</v>
      </c>
      <c r="C402" t="inlineStr">
        <is>
          <t>“Preparing for an increase in holiday revenues.” (Transportation &amp; Warehousing)</t>
        </is>
      </c>
    </row>
    <row r="403">
      <c r="A403" t="inlineStr">
        <is>
          <t>Transportation &amp; Warehousing</t>
        </is>
      </c>
      <c r="B403" s="93" t="n">
        <v>43678</v>
      </c>
      <c r="C403" t="inlineStr">
        <is>
          <t>“Our summer load factor was high, and as we transition to the holiday season, we are forecasting a high load as well.” (Transportation &amp; Warehousing)</t>
        </is>
      </c>
    </row>
    <row r="404">
      <c r="A404" t="inlineStr">
        <is>
          <t>Transportation &amp; Warehousing</t>
        </is>
      </c>
      <c r="B404" s="93" t="n">
        <v>43617</v>
      </c>
      <c r="C404" t="inlineStr">
        <is>
          <t>“Business continues to run well, [with] indications of slowing customer demand and improvement in supplier delivery performance.” (Transportation &amp; Warehousing)</t>
        </is>
      </c>
    </row>
    <row r="405">
      <c r="A405" t="inlineStr">
        <is>
          <t>Transportation &amp; Warehousing</t>
        </is>
      </c>
      <c r="B405" s="93" t="n">
        <v>43525</v>
      </c>
      <c r="C405" t="inlineStr">
        <is>
          <t>“Labor, weather and regulatory issues have impacted operations.” (Transportation &amp; Warehousing)</t>
        </is>
      </c>
    </row>
    <row r="406">
      <c r="A406" t="inlineStr">
        <is>
          <t>Transportation &amp; Warehousing</t>
        </is>
      </c>
      <c r="B406" s="93" t="n">
        <v>43466</v>
      </c>
      <c r="C406" t="inlineStr">
        <is>
          <t>·         “Central processing unit (CPU) shortages continue to impact fulfillment of orders.” (Transportation &amp; Warehousing)</t>
        </is>
      </c>
    </row>
    <row r="407">
      <c r="A407" t="inlineStr">
        <is>
          <t>Utilities</t>
        </is>
      </c>
      <c r="B407" s="93" t="n">
        <v>44866</v>
      </c>
      <c r="C407" t="inlineStr">
        <is>
          <t>“Local, regional and national supply constraints continue to create supply chain complexities and challenges.”</t>
        </is>
      </c>
    </row>
    <row r="408">
      <c r="A408" t="inlineStr">
        <is>
          <t>Utilities</t>
        </is>
      </c>
      <c r="B408" s="93" t="n">
        <v>44743</v>
      </c>
      <c r="C408" t="inlineStr">
        <is>
          <t>“Holding steady, but some headwinds are definitely ahead on the economic front. However, supply chain issues appear to be easing, though still not great.”</t>
        </is>
      </c>
    </row>
    <row r="409">
      <c r="A409" t="inlineStr">
        <is>
          <t>Utilities</t>
        </is>
      </c>
      <c r="B409" s="93" t="n">
        <v>44713</v>
      </c>
      <c r="C409" t="inlineStr">
        <is>
          <t>“Despite higher inflation and energy costs, demand and business activity continue to be at record highs, with little sign of a slowdown.”</t>
        </is>
      </c>
    </row>
    <row r="410">
      <c r="A410" t="inlineStr">
        <is>
          <t>Utilities</t>
        </is>
      </c>
      <c r="B410" s="93" t="n">
        <v>44682</v>
      </c>
      <c r="C41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11">
      <c r="A411" t="inlineStr">
        <is>
          <t>Utilities</t>
        </is>
      </c>
      <c r="B411" s="93" t="n">
        <v>44652</v>
      </c>
      <c r="C411" t="inlineStr">
        <is>
          <t>“Fuel and chemicals continue to go up in price.”</t>
        </is>
      </c>
    </row>
    <row r="412">
      <c r="A412" t="inlineStr">
        <is>
          <t>Utilities</t>
        </is>
      </c>
      <c r="B412" s="93" t="n">
        <v>44621</v>
      </c>
      <c r="C412" t="inlineStr">
        <is>
          <t>“We are still seeing raw material subcomponent shortages, transportation delays and price increases.”</t>
        </is>
      </c>
    </row>
    <row r="413">
      <c r="A413" t="inlineStr">
        <is>
          <t>Utilities</t>
        </is>
      </c>
      <c r="B413" s="93" t="n">
        <v>44593</v>
      </c>
      <c r="C413" t="inlineStr">
        <is>
          <t>“Appear to be on the upswing from COVID-19 from an absenteeism standpoint. Still dealing with long lead times for wire, polyvinyl chloride (PVC), steel, transformers and meters. Winter weather has not had an impact on productivity levels.”</t>
        </is>
      </c>
    </row>
    <row r="414">
      <c r="A414" t="inlineStr">
        <is>
          <t>Utilities</t>
        </is>
      </c>
      <c r="B414" s="93" t="n">
        <v>44562</v>
      </c>
      <c r="C414" t="inlineStr">
        <is>
          <t>“Business activity is very high, and we have maintained a consistent amount of back orders. Labor constraints are presenting problems throughout all areas of the business.”</t>
        </is>
      </c>
    </row>
    <row r="415">
      <c r="A415" t="inlineStr">
        <is>
          <t>Utilities</t>
        </is>
      </c>
      <c r="B415" s="93" t="n">
        <v>44531</v>
      </c>
      <c r="C41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16">
      <c r="A416" t="inlineStr">
        <is>
          <t>Utilities</t>
        </is>
      </c>
      <c r="B416" s="93" t="n">
        <v>44287</v>
      </c>
      <c r="C41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17">
      <c r="A417" t="inlineStr">
        <is>
          <t>Utilities</t>
        </is>
      </c>
      <c r="B417" s="93" t="n">
        <v>44228</v>
      </c>
      <c r="C417" t="inlineStr">
        <is>
          <t>“Construction and customer activity remains robust. Many materials have inconsistent lead times or are facing delivery delays.” (Utilities)</t>
        </is>
      </c>
    </row>
    <row r="418">
      <c r="A418" t="inlineStr">
        <is>
          <t>Utilities</t>
        </is>
      </c>
      <c r="B418" s="93" t="n">
        <v>44197</v>
      </c>
      <c r="C418" t="inlineStr">
        <is>
          <t>“Business outlook for 2021 is positive with projects and capital investments moving forward. Target financial objectives have been obtained.” (Utilities)</t>
        </is>
      </c>
    </row>
    <row r="419">
      <c r="A419" t="inlineStr">
        <is>
          <t>Utilities</t>
        </is>
      </c>
      <c r="B419" s="93" t="n">
        <v>44166</v>
      </c>
      <c r="C419" t="inlineStr">
        <is>
          <t>The general business conditions are steady/stable. Expecting a very slight slowdown to end the year, with a rebound in mid-January. (Utilities)</t>
        </is>
      </c>
    </row>
    <row r="420">
      <c r="A420" t="inlineStr">
        <is>
          <t>Utilities</t>
        </is>
      </c>
      <c r="B420" s="93" t="n">
        <v>44013</v>
      </c>
      <c r="C420" t="inlineStr">
        <is>
          <t>"Orders and business activity are back to pre-pandemic levels. Previously stalled projects are starting back up." (Utilities)</t>
        </is>
      </c>
    </row>
    <row r="421">
      <c r="A421" t="inlineStr">
        <is>
          <t>Utilities</t>
        </is>
      </c>
      <c r="B421" s="93" t="n">
        <v>43800</v>
      </c>
      <c r="C421" t="inlineStr">
        <is>
          <t>"We are seeing extended lead times for already purchased materials across the board. Suppliers, as well, are warning that they are seeing longer lead times for engineered and manufactured goods." (Utilities)</t>
        </is>
      </c>
    </row>
    <row r="422">
      <c r="A422" t="inlineStr">
        <is>
          <t>Utilities</t>
        </is>
      </c>
      <c r="B422" s="93" t="n">
        <v>43586</v>
      </c>
      <c r="C422" t="inlineStr">
        <is>
          <t>“Waiting to see [the] impact of Chinese import tariff affect.” (Utilities)</t>
        </is>
      </c>
    </row>
    <row r="423">
      <c r="A423" t="inlineStr">
        <is>
          <t>Utilities</t>
        </is>
      </c>
      <c r="B423" s="93" t="n">
        <v>43497</v>
      </c>
      <c r="C423" t="inlineStr">
        <is>
          <t>“Tariffs continue to have an impact on our business. The contractor labor shortage continues to be the biggest supply challenge for our company and others in our region and industry.” (Utilities)</t>
        </is>
      </c>
    </row>
    <row r="424">
      <c r="A424" t="inlineStr">
        <is>
          <t>Wholesale Trade</t>
        </is>
      </c>
      <c r="B424" s="93" t="n">
        <v>44866</v>
      </c>
      <c r="C424" t="inlineStr">
        <is>
          <t>“Business volume appears to be leveling out based on a month-over-month comparison, although we are up significantly when compared to the same month last year.”</t>
        </is>
      </c>
    </row>
    <row r="425">
      <c r="A425" t="inlineStr">
        <is>
          <t>Wholesale Trade</t>
        </is>
      </c>
      <c r="B425" s="93" t="n">
        <v>44805</v>
      </c>
      <c r="C425"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26">
      <c r="A426" t="inlineStr">
        <is>
          <t>Wholesale Trade</t>
        </is>
      </c>
      <c r="B426" s="93" t="n">
        <v>44774</v>
      </c>
      <c r="C426" t="inlineStr">
        <is>
          <t>“Business is pretty steady month to month, but we expect seasonal supply increase by September that will moderate prices.”</t>
        </is>
      </c>
    </row>
    <row r="427">
      <c r="A427" t="inlineStr">
        <is>
          <t>Wholesale Trade</t>
        </is>
      </c>
      <c r="B427" s="93" t="n">
        <v>44743</v>
      </c>
      <c r="C427" t="inlineStr">
        <is>
          <t>“Food service remains strong. Retail is softening as the mass is overly concerned about inventory and consumer spending.”</t>
        </is>
      </c>
    </row>
    <row r="428">
      <c r="A428" t="inlineStr">
        <is>
          <t>Wholesale Trade</t>
        </is>
      </c>
      <c r="B428" s="93" t="n">
        <v>44682</v>
      </c>
      <c r="C428" t="inlineStr">
        <is>
          <t>“National consumer and builder demand continues to drive sales domestically. COVID-19 in China continues to affect our supply chain more than the Russia-Ukraine war.”</t>
        </is>
      </c>
    </row>
    <row r="429">
      <c r="A429" t="inlineStr">
        <is>
          <t>Wholesale Trade</t>
        </is>
      </c>
      <c r="B429" s="93" t="n">
        <v>44652</v>
      </c>
      <c r="C429" t="inlineStr">
        <is>
          <t>“Cost pressures beginning to slow demand.”</t>
        </is>
      </c>
    </row>
    <row r="430">
      <c r="A430" t="inlineStr">
        <is>
          <t>Wholesale Trade</t>
        </is>
      </c>
      <c r="B430" s="93" t="n">
        <v>44621</v>
      </c>
      <c r="C430" t="inlineStr">
        <is>
          <t>“Constrained supply of many key product groups continues. Inflation worsening. Overall sales and profitability continue to be strong.”</t>
        </is>
      </c>
    </row>
    <row r="431">
      <c r="A431" t="inlineStr">
        <is>
          <t>Wholesale Trade</t>
        </is>
      </c>
      <c r="B431" s="93" t="n">
        <v>44562</v>
      </c>
      <c r="C431" t="inlineStr">
        <is>
          <t>“Constrained supplies of many key product groups continue. Inflation worsening; however, sales and profitability continue to be strong.”</t>
        </is>
      </c>
    </row>
    <row r="432">
      <c r="A432" t="inlineStr">
        <is>
          <t>Wholesale Trade</t>
        </is>
      </c>
      <c r="B432" s="93" t="n">
        <v>44531</v>
      </c>
      <c r="C432" t="inlineStr">
        <is>
          <t>“Demand is good, but supply chain issues continue to get worse. Trucking availability is worsening. Labor shortages are causing issues. We could do much more business if we had more people and access to more products.”</t>
        </is>
      </c>
    </row>
    <row r="433">
      <c r="A433" t="inlineStr">
        <is>
          <t>Wholesale Trade</t>
        </is>
      </c>
      <c r="B433" s="93" t="n">
        <v>44501</v>
      </c>
      <c r="C433" t="inlineStr">
        <is>
          <t>“Inflation and supply chain issues have caused cost increases and stockouts, but sales continue to be strong, with a positive outlook for the next quarter and beyond.” [Wholesale Trade]</t>
        </is>
      </c>
    </row>
    <row r="434">
      <c r="A434" t="inlineStr">
        <is>
          <t>Wholesale Trade</t>
        </is>
      </c>
      <c r="B434" s="93" t="n">
        <v>44470</v>
      </c>
      <c r="C434"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35">
      <c r="A435" t="inlineStr">
        <is>
          <t>Wholesale Trade</t>
        </is>
      </c>
      <c r="B435" s="93" t="n">
        <v>44440</v>
      </c>
      <c r="C435"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36">
      <c r="A436" t="inlineStr">
        <is>
          <t>Wholesale Trade</t>
        </is>
      </c>
      <c r="B436" s="93" t="n">
        <v>44409</v>
      </c>
      <c r="C436" t="inlineStr">
        <is>
          <t>Steel shortages continue. Labor constraints at suppliers continue to push delivery dates out. Logistics issues (are also ongoing), as container space, truck drivers and the like remain difficult to obtain. [Wholesale Trade]</t>
        </is>
      </c>
    </row>
    <row r="437">
      <c r="A437" t="inlineStr">
        <is>
          <t>Wholesale Trade</t>
        </is>
      </c>
      <c r="B437" s="93" t="n">
        <v>44378</v>
      </c>
      <c r="C437"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38">
      <c r="A438" t="inlineStr">
        <is>
          <t>Wholesale Trade</t>
        </is>
      </c>
      <c r="B438" s="93" t="n">
        <v>44348</v>
      </c>
      <c r="C438"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39">
      <c r="A439" t="inlineStr">
        <is>
          <t>Wholesale Trade</t>
        </is>
      </c>
      <c r="B439" s="93" t="n">
        <v>44317</v>
      </c>
      <c r="C439"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40">
      <c r="A440" t="inlineStr">
        <is>
          <t>Wholesale Trade</t>
        </is>
      </c>
      <c r="B440" s="93" t="n">
        <v>44287</v>
      </c>
      <c r="C440" t="inlineStr">
        <is>
          <t>Business is very robust, but logistics and supply cannot keep up. (Wholesale Trade)</t>
        </is>
      </c>
    </row>
    <row r="441">
      <c r="A441" t="inlineStr">
        <is>
          <t>Wholesale Trade</t>
        </is>
      </c>
      <c r="B441" s="93" t="n">
        <v>44256</v>
      </c>
      <c r="C441"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42">
      <c r="A442" t="inlineStr">
        <is>
          <t>Wholesale Trade</t>
        </is>
      </c>
      <c r="B442" s="93" t="n">
        <v>44228</v>
      </c>
      <c r="C442" t="inlineStr">
        <is>
          <t>“We are seeing an ongoing influx of price increases due to raw-material shortages, labor shortages, and transportation delays.” (Wholesale Trade)</t>
        </is>
      </c>
    </row>
    <row r="443">
      <c r="A443" t="inlineStr">
        <is>
          <t>Wholesale Trade</t>
        </is>
      </c>
      <c r="B443" s="93" t="n">
        <v>44197</v>
      </c>
      <c r="C443"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44">
      <c r="A444" t="inlineStr">
        <is>
          <t>Wholesale Trade</t>
        </is>
      </c>
      <c r="B444" s="93" t="n">
        <v>44166</v>
      </c>
      <c r="C444" t="inlineStr">
        <is>
          <t>"We have seen a growing number of product shortages and increased lead times during the last quarter. (Wholesale Trade)</t>
        </is>
      </c>
    </row>
    <row r="445">
      <c r="A445" t="inlineStr">
        <is>
          <t>Wholesale Trade</t>
        </is>
      </c>
      <c r="B445" s="93" t="n">
        <v>44105</v>
      </c>
      <c r="C445" t="inlineStr">
        <is>
          <t>“Business continues to gain as people are travelling and businesses are opening up to consumers.” (Wholesale Trade)</t>
        </is>
      </c>
    </row>
    <row r="446">
      <c r="A446" t="inlineStr">
        <is>
          <t>Wholesale Trade</t>
        </is>
      </c>
      <c r="B446" s="93" t="n">
        <v>44044</v>
      </c>
      <c r="C446" t="inlineStr">
        <is>
          <t>“Very good sales trend in home-improvement product sales, but challenges on market conditions exist like limited ocean capacity from Asia to U.S., delays in port and rails as a result of COVID-19 pandemic impact.” (Wholesale Trade)</t>
        </is>
      </c>
    </row>
    <row r="447">
      <c r="A447" t="inlineStr">
        <is>
          <t>Wholesale Trade</t>
        </is>
      </c>
      <c r="B447" s="93" t="n">
        <v>43952</v>
      </c>
      <c r="C447" t="inlineStr">
        <is>
          <t>“Business is slightly picking up but is still drastically down due to COVID-19 and hospitality businesses being closed or limited in service.” (Wholesale Trade)</t>
        </is>
      </c>
    </row>
    <row r="448">
      <c r="A448" t="inlineStr">
        <is>
          <t>Wholesale Trade</t>
        </is>
      </c>
      <c r="B448" s="93" t="n">
        <v>43922</v>
      </c>
      <c r="C448"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49">
      <c r="A449" t="inlineStr">
        <is>
          <t>Wholesale Trade</t>
        </is>
      </c>
      <c r="B449" s="93" t="n">
        <v>43831</v>
      </c>
      <c r="C449"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50">
      <c r="A450" t="inlineStr">
        <is>
          <t>Wholesale Trade</t>
        </is>
      </c>
      <c r="B450" s="93" t="n">
        <v>43800</v>
      </c>
      <c r="C450" t="inlineStr">
        <is>
          <t>"Overall business is down from this time last year, but sales have increased over the last month, causing more buys with our suppliers." (Wholesale Trade)</t>
        </is>
      </c>
    </row>
    <row r="451">
      <c r="A451" t="inlineStr">
        <is>
          <t>Wholesale Trade</t>
        </is>
      </c>
      <c r="B451" s="93" t="n">
        <v>43739</v>
      </c>
      <c r="C451" t="inlineStr">
        <is>
          <t>"Business is still lower than this time last year due to tariff issues and a soft market.” (Wholesale Trade)</t>
        </is>
      </c>
    </row>
    <row r="452">
      <c r="A452" t="inlineStr">
        <is>
          <t>Wholesale Trade</t>
        </is>
      </c>
      <c r="B452" s="93" t="n">
        <v>43647</v>
      </c>
      <c r="C452" t="inlineStr">
        <is>
          <t>“Business is somewhat slow for the first half of 2019, but it is expected to pick up for the second half.” (Wholesale Trade)</t>
        </is>
      </c>
    </row>
    <row r="453">
      <c r="A453" t="inlineStr">
        <is>
          <t>Wholesale Trade</t>
        </is>
      </c>
      <c r="B453" s="93" t="n">
        <v>43617</v>
      </c>
      <c r="C453" t="inlineStr">
        <is>
          <t>“The continued restructuring of ocean-carrier routing is still causing havoc in the supply chain. We are experiencing minimal impact due to an increase in inventory levels.” (Wholesale Trade)</t>
        </is>
      </c>
    </row>
    <row r="454">
      <c r="A454" t="inlineStr">
        <is>
          <t>Wholesale Trade</t>
        </is>
      </c>
      <c r="B454" s="93" t="n">
        <v>43556</v>
      </c>
      <c r="C454" t="inlineStr">
        <is>
          <t>·         “We had a general slowing of business activity beginning in February. We initially believed that February’s slowness was primarily weather related, but the slowness continued into March and now April.” (Wholesale Trade)</t>
        </is>
      </c>
    </row>
    <row r="455">
      <c r="A455" t="inlineStr">
        <is>
          <t>Wholesale Trade</t>
        </is>
      </c>
      <c r="B455" s="93" t="n">
        <v>43497</v>
      </c>
      <c r="C455" t="inlineStr">
        <is>
          <t>“Seeing increases in business activity. Projecting strong sales for the month, stable prices and generally good fill rates from suppliers. Some spot outages, mostly due to capacity and planning limitations or shortfalls.” (Wholesale Trade)</t>
        </is>
      </c>
    </row>
    <row r="456">
      <c r="A456" t="inlineStr">
        <is>
          <t>Wholesale Trade</t>
        </is>
      </c>
      <c r="B456" s="93" t="n">
        <v>43466</v>
      </c>
      <c r="C456"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2022-12-03T13:58:57Z</dcterms:modified>
  <cp:lastModifiedBy>Mark Mukherjee</cp:lastModifiedBy>
</cp:coreProperties>
</file>