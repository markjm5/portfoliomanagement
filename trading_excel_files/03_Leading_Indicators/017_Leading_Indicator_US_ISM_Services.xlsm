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0BF3F264-67DA-0944-9C1B-01E966EB594E}" xr6:coauthVersionLast="47" xr6:coauthVersionMax="47" xr10:uidLastSave="{00000000-0000-0000-0000-000000000000}"/>
  <bookViews>
    <workbookView xWindow="-61380" yWindow="680" windowWidth="46980" windowHeight="27300" activeTab="7" xr2:uid="{00000000-000D-0000-FFFF-FFFF00000000}"/>
  </bookViews>
  <sheets>
    <sheet name="Note" sheetId="1" r:id="rId1"/>
    <sheet name="DB Services ISM" sheetId="2" r:id="rId2"/>
    <sheet name="DB Business" sheetId="3" r:id="rId3"/>
    <sheet name="DB New Orders" sheetId="4" r:id="rId4"/>
    <sheet name="SectorsBusinessActivity" sheetId="5" r:id="rId5"/>
    <sheet name="SectorsNewOrders" sheetId="6" r:id="rId6"/>
    <sheet name="Sectors" sheetId="7" r:id="rId7"/>
    <sheet name="Sectors Trend" sheetId="8" r:id="rId8"/>
    <sheet name="Details" sheetId="9" r:id="rId9"/>
    <sheet name="Graphs" sheetId="10" r:id="rId10"/>
    <sheet name="ISM Services vs GDP" sheetId="11" r:id="rId11"/>
    <sheet name="ISM Services" sheetId="12" r:id="rId12"/>
    <sheet name="Industry Comments" sheetId="13" r:id="rId13"/>
  </sheets>
  <definedNames>
    <definedName name="_xlnm._FilterDatabase" localSheetId="12" hidden="1">'Industry Comments'!$B$2:$D$363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1" i="8" l="1"/>
  <c r="C52" i="8"/>
  <c r="C53" i="8"/>
  <c r="C54" i="8"/>
  <c r="C55" i="8"/>
  <c r="C56" i="8"/>
  <c r="C57" i="8"/>
  <c r="C58" i="8"/>
  <c r="C59" i="8"/>
  <c r="C60" i="8"/>
  <c r="C61" i="8"/>
  <c r="C62" i="8"/>
  <c r="C63" i="8"/>
  <c r="C64" i="8"/>
  <c r="C65" i="8"/>
  <c r="C66" i="8"/>
  <c r="C67" i="8"/>
  <c r="D51" i="8"/>
  <c r="D52" i="8"/>
  <c r="D53" i="8"/>
  <c r="D54" i="8"/>
  <c r="D55" i="8"/>
  <c r="D56" i="8"/>
  <c r="D57" i="8"/>
  <c r="D58" i="8"/>
  <c r="D59" i="8"/>
  <c r="D60" i="8"/>
  <c r="D61" i="8"/>
  <c r="D62" i="8"/>
  <c r="D63" i="8"/>
  <c r="D64" i="8"/>
  <c r="D65" i="8"/>
  <c r="D66" i="8"/>
  <c r="D67" i="8"/>
  <c r="E51" i="8"/>
  <c r="E52" i="8"/>
  <c r="E53" i="8"/>
  <c r="E54" i="8"/>
  <c r="E55" i="8"/>
  <c r="E56" i="8"/>
  <c r="E57" i="8"/>
  <c r="E58" i="8"/>
  <c r="E59" i="8"/>
  <c r="E60" i="8"/>
  <c r="E61" i="8"/>
  <c r="E62" i="8"/>
  <c r="E63" i="8"/>
  <c r="E64" i="8"/>
  <c r="E65" i="8"/>
  <c r="E66" i="8"/>
  <c r="E67" i="8"/>
  <c r="F51" i="8"/>
  <c r="F52" i="8"/>
  <c r="F53" i="8"/>
  <c r="F54" i="8"/>
  <c r="F55" i="8"/>
  <c r="F56" i="8"/>
  <c r="F57" i="8"/>
  <c r="F58" i="8"/>
  <c r="F59" i="8"/>
  <c r="F60" i="8"/>
  <c r="F61" i="8"/>
  <c r="F62" i="8"/>
  <c r="F63" i="8"/>
  <c r="F64" i="8"/>
  <c r="F65" i="8"/>
  <c r="F66" i="8"/>
  <c r="F67" i="8"/>
  <c r="G51" i="8"/>
  <c r="G52" i="8"/>
  <c r="G53" i="8"/>
  <c r="G54" i="8"/>
  <c r="G55" i="8"/>
  <c r="G56" i="8"/>
  <c r="G57" i="8"/>
  <c r="G58" i="8"/>
  <c r="G59" i="8"/>
  <c r="G60" i="8"/>
  <c r="G61" i="8"/>
  <c r="G62" i="8"/>
  <c r="G63" i="8"/>
  <c r="G64" i="8"/>
  <c r="G65" i="8"/>
  <c r="G66" i="8"/>
  <c r="G67" i="8"/>
  <c r="H51" i="8"/>
  <c r="H52" i="8"/>
  <c r="H53" i="8"/>
  <c r="H54" i="8"/>
  <c r="H55" i="8"/>
  <c r="H56" i="8"/>
  <c r="H57" i="8"/>
  <c r="H58" i="8"/>
  <c r="H59" i="8"/>
  <c r="H60" i="8"/>
  <c r="H61" i="8"/>
  <c r="H62" i="8"/>
  <c r="H63" i="8"/>
  <c r="H64" i="8"/>
  <c r="H65" i="8"/>
  <c r="H66" i="8"/>
  <c r="H67" i="8"/>
  <c r="I51" i="8"/>
  <c r="I52" i="8"/>
  <c r="I53" i="8"/>
  <c r="I54" i="8"/>
  <c r="I55" i="8"/>
  <c r="I56" i="8"/>
  <c r="I57" i="8"/>
  <c r="I58" i="8"/>
  <c r="I59" i="8"/>
  <c r="I60" i="8"/>
  <c r="I61" i="8"/>
  <c r="I62" i="8"/>
  <c r="I63" i="8"/>
  <c r="I64" i="8"/>
  <c r="I65" i="8"/>
  <c r="I66" i="8"/>
  <c r="I67" i="8"/>
  <c r="J51" i="8"/>
  <c r="J52" i="8"/>
  <c r="J53" i="8"/>
  <c r="J54" i="8"/>
  <c r="J55" i="8"/>
  <c r="J56" i="8"/>
  <c r="J57" i="8"/>
  <c r="J58" i="8"/>
  <c r="J59" i="8"/>
  <c r="J60" i="8"/>
  <c r="J61" i="8"/>
  <c r="J62" i="8"/>
  <c r="J63" i="8"/>
  <c r="J64" i="8"/>
  <c r="J65" i="8"/>
  <c r="J66" i="8"/>
  <c r="J67" i="8"/>
  <c r="K51" i="8"/>
  <c r="K52" i="8"/>
  <c r="K53" i="8"/>
  <c r="K54" i="8"/>
  <c r="K55" i="8"/>
  <c r="K56" i="8"/>
  <c r="K57" i="8"/>
  <c r="K58" i="8"/>
  <c r="K59" i="8"/>
  <c r="K60" i="8"/>
  <c r="K61" i="8"/>
  <c r="K62" i="8"/>
  <c r="K63" i="8"/>
  <c r="K64" i="8"/>
  <c r="K65" i="8"/>
  <c r="K66" i="8"/>
  <c r="K67" i="8"/>
  <c r="L51" i="8"/>
  <c r="L52" i="8"/>
  <c r="L53" i="8"/>
  <c r="L54" i="8"/>
  <c r="L55" i="8"/>
  <c r="L56" i="8"/>
  <c r="L57" i="8"/>
  <c r="L58" i="8"/>
  <c r="L59" i="8"/>
  <c r="L60" i="8"/>
  <c r="L61" i="8"/>
  <c r="L62" i="8"/>
  <c r="L63" i="8"/>
  <c r="L64" i="8"/>
  <c r="L65" i="8"/>
  <c r="L66" i="8"/>
  <c r="L67" i="8"/>
  <c r="M51" i="8"/>
  <c r="M52" i="8"/>
  <c r="M53" i="8"/>
  <c r="M54" i="8"/>
  <c r="M55" i="8"/>
  <c r="M56" i="8"/>
  <c r="M57" i="8"/>
  <c r="M58" i="8"/>
  <c r="M59" i="8"/>
  <c r="M60" i="8"/>
  <c r="M61" i="8"/>
  <c r="M62" i="8"/>
  <c r="M63" i="8"/>
  <c r="M64" i="8"/>
  <c r="M65" i="8"/>
  <c r="M66" i="8"/>
  <c r="M67" i="8"/>
  <c r="N51" i="8"/>
  <c r="N52" i="8"/>
  <c r="N53" i="8"/>
  <c r="N54" i="8"/>
  <c r="N55" i="8"/>
  <c r="N56" i="8"/>
  <c r="N57" i="8"/>
  <c r="N58" i="8"/>
  <c r="N59" i="8"/>
  <c r="N60" i="8"/>
  <c r="N61" i="8"/>
  <c r="N62" i="8"/>
  <c r="N63" i="8"/>
  <c r="N64" i="8"/>
  <c r="N65" i="8"/>
  <c r="N66" i="8"/>
  <c r="N67" i="8"/>
  <c r="O51" i="8"/>
  <c r="O52" i="8"/>
  <c r="O53" i="8"/>
  <c r="O54" i="8"/>
  <c r="O55" i="8"/>
  <c r="O56" i="8"/>
  <c r="O57" i="8"/>
  <c r="O58" i="8"/>
  <c r="O59" i="8"/>
  <c r="O60" i="8"/>
  <c r="O61" i="8"/>
  <c r="O62" i="8"/>
  <c r="O63" i="8"/>
  <c r="O64" i="8"/>
  <c r="O65" i="8"/>
  <c r="O66" i="8"/>
  <c r="O67" i="8"/>
  <c r="P51" i="8"/>
  <c r="P52" i="8"/>
  <c r="P53" i="8"/>
  <c r="P54" i="8"/>
  <c r="P55" i="8"/>
  <c r="P56" i="8"/>
  <c r="P57" i="8"/>
  <c r="P58" i="8"/>
  <c r="P59" i="8"/>
  <c r="P60" i="8"/>
  <c r="P61" i="8"/>
  <c r="P62" i="8"/>
  <c r="P63" i="8"/>
  <c r="P64" i="8"/>
  <c r="P65" i="8"/>
  <c r="P66" i="8"/>
  <c r="P67" i="8"/>
  <c r="Q51" i="8"/>
  <c r="Q52" i="8"/>
  <c r="Q53" i="8"/>
  <c r="Q54" i="8"/>
  <c r="Q55" i="8"/>
  <c r="Q56" i="8"/>
  <c r="Q57" i="8"/>
  <c r="Q58" i="8"/>
  <c r="Q59" i="8"/>
  <c r="Q60" i="8"/>
  <c r="Q61" i="8"/>
  <c r="Q62" i="8"/>
  <c r="Q63" i="8"/>
  <c r="Q64" i="8"/>
  <c r="Q65" i="8"/>
  <c r="Q66" i="8"/>
  <c r="Q67" i="8"/>
  <c r="R51" i="8"/>
  <c r="R52" i="8"/>
  <c r="R53" i="8"/>
  <c r="R54" i="8"/>
  <c r="R55" i="8"/>
  <c r="R56" i="8"/>
  <c r="R57" i="8"/>
  <c r="R58" i="8"/>
  <c r="R59" i="8"/>
  <c r="R60" i="8"/>
  <c r="R61" i="8"/>
  <c r="R62" i="8"/>
  <c r="R63" i="8"/>
  <c r="R64" i="8"/>
  <c r="R65" i="8"/>
  <c r="R66" i="8"/>
  <c r="R67" i="8"/>
  <c r="S51" i="8"/>
  <c r="S52" i="8"/>
  <c r="S53" i="8"/>
  <c r="S54" i="8"/>
  <c r="S55" i="8"/>
  <c r="S56" i="8"/>
  <c r="S57" i="8"/>
  <c r="S58" i="8"/>
  <c r="S59" i="8"/>
  <c r="S60" i="8"/>
  <c r="S61" i="8"/>
  <c r="S62" i="8"/>
  <c r="S63" i="8"/>
  <c r="S64" i="8"/>
  <c r="S65" i="8"/>
  <c r="S66" i="8"/>
  <c r="S67" i="8"/>
  <c r="T51" i="8"/>
  <c r="T52" i="8"/>
  <c r="T53" i="8"/>
  <c r="T54" i="8"/>
  <c r="T55" i="8"/>
  <c r="T56" i="8"/>
  <c r="T57" i="8"/>
  <c r="T58" i="8"/>
  <c r="T59" i="8"/>
  <c r="T60" i="8"/>
  <c r="T61" i="8"/>
  <c r="T62" i="8"/>
  <c r="T63" i="8"/>
  <c r="T64" i="8"/>
  <c r="T65" i="8"/>
  <c r="T66" i="8"/>
  <c r="T67" i="8"/>
  <c r="U51" i="8"/>
  <c r="U52" i="8"/>
  <c r="U53" i="8"/>
  <c r="U54" i="8"/>
  <c r="U55" i="8"/>
  <c r="U56" i="8"/>
  <c r="AD56" i="8" s="1"/>
  <c r="U57" i="8"/>
  <c r="U58" i="8"/>
  <c r="U59" i="8"/>
  <c r="U60" i="8"/>
  <c r="U61" i="8"/>
  <c r="U62" i="8"/>
  <c r="U63" i="8"/>
  <c r="U64" i="8"/>
  <c r="U65" i="8"/>
  <c r="U66" i="8"/>
  <c r="U67" i="8"/>
  <c r="V51" i="8"/>
  <c r="V52" i="8"/>
  <c r="V53" i="8"/>
  <c r="V54" i="8"/>
  <c r="AD54" i="8" s="1"/>
  <c r="V55" i="8"/>
  <c r="V56" i="8"/>
  <c r="V57" i="8"/>
  <c r="V58" i="8"/>
  <c r="V59" i="8"/>
  <c r="V60" i="8"/>
  <c r="V61" i="8"/>
  <c r="V62" i="8"/>
  <c r="AD62" i="8" s="1"/>
  <c r="V63" i="8"/>
  <c r="V64" i="8"/>
  <c r="V65" i="8"/>
  <c r="V66" i="8"/>
  <c r="V67" i="8"/>
  <c r="W51" i="8"/>
  <c r="W52" i="8"/>
  <c r="W53" i="8"/>
  <c r="W54" i="8"/>
  <c r="W55" i="8"/>
  <c r="W56" i="8"/>
  <c r="W57" i="8"/>
  <c r="W58" i="8"/>
  <c r="W59" i="8"/>
  <c r="W60" i="8"/>
  <c r="W61" i="8"/>
  <c r="W62" i="8"/>
  <c r="W63" i="8"/>
  <c r="W64" i="8"/>
  <c r="W65" i="8"/>
  <c r="W66" i="8"/>
  <c r="W67" i="8"/>
  <c r="X51" i="8"/>
  <c r="X52" i="8"/>
  <c r="X53" i="8"/>
  <c r="X54" i="8"/>
  <c r="X55" i="8"/>
  <c r="X56" i="8"/>
  <c r="X57" i="8"/>
  <c r="X58" i="8"/>
  <c r="X59" i="8"/>
  <c r="X60" i="8"/>
  <c r="X61" i="8"/>
  <c r="X62" i="8"/>
  <c r="AC62" i="8" s="1"/>
  <c r="X63" i="8"/>
  <c r="X64" i="8"/>
  <c r="X65" i="8"/>
  <c r="X66" i="8"/>
  <c r="X67" i="8"/>
  <c r="Y51" i="8"/>
  <c r="Y52" i="8"/>
  <c r="Y53" i="8"/>
  <c r="Y54" i="8"/>
  <c r="Y55" i="8"/>
  <c r="Y56" i="8"/>
  <c r="Y57" i="8"/>
  <c r="Y58" i="8"/>
  <c r="Y59" i="8"/>
  <c r="Y60" i="8"/>
  <c r="Y61" i="8"/>
  <c r="Y62" i="8"/>
  <c r="Y63" i="8"/>
  <c r="Y64" i="8"/>
  <c r="Y65" i="8"/>
  <c r="Y66" i="8"/>
  <c r="Y67" i="8"/>
  <c r="Z51" i="8"/>
  <c r="Z52" i="8"/>
  <c r="Z53" i="8"/>
  <c r="Z54" i="8"/>
  <c r="Z55" i="8"/>
  <c r="Z56" i="8"/>
  <c r="Z57" i="8"/>
  <c r="Z58" i="8"/>
  <c r="Z59" i="8"/>
  <c r="Z60" i="8"/>
  <c r="Z61" i="8"/>
  <c r="Z62" i="8"/>
  <c r="Z63" i="8"/>
  <c r="Z64" i="8"/>
  <c r="Z65" i="8"/>
  <c r="Z66" i="8"/>
  <c r="Z67" i="8"/>
  <c r="Z50" i="8"/>
  <c r="Y50" i="8"/>
  <c r="X50" i="8"/>
  <c r="W50" i="8"/>
  <c r="V50" i="8"/>
  <c r="U50" i="8"/>
  <c r="T50" i="8"/>
  <c r="S50" i="8"/>
  <c r="R50" i="8"/>
  <c r="Q50" i="8"/>
  <c r="P50" i="8"/>
  <c r="O50" i="8"/>
  <c r="N50" i="8"/>
  <c r="M50" i="8"/>
  <c r="L50" i="8"/>
  <c r="K50" i="8"/>
  <c r="J50" i="8"/>
  <c r="I50" i="8"/>
  <c r="H50" i="8"/>
  <c r="G50" i="8"/>
  <c r="F50" i="8"/>
  <c r="E50" i="8"/>
  <c r="D50" i="8"/>
  <c r="C50" i="8"/>
  <c r="C29" i="8"/>
  <c r="C30" i="8"/>
  <c r="C31" i="8"/>
  <c r="C32" i="8"/>
  <c r="C33" i="8"/>
  <c r="C34" i="8"/>
  <c r="C35" i="8"/>
  <c r="C36" i="8"/>
  <c r="C37" i="8"/>
  <c r="C38" i="8"/>
  <c r="C39" i="8"/>
  <c r="C40" i="8"/>
  <c r="C41" i="8"/>
  <c r="C42" i="8"/>
  <c r="C43" i="8"/>
  <c r="C44" i="8"/>
  <c r="C45" i="8"/>
  <c r="D29" i="8"/>
  <c r="D30" i="8"/>
  <c r="D31" i="8"/>
  <c r="D32" i="8"/>
  <c r="D33" i="8"/>
  <c r="D34" i="8"/>
  <c r="D35" i="8"/>
  <c r="D36" i="8"/>
  <c r="D37" i="8"/>
  <c r="D38" i="8"/>
  <c r="D39" i="8"/>
  <c r="D40" i="8"/>
  <c r="D41" i="8"/>
  <c r="D42" i="8"/>
  <c r="D43" i="8"/>
  <c r="D44" i="8"/>
  <c r="D45" i="8"/>
  <c r="E29" i="8"/>
  <c r="E30" i="8"/>
  <c r="E31" i="8"/>
  <c r="E32" i="8"/>
  <c r="E33" i="8"/>
  <c r="E34" i="8"/>
  <c r="E35" i="8"/>
  <c r="E36" i="8"/>
  <c r="E37" i="8"/>
  <c r="E38" i="8"/>
  <c r="E39" i="8"/>
  <c r="E40" i="8"/>
  <c r="E41" i="8"/>
  <c r="E42" i="8"/>
  <c r="E43" i="8"/>
  <c r="E44" i="8"/>
  <c r="E45" i="8"/>
  <c r="F29" i="8"/>
  <c r="F30" i="8"/>
  <c r="F31" i="8"/>
  <c r="F32" i="8"/>
  <c r="F33" i="8"/>
  <c r="F34" i="8"/>
  <c r="F35" i="8"/>
  <c r="F36" i="8"/>
  <c r="F37" i="8"/>
  <c r="F38" i="8"/>
  <c r="F39" i="8"/>
  <c r="F40" i="8"/>
  <c r="F41" i="8"/>
  <c r="F42" i="8"/>
  <c r="F43" i="8"/>
  <c r="F44" i="8"/>
  <c r="F45" i="8"/>
  <c r="G29" i="8"/>
  <c r="G30" i="8"/>
  <c r="G31" i="8"/>
  <c r="G32" i="8"/>
  <c r="G33" i="8"/>
  <c r="G34" i="8"/>
  <c r="G35" i="8"/>
  <c r="G36" i="8"/>
  <c r="G37" i="8"/>
  <c r="G38" i="8"/>
  <c r="G39" i="8"/>
  <c r="G40" i="8"/>
  <c r="G41" i="8"/>
  <c r="G42" i="8"/>
  <c r="G43" i="8"/>
  <c r="G44" i="8"/>
  <c r="G45" i="8"/>
  <c r="H29" i="8"/>
  <c r="H30" i="8"/>
  <c r="H31" i="8"/>
  <c r="H32" i="8"/>
  <c r="H33" i="8"/>
  <c r="H34" i="8"/>
  <c r="H35" i="8"/>
  <c r="H36" i="8"/>
  <c r="H37" i="8"/>
  <c r="H38" i="8"/>
  <c r="H39" i="8"/>
  <c r="H40" i="8"/>
  <c r="H41" i="8"/>
  <c r="H42" i="8"/>
  <c r="H43" i="8"/>
  <c r="H44" i="8"/>
  <c r="H45" i="8"/>
  <c r="I29" i="8"/>
  <c r="I30" i="8"/>
  <c r="I31" i="8"/>
  <c r="I32" i="8"/>
  <c r="I33" i="8"/>
  <c r="I34" i="8"/>
  <c r="I35" i="8"/>
  <c r="I36" i="8"/>
  <c r="I37" i="8"/>
  <c r="I38" i="8"/>
  <c r="I39" i="8"/>
  <c r="I40" i="8"/>
  <c r="I41" i="8"/>
  <c r="I42" i="8"/>
  <c r="I43" i="8"/>
  <c r="I44" i="8"/>
  <c r="I45" i="8"/>
  <c r="J29" i="8"/>
  <c r="J30" i="8"/>
  <c r="J31" i="8"/>
  <c r="J32" i="8"/>
  <c r="J33" i="8"/>
  <c r="J34" i="8"/>
  <c r="J35" i="8"/>
  <c r="J36" i="8"/>
  <c r="J37" i="8"/>
  <c r="J38" i="8"/>
  <c r="J39" i="8"/>
  <c r="J40" i="8"/>
  <c r="J41" i="8"/>
  <c r="J42" i="8"/>
  <c r="J43" i="8"/>
  <c r="J44" i="8"/>
  <c r="J45" i="8"/>
  <c r="K29" i="8"/>
  <c r="K30" i="8"/>
  <c r="K31" i="8"/>
  <c r="K32" i="8"/>
  <c r="K33" i="8"/>
  <c r="K34" i="8"/>
  <c r="K35" i="8"/>
  <c r="K36" i="8"/>
  <c r="K37" i="8"/>
  <c r="K38" i="8"/>
  <c r="K39" i="8"/>
  <c r="K40" i="8"/>
  <c r="K41" i="8"/>
  <c r="K42" i="8"/>
  <c r="K43" i="8"/>
  <c r="K44" i="8"/>
  <c r="K45" i="8"/>
  <c r="L29" i="8"/>
  <c r="L30" i="8"/>
  <c r="L31" i="8"/>
  <c r="L32" i="8"/>
  <c r="L33" i="8"/>
  <c r="L34" i="8"/>
  <c r="L35" i="8"/>
  <c r="L36" i="8"/>
  <c r="L37" i="8"/>
  <c r="L38" i="8"/>
  <c r="L39" i="8"/>
  <c r="L40" i="8"/>
  <c r="L41" i="8"/>
  <c r="L42" i="8"/>
  <c r="L43" i="8"/>
  <c r="L44" i="8"/>
  <c r="L45" i="8"/>
  <c r="M29" i="8"/>
  <c r="M30" i="8"/>
  <c r="M31" i="8"/>
  <c r="M32" i="8"/>
  <c r="M33" i="8"/>
  <c r="M34" i="8"/>
  <c r="M35" i="8"/>
  <c r="M36" i="8"/>
  <c r="M37" i="8"/>
  <c r="M38" i="8"/>
  <c r="M39" i="8"/>
  <c r="M40" i="8"/>
  <c r="M41" i="8"/>
  <c r="M42" i="8"/>
  <c r="M43" i="8"/>
  <c r="M44" i="8"/>
  <c r="M45" i="8"/>
  <c r="N29" i="8"/>
  <c r="N30" i="8"/>
  <c r="N31" i="8"/>
  <c r="N32" i="8"/>
  <c r="N33" i="8"/>
  <c r="N34" i="8"/>
  <c r="N35" i="8"/>
  <c r="N36" i="8"/>
  <c r="N37" i="8"/>
  <c r="N38" i="8"/>
  <c r="N39" i="8"/>
  <c r="N40" i="8"/>
  <c r="N41" i="8"/>
  <c r="N42" i="8"/>
  <c r="N43" i="8"/>
  <c r="N44" i="8"/>
  <c r="N45" i="8"/>
  <c r="O29" i="8"/>
  <c r="O30" i="8"/>
  <c r="O31" i="8"/>
  <c r="O32" i="8"/>
  <c r="O33" i="8"/>
  <c r="O34" i="8"/>
  <c r="O35" i="8"/>
  <c r="O36" i="8"/>
  <c r="O37" i="8"/>
  <c r="O38" i="8"/>
  <c r="O39" i="8"/>
  <c r="O40" i="8"/>
  <c r="O41" i="8"/>
  <c r="O42" i="8"/>
  <c r="O43" i="8"/>
  <c r="O44" i="8"/>
  <c r="O45" i="8"/>
  <c r="P29" i="8"/>
  <c r="P30" i="8"/>
  <c r="P31" i="8"/>
  <c r="P32" i="8"/>
  <c r="P33" i="8"/>
  <c r="P34" i="8"/>
  <c r="P35" i="8"/>
  <c r="P36" i="8"/>
  <c r="P37" i="8"/>
  <c r="P38" i="8"/>
  <c r="P39" i="8"/>
  <c r="P40" i="8"/>
  <c r="P41" i="8"/>
  <c r="P42" i="8"/>
  <c r="P43" i="8"/>
  <c r="P44" i="8"/>
  <c r="P45" i="8"/>
  <c r="Q29" i="8"/>
  <c r="Q30" i="8"/>
  <c r="Q31" i="8"/>
  <c r="Q32" i="8"/>
  <c r="Q33" i="8"/>
  <c r="Q34" i="8"/>
  <c r="Q35" i="8"/>
  <c r="Q36" i="8"/>
  <c r="Q37" i="8"/>
  <c r="Q38" i="8"/>
  <c r="Q39" i="8"/>
  <c r="Q40" i="8"/>
  <c r="Q41" i="8"/>
  <c r="Q42" i="8"/>
  <c r="Q43" i="8"/>
  <c r="Q44" i="8"/>
  <c r="Q45" i="8"/>
  <c r="R29" i="8"/>
  <c r="R30" i="8"/>
  <c r="R31" i="8"/>
  <c r="R32" i="8"/>
  <c r="R33" i="8"/>
  <c r="R34" i="8"/>
  <c r="R35" i="8"/>
  <c r="R36" i="8"/>
  <c r="R37" i="8"/>
  <c r="R38" i="8"/>
  <c r="R39" i="8"/>
  <c r="R40" i="8"/>
  <c r="R41" i="8"/>
  <c r="R42" i="8"/>
  <c r="R43" i="8"/>
  <c r="R44" i="8"/>
  <c r="R45" i="8"/>
  <c r="S29" i="8"/>
  <c r="S30" i="8"/>
  <c r="S31" i="8"/>
  <c r="S32" i="8"/>
  <c r="S33" i="8"/>
  <c r="S34" i="8"/>
  <c r="S35" i="8"/>
  <c r="S36" i="8"/>
  <c r="S37" i="8"/>
  <c r="S38" i="8"/>
  <c r="S39" i="8"/>
  <c r="S40" i="8"/>
  <c r="S41" i="8"/>
  <c r="S42" i="8"/>
  <c r="S43" i="8"/>
  <c r="S44" i="8"/>
  <c r="S45" i="8"/>
  <c r="T29" i="8"/>
  <c r="T30" i="8"/>
  <c r="T31" i="8"/>
  <c r="T32" i="8"/>
  <c r="T33" i="8"/>
  <c r="T34" i="8"/>
  <c r="T35" i="8"/>
  <c r="T36" i="8"/>
  <c r="T37" i="8"/>
  <c r="T38" i="8"/>
  <c r="T39" i="8"/>
  <c r="T40" i="8"/>
  <c r="T41" i="8"/>
  <c r="T42" i="8"/>
  <c r="T43" i="8"/>
  <c r="T44" i="8"/>
  <c r="T45" i="8"/>
  <c r="U29" i="8"/>
  <c r="U30" i="8"/>
  <c r="U31" i="8"/>
  <c r="U32" i="8"/>
  <c r="U33" i="8"/>
  <c r="U34" i="8"/>
  <c r="U35" i="8"/>
  <c r="U36" i="8"/>
  <c r="U37" i="8"/>
  <c r="U38" i="8"/>
  <c r="U39" i="8"/>
  <c r="U40" i="8"/>
  <c r="U41" i="8"/>
  <c r="U42" i="8"/>
  <c r="U43" i="8"/>
  <c r="U44" i="8"/>
  <c r="U45" i="8"/>
  <c r="V29" i="8"/>
  <c r="V30" i="8"/>
  <c r="V31" i="8"/>
  <c r="V32" i="8"/>
  <c r="V33" i="8"/>
  <c r="V34" i="8"/>
  <c r="V35" i="8"/>
  <c r="V36" i="8"/>
  <c r="V37" i="8"/>
  <c r="V38" i="8"/>
  <c r="V39" i="8"/>
  <c r="V40" i="8"/>
  <c r="V41" i="8"/>
  <c r="V42" i="8"/>
  <c r="V43" i="8"/>
  <c r="V44" i="8"/>
  <c r="V45" i="8"/>
  <c r="W29" i="8"/>
  <c r="W30" i="8"/>
  <c r="W31" i="8"/>
  <c r="W32" i="8"/>
  <c r="W33" i="8"/>
  <c r="W34" i="8"/>
  <c r="W35" i="8"/>
  <c r="W36" i="8"/>
  <c r="W37" i="8"/>
  <c r="W38" i="8"/>
  <c r="W39" i="8"/>
  <c r="W40" i="8"/>
  <c r="W41" i="8"/>
  <c r="W42" i="8"/>
  <c r="W43" i="8"/>
  <c r="W44" i="8"/>
  <c r="W45" i="8"/>
  <c r="X29" i="8"/>
  <c r="X30" i="8"/>
  <c r="X31" i="8"/>
  <c r="X32" i="8"/>
  <c r="X33" i="8"/>
  <c r="X34" i="8"/>
  <c r="X35" i="8"/>
  <c r="AC35" i="8" s="1"/>
  <c r="X36" i="8"/>
  <c r="X37" i="8"/>
  <c r="X38" i="8"/>
  <c r="X39" i="8"/>
  <c r="X40" i="8"/>
  <c r="AC40" i="8" s="1"/>
  <c r="X41" i="8"/>
  <c r="X42" i="8"/>
  <c r="X43" i="8"/>
  <c r="X44" i="8"/>
  <c r="X45" i="8"/>
  <c r="Y29" i="8"/>
  <c r="Y30" i="8"/>
  <c r="Y31" i="8"/>
  <c r="Y32" i="8"/>
  <c r="Y33" i="8"/>
  <c r="Y34" i="8"/>
  <c r="Y35" i="8"/>
  <c r="Y36" i="8"/>
  <c r="Y37" i="8"/>
  <c r="Y38" i="8"/>
  <c r="Y39" i="8"/>
  <c r="Y40" i="8"/>
  <c r="AB40" i="8" s="1"/>
  <c r="Y41" i="8"/>
  <c r="Y42" i="8"/>
  <c r="Y43" i="8"/>
  <c r="Y44" i="8"/>
  <c r="Y45" i="8"/>
  <c r="Z29" i="8"/>
  <c r="Z30" i="8"/>
  <c r="Z31" i="8"/>
  <c r="Z32" i="8"/>
  <c r="Z33" i="8"/>
  <c r="Z34" i="8"/>
  <c r="Z35" i="8"/>
  <c r="Z36" i="8"/>
  <c r="Z37" i="8"/>
  <c r="Z38" i="8"/>
  <c r="Z39" i="8"/>
  <c r="Z40" i="8"/>
  <c r="Z41" i="8"/>
  <c r="Z42" i="8"/>
  <c r="Z43" i="8"/>
  <c r="Z44" i="8"/>
  <c r="Z45" i="8"/>
  <c r="Z28" i="8"/>
  <c r="Y28" i="8"/>
  <c r="X28" i="8"/>
  <c r="W28" i="8"/>
  <c r="V28" i="8"/>
  <c r="U28" i="8"/>
  <c r="T28" i="8"/>
  <c r="S28" i="8"/>
  <c r="R28" i="8"/>
  <c r="Q28" i="8"/>
  <c r="P28" i="8"/>
  <c r="O28" i="8"/>
  <c r="N28" i="8"/>
  <c r="M28" i="8"/>
  <c r="L28" i="8"/>
  <c r="K28" i="8"/>
  <c r="J28" i="8"/>
  <c r="I28" i="8"/>
  <c r="H28" i="8"/>
  <c r="G28" i="8"/>
  <c r="F28" i="8"/>
  <c r="E28" i="8"/>
  <c r="D28" i="8"/>
  <c r="C28" i="8"/>
  <c r="Z7" i="8"/>
  <c r="Z8" i="8"/>
  <c r="Z9" i="8"/>
  <c r="Z10" i="8"/>
  <c r="Z11" i="8"/>
  <c r="Z12" i="8"/>
  <c r="AB12" i="8" s="1"/>
  <c r="Z13" i="8"/>
  <c r="Z14" i="8"/>
  <c r="Z15" i="8"/>
  <c r="Z16" i="8"/>
  <c r="Z17" i="8"/>
  <c r="Z18" i="8"/>
  <c r="AB18" i="8" s="1"/>
  <c r="Z19" i="8"/>
  <c r="Z20" i="8"/>
  <c r="AC20" i="8" s="1"/>
  <c r="Z21" i="8"/>
  <c r="AD21" i="8" s="1"/>
  <c r="Z22" i="8"/>
  <c r="Z23" i="8"/>
  <c r="Y7" i="8"/>
  <c r="Y8" i="8"/>
  <c r="Y9" i="8"/>
  <c r="Y10" i="8"/>
  <c r="Y11" i="8"/>
  <c r="Y12" i="8"/>
  <c r="Y13" i="8"/>
  <c r="AD13" i="8" s="1"/>
  <c r="Y14" i="8"/>
  <c r="Y15" i="8"/>
  <c r="Y16" i="8"/>
  <c r="Y17" i="8"/>
  <c r="Y18" i="8"/>
  <c r="Y19" i="8"/>
  <c r="Y20" i="8"/>
  <c r="Y21" i="8"/>
  <c r="Y22" i="8"/>
  <c r="Y23" i="8"/>
  <c r="X7" i="8"/>
  <c r="X8" i="8"/>
  <c r="X9" i="8"/>
  <c r="X10" i="8"/>
  <c r="X11" i="8"/>
  <c r="X12" i="8"/>
  <c r="X13" i="8"/>
  <c r="X14" i="8"/>
  <c r="X15" i="8"/>
  <c r="X16" i="8"/>
  <c r="X17" i="8"/>
  <c r="X18" i="8"/>
  <c r="X19" i="8"/>
  <c r="X20" i="8"/>
  <c r="X21" i="8"/>
  <c r="X22" i="8"/>
  <c r="X23" i="8"/>
  <c r="W7" i="8"/>
  <c r="W8" i="8"/>
  <c r="W9" i="8"/>
  <c r="W10" i="8"/>
  <c r="W11" i="8"/>
  <c r="W12" i="8"/>
  <c r="W13" i="8"/>
  <c r="W14" i="8"/>
  <c r="W15" i="8"/>
  <c r="W16" i="8"/>
  <c r="W17" i="8"/>
  <c r="W18" i="8"/>
  <c r="W19" i="8"/>
  <c r="W20" i="8"/>
  <c r="W21" i="8"/>
  <c r="W22" i="8"/>
  <c r="W23" i="8"/>
  <c r="V7" i="8"/>
  <c r="V8" i="8"/>
  <c r="V9" i="8"/>
  <c r="V10" i="8"/>
  <c r="V11" i="8"/>
  <c r="V12" i="8"/>
  <c r="V13" i="8"/>
  <c r="V14" i="8"/>
  <c r="V15" i="8"/>
  <c r="V16" i="8"/>
  <c r="V17" i="8"/>
  <c r="V18" i="8"/>
  <c r="V19" i="8"/>
  <c r="V20" i="8"/>
  <c r="V21" i="8"/>
  <c r="V22" i="8"/>
  <c r="V23" i="8"/>
  <c r="U7" i="8"/>
  <c r="U8" i="8"/>
  <c r="U9" i="8"/>
  <c r="U10" i="8"/>
  <c r="U11" i="8"/>
  <c r="U12" i="8"/>
  <c r="U13" i="8"/>
  <c r="U14" i="8"/>
  <c r="U15" i="8"/>
  <c r="U16" i="8"/>
  <c r="U17" i="8"/>
  <c r="U18" i="8"/>
  <c r="U19" i="8"/>
  <c r="U20" i="8"/>
  <c r="U21" i="8"/>
  <c r="U22" i="8"/>
  <c r="U23" i="8"/>
  <c r="T7" i="8"/>
  <c r="T8" i="8"/>
  <c r="T9" i="8"/>
  <c r="T10" i="8"/>
  <c r="T11" i="8"/>
  <c r="T12" i="8"/>
  <c r="T13" i="8"/>
  <c r="T14" i="8"/>
  <c r="T15" i="8"/>
  <c r="T16" i="8"/>
  <c r="T17" i="8"/>
  <c r="T18" i="8"/>
  <c r="T19" i="8"/>
  <c r="T20" i="8"/>
  <c r="T21" i="8"/>
  <c r="T22" i="8"/>
  <c r="T23" i="8"/>
  <c r="S7" i="8"/>
  <c r="S8" i="8"/>
  <c r="S9" i="8"/>
  <c r="S10" i="8"/>
  <c r="S11" i="8"/>
  <c r="S12" i="8"/>
  <c r="S13" i="8"/>
  <c r="S14" i="8"/>
  <c r="S15" i="8"/>
  <c r="S16" i="8"/>
  <c r="S17" i="8"/>
  <c r="S18" i="8"/>
  <c r="S19" i="8"/>
  <c r="S20" i="8"/>
  <c r="S21" i="8"/>
  <c r="S22" i="8"/>
  <c r="S23" i="8"/>
  <c r="R7" i="8"/>
  <c r="R8" i="8"/>
  <c r="R9" i="8"/>
  <c r="R10" i="8"/>
  <c r="R11" i="8"/>
  <c r="R12" i="8"/>
  <c r="R13" i="8"/>
  <c r="R14" i="8"/>
  <c r="R15" i="8"/>
  <c r="R16" i="8"/>
  <c r="R17" i="8"/>
  <c r="R18" i="8"/>
  <c r="R19" i="8"/>
  <c r="R20" i="8"/>
  <c r="R21" i="8"/>
  <c r="R22" i="8"/>
  <c r="R23" i="8"/>
  <c r="Q7" i="8"/>
  <c r="Q8" i="8"/>
  <c r="Q9" i="8"/>
  <c r="Q10" i="8"/>
  <c r="Q11" i="8"/>
  <c r="Q12" i="8"/>
  <c r="Q13" i="8"/>
  <c r="Q14" i="8"/>
  <c r="Q15" i="8"/>
  <c r="Q16" i="8"/>
  <c r="Q17" i="8"/>
  <c r="Q18" i="8"/>
  <c r="Q19" i="8"/>
  <c r="Q20" i="8"/>
  <c r="Q21" i="8"/>
  <c r="Q22" i="8"/>
  <c r="Q23" i="8"/>
  <c r="P7" i="8"/>
  <c r="P8" i="8"/>
  <c r="P9" i="8"/>
  <c r="P10" i="8"/>
  <c r="P11" i="8"/>
  <c r="P12" i="8"/>
  <c r="P13" i="8"/>
  <c r="P14" i="8"/>
  <c r="P15" i="8"/>
  <c r="P16" i="8"/>
  <c r="P17" i="8"/>
  <c r="P18" i="8"/>
  <c r="P19" i="8"/>
  <c r="P20" i="8"/>
  <c r="P21" i="8"/>
  <c r="P22" i="8"/>
  <c r="P23" i="8"/>
  <c r="O7" i="8"/>
  <c r="O8" i="8"/>
  <c r="O9" i="8"/>
  <c r="O10" i="8"/>
  <c r="O11" i="8"/>
  <c r="O12" i="8"/>
  <c r="O13" i="8"/>
  <c r="O14" i="8"/>
  <c r="O15" i="8"/>
  <c r="O16" i="8"/>
  <c r="O17" i="8"/>
  <c r="O18" i="8"/>
  <c r="O19" i="8"/>
  <c r="O20" i="8"/>
  <c r="O21" i="8"/>
  <c r="O22" i="8"/>
  <c r="O23" i="8"/>
  <c r="N7" i="8"/>
  <c r="N8" i="8"/>
  <c r="N9" i="8"/>
  <c r="N10" i="8"/>
  <c r="N11" i="8"/>
  <c r="N12" i="8"/>
  <c r="N13" i="8"/>
  <c r="N14" i="8"/>
  <c r="N15" i="8"/>
  <c r="N16" i="8"/>
  <c r="N17" i="8"/>
  <c r="N18" i="8"/>
  <c r="N19" i="8"/>
  <c r="N20" i="8"/>
  <c r="N21" i="8"/>
  <c r="N22" i="8"/>
  <c r="N23" i="8"/>
  <c r="M7" i="8"/>
  <c r="M8" i="8"/>
  <c r="M9" i="8"/>
  <c r="M10" i="8"/>
  <c r="M11" i="8"/>
  <c r="M12" i="8"/>
  <c r="M13" i="8"/>
  <c r="M14" i="8"/>
  <c r="M15" i="8"/>
  <c r="M16" i="8"/>
  <c r="M17" i="8"/>
  <c r="M18" i="8"/>
  <c r="M19" i="8"/>
  <c r="M20" i="8"/>
  <c r="M21" i="8"/>
  <c r="M22" i="8"/>
  <c r="M23" i="8"/>
  <c r="L7" i="8"/>
  <c r="L8" i="8"/>
  <c r="L9" i="8"/>
  <c r="L10" i="8"/>
  <c r="L11" i="8"/>
  <c r="L12" i="8"/>
  <c r="L13" i="8"/>
  <c r="L14" i="8"/>
  <c r="L15" i="8"/>
  <c r="L16" i="8"/>
  <c r="L17" i="8"/>
  <c r="L18" i="8"/>
  <c r="L19" i="8"/>
  <c r="L20" i="8"/>
  <c r="L21" i="8"/>
  <c r="L22" i="8"/>
  <c r="L23" i="8"/>
  <c r="K7" i="8"/>
  <c r="K8" i="8"/>
  <c r="K9" i="8"/>
  <c r="K10" i="8"/>
  <c r="K11" i="8"/>
  <c r="K12" i="8"/>
  <c r="K13" i="8"/>
  <c r="K14" i="8"/>
  <c r="K15" i="8"/>
  <c r="K16" i="8"/>
  <c r="K17" i="8"/>
  <c r="K18" i="8"/>
  <c r="K19" i="8"/>
  <c r="K20" i="8"/>
  <c r="K21" i="8"/>
  <c r="K22" i="8"/>
  <c r="K23" i="8"/>
  <c r="J7" i="8"/>
  <c r="J8" i="8"/>
  <c r="J9" i="8"/>
  <c r="J10" i="8"/>
  <c r="J11" i="8"/>
  <c r="J12" i="8"/>
  <c r="J13" i="8"/>
  <c r="J14" i="8"/>
  <c r="J15" i="8"/>
  <c r="J16" i="8"/>
  <c r="J17" i="8"/>
  <c r="J18" i="8"/>
  <c r="J19" i="8"/>
  <c r="J20" i="8"/>
  <c r="J21" i="8"/>
  <c r="J22" i="8"/>
  <c r="J23" i="8"/>
  <c r="I7" i="8"/>
  <c r="I8" i="8"/>
  <c r="I9" i="8"/>
  <c r="I10" i="8"/>
  <c r="I11" i="8"/>
  <c r="I12" i="8"/>
  <c r="I13" i="8"/>
  <c r="I14" i="8"/>
  <c r="I15" i="8"/>
  <c r="I16" i="8"/>
  <c r="I17" i="8"/>
  <c r="I18" i="8"/>
  <c r="I19" i="8"/>
  <c r="I20" i="8"/>
  <c r="I21" i="8"/>
  <c r="I22" i="8"/>
  <c r="I23" i="8"/>
  <c r="H7" i="8"/>
  <c r="H8" i="8"/>
  <c r="H9" i="8"/>
  <c r="H10" i="8"/>
  <c r="H11" i="8"/>
  <c r="H12" i="8"/>
  <c r="H13" i="8"/>
  <c r="H14" i="8"/>
  <c r="H15" i="8"/>
  <c r="H16" i="8"/>
  <c r="H17" i="8"/>
  <c r="H18" i="8"/>
  <c r="H19" i="8"/>
  <c r="H20" i="8"/>
  <c r="H21" i="8"/>
  <c r="H22" i="8"/>
  <c r="H23" i="8"/>
  <c r="G7" i="8"/>
  <c r="G8" i="8"/>
  <c r="G9" i="8"/>
  <c r="G10" i="8"/>
  <c r="G11" i="8"/>
  <c r="G12" i="8"/>
  <c r="G13" i="8"/>
  <c r="G14" i="8"/>
  <c r="G15" i="8"/>
  <c r="G16" i="8"/>
  <c r="G17" i="8"/>
  <c r="G18" i="8"/>
  <c r="G19" i="8"/>
  <c r="G20" i="8"/>
  <c r="G21" i="8"/>
  <c r="G22" i="8"/>
  <c r="G23" i="8"/>
  <c r="F7" i="8"/>
  <c r="F8" i="8"/>
  <c r="F9" i="8"/>
  <c r="F10" i="8"/>
  <c r="F11" i="8"/>
  <c r="F12" i="8"/>
  <c r="F13" i="8"/>
  <c r="F14" i="8"/>
  <c r="F15" i="8"/>
  <c r="F16" i="8"/>
  <c r="F17" i="8"/>
  <c r="F18" i="8"/>
  <c r="F19" i="8"/>
  <c r="F20" i="8"/>
  <c r="F21" i="8"/>
  <c r="F22" i="8"/>
  <c r="F23" i="8"/>
  <c r="E7" i="8"/>
  <c r="E8" i="8"/>
  <c r="E9" i="8"/>
  <c r="E10" i="8"/>
  <c r="E11" i="8"/>
  <c r="E12" i="8"/>
  <c r="E13" i="8"/>
  <c r="E14" i="8"/>
  <c r="E15" i="8"/>
  <c r="E16" i="8"/>
  <c r="E17" i="8"/>
  <c r="E18" i="8"/>
  <c r="E19" i="8"/>
  <c r="E20" i="8"/>
  <c r="E21" i="8"/>
  <c r="E22" i="8"/>
  <c r="E23" i="8"/>
  <c r="D7" i="8"/>
  <c r="D8" i="8"/>
  <c r="D9" i="8"/>
  <c r="D10" i="8"/>
  <c r="D11" i="8"/>
  <c r="D12" i="8"/>
  <c r="D13" i="8"/>
  <c r="D14" i="8"/>
  <c r="D15" i="8"/>
  <c r="D16" i="8"/>
  <c r="D17" i="8"/>
  <c r="D18" i="8"/>
  <c r="D19" i="8"/>
  <c r="D20" i="8"/>
  <c r="D21" i="8"/>
  <c r="D22" i="8"/>
  <c r="D23" i="8"/>
  <c r="Z6" i="8"/>
  <c r="Y6" i="8"/>
  <c r="X6" i="8"/>
  <c r="W6" i="8"/>
  <c r="V6" i="8"/>
  <c r="U6" i="8"/>
  <c r="T6" i="8"/>
  <c r="S6" i="8"/>
  <c r="R6" i="8"/>
  <c r="Q6" i="8"/>
  <c r="P6" i="8"/>
  <c r="O6" i="8"/>
  <c r="N6" i="8"/>
  <c r="M6" i="8"/>
  <c r="L6" i="8"/>
  <c r="K6" i="8"/>
  <c r="J6" i="8"/>
  <c r="I6" i="8"/>
  <c r="H6" i="8"/>
  <c r="G6" i="8"/>
  <c r="F6" i="8"/>
  <c r="E6" i="8"/>
  <c r="D6" i="8"/>
  <c r="C7" i="8"/>
  <c r="C8" i="8"/>
  <c r="C9" i="8"/>
  <c r="C10" i="8"/>
  <c r="C11" i="8"/>
  <c r="C12" i="8"/>
  <c r="C13" i="8"/>
  <c r="C14" i="8"/>
  <c r="C15" i="8"/>
  <c r="C16" i="8"/>
  <c r="C17" i="8"/>
  <c r="C18" i="8"/>
  <c r="C19" i="8"/>
  <c r="C20" i="8"/>
  <c r="C21" i="8"/>
  <c r="C22" i="8"/>
  <c r="C23" i="8"/>
  <c r="C6" i="8"/>
  <c r="C299" i="12"/>
  <c r="C298" i="12"/>
  <c r="C297" i="12"/>
  <c r="C296" i="12"/>
  <c r="C295" i="12"/>
  <c r="C294" i="12"/>
  <c r="C293" i="12"/>
  <c r="C292" i="12"/>
  <c r="C291" i="12"/>
  <c r="C290" i="12"/>
  <c r="C289" i="12"/>
  <c r="C288" i="12"/>
  <c r="C287" i="12"/>
  <c r="C286" i="12"/>
  <c r="C285" i="12"/>
  <c r="C284" i="12"/>
  <c r="C283" i="12"/>
  <c r="C282" i="12"/>
  <c r="C281" i="12"/>
  <c r="C280" i="12"/>
  <c r="C279" i="12"/>
  <c r="C278" i="12"/>
  <c r="C277" i="12"/>
  <c r="C276" i="12"/>
  <c r="C275" i="12"/>
  <c r="C274" i="12"/>
  <c r="C273" i="12"/>
  <c r="C272" i="12"/>
  <c r="C271" i="12"/>
  <c r="C270" i="12"/>
  <c r="C269" i="12"/>
  <c r="C268" i="12"/>
  <c r="C267" i="12"/>
  <c r="C266" i="12"/>
  <c r="C265" i="12"/>
  <c r="C264" i="12"/>
  <c r="C263" i="12"/>
  <c r="C262" i="12"/>
  <c r="C261" i="12"/>
  <c r="C260" i="12"/>
  <c r="C259" i="12"/>
  <c r="C258" i="12"/>
  <c r="C257" i="12"/>
  <c r="C256" i="12"/>
  <c r="C255" i="12"/>
  <c r="C254" i="12"/>
  <c r="C253" i="12"/>
  <c r="C252" i="12"/>
  <c r="C251" i="12"/>
  <c r="C250" i="12"/>
  <c r="C249" i="12"/>
  <c r="C248" i="12"/>
  <c r="C247" i="12"/>
  <c r="C246" i="12"/>
  <c r="C245" i="12"/>
  <c r="C244" i="12"/>
  <c r="C243" i="12"/>
  <c r="C242" i="12"/>
  <c r="C241" i="12"/>
  <c r="C240" i="12"/>
  <c r="C239" i="12"/>
  <c r="C238" i="12"/>
  <c r="C237" i="12"/>
  <c r="C236" i="12"/>
  <c r="C235" i="12"/>
  <c r="C234" i="12"/>
  <c r="C233" i="12"/>
  <c r="C232" i="12"/>
  <c r="C231" i="12"/>
  <c r="C230" i="12"/>
  <c r="C229" i="12"/>
  <c r="C228" i="12"/>
  <c r="C227" i="12"/>
  <c r="C226" i="12"/>
  <c r="C225" i="12"/>
  <c r="C224" i="12"/>
  <c r="C223" i="12"/>
  <c r="C222" i="12"/>
  <c r="C221" i="12"/>
  <c r="C220" i="12"/>
  <c r="C219" i="12"/>
  <c r="C218" i="12"/>
  <c r="C217" i="12"/>
  <c r="C216" i="12"/>
  <c r="C215" i="12"/>
  <c r="C214" i="12"/>
  <c r="C213" i="12"/>
  <c r="C212" i="12"/>
  <c r="C211" i="12"/>
  <c r="C210" i="12"/>
  <c r="C209" i="12"/>
  <c r="C208" i="12"/>
  <c r="C207" i="12"/>
  <c r="C206" i="12"/>
  <c r="C205" i="12"/>
  <c r="C204" i="12"/>
  <c r="C203" i="12"/>
  <c r="C202" i="12"/>
  <c r="C201" i="12"/>
  <c r="C200" i="12"/>
  <c r="C199" i="12"/>
  <c r="C198" i="12"/>
  <c r="C197" i="12"/>
  <c r="C196" i="12"/>
  <c r="C195" i="12"/>
  <c r="C194" i="12"/>
  <c r="C193" i="12"/>
  <c r="C192" i="12"/>
  <c r="C191" i="12"/>
  <c r="C190" i="12"/>
  <c r="C189" i="12"/>
  <c r="C188" i="12"/>
  <c r="C187" i="12"/>
  <c r="C186" i="12"/>
  <c r="C185" i="12"/>
  <c r="C184" i="12"/>
  <c r="C183" i="12"/>
  <c r="C182" i="12"/>
  <c r="C181" i="12"/>
  <c r="C180" i="12"/>
  <c r="C179" i="12"/>
  <c r="C178" i="12"/>
  <c r="C177" i="12"/>
  <c r="C176" i="12"/>
  <c r="C175" i="12"/>
  <c r="C174" i="12"/>
  <c r="C173" i="12"/>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AD67" i="8"/>
  <c r="AC67" i="8"/>
  <c r="AB67" i="8"/>
  <c r="AB65" i="8"/>
  <c r="AB63" i="8"/>
  <c r="AB62" i="8"/>
  <c r="AD61" i="8"/>
  <c r="AC61" i="8"/>
  <c r="AB61" i="8"/>
  <c r="AD60" i="8"/>
  <c r="AC60" i="8"/>
  <c r="AB60" i="8"/>
  <c r="AD59" i="8"/>
  <c r="AC59" i="8"/>
  <c r="AB59" i="8"/>
  <c r="AB57" i="8"/>
  <c r="AB55" i="8"/>
  <c r="AC54" i="8"/>
  <c r="AB54" i="8"/>
  <c r="AD53" i="8"/>
  <c r="AC53" i="8"/>
  <c r="AB53" i="8"/>
  <c r="AD52" i="8"/>
  <c r="AC52" i="8"/>
  <c r="AB52" i="8"/>
  <c r="AD51" i="8"/>
  <c r="AC51" i="8"/>
  <c r="AB51" i="8"/>
  <c r="AD50" i="8"/>
  <c r="AC50" i="8"/>
  <c r="AB50" i="8"/>
  <c r="AD45" i="8"/>
  <c r="AC45" i="8"/>
  <c r="AB45" i="8"/>
  <c r="AB43" i="8"/>
  <c r="AB42" i="8"/>
  <c r="AD39" i="8"/>
  <c r="AC39" i="8"/>
  <c r="AB39" i="8"/>
  <c r="AD38" i="8"/>
  <c r="AC38" i="8"/>
  <c r="AB38" i="8"/>
  <c r="AD37" i="8"/>
  <c r="AC37" i="8"/>
  <c r="AB37" i="8"/>
  <c r="AD35" i="8"/>
  <c r="AB35" i="8"/>
  <c r="AD31" i="8"/>
  <c r="AC31" i="8"/>
  <c r="AB31" i="8"/>
  <c r="AD30" i="8"/>
  <c r="AC30" i="8"/>
  <c r="AB30" i="8"/>
  <c r="AD29" i="8"/>
  <c r="AC29" i="8"/>
  <c r="AB29" i="8"/>
  <c r="AD28" i="8"/>
  <c r="AC28" i="8"/>
  <c r="AB28" i="8"/>
  <c r="AD23" i="8"/>
  <c r="AC23" i="8"/>
  <c r="AB23" i="8"/>
  <c r="AB21" i="8"/>
  <c r="AD17" i="8"/>
  <c r="AC17" i="8"/>
  <c r="AB17" i="8"/>
  <c r="AD16" i="8"/>
  <c r="AC16" i="8"/>
  <c r="AB16" i="8"/>
  <c r="AD15" i="8"/>
  <c r="AC15" i="8"/>
  <c r="AB15" i="8"/>
  <c r="AD9" i="8"/>
  <c r="AC9" i="8"/>
  <c r="AB9" i="8"/>
  <c r="AD8" i="8"/>
  <c r="AC8" i="8"/>
  <c r="AB8" i="8"/>
  <c r="AD7" i="8"/>
  <c r="AC7" i="8"/>
  <c r="AB7" i="8"/>
  <c r="V11" i="7"/>
  <c r="U11" i="7"/>
  <c r="U10" i="7" s="1"/>
  <c r="U9" i="7" s="1"/>
  <c r="A11" i="7"/>
  <c r="V10" i="7"/>
  <c r="V9" i="7"/>
  <c r="V8" i="7" s="1"/>
  <c r="V7" i="7" s="1"/>
  <c r="V6" i="7" s="1"/>
  <c r="V5" i="7" s="1"/>
  <c r="V4" i="7" s="1"/>
  <c r="U8" i="7"/>
  <c r="U7" i="7" s="1"/>
  <c r="U6" i="7" s="1"/>
  <c r="U5" i="7" s="1"/>
  <c r="U4" i="7" s="1"/>
  <c r="V11" i="6"/>
  <c r="V10" i="6" s="1"/>
  <c r="V9" i="6" s="1"/>
  <c r="V8" i="6" s="1"/>
  <c r="V7" i="6" s="1"/>
  <c r="V6" i="6" s="1"/>
  <c r="V5" i="6" s="1"/>
  <c r="V4" i="6" s="1"/>
  <c r="U10" i="6"/>
  <c r="U9" i="6" s="1"/>
  <c r="U8" i="6" s="1"/>
  <c r="U7" i="6" s="1"/>
  <c r="U6" i="6" s="1"/>
  <c r="U5" i="6" s="1"/>
  <c r="U4" i="6" s="1"/>
  <c r="L2" i="6"/>
  <c r="L1" i="6"/>
  <c r="U11" i="6" s="1"/>
  <c r="V11" i="5"/>
  <c r="V10" i="5" s="1"/>
  <c r="V9" i="5" s="1"/>
  <c r="V8" i="5" s="1"/>
  <c r="V7" i="5" s="1"/>
  <c r="V6" i="5" s="1"/>
  <c r="V5" i="5" s="1"/>
  <c r="V4" i="5" s="1"/>
  <c r="L2" i="5"/>
  <c r="L1" i="5"/>
  <c r="U11" i="5" s="1"/>
  <c r="U10" i="5" s="1"/>
  <c r="U9" i="5" s="1"/>
  <c r="U8" i="5" s="1"/>
  <c r="U7" i="5" s="1"/>
  <c r="U6" i="5" s="1"/>
  <c r="U5" i="5" s="1"/>
  <c r="U4" i="5" s="1"/>
  <c r="Q26" i="1"/>
  <c r="R26" i="1" s="1"/>
  <c r="P26" i="1"/>
  <c r="P25" i="1"/>
  <c r="P24" i="1"/>
  <c r="Q23" i="1"/>
  <c r="R23" i="1" s="1"/>
  <c r="P23" i="1"/>
  <c r="P22" i="1"/>
  <c r="Q21" i="1"/>
  <c r="P21" i="1"/>
  <c r="P20" i="1"/>
  <c r="P19" i="1"/>
  <c r="Q18" i="1"/>
  <c r="P18" i="1"/>
  <c r="R18" i="1" s="1"/>
  <c r="P17" i="1"/>
  <c r="P16" i="1"/>
  <c r="Q14" i="1"/>
  <c r="AD64" i="8" l="1"/>
  <c r="AC56" i="8"/>
  <c r="AD63" i="8"/>
  <c r="AD55" i="8"/>
  <c r="AC65" i="8"/>
  <c r="AD57" i="8"/>
  <c r="AC64" i="8"/>
  <c r="AD66" i="8"/>
  <c r="AD58" i="8"/>
  <c r="AC57" i="8"/>
  <c r="AC55" i="8"/>
  <c r="AB58" i="8"/>
  <c r="AC63" i="8"/>
  <c r="AB66" i="8"/>
  <c r="AC58" i="8"/>
  <c r="AC66" i="8"/>
  <c r="AD65" i="8"/>
  <c r="AB56" i="8"/>
  <c r="AB64" i="8"/>
  <c r="AD43" i="8"/>
  <c r="AD42" i="8"/>
  <c r="AD34" i="8"/>
  <c r="AD41" i="8"/>
  <c r="AD33" i="8"/>
  <c r="AD32" i="8"/>
  <c r="AC43" i="8"/>
  <c r="AD44" i="8"/>
  <c r="AD36" i="8"/>
  <c r="AB34" i="8"/>
  <c r="AD40" i="8"/>
  <c r="AC42" i="8"/>
  <c r="AC34" i="8"/>
  <c r="AB32" i="8"/>
  <c r="AC32" i="8"/>
  <c r="AC44" i="8"/>
  <c r="AC36" i="8"/>
  <c r="AB33" i="8"/>
  <c r="AB41" i="8"/>
  <c r="AC33" i="8"/>
  <c r="AB36" i="8"/>
  <c r="AC41" i="8"/>
  <c r="AB44" i="8"/>
  <c r="AC12" i="8"/>
  <c r="AB22" i="8"/>
  <c r="AB14" i="8"/>
  <c r="AB13" i="8"/>
  <c r="AC13" i="8"/>
  <c r="AC22" i="8"/>
  <c r="AC14" i="8"/>
  <c r="AD11" i="8"/>
  <c r="AC19" i="8"/>
  <c r="AC11" i="8"/>
  <c r="AD19" i="8"/>
  <c r="AD18" i="8"/>
  <c r="AD10" i="8"/>
  <c r="AD12" i="8"/>
  <c r="AD20" i="8"/>
  <c r="AD14" i="8"/>
  <c r="AB20" i="8"/>
  <c r="AD22" i="8"/>
  <c r="AB10" i="8"/>
  <c r="AC10" i="8"/>
  <c r="AC18" i="8"/>
  <c r="AC21" i="8"/>
  <c r="AB11" i="8"/>
  <c r="AB19" i="8"/>
  <c r="AB6" i="8"/>
  <c r="AC6" i="8"/>
  <c r="AD6" i="8"/>
  <c r="P11" i="7"/>
  <c r="O11" i="7"/>
  <c r="H11" i="7"/>
  <c r="G11" i="7"/>
  <c r="N11" i="7"/>
  <c r="R17" i="1"/>
  <c r="Q20" i="1"/>
  <c r="R20" i="1" s="1"/>
  <c r="Q17" i="1"/>
  <c r="Q22" i="1"/>
  <c r="R22" i="1" s="1"/>
  <c r="Q25" i="1"/>
  <c r="R25" i="1" s="1"/>
  <c r="Q19" i="1"/>
  <c r="R19" i="1" s="1"/>
  <c r="Q24" i="1"/>
  <c r="R24" i="1" s="1"/>
  <c r="Q16" i="1"/>
  <c r="R16" i="1" s="1"/>
  <c r="R21" i="1"/>
  <c r="Q11" i="7"/>
  <c r="R11" i="7"/>
  <c r="I11" i="7"/>
  <c r="A10" i="7"/>
  <c r="B11" i="7"/>
  <c r="A11" i="5"/>
  <c r="A11" i="6"/>
  <c r="C11" i="7"/>
  <c r="K11" i="7"/>
  <c r="S11" i="7"/>
  <c r="D11" i="7"/>
  <c r="L11" i="7"/>
  <c r="E11" i="7"/>
  <c r="M11" i="7"/>
  <c r="J11" i="7"/>
  <c r="F11" i="7"/>
  <c r="Y11" i="7" l="1"/>
  <c r="Z11" i="7"/>
  <c r="M10" i="7"/>
  <c r="E10" i="7"/>
  <c r="I10" i="7"/>
  <c r="H10" i="7"/>
  <c r="L10" i="7"/>
  <c r="D10" i="7"/>
  <c r="S10" i="7"/>
  <c r="K10" i="7"/>
  <c r="C10" i="7"/>
  <c r="Q10" i="7"/>
  <c r="R10" i="7"/>
  <c r="J10" i="7"/>
  <c r="B10" i="7"/>
  <c r="A9" i="7"/>
  <c r="P10" i="7"/>
  <c r="O10" i="7"/>
  <c r="N10" i="7"/>
  <c r="F10" i="7"/>
  <c r="G10" i="7"/>
  <c r="L11" i="6"/>
  <c r="D11" i="6"/>
  <c r="P11" i="6"/>
  <c r="S11" i="6"/>
  <c r="K11" i="6"/>
  <c r="C11" i="6"/>
  <c r="R11" i="6"/>
  <c r="J11" i="6"/>
  <c r="B11" i="6"/>
  <c r="A10" i="6"/>
  <c r="Q11" i="6"/>
  <c r="I11" i="6"/>
  <c r="H11" i="6"/>
  <c r="O11" i="6"/>
  <c r="G11" i="6"/>
  <c r="N11" i="6"/>
  <c r="F11" i="6"/>
  <c r="M11" i="6"/>
  <c r="E11" i="6"/>
  <c r="L11" i="5"/>
  <c r="D11" i="5"/>
  <c r="G11" i="5"/>
  <c r="S11" i="5"/>
  <c r="K11" i="5"/>
  <c r="C11" i="5"/>
  <c r="R11" i="5"/>
  <c r="J11" i="5"/>
  <c r="B11" i="5"/>
  <c r="A10" i="5"/>
  <c r="P11" i="5"/>
  <c r="O11" i="5"/>
  <c r="Q11" i="5"/>
  <c r="I11" i="5"/>
  <c r="H11" i="5"/>
  <c r="M11" i="5"/>
  <c r="F11" i="5"/>
  <c r="E11" i="5"/>
  <c r="N11" i="5"/>
  <c r="L9" i="7" l="1"/>
  <c r="D9" i="7"/>
  <c r="P9" i="7"/>
  <c r="S9" i="7"/>
  <c r="K9" i="7"/>
  <c r="C9" i="7"/>
  <c r="R9" i="7"/>
  <c r="J9" i="7"/>
  <c r="B9" i="7"/>
  <c r="A8" i="7"/>
  <c r="Q9" i="7"/>
  <c r="I9" i="7"/>
  <c r="G9" i="7"/>
  <c r="H9" i="7"/>
  <c r="O9" i="7"/>
  <c r="N9" i="7"/>
  <c r="F9" i="7"/>
  <c r="M9" i="7"/>
  <c r="E9" i="7"/>
  <c r="S10" i="6"/>
  <c r="K10" i="6"/>
  <c r="C10" i="6"/>
  <c r="G10" i="6"/>
  <c r="N10" i="6"/>
  <c r="R10" i="6"/>
  <c r="J10" i="6"/>
  <c r="B10" i="6"/>
  <c r="A9" i="6"/>
  <c r="Q10" i="6"/>
  <c r="I10" i="6"/>
  <c r="P10" i="6"/>
  <c r="H10" i="6"/>
  <c r="F10" i="6"/>
  <c r="O10" i="6"/>
  <c r="E10" i="6"/>
  <c r="M10" i="6"/>
  <c r="D10" i="6"/>
  <c r="L10" i="6"/>
  <c r="Y10" i="7"/>
  <c r="Z10" i="7"/>
  <c r="Z11" i="6"/>
  <c r="Y11" i="6"/>
  <c r="S10" i="5"/>
  <c r="K10" i="5"/>
  <c r="C10" i="5"/>
  <c r="O10" i="5"/>
  <c r="R10" i="5"/>
  <c r="J10" i="5"/>
  <c r="B10" i="5"/>
  <c r="A9" i="5"/>
  <c r="Q10" i="5"/>
  <c r="I10" i="5"/>
  <c r="G10" i="5"/>
  <c r="F10" i="5"/>
  <c r="P10" i="5"/>
  <c r="H10" i="5"/>
  <c r="N10" i="5"/>
  <c r="D10" i="5"/>
  <c r="M10" i="5"/>
  <c r="L10" i="5"/>
  <c r="E10" i="5"/>
  <c r="Z11" i="5"/>
  <c r="Y11" i="5"/>
  <c r="R9" i="6" l="1"/>
  <c r="J9" i="6"/>
  <c r="B9" i="6"/>
  <c r="A8" i="6"/>
  <c r="Q9" i="6"/>
  <c r="I9" i="6"/>
  <c r="P9" i="6"/>
  <c r="H9" i="6"/>
  <c r="N9" i="6"/>
  <c r="O9" i="6"/>
  <c r="G9" i="6"/>
  <c r="M9" i="6"/>
  <c r="F9" i="6"/>
  <c r="E9" i="6"/>
  <c r="D9" i="6"/>
  <c r="K9" i="6"/>
  <c r="C9" i="6"/>
  <c r="S9" i="6"/>
  <c r="L9" i="6"/>
  <c r="R9" i="5"/>
  <c r="J9" i="5"/>
  <c r="B9" i="5"/>
  <c r="A8" i="5"/>
  <c r="F9" i="5"/>
  <c r="M9" i="5"/>
  <c r="Q9" i="5"/>
  <c r="I9" i="5"/>
  <c r="P9" i="5"/>
  <c r="H9" i="5"/>
  <c r="O9" i="5"/>
  <c r="G9" i="5"/>
  <c r="N9" i="5"/>
  <c r="E9" i="5"/>
  <c r="S9" i="5"/>
  <c r="L9" i="5"/>
  <c r="D9" i="5"/>
  <c r="C9" i="5"/>
  <c r="K9" i="5"/>
  <c r="Z10" i="6"/>
  <c r="Y10" i="6"/>
  <c r="S8" i="7"/>
  <c r="K8" i="7"/>
  <c r="C8" i="7"/>
  <c r="G8" i="7"/>
  <c r="R8" i="7"/>
  <c r="J8" i="7"/>
  <c r="B8" i="7"/>
  <c r="A7" i="7"/>
  <c r="Q8" i="7"/>
  <c r="I8" i="7"/>
  <c r="O8" i="7"/>
  <c r="P8" i="7"/>
  <c r="H8" i="7"/>
  <c r="F8" i="7"/>
  <c r="N8" i="7"/>
  <c r="E8" i="7"/>
  <c r="M8" i="7"/>
  <c r="D8" i="7"/>
  <c r="L8" i="7"/>
  <c r="Z10" i="5"/>
  <c r="Y10" i="5"/>
  <c r="Z9" i="7"/>
  <c r="Y9" i="7"/>
  <c r="Q8" i="5" l="1"/>
  <c r="I8" i="5"/>
  <c r="M8" i="5"/>
  <c r="P8" i="5"/>
  <c r="H8" i="5"/>
  <c r="O8" i="5"/>
  <c r="G8" i="5"/>
  <c r="N8" i="5"/>
  <c r="F8" i="5"/>
  <c r="E8" i="5"/>
  <c r="L8" i="5"/>
  <c r="D8" i="5"/>
  <c r="R8" i="5"/>
  <c r="J8" i="5"/>
  <c r="C8" i="5"/>
  <c r="A7" i="5"/>
  <c r="B8" i="5"/>
  <c r="K8" i="5"/>
  <c r="S8" i="5"/>
  <c r="R7" i="7"/>
  <c r="J7" i="7"/>
  <c r="B7" i="7"/>
  <c r="A6" i="7"/>
  <c r="F7" i="7"/>
  <c r="M7" i="7"/>
  <c r="Q7" i="7"/>
  <c r="I7" i="7"/>
  <c r="P7" i="7"/>
  <c r="H7" i="7"/>
  <c r="E7" i="7"/>
  <c r="O7" i="7"/>
  <c r="G7" i="7"/>
  <c r="N7" i="7"/>
  <c r="D7" i="7"/>
  <c r="C7" i="7"/>
  <c r="S7" i="7"/>
  <c r="K7" i="7"/>
  <c r="L7" i="7"/>
  <c r="Z9" i="5"/>
  <c r="Y9" i="5"/>
  <c r="Y8" i="7"/>
  <c r="Z8" i="7"/>
  <c r="Q8" i="6"/>
  <c r="I8" i="6"/>
  <c r="L8" i="6"/>
  <c r="P8" i="6"/>
  <c r="H8" i="6"/>
  <c r="O8" i="6"/>
  <c r="G8" i="6"/>
  <c r="E8" i="6"/>
  <c r="D8" i="6"/>
  <c r="N8" i="6"/>
  <c r="F8" i="6"/>
  <c r="M8" i="6"/>
  <c r="R8" i="6"/>
  <c r="J8" i="6"/>
  <c r="A7" i="6"/>
  <c r="C8" i="6"/>
  <c r="B8" i="6"/>
  <c r="S8" i="6"/>
  <c r="K8" i="6"/>
  <c r="Z9" i="6"/>
  <c r="Y9" i="6"/>
  <c r="Q6" i="7" l="1"/>
  <c r="I6" i="7"/>
  <c r="P6" i="7"/>
  <c r="H6" i="7"/>
  <c r="O6" i="7"/>
  <c r="G6" i="7"/>
  <c r="E6" i="7"/>
  <c r="D6" i="7"/>
  <c r="N6" i="7"/>
  <c r="F6" i="7"/>
  <c r="M6" i="7"/>
  <c r="L6" i="7"/>
  <c r="S6" i="7"/>
  <c r="K6" i="7"/>
  <c r="R6" i="7"/>
  <c r="B6" i="7"/>
  <c r="J6" i="7"/>
  <c r="C6" i="7"/>
  <c r="Z7" i="7"/>
  <c r="Y7" i="7"/>
  <c r="P7" i="5"/>
  <c r="H7" i="5"/>
  <c r="S7" i="5"/>
  <c r="O7" i="5"/>
  <c r="G7" i="5"/>
  <c r="N7" i="5"/>
  <c r="F7" i="5"/>
  <c r="L7" i="5"/>
  <c r="C7" i="5"/>
  <c r="M7" i="5"/>
  <c r="E7" i="5"/>
  <c r="D7" i="5"/>
  <c r="J7" i="5"/>
  <c r="I7" i="5"/>
  <c r="A6" i="5"/>
  <c r="R7" i="5"/>
  <c r="Q7" i="5"/>
  <c r="B7" i="5"/>
  <c r="K7" i="5"/>
  <c r="Z8" i="6"/>
  <c r="Y8" i="6"/>
  <c r="P7" i="6"/>
  <c r="H7" i="6"/>
  <c r="L7" i="6"/>
  <c r="O7" i="6"/>
  <c r="G7" i="6"/>
  <c r="N7" i="6"/>
  <c r="F7" i="6"/>
  <c r="K7" i="6"/>
  <c r="M7" i="6"/>
  <c r="E7" i="6"/>
  <c r="S7" i="6"/>
  <c r="C7" i="6"/>
  <c r="D7" i="6"/>
  <c r="Q7" i="6"/>
  <c r="A6" i="6"/>
  <c r="I7" i="6"/>
  <c r="R7" i="6"/>
  <c r="J7" i="6"/>
  <c r="B7" i="6"/>
  <c r="Z8" i="5"/>
  <c r="Y8" i="5"/>
  <c r="O6" i="6" l="1"/>
  <c r="G6" i="6"/>
  <c r="C6" i="6"/>
  <c r="J6" i="6"/>
  <c r="N6" i="6"/>
  <c r="F6" i="6"/>
  <c r="M6" i="6"/>
  <c r="E6" i="6"/>
  <c r="S6" i="6"/>
  <c r="R6" i="6"/>
  <c r="L6" i="6"/>
  <c r="D6" i="6"/>
  <c r="K6" i="6"/>
  <c r="B6" i="6"/>
  <c r="H6" i="6"/>
  <c r="P6" i="6"/>
  <c r="Q6" i="6"/>
  <c r="I6" i="6"/>
  <c r="Z7" i="6"/>
  <c r="Y7" i="6"/>
  <c r="Z6" i="7"/>
  <c r="Y6" i="7"/>
  <c r="Z7" i="5"/>
  <c r="Y7" i="5"/>
  <c r="O6" i="5"/>
  <c r="G6" i="5"/>
  <c r="K6" i="5"/>
  <c r="N6" i="5"/>
  <c r="F6" i="5"/>
  <c r="M6" i="5"/>
  <c r="E6" i="5"/>
  <c r="C6" i="5"/>
  <c r="L6" i="5"/>
  <c r="D6" i="5"/>
  <c r="S6" i="5"/>
  <c r="R6" i="5"/>
  <c r="H6" i="5"/>
  <c r="Q6" i="5"/>
  <c r="J6" i="5"/>
  <c r="B6" i="5"/>
  <c r="P6" i="5"/>
  <c r="I6" i="5"/>
  <c r="Z6" i="5" l="1"/>
  <c r="Y6" i="5"/>
  <c r="Z6" i="6"/>
  <c r="Y6" i="6"/>
</calcChain>
</file>

<file path=xl/sharedStrings.xml><?xml version="1.0" encoding="utf-8"?>
<sst xmlns="http://schemas.openxmlformats.org/spreadsheetml/2006/main" count="647" uniqueCount="429">
  <si>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</si>
  <si>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</si>
  <si>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</si>
  <si>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</si>
  <si>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</si>
  <si>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</si>
  <si>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</si>
  <si>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</si>
  <si>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</si>
  <si>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</si>
  <si>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</si>
  <si>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</si>
  <si>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</si>
  <si>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</si>
  <si>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</si>
  <si>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</si>
  <si>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</si>
  <si>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</si>
  <si>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</si>
  <si>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</si>
  <si>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</si>
  <si>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</si>
  <si>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</si>
  <si>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</si>
  <si>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</si>
  <si>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</si>
  <si>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</si>
  <si>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</si>
  <si>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</si>
  <si>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</si>
  <si>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</si>
  <si>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</si>
  <si>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</si>
  <si>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</si>
  <si>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</si>
  <si>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</si>
  <si>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</si>
  <si>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</si>
  <si>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</si>
  <si>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</si>
  <si>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</si>
  <si>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</si>
  <si>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</si>
  <si>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</si>
  <si>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</si>
  <si>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</si>
  <si>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</si>
  <si>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</si>
  <si>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</si>
  <si>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</si>
  <si>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Last Month</t>
  </si>
  <si>
    <t>Min</t>
  </si>
  <si>
    <t>Max</t>
  </si>
  <si>
    <t>Sectors Trend'!$A$6:$U$23</t>
  </si>
  <si>
    <t>* to modify</t>
  </si>
  <si>
    <t>Add column</t>
  </si>
  <si>
    <t>To modify</t>
  </si>
  <si>
    <t>Average</t>
  </si>
  <si>
    <t>mom</t>
  </si>
  <si>
    <t>3 months</t>
  </si>
  <si>
    <t>6 months</t>
  </si>
  <si>
    <t>Date</t>
  </si>
  <si>
    <t>ISM Services vs GDP</t>
  </si>
  <si>
    <t>GDP growth yoy %</t>
  </si>
  <si>
    <t>GDP growth qoq %</t>
  </si>
  <si>
    <t>GDP growth q/q % (annualised)</t>
  </si>
  <si>
    <t>Change</t>
  </si>
  <si>
    <t>Month</t>
  </si>
  <si>
    <t>“Supply chain challenges to procure supplies for our restaurants remains our greatest obstacle at present, along with staffing needs. We are considering another price increase after just one in 2021, in August.” [Accommodation &amp; Food Services]</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</si>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</sst>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10" fillId="0" borderId="0"/>
    <xf numFmtId="9" fontId="11" fillId="0" borderId="0"/>
  </cellStyleXfs>
  <cellXfs count="115">
    <xf numFmtId="0" fontId="0" fillId="0" borderId="0" xfId="0"/>
    <xf numFmtId="0" fontId="6" fillId="0" borderId="0" xfId="1" applyFont="1"/>
    <xf numFmtId="0" fontId="3" fillId="4" borderId="1" xfId="1" applyFont="1" applyFill="1" applyBorder="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15" fillId="0" borderId="0" xfId="0" applyFont="1"/>
    <xf numFmtId="0" fontId="0" fillId="2" borderId="0" xfId="0" applyFill="1" applyAlignment="1">
      <alignment vertical="center"/>
    </xf>
    <xf numFmtId="0" fontId="16" fillId="2" borderId="0" xfId="0" applyFont="1" applyFill="1"/>
    <xf numFmtId="14" fontId="17" fillId="2" borderId="20" xfId="0" applyNumberFormat="1" applyFont="1" applyFill="1" applyBorder="1" applyAlignment="1">
      <alignment horizontal="center"/>
    </xf>
    <xf numFmtId="14" fontId="13" fillId="2" borderId="20" xfId="0" applyNumberFormat="1" applyFont="1" applyFill="1" applyBorder="1" applyAlignment="1">
      <alignment horizontal="center"/>
    </xf>
    <xf numFmtId="0" fontId="13" fillId="2" borderId="14" xfId="0" applyFont="1" applyFill="1" applyBorder="1" applyAlignment="1">
      <alignment horizontal="center"/>
    </xf>
    <xf numFmtId="0" fontId="13" fillId="5" borderId="1" xfId="0" applyFont="1" applyFill="1" applyBorder="1"/>
    <xf numFmtId="0" fontId="13" fillId="2" borderId="4" xfId="0" applyFont="1" applyFill="1" applyBorder="1" applyAlignment="1">
      <alignment horizontal="center"/>
    </xf>
    <xf numFmtId="0" fontId="13" fillId="2" borderId="15"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2" xfId="0" applyFill="1" applyBorder="1" applyAlignment="1">
      <alignment horizontal="center"/>
    </xf>
    <xf numFmtId="164" fontId="0" fillId="2" borderId="23" xfId="3" applyNumberFormat="1" applyFont="1" applyFill="1" applyBorder="1" applyAlignment="1">
      <alignment horizontal="center"/>
    </xf>
    <xf numFmtId="164" fontId="0" fillId="2" borderId="25" xfId="3" applyNumberFormat="1" applyFont="1" applyFill="1" applyBorder="1" applyAlignment="1">
      <alignment horizontal="center"/>
    </xf>
    <xf numFmtId="0" fontId="0" fillId="2" borderId="27" xfId="0" applyFill="1" applyBorder="1" applyAlignment="1">
      <alignment horizontal="center"/>
    </xf>
    <xf numFmtId="164" fontId="0" fillId="2" borderId="28" xfId="3" applyNumberFormat="1" applyFont="1" applyFill="1" applyBorder="1" applyAlignment="1">
      <alignment horizontal="center"/>
    </xf>
    <xf numFmtId="0" fontId="13" fillId="2" borderId="0" xfId="0" applyFont="1" applyFill="1"/>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2" xfId="0" applyFill="1" applyBorder="1"/>
    <xf numFmtId="0" fontId="0" fillId="2" borderId="23" xfId="0" applyFill="1" applyBorder="1"/>
    <xf numFmtId="0" fontId="0" fillId="2" borderId="25" xfId="0" applyFill="1" applyBorder="1"/>
    <xf numFmtId="0" fontId="0" fillId="2" borderId="27" xfId="0" applyFill="1" applyBorder="1"/>
    <xf numFmtId="0" fontId="0" fillId="2" borderId="28"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8" xfId="0" applyFont="1" applyFill="1" applyBorder="1" applyAlignment="1">
      <alignment horizontal="center" wrapText="1"/>
    </xf>
    <xf numFmtId="0" fontId="13" fillId="6" borderId="19"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0" xfId="0" applyFont="1" applyFill="1" applyBorder="1" applyAlignment="1">
      <alignment horizontal="center" vertical="center"/>
    </xf>
    <xf numFmtId="164" fontId="22" fillId="6" borderId="31" xfId="0" applyNumberFormat="1" applyFont="1" applyFill="1" applyBorder="1" applyAlignment="1">
      <alignment horizontal="center" vertical="center" wrapText="1"/>
    </xf>
    <xf numFmtId="10" fontId="22" fillId="6" borderId="32" xfId="0" applyNumberFormat="1" applyFont="1" applyFill="1" applyBorder="1" applyAlignment="1">
      <alignment horizontal="center" vertical="center" wrapText="1"/>
    </xf>
    <xf numFmtId="164" fontId="22" fillId="6" borderId="32" xfId="0" applyNumberFormat="1" applyFont="1" applyFill="1" applyBorder="1" applyAlignment="1">
      <alignment horizontal="center" vertical="center" wrapText="1"/>
    </xf>
    <xf numFmtId="2" fontId="22" fillId="6" borderId="33"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xf numFmtId="14" fontId="25" fillId="2" borderId="0" xfId="0" applyNumberFormat="1" applyFont="1" applyFill="1" applyAlignment="1">
      <alignment horizontal="center"/>
    </xf>
    <xf numFmtId="0" fontId="25" fillId="2" borderId="0" xfId="0" applyFont="1" applyFill="1"/>
    <xf numFmtId="0" fontId="23" fillId="6" borderId="2" xfId="0" applyFont="1" applyFill="1" applyBorder="1" applyAlignment="1">
      <alignment horizontal="center"/>
    </xf>
    <xf numFmtId="14" fontId="23" fillId="6" borderId="18" xfId="0" applyNumberFormat="1" applyFont="1" applyFill="1" applyBorder="1" applyAlignment="1">
      <alignment horizontal="center"/>
    </xf>
    <xf numFmtId="0" fontId="23" fillId="6" borderId="19" xfId="0" applyFont="1" applyFill="1" applyBorder="1" applyAlignment="1">
      <alignment horizontal="center"/>
    </xf>
    <xf numFmtId="0" fontId="26" fillId="2" borderId="12" xfId="0" applyFont="1" applyFill="1" applyBorder="1" applyAlignment="1">
      <alignment horizontal="center" vertical="center" wrapText="1"/>
    </xf>
    <xf numFmtId="14" fontId="26" fillId="2" borderId="13" xfId="0" applyNumberFormat="1" applyFont="1" applyFill="1" applyBorder="1" applyAlignment="1">
      <alignment horizontal="center"/>
    </xf>
    <xf numFmtId="0" fontId="9" fillId="2" borderId="14"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Alignment="1">
      <alignment horizontal="center"/>
    </xf>
    <xf numFmtId="0" fontId="9" fillId="2" borderId="15" xfId="0" applyFont="1" applyFill="1" applyBorder="1"/>
    <xf numFmtId="0" fontId="9" fillId="2" borderId="15" xfId="0" applyFont="1" applyFill="1" applyBorder="1" applyAlignment="1">
      <alignment horizontal="left" vertical="center" indent="2"/>
    </xf>
    <xf numFmtId="0" fontId="26" fillId="2" borderId="16" xfId="0" applyFont="1" applyFill="1" applyBorder="1" applyAlignment="1">
      <alignment horizontal="center" vertical="center" wrapText="1"/>
    </xf>
    <xf numFmtId="14" fontId="26" fillId="2" borderId="11" xfId="0" applyNumberFormat="1" applyFont="1" applyFill="1" applyBorder="1" applyAlignment="1">
      <alignment horizontal="center"/>
    </xf>
    <xf numFmtId="0" fontId="9" fillId="2" borderId="17" xfId="0" applyFont="1" applyFill="1" applyBorder="1"/>
    <xf numFmtId="14" fontId="26" fillId="2" borderId="13" xfId="0" applyNumberFormat="1" applyFont="1" applyFill="1" applyBorder="1" applyAlignment="1">
      <alignment horizontal="center" vertical="center"/>
    </xf>
    <xf numFmtId="14" fontId="26" fillId="2" borderId="0" xfId="0" applyNumberFormat="1" applyFont="1" applyFill="1" applyAlignment="1">
      <alignment horizontal="center" vertical="center"/>
    </xf>
    <xf numFmtId="14" fontId="26" fillId="2" borderId="11" xfId="0" applyNumberFormat="1" applyFont="1" applyFill="1" applyBorder="1" applyAlignment="1">
      <alignment horizontal="center" vertical="center"/>
    </xf>
    <xf numFmtId="0" fontId="9" fillId="2" borderId="17" xfId="0" applyFont="1" applyFill="1" applyBorder="1" applyAlignment="1">
      <alignment horizontal="left" vertical="center" indent="2"/>
    </xf>
    <xf numFmtId="0" fontId="13" fillId="6" borderId="12"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9" fillId="2" borderId="14" xfId="0" applyFont="1" applyFill="1" applyBorder="1" applyAlignment="1">
      <alignment horizontal="left" vertical="center" indent="2"/>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3" fillId="5" borderId="34" xfId="0" applyFont="1" applyFill="1" applyBorder="1" applyAlignment="1">
      <alignment horizontal="center"/>
    </xf>
    <xf numFmtId="0" fontId="0" fillId="0" borderId="18" xfId="0" applyBorder="1"/>
    <xf numFmtId="0" fontId="0" fillId="0" borderId="19" xfId="0" applyBorder="1"/>
    <xf numFmtId="0" fontId="13" fillId="2" borderId="11" xfId="0" applyFont="1" applyFill="1" applyBorder="1" applyAlignment="1">
      <alignment horizontal="center" vertical="center"/>
    </xf>
    <xf numFmtId="0" fontId="0" fillId="2" borderId="0" xfId="0" applyFill="1"/>
    <xf numFmtId="0" fontId="0" fillId="0" borderId="11" xfId="0" applyBorder="1"/>
    <xf numFmtId="0" fontId="12" fillId="6" borderId="34" xfId="0" applyFont="1" applyFill="1" applyBorder="1" applyAlignment="1">
      <alignment horizontal="center"/>
    </xf>
    <xf numFmtId="0" fontId="13" fillId="5" borderId="1" xfId="0" applyFont="1" applyFill="1" applyBorder="1" applyAlignment="1">
      <alignment horizontal="center"/>
    </xf>
    <xf numFmtId="0" fontId="0" fillId="0" borderId="9" xfId="0" applyBorder="1"/>
    <xf numFmtId="0" fontId="0" fillId="0" borderId="10" xfId="0" applyBorder="1"/>
    <xf numFmtId="0" fontId="14" fillId="2" borderId="0" xfId="0" applyFont="1" applyFill="1" applyAlignment="1">
      <alignment wrapText="1"/>
    </xf>
    <xf numFmtId="0" fontId="13" fillId="5" borderId="24" xfId="0" applyFont="1" applyFill="1" applyBorder="1" applyAlignment="1">
      <alignment horizontal="center" wrapText="1"/>
    </xf>
    <xf numFmtId="0" fontId="0" fillId="2" borderId="0" xfId="0" applyFill="1" applyAlignment="1">
      <alignment wrapText="1"/>
    </xf>
    <xf numFmtId="0" fontId="13" fillId="5" borderId="21" xfId="0" applyFont="1" applyFill="1" applyBorder="1" applyAlignment="1">
      <alignment horizontal="center" wrapText="1"/>
    </xf>
    <xf numFmtId="0" fontId="0" fillId="0" borderId="35" xfId="0" applyBorder="1"/>
    <xf numFmtId="0" fontId="13" fillId="5" borderId="26" xfId="0" applyFont="1" applyFill="1" applyBorder="1" applyAlignment="1">
      <alignment horizontal="center" wrapText="1"/>
    </xf>
    <xf numFmtId="0" fontId="0" fillId="0" borderId="36" xfId="0" applyBorder="1"/>
    <xf numFmtId="0" fontId="18" fillId="6" borderId="34" xfId="0" applyFont="1" applyFill="1" applyBorder="1" applyAlignment="1">
      <alignment horizontal="center" vertical="center"/>
    </xf>
    <xf numFmtId="0" fontId="0" fillId="0" borderId="29" xfId="0" applyBorder="1"/>
    <xf numFmtId="0" fontId="19" fillId="2" borderId="5" xfId="0" applyFont="1" applyFill="1" applyBorder="1" applyAlignment="1">
      <alignment horizontal="center" vertical="center"/>
    </xf>
    <xf numFmtId="0" fontId="0" fillId="0" borderId="6" xfId="0" applyBorder="1"/>
    <xf numFmtId="0" fontId="16"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B980-B54B-8774-761A0E358962}"/>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C97E-9744-B5A2-AAEBD46C911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24A6-8642-B0AE-151CCF61E845}"/>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19BE-5444-8181-DE63E13B7A5B}"/>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C0B4-6945-AAE1-9F9EFB169A00}"/>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E89A-4749-A4E3-82C264DF6877}"/>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B148-5541-BD98-779A160B8E46}"/>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D486-9848-9B86-B7464708F31C}"/>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9FA8-E048-814F-A3EBDC30E8A8}"/>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687D-B54C-8356-E3FCA01970CC}"/>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8C15-FE4D-8B5D-901453FCD356}"/>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7BE4-414A-854D-BC174432494D}"/>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122A-7241-B27E-6EAD76D17C9C}"/>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E43F-9640-82C0-042C767A451A}"/>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B419-5E4D-A8CD-85D79646A07C}"/>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9A22-EC4B-8B50-E2F26A972A78}"/>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7AB0-274D-8420-31ED81ED75C1}"/>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32CA-FF4E-B354-6367E732FE2C}"/>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4C03-6240-A85B-84D263265614}"/>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5FA3-E443-8057-B34C47256981}"/>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0976-2645-9536-0E26BBAE9B73}"/>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1343-5047-875E-C717812CBE24}"/>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0F55-0344-9FB9-D79C3D981249}"/>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32CB-B046-805A-02FC63F7233C}"/>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4C8D-9D49-811D-C0D8E5A97576}"/>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CD75-9A4C-8A1E-5670A4DD9AEF}"/>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B7C7-7844-9246-5F264C6F73A3}"/>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8CD7-6B49-A540-3878A2BAF984}"/>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CCB0-0343-BBC8-85523AAEE366}"/>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2502-BF49-89F7-7D1BD4E6861C}"/>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8281-9B4F-973B-4088087E22FC}"/>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D9E4-974C-9399-F5B7174BBDB1}"/>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822F-9046-9A2B-83CD2040A316}"/>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657F-AF4A-B435-173EE35078AA}"/>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4BF6-AA49-931D-087A3B4E5BCD}"/>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9636-A449-A739-41BD9DF54727}"/>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3D7E-DA43-A46C-8BFC5BD76899}"/>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8AD5-964B-8E3C-34E80D999DAF}"/>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3A96-5145-9E6F-FBAE01374245}"/>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9EC7-FA49-8E2A-CB336F3397EA}"/>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392B-7242-8582-CBE99B7B1FA0}"/>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44FF-FD47-9D49-B0D98EACF47C}"/>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22B2-334F-8BF5-FAB7E0542F55}"/>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B44F-DD47-A755-539D766F84F3}"/>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6BDF-1444-9090-5486D735B8BB}"/>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DAB0-5947-84A5-50014B786F90}"/>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C9DC-9E45-9A32-730809B59E76}"/>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06B2-654C-802E-F67E76DDD737}"/>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53D5-3544-87CC-F84DE0EEDDC4}"/>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F6A8-A243-9DB0-3E74A297FB32}"/>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6761-C44D-AED3-DC76AE203A75}"/>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D05C-3341-8BF5-B4252BB062FB}"/>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E2BB-FF42-A723-0F8753367E01}"/>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95DC-554F-9717-242B04F19FE8}"/>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B23C-5E45-AA0D-48B503EC7316}"/>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D36E-DA45-B50A-C89307A3B9F5}"/>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55D-4C4C-993C-0AAFA120713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D22D-054A-8E5F-CDFB11C53C7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466E-A848-A301-602670366D9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41CF-E148-8EA5-D546CDB82F8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C97E-C941-966A-F97A9317436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31E2-0441-A9E5-8D91C249707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6614-A445-B89E-FA0EEB1E182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78AD-BB40-8232-1595C500DA7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27BB-3B47-9B2E-03A5ADC3AAA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5C12-5140-B1AA-EB07E14FB0F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4A3F-B240-B640-FD7EFCED79B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BF5E-0F47-8F37-18992E95C9E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0E65-114A-8BAE-8961ABE6FF7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5CC8-1C41-9756-58C006F1472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5D52-3A43-9B67-8844FC7F7A6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BE7C-7C4A-9D39-A23602849BA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334F-1B44-9FD2-E62FAD1CF0A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DCA6-EC49-AFDD-FB99DE86B9B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1EB6-8545-87B0-C6DE4A749C2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72BD-F743-88F8-19548468B2E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69B4-E34F-B4A2-98C26CF5D215}"/>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69B4-E34F-B4A2-98C26CF5D215}"/>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F360-6941-8B45-08064FCD4210}"/>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F360-6941-8B45-08064FCD4210}"/>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FB2A-E543-BB26-4182AACAB5DE}"/>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9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30" dataDxfId="28" headerRowBorderDxfId="29">
  <autoFilter ref="A5:L299" xr:uid="{00000000-0009-0000-0100-000001000000}"/>
  <tableColumns count="12">
    <tableColumn id="1" xr3:uid="{00000000-0010-0000-0000-000001000000}" name="Date" dataDxfId="27"/>
    <tableColumn id="5" xr3:uid="{00000000-0010-0000-0000-000005000000}" name="New Orders" dataDxfId="26"/>
    <tableColumn id="3" xr3:uid="{00000000-0010-0000-0000-000003000000}" name="Imports" dataDxfId="25"/>
    <tableColumn id="2" xr3:uid="{00000000-0010-0000-0000-000002000000}" name="Backlog Of Orders" dataDxfId="24"/>
    <tableColumn id="4" xr3:uid="{00000000-0010-0000-0000-000004000000}" name="Prices" dataDxfId="23"/>
    <tableColumn id="6" xr3:uid="{00000000-0010-0000-0000-000006000000}" name="Business Activity" dataDxfId="22"/>
    <tableColumn id="7" xr3:uid="{00000000-0010-0000-0000-000007000000}" name="Inventory Sentiment" dataDxfId="21"/>
    <tableColumn id="8" xr3:uid="{00000000-0010-0000-0000-000008000000}" name="Inventories" dataDxfId="20"/>
    <tableColumn id="9" xr3:uid="{00000000-0010-0000-0000-000009000000}" name="Deliveries" dataDxfId="19"/>
    <tableColumn id="10" xr3:uid="{00000000-0010-0000-0000-00000A000000}" name="Employment" dataDxfId="18"/>
    <tableColumn id="11" xr3:uid="{00000000-0010-0000-0000-00000B000000}" name="Exports" dataDxfId="17"/>
    <tableColumn id="13" xr3:uid="{00000000-0010-0000-0000-00000D000000}" name="ISM Services"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5" dataDxfId="13" headerRowBorderDxfId="14" tableBorderDxfId="12" totalsRowBorderDxfId="11">
  <autoFilter ref="A5:E299" xr:uid="{00000000-0009-0000-0100-000002000000}"/>
  <tableColumns count="5">
    <tableColumn id="1" xr3:uid="{00000000-0010-0000-0100-000001000000}" name="Date" dataDxfId="10"/>
    <tableColumn id="2" xr3:uid="{00000000-0010-0000-0100-000002000000}" name="ISM Services" dataDxfId="9"/>
    <tableColumn id="6" xr3:uid="{00000000-0010-0000-0100-000006000000}" name="GDP growth yoy %" dataDxfId="8"/>
    <tableColumn id="5" xr3:uid="{00000000-0010-0000-0100-000005000000}" name="GDP growth qoq %" dataDxfId="7"/>
    <tableColumn id="4" xr3:uid="{00000000-0010-0000-0100-000004000000}" name="GDP growth q/q % (annualised)" dataDxfId="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5" dataDxfId="3" headerRowBorderDxfId="4">
  <autoFilter ref="A5:C299" xr:uid="{00000000-0009-0000-0100-000003000000}"/>
  <tableColumns count="3">
    <tableColumn id="1" xr3:uid="{00000000-0010-0000-0200-000001000000}" name="Date" dataDxfId="2"/>
    <tableColumn id="3" xr3:uid="{00000000-0010-0000-0200-000003000000}" name="ISM Services" dataDxfId="1"/>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zoomScale="150" zoomScaleNormal="150" workbookViewId="0">
      <selection activeCell="L55" sqref="L55"/>
    </sheetView>
  </sheetViews>
  <sheetFormatPr baseColWidth="10" defaultColWidth="9.1640625" defaultRowHeight="15" x14ac:dyDescent="0.2"/>
  <cols>
    <col min="1" max="1" width="4" style="88" customWidth="1"/>
    <col min="2" max="5" width="12.83203125" style="88" customWidth="1"/>
    <col min="6" max="6" width="13.6640625" style="88" customWidth="1"/>
    <col min="7" max="10" width="12.83203125" style="88" customWidth="1"/>
    <col min="11" max="13" width="2" style="88" customWidth="1"/>
    <col min="14" max="14" width="9.1640625" style="88" customWidth="1"/>
    <col min="15" max="15" width="15.5" style="88" customWidth="1"/>
    <col min="16" max="18" width="12.6640625" style="88" customWidth="1"/>
    <col min="19" max="19" width="5.5" style="88" customWidth="1"/>
    <col min="20" max="20" width="16.6640625" style="88" customWidth="1"/>
    <col min="21" max="24" width="9.1640625" style="88" customWidth="1"/>
    <col min="25" max="16384" width="9.1640625" style="88"/>
  </cols>
  <sheetData>
    <row r="1" spans="2:21" x14ac:dyDescent="0.2">
      <c r="B1" s="95"/>
      <c r="C1" s="96"/>
      <c r="D1" s="96"/>
      <c r="E1" s="96"/>
      <c r="F1" s="96"/>
      <c r="G1" s="96"/>
      <c r="H1" s="96"/>
      <c r="I1" s="96"/>
      <c r="J1" s="96"/>
    </row>
    <row r="2" spans="2:21" ht="16" customHeight="1" thickBot="1" x14ac:dyDescent="0.25">
      <c r="B2" s="97"/>
      <c r="C2" s="97"/>
      <c r="D2" s="97"/>
      <c r="E2" s="97"/>
      <c r="F2" s="97"/>
      <c r="G2" s="97"/>
      <c r="H2" s="97"/>
      <c r="I2" s="97"/>
      <c r="J2" s="97"/>
    </row>
    <row r="3" spans="2:21" ht="16" customHeight="1" thickBot="1" x14ac:dyDescent="0.25">
      <c r="B3" s="98" t="s">
        <v>0</v>
      </c>
      <c r="C3" s="93"/>
      <c r="D3" s="93"/>
      <c r="E3" s="93"/>
      <c r="F3" s="93"/>
      <c r="G3" s="93"/>
      <c r="H3" s="93"/>
      <c r="I3" s="93"/>
      <c r="J3" s="94"/>
    </row>
    <row r="5" spans="2:21" x14ac:dyDescent="0.2">
      <c r="B5" s="99" t="s">
        <v>1</v>
      </c>
      <c r="C5" s="100"/>
      <c r="D5" s="100"/>
      <c r="E5" s="100"/>
      <c r="F5" s="100"/>
      <c r="G5" s="100"/>
      <c r="H5" s="100"/>
      <c r="I5" s="100"/>
      <c r="J5" s="101"/>
    </row>
    <row r="7" spans="2:21" ht="227.25" customHeight="1" x14ac:dyDescent="0.2">
      <c r="B7" s="102" t="s">
        <v>2</v>
      </c>
      <c r="C7" s="96"/>
      <c r="D7" s="96"/>
      <c r="E7" s="96"/>
      <c r="F7" s="96"/>
      <c r="G7" s="96"/>
      <c r="H7" s="96"/>
      <c r="I7" s="96"/>
      <c r="J7" s="96"/>
    </row>
    <row r="8" spans="2:21" ht="24" customHeight="1" x14ac:dyDescent="0.2">
      <c r="B8" s="9" t="s">
        <v>3</v>
      </c>
      <c r="C8" s="89"/>
      <c r="D8" s="89"/>
      <c r="E8" s="89"/>
      <c r="F8" s="89"/>
      <c r="G8" s="89"/>
      <c r="H8" s="89"/>
      <c r="I8" s="89"/>
      <c r="J8" s="89"/>
    </row>
    <row r="9" spans="2:21" ht="24" customHeight="1" x14ac:dyDescent="0.2">
      <c r="B9" s="9" t="s">
        <v>4</v>
      </c>
      <c r="C9" s="89"/>
      <c r="D9" s="89"/>
      <c r="E9" s="89"/>
      <c r="F9" s="89"/>
      <c r="G9" s="89"/>
      <c r="H9" s="89"/>
      <c r="I9" s="89"/>
      <c r="J9" s="89"/>
    </row>
    <row r="10" spans="2:21" ht="16" customHeight="1" thickBot="1" x14ac:dyDescent="0.25">
      <c r="B10" s="12"/>
      <c r="C10" s="13"/>
      <c r="D10" s="13"/>
      <c r="E10" s="13"/>
    </row>
    <row r="11" spans="2:21" ht="16" customHeight="1" thickBot="1" x14ac:dyDescent="0.25">
      <c r="B11" s="99" t="s">
        <v>5</v>
      </c>
      <c r="C11" s="100"/>
      <c r="D11" s="100"/>
      <c r="E11" s="100"/>
      <c r="F11" s="100"/>
      <c r="G11" s="100"/>
      <c r="H11" s="100"/>
      <c r="I11" s="100"/>
      <c r="J11" s="101"/>
      <c r="N11" s="92" t="s">
        <v>6</v>
      </c>
      <c r="O11" s="93"/>
      <c r="P11" s="93"/>
      <c r="Q11" s="93"/>
      <c r="R11" s="93"/>
      <c r="S11" s="93"/>
      <c r="T11" s="93"/>
      <c r="U11" s="94"/>
    </row>
    <row r="12" spans="2:21" x14ac:dyDescent="0.2">
      <c r="N12" s="14" t="s">
        <v>7</v>
      </c>
      <c r="T12" s="14" t="s">
        <v>8</v>
      </c>
    </row>
    <row r="13" spans="2:21" ht="16" customHeight="1" thickBot="1" x14ac:dyDescent="0.25">
      <c r="B13" s="99" t="s">
        <v>9</v>
      </c>
      <c r="C13" s="100"/>
      <c r="D13" s="100"/>
      <c r="E13" s="100"/>
      <c r="F13" s="101"/>
      <c r="G13" s="99" t="s">
        <v>10</v>
      </c>
      <c r="H13" s="100"/>
      <c r="I13" s="100"/>
      <c r="J13" s="101"/>
    </row>
    <row r="14" spans="2:21" x14ac:dyDescent="0.2">
      <c r="P14" s="15">
        <v>44531</v>
      </c>
      <c r="Q14" s="16">
        <f>DATE(YEAR(P14),MONTH(P14)-1,DAY(P14))</f>
        <v>44501</v>
      </c>
      <c r="R14" s="17"/>
      <c r="T14" s="18" t="s">
        <v>11</v>
      </c>
      <c r="U14" s="18" t="s">
        <v>12</v>
      </c>
    </row>
    <row r="15" spans="2:21" ht="16" customHeight="1" thickBot="1" x14ac:dyDescent="0.25">
      <c r="B15" s="96" t="s">
        <v>13</v>
      </c>
      <c r="C15" s="96"/>
      <c r="D15" s="96"/>
      <c r="E15" s="96"/>
      <c r="F15" s="96"/>
      <c r="G15" s="96" t="s">
        <v>14</v>
      </c>
      <c r="H15" s="96"/>
      <c r="I15" s="96"/>
      <c r="J15" s="96"/>
      <c r="P15" s="19" t="s">
        <v>15</v>
      </c>
      <c r="Q15" s="19" t="s">
        <v>15</v>
      </c>
      <c r="R15" s="20" t="s">
        <v>16</v>
      </c>
      <c r="T15" s="21" t="s">
        <v>17</v>
      </c>
      <c r="U15" s="22">
        <v>16</v>
      </c>
    </row>
    <row r="16" spans="2:21" ht="30.75" customHeight="1" x14ac:dyDescent="0.2">
      <c r="G16" s="104" t="s">
        <v>18</v>
      </c>
      <c r="H16" s="96"/>
      <c r="I16" s="96"/>
      <c r="J16" s="96"/>
      <c r="N16" s="105" t="s">
        <v>0</v>
      </c>
      <c r="O16" s="106"/>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104" t="s">
        <v>20</v>
      </c>
      <c r="C17" s="96"/>
      <c r="D17" s="96"/>
      <c r="E17" s="96"/>
      <c r="F17" s="96"/>
      <c r="G17" s="96"/>
      <c r="H17" s="96"/>
      <c r="I17" s="96"/>
      <c r="J17" s="96"/>
      <c r="N17" s="103" t="s">
        <v>21</v>
      </c>
      <c r="O17" s="101"/>
      <c r="P17" s="90">
        <f>VLOOKUP($P$14,Details!$A:$L,MATCH(Note!N17,Table91213[#Headers],),)</f>
        <v>61.5</v>
      </c>
      <c r="Q17" s="90">
        <f>VLOOKUP($Q$14,Details!$A:$L,MATCH(Note!N17,Table91213[#Headers],),)</f>
        <v>69.7</v>
      </c>
      <c r="R17" s="25">
        <f t="shared" si="0"/>
        <v>-8.2000000000000028</v>
      </c>
      <c r="T17" s="21" t="s">
        <v>22</v>
      </c>
      <c r="U17" s="22">
        <v>14</v>
      </c>
    </row>
    <row r="18" spans="2:21" x14ac:dyDescent="0.2">
      <c r="B18" s="96" t="s">
        <v>23</v>
      </c>
      <c r="C18" s="96"/>
      <c r="D18" s="96"/>
      <c r="E18" s="96"/>
      <c r="F18" s="96"/>
      <c r="N18" s="103" t="s">
        <v>24</v>
      </c>
      <c r="O18" s="101"/>
      <c r="P18" s="90">
        <f>VLOOKUP($P$14,Details!$A:$L,MATCH(Note!N18,Table91213[#Headers],),)</f>
        <v>55.5</v>
      </c>
      <c r="Q18" s="90">
        <f>VLOOKUP($Q$14,Details!$A:$L,MATCH(Note!N18,Table91213[#Headers],),)</f>
        <v>50.5</v>
      </c>
      <c r="R18" s="25">
        <f t="shared" si="0"/>
        <v>5</v>
      </c>
      <c r="T18" s="21" t="s">
        <v>25</v>
      </c>
      <c r="U18" s="22">
        <v>13</v>
      </c>
    </row>
    <row r="19" spans="2:21" x14ac:dyDescent="0.2">
      <c r="B19" s="96" t="s">
        <v>26</v>
      </c>
      <c r="C19" s="96"/>
      <c r="D19" s="96"/>
      <c r="E19" s="96"/>
      <c r="F19" s="96"/>
      <c r="N19" s="103" t="s">
        <v>27</v>
      </c>
      <c r="O19" s="101"/>
      <c r="P19" s="90">
        <f>VLOOKUP($P$14,Details!$A:$L,MATCH(Note!N19,Table91213[#Headers],),)</f>
        <v>62.3</v>
      </c>
      <c r="Q19" s="90">
        <f>VLOOKUP($Q$14,Details!$A:$L,MATCH(Note!N19,Table91213[#Headers],),)</f>
        <v>65.900000000000006</v>
      </c>
      <c r="R19" s="25">
        <f t="shared" si="0"/>
        <v>-3.6000000000000085</v>
      </c>
      <c r="T19" s="21" t="s">
        <v>28</v>
      </c>
      <c r="U19" s="22">
        <v>12</v>
      </c>
    </row>
    <row r="20" spans="2:21" x14ac:dyDescent="0.2">
      <c r="N20" s="103" t="s">
        <v>29</v>
      </c>
      <c r="O20" s="101"/>
      <c r="P20" s="90">
        <f>VLOOKUP($P$14,Details!$A:$L,MATCH(Note!N20,Table91213[#Headers],),)</f>
        <v>82.5</v>
      </c>
      <c r="Q20" s="90">
        <f>VLOOKUP($Q$14,Details!$A:$L,MATCH(Note!N20,Table91213[#Headers],),)</f>
        <v>82.3</v>
      </c>
      <c r="R20" s="25">
        <f t="shared" si="0"/>
        <v>0.20000000000000284</v>
      </c>
      <c r="T20" s="21" t="s">
        <v>30</v>
      </c>
      <c r="U20" s="22">
        <v>11</v>
      </c>
    </row>
    <row r="21" spans="2:21" x14ac:dyDescent="0.2">
      <c r="B21" s="96"/>
      <c r="C21" s="96"/>
      <c r="D21" s="96"/>
      <c r="E21" s="96"/>
      <c r="F21" s="96"/>
      <c r="G21" s="96"/>
      <c r="H21" s="96"/>
      <c r="I21" s="96"/>
      <c r="J21" s="96"/>
      <c r="N21" s="103" t="s">
        <v>31</v>
      </c>
      <c r="O21" s="101"/>
      <c r="P21" s="90">
        <f>VLOOKUP($P$14,Details!$A:$L,MATCH(Note!N21,Table91213[#Headers],),)</f>
        <v>67.599999999999994</v>
      </c>
      <c r="Q21" s="90">
        <f>VLOOKUP($Q$14,Details!$A:$L,MATCH(Note!N21,Table91213[#Headers],),)</f>
        <v>74.599999999999994</v>
      </c>
      <c r="R21" s="25">
        <f t="shared" si="0"/>
        <v>-7</v>
      </c>
      <c r="T21" s="21" t="s">
        <v>32</v>
      </c>
      <c r="U21" s="22">
        <v>10</v>
      </c>
    </row>
    <row r="22" spans="2:21" x14ac:dyDescent="0.2">
      <c r="B22" s="96"/>
      <c r="C22" s="96"/>
      <c r="D22" s="96"/>
      <c r="E22" s="96"/>
      <c r="F22" s="96"/>
      <c r="G22" s="96"/>
      <c r="H22" s="96"/>
      <c r="I22" s="96"/>
      <c r="J22" s="96"/>
      <c r="N22" s="103" t="s">
        <v>33</v>
      </c>
      <c r="O22" s="101"/>
      <c r="P22" s="90">
        <f>VLOOKUP($P$14,Details!$A:$L,MATCH(Note!N22,Table91213[#Headers],),)</f>
        <v>38.299999999999997</v>
      </c>
      <c r="Q22" s="90">
        <f>VLOOKUP($Q$14,Details!$A:$L,MATCH(Note!N22,Table91213[#Headers],),)</f>
        <v>36.4</v>
      </c>
      <c r="R22" s="25">
        <f t="shared" si="0"/>
        <v>1.8999999999999986</v>
      </c>
      <c r="T22" s="21" t="s">
        <v>34</v>
      </c>
      <c r="U22" s="22">
        <v>9</v>
      </c>
    </row>
    <row r="23" spans="2:21" x14ac:dyDescent="0.2">
      <c r="B23" s="96"/>
      <c r="C23" s="96"/>
      <c r="D23" s="96"/>
      <c r="E23" s="96"/>
      <c r="F23" s="96"/>
      <c r="G23" s="96"/>
      <c r="H23" s="96"/>
      <c r="I23" s="96"/>
      <c r="J23" s="96"/>
      <c r="N23" s="103" t="s">
        <v>35</v>
      </c>
      <c r="O23" s="101"/>
      <c r="P23" s="90">
        <f>VLOOKUP($P$14,Details!$A:$L,MATCH(Note!N23,Table91213[#Headers],),)</f>
        <v>46.7</v>
      </c>
      <c r="Q23" s="90">
        <f>VLOOKUP($Q$14,Details!$A:$L,MATCH(Note!N23,Table91213[#Headers],),)</f>
        <v>48.2</v>
      </c>
      <c r="R23" s="25">
        <f t="shared" si="0"/>
        <v>-1.5</v>
      </c>
      <c r="T23" s="21" t="s">
        <v>36</v>
      </c>
      <c r="U23" s="22">
        <v>8</v>
      </c>
    </row>
    <row r="24" spans="2:21" x14ac:dyDescent="0.2">
      <c r="B24" s="96"/>
      <c r="C24" s="96"/>
      <c r="D24" s="96"/>
      <c r="E24" s="96"/>
      <c r="F24" s="96"/>
      <c r="N24" s="103" t="s">
        <v>37</v>
      </c>
      <c r="O24" s="101"/>
      <c r="P24" s="90">
        <f>VLOOKUP($P$14,Details!$A:$L,MATCH(Note!N24,Table91213[#Headers],),)</f>
        <v>63.9</v>
      </c>
      <c r="Q24" s="90">
        <f>VLOOKUP($Q$14,Details!$A:$L,MATCH(Note!N24,Table91213[#Headers],),)</f>
        <v>75.7</v>
      </c>
      <c r="R24" s="25">
        <f t="shared" si="0"/>
        <v>-11.800000000000004</v>
      </c>
      <c r="T24" s="21" t="s">
        <v>38</v>
      </c>
      <c r="U24" s="22">
        <v>7</v>
      </c>
    </row>
    <row r="25" spans="2:21" x14ac:dyDescent="0.2">
      <c r="B25" s="96"/>
      <c r="C25" s="96"/>
      <c r="D25" s="96"/>
      <c r="E25" s="96"/>
      <c r="F25" s="96"/>
      <c r="N25" s="103" t="s">
        <v>39</v>
      </c>
      <c r="O25" s="101"/>
      <c r="P25" s="90">
        <f>VLOOKUP($P$14,Details!$A:$L,MATCH(Note!N25,Table91213[#Headers],),)</f>
        <v>54.9</v>
      </c>
      <c r="Q25" s="90">
        <f>VLOOKUP($Q$14,Details!$A:$L,MATCH(Note!N25,Table91213[#Headers],),)</f>
        <v>56.5</v>
      </c>
      <c r="R25" s="25">
        <f t="shared" si="0"/>
        <v>-1.6000000000000014</v>
      </c>
      <c r="T25" s="21" t="s">
        <v>40</v>
      </c>
      <c r="U25" s="22">
        <v>6</v>
      </c>
    </row>
    <row r="26" spans="2:21" ht="16" customHeight="1" thickBot="1" x14ac:dyDescent="0.25">
      <c r="N26" s="107" t="s">
        <v>41</v>
      </c>
      <c r="O26" s="108"/>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sheetData>
  <mergeCells count="34">
    <mergeCell ref="N26:O26"/>
    <mergeCell ref="B23:F23"/>
    <mergeCell ref="G23:J23"/>
    <mergeCell ref="N23:O23"/>
    <mergeCell ref="B24:F24"/>
    <mergeCell ref="N24:O24"/>
    <mergeCell ref="B25:F25"/>
    <mergeCell ref="N25:O25"/>
    <mergeCell ref="N20:O20"/>
    <mergeCell ref="B21:F21"/>
    <mergeCell ref="G21:J21"/>
    <mergeCell ref="N21:O21"/>
    <mergeCell ref="B22:F22"/>
    <mergeCell ref="G22:J22"/>
    <mergeCell ref="N22:O22"/>
    <mergeCell ref="B19:F19"/>
    <mergeCell ref="N19:O19"/>
    <mergeCell ref="B13:F13"/>
    <mergeCell ref="G13:J13"/>
    <mergeCell ref="B15:F15"/>
    <mergeCell ref="G15:J15"/>
    <mergeCell ref="G16:J16"/>
    <mergeCell ref="N16:O16"/>
    <mergeCell ref="B17:F17"/>
    <mergeCell ref="G17:J17"/>
    <mergeCell ref="N17:O17"/>
    <mergeCell ref="B18:F18"/>
    <mergeCell ref="N18:O18"/>
    <mergeCell ref="N11:U11"/>
    <mergeCell ref="B1:J2"/>
    <mergeCell ref="B3:J3"/>
    <mergeCell ref="B5:J5"/>
    <mergeCell ref="B7:J7"/>
    <mergeCell ref="B11:J11"/>
  </mergeCells>
  <conditionalFormatting sqref="R16:R26">
    <cfRule type="cellIs" dxfId="134" priority="6" operator="lessThan">
      <formula>0</formula>
    </cfRule>
    <cfRule type="cellIs" dxfId="133" priority="7" operator="greaterThan">
      <formula>0</formula>
    </cfRule>
  </conditionalFormatting>
  <conditionalFormatting sqref="U15:U32">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25"/>
  <sheetViews>
    <sheetView zoomScale="150" zoomScaleNormal="150" workbookViewId="0">
      <selection activeCell="K38" sqref="K38"/>
    </sheetView>
  </sheetViews>
  <sheetFormatPr baseColWidth="10" defaultRowHeight="15" x14ac:dyDescent="0.2"/>
  <cols>
    <col min="1" max="1" width="25.1640625" style="87"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-4</v>
      </c>
      <c r="D2">
        <v>10</v>
      </c>
      <c r="E2">
        <v>7</v>
      </c>
      <c r="F2">
        <v>6</v>
      </c>
      <c r="G2">
        <v>-1</v>
      </c>
      <c r="H2">
        <v>-6</v>
      </c>
      <c r="I2">
        <v>-2</v>
      </c>
      <c r="J2">
        <v>4</v>
      </c>
      <c r="K2">
        <v>-5</v>
      </c>
      <c r="L2">
        <v>3</v>
      </c>
      <c r="M2">
        <v>1</v>
      </c>
      <c r="N2">
        <v>12</v>
      </c>
      <c r="O2">
        <v>2</v>
      </c>
      <c r="P2">
        <v>9</v>
      </c>
      <c r="Q2">
        <v>11</v>
      </c>
      <c r="R2">
        <v>5</v>
      </c>
      <c r="S2">
        <v>8</v>
      </c>
    </row>
    <row r="3" spans="1:19" x14ac:dyDescent="0.2">
      <c r="A3" s="91">
        <v>43862</v>
      </c>
      <c r="B3">
        <v>-2</v>
      </c>
      <c r="C3">
        <v>11</v>
      </c>
      <c r="D3">
        <v>9</v>
      </c>
      <c r="E3">
        <v>16</v>
      </c>
      <c r="F3">
        <v>13</v>
      </c>
      <c r="G3">
        <v>12</v>
      </c>
      <c r="H3">
        <v>6</v>
      </c>
      <c r="I3">
        <v>14</v>
      </c>
      <c r="J3">
        <v>10</v>
      </c>
      <c r="K3">
        <v>7</v>
      </c>
      <c r="L3">
        <v>8</v>
      </c>
      <c r="M3">
        <v>4</v>
      </c>
      <c r="N3">
        <v>-1</v>
      </c>
      <c r="O3">
        <v>2</v>
      </c>
      <c r="P3">
        <v>5</v>
      </c>
      <c r="Q3">
        <v>15</v>
      </c>
      <c r="R3">
        <v>1</v>
      </c>
      <c r="S3">
        <v>3</v>
      </c>
    </row>
    <row r="4" spans="1:19" x14ac:dyDescent="0.2">
      <c r="A4" s="91">
        <v>43891</v>
      </c>
      <c r="B4">
        <v>-7</v>
      </c>
      <c r="C4">
        <v>-3</v>
      </c>
      <c r="D4">
        <v>9</v>
      </c>
      <c r="E4">
        <v>0</v>
      </c>
      <c r="F4">
        <v>5</v>
      </c>
      <c r="G4">
        <v>8</v>
      </c>
      <c r="H4">
        <v>-6</v>
      </c>
      <c r="I4">
        <v>-4</v>
      </c>
      <c r="J4">
        <v>4</v>
      </c>
      <c r="K4">
        <v>2</v>
      </c>
      <c r="L4">
        <v>7</v>
      </c>
      <c r="M4">
        <v>-5</v>
      </c>
      <c r="N4">
        <v>0</v>
      </c>
      <c r="O4">
        <v>1</v>
      </c>
      <c r="P4">
        <v>-1</v>
      </c>
      <c r="Q4">
        <v>3</v>
      </c>
      <c r="R4">
        <v>-2</v>
      </c>
      <c r="S4">
        <v>6</v>
      </c>
    </row>
    <row r="5" spans="1:19" x14ac:dyDescent="0.2">
      <c r="A5" s="91">
        <v>43922</v>
      </c>
      <c r="B5">
        <v>-16</v>
      </c>
      <c r="C5">
        <v>-13</v>
      </c>
      <c r="D5">
        <v>-1</v>
      </c>
      <c r="E5">
        <v>-6</v>
      </c>
      <c r="F5">
        <v>0</v>
      </c>
      <c r="G5">
        <v>-3</v>
      </c>
      <c r="H5">
        <v>-10</v>
      </c>
      <c r="I5">
        <v>-9</v>
      </c>
      <c r="J5">
        <v>-11</v>
      </c>
      <c r="K5">
        <v>-12</v>
      </c>
      <c r="L5">
        <v>2</v>
      </c>
      <c r="M5">
        <v>-8</v>
      </c>
      <c r="N5">
        <v>-15</v>
      </c>
      <c r="O5">
        <v>-7</v>
      </c>
      <c r="P5">
        <v>-4</v>
      </c>
      <c r="Q5">
        <v>-5</v>
      </c>
      <c r="R5">
        <v>-14</v>
      </c>
      <c r="S5">
        <v>-2</v>
      </c>
    </row>
    <row r="6" spans="1:19" x14ac:dyDescent="0.2">
      <c r="A6" s="91">
        <v>43952</v>
      </c>
      <c r="B6">
        <v>-13</v>
      </c>
      <c r="C6">
        <v>-12</v>
      </c>
      <c r="D6">
        <v>-2</v>
      </c>
      <c r="E6">
        <v>-6</v>
      </c>
      <c r="F6">
        <v>3</v>
      </c>
      <c r="G6">
        <v>-4</v>
      </c>
      <c r="H6">
        <v>-3</v>
      </c>
      <c r="I6">
        <v>-14</v>
      </c>
      <c r="J6">
        <v>-11</v>
      </c>
      <c r="K6">
        <v>-7</v>
      </c>
      <c r="L6">
        <v>2</v>
      </c>
      <c r="M6">
        <v>-9</v>
      </c>
      <c r="N6">
        <v>4</v>
      </c>
      <c r="O6">
        <v>1</v>
      </c>
      <c r="P6">
        <v>-10</v>
      </c>
      <c r="Q6">
        <v>-5</v>
      </c>
      <c r="R6">
        <v>-1</v>
      </c>
      <c r="S6">
        <v>-8</v>
      </c>
    </row>
    <row r="7" spans="1:19" x14ac:dyDescent="0.2">
      <c r="A7" s="91">
        <v>43983</v>
      </c>
      <c r="B7">
        <v>5</v>
      </c>
      <c r="C7">
        <v>-2</v>
      </c>
      <c r="D7">
        <v>10</v>
      </c>
      <c r="E7">
        <v>0</v>
      </c>
      <c r="F7">
        <v>3</v>
      </c>
      <c r="G7">
        <v>11</v>
      </c>
      <c r="H7">
        <v>6</v>
      </c>
      <c r="I7">
        <v>-3</v>
      </c>
      <c r="J7">
        <v>9</v>
      </c>
      <c r="K7">
        <v>12</v>
      </c>
      <c r="L7">
        <v>2</v>
      </c>
      <c r="M7">
        <v>1</v>
      </c>
      <c r="N7">
        <v>14</v>
      </c>
      <c r="O7">
        <v>4</v>
      </c>
      <c r="P7">
        <v>0</v>
      </c>
      <c r="Q7">
        <v>-1</v>
      </c>
      <c r="R7">
        <v>8</v>
      </c>
      <c r="S7">
        <v>7</v>
      </c>
    </row>
    <row r="8" spans="1:19" x14ac:dyDescent="0.2">
      <c r="A8" s="91">
        <v>44013</v>
      </c>
      <c r="B8">
        <v>15</v>
      </c>
      <c r="C8">
        <v>-3</v>
      </c>
      <c r="D8">
        <v>14</v>
      </c>
      <c r="E8">
        <v>2</v>
      </c>
      <c r="F8">
        <v>6</v>
      </c>
      <c r="G8">
        <v>4</v>
      </c>
      <c r="H8">
        <v>12</v>
      </c>
      <c r="I8">
        <v>-2</v>
      </c>
      <c r="J8">
        <v>9</v>
      </c>
      <c r="K8">
        <v>11</v>
      </c>
      <c r="L8">
        <v>7</v>
      </c>
      <c r="M8">
        <v>-1</v>
      </c>
      <c r="N8">
        <v>3</v>
      </c>
      <c r="O8">
        <v>1</v>
      </c>
      <c r="P8">
        <v>10</v>
      </c>
      <c r="Q8">
        <v>5</v>
      </c>
      <c r="R8">
        <v>13</v>
      </c>
      <c r="S8">
        <v>8</v>
      </c>
    </row>
    <row r="9" spans="1:19" x14ac:dyDescent="0.2">
      <c r="A9" s="91">
        <v>44044</v>
      </c>
      <c r="B9">
        <v>15</v>
      </c>
      <c r="C9">
        <v>-1</v>
      </c>
      <c r="D9">
        <v>14</v>
      </c>
      <c r="E9">
        <v>12</v>
      </c>
      <c r="F9">
        <v>5</v>
      </c>
      <c r="G9">
        <v>2</v>
      </c>
      <c r="H9">
        <v>11</v>
      </c>
      <c r="I9">
        <v>-3</v>
      </c>
      <c r="J9">
        <v>9</v>
      </c>
      <c r="K9">
        <v>10</v>
      </c>
      <c r="L9">
        <v>6</v>
      </c>
      <c r="M9">
        <v>1</v>
      </c>
      <c r="N9">
        <v>3</v>
      </c>
      <c r="O9">
        <v>-2</v>
      </c>
      <c r="P9">
        <v>4</v>
      </c>
      <c r="Q9">
        <v>7</v>
      </c>
      <c r="R9">
        <v>8</v>
      </c>
      <c r="S9">
        <v>13</v>
      </c>
    </row>
    <row r="10" spans="1:19" x14ac:dyDescent="0.2">
      <c r="A10" s="91">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91">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91">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91">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91">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91">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91">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91">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91">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91">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91">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91">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91">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91">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91">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91">
        <v>44531</v>
      </c>
      <c r="B25">
        <v>12</v>
      </c>
      <c r="C25">
        <v>15</v>
      </c>
      <c r="D25">
        <v>3</v>
      </c>
      <c r="E25">
        <v>18</v>
      </c>
      <c r="F25">
        <v>4</v>
      </c>
      <c r="G25">
        <v>6</v>
      </c>
      <c r="H25">
        <v>8</v>
      </c>
      <c r="I25">
        <v>17</v>
      </c>
      <c r="J25">
        <v>11</v>
      </c>
      <c r="K25">
        <v>14</v>
      </c>
      <c r="L25">
        <v>7</v>
      </c>
      <c r="M25">
        <v>2</v>
      </c>
      <c r="N25">
        <v>1</v>
      </c>
      <c r="O25">
        <v>9</v>
      </c>
      <c r="P25">
        <v>10</v>
      </c>
      <c r="Q25">
        <v>16</v>
      </c>
      <c r="R25">
        <v>5</v>
      </c>
      <c r="S25">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5"/>
  <sheetViews>
    <sheetView zoomScale="150" zoomScaleNormal="150" workbookViewId="0">
      <selection activeCell="J58" sqref="J5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-1</v>
      </c>
      <c r="D2">
        <v>10</v>
      </c>
      <c r="E2">
        <v>5</v>
      </c>
      <c r="F2">
        <v>7</v>
      </c>
      <c r="G2">
        <v>0</v>
      </c>
      <c r="H2">
        <v>9</v>
      </c>
      <c r="I2">
        <v>-4</v>
      </c>
      <c r="J2">
        <v>6</v>
      </c>
      <c r="K2">
        <v>-2</v>
      </c>
      <c r="L2">
        <v>8</v>
      </c>
      <c r="M2">
        <v>1</v>
      </c>
      <c r="N2">
        <v>12</v>
      </c>
      <c r="O2">
        <v>3</v>
      </c>
      <c r="P2">
        <v>2</v>
      </c>
      <c r="Q2">
        <v>11</v>
      </c>
      <c r="R2">
        <v>0</v>
      </c>
      <c r="S2">
        <v>4</v>
      </c>
    </row>
    <row r="3" spans="1:19" x14ac:dyDescent="0.2">
      <c r="A3" s="91">
        <v>43862</v>
      </c>
      <c r="B3">
        <v>-3</v>
      </c>
      <c r="C3">
        <v>1</v>
      </c>
      <c r="D3">
        <v>6</v>
      </c>
      <c r="E3">
        <v>13</v>
      </c>
      <c r="F3">
        <v>9</v>
      </c>
      <c r="G3">
        <v>10</v>
      </c>
      <c r="H3">
        <v>7</v>
      </c>
      <c r="I3">
        <v>11</v>
      </c>
      <c r="J3">
        <v>4</v>
      </c>
      <c r="K3">
        <v>3</v>
      </c>
      <c r="L3">
        <v>8</v>
      </c>
      <c r="M3">
        <v>2</v>
      </c>
      <c r="N3">
        <v>0</v>
      </c>
      <c r="O3">
        <v>-2</v>
      </c>
      <c r="P3">
        <v>5</v>
      </c>
      <c r="Q3">
        <v>12</v>
      </c>
      <c r="R3">
        <v>0</v>
      </c>
      <c r="S3">
        <v>-1</v>
      </c>
    </row>
    <row r="4" spans="1:19" x14ac:dyDescent="0.2">
      <c r="A4" s="91">
        <v>43891</v>
      </c>
      <c r="B4">
        <v>-9</v>
      </c>
      <c r="C4">
        <v>-7</v>
      </c>
      <c r="D4">
        <v>5</v>
      </c>
      <c r="E4">
        <v>4</v>
      </c>
      <c r="F4">
        <v>1</v>
      </c>
      <c r="G4">
        <v>0</v>
      </c>
      <c r="H4">
        <v>-3</v>
      </c>
      <c r="I4">
        <v>-8</v>
      </c>
      <c r="J4">
        <v>3</v>
      </c>
      <c r="K4">
        <v>-2</v>
      </c>
      <c r="L4">
        <v>2</v>
      </c>
      <c r="M4">
        <v>-4</v>
      </c>
      <c r="N4">
        <v>0</v>
      </c>
      <c r="O4">
        <v>-1</v>
      </c>
      <c r="P4">
        <v>-6</v>
      </c>
      <c r="Q4">
        <v>0</v>
      </c>
      <c r="R4">
        <v>-5</v>
      </c>
      <c r="S4">
        <v>0</v>
      </c>
    </row>
    <row r="5" spans="1:19" x14ac:dyDescent="0.2">
      <c r="A5" s="91">
        <v>43922</v>
      </c>
      <c r="B5">
        <v>-17</v>
      </c>
      <c r="C5">
        <v>-13</v>
      </c>
      <c r="D5">
        <v>-4</v>
      </c>
      <c r="E5">
        <v>-2</v>
      </c>
      <c r="F5">
        <v>0</v>
      </c>
      <c r="G5">
        <v>-12</v>
      </c>
      <c r="H5">
        <v>-15</v>
      </c>
      <c r="I5">
        <v>-5</v>
      </c>
      <c r="J5">
        <v>-7</v>
      </c>
      <c r="K5">
        <v>-8</v>
      </c>
      <c r="L5">
        <v>-1</v>
      </c>
      <c r="M5">
        <v>-11</v>
      </c>
      <c r="N5">
        <v>-16</v>
      </c>
      <c r="O5">
        <v>-3</v>
      </c>
      <c r="P5">
        <v>-10</v>
      </c>
      <c r="Q5">
        <v>-9</v>
      </c>
      <c r="R5">
        <v>-14</v>
      </c>
      <c r="S5">
        <v>-6</v>
      </c>
    </row>
    <row r="6" spans="1:19" x14ac:dyDescent="0.2">
      <c r="A6" s="91">
        <v>43952</v>
      </c>
      <c r="B6">
        <v>-8</v>
      </c>
      <c r="C6">
        <v>-10</v>
      </c>
      <c r="D6">
        <v>-6</v>
      </c>
      <c r="E6">
        <v>-5</v>
      </c>
      <c r="F6">
        <v>2</v>
      </c>
      <c r="G6">
        <v>0</v>
      </c>
      <c r="H6">
        <v>-2</v>
      </c>
      <c r="I6">
        <v>-13</v>
      </c>
      <c r="J6">
        <v>-11</v>
      </c>
      <c r="K6">
        <v>-4</v>
      </c>
      <c r="L6">
        <v>0</v>
      </c>
      <c r="M6">
        <v>-7</v>
      </c>
      <c r="N6">
        <v>3</v>
      </c>
      <c r="O6">
        <v>-1</v>
      </c>
      <c r="P6">
        <v>-12</v>
      </c>
      <c r="Q6">
        <v>-3</v>
      </c>
      <c r="R6">
        <v>1</v>
      </c>
      <c r="S6">
        <v>-9</v>
      </c>
    </row>
    <row r="7" spans="1:19" x14ac:dyDescent="0.2">
      <c r="A7" s="91">
        <v>43983</v>
      </c>
      <c r="B7">
        <v>0</v>
      </c>
      <c r="C7">
        <v>-1</v>
      </c>
      <c r="D7">
        <v>11</v>
      </c>
      <c r="E7">
        <v>14</v>
      </c>
      <c r="F7">
        <v>13</v>
      </c>
      <c r="G7">
        <v>7</v>
      </c>
      <c r="H7">
        <v>5</v>
      </c>
      <c r="I7">
        <v>2</v>
      </c>
      <c r="J7">
        <v>12</v>
      </c>
      <c r="K7">
        <v>4</v>
      </c>
      <c r="L7">
        <v>0</v>
      </c>
      <c r="M7">
        <v>1</v>
      </c>
      <c r="N7">
        <v>8</v>
      </c>
      <c r="O7">
        <v>3</v>
      </c>
      <c r="P7">
        <v>6</v>
      </c>
      <c r="Q7">
        <v>15</v>
      </c>
      <c r="R7">
        <v>9</v>
      </c>
      <c r="S7">
        <v>10</v>
      </c>
    </row>
    <row r="8" spans="1:19" x14ac:dyDescent="0.2">
      <c r="A8" s="91">
        <v>44013</v>
      </c>
      <c r="B8">
        <v>11</v>
      </c>
      <c r="C8">
        <v>-2</v>
      </c>
      <c r="D8">
        <v>9</v>
      </c>
      <c r="E8">
        <v>5</v>
      </c>
      <c r="F8">
        <v>2</v>
      </c>
      <c r="G8">
        <v>8</v>
      </c>
      <c r="H8">
        <v>14</v>
      </c>
      <c r="I8">
        <v>-3</v>
      </c>
      <c r="J8">
        <v>4</v>
      </c>
      <c r="K8">
        <v>10</v>
      </c>
      <c r="L8">
        <v>7</v>
      </c>
      <c r="M8">
        <v>0</v>
      </c>
      <c r="N8">
        <v>6</v>
      </c>
      <c r="O8">
        <v>-1</v>
      </c>
      <c r="P8">
        <v>12</v>
      </c>
      <c r="Q8">
        <v>3</v>
      </c>
      <c r="R8">
        <v>13</v>
      </c>
      <c r="S8">
        <v>1</v>
      </c>
    </row>
    <row r="9" spans="1:19" x14ac:dyDescent="0.2">
      <c r="A9" s="91">
        <v>44044</v>
      </c>
      <c r="B9">
        <v>13</v>
      </c>
      <c r="C9">
        <v>0</v>
      </c>
      <c r="D9">
        <v>9</v>
      </c>
      <c r="E9">
        <v>2</v>
      </c>
      <c r="F9">
        <v>4</v>
      </c>
      <c r="G9">
        <v>10</v>
      </c>
      <c r="H9">
        <v>5</v>
      </c>
      <c r="I9">
        <v>-1</v>
      </c>
      <c r="J9">
        <v>6</v>
      </c>
      <c r="K9">
        <v>8</v>
      </c>
      <c r="L9">
        <v>7</v>
      </c>
      <c r="M9">
        <v>0</v>
      </c>
      <c r="N9">
        <v>-3</v>
      </c>
      <c r="O9">
        <v>-2</v>
      </c>
      <c r="P9">
        <v>3</v>
      </c>
      <c r="Q9">
        <v>11</v>
      </c>
      <c r="R9">
        <v>1</v>
      </c>
      <c r="S9">
        <v>12</v>
      </c>
    </row>
    <row r="10" spans="1:19" x14ac:dyDescent="0.2">
      <c r="A10" s="91">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91">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91">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91">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91">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91">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91">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91">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91">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91">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91">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91">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91">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91">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91">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91">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5"/>
  <sheetViews>
    <sheetView zoomScale="150" zoomScaleNormal="150" workbookViewId="0">
      <selection activeCell="K38" sqref="K3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0</v>
      </c>
      <c r="C2">
        <v>-2</v>
      </c>
      <c r="D2">
        <v>5</v>
      </c>
      <c r="E2">
        <v>8</v>
      </c>
      <c r="F2">
        <v>6</v>
      </c>
      <c r="G2">
        <v>-4</v>
      </c>
      <c r="H2">
        <v>0</v>
      </c>
      <c r="I2">
        <v>0</v>
      </c>
      <c r="J2">
        <v>2</v>
      </c>
      <c r="K2">
        <v>1</v>
      </c>
      <c r="L2">
        <v>7</v>
      </c>
      <c r="M2">
        <v>-1</v>
      </c>
      <c r="N2">
        <v>10</v>
      </c>
      <c r="O2">
        <v>0</v>
      </c>
      <c r="P2">
        <v>3</v>
      </c>
      <c r="Q2">
        <v>9</v>
      </c>
      <c r="R2">
        <v>-3</v>
      </c>
      <c r="S2">
        <v>4</v>
      </c>
    </row>
    <row r="3" spans="1:19" x14ac:dyDescent="0.2">
      <c r="A3" s="91">
        <v>43862</v>
      </c>
      <c r="B3">
        <v>-1</v>
      </c>
      <c r="C3">
        <v>6</v>
      </c>
      <c r="D3">
        <v>5</v>
      </c>
      <c r="E3">
        <v>16</v>
      </c>
      <c r="F3">
        <v>10</v>
      </c>
      <c r="G3">
        <v>0</v>
      </c>
      <c r="H3">
        <v>11</v>
      </c>
      <c r="I3">
        <v>13</v>
      </c>
      <c r="J3">
        <v>12</v>
      </c>
      <c r="K3">
        <v>7</v>
      </c>
      <c r="L3">
        <v>8</v>
      </c>
      <c r="M3">
        <v>3</v>
      </c>
      <c r="N3">
        <v>9</v>
      </c>
      <c r="O3">
        <v>2</v>
      </c>
      <c r="P3">
        <v>4</v>
      </c>
      <c r="Q3">
        <v>14</v>
      </c>
      <c r="R3">
        <v>0</v>
      </c>
      <c r="S3">
        <v>1</v>
      </c>
    </row>
    <row r="4" spans="1:19" x14ac:dyDescent="0.2">
      <c r="A4" s="91">
        <v>43891</v>
      </c>
      <c r="B4">
        <v>-8</v>
      </c>
      <c r="C4">
        <v>-9</v>
      </c>
      <c r="D4">
        <v>4</v>
      </c>
      <c r="E4">
        <v>3</v>
      </c>
      <c r="F4">
        <v>0</v>
      </c>
      <c r="G4">
        <v>5</v>
      </c>
      <c r="H4">
        <v>0</v>
      </c>
      <c r="I4">
        <v>-3</v>
      </c>
      <c r="J4">
        <v>1</v>
      </c>
      <c r="K4">
        <v>-4</v>
      </c>
      <c r="L4">
        <v>2</v>
      </c>
      <c r="M4">
        <v>-5</v>
      </c>
      <c r="N4">
        <v>0</v>
      </c>
      <c r="O4">
        <v>-1</v>
      </c>
      <c r="P4">
        <v>-6</v>
      </c>
      <c r="Q4">
        <v>-2</v>
      </c>
      <c r="R4">
        <v>-7</v>
      </c>
      <c r="S4">
        <v>0</v>
      </c>
    </row>
    <row r="5" spans="1:19" x14ac:dyDescent="0.2">
      <c r="A5" s="91">
        <v>43922</v>
      </c>
      <c r="B5">
        <v>-16</v>
      </c>
      <c r="C5">
        <v>-8</v>
      </c>
      <c r="D5">
        <v>-1</v>
      </c>
      <c r="E5">
        <v>-2</v>
      </c>
      <c r="F5">
        <v>1</v>
      </c>
      <c r="G5">
        <v>-6</v>
      </c>
      <c r="H5">
        <v>-4</v>
      </c>
      <c r="I5">
        <v>-13</v>
      </c>
      <c r="J5">
        <v>-7</v>
      </c>
      <c r="K5">
        <v>-11</v>
      </c>
      <c r="L5">
        <v>2</v>
      </c>
      <c r="M5">
        <v>-10</v>
      </c>
      <c r="N5">
        <v>-15</v>
      </c>
      <c r="O5">
        <v>-5</v>
      </c>
      <c r="P5">
        <v>-9</v>
      </c>
      <c r="Q5">
        <v>-3</v>
      </c>
      <c r="R5">
        <v>-14</v>
      </c>
      <c r="S5">
        <v>-12</v>
      </c>
    </row>
    <row r="6" spans="1:19" x14ac:dyDescent="0.2">
      <c r="A6" s="91">
        <v>43952</v>
      </c>
      <c r="B6">
        <v>-9</v>
      </c>
      <c r="C6">
        <v>-13</v>
      </c>
      <c r="D6">
        <v>-3</v>
      </c>
      <c r="E6">
        <v>-5</v>
      </c>
      <c r="F6">
        <v>0</v>
      </c>
      <c r="G6">
        <v>0</v>
      </c>
      <c r="H6">
        <v>-4</v>
      </c>
      <c r="I6">
        <v>-14</v>
      </c>
      <c r="J6">
        <v>-8</v>
      </c>
      <c r="K6">
        <v>-6</v>
      </c>
      <c r="L6">
        <v>-1</v>
      </c>
      <c r="M6">
        <v>-7</v>
      </c>
      <c r="N6">
        <v>0</v>
      </c>
      <c r="O6">
        <v>0</v>
      </c>
      <c r="P6">
        <v>-12</v>
      </c>
      <c r="Q6">
        <v>-11</v>
      </c>
      <c r="R6">
        <v>-2</v>
      </c>
      <c r="S6">
        <v>-10</v>
      </c>
    </row>
    <row r="7" spans="1:19" x14ac:dyDescent="0.2">
      <c r="A7" s="91">
        <v>43983</v>
      </c>
      <c r="B7">
        <v>7</v>
      </c>
      <c r="C7">
        <v>10</v>
      </c>
      <c r="D7">
        <v>11</v>
      </c>
      <c r="E7">
        <v>13</v>
      </c>
      <c r="F7">
        <v>8</v>
      </c>
      <c r="G7">
        <v>14</v>
      </c>
      <c r="H7">
        <v>2</v>
      </c>
      <c r="I7">
        <v>12</v>
      </c>
      <c r="J7">
        <v>6</v>
      </c>
      <c r="K7">
        <v>5</v>
      </c>
      <c r="L7">
        <v>0</v>
      </c>
      <c r="M7">
        <v>1</v>
      </c>
      <c r="N7">
        <v>0</v>
      </c>
      <c r="O7">
        <v>4</v>
      </c>
      <c r="P7">
        <v>3</v>
      </c>
      <c r="Q7">
        <v>0</v>
      </c>
      <c r="R7">
        <v>9</v>
      </c>
      <c r="S7">
        <v>-1</v>
      </c>
    </row>
    <row r="8" spans="1:19" x14ac:dyDescent="0.2">
      <c r="A8" s="91">
        <v>44013</v>
      </c>
      <c r="B8">
        <v>9</v>
      </c>
      <c r="C8">
        <v>0</v>
      </c>
      <c r="D8">
        <v>11</v>
      </c>
      <c r="E8">
        <v>0</v>
      </c>
      <c r="F8">
        <v>2</v>
      </c>
      <c r="G8">
        <v>7</v>
      </c>
      <c r="H8">
        <v>3</v>
      </c>
      <c r="I8">
        <v>-2</v>
      </c>
      <c r="J8">
        <v>5</v>
      </c>
      <c r="K8">
        <v>10</v>
      </c>
      <c r="L8">
        <v>6</v>
      </c>
      <c r="M8">
        <v>-1</v>
      </c>
      <c r="N8">
        <v>0</v>
      </c>
      <c r="O8">
        <v>0</v>
      </c>
      <c r="P8">
        <v>8</v>
      </c>
      <c r="Q8">
        <v>4</v>
      </c>
      <c r="R8">
        <v>12</v>
      </c>
      <c r="S8">
        <v>1</v>
      </c>
    </row>
    <row r="9" spans="1:19" x14ac:dyDescent="0.2">
      <c r="A9" s="91">
        <v>44044</v>
      </c>
      <c r="B9">
        <v>12</v>
      </c>
      <c r="C9">
        <v>0</v>
      </c>
      <c r="D9">
        <v>8</v>
      </c>
      <c r="E9">
        <v>9</v>
      </c>
      <c r="F9">
        <v>4</v>
      </c>
      <c r="G9">
        <v>-3</v>
      </c>
      <c r="H9">
        <v>2</v>
      </c>
      <c r="I9">
        <v>-5</v>
      </c>
      <c r="J9">
        <v>1</v>
      </c>
      <c r="K9">
        <v>5</v>
      </c>
      <c r="L9">
        <v>10</v>
      </c>
      <c r="M9">
        <v>-1</v>
      </c>
      <c r="N9">
        <v>-4</v>
      </c>
      <c r="O9">
        <v>-2</v>
      </c>
      <c r="P9">
        <v>7</v>
      </c>
      <c r="Q9">
        <v>6</v>
      </c>
      <c r="R9">
        <v>3</v>
      </c>
      <c r="S9">
        <v>11</v>
      </c>
    </row>
    <row r="10" spans="1:19" x14ac:dyDescent="0.2">
      <c r="A10" s="91">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91">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91">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91">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91">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91">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91">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91">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91">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91">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91">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91">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91">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91">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91">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91">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4" tint="0.79998168889431442"/>
  </sheetPr>
  <dimension ref="A1:Z16"/>
  <sheetViews>
    <sheetView zoomScale="130" zoomScaleNormal="130" workbookViewId="0">
      <selection activeCell="AA20" sqref="AA20"/>
    </sheetView>
  </sheetViews>
  <sheetFormatPr baseColWidth="10" defaultColWidth="9.1640625" defaultRowHeight="15" x14ac:dyDescent="0.2"/>
  <cols>
    <col min="1" max="1" width="9.6640625" style="88" customWidth="1"/>
    <col min="2" max="18" width="8.83203125" style="88" customWidth="1"/>
    <col min="19" max="19" width="10.5" style="88" customWidth="1"/>
    <col min="20" max="20" width="8.83203125" style="88" customWidth="1"/>
    <col min="21" max="24" width="9.1640625" style="88" customWidth="1"/>
    <col min="25" max="16384" width="9.1640625" style="88"/>
  </cols>
  <sheetData>
    <row r="1" spans="1:26" x14ac:dyDescent="0.2">
      <c r="J1" s="88" t="s">
        <v>50</v>
      </c>
      <c r="L1" s="7">
        <f>Sectors!L1</f>
        <v>44531</v>
      </c>
      <c r="O1" s="6"/>
    </row>
    <row r="2" spans="1:26" x14ac:dyDescent="0.2">
      <c r="L2" s="88">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88">
        <f t="shared" ref="Y6:Y11" si="2">MIN(B6:S6)</f>
        <v>0</v>
      </c>
      <c r="Z6" s="88">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88">
        <f t="shared" si="2"/>
        <v>-2</v>
      </c>
      <c r="Z7" s="88">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88">
        <f t="shared" si="2"/>
        <v>-1</v>
      </c>
      <c r="Z8" s="88">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88">
        <f t="shared" si="2"/>
        <v>-1</v>
      </c>
      <c r="Z9" s="88">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88">
        <f t="shared" si="2"/>
        <v>0</v>
      </c>
      <c r="Z10" s="88">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88">
        <f t="shared" si="2"/>
        <v>-3</v>
      </c>
      <c r="Z11" s="88">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theme="4" tint="0.79998168889431442"/>
  </sheetPr>
  <dimension ref="A1:Z16"/>
  <sheetViews>
    <sheetView zoomScale="140" zoomScaleNormal="140" workbookViewId="0">
      <selection activeCell="Y5" sqref="Y5:Z11"/>
    </sheetView>
  </sheetViews>
  <sheetFormatPr baseColWidth="10" defaultColWidth="9.1640625" defaultRowHeight="15" x14ac:dyDescent="0.2"/>
  <cols>
    <col min="1" max="1" width="9.6640625" style="88" customWidth="1"/>
    <col min="2" max="20" width="8.83203125" style="88" customWidth="1"/>
    <col min="21" max="24" width="9.1640625" style="88" customWidth="1"/>
    <col min="25" max="16384" width="9.1640625" style="88"/>
  </cols>
  <sheetData>
    <row r="1" spans="1:26" x14ac:dyDescent="0.2">
      <c r="J1" s="88" t="s">
        <v>50</v>
      </c>
      <c r="L1" s="7">
        <f>Sectors!L1</f>
        <v>44531</v>
      </c>
      <c r="O1" s="6" t="s">
        <v>53</v>
      </c>
    </row>
    <row r="2" spans="1:26" x14ac:dyDescent="0.2">
      <c r="L2" s="88">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88">
        <f t="shared" ref="Y6:Y11" si="2">MIN(B6:S6)</f>
        <v>-1</v>
      </c>
      <c r="Z6" s="88">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88">
        <f t="shared" si="2"/>
        <v>-3</v>
      </c>
      <c r="Z7" s="88">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88">
        <f t="shared" si="2"/>
        <v>-1</v>
      </c>
      <c r="Z8" s="88">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88">
        <f t="shared" si="2"/>
        <v>0</v>
      </c>
      <c r="Z9" s="88">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88">
        <f t="shared" si="2"/>
        <v>1</v>
      </c>
      <c r="Z10" s="88">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88">
        <f t="shared" si="2"/>
        <v>-3</v>
      </c>
      <c r="Z11" s="88">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4" tint="0.79998168889431442"/>
  </sheetPr>
  <dimension ref="A1:Z16"/>
  <sheetViews>
    <sheetView zoomScale="140" zoomScaleNormal="140" workbookViewId="0">
      <selection activeCell="Y5" sqref="Y5:Z11"/>
    </sheetView>
  </sheetViews>
  <sheetFormatPr baseColWidth="10" defaultColWidth="9.1640625" defaultRowHeight="15" x14ac:dyDescent="0.2"/>
  <cols>
    <col min="1" max="1" width="9.6640625" style="88" customWidth="1"/>
    <col min="2" max="18" width="8.83203125" style="88" customWidth="1"/>
    <col min="19" max="19" width="12.5" style="88" customWidth="1"/>
    <col min="20" max="20" width="8.83203125" style="88" customWidth="1"/>
    <col min="21" max="24" width="9.1640625" style="88" customWidth="1"/>
    <col min="25" max="16384" width="9.1640625" style="88"/>
  </cols>
  <sheetData>
    <row r="1" spans="1:26" x14ac:dyDescent="0.2">
      <c r="B1" s="14" t="s">
        <v>54</v>
      </c>
      <c r="J1" s="88" t="s">
        <v>50</v>
      </c>
      <c r="L1" s="43">
        <v>44531</v>
      </c>
      <c r="O1" s="6" t="s">
        <v>53</v>
      </c>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88">
        <f t="shared" ref="Y6:Y11" si="2">MIN(B6:S6)</f>
        <v>0</v>
      </c>
      <c r="Z6" s="88">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88">
        <f t="shared" si="2"/>
        <v>-1</v>
      </c>
      <c r="Z7" s="88">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88">
        <f t="shared" si="2"/>
        <v>-1</v>
      </c>
      <c r="Z8" s="88">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88">
        <f t="shared" si="2"/>
        <v>1</v>
      </c>
      <c r="Z9" s="88">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88">
        <f t="shared" si="2"/>
        <v>1</v>
      </c>
      <c r="Z10" s="88">
        <f t="shared" si="3"/>
        <v>18</v>
      </c>
    </row>
    <row r="11" spans="1:26" ht="16" customHeight="1" thickBot="1" x14ac:dyDescent="0.25">
      <c r="A11" s="8">
        <f>L1</f>
        <v>44531</v>
      </c>
      <c r="B11" s="41">
        <f>VLOOKUP($B$5,'Sectors Trend'!$B$6:$AD$23,VLOOKUP(A11,$U:$V,2,),)</f>
        <v>5</v>
      </c>
      <c r="C11" s="41">
        <f>VLOOKUP($C$5,'Sectors Trend'!$B$6:$AD$23,VLOOKUP(A11,$U:$V,2,),)</f>
        <v>13</v>
      </c>
      <c r="D11" s="41">
        <f>VLOOKUP($D$5,'Sectors Trend'!$B$6:$AD$23,VLOOKUP(A11,$U:$V,2,),)</f>
        <v>12</v>
      </c>
      <c r="E11" s="41">
        <f>VLOOKUP($E$5,'Sectors Trend'!$B$6:$AD$23,VLOOKUP(A11,$U:$V,2,),)</f>
        <v>15</v>
      </c>
      <c r="F11" s="41">
        <f>VLOOKUP($F$5,'Sectors Trend'!$B$6:$AD$23,VLOOKUP(A11,$U:$V,2,),)</f>
        <v>3</v>
      </c>
      <c r="G11" s="41">
        <f>VLOOKUP($G$5,'Sectors Trend'!$B$6:$AD$23,VLOOKUP(A11,$U:$V,2,),)</f>
        <v>18</v>
      </c>
      <c r="H11" s="41">
        <f>VLOOKUP($H$5,'Sectors Trend'!$B$6:$AD$23,VLOOKUP(A11,$U:$V,2,),)</f>
        <v>4</v>
      </c>
      <c r="I11" s="41">
        <f>VLOOKUP($I$5,'Sectors Trend'!$B$6:$AD$23,VLOOKUP(A11,$U:$V,2,),)</f>
        <v>6</v>
      </c>
      <c r="J11" s="41">
        <f>VLOOKUP($J$5,'Sectors Trend'!$B$6:$AD$23,VLOOKUP(A11,$U:$V,2,),)</f>
        <v>8</v>
      </c>
      <c r="K11" s="41">
        <f>VLOOKUP($K$5,'Sectors Trend'!$B$6:$AD$23,VLOOKUP(A11,$U:$V,2,),)</f>
        <v>17</v>
      </c>
      <c r="L11" s="41">
        <f>VLOOKUP($L$5,'Sectors Trend'!$B$6:$AD$23,VLOOKUP(A11,$U:$V,2,),)</f>
        <v>11</v>
      </c>
      <c r="M11" s="41">
        <f>VLOOKUP($M$5,'Sectors Trend'!$B$6:$AD$23,VLOOKUP(A11,$U:$V,2,),)</f>
        <v>14</v>
      </c>
      <c r="N11" s="41">
        <f>VLOOKUP($N$5,'Sectors Trend'!$B$6:$AD$23,VLOOKUP(A11,$U:$V,2,),)</f>
        <v>7</v>
      </c>
      <c r="O11" s="41">
        <f>VLOOKUP($O$5,'Sectors Trend'!$B$6:$AD$23,VLOOKUP(A11,$U:$V,2,),)</f>
        <v>2</v>
      </c>
      <c r="P11" s="41">
        <f>VLOOKUP($P$5,'Sectors Trend'!$B$6:$AD$23,VLOOKUP(A11,$U:$V,2,),)</f>
        <v>1</v>
      </c>
      <c r="Q11" s="41">
        <f>VLOOKUP($Q$5,'Sectors Trend'!$B$6:$AD$23,VLOOKUP(A11,$U:$V,2,),)</f>
        <v>9</v>
      </c>
      <c r="R11" s="41">
        <f>VLOOKUP($R$5,'Sectors Trend'!$B$6:$AD$23,VLOOKUP(A11,$U:$V,2,),)</f>
        <v>10</v>
      </c>
      <c r="S11" s="42">
        <f>VLOOKUP($S$5,'Sectors Trend'!$B$6:$AD$23,VLOOKUP(A11,$U:$V,2,),)</f>
        <v>16</v>
      </c>
      <c r="U11" s="7">
        <f>L1</f>
        <v>44531</v>
      </c>
      <c r="V11" s="1">
        <f>L2+1</f>
        <v>25</v>
      </c>
      <c r="Y11" s="88">
        <f t="shared" si="2"/>
        <v>1</v>
      </c>
      <c r="Z11" s="88">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4" tint="-0.249977111117893"/>
  </sheetPr>
  <dimension ref="B1:WWI68"/>
  <sheetViews>
    <sheetView tabSelected="1" zoomScale="130" zoomScaleNormal="130" workbookViewId="0">
      <pane xSplit="2" ySplit="5" topLeftCell="C24" activePane="bottomRight" state="frozen"/>
      <selection pane="topRight" activeCell="C1" sqref="C1"/>
      <selection pane="bottomLeft" activeCell="A6" sqref="A6"/>
      <selection pane="bottomRight" activeCell="H71" sqref="H71"/>
    </sheetView>
  </sheetViews>
  <sheetFormatPr baseColWidth="10" defaultColWidth="8.83203125" defaultRowHeight="15" x14ac:dyDescent="0.2"/>
  <cols>
    <col min="1" max="1" width="9.1640625" style="88" customWidth="1"/>
    <col min="2" max="2" width="30.5" style="88" customWidth="1"/>
    <col min="3" max="26" width="10.5" style="29" customWidth="1"/>
    <col min="27" max="30" width="10.1640625" style="88" customWidth="1"/>
    <col min="31" max="32" width="9.1640625" style="88" customWidth="1"/>
    <col min="33" max="33" width="10.6640625" style="88" bestFit="1" customWidth="1"/>
    <col min="34" max="233" width="9.1640625" style="88" customWidth="1"/>
    <col min="234" max="234" width="28.6640625" style="88" customWidth="1"/>
    <col min="235" max="235" width="9" style="88" bestFit="1" customWidth="1"/>
    <col min="236" max="236" width="5.33203125" style="88" customWidth="1"/>
    <col min="237" max="237" width="9" style="88" bestFit="1" customWidth="1"/>
    <col min="238" max="238" width="5.33203125" style="88" customWidth="1"/>
    <col min="239" max="239" width="9" style="88" bestFit="1" customWidth="1"/>
    <col min="240" max="240" width="5" style="88" customWidth="1"/>
    <col min="241" max="241" width="9" style="88" bestFit="1" customWidth="1"/>
    <col min="242" max="242" width="5.1640625" style="88" customWidth="1"/>
    <col min="243" max="243" width="9.1640625" style="88" customWidth="1"/>
    <col min="244" max="244" width="6" style="88" customWidth="1"/>
    <col min="245" max="245" width="9.1640625" style="88" customWidth="1"/>
    <col min="246" max="246" width="6" style="88" customWidth="1"/>
    <col min="247" max="248" width="10.1640625" style="88" customWidth="1"/>
    <col min="249" max="249" width="10" style="88" customWidth="1"/>
    <col min="250" max="250" width="10.33203125" style="88" customWidth="1"/>
    <col min="251" max="261" width="9.1640625" style="88" customWidth="1"/>
    <col min="262" max="262" width="11.33203125" style="88" customWidth="1"/>
    <col min="263" max="283" width="13" style="88" hidden="1" customWidth="1"/>
    <col min="284" max="489" width="9.1640625" style="88" customWidth="1"/>
    <col min="490" max="490" width="28.6640625" style="88" customWidth="1"/>
    <col min="491" max="491" width="9" style="88" bestFit="1" customWidth="1"/>
    <col min="492" max="492" width="5.33203125" style="88" customWidth="1"/>
    <col min="493" max="493" width="9" style="88" bestFit="1" customWidth="1"/>
    <col min="494" max="494" width="5.33203125" style="88" customWidth="1"/>
    <col min="495" max="495" width="9" style="88" bestFit="1" customWidth="1"/>
    <col min="496" max="496" width="5" style="88" customWidth="1"/>
    <col min="497" max="497" width="9" style="88" bestFit="1" customWidth="1"/>
    <col min="498" max="498" width="5.1640625" style="88" customWidth="1"/>
    <col min="499" max="499" width="9.1640625" style="88" customWidth="1"/>
    <col min="500" max="500" width="6" style="88" customWidth="1"/>
    <col min="501" max="501" width="9.1640625" style="88" customWidth="1"/>
    <col min="502" max="502" width="6" style="88" customWidth="1"/>
    <col min="503" max="504" width="10.1640625" style="88" customWidth="1"/>
    <col min="505" max="505" width="10" style="88" customWidth="1"/>
    <col min="506" max="506" width="10.33203125" style="88" customWidth="1"/>
    <col min="507" max="517" width="9.1640625" style="88" customWidth="1"/>
    <col min="518" max="518" width="11.33203125" style="88" customWidth="1"/>
    <col min="519" max="539" width="13" style="88" hidden="1" customWidth="1"/>
    <col min="540" max="745" width="9.1640625" style="88" customWidth="1"/>
    <col min="746" max="746" width="28.6640625" style="88" customWidth="1"/>
    <col min="747" max="747" width="9" style="88" bestFit="1" customWidth="1"/>
    <col min="748" max="748" width="5.33203125" style="88" customWidth="1"/>
    <col min="749" max="749" width="9" style="88" bestFit="1" customWidth="1"/>
    <col min="750" max="750" width="5.33203125" style="88" customWidth="1"/>
    <col min="751" max="751" width="9" style="88" bestFit="1" customWidth="1"/>
    <col min="752" max="752" width="5" style="88" customWidth="1"/>
    <col min="753" max="753" width="9" style="88" bestFit="1" customWidth="1"/>
    <col min="754" max="754" width="5.1640625" style="88" customWidth="1"/>
    <col min="755" max="755" width="9.1640625" style="88" customWidth="1"/>
    <col min="756" max="756" width="6" style="88" customWidth="1"/>
    <col min="757" max="757" width="9.1640625" style="88" customWidth="1"/>
    <col min="758" max="758" width="6" style="88" customWidth="1"/>
    <col min="759" max="760" width="10.1640625" style="88" customWidth="1"/>
    <col min="761" max="761" width="10" style="88" customWidth="1"/>
    <col min="762" max="762" width="10.33203125" style="88" customWidth="1"/>
    <col min="763" max="773" width="9.1640625" style="88" customWidth="1"/>
    <col min="774" max="774" width="11.33203125" style="88" customWidth="1"/>
    <col min="775" max="795" width="13" style="88" hidden="1" customWidth="1"/>
    <col min="796" max="1001" width="9.1640625" style="88" customWidth="1"/>
    <col min="1002" max="1002" width="28.6640625" style="88" customWidth="1"/>
    <col min="1003" max="1003" width="9" style="88" bestFit="1" customWidth="1"/>
    <col min="1004" max="1004" width="5.33203125" style="88" customWidth="1"/>
    <col min="1005" max="1005" width="9" style="88" bestFit="1" customWidth="1"/>
    <col min="1006" max="1006" width="5.33203125" style="88" customWidth="1"/>
    <col min="1007" max="1007" width="9" style="88" bestFit="1" customWidth="1"/>
    <col min="1008" max="1008" width="5" style="88" customWidth="1"/>
    <col min="1009" max="1009" width="9" style="88" bestFit="1" customWidth="1"/>
    <col min="1010" max="1010" width="5.1640625" style="88" customWidth="1"/>
    <col min="1011" max="1011" width="9.1640625" style="88" customWidth="1"/>
    <col min="1012" max="1012" width="6" style="88" customWidth="1"/>
    <col min="1013" max="1013" width="9.1640625" style="88" customWidth="1"/>
    <col min="1014" max="1014" width="6" style="88" customWidth="1"/>
    <col min="1015" max="1016" width="10.1640625" style="88" customWidth="1"/>
    <col min="1017" max="1017" width="10" style="88" customWidth="1"/>
    <col min="1018" max="1018" width="10.33203125" style="88" customWidth="1"/>
    <col min="1019" max="1029" width="9.1640625" style="88" customWidth="1"/>
    <col min="1030" max="1030" width="11.33203125" style="88" customWidth="1"/>
    <col min="1031" max="1051" width="13" style="88" hidden="1" customWidth="1"/>
    <col min="1052" max="1257" width="9.1640625" style="88" customWidth="1"/>
    <col min="1258" max="1258" width="28.6640625" style="88" customWidth="1"/>
    <col min="1259" max="1259" width="9" style="88" bestFit="1" customWidth="1"/>
    <col min="1260" max="1260" width="5.33203125" style="88" customWidth="1"/>
    <col min="1261" max="1261" width="9" style="88" bestFit="1" customWidth="1"/>
    <col min="1262" max="1262" width="5.33203125" style="88" customWidth="1"/>
    <col min="1263" max="1263" width="9" style="88" bestFit="1" customWidth="1"/>
    <col min="1264" max="1264" width="5" style="88" customWidth="1"/>
    <col min="1265" max="1265" width="9" style="88" bestFit="1" customWidth="1"/>
    <col min="1266" max="1266" width="5.1640625" style="88" customWidth="1"/>
    <col min="1267" max="1267" width="9.1640625" style="88" customWidth="1"/>
    <col min="1268" max="1268" width="6" style="88" customWidth="1"/>
    <col min="1269" max="1269" width="9.1640625" style="88" customWidth="1"/>
    <col min="1270" max="1270" width="6" style="88" customWidth="1"/>
    <col min="1271" max="1272" width="10.1640625" style="88" customWidth="1"/>
    <col min="1273" max="1273" width="10" style="88" customWidth="1"/>
    <col min="1274" max="1274" width="10.33203125" style="88" customWidth="1"/>
    <col min="1275" max="1285" width="9.1640625" style="88" customWidth="1"/>
    <col min="1286" max="1286" width="11.33203125" style="88" customWidth="1"/>
    <col min="1287" max="1307" width="13" style="88" hidden="1" customWidth="1"/>
    <col min="1308" max="1513" width="9.1640625" style="88" customWidth="1"/>
    <col min="1514" max="1514" width="28.6640625" style="88" customWidth="1"/>
    <col min="1515" max="1515" width="9" style="88" bestFit="1" customWidth="1"/>
    <col min="1516" max="1516" width="5.33203125" style="88" customWidth="1"/>
    <col min="1517" max="1517" width="9" style="88" bestFit="1" customWidth="1"/>
    <col min="1518" max="1518" width="5.33203125" style="88" customWidth="1"/>
    <col min="1519" max="1519" width="9" style="88" bestFit="1" customWidth="1"/>
    <col min="1520" max="1520" width="5" style="88" customWidth="1"/>
    <col min="1521" max="1521" width="9" style="88" bestFit="1" customWidth="1"/>
    <col min="1522" max="1522" width="5.1640625" style="88" customWidth="1"/>
    <col min="1523" max="1523" width="9.1640625" style="88" customWidth="1"/>
    <col min="1524" max="1524" width="6" style="88" customWidth="1"/>
    <col min="1525" max="1525" width="9.1640625" style="88" customWidth="1"/>
    <col min="1526" max="1526" width="6" style="88" customWidth="1"/>
    <col min="1527" max="1528" width="10.1640625" style="88" customWidth="1"/>
    <col min="1529" max="1529" width="10" style="88" customWidth="1"/>
    <col min="1530" max="1530" width="10.33203125" style="88" customWidth="1"/>
    <col min="1531" max="1541" width="9.1640625" style="88" customWidth="1"/>
    <col min="1542" max="1542" width="11.33203125" style="88" customWidth="1"/>
    <col min="1543" max="1563" width="13" style="88" hidden="1" customWidth="1"/>
    <col min="1564" max="1769" width="9.1640625" style="88" customWidth="1"/>
    <col min="1770" max="1770" width="28.6640625" style="88" customWidth="1"/>
    <col min="1771" max="1771" width="9" style="88" bestFit="1" customWidth="1"/>
    <col min="1772" max="1772" width="5.33203125" style="88" customWidth="1"/>
    <col min="1773" max="1773" width="9" style="88" bestFit="1" customWidth="1"/>
    <col min="1774" max="1774" width="5.33203125" style="88" customWidth="1"/>
    <col min="1775" max="1775" width="9" style="88" bestFit="1" customWidth="1"/>
    <col min="1776" max="1776" width="5" style="88" customWidth="1"/>
    <col min="1777" max="1777" width="9" style="88" bestFit="1" customWidth="1"/>
    <col min="1778" max="1778" width="5.1640625" style="88" customWidth="1"/>
    <col min="1779" max="1779" width="9.1640625" style="88" customWidth="1"/>
    <col min="1780" max="1780" width="6" style="88" customWidth="1"/>
    <col min="1781" max="1781" width="9.1640625" style="88" customWidth="1"/>
    <col min="1782" max="1782" width="6" style="88" customWidth="1"/>
    <col min="1783" max="1784" width="10.1640625" style="88" customWidth="1"/>
    <col min="1785" max="1785" width="10" style="88" customWidth="1"/>
    <col min="1786" max="1786" width="10.33203125" style="88" customWidth="1"/>
    <col min="1787" max="1797" width="9.1640625" style="88" customWidth="1"/>
    <col min="1798" max="1798" width="11.33203125" style="88" customWidth="1"/>
    <col min="1799" max="1819" width="13" style="88" hidden="1" customWidth="1"/>
    <col min="1820" max="2025" width="9.1640625" style="88" customWidth="1"/>
    <col min="2026" max="2026" width="28.6640625" style="88" customWidth="1"/>
    <col min="2027" max="2027" width="9" style="88" bestFit="1" customWidth="1"/>
    <col min="2028" max="2028" width="5.33203125" style="88" customWidth="1"/>
    <col min="2029" max="2029" width="9" style="88" bestFit="1" customWidth="1"/>
    <col min="2030" max="2030" width="5.33203125" style="88" customWidth="1"/>
    <col min="2031" max="2031" width="9" style="88" bestFit="1" customWidth="1"/>
    <col min="2032" max="2032" width="5" style="88" customWidth="1"/>
    <col min="2033" max="2033" width="9" style="88" bestFit="1" customWidth="1"/>
    <col min="2034" max="2034" width="5.1640625" style="88" customWidth="1"/>
    <col min="2035" max="2035" width="9.1640625" style="88" customWidth="1"/>
    <col min="2036" max="2036" width="6" style="88" customWidth="1"/>
    <col min="2037" max="2037" width="9.1640625" style="88" customWidth="1"/>
    <col min="2038" max="2038" width="6" style="88" customWidth="1"/>
    <col min="2039" max="2040" width="10.1640625" style="88" customWidth="1"/>
    <col min="2041" max="2041" width="10" style="88" customWidth="1"/>
    <col min="2042" max="2042" width="10.33203125" style="88" customWidth="1"/>
    <col min="2043" max="2053" width="9.1640625" style="88" customWidth="1"/>
    <col min="2054" max="2054" width="11.33203125" style="88" customWidth="1"/>
    <col min="2055" max="2075" width="13" style="88" hidden="1" customWidth="1"/>
    <col min="2076" max="2281" width="9.1640625" style="88" customWidth="1"/>
    <col min="2282" max="2282" width="28.6640625" style="88" customWidth="1"/>
    <col min="2283" max="2283" width="9" style="88" bestFit="1" customWidth="1"/>
    <col min="2284" max="2284" width="5.33203125" style="88" customWidth="1"/>
    <col min="2285" max="2285" width="9" style="88" bestFit="1" customWidth="1"/>
    <col min="2286" max="2286" width="5.33203125" style="88" customWidth="1"/>
    <col min="2287" max="2287" width="9" style="88" bestFit="1" customWidth="1"/>
    <col min="2288" max="2288" width="5" style="88" customWidth="1"/>
    <col min="2289" max="2289" width="9" style="88" bestFit="1" customWidth="1"/>
    <col min="2290" max="2290" width="5.1640625" style="88" customWidth="1"/>
    <col min="2291" max="2291" width="9.1640625" style="88" customWidth="1"/>
    <col min="2292" max="2292" width="6" style="88" customWidth="1"/>
    <col min="2293" max="2293" width="9.1640625" style="88" customWidth="1"/>
    <col min="2294" max="2294" width="6" style="88" customWidth="1"/>
    <col min="2295" max="2296" width="10.1640625" style="88" customWidth="1"/>
    <col min="2297" max="2297" width="10" style="88" customWidth="1"/>
    <col min="2298" max="2298" width="10.33203125" style="88" customWidth="1"/>
    <col min="2299" max="2309" width="9.1640625" style="88" customWidth="1"/>
    <col min="2310" max="2310" width="11.33203125" style="88" customWidth="1"/>
    <col min="2311" max="2331" width="13" style="88" hidden="1" customWidth="1"/>
    <col min="2332" max="2537" width="9.1640625" style="88" customWidth="1"/>
    <col min="2538" max="2538" width="28.6640625" style="88" customWidth="1"/>
    <col min="2539" max="2539" width="9" style="88" bestFit="1" customWidth="1"/>
    <col min="2540" max="2540" width="5.33203125" style="88" customWidth="1"/>
    <col min="2541" max="2541" width="9" style="88" bestFit="1" customWidth="1"/>
    <col min="2542" max="2542" width="5.33203125" style="88" customWidth="1"/>
    <col min="2543" max="2543" width="9" style="88" bestFit="1" customWidth="1"/>
    <col min="2544" max="2544" width="5" style="88" customWidth="1"/>
    <col min="2545" max="2545" width="9" style="88" bestFit="1" customWidth="1"/>
    <col min="2546" max="2546" width="5.1640625" style="88" customWidth="1"/>
    <col min="2547" max="2547" width="9.1640625" style="88" customWidth="1"/>
    <col min="2548" max="2548" width="6" style="88" customWidth="1"/>
    <col min="2549" max="2549" width="9.1640625" style="88" customWidth="1"/>
    <col min="2550" max="2550" width="6" style="88" customWidth="1"/>
    <col min="2551" max="2552" width="10.1640625" style="88" customWidth="1"/>
    <col min="2553" max="2553" width="10" style="88" customWidth="1"/>
    <col min="2554" max="2554" width="10.33203125" style="88" customWidth="1"/>
    <col min="2555" max="2565" width="9.1640625" style="88" customWidth="1"/>
    <col min="2566" max="2566" width="11.33203125" style="88" customWidth="1"/>
    <col min="2567" max="2587" width="13" style="88" hidden="1" customWidth="1"/>
    <col min="2588" max="2793" width="9.1640625" style="88" customWidth="1"/>
    <col min="2794" max="2794" width="28.6640625" style="88" customWidth="1"/>
    <col min="2795" max="2795" width="9" style="88" bestFit="1" customWidth="1"/>
    <col min="2796" max="2796" width="5.33203125" style="88" customWidth="1"/>
    <col min="2797" max="2797" width="9" style="88" bestFit="1" customWidth="1"/>
    <col min="2798" max="2798" width="5.33203125" style="88" customWidth="1"/>
    <col min="2799" max="2799" width="9" style="88" bestFit="1" customWidth="1"/>
    <col min="2800" max="2800" width="5" style="88" customWidth="1"/>
    <col min="2801" max="2801" width="9" style="88" bestFit="1" customWidth="1"/>
    <col min="2802" max="2802" width="5.1640625" style="88" customWidth="1"/>
    <col min="2803" max="2803" width="9.1640625" style="88" customWidth="1"/>
    <col min="2804" max="2804" width="6" style="88" customWidth="1"/>
    <col min="2805" max="2805" width="9.1640625" style="88" customWidth="1"/>
    <col min="2806" max="2806" width="6" style="88" customWidth="1"/>
    <col min="2807" max="2808" width="10.1640625" style="88" customWidth="1"/>
    <col min="2809" max="2809" width="10" style="88" customWidth="1"/>
    <col min="2810" max="2810" width="10.33203125" style="88" customWidth="1"/>
    <col min="2811" max="2821" width="9.1640625" style="88" customWidth="1"/>
    <col min="2822" max="2822" width="11.33203125" style="88" customWidth="1"/>
    <col min="2823" max="2843" width="13" style="88" hidden="1" customWidth="1"/>
    <col min="2844" max="3049" width="9.1640625" style="88" customWidth="1"/>
    <col min="3050" max="3050" width="28.6640625" style="88" customWidth="1"/>
    <col min="3051" max="3051" width="9" style="88" bestFit="1" customWidth="1"/>
    <col min="3052" max="3052" width="5.33203125" style="88" customWidth="1"/>
    <col min="3053" max="3053" width="9" style="88" bestFit="1" customWidth="1"/>
    <col min="3054" max="3054" width="5.33203125" style="88" customWidth="1"/>
    <col min="3055" max="3055" width="9" style="88" bestFit="1" customWidth="1"/>
    <col min="3056" max="3056" width="5" style="88" customWidth="1"/>
    <col min="3057" max="3057" width="9" style="88" bestFit="1" customWidth="1"/>
    <col min="3058" max="3058" width="5.1640625" style="88" customWidth="1"/>
    <col min="3059" max="3059" width="9.1640625" style="88" customWidth="1"/>
    <col min="3060" max="3060" width="6" style="88" customWidth="1"/>
    <col min="3061" max="3061" width="9.1640625" style="88" customWidth="1"/>
    <col min="3062" max="3062" width="6" style="88" customWidth="1"/>
    <col min="3063" max="3064" width="10.1640625" style="88" customWidth="1"/>
    <col min="3065" max="3065" width="10" style="88" customWidth="1"/>
    <col min="3066" max="3066" width="10.33203125" style="88" customWidth="1"/>
    <col min="3067" max="3077" width="9.1640625" style="88" customWidth="1"/>
    <col min="3078" max="3078" width="11.33203125" style="88" customWidth="1"/>
    <col min="3079" max="3099" width="13" style="88" hidden="1" customWidth="1"/>
    <col min="3100" max="3305" width="9.1640625" style="88" customWidth="1"/>
    <col min="3306" max="3306" width="28.6640625" style="88" customWidth="1"/>
    <col min="3307" max="3307" width="9" style="88" bestFit="1" customWidth="1"/>
    <col min="3308" max="3308" width="5.33203125" style="88" customWidth="1"/>
    <col min="3309" max="3309" width="9" style="88" bestFit="1" customWidth="1"/>
    <col min="3310" max="3310" width="5.33203125" style="88" customWidth="1"/>
    <col min="3311" max="3311" width="9" style="88" bestFit="1" customWidth="1"/>
    <col min="3312" max="3312" width="5" style="88" customWidth="1"/>
    <col min="3313" max="3313" width="9" style="88" bestFit="1" customWidth="1"/>
    <col min="3314" max="3314" width="5.1640625" style="88" customWidth="1"/>
    <col min="3315" max="3315" width="9.1640625" style="88" customWidth="1"/>
    <col min="3316" max="3316" width="6" style="88" customWidth="1"/>
    <col min="3317" max="3317" width="9.1640625" style="88" customWidth="1"/>
    <col min="3318" max="3318" width="6" style="88" customWidth="1"/>
    <col min="3319" max="3320" width="10.1640625" style="88" customWidth="1"/>
    <col min="3321" max="3321" width="10" style="88" customWidth="1"/>
    <col min="3322" max="3322" width="10.33203125" style="88" customWidth="1"/>
    <col min="3323" max="3333" width="9.1640625" style="88" customWidth="1"/>
    <col min="3334" max="3334" width="11.33203125" style="88" customWidth="1"/>
    <col min="3335" max="3355" width="13" style="88" hidden="1" customWidth="1"/>
    <col min="3356" max="3561" width="9.1640625" style="88" customWidth="1"/>
    <col min="3562" max="3562" width="28.6640625" style="88" customWidth="1"/>
    <col min="3563" max="3563" width="9" style="88" bestFit="1" customWidth="1"/>
    <col min="3564" max="3564" width="5.33203125" style="88" customWidth="1"/>
    <col min="3565" max="3565" width="9" style="88" bestFit="1" customWidth="1"/>
    <col min="3566" max="3566" width="5.33203125" style="88" customWidth="1"/>
    <col min="3567" max="3567" width="9" style="88" bestFit="1" customWidth="1"/>
    <col min="3568" max="3568" width="5" style="88" customWidth="1"/>
    <col min="3569" max="3569" width="9" style="88" bestFit="1" customWidth="1"/>
    <col min="3570" max="3570" width="5.1640625" style="88" customWidth="1"/>
    <col min="3571" max="3571" width="9.1640625" style="88" customWidth="1"/>
    <col min="3572" max="3572" width="6" style="88" customWidth="1"/>
    <col min="3573" max="3573" width="9.1640625" style="88" customWidth="1"/>
    <col min="3574" max="3574" width="6" style="88" customWidth="1"/>
    <col min="3575" max="3576" width="10.1640625" style="88" customWidth="1"/>
    <col min="3577" max="3577" width="10" style="88" customWidth="1"/>
    <col min="3578" max="3578" width="10.33203125" style="88" customWidth="1"/>
    <col min="3579" max="3589" width="9.1640625" style="88" customWidth="1"/>
    <col min="3590" max="3590" width="11.33203125" style="88" customWidth="1"/>
    <col min="3591" max="3611" width="13" style="88" hidden="1" customWidth="1"/>
    <col min="3612" max="3817" width="9.1640625" style="88" customWidth="1"/>
    <col min="3818" max="3818" width="28.6640625" style="88" customWidth="1"/>
    <col min="3819" max="3819" width="9" style="88" bestFit="1" customWidth="1"/>
    <col min="3820" max="3820" width="5.33203125" style="88" customWidth="1"/>
    <col min="3821" max="3821" width="9" style="88" bestFit="1" customWidth="1"/>
    <col min="3822" max="3822" width="5.33203125" style="88" customWidth="1"/>
    <col min="3823" max="3823" width="9" style="88" bestFit="1" customWidth="1"/>
    <col min="3824" max="3824" width="5" style="88" customWidth="1"/>
    <col min="3825" max="3825" width="9" style="88" bestFit="1" customWidth="1"/>
    <col min="3826" max="3826" width="5.1640625" style="88" customWidth="1"/>
    <col min="3827" max="3827" width="9.1640625" style="88" customWidth="1"/>
    <col min="3828" max="3828" width="6" style="88" customWidth="1"/>
    <col min="3829" max="3829" width="9.1640625" style="88" customWidth="1"/>
    <col min="3830" max="3830" width="6" style="88" customWidth="1"/>
    <col min="3831" max="3832" width="10.1640625" style="88" customWidth="1"/>
    <col min="3833" max="3833" width="10" style="88" customWidth="1"/>
    <col min="3834" max="3834" width="10.33203125" style="88" customWidth="1"/>
    <col min="3835" max="3845" width="9.1640625" style="88" customWidth="1"/>
    <col min="3846" max="3846" width="11.33203125" style="88" customWidth="1"/>
    <col min="3847" max="3867" width="13" style="88" hidden="1" customWidth="1"/>
    <col min="3868" max="4073" width="9.1640625" style="88" customWidth="1"/>
    <col min="4074" max="4074" width="28.6640625" style="88" customWidth="1"/>
    <col min="4075" max="4075" width="9" style="88" bestFit="1" customWidth="1"/>
    <col min="4076" max="4076" width="5.33203125" style="88" customWidth="1"/>
    <col min="4077" max="4077" width="9" style="88" bestFit="1" customWidth="1"/>
    <col min="4078" max="4078" width="5.33203125" style="88" customWidth="1"/>
    <col min="4079" max="4079" width="9" style="88" bestFit="1" customWidth="1"/>
    <col min="4080" max="4080" width="5" style="88" customWidth="1"/>
    <col min="4081" max="4081" width="9" style="88" bestFit="1" customWidth="1"/>
    <col min="4082" max="4082" width="5.1640625" style="88" customWidth="1"/>
    <col min="4083" max="4083" width="9.1640625" style="88" customWidth="1"/>
    <col min="4084" max="4084" width="6" style="88" customWidth="1"/>
    <col min="4085" max="4085" width="9.1640625" style="88" customWidth="1"/>
    <col min="4086" max="4086" width="6" style="88" customWidth="1"/>
    <col min="4087" max="4088" width="10.1640625" style="88" customWidth="1"/>
    <col min="4089" max="4089" width="10" style="88" customWidth="1"/>
    <col min="4090" max="4090" width="10.33203125" style="88" customWidth="1"/>
    <col min="4091" max="4101" width="9.1640625" style="88" customWidth="1"/>
    <col min="4102" max="4102" width="11.33203125" style="88" customWidth="1"/>
    <col min="4103" max="4123" width="13" style="88" hidden="1" customWidth="1"/>
    <col min="4124" max="4329" width="9.1640625" style="88" customWidth="1"/>
    <col min="4330" max="4330" width="28.6640625" style="88" customWidth="1"/>
    <col min="4331" max="4331" width="9" style="88" bestFit="1" customWidth="1"/>
    <col min="4332" max="4332" width="5.33203125" style="88" customWidth="1"/>
    <col min="4333" max="4333" width="9" style="88" bestFit="1" customWidth="1"/>
    <col min="4334" max="4334" width="5.33203125" style="88" customWidth="1"/>
    <col min="4335" max="4335" width="9" style="88" bestFit="1" customWidth="1"/>
    <col min="4336" max="4336" width="5" style="88" customWidth="1"/>
    <col min="4337" max="4337" width="9" style="88" bestFit="1" customWidth="1"/>
    <col min="4338" max="4338" width="5.1640625" style="88" customWidth="1"/>
    <col min="4339" max="4339" width="9.1640625" style="88" customWidth="1"/>
    <col min="4340" max="4340" width="6" style="88" customWidth="1"/>
    <col min="4341" max="4341" width="9.1640625" style="88" customWidth="1"/>
    <col min="4342" max="4342" width="6" style="88" customWidth="1"/>
    <col min="4343" max="4344" width="10.1640625" style="88" customWidth="1"/>
    <col min="4345" max="4345" width="10" style="88" customWidth="1"/>
    <col min="4346" max="4346" width="10.33203125" style="88" customWidth="1"/>
    <col min="4347" max="4357" width="9.1640625" style="88" customWidth="1"/>
    <col min="4358" max="4358" width="11.33203125" style="88" customWidth="1"/>
    <col min="4359" max="4379" width="13" style="88" hidden="1" customWidth="1"/>
    <col min="4380" max="4585" width="9.1640625" style="88" customWidth="1"/>
    <col min="4586" max="4586" width="28.6640625" style="88" customWidth="1"/>
    <col min="4587" max="4587" width="9" style="88" bestFit="1" customWidth="1"/>
    <col min="4588" max="4588" width="5.33203125" style="88" customWidth="1"/>
    <col min="4589" max="4589" width="9" style="88" bestFit="1" customWidth="1"/>
    <col min="4590" max="4590" width="5.33203125" style="88" customWidth="1"/>
    <col min="4591" max="4591" width="9" style="88" bestFit="1" customWidth="1"/>
    <col min="4592" max="4592" width="5" style="88" customWidth="1"/>
    <col min="4593" max="4593" width="9" style="88" bestFit="1" customWidth="1"/>
    <col min="4594" max="4594" width="5.1640625" style="88" customWidth="1"/>
    <col min="4595" max="4595" width="9.1640625" style="88" customWidth="1"/>
    <col min="4596" max="4596" width="6" style="88" customWidth="1"/>
    <col min="4597" max="4597" width="9.1640625" style="88" customWidth="1"/>
    <col min="4598" max="4598" width="6" style="88" customWidth="1"/>
    <col min="4599" max="4600" width="10.1640625" style="88" customWidth="1"/>
    <col min="4601" max="4601" width="10" style="88" customWidth="1"/>
    <col min="4602" max="4602" width="10.33203125" style="88" customWidth="1"/>
    <col min="4603" max="4613" width="9.1640625" style="88" customWidth="1"/>
    <col min="4614" max="4614" width="11.33203125" style="88" customWidth="1"/>
    <col min="4615" max="4635" width="13" style="88" hidden="1" customWidth="1"/>
    <col min="4636" max="4841" width="9.1640625" style="88" customWidth="1"/>
    <col min="4842" max="4842" width="28.6640625" style="88" customWidth="1"/>
    <col min="4843" max="4843" width="9" style="88" bestFit="1" customWidth="1"/>
    <col min="4844" max="4844" width="5.33203125" style="88" customWidth="1"/>
    <col min="4845" max="4845" width="9" style="88" bestFit="1" customWidth="1"/>
    <col min="4846" max="4846" width="5.33203125" style="88" customWidth="1"/>
    <col min="4847" max="4847" width="9" style="88" bestFit="1" customWidth="1"/>
    <col min="4848" max="4848" width="5" style="88" customWidth="1"/>
    <col min="4849" max="4849" width="9" style="88" bestFit="1" customWidth="1"/>
    <col min="4850" max="4850" width="5.1640625" style="88" customWidth="1"/>
    <col min="4851" max="4851" width="9.1640625" style="88" customWidth="1"/>
    <col min="4852" max="4852" width="6" style="88" customWidth="1"/>
    <col min="4853" max="4853" width="9.1640625" style="88" customWidth="1"/>
    <col min="4854" max="4854" width="6" style="88" customWidth="1"/>
    <col min="4855" max="4856" width="10.1640625" style="88" customWidth="1"/>
    <col min="4857" max="4857" width="10" style="88" customWidth="1"/>
    <col min="4858" max="4858" width="10.33203125" style="88" customWidth="1"/>
    <col min="4859" max="4869" width="9.1640625" style="88" customWidth="1"/>
    <col min="4870" max="4870" width="11.33203125" style="88" customWidth="1"/>
    <col min="4871" max="4891" width="13" style="88" hidden="1" customWidth="1"/>
    <col min="4892" max="5097" width="9.1640625" style="88" customWidth="1"/>
    <col min="5098" max="5098" width="28.6640625" style="88" customWidth="1"/>
    <col min="5099" max="5099" width="9" style="88" bestFit="1" customWidth="1"/>
    <col min="5100" max="5100" width="5.33203125" style="88" customWidth="1"/>
    <col min="5101" max="5101" width="9" style="88" bestFit="1" customWidth="1"/>
    <col min="5102" max="5102" width="5.33203125" style="88" customWidth="1"/>
    <col min="5103" max="5103" width="9" style="88" bestFit="1" customWidth="1"/>
    <col min="5104" max="5104" width="5" style="88" customWidth="1"/>
    <col min="5105" max="5105" width="9" style="88" bestFit="1" customWidth="1"/>
    <col min="5106" max="5106" width="5.1640625" style="88" customWidth="1"/>
    <col min="5107" max="5107" width="9.1640625" style="88" customWidth="1"/>
    <col min="5108" max="5108" width="6" style="88" customWidth="1"/>
    <col min="5109" max="5109" width="9.1640625" style="88" customWidth="1"/>
    <col min="5110" max="5110" width="6" style="88" customWidth="1"/>
    <col min="5111" max="5112" width="10.1640625" style="88" customWidth="1"/>
    <col min="5113" max="5113" width="10" style="88" customWidth="1"/>
    <col min="5114" max="5114" width="10.33203125" style="88" customWidth="1"/>
    <col min="5115" max="5125" width="9.1640625" style="88" customWidth="1"/>
    <col min="5126" max="5126" width="11.33203125" style="88" customWidth="1"/>
    <col min="5127" max="5147" width="13" style="88" hidden="1" customWidth="1"/>
    <col min="5148" max="5353" width="9.1640625" style="88" customWidth="1"/>
    <col min="5354" max="5354" width="28.6640625" style="88" customWidth="1"/>
    <col min="5355" max="5355" width="9" style="88" bestFit="1" customWidth="1"/>
    <col min="5356" max="5356" width="5.33203125" style="88" customWidth="1"/>
    <col min="5357" max="5357" width="9" style="88" bestFit="1" customWidth="1"/>
    <col min="5358" max="5358" width="5.33203125" style="88" customWidth="1"/>
    <col min="5359" max="5359" width="9" style="88" bestFit="1" customWidth="1"/>
    <col min="5360" max="5360" width="5" style="88" customWidth="1"/>
    <col min="5361" max="5361" width="9" style="88" bestFit="1" customWidth="1"/>
    <col min="5362" max="5362" width="5.1640625" style="88" customWidth="1"/>
    <col min="5363" max="5363" width="9.1640625" style="88" customWidth="1"/>
    <col min="5364" max="5364" width="6" style="88" customWidth="1"/>
    <col min="5365" max="5365" width="9.1640625" style="88" customWidth="1"/>
    <col min="5366" max="5366" width="6" style="88" customWidth="1"/>
    <col min="5367" max="5368" width="10.1640625" style="88" customWidth="1"/>
    <col min="5369" max="5369" width="10" style="88" customWidth="1"/>
    <col min="5370" max="5370" width="10.33203125" style="88" customWidth="1"/>
    <col min="5371" max="5381" width="9.1640625" style="88" customWidth="1"/>
    <col min="5382" max="5382" width="11.33203125" style="88" customWidth="1"/>
    <col min="5383" max="5403" width="13" style="88" hidden="1" customWidth="1"/>
    <col min="5404" max="5609" width="9.1640625" style="88" customWidth="1"/>
    <col min="5610" max="5610" width="28.6640625" style="88" customWidth="1"/>
    <col min="5611" max="5611" width="9" style="88" bestFit="1" customWidth="1"/>
    <col min="5612" max="5612" width="5.33203125" style="88" customWidth="1"/>
    <col min="5613" max="5613" width="9" style="88" bestFit="1" customWidth="1"/>
    <col min="5614" max="5614" width="5.33203125" style="88" customWidth="1"/>
    <col min="5615" max="5615" width="9" style="88" bestFit="1" customWidth="1"/>
    <col min="5616" max="5616" width="5" style="88" customWidth="1"/>
    <col min="5617" max="5617" width="9" style="88" bestFit="1" customWidth="1"/>
    <col min="5618" max="5618" width="5.1640625" style="88" customWidth="1"/>
    <col min="5619" max="5619" width="9.1640625" style="88" customWidth="1"/>
    <col min="5620" max="5620" width="6" style="88" customWidth="1"/>
    <col min="5621" max="5621" width="9.1640625" style="88" customWidth="1"/>
    <col min="5622" max="5622" width="6" style="88" customWidth="1"/>
    <col min="5623" max="5624" width="10.1640625" style="88" customWidth="1"/>
    <col min="5625" max="5625" width="10" style="88" customWidth="1"/>
    <col min="5626" max="5626" width="10.33203125" style="88" customWidth="1"/>
    <col min="5627" max="5637" width="9.1640625" style="88" customWidth="1"/>
    <col min="5638" max="5638" width="11.33203125" style="88" customWidth="1"/>
    <col min="5639" max="5659" width="13" style="88" hidden="1" customWidth="1"/>
    <col min="5660" max="5865" width="9.1640625" style="88" customWidth="1"/>
    <col min="5866" max="5866" width="28.6640625" style="88" customWidth="1"/>
    <col min="5867" max="5867" width="9" style="88" bestFit="1" customWidth="1"/>
    <col min="5868" max="5868" width="5.33203125" style="88" customWidth="1"/>
    <col min="5869" max="5869" width="9" style="88" bestFit="1" customWidth="1"/>
    <col min="5870" max="5870" width="5.33203125" style="88" customWidth="1"/>
    <col min="5871" max="5871" width="9" style="88" bestFit="1" customWidth="1"/>
    <col min="5872" max="5872" width="5" style="88" customWidth="1"/>
    <col min="5873" max="5873" width="9" style="88" bestFit="1" customWidth="1"/>
    <col min="5874" max="5874" width="5.1640625" style="88" customWidth="1"/>
    <col min="5875" max="5875" width="9.1640625" style="88" customWidth="1"/>
    <col min="5876" max="5876" width="6" style="88" customWidth="1"/>
    <col min="5877" max="5877" width="9.1640625" style="88" customWidth="1"/>
    <col min="5878" max="5878" width="6" style="88" customWidth="1"/>
    <col min="5879" max="5880" width="10.1640625" style="88" customWidth="1"/>
    <col min="5881" max="5881" width="10" style="88" customWidth="1"/>
    <col min="5882" max="5882" width="10.33203125" style="88" customWidth="1"/>
    <col min="5883" max="5893" width="9.1640625" style="88" customWidth="1"/>
    <col min="5894" max="5894" width="11.33203125" style="88" customWidth="1"/>
    <col min="5895" max="5915" width="13" style="88" hidden="1" customWidth="1"/>
    <col min="5916" max="6121" width="9.1640625" style="88" customWidth="1"/>
    <col min="6122" max="6122" width="28.6640625" style="88" customWidth="1"/>
    <col min="6123" max="6123" width="9" style="88" bestFit="1" customWidth="1"/>
    <col min="6124" max="6124" width="5.33203125" style="88" customWidth="1"/>
    <col min="6125" max="6125" width="9" style="88" bestFit="1" customWidth="1"/>
    <col min="6126" max="6126" width="5.33203125" style="88" customWidth="1"/>
    <col min="6127" max="6127" width="9" style="88" bestFit="1" customWidth="1"/>
    <col min="6128" max="6128" width="5" style="88" customWidth="1"/>
    <col min="6129" max="6129" width="9" style="88" bestFit="1" customWidth="1"/>
    <col min="6130" max="6130" width="5.1640625" style="88" customWidth="1"/>
    <col min="6131" max="6131" width="9.1640625" style="88" customWidth="1"/>
    <col min="6132" max="6132" width="6" style="88" customWidth="1"/>
    <col min="6133" max="6133" width="9.1640625" style="88" customWidth="1"/>
    <col min="6134" max="6134" width="6" style="88" customWidth="1"/>
    <col min="6135" max="6136" width="10.1640625" style="88" customWidth="1"/>
    <col min="6137" max="6137" width="10" style="88" customWidth="1"/>
    <col min="6138" max="6138" width="10.33203125" style="88" customWidth="1"/>
    <col min="6139" max="6149" width="9.1640625" style="88" customWidth="1"/>
    <col min="6150" max="6150" width="11.33203125" style="88" customWidth="1"/>
    <col min="6151" max="6171" width="13" style="88" hidden="1" customWidth="1"/>
    <col min="6172" max="6377" width="9.1640625" style="88" customWidth="1"/>
    <col min="6378" max="6378" width="28.6640625" style="88" customWidth="1"/>
    <col min="6379" max="6379" width="9" style="88" bestFit="1" customWidth="1"/>
    <col min="6380" max="6380" width="5.33203125" style="88" customWidth="1"/>
    <col min="6381" max="6381" width="9" style="88" bestFit="1" customWidth="1"/>
    <col min="6382" max="6382" width="5.33203125" style="88" customWidth="1"/>
    <col min="6383" max="6383" width="9" style="88" bestFit="1" customWidth="1"/>
    <col min="6384" max="6384" width="5" style="88" customWidth="1"/>
    <col min="6385" max="6385" width="9" style="88" bestFit="1" customWidth="1"/>
    <col min="6386" max="6386" width="5.1640625" style="88" customWidth="1"/>
    <col min="6387" max="6387" width="9.1640625" style="88" customWidth="1"/>
    <col min="6388" max="6388" width="6" style="88" customWidth="1"/>
    <col min="6389" max="6389" width="9.1640625" style="88" customWidth="1"/>
    <col min="6390" max="6390" width="6" style="88" customWidth="1"/>
    <col min="6391" max="6392" width="10.1640625" style="88" customWidth="1"/>
    <col min="6393" max="6393" width="10" style="88" customWidth="1"/>
    <col min="6394" max="6394" width="10.33203125" style="88" customWidth="1"/>
    <col min="6395" max="6405" width="9.1640625" style="88" customWidth="1"/>
    <col min="6406" max="6406" width="11.33203125" style="88" customWidth="1"/>
    <col min="6407" max="6427" width="13" style="88" hidden="1" customWidth="1"/>
    <col min="6428" max="6633" width="9.1640625" style="88" customWidth="1"/>
    <col min="6634" max="6634" width="28.6640625" style="88" customWidth="1"/>
    <col min="6635" max="6635" width="9" style="88" bestFit="1" customWidth="1"/>
    <col min="6636" max="6636" width="5.33203125" style="88" customWidth="1"/>
    <col min="6637" max="6637" width="9" style="88" bestFit="1" customWidth="1"/>
    <col min="6638" max="6638" width="5.33203125" style="88" customWidth="1"/>
    <col min="6639" max="6639" width="9" style="88" bestFit="1" customWidth="1"/>
    <col min="6640" max="6640" width="5" style="88" customWidth="1"/>
    <col min="6641" max="6641" width="9" style="88" bestFit="1" customWidth="1"/>
    <col min="6642" max="6642" width="5.1640625" style="88" customWidth="1"/>
    <col min="6643" max="6643" width="9.1640625" style="88" customWidth="1"/>
    <col min="6644" max="6644" width="6" style="88" customWidth="1"/>
    <col min="6645" max="6645" width="9.1640625" style="88" customWidth="1"/>
    <col min="6646" max="6646" width="6" style="88" customWidth="1"/>
    <col min="6647" max="6648" width="10.1640625" style="88" customWidth="1"/>
    <col min="6649" max="6649" width="10" style="88" customWidth="1"/>
    <col min="6650" max="6650" width="10.33203125" style="88" customWidth="1"/>
    <col min="6651" max="6661" width="9.1640625" style="88" customWidth="1"/>
    <col min="6662" max="6662" width="11.33203125" style="88" customWidth="1"/>
    <col min="6663" max="6683" width="13" style="88" hidden="1" customWidth="1"/>
    <col min="6684" max="6889" width="9.1640625" style="88" customWidth="1"/>
    <col min="6890" max="6890" width="28.6640625" style="88" customWidth="1"/>
    <col min="6891" max="6891" width="9" style="88" bestFit="1" customWidth="1"/>
    <col min="6892" max="6892" width="5.33203125" style="88" customWidth="1"/>
    <col min="6893" max="6893" width="9" style="88" bestFit="1" customWidth="1"/>
    <col min="6894" max="6894" width="5.33203125" style="88" customWidth="1"/>
    <col min="6895" max="6895" width="9" style="88" bestFit="1" customWidth="1"/>
    <col min="6896" max="6896" width="5" style="88" customWidth="1"/>
    <col min="6897" max="6897" width="9" style="88" bestFit="1" customWidth="1"/>
    <col min="6898" max="6898" width="5.1640625" style="88" customWidth="1"/>
    <col min="6899" max="6899" width="9.1640625" style="88" customWidth="1"/>
    <col min="6900" max="6900" width="6" style="88" customWidth="1"/>
    <col min="6901" max="6901" width="9.1640625" style="88" customWidth="1"/>
    <col min="6902" max="6902" width="6" style="88" customWidth="1"/>
    <col min="6903" max="6904" width="10.1640625" style="88" customWidth="1"/>
    <col min="6905" max="6905" width="10" style="88" customWidth="1"/>
    <col min="6906" max="6906" width="10.33203125" style="88" customWidth="1"/>
    <col min="6907" max="6917" width="9.1640625" style="88" customWidth="1"/>
    <col min="6918" max="6918" width="11.33203125" style="88" customWidth="1"/>
    <col min="6919" max="6939" width="13" style="88" hidden="1" customWidth="1"/>
    <col min="6940" max="7145" width="9.1640625" style="88" customWidth="1"/>
    <col min="7146" max="7146" width="28.6640625" style="88" customWidth="1"/>
    <col min="7147" max="7147" width="9" style="88" bestFit="1" customWidth="1"/>
    <col min="7148" max="7148" width="5.33203125" style="88" customWidth="1"/>
    <col min="7149" max="7149" width="9" style="88" bestFit="1" customWidth="1"/>
    <col min="7150" max="7150" width="5.33203125" style="88" customWidth="1"/>
    <col min="7151" max="7151" width="9" style="88" bestFit="1" customWidth="1"/>
    <col min="7152" max="7152" width="5" style="88" customWidth="1"/>
    <col min="7153" max="7153" width="9" style="88" bestFit="1" customWidth="1"/>
    <col min="7154" max="7154" width="5.1640625" style="88" customWidth="1"/>
    <col min="7155" max="7155" width="9.1640625" style="88" customWidth="1"/>
    <col min="7156" max="7156" width="6" style="88" customWidth="1"/>
    <col min="7157" max="7157" width="9.1640625" style="88" customWidth="1"/>
    <col min="7158" max="7158" width="6" style="88" customWidth="1"/>
    <col min="7159" max="7160" width="10.1640625" style="88" customWidth="1"/>
    <col min="7161" max="7161" width="10" style="88" customWidth="1"/>
    <col min="7162" max="7162" width="10.33203125" style="88" customWidth="1"/>
    <col min="7163" max="7173" width="9.1640625" style="88" customWidth="1"/>
    <col min="7174" max="7174" width="11.33203125" style="88" customWidth="1"/>
    <col min="7175" max="7195" width="13" style="88" hidden="1" customWidth="1"/>
    <col min="7196" max="7401" width="9.1640625" style="88" customWidth="1"/>
    <col min="7402" max="7402" width="28.6640625" style="88" customWidth="1"/>
    <col min="7403" max="7403" width="9" style="88" bestFit="1" customWidth="1"/>
    <col min="7404" max="7404" width="5.33203125" style="88" customWidth="1"/>
    <col min="7405" max="7405" width="9" style="88" bestFit="1" customWidth="1"/>
    <col min="7406" max="7406" width="5.33203125" style="88" customWidth="1"/>
    <col min="7407" max="7407" width="9" style="88" bestFit="1" customWidth="1"/>
    <col min="7408" max="7408" width="5" style="88" customWidth="1"/>
    <col min="7409" max="7409" width="9" style="88" bestFit="1" customWidth="1"/>
    <col min="7410" max="7410" width="5.1640625" style="88" customWidth="1"/>
    <col min="7411" max="7411" width="9.1640625" style="88" customWidth="1"/>
    <col min="7412" max="7412" width="6" style="88" customWidth="1"/>
    <col min="7413" max="7413" width="9.1640625" style="88" customWidth="1"/>
    <col min="7414" max="7414" width="6" style="88" customWidth="1"/>
    <col min="7415" max="7416" width="10.1640625" style="88" customWidth="1"/>
    <col min="7417" max="7417" width="10" style="88" customWidth="1"/>
    <col min="7418" max="7418" width="10.33203125" style="88" customWidth="1"/>
    <col min="7419" max="7429" width="9.1640625" style="88" customWidth="1"/>
    <col min="7430" max="7430" width="11.33203125" style="88" customWidth="1"/>
    <col min="7431" max="7451" width="13" style="88" hidden="1" customWidth="1"/>
    <col min="7452" max="7657" width="9.1640625" style="88" customWidth="1"/>
    <col min="7658" max="7658" width="28.6640625" style="88" customWidth="1"/>
    <col min="7659" max="7659" width="9" style="88" bestFit="1" customWidth="1"/>
    <col min="7660" max="7660" width="5.33203125" style="88" customWidth="1"/>
    <col min="7661" max="7661" width="9" style="88" bestFit="1" customWidth="1"/>
    <col min="7662" max="7662" width="5.33203125" style="88" customWidth="1"/>
    <col min="7663" max="7663" width="9" style="88" bestFit="1" customWidth="1"/>
    <col min="7664" max="7664" width="5" style="88" customWidth="1"/>
    <col min="7665" max="7665" width="9" style="88" bestFit="1" customWidth="1"/>
    <col min="7666" max="7666" width="5.1640625" style="88" customWidth="1"/>
    <col min="7667" max="7667" width="9.1640625" style="88" customWidth="1"/>
    <col min="7668" max="7668" width="6" style="88" customWidth="1"/>
    <col min="7669" max="7669" width="9.1640625" style="88" customWidth="1"/>
    <col min="7670" max="7670" width="6" style="88" customWidth="1"/>
    <col min="7671" max="7672" width="10.1640625" style="88" customWidth="1"/>
    <col min="7673" max="7673" width="10" style="88" customWidth="1"/>
    <col min="7674" max="7674" width="10.33203125" style="88" customWidth="1"/>
    <col min="7675" max="7685" width="9.1640625" style="88" customWidth="1"/>
    <col min="7686" max="7686" width="11.33203125" style="88" customWidth="1"/>
    <col min="7687" max="7707" width="13" style="88" hidden="1" customWidth="1"/>
    <col min="7708" max="7913" width="9.1640625" style="88" customWidth="1"/>
    <col min="7914" max="7914" width="28.6640625" style="88" customWidth="1"/>
    <col min="7915" max="7915" width="9" style="88" bestFit="1" customWidth="1"/>
    <col min="7916" max="7916" width="5.33203125" style="88" customWidth="1"/>
    <col min="7917" max="7917" width="9" style="88" bestFit="1" customWidth="1"/>
    <col min="7918" max="7918" width="5.33203125" style="88" customWidth="1"/>
    <col min="7919" max="7919" width="9" style="88" bestFit="1" customWidth="1"/>
    <col min="7920" max="7920" width="5" style="88" customWidth="1"/>
    <col min="7921" max="7921" width="9" style="88" bestFit="1" customWidth="1"/>
    <col min="7922" max="7922" width="5.1640625" style="88" customWidth="1"/>
    <col min="7923" max="7923" width="9.1640625" style="88" customWidth="1"/>
    <col min="7924" max="7924" width="6" style="88" customWidth="1"/>
    <col min="7925" max="7925" width="9.1640625" style="88" customWidth="1"/>
    <col min="7926" max="7926" width="6" style="88" customWidth="1"/>
    <col min="7927" max="7928" width="10.1640625" style="88" customWidth="1"/>
    <col min="7929" max="7929" width="10" style="88" customWidth="1"/>
    <col min="7930" max="7930" width="10.33203125" style="88" customWidth="1"/>
    <col min="7931" max="7941" width="9.1640625" style="88" customWidth="1"/>
    <col min="7942" max="7942" width="11.33203125" style="88" customWidth="1"/>
    <col min="7943" max="7963" width="13" style="88" hidden="1" customWidth="1"/>
    <col min="7964" max="8169" width="9.1640625" style="88" customWidth="1"/>
    <col min="8170" max="8170" width="28.6640625" style="88" customWidth="1"/>
    <col min="8171" max="8171" width="9" style="88" bestFit="1" customWidth="1"/>
    <col min="8172" max="8172" width="5.33203125" style="88" customWidth="1"/>
    <col min="8173" max="8173" width="9" style="88" bestFit="1" customWidth="1"/>
    <col min="8174" max="8174" width="5.33203125" style="88" customWidth="1"/>
    <col min="8175" max="8175" width="9" style="88" bestFit="1" customWidth="1"/>
    <col min="8176" max="8176" width="5" style="88" customWidth="1"/>
    <col min="8177" max="8177" width="9" style="88" bestFit="1" customWidth="1"/>
    <col min="8178" max="8178" width="5.1640625" style="88" customWidth="1"/>
    <col min="8179" max="8179" width="9.1640625" style="88" customWidth="1"/>
    <col min="8180" max="8180" width="6" style="88" customWidth="1"/>
    <col min="8181" max="8181" width="9.1640625" style="88" customWidth="1"/>
    <col min="8182" max="8182" width="6" style="88" customWidth="1"/>
    <col min="8183" max="8184" width="10.1640625" style="88" customWidth="1"/>
    <col min="8185" max="8185" width="10" style="88" customWidth="1"/>
    <col min="8186" max="8186" width="10.33203125" style="88" customWidth="1"/>
    <col min="8187" max="8197" width="9.1640625" style="88" customWidth="1"/>
    <col min="8198" max="8198" width="11.33203125" style="88" customWidth="1"/>
    <col min="8199" max="8219" width="13" style="88" hidden="1" customWidth="1"/>
    <col min="8220" max="8425" width="9.1640625" style="88" customWidth="1"/>
    <col min="8426" max="8426" width="28.6640625" style="88" customWidth="1"/>
    <col min="8427" max="8427" width="9" style="88" bestFit="1" customWidth="1"/>
    <col min="8428" max="8428" width="5.33203125" style="88" customWidth="1"/>
    <col min="8429" max="8429" width="9" style="88" bestFit="1" customWidth="1"/>
    <col min="8430" max="8430" width="5.33203125" style="88" customWidth="1"/>
    <col min="8431" max="8431" width="9" style="88" bestFit="1" customWidth="1"/>
    <col min="8432" max="8432" width="5" style="88" customWidth="1"/>
    <col min="8433" max="8433" width="9" style="88" bestFit="1" customWidth="1"/>
    <col min="8434" max="8434" width="5.1640625" style="88" customWidth="1"/>
    <col min="8435" max="8435" width="9.1640625" style="88" customWidth="1"/>
    <col min="8436" max="8436" width="6" style="88" customWidth="1"/>
    <col min="8437" max="8437" width="9.1640625" style="88" customWidth="1"/>
    <col min="8438" max="8438" width="6" style="88" customWidth="1"/>
    <col min="8439" max="8440" width="10.1640625" style="88" customWidth="1"/>
    <col min="8441" max="8441" width="10" style="88" customWidth="1"/>
    <col min="8442" max="8442" width="10.33203125" style="88" customWidth="1"/>
    <col min="8443" max="8453" width="9.1640625" style="88" customWidth="1"/>
    <col min="8454" max="8454" width="11.33203125" style="88" customWidth="1"/>
    <col min="8455" max="8475" width="13" style="88" hidden="1" customWidth="1"/>
    <col min="8476" max="8681" width="9.1640625" style="88" customWidth="1"/>
    <col min="8682" max="8682" width="28.6640625" style="88" customWidth="1"/>
    <col min="8683" max="8683" width="9" style="88" bestFit="1" customWidth="1"/>
    <col min="8684" max="8684" width="5.33203125" style="88" customWidth="1"/>
    <col min="8685" max="8685" width="9" style="88" bestFit="1" customWidth="1"/>
    <col min="8686" max="8686" width="5.33203125" style="88" customWidth="1"/>
    <col min="8687" max="8687" width="9" style="88" bestFit="1" customWidth="1"/>
    <col min="8688" max="8688" width="5" style="88" customWidth="1"/>
    <col min="8689" max="8689" width="9" style="88" bestFit="1" customWidth="1"/>
    <col min="8690" max="8690" width="5.1640625" style="88" customWidth="1"/>
    <col min="8691" max="8691" width="9.1640625" style="88" customWidth="1"/>
    <col min="8692" max="8692" width="6" style="88" customWidth="1"/>
    <col min="8693" max="8693" width="9.1640625" style="88" customWidth="1"/>
    <col min="8694" max="8694" width="6" style="88" customWidth="1"/>
    <col min="8695" max="8696" width="10.1640625" style="88" customWidth="1"/>
    <col min="8697" max="8697" width="10" style="88" customWidth="1"/>
    <col min="8698" max="8698" width="10.33203125" style="88" customWidth="1"/>
    <col min="8699" max="8709" width="9.1640625" style="88" customWidth="1"/>
    <col min="8710" max="8710" width="11.33203125" style="88" customWidth="1"/>
    <col min="8711" max="8731" width="13" style="88" hidden="1" customWidth="1"/>
    <col min="8732" max="8937" width="9.1640625" style="88" customWidth="1"/>
    <col min="8938" max="8938" width="28.6640625" style="88" customWidth="1"/>
    <col min="8939" max="8939" width="9" style="88" bestFit="1" customWidth="1"/>
    <col min="8940" max="8940" width="5.33203125" style="88" customWidth="1"/>
    <col min="8941" max="8941" width="9" style="88" bestFit="1" customWidth="1"/>
    <col min="8942" max="8942" width="5.33203125" style="88" customWidth="1"/>
    <col min="8943" max="8943" width="9" style="88" bestFit="1" customWidth="1"/>
    <col min="8944" max="8944" width="5" style="88" customWidth="1"/>
    <col min="8945" max="8945" width="9" style="88" bestFit="1" customWidth="1"/>
    <col min="8946" max="8946" width="5.1640625" style="88" customWidth="1"/>
    <col min="8947" max="8947" width="9.1640625" style="88" customWidth="1"/>
    <col min="8948" max="8948" width="6" style="88" customWidth="1"/>
    <col min="8949" max="8949" width="9.1640625" style="88" customWidth="1"/>
    <col min="8950" max="8950" width="6" style="88" customWidth="1"/>
    <col min="8951" max="8952" width="10.1640625" style="88" customWidth="1"/>
    <col min="8953" max="8953" width="10" style="88" customWidth="1"/>
    <col min="8954" max="8954" width="10.33203125" style="88" customWidth="1"/>
    <col min="8955" max="8965" width="9.1640625" style="88" customWidth="1"/>
    <col min="8966" max="8966" width="11.33203125" style="88" customWidth="1"/>
    <col min="8967" max="8987" width="13" style="88" hidden="1" customWidth="1"/>
    <col min="8988" max="9193" width="9.1640625" style="88" customWidth="1"/>
    <col min="9194" max="9194" width="28.6640625" style="88" customWidth="1"/>
    <col min="9195" max="9195" width="9" style="88" bestFit="1" customWidth="1"/>
    <col min="9196" max="9196" width="5.33203125" style="88" customWidth="1"/>
    <col min="9197" max="9197" width="9" style="88" bestFit="1" customWidth="1"/>
    <col min="9198" max="9198" width="5.33203125" style="88" customWidth="1"/>
    <col min="9199" max="9199" width="9" style="88" bestFit="1" customWidth="1"/>
    <col min="9200" max="9200" width="5" style="88" customWidth="1"/>
    <col min="9201" max="9201" width="9" style="88" bestFit="1" customWidth="1"/>
    <col min="9202" max="9202" width="5.1640625" style="88" customWidth="1"/>
    <col min="9203" max="9203" width="9.1640625" style="88" customWidth="1"/>
    <col min="9204" max="9204" width="6" style="88" customWidth="1"/>
    <col min="9205" max="9205" width="9.1640625" style="88" customWidth="1"/>
    <col min="9206" max="9206" width="6" style="88" customWidth="1"/>
    <col min="9207" max="9208" width="10.1640625" style="88" customWidth="1"/>
    <col min="9209" max="9209" width="10" style="88" customWidth="1"/>
    <col min="9210" max="9210" width="10.33203125" style="88" customWidth="1"/>
    <col min="9211" max="9221" width="9.1640625" style="88" customWidth="1"/>
    <col min="9222" max="9222" width="11.33203125" style="88" customWidth="1"/>
    <col min="9223" max="9243" width="13" style="88" hidden="1" customWidth="1"/>
    <col min="9244" max="9449" width="9.1640625" style="88" customWidth="1"/>
    <col min="9450" max="9450" width="28.6640625" style="88" customWidth="1"/>
    <col min="9451" max="9451" width="9" style="88" bestFit="1" customWidth="1"/>
    <col min="9452" max="9452" width="5.33203125" style="88" customWidth="1"/>
    <col min="9453" max="9453" width="9" style="88" bestFit="1" customWidth="1"/>
    <col min="9454" max="9454" width="5.33203125" style="88" customWidth="1"/>
    <col min="9455" max="9455" width="9" style="88" bestFit="1" customWidth="1"/>
    <col min="9456" max="9456" width="5" style="88" customWidth="1"/>
    <col min="9457" max="9457" width="9" style="88" bestFit="1" customWidth="1"/>
    <col min="9458" max="9458" width="5.1640625" style="88" customWidth="1"/>
    <col min="9459" max="9459" width="9.1640625" style="88" customWidth="1"/>
    <col min="9460" max="9460" width="6" style="88" customWidth="1"/>
    <col min="9461" max="9461" width="9.1640625" style="88" customWidth="1"/>
    <col min="9462" max="9462" width="6" style="88" customWidth="1"/>
    <col min="9463" max="9464" width="10.1640625" style="88" customWidth="1"/>
    <col min="9465" max="9465" width="10" style="88" customWidth="1"/>
    <col min="9466" max="9466" width="10.33203125" style="88" customWidth="1"/>
    <col min="9467" max="9477" width="9.1640625" style="88" customWidth="1"/>
    <col min="9478" max="9478" width="11.33203125" style="88" customWidth="1"/>
    <col min="9479" max="9499" width="13" style="88" hidden="1" customWidth="1"/>
    <col min="9500" max="9705" width="9.1640625" style="88" customWidth="1"/>
    <col min="9706" max="9706" width="28.6640625" style="88" customWidth="1"/>
    <col min="9707" max="9707" width="9" style="88" bestFit="1" customWidth="1"/>
    <col min="9708" max="9708" width="5.33203125" style="88" customWidth="1"/>
    <col min="9709" max="9709" width="9" style="88" bestFit="1" customWidth="1"/>
    <col min="9710" max="9710" width="5.33203125" style="88" customWidth="1"/>
    <col min="9711" max="9711" width="9" style="88" bestFit="1" customWidth="1"/>
    <col min="9712" max="9712" width="5" style="88" customWidth="1"/>
    <col min="9713" max="9713" width="9" style="88" bestFit="1" customWidth="1"/>
    <col min="9714" max="9714" width="5.1640625" style="88" customWidth="1"/>
    <col min="9715" max="9715" width="9.1640625" style="88" customWidth="1"/>
    <col min="9716" max="9716" width="6" style="88" customWidth="1"/>
    <col min="9717" max="9717" width="9.1640625" style="88" customWidth="1"/>
    <col min="9718" max="9718" width="6" style="88" customWidth="1"/>
    <col min="9719" max="9720" width="10.1640625" style="88" customWidth="1"/>
    <col min="9721" max="9721" width="10" style="88" customWidth="1"/>
    <col min="9722" max="9722" width="10.33203125" style="88" customWidth="1"/>
    <col min="9723" max="9733" width="9.1640625" style="88" customWidth="1"/>
    <col min="9734" max="9734" width="11.33203125" style="88" customWidth="1"/>
    <col min="9735" max="9755" width="13" style="88" hidden="1" customWidth="1"/>
    <col min="9756" max="9961" width="9.1640625" style="88" customWidth="1"/>
    <col min="9962" max="9962" width="28.6640625" style="88" customWidth="1"/>
    <col min="9963" max="9963" width="9" style="88" bestFit="1" customWidth="1"/>
    <col min="9964" max="9964" width="5.33203125" style="88" customWidth="1"/>
    <col min="9965" max="9965" width="9" style="88" bestFit="1" customWidth="1"/>
    <col min="9966" max="9966" width="5.33203125" style="88" customWidth="1"/>
    <col min="9967" max="9967" width="9" style="88" bestFit="1" customWidth="1"/>
    <col min="9968" max="9968" width="5" style="88" customWidth="1"/>
    <col min="9969" max="9969" width="9" style="88" bestFit="1" customWidth="1"/>
    <col min="9970" max="9970" width="5.1640625" style="88" customWidth="1"/>
    <col min="9971" max="9971" width="9.1640625" style="88" customWidth="1"/>
    <col min="9972" max="9972" width="6" style="88" customWidth="1"/>
    <col min="9973" max="9973" width="9.1640625" style="88" customWidth="1"/>
    <col min="9974" max="9974" width="6" style="88" customWidth="1"/>
    <col min="9975" max="9976" width="10.1640625" style="88" customWidth="1"/>
    <col min="9977" max="9977" width="10" style="88" customWidth="1"/>
    <col min="9978" max="9978" width="10.33203125" style="88" customWidth="1"/>
    <col min="9979" max="9989" width="9.1640625" style="88" customWidth="1"/>
    <col min="9990" max="9990" width="11.33203125" style="88" customWidth="1"/>
    <col min="9991" max="10011" width="13" style="88" hidden="1" customWidth="1"/>
    <col min="10012" max="10217" width="9.1640625" style="88" customWidth="1"/>
    <col min="10218" max="10218" width="28.6640625" style="88" customWidth="1"/>
    <col min="10219" max="10219" width="9" style="88" bestFit="1" customWidth="1"/>
    <col min="10220" max="10220" width="5.33203125" style="88" customWidth="1"/>
    <col min="10221" max="10221" width="9" style="88" bestFit="1" customWidth="1"/>
    <col min="10222" max="10222" width="5.33203125" style="88" customWidth="1"/>
    <col min="10223" max="10223" width="9" style="88" bestFit="1" customWidth="1"/>
    <col min="10224" max="10224" width="5" style="88" customWidth="1"/>
    <col min="10225" max="10225" width="9" style="88" bestFit="1" customWidth="1"/>
    <col min="10226" max="10226" width="5.1640625" style="88" customWidth="1"/>
    <col min="10227" max="10227" width="9.1640625" style="88" customWidth="1"/>
    <col min="10228" max="10228" width="6" style="88" customWidth="1"/>
    <col min="10229" max="10229" width="9.1640625" style="88" customWidth="1"/>
    <col min="10230" max="10230" width="6" style="88" customWidth="1"/>
    <col min="10231" max="10232" width="10.1640625" style="88" customWidth="1"/>
    <col min="10233" max="10233" width="10" style="88" customWidth="1"/>
    <col min="10234" max="10234" width="10.33203125" style="88" customWidth="1"/>
    <col min="10235" max="10245" width="9.1640625" style="88" customWidth="1"/>
    <col min="10246" max="10246" width="11.33203125" style="88" customWidth="1"/>
    <col min="10247" max="10267" width="13" style="88" hidden="1" customWidth="1"/>
    <col min="10268" max="10473" width="9.1640625" style="88" customWidth="1"/>
    <col min="10474" max="10474" width="28.6640625" style="88" customWidth="1"/>
    <col min="10475" max="10475" width="9" style="88" bestFit="1" customWidth="1"/>
    <col min="10476" max="10476" width="5.33203125" style="88" customWidth="1"/>
    <col min="10477" max="10477" width="9" style="88" bestFit="1" customWidth="1"/>
    <col min="10478" max="10478" width="5.33203125" style="88" customWidth="1"/>
    <col min="10479" max="10479" width="9" style="88" bestFit="1" customWidth="1"/>
    <col min="10480" max="10480" width="5" style="88" customWidth="1"/>
    <col min="10481" max="10481" width="9" style="88" bestFit="1" customWidth="1"/>
    <col min="10482" max="10482" width="5.1640625" style="88" customWidth="1"/>
    <col min="10483" max="10483" width="9.1640625" style="88" customWidth="1"/>
    <col min="10484" max="10484" width="6" style="88" customWidth="1"/>
    <col min="10485" max="10485" width="9.1640625" style="88" customWidth="1"/>
    <col min="10486" max="10486" width="6" style="88" customWidth="1"/>
    <col min="10487" max="10488" width="10.1640625" style="88" customWidth="1"/>
    <col min="10489" max="10489" width="10" style="88" customWidth="1"/>
    <col min="10490" max="10490" width="10.33203125" style="88" customWidth="1"/>
    <col min="10491" max="10501" width="9.1640625" style="88" customWidth="1"/>
    <col min="10502" max="10502" width="11.33203125" style="88" customWidth="1"/>
    <col min="10503" max="10523" width="13" style="88" hidden="1" customWidth="1"/>
    <col min="10524" max="10729" width="9.1640625" style="88" customWidth="1"/>
    <col min="10730" max="10730" width="28.6640625" style="88" customWidth="1"/>
    <col min="10731" max="10731" width="9" style="88" bestFit="1" customWidth="1"/>
    <col min="10732" max="10732" width="5.33203125" style="88" customWidth="1"/>
    <col min="10733" max="10733" width="9" style="88" bestFit="1" customWidth="1"/>
    <col min="10734" max="10734" width="5.33203125" style="88" customWidth="1"/>
    <col min="10735" max="10735" width="9" style="88" bestFit="1" customWidth="1"/>
    <col min="10736" max="10736" width="5" style="88" customWidth="1"/>
    <col min="10737" max="10737" width="9" style="88" bestFit="1" customWidth="1"/>
    <col min="10738" max="10738" width="5.1640625" style="88" customWidth="1"/>
    <col min="10739" max="10739" width="9.1640625" style="88" customWidth="1"/>
    <col min="10740" max="10740" width="6" style="88" customWidth="1"/>
    <col min="10741" max="10741" width="9.1640625" style="88" customWidth="1"/>
    <col min="10742" max="10742" width="6" style="88" customWidth="1"/>
    <col min="10743" max="10744" width="10.1640625" style="88" customWidth="1"/>
    <col min="10745" max="10745" width="10" style="88" customWidth="1"/>
    <col min="10746" max="10746" width="10.33203125" style="88" customWidth="1"/>
    <col min="10747" max="10757" width="9.1640625" style="88" customWidth="1"/>
    <col min="10758" max="10758" width="11.33203125" style="88" customWidth="1"/>
    <col min="10759" max="10779" width="13" style="88" hidden="1" customWidth="1"/>
    <col min="10780" max="10985" width="9.1640625" style="88" customWidth="1"/>
    <col min="10986" max="10986" width="28.6640625" style="88" customWidth="1"/>
    <col min="10987" max="10987" width="9" style="88" bestFit="1" customWidth="1"/>
    <col min="10988" max="10988" width="5.33203125" style="88" customWidth="1"/>
    <col min="10989" max="10989" width="9" style="88" bestFit="1" customWidth="1"/>
    <col min="10990" max="10990" width="5.33203125" style="88" customWidth="1"/>
    <col min="10991" max="10991" width="9" style="88" bestFit="1" customWidth="1"/>
    <col min="10992" max="10992" width="5" style="88" customWidth="1"/>
    <col min="10993" max="10993" width="9" style="88" bestFit="1" customWidth="1"/>
    <col min="10994" max="10994" width="5.1640625" style="88" customWidth="1"/>
    <col min="10995" max="10995" width="9.1640625" style="88" customWidth="1"/>
    <col min="10996" max="10996" width="6" style="88" customWidth="1"/>
    <col min="10997" max="10997" width="9.1640625" style="88" customWidth="1"/>
    <col min="10998" max="10998" width="6" style="88" customWidth="1"/>
    <col min="10999" max="11000" width="10.1640625" style="88" customWidth="1"/>
    <col min="11001" max="11001" width="10" style="88" customWidth="1"/>
    <col min="11002" max="11002" width="10.33203125" style="88" customWidth="1"/>
    <col min="11003" max="11013" width="9.1640625" style="88" customWidth="1"/>
    <col min="11014" max="11014" width="11.33203125" style="88" customWidth="1"/>
    <col min="11015" max="11035" width="13" style="88" hidden="1" customWidth="1"/>
    <col min="11036" max="11241" width="9.1640625" style="88" customWidth="1"/>
    <col min="11242" max="11242" width="28.6640625" style="88" customWidth="1"/>
    <col min="11243" max="11243" width="9" style="88" bestFit="1" customWidth="1"/>
    <col min="11244" max="11244" width="5.33203125" style="88" customWidth="1"/>
    <col min="11245" max="11245" width="9" style="88" bestFit="1" customWidth="1"/>
    <col min="11246" max="11246" width="5.33203125" style="88" customWidth="1"/>
    <col min="11247" max="11247" width="9" style="88" bestFit="1" customWidth="1"/>
    <col min="11248" max="11248" width="5" style="88" customWidth="1"/>
    <col min="11249" max="11249" width="9" style="88" bestFit="1" customWidth="1"/>
    <col min="11250" max="11250" width="5.1640625" style="88" customWidth="1"/>
    <col min="11251" max="11251" width="9.1640625" style="88" customWidth="1"/>
    <col min="11252" max="11252" width="6" style="88" customWidth="1"/>
    <col min="11253" max="11253" width="9.1640625" style="88" customWidth="1"/>
    <col min="11254" max="11254" width="6" style="88" customWidth="1"/>
    <col min="11255" max="11256" width="10.1640625" style="88" customWidth="1"/>
    <col min="11257" max="11257" width="10" style="88" customWidth="1"/>
    <col min="11258" max="11258" width="10.33203125" style="88" customWidth="1"/>
    <col min="11259" max="11269" width="9.1640625" style="88" customWidth="1"/>
    <col min="11270" max="11270" width="11.33203125" style="88" customWidth="1"/>
    <col min="11271" max="11291" width="13" style="88" hidden="1" customWidth="1"/>
    <col min="11292" max="11497" width="9.1640625" style="88" customWidth="1"/>
    <col min="11498" max="11498" width="28.6640625" style="88" customWidth="1"/>
    <col min="11499" max="11499" width="9" style="88" bestFit="1" customWidth="1"/>
    <col min="11500" max="11500" width="5.33203125" style="88" customWidth="1"/>
    <col min="11501" max="11501" width="9" style="88" bestFit="1" customWidth="1"/>
    <col min="11502" max="11502" width="5.33203125" style="88" customWidth="1"/>
    <col min="11503" max="11503" width="9" style="88" bestFit="1" customWidth="1"/>
    <col min="11504" max="11504" width="5" style="88" customWidth="1"/>
    <col min="11505" max="11505" width="9" style="88" bestFit="1" customWidth="1"/>
    <col min="11506" max="11506" width="5.1640625" style="88" customWidth="1"/>
    <col min="11507" max="11507" width="9.1640625" style="88" customWidth="1"/>
    <col min="11508" max="11508" width="6" style="88" customWidth="1"/>
    <col min="11509" max="11509" width="9.1640625" style="88" customWidth="1"/>
    <col min="11510" max="11510" width="6" style="88" customWidth="1"/>
    <col min="11511" max="11512" width="10.1640625" style="88" customWidth="1"/>
    <col min="11513" max="11513" width="10" style="88" customWidth="1"/>
    <col min="11514" max="11514" width="10.33203125" style="88" customWidth="1"/>
    <col min="11515" max="11525" width="9.1640625" style="88" customWidth="1"/>
    <col min="11526" max="11526" width="11.33203125" style="88" customWidth="1"/>
    <col min="11527" max="11547" width="13" style="88" hidden="1" customWidth="1"/>
    <col min="11548" max="11753" width="9.1640625" style="88" customWidth="1"/>
    <col min="11754" max="11754" width="28.6640625" style="88" customWidth="1"/>
    <col min="11755" max="11755" width="9" style="88" bestFit="1" customWidth="1"/>
    <col min="11756" max="11756" width="5.33203125" style="88" customWidth="1"/>
    <col min="11757" max="11757" width="9" style="88" bestFit="1" customWidth="1"/>
    <col min="11758" max="11758" width="5.33203125" style="88" customWidth="1"/>
    <col min="11759" max="11759" width="9" style="88" bestFit="1" customWidth="1"/>
    <col min="11760" max="11760" width="5" style="88" customWidth="1"/>
    <col min="11761" max="11761" width="9" style="88" bestFit="1" customWidth="1"/>
    <col min="11762" max="11762" width="5.1640625" style="88" customWidth="1"/>
    <col min="11763" max="11763" width="9.1640625" style="88" customWidth="1"/>
    <col min="11764" max="11764" width="6" style="88" customWidth="1"/>
    <col min="11765" max="11765" width="9.1640625" style="88" customWidth="1"/>
    <col min="11766" max="11766" width="6" style="88" customWidth="1"/>
    <col min="11767" max="11768" width="10.1640625" style="88" customWidth="1"/>
    <col min="11769" max="11769" width="10" style="88" customWidth="1"/>
    <col min="11770" max="11770" width="10.33203125" style="88" customWidth="1"/>
    <col min="11771" max="11781" width="9.1640625" style="88" customWidth="1"/>
    <col min="11782" max="11782" width="11.33203125" style="88" customWidth="1"/>
    <col min="11783" max="11803" width="13" style="88" hidden="1" customWidth="1"/>
    <col min="11804" max="12009" width="9.1640625" style="88" customWidth="1"/>
    <col min="12010" max="12010" width="28.6640625" style="88" customWidth="1"/>
    <col min="12011" max="12011" width="9" style="88" bestFit="1" customWidth="1"/>
    <col min="12012" max="12012" width="5.33203125" style="88" customWidth="1"/>
    <col min="12013" max="12013" width="9" style="88" bestFit="1" customWidth="1"/>
    <col min="12014" max="12014" width="5.33203125" style="88" customWidth="1"/>
    <col min="12015" max="12015" width="9" style="88" bestFit="1" customWidth="1"/>
    <col min="12016" max="12016" width="5" style="88" customWidth="1"/>
    <col min="12017" max="12017" width="9" style="88" bestFit="1" customWidth="1"/>
    <col min="12018" max="12018" width="5.1640625" style="88" customWidth="1"/>
    <col min="12019" max="12019" width="9.1640625" style="88" customWidth="1"/>
    <col min="12020" max="12020" width="6" style="88" customWidth="1"/>
    <col min="12021" max="12021" width="9.1640625" style="88" customWidth="1"/>
    <col min="12022" max="12022" width="6" style="88" customWidth="1"/>
    <col min="12023" max="12024" width="10.1640625" style="88" customWidth="1"/>
    <col min="12025" max="12025" width="10" style="88" customWidth="1"/>
    <col min="12026" max="12026" width="10.33203125" style="88" customWidth="1"/>
    <col min="12027" max="12037" width="9.1640625" style="88" customWidth="1"/>
    <col min="12038" max="12038" width="11.33203125" style="88" customWidth="1"/>
    <col min="12039" max="12059" width="13" style="88" hidden="1" customWidth="1"/>
    <col min="12060" max="12265" width="9.1640625" style="88" customWidth="1"/>
    <col min="12266" max="12266" width="28.6640625" style="88" customWidth="1"/>
    <col min="12267" max="12267" width="9" style="88" bestFit="1" customWidth="1"/>
    <col min="12268" max="12268" width="5.33203125" style="88" customWidth="1"/>
    <col min="12269" max="12269" width="9" style="88" bestFit="1" customWidth="1"/>
    <col min="12270" max="12270" width="5.33203125" style="88" customWidth="1"/>
    <col min="12271" max="12271" width="9" style="88" bestFit="1" customWidth="1"/>
    <col min="12272" max="12272" width="5" style="88" customWidth="1"/>
    <col min="12273" max="12273" width="9" style="88" bestFit="1" customWidth="1"/>
    <col min="12274" max="12274" width="5.1640625" style="88" customWidth="1"/>
    <col min="12275" max="12275" width="9.1640625" style="88" customWidth="1"/>
    <col min="12276" max="12276" width="6" style="88" customWidth="1"/>
    <col min="12277" max="12277" width="9.1640625" style="88" customWidth="1"/>
    <col min="12278" max="12278" width="6" style="88" customWidth="1"/>
    <col min="12279" max="12280" width="10.1640625" style="88" customWidth="1"/>
    <col min="12281" max="12281" width="10" style="88" customWidth="1"/>
    <col min="12282" max="12282" width="10.33203125" style="88" customWidth="1"/>
    <col min="12283" max="12293" width="9.1640625" style="88" customWidth="1"/>
    <col min="12294" max="12294" width="11.33203125" style="88" customWidth="1"/>
    <col min="12295" max="12315" width="13" style="88" hidden="1" customWidth="1"/>
    <col min="12316" max="12521" width="9.1640625" style="88" customWidth="1"/>
    <col min="12522" max="12522" width="28.6640625" style="88" customWidth="1"/>
    <col min="12523" max="12523" width="9" style="88" bestFit="1" customWidth="1"/>
    <col min="12524" max="12524" width="5.33203125" style="88" customWidth="1"/>
    <col min="12525" max="12525" width="9" style="88" bestFit="1" customWidth="1"/>
    <col min="12526" max="12526" width="5.33203125" style="88" customWidth="1"/>
    <col min="12527" max="12527" width="9" style="88" bestFit="1" customWidth="1"/>
    <col min="12528" max="12528" width="5" style="88" customWidth="1"/>
    <col min="12529" max="12529" width="9" style="88" bestFit="1" customWidth="1"/>
    <col min="12530" max="12530" width="5.1640625" style="88" customWidth="1"/>
    <col min="12531" max="12531" width="9.1640625" style="88" customWidth="1"/>
    <col min="12532" max="12532" width="6" style="88" customWidth="1"/>
    <col min="12533" max="12533" width="9.1640625" style="88" customWidth="1"/>
    <col min="12534" max="12534" width="6" style="88" customWidth="1"/>
    <col min="12535" max="12536" width="10.1640625" style="88" customWidth="1"/>
    <col min="12537" max="12537" width="10" style="88" customWidth="1"/>
    <col min="12538" max="12538" width="10.33203125" style="88" customWidth="1"/>
    <col min="12539" max="12549" width="9.1640625" style="88" customWidth="1"/>
    <col min="12550" max="12550" width="11.33203125" style="88" customWidth="1"/>
    <col min="12551" max="12571" width="13" style="88" hidden="1" customWidth="1"/>
    <col min="12572" max="12777" width="9.1640625" style="88" customWidth="1"/>
    <col min="12778" max="12778" width="28.6640625" style="88" customWidth="1"/>
    <col min="12779" max="12779" width="9" style="88" bestFit="1" customWidth="1"/>
    <col min="12780" max="12780" width="5.33203125" style="88" customWidth="1"/>
    <col min="12781" max="12781" width="9" style="88" bestFit="1" customWidth="1"/>
    <col min="12782" max="12782" width="5.33203125" style="88" customWidth="1"/>
    <col min="12783" max="12783" width="9" style="88" bestFit="1" customWidth="1"/>
    <col min="12784" max="12784" width="5" style="88" customWidth="1"/>
    <col min="12785" max="12785" width="9" style="88" bestFit="1" customWidth="1"/>
    <col min="12786" max="12786" width="5.1640625" style="88" customWidth="1"/>
    <col min="12787" max="12787" width="9.1640625" style="88" customWidth="1"/>
    <col min="12788" max="12788" width="6" style="88" customWidth="1"/>
    <col min="12789" max="12789" width="9.1640625" style="88" customWidth="1"/>
    <col min="12790" max="12790" width="6" style="88" customWidth="1"/>
    <col min="12791" max="12792" width="10.1640625" style="88" customWidth="1"/>
    <col min="12793" max="12793" width="10" style="88" customWidth="1"/>
    <col min="12794" max="12794" width="10.33203125" style="88" customWidth="1"/>
    <col min="12795" max="12805" width="9.1640625" style="88" customWidth="1"/>
    <col min="12806" max="12806" width="11.33203125" style="88" customWidth="1"/>
    <col min="12807" max="12827" width="13" style="88" hidden="1" customWidth="1"/>
    <col min="12828" max="13033" width="9.1640625" style="88" customWidth="1"/>
    <col min="13034" max="13034" width="28.6640625" style="88" customWidth="1"/>
    <col min="13035" max="13035" width="9" style="88" bestFit="1" customWidth="1"/>
    <col min="13036" max="13036" width="5.33203125" style="88" customWidth="1"/>
    <col min="13037" max="13037" width="9" style="88" bestFit="1" customWidth="1"/>
    <col min="13038" max="13038" width="5.33203125" style="88" customWidth="1"/>
    <col min="13039" max="13039" width="9" style="88" bestFit="1" customWidth="1"/>
    <col min="13040" max="13040" width="5" style="88" customWidth="1"/>
    <col min="13041" max="13041" width="9" style="88" bestFit="1" customWidth="1"/>
    <col min="13042" max="13042" width="5.1640625" style="88" customWidth="1"/>
    <col min="13043" max="13043" width="9.1640625" style="88" customWidth="1"/>
    <col min="13044" max="13044" width="6" style="88" customWidth="1"/>
    <col min="13045" max="13045" width="9.1640625" style="88" customWidth="1"/>
    <col min="13046" max="13046" width="6" style="88" customWidth="1"/>
    <col min="13047" max="13048" width="10.1640625" style="88" customWidth="1"/>
    <col min="13049" max="13049" width="10" style="88" customWidth="1"/>
    <col min="13050" max="13050" width="10.33203125" style="88" customWidth="1"/>
    <col min="13051" max="13061" width="9.1640625" style="88" customWidth="1"/>
    <col min="13062" max="13062" width="11.33203125" style="88" customWidth="1"/>
    <col min="13063" max="13083" width="13" style="88" hidden="1" customWidth="1"/>
    <col min="13084" max="13289" width="9.1640625" style="88" customWidth="1"/>
    <col min="13290" max="13290" width="28.6640625" style="88" customWidth="1"/>
    <col min="13291" max="13291" width="9" style="88" bestFit="1" customWidth="1"/>
    <col min="13292" max="13292" width="5.33203125" style="88" customWidth="1"/>
    <col min="13293" max="13293" width="9" style="88" bestFit="1" customWidth="1"/>
    <col min="13294" max="13294" width="5.33203125" style="88" customWidth="1"/>
    <col min="13295" max="13295" width="9" style="88" bestFit="1" customWidth="1"/>
    <col min="13296" max="13296" width="5" style="88" customWidth="1"/>
    <col min="13297" max="13297" width="9" style="88" bestFit="1" customWidth="1"/>
    <col min="13298" max="13298" width="5.1640625" style="88" customWidth="1"/>
    <col min="13299" max="13299" width="9.1640625" style="88" customWidth="1"/>
    <col min="13300" max="13300" width="6" style="88" customWidth="1"/>
    <col min="13301" max="13301" width="9.1640625" style="88" customWidth="1"/>
    <col min="13302" max="13302" width="6" style="88" customWidth="1"/>
    <col min="13303" max="13304" width="10.1640625" style="88" customWidth="1"/>
    <col min="13305" max="13305" width="10" style="88" customWidth="1"/>
    <col min="13306" max="13306" width="10.33203125" style="88" customWidth="1"/>
    <col min="13307" max="13317" width="9.1640625" style="88" customWidth="1"/>
    <col min="13318" max="13318" width="11.33203125" style="88" customWidth="1"/>
    <col min="13319" max="13339" width="13" style="88" hidden="1" customWidth="1"/>
    <col min="13340" max="13545" width="9.1640625" style="88" customWidth="1"/>
    <col min="13546" max="13546" width="28.6640625" style="88" customWidth="1"/>
    <col min="13547" max="13547" width="9" style="88" bestFit="1" customWidth="1"/>
    <col min="13548" max="13548" width="5.33203125" style="88" customWidth="1"/>
    <col min="13549" max="13549" width="9" style="88" bestFit="1" customWidth="1"/>
    <col min="13550" max="13550" width="5.33203125" style="88" customWidth="1"/>
    <col min="13551" max="13551" width="9" style="88" bestFit="1" customWidth="1"/>
    <col min="13552" max="13552" width="5" style="88" customWidth="1"/>
    <col min="13553" max="13553" width="9" style="88" bestFit="1" customWidth="1"/>
    <col min="13554" max="13554" width="5.1640625" style="88" customWidth="1"/>
    <col min="13555" max="13555" width="9.1640625" style="88" customWidth="1"/>
    <col min="13556" max="13556" width="6" style="88" customWidth="1"/>
    <col min="13557" max="13557" width="9.1640625" style="88" customWidth="1"/>
    <col min="13558" max="13558" width="6" style="88" customWidth="1"/>
    <col min="13559" max="13560" width="10.1640625" style="88" customWidth="1"/>
    <col min="13561" max="13561" width="10" style="88" customWidth="1"/>
    <col min="13562" max="13562" width="10.33203125" style="88" customWidth="1"/>
    <col min="13563" max="13573" width="9.1640625" style="88" customWidth="1"/>
    <col min="13574" max="13574" width="11.33203125" style="88" customWidth="1"/>
    <col min="13575" max="13595" width="13" style="88" hidden="1" customWidth="1"/>
    <col min="13596" max="13801" width="9.1640625" style="88" customWidth="1"/>
    <col min="13802" max="13802" width="28.6640625" style="88" customWidth="1"/>
    <col min="13803" max="13803" width="9" style="88" bestFit="1" customWidth="1"/>
    <col min="13804" max="13804" width="5.33203125" style="88" customWidth="1"/>
    <col min="13805" max="13805" width="9" style="88" bestFit="1" customWidth="1"/>
    <col min="13806" max="13806" width="5.33203125" style="88" customWidth="1"/>
    <col min="13807" max="13807" width="9" style="88" bestFit="1" customWidth="1"/>
    <col min="13808" max="13808" width="5" style="88" customWidth="1"/>
    <col min="13809" max="13809" width="9" style="88" bestFit="1" customWidth="1"/>
    <col min="13810" max="13810" width="5.1640625" style="88" customWidth="1"/>
    <col min="13811" max="13811" width="9.1640625" style="88" customWidth="1"/>
    <col min="13812" max="13812" width="6" style="88" customWidth="1"/>
    <col min="13813" max="13813" width="9.1640625" style="88" customWidth="1"/>
    <col min="13814" max="13814" width="6" style="88" customWidth="1"/>
    <col min="13815" max="13816" width="10.1640625" style="88" customWidth="1"/>
    <col min="13817" max="13817" width="10" style="88" customWidth="1"/>
    <col min="13818" max="13818" width="10.33203125" style="88" customWidth="1"/>
    <col min="13819" max="13829" width="9.1640625" style="88" customWidth="1"/>
    <col min="13830" max="13830" width="11.33203125" style="88" customWidth="1"/>
    <col min="13831" max="13851" width="13" style="88" hidden="1" customWidth="1"/>
    <col min="13852" max="14057" width="9.1640625" style="88" customWidth="1"/>
    <col min="14058" max="14058" width="28.6640625" style="88" customWidth="1"/>
    <col min="14059" max="14059" width="9" style="88" bestFit="1" customWidth="1"/>
    <col min="14060" max="14060" width="5.33203125" style="88" customWidth="1"/>
    <col min="14061" max="14061" width="9" style="88" bestFit="1" customWidth="1"/>
    <col min="14062" max="14062" width="5.33203125" style="88" customWidth="1"/>
    <col min="14063" max="14063" width="9" style="88" bestFit="1" customWidth="1"/>
    <col min="14064" max="14064" width="5" style="88" customWidth="1"/>
    <col min="14065" max="14065" width="9" style="88" bestFit="1" customWidth="1"/>
    <col min="14066" max="14066" width="5.1640625" style="88" customWidth="1"/>
    <col min="14067" max="14067" width="9.1640625" style="88" customWidth="1"/>
    <col min="14068" max="14068" width="6" style="88" customWidth="1"/>
    <col min="14069" max="14069" width="9.1640625" style="88" customWidth="1"/>
    <col min="14070" max="14070" width="6" style="88" customWidth="1"/>
    <col min="14071" max="14072" width="10.1640625" style="88" customWidth="1"/>
    <col min="14073" max="14073" width="10" style="88" customWidth="1"/>
    <col min="14074" max="14074" width="10.33203125" style="88" customWidth="1"/>
    <col min="14075" max="14085" width="9.1640625" style="88" customWidth="1"/>
    <col min="14086" max="14086" width="11.33203125" style="88" customWidth="1"/>
    <col min="14087" max="14107" width="13" style="88" hidden="1" customWidth="1"/>
    <col min="14108" max="14313" width="9.1640625" style="88" customWidth="1"/>
    <col min="14314" max="14314" width="28.6640625" style="88" customWidth="1"/>
    <col min="14315" max="14315" width="9" style="88" bestFit="1" customWidth="1"/>
    <col min="14316" max="14316" width="5.33203125" style="88" customWidth="1"/>
    <col min="14317" max="14317" width="9" style="88" bestFit="1" customWidth="1"/>
    <col min="14318" max="14318" width="5.33203125" style="88" customWidth="1"/>
    <col min="14319" max="14319" width="9" style="88" bestFit="1" customWidth="1"/>
    <col min="14320" max="14320" width="5" style="88" customWidth="1"/>
    <col min="14321" max="14321" width="9" style="88" bestFit="1" customWidth="1"/>
    <col min="14322" max="14322" width="5.1640625" style="88" customWidth="1"/>
    <col min="14323" max="14323" width="9.1640625" style="88" customWidth="1"/>
    <col min="14324" max="14324" width="6" style="88" customWidth="1"/>
    <col min="14325" max="14325" width="9.1640625" style="88" customWidth="1"/>
    <col min="14326" max="14326" width="6" style="88" customWidth="1"/>
    <col min="14327" max="14328" width="10.1640625" style="88" customWidth="1"/>
    <col min="14329" max="14329" width="10" style="88" customWidth="1"/>
    <col min="14330" max="14330" width="10.33203125" style="88" customWidth="1"/>
    <col min="14331" max="14341" width="9.1640625" style="88" customWidth="1"/>
    <col min="14342" max="14342" width="11.33203125" style="88" customWidth="1"/>
    <col min="14343" max="14363" width="13" style="88" hidden="1" customWidth="1"/>
    <col min="14364" max="14569" width="9.1640625" style="88" customWidth="1"/>
    <col min="14570" max="14570" width="28.6640625" style="88" customWidth="1"/>
    <col min="14571" max="14571" width="9" style="88" bestFit="1" customWidth="1"/>
    <col min="14572" max="14572" width="5.33203125" style="88" customWidth="1"/>
    <col min="14573" max="14573" width="9" style="88" bestFit="1" customWidth="1"/>
    <col min="14574" max="14574" width="5.33203125" style="88" customWidth="1"/>
    <col min="14575" max="14575" width="9" style="88" bestFit="1" customWidth="1"/>
    <col min="14576" max="14576" width="5" style="88" customWidth="1"/>
    <col min="14577" max="14577" width="9" style="88" bestFit="1" customWidth="1"/>
    <col min="14578" max="14578" width="5.1640625" style="88" customWidth="1"/>
    <col min="14579" max="14579" width="9.1640625" style="88" customWidth="1"/>
    <col min="14580" max="14580" width="6" style="88" customWidth="1"/>
    <col min="14581" max="14581" width="9.1640625" style="88" customWidth="1"/>
    <col min="14582" max="14582" width="6" style="88" customWidth="1"/>
    <col min="14583" max="14584" width="10.1640625" style="88" customWidth="1"/>
    <col min="14585" max="14585" width="10" style="88" customWidth="1"/>
    <col min="14586" max="14586" width="10.33203125" style="88" customWidth="1"/>
    <col min="14587" max="14597" width="9.1640625" style="88" customWidth="1"/>
    <col min="14598" max="14598" width="11.33203125" style="88" customWidth="1"/>
    <col min="14599" max="14619" width="13" style="88" hidden="1" customWidth="1"/>
    <col min="14620" max="14825" width="9.1640625" style="88" customWidth="1"/>
    <col min="14826" max="14826" width="28.6640625" style="88" customWidth="1"/>
    <col min="14827" max="14827" width="9" style="88" bestFit="1" customWidth="1"/>
    <col min="14828" max="14828" width="5.33203125" style="88" customWidth="1"/>
    <col min="14829" max="14829" width="9" style="88" bestFit="1" customWidth="1"/>
    <col min="14830" max="14830" width="5.33203125" style="88" customWidth="1"/>
    <col min="14831" max="14831" width="9" style="88" bestFit="1" customWidth="1"/>
    <col min="14832" max="14832" width="5" style="88" customWidth="1"/>
    <col min="14833" max="14833" width="9" style="88" bestFit="1" customWidth="1"/>
    <col min="14834" max="14834" width="5.1640625" style="88" customWidth="1"/>
    <col min="14835" max="14835" width="9.1640625" style="88" customWidth="1"/>
    <col min="14836" max="14836" width="6" style="88" customWidth="1"/>
    <col min="14837" max="14837" width="9.1640625" style="88" customWidth="1"/>
    <col min="14838" max="14838" width="6" style="88" customWidth="1"/>
    <col min="14839" max="14840" width="10.1640625" style="88" customWidth="1"/>
    <col min="14841" max="14841" width="10" style="88" customWidth="1"/>
    <col min="14842" max="14842" width="10.33203125" style="88" customWidth="1"/>
    <col min="14843" max="14853" width="9.1640625" style="88" customWidth="1"/>
    <col min="14854" max="14854" width="11.33203125" style="88" customWidth="1"/>
    <col min="14855" max="14875" width="13" style="88" hidden="1" customWidth="1"/>
    <col min="14876" max="15081" width="9.1640625" style="88" customWidth="1"/>
    <col min="15082" max="15082" width="28.6640625" style="88" customWidth="1"/>
    <col min="15083" max="15083" width="9" style="88" bestFit="1" customWidth="1"/>
    <col min="15084" max="15084" width="5.33203125" style="88" customWidth="1"/>
    <col min="15085" max="15085" width="9" style="88" bestFit="1" customWidth="1"/>
    <col min="15086" max="15086" width="5.33203125" style="88" customWidth="1"/>
    <col min="15087" max="15087" width="9" style="88" bestFit="1" customWidth="1"/>
    <col min="15088" max="15088" width="5" style="88" customWidth="1"/>
    <col min="15089" max="15089" width="9" style="88" bestFit="1" customWidth="1"/>
    <col min="15090" max="15090" width="5.1640625" style="88" customWidth="1"/>
    <col min="15091" max="15091" width="9.1640625" style="88" customWidth="1"/>
    <col min="15092" max="15092" width="6" style="88" customWidth="1"/>
    <col min="15093" max="15093" width="9.1640625" style="88" customWidth="1"/>
    <col min="15094" max="15094" width="6" style="88" customWidth="1"/>
    <col min="15095" max="15096" width="10.1640625" style="88" customWidth="1"/>
    <col min="15097" max="15097" width="10" style="88" customWidth="1"/>
    <col min="15098" max="15098" width="10.33203125" style="88" customWidth="1"/>
    <col min="15099" max="15109" width="9.1640625" style="88" customWidth="1"/>
    <col min="15110" max="15110" width="11.33203125" style="88" customWidth="1"/>
    <col min="15111" max="15131" width="13" style="88" hidden="1" customWidth="1"/>
    <col min="15132" max="15337" width="9.1640625" style="88" customWidth="1"/>
    <col min="15338" max="15338" width="28.6640625" style="88" customWidth="1"/>
    <col min="15339" max="15339" width="9" style="88" bestFit="1" customWidth="1"/>
    <col min="15340" max="15340" width="5.33203125" style="88" customWidth="1"/>
    <col min="15341" max="15341" width="9" style="88" bestFit="1" customWidth="1"/>
    <col min="15342" max="15342" width="5.33203125" style="88" customWidth="1"/>
    <col min="15343" max="15343" width="9" style="88" bestFit="1" customWidth="1"/>
    <col min="15344" max="15344" width="5" style="88" customWidth="1"/>
    <col min="15345" max="15345" width="9" style="88" bestFit="1" customWidth="1"/>
    <col min="15346" max="15346" width="5.1640625" style="88" customWidth="1"/>
    <col min="15347" max="15347" width="9.1640625" style="88" customWidth="1"/>
    <col min="15348" max="15348" width="6" style="88" customWidth="1"/>
    <col min="15349" max="15349" width="9.1640625" style="88" customWidth="1"/>
    <col min="15350" max="15350" width="6" style="88" customWidth="1"/>
    <col min="15351" max="15352" width="10.1640625" style="88" customWidth="1"/>
    <col min="15353" max="15353" width="10" style="88" customWidth="1"/>
    <col min="15354" max="15354" width="10.33203125" style="88" customWidth="1"/>
    <col min="15355" max="15365" width="9.1640625" style="88" customWidth="1"/>
    <col min="15366" max="15366" width="11.33203125" style="88" customWidth="1"/>
    <col min="15367" max="15387" width="13" style="88" hidden="1" customWidth="1"/>
    <col min="15388" max="15593" width="9.1640625" style="88" customWidth="1"/>
    <col min="15594" max="15594" width="28.6640625" style="88" customWidth="1"/>
    <col min="15595" max="15595" width="9" style="88" bestFit="1" customWidth="1"/>
    <col min="15596" max="15596" width="5.33203125" style="88" customWidth="1"/>
    <col min="15597" max="15597" width="9" style="88" bestFit="1" customWidth="1"/>
    <col min="15598" max="15598" width="5.33203125" style="88" customWidth="1"/>
    <col min="15599" max="15599" width="9" style="88" bestFit="1" customWidth="1"/>
    <col min="15600" max="15600" width="5" style="88" customWidth="1"/>
    <col min="15601" max="15601" width="9" style="88" bestFit="1" customWidth="1"/>
    <col min="15602" max="15602" width="5.1640625" style="88" customWidth="1"/>
    <col min="15603" max="15603" width="9.1640625" style="88" customWidth="1"/>
    <col min="15604" max="15604" width="6" style="88" customWidth="1"/>
    <col min="15605" max="15605" width="9.1640625" style="88" customWidth="1"/>
    <col min="15606" max="15606" width="6" style="88" customWidth="1"/>
    <col min="15607" max="15608" width="10.1640625" style="88" customWidth="1"/>
    <col min="15609" max="15609" width="10" style="88" customWidth="1"/>
    <col min="15610" max="15610" width="10.33203125" style="88" customWidth="1"/>
    <col min="15611" max="15621" width="9.1640625" style="88" customWidth="1"/>
    <col min="15622" max="15622" width="11.33203125" style="88" customWidth="1"/>
    <col min="15623" max="15643" width="13" style="88" hidden="1" customWidth="1"/>
    <col min="15644" max="15849" width="9.1640625" style="88" customWidth="1"/>
    <col min="15850" max="15850" width="28.6640625" style="88" customWidth="1"/>
    <col min="15851" max="15851" width="9" style="88" bestFit="1" customWidth="1"/>
    <col min="15852" max="15852" width="5.33203125" style="88" customWidth="1"/>
    <col min="15853" max="15853" width="9" style="88" bestFit="1" customWidth="1"/>
    <col min="15854" max="15854" width="5.33203125" style="88" customWidth="1"/>
    <col min="15855" max="15855" width="9" style="88" bestFit="1" customWidth="1"/>
    <col min="15856" max="15856" width="5" style="88" customWidth="1"/>
    <col min="15857" max="15857" width="9" style="88" bestFit="1" customWidth="1"/>
    <col min="15858" max="15858" width="5.1640625" style="88" customWidth="1"/>
    <col min="15859" max="15859" width="9.1640625" style="88" customWidth="1"/>
    <col min="15860" max="15860" width="6" style="88" customWidth="1"/>
    <col min="15861" max="15861" width="9.1640625" style="88" customWidth="1"/>
    <col min="15862" max="15862" width="6" style="88" customWidth="1"/>
    <col min="15863" max="15864" width="10.1640625" style="88" customWidth="1"/>
    <col min="15865" max="15865" width="10" style="88" customWidth="1"/>
    <col min="15866" max="15866" width="10.33203125" style="88" customWidth="1"/>
    <col min="15867" max="15877" width="9.1640625" style="88" customWidth="1"/>
    <col min="15878" max="15878" width="11.33203125" style="88" customWidth="1"/>
    <col min="15879" max="15899" width="13" style="88" hidden="1" customWidth="1"/>
    <col min="15900" max="16105" width="9.1640625" style="88" customWidth="1"/>
    <col min="16106" max="16106" width="28.6640625" style="88" customWidth="1"/>
    <col min="16107" max="16107" width="9" style="88" bestFit="1" customWidth="1"/>
    <col min="16108" max="16108" width="5.33203125" style="88" customWidth="1"/>
    <col min="16109" max="16109" width="9" style="88" bestFit="1" customWidth="1"/>
    <col min="16110" max="16110" width="5.33203125" style="88" customWidth="1"/>
    <col min="16111" max="16111" width="9" style="88" bestFit="1" customWidth="1"/>
    <col min="16112" max="16112" width="5" style="88" customWidth="1"/>
    <col min="16113" max="16113" width="9" style="88" bestFit="1" customWidth="1"/>
    <col min="16114" max="16114" width="5.1640625" style="88" customWidth="1"/>
    <col min="16115" max="16115" width="9.1640625" style="88" customWidth="1"/>
    <col min="16116" max="16116" width="6" style="88" customWidth="1"/>
    <col min="16117" max="16117" width="9.1640625" style="88" customWidth="1"/>
    <col min="16118" max="16118" width="6" style="88" customWidth="1"/>
    <col min="16119" max="16120" width="10.1640625" style="88" customWidth="1"/>
    <col min="16121" max="16121" width="10" style="88" customWidth="1"/>
    <col min="16122" max="16122" width="10.33203125" style="88" customWidth="1"/>
    <col min="16123" max="16133" width="9.1640625" style="88" customWidth="1"/>
    <col min="16134" max="16134" width="11.33203125" style="88" customWidth="1"/>
    <col min="16135" max="16155" width="13" style="88" hidden="1" customWidth="1"/>
    <col min="16156" max="16384" width="9.1640625" style="88" customWidth="1"/>
  </cols>
  <sheetData>
    <row r="1" spans="2:30" x14ac:dyDescent="0.2">
      <c r="AA1" s="14" t="s">
        <v>55</v>
      </c>
      <c r="AB1" s="113" t="s">
        <v>56</v>
      </c>
      <c r="AC1" s="96"/>
      <c r="AD1" s="96"/>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114" t="s">
        <v>57</v>
      </c>
      <c r="AD3" s="101"/>
    </row>
    <row r="4" spans="2:30" x14ac:dyDescent="0.2">
      <c r="B4" s="109"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111" t="s">
        <v>58</v>
      </c>
      <c r="AC4" s="111" t="s">
        <v>59</v>
      </c>
      <c r="AD4" s="111" t="s">
        <v>60</v>
      </c>
    </row>
    <row r="5" spans="2:30" ht="16" customHeight="1" thickBot="1" x14ac:dyDescent="0.25">
      <c r="B5" s="110"/>
      <c r="C5" s="32"/>
      <c r="D5" s="32"/>
      <c r="E5" s="32"/>
      <c r="F5" s="32"/>
      <c r="G5" s="32"/>
      <c r="H5" s="32"/>
      <c r="I5" s="32"/>
      <c r="J5" s="32"/>
      <c r="K5" s="32"/>
      <c r="L5" s="32"/>
      <c r="M5" s="32"/>
      <c r="N5" s="32"/>
      <c r="O5" s="32"/>
      <c r="P5" s="32"/>
      <c r="Q5" s="32"/>
      <c r="R5" s="32"/>
      <c r="S5" s="32"/>
      <c r="T5" s="32"/>
      <c r="U5" s="32"/>
      <c r="V5" s="32"/>
      <c r="W5" s="32"/>
      <c r="X5" s="32"/>
      <c r="Y5" s="32"/>
      <c r="Z5" s="32"/>
      <c r="AA5" s="10"/>
      <c r="AB5" s="112"/>
      <c r="AC5" s="112"/>
      <c r="AD5" s="112"/>
    </row>
    <row r="6" spans="2:30" x14ac:dyDescent="0.2">
      <c r="B6" s="3" t="s">
        <v>30</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33"/>
      <c r="AB6" s="22">
        <f t="shared" ref="AB6:AB23" si="0">Z6-Y6</f>
        <v>-11</v>
      </c>
      <c r="AC6" s="34">
        <f t="shared" ref="AC6:AC23" si="1">AVERAGE(X6:Z6)</f>
        <v>13</v>
      </c>
      <c r="AD6" s="34">
        <f t="shared" ref="AD6:AD23" si="2">AVERAGE(U6:Z6)</f>
        <v>14.166666666666666</v>
      </c>
    </row>
    <row r="7" spans="2:30" x14ac:dyDescent="0.2">
      <c r="B7" s="3" t="s">
        <v>38</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33"/>
      <c r="AB7" s="22">
        <f t="shared" si="0"/>
        <v>0</v>
      </c>
      <c r="AC7" s="34">
        <f t="shared" si="1"/>
        <v>13</v>
      </c>
      <c r="AD7" s="34">
        <f t="shared" si="2"/>
        <v>9.6666666666666661</v>
      </c>
    </row>
    <row r="8" spans="2:30" x14ac:dyDescent="0.2">
      <c r="B8" s="3" t="s">
        <v>36</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33"/>
      <c r="AB8" s="22">
        <f t="shared" si="0"/>
        <v>5</v>
      </c>
      <c r="AC8" s="34">
        <f t="shared" si="1"/>
        <v>11.333333333333334</v>
      </c>
      <c r="AD8" s="34">
        <f t="shared" si="2"/>
        <v>11</v>
      </c>
    </row>
    <row r="9" spans="2:30" x14ac:dyDescent="0.2">
      <c r="B9" s="3" t="s">
        <v>32</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33"/>
      <c r="AB9" s="22">
        <f t="shared" si="0"/>
        <v>9</v>
      </c>
      <c r="AC9" s="34">
        <f t="shared" si="1"/>
        <v>11.666666666666666</v>
      </c>
      <c r="AD9" s="34">
        <f t="shared" si="2"/>
        <v>10.333333333333334</v>
      </c>
    </row>
    <row r="10" spans="2:30" x14ac:dyDescent="0.2">
      <c r="B10" s="3" t="s">
        <v>34</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33"/>
      <c r="AB10" s="22">
        <f t="shared" si="0"/>
        <v>-5</v>
      </c>
      <c r="AC10" s="34">
        <f t="shared" si="1"/>
        <v>6</v>
      </c>
      <c r="AD10" s="34">
        <f t="shared" si="2"/>
        <v>6</v>
      </c>
    </row>
    <row r="11" spans="2:30" x14ac:dyDescent="0.2">
      <c r="B11" s="3" t="s">
        <v>17</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33"/>
      <c r="AB11" s="22">
        <f t="shared" si="0"/>
        <v>17</v>
      </c>
      <c r="AC11" s="34">
        <f t="shared" si="1"/>
        <v>9</v>
      </c>
      <c r="AD11" s="34">
        <f t="shared" si="2"/>
        <v>11.666666666666666</v>
      </c>
    </row>
    <row r="12" spans="2:30" x14ac:dyDescent="0.2">
      <c r="B12" s="3" t="s">
        <v>43</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33"/>
      <c r="AB12" s="22">
        <f t="shared" si="0"/>
        <v>0</v>
      </c>
      <c r="AC12" s="34">
        <f t="shared" si="1"/>
        <v>4</v>
      </c>
      <c r="AD12" s="34">
        <f t="shared" si="2"/>
        <v>3</v>
      </c>
    </row>
    <row r="13" spans="2:30" x14ac:dyDescent="0.2">
      <c r="B13" s="3" t="s">
        <v>45</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33"/>
      <c r="AB13" s="22">
        <f t="shared" si="0"/>
        <v>-12</v>
      </c>
      <c r="AC13" s="34">
        <f t="shared" si="1"/>
        <v>13.333333333333334</v>
      </c>
      <c r="AD13" s="34">
        <f t="shared" si="2"/>
        <v>11</v>
      </c>
    </row>
    <row r="14" spans="2:30" x14ac:dyDescent="0.2">
      <c r="B14" s="3" t="s">
        <v>25</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33"/>
      <c r="AB14" s="22">
        <f t="shared" si="0"/>
        <v>-9</v>
      </c>
      <c r="AC14" s="34">
        <f t="shared" si="1"/>
        <v>14</v>
      </c>
      <c r="AD14" s="34">
        <f t="shared" si="2"/>
        <v>12.333333333333334</v>
      </c>
    </row>
    <row r="15" spans="2:30" x14ac:dyDescent="0.2">
      <c r="B15" s="3" t="s">
        <v>48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33"/>
      <c r="AB15" s="22">
        <f t="shared" si="0"/>
        <v>6</v>
      </c>
      <c r="AC15" s="34">
        <f t="shared" si="1"/>
        <v>9.6666666666666661</v>
      </c>
      <c r="AD15" s="34">
        <f t="shared" si="2"/>
        <v>8.5</v>
      </c>
    </row>
    <row r="16" spans="2:30" x14ac:dyDescent="0.2">
      <c r="B16" s="3" t="s">
        <v>22</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33"/>
      <c r="AB16" s="22">
        <f t="shared" si="0"/>
        <v>2</v>
      </c>
      <c r="AC16" s="34">
        <f t="shared" si="1"/>
        <v>10.666666666666666</v>
      </c>
      <c r="AD16" s="34">
        <f t="shared" si="2"/>
        <v>10.666666666666666</v>
      </c>
    </row>
    <row r="17" spans="2:33" x14ac:dyDescent="0.2">
      <c r="B17" s="3" t="s">
        <v>19</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33"/>
      <c r="AB17" s="22">
        <f t="shared" si="0"/>
        <v>2</v>
      </c>
      <c r="AC17" s="34">
        <f t="shared" si="1"/>
        <v>11.666666666666666</v>
      </c>
      <c r="AD17" s="34">
        <f t="shared" si="2"/>
        <v>9.8333333333333339</v>
      </c>
    </row>
    <row r="18" spans="2:33" x14ac:dyDescent="0.2">
      <c r="B18" s="3" t="s">
        <v>42</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33"/>
      <c r="AB18" s="22">
        <f t="shared" si="0"/>
        <v>-3</v>
      </c>
      <c r="AC18" s="34">
        <f t="shared" si="1"/>
        <v>6.333333333333333</v>
      </c>
      <c r="AD18" s="34">
        <f t="shared" si="2"/>
        <v>6.5</v>
      </c>
      <c r="AG18" s="35"/>
    </row>
    <row r="19" spans="2:33" x14ac:dyDescent="0.2">
      <c r="B19" s="3" t="s">
        <v>40</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33"/>
      <c r="AB19" s="22">
        <f t="shared" si="0"/>
        <v>-3</v>
      </c>
      <c r="AC19" s="34">
        <f t="shared" si="1"/>
        <v>3.3333333333333335</v>
      </c>
      <c r="AD19" s="34">
        <f t="shared" si="2"/>
        <v>3.8333333333333335</v>
      </c>
    </row>
    <row r="20" spans="2:33"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33"/>
      <c r="AB20" s="22">
        <f t="shared" si="0"/>
        <v>-14</v>
      </c>
      <c r="AC20" s="34">
        <f t="shared" si="1"/>
        <v>7.333333333333333</v>
      </c>
      <c r="AD20" s="34">
        <f t="shared" si="2"/>
        <v>4.166666666666667</v>
      </c>
    </row>
    <row r="21" spans="2:33" x14ac:dyDescent="0.2">
      <c r="B21" s="3" t="s">
        <v>44</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33"/>
      <c r="AB21" s="22">
        <f t="shared" si="0"/>
        <v>6</v>
      </c>
      <c r="AC21" s="34">
        <f t="shared" si="1"/>
        <v>7.666666666666667</v>
      </c>
      <c r="AD21" s="34">
        <f t="shared" si="2"/>
        <v>8.6666666666666661</v>
      </c>
    </row>
    <row r="22" spans="2:33" x14ac:dyDescent="0.2">
      <c r="B22" s="3" t="s">
        <v>46</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33"/>
      <c r="AB22" s="22">
        <f t="shared" si="0"/>
        <v>8</v>
      </c>
      <c r="AC22" s="34">
        <f t="shared" si="1"/>
        <v>7.333333333333333</v>
      </c>
      <c r="AD22" s="34">
        <f t="shared" si="2"/>
        <v>8.8333333333333339</v>
      </c>
    </row>
    <row r="23" spans="2:33" x14ac:dyDescent="0.2">
      <c r="B23" s="4" t="s">
        <v>28</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33"/>
      <c r="AB23" s="22">
        <f t="shared" si="0"/>
        <v>2</v>
      </c>
      <c r="AC23" s="34">
        <f t="shared" si="1"/>
        <v>11.666666666666666</v>
      </c>
      <c r="AD23" s="34">
        <f t="shared" si="2"/>
        <v>11.5</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109"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111" t="s">
        <v>58</v>
      </c>
      <c r="AC26" s="111" t="s">
        <v>59</v>
      </c>
      <c r="AD26" s="111" t="s">
        <v>60</v>
      </c>
    </row>
    <row r="27" spans="2:33" ht="16" customHeight="1" thickBot="1" x14ac:dyDescent="0.25">
      <c r="B27" s="110"/>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112"/>
      <c r="AC27" s="112"/>
      <c r="AD27" s="112"/>
    </row>
    <row r="28" spans="2:33" x14ac:dyDescent="0.2">
      <c r="B28" s="3" t="s">
        <v>38</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B28" s="22">
        <f t="shared" ref="AB28:AB45" si="3">Z28-Y28</f>
        <v>-6</v>
      </c>
      <c r="AC28" s="34">
        <f t="shared" ref="AC28:AC45" si="4">AVERAGE(X28:Z28)</f>
        <v>8.6666666666666661</v>
      </c>
      <c r="AD28" s="34">
        <f t="shared" ref="AD28:AD45" si="5">AVERAGE(U28:Z28)</f>
        <v>8.5</v>
      </c>
    </row>
    <row r="29" spans="2:33" x14ac:dyDescent="0.2">
      <c r="B29" s="3" t="s">
        <v>30</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B29" s="22">
        <f t="shared" si="3"/>
        <v>-2</v>
      </c>
      <c r="AC29" s="34">
        <f t="shared" si="4"/>
        <v>14.666666666666666</v>
      </c>
      <c r="AD29" s="34">
        <f t="shared" si="5"/>
        <v>14.333333333333334</v>
      </c>
    </row>
    <row r="30" spans="2:33" x14ac:dyDescent="0.2">
      <c r="B30" s="3" t="s">
        <v>36</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B30" s="22">
        <f t="shared" si="3"/>
        <v>9</v>
      </c>
      <c r="AC30" s="34">
        <f t="shared" si="4"/>
        <v>6.333333333333333</v>
      </c>
      <c r="AD30" s="34">
        <f t="shared" si="5"/>
        <v>8.3333333333333339</v>
      </c>
    </row>
    <row r="31" spans="2:33" x14ac:dyDescent="0.2">
      <c r="B31" s="3" t="s">
        <v>32</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B31" s="22">
        <f t="shared" si="3"/>
        <v>0</v>
      </c>
      <c r="AC31" s="34">
        <f t="shared" si="4"/>
        <v>6.333333333333333</v>
      </c>
      <c r="AD31" s="34">
        <f t="shared" si="5"/>
        <v>6.833333333333333</v>
      </c>
    </row>
    <row r="32" spans="2:33" x14ac:dyDescent="0.2">
      <c r="B32" s="3" t="s">
        <v>34</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B32" s="22">
        <f t="shared" si="3"/>
        <v>0</v>
      </c>
      <c r="AC32" s="34">
        <f t="shared" si="4"/>
        <v>11</v>
      </c>
      <c r="AD32" s="34">
        <f t="shared" si="5"/>
        <v>11</v>
      </c>
    </row>
    <row r="33" spans="2:30" x14ac:dyDescent="0.2">
      <c r="B33" s="3" t="s">
        <v>17</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B33" s="22">
        <f t="shared" si="3"/>
        <v>15</v>
      </c>
      <c r="AC33" s="34">
        <f t="shared" si="4"/>
        <v>6</v>
      </c>
      <c r="AD33" s="34">
        <f t="shared" si="5"/>
        <v>8.3333333333333339</v>
      </c>
    </row>
    <row r="34" spans="2:30" x14ac:dyDescent="0.2">
      <c r="B34" s="3" t="s">
        <v>25</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B34" s="22">
        <f t="shared" si="3"/>
        <v>1</v>
      </c>
      <c r="AC34" s="34">
        <f t="shared" si="4"/>
        <v>13.666666666666666</v>
      </c>
      <c r="AD34" s="34">
        <f t="shared" si="5"/>
        <v>9.1666666666666661</v>
      </c>
    </row>
    <row r="35" spans="2:30" x14ac:dyDescent="0.2">
      <c r="B35" s="3" t="s">
        <v>43</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B35" s="22">
        <f t="shared" si="3"/>
        <v>1</v>
      </c>
      <c r="AC35" s="34">
        <f t="shared" si="4"/>
        <v>6</v>
      </c>
      <c r="AD35" s="34">
        <f t="shared" si="5"/>
        <v>5.666666666666667</v>
      </c>
    </row>
    <row r="36" spans="2:30" x14ac:dyDescent="0.2">
      <c r="B36" s="3" t="s">
        <v>45</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B36" s="22">
        <f t="shared" si="3"/>
        <v>-9</v>
      </c>
      <c r="AC36" s="34">
        <f t="shared" si="4"/>
        <v>12</v>
      </c>
      <c r="AD36" s="34">
        <f t="shared" si="5"/>
        <v>10.333333333333334</v>
      </c>
    </row>
    <row r="37" spans="2:30" x14ac:dyDescent="0.2">
      <c r="B37" s="3" t="s">
        <v>42</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B37" s="22">
        <f t="shared" si="3"/>
        <v>-8</v>
      </c>
      <c r="AC37" s="34">
        <f t="shared" si="4"/>
        <v>3.6666666666666665</v>
      </c>
      <c r="AD37" s="34">
        <f t="shared" si="5"/>
        <v>6.5</v>
      </c>
    </row>
    <row r="38" spans="2:30"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B38" s="22">
        <f t="shared" si="3"/>
        <v>-10</v>
      </c>
      <c r="AC38" s="34">
        <f t="shared" si="4"/>
        <v>1.6666666666666667</v>
      </c>
      <c r="AD38" s="34">
        <f t="shared" si="5"/>
        <v>1.6666666666666667</v>
      </c>
    </row>
    <row r="39" spans="2:30" x14ac:dyDescent="0.2">
      <c r="B39" s="3" t="s">
        <v>22</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B39" s="22">
        <f t="shared" si="3"/>
        <v>2</v>
      </c>
      <c r="AC39" s="34">
        <f t="shared" si="4"/>
        <v>6</v>
      </c>
      <c r="AD39" s="34">
        <f t="shared" si="5"/>
        <v>5.666666666666667</v>
      </c>
    </row>
    <row r="40" spans="2:30" x14ac:dyDescent="0.2">
      <c r="B40" s="3" t="s">
        <v>40</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B40" s="22">
        <f t="shared" si="3"/>
        <v>0</v>
      </c>
      <c r="AC40" s="34">
        <f t="shared" si="4"/>
        <v>2</v>
      </c>
      <c r="AD40" s="34">
        <f t="shared" si="5"/>
        <v>3.6666666666666665</v>
      </c>
    </row>
    <row r="41" spans="2:30" x14ac:dyDescent="0.2">
      <c r="B41" s="3" t="s">
        <v>19</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B41" s="22">
        <f t="shared" si="3"/>
        <v>0</v>
      </c>
      <c r="AC41" s="34">
        <f t="shared" si="4"/>
        <v>10.666666666666666</v>
      </c>
      <c r="AD41" s="34">
        <f t="shared" si="5"/>
        <v>9.3333333333333339</v>
      </c>
    </row>
    <row r="42" spans="2:30" x14ac:dyDescent="0.2">
      <c r="B42" s="3" t="s">
        <v>28</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B42" s="22">
        <f t="shared" si="3"/>
        <v>-6</v>
      </c>
      <c r="AC42" s="34">
        <f t="shared" si="4"/>
        <v>10.666666666666666</v>
      </c>
      <c r="AD42" s="34">
        <f t="shared" si="5"/>
        <v>10</v>
      </c>
    </row>
    <row r="43" spans="2:30" x14ac:dyDescent="0.2">
      <c r="B43" s="3" t="s">
        <v>48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B43" s="22">
        <f t="shared" si="3"/>
        <v>-6</v>
      </c>
      <c r="AC43" s="34">
        <f t="shared" si="4"/>
        <v>3</v>
      </c>
      <c r="AD43" s="34">
        <f t="shared" si="5"/>
        <v>2.5</v>
      </c>
    </row>
    <row r="44" spans="2:30" x14ac:dyDescent="0.2">
      <c r="B44" s="3" t="s">
        <v>44</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B44" s="22">
        <f t="shared" si="3"/>
        <v>-1</v>
      </c>
      <c r="AC44" s="34">
        <f t="shared" si="4"/>
        <v>7.333333333333333</v>
      </c>
      <c r="AD44" s="34">
        <f t="shared" si="5"/>
        <v>8.3333333333333339</v>
      </c>
    </row>
    <row r="45" spans="2:30" x14ac:dyDescent="0.2">
      <c r="B45" s="4" t="s">
        <v>46</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109"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111" t="s">
        <v>58</v>
      </c>
      <c r="AC48" s="111" t="s">
        <v>59</v>
      </c>
      <c r="AD48" s="111" t="s">
        <v>60</v>
      </c>
    </row>
    <row r="49" spans="2:30" ht="16" customHeight="1" thickBot="1" x14ac:dyDescent="0.25">
      <c r="B49" s="110"/>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112"/>
      <c r="AC49" s="112"/>
      <c r="AD49" s="112"/>
    </row>
    <row r="50" spans="2:30" x14ac:dyDescent="0.2">
      <c r="B50" s="3" t="s">
        <v>30</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B50" s="22">
        <f t="shared" ref="AB50:AB67" si="6">Z50-Y50</f>
        <v>-11</v>
      </c>
      <c r="AC50" s="34">
        <f t="shared" ref="AC50:AC67" si="7">AVERAGE(X50:Z50)</f>
        <v>13</v>
      </c>
      <c r="AD50" s="34">
        <f t="shared" ref="AD50:AD67" si="8">AVERAGE(U50:Z50)</f>
        <v>12.333333333333334</v>
      </c>
    </row>
    <row r="51" spans="2:30" x14ac:dyDescent="0.2">
      <c r="B51" s="3" t="s">
        <v>43</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B51" s="22">
        <f t="shared" si="6"/>
        <v>-1</v>
      </c>
      <c r="AC51" s="34">
        <f t="shared" si="7"/>
        <v>4</v>
      </c>
      <c r="AD51" s="34">
        <f t="shared" si="8"/>
        <v>4.166666666666667</v>
      </c>
    </row>
    <row r="52" spans="2:30" x14ac:dyDescent="0.2">
      <c r="B52" s="3" t="s">
        <v>34</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B52" s="22">
        <f t="shared" si="6"/>
        <v>-7</v>
      </c>
      <c r="AC52" s="34">
        <f t="shared" si="7"/>
        <v>8</v>
      </c>
      <c r="AD52" s="34">
        <f t="shared" si="8"/>
        <v>7.333333333333333</v>
      </c>
    </row>
    <row r="53" spans="2:30" x14ac:dyDescent="0.2">
      <c r="B53" s="3" t="s">
        <v>38</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B53" s="22">
        <f t="shared" si="6"/>
        <v>-4</v>
      </c>
      <c r="AC53" s="34">
        <f t="shared" si="7"/>
        <v>6.666666666666667</v>
      </c>
      <c r="AD53" s="34">
        <f t="shared" si="8"/>
        <v>6.166666666666667</v>
      </c>
    </row>
    <row r="54" spans="2:30" x14ac:dyDescent="0.2">
      <c r="B54" s="3" t="s">
        <v>32</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B54" s="22">
        <f t="shared" si="6"/>
        <v>-1</v>
      </c>
      <c r="AC54" s="34">
        <f t="shared" si="7"/>
        <v>9.6666666666666661</v>
      </c>
      <c r="AD54" s="34">
        <f t="shared" si="8"/>
        <v>10.666666666666666</v>
      </c>
    </row>
    <row r="55" spans="2:30" x14ac:dyDescent="0.2">
      <c r="B55" s="3" t="s">
        <v>45</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B55" s="22">
        <f t="shared" si="6"/>
        <v>-7</v>
      </c>
      <c r="AC55" s="34">
        <f t="shared" si="7"/>
        <v>6.666666666666667</v>
      </c>
      <c r="AD55" s="34">
        <f t="shared" si="8"/>
        <v>7.5</v>
      </c>
    </row>
    <row r="56" spans="2:30" x14ac:dyDescent="0.2">
      <c r="B56" s="3" t="s">
        <v>25</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B56" s="22">
        <f t="shared" si="6"/>
        <v>-8</v>
      </c>
      <c r="AC56" s="34">
        <f t="shared" si="7"/>
        <v>14.333333333333334</v>
      </c>
      <c r="AD56" s="34">
        <f t="shared" si="8"/>
        <v>10.166666666666666</v>
      </c>
    </row>
    <row r="57" spans="2:30" x14ac:dyDescent="0.2">
      <c r="B57" s="3" t="s">
        <v>17</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B57" s="22">
        <f t="shared" si="6"/>
        <v>9</v>
      </c>
      <c r="AC57" s="34">
        <f t="shared" si="7"/>
        <v>8</v>
      </c>
      <c r="AD57" s="34">
        <f t="shared" si="8"/>
        <v>8</v>
      </c>
    </row>
    <row r="58" spans="2:30" x14ac:dyDescent="0.2">
      <c r="B58" s="3" t="s">
        <v>22</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B58" s="22">
        <f t="shared" si="6"/>
        <v>-2</v>
      </c>
      <c r="AC58" s="34">
        <f t="shared" si="7"/>
        <v>11</v>
      </c>
      <c r="AD58" s="34">
        <f t="shared" si="8"/>
        <v>8.5</v>
      </c>
    </row>
    <row r="59" spans="2:30"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B59" s="22">
        <f t="shared" si="6"/>
        <v>-12</v>
      </c>
      <c r="AC59" s="34">
        <f t="shared" si="7"/>
        <v>2.6666666666666665</v>
      </c>
      <c r="AD59" s="34">
        <f t="shared" si="8"/>
        <v>1.1666666666666667</v>
      </c>
    </row>
    <row r="60" spans="2:30" x14ac:dyDescent="0.2">
      <c r="B60" s="3" t="s">
        <v>36</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B60" s="22">
        <f t="shared" si="6"/>
        <v>-1</v>
      </c>
      <c r="AC60" s="34">
        <f t="shared" si="7"/>
        <v>8.3333333333333339</v>
      </c>
      <c r="AD60" s="34">
        <f t="shared" si="8"/>
        <v>9</v>
      </c>
    </row>
    <row r="61" spans="2:30" x14ac:dyDescent="0.2">
      <c r="B61" s="3" t="s">
        <v>48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B61" s="22">
        <f t="shared" si="6"/>
        <v>-16</v>
      </c>
      <c r="AC61" s="34">
        <f t="shared" si="7"/>
        <v>3.3333333333333335</v>
      </c>
      <c r="AD61" s="34">
        <f t="shared" si="8"/>
        <v>4.5</v>
      </c>
    </row>
    <row r="62" spans="2:30" x14ac:dyDescent="0.2">
      <c r="B62" s="3" t="s">
        <v>40</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B62" s="22">
        <f t="shared" si="6"/>
        <v>-1</v>
      </c>
      <c r="AC62" s="34">
        <f t="shared" si="7"/>
        <v>3</v>
      </c>
      <c r="AD62" s="34">
        <f t="shared" si="8"/>
        <v>4</v>
      </c>
    </row>
    <row r="63" spans="2:30" x14ac:dyDescent="0.2">
      <c r="B63" s="3" t="s">
        <v>19</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B63" s="22">
        <f t="shared" si="6"/>
        <v>-3</v>
      </c>
      <c r="AC63" s="34">
        <f t="shared" si="7"/>
        <v>10.333333333333334</v>
      </c>
      <c r="AD63" s="34">
        <f t="shared" si="8"/>
        <v>7.666666666666667</v>
      </c>
    </row>
    <row r="64" spans="2:30" x14ac:dyDescent="0.2">
      <c r="B64" s="3" t="s">
        <v>42</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B64" s="22">
        <f t="shared" si="6"/>
        <v>-10</v>
      </c>
      <c r="AC64" s="34">
        <f t="shared" si="7"/>
        <v>4.333333333333333</v>
      </c>
      <c r="AD64" s="34">
        <f t="shared" si="8"/>
        <v>6.166666666666667</v>
      </c>
    </row>
    <row r="65" spans="2:30" x14ac:dyDescent="0.2">
      <c r="B65" s="3" t="s">
        <v>44</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B65" s="22">
        <f t="shared" si="6"/>
        <v>-2</v>
      </c>
      <c r="AC65" s="34">
        <f t="shared" si="7"/>
        <v>4.333333333333333</v>
      </c>
      <c r="AD65" s="34">
        <f t="shared" si="8"/>
        <v>5.5</v>
      </c>
    </row>
    <row r="66" spans="2:30" x14ac:dyDescent="0.2">
      <c r="B66" s="3" t="s">
        <v>28</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B66" s="22">
        <f t="shared" si="6"/>
        <v>-7</v>
      </c>
      <c r="AC66" s="34">
        <f t="shared" si="7"/>
        <v>11.666666666666666</v>
      </c>
      <c r="AD66" s="34">
        <f t="shared" si="8"/>
        <v>9.3333333333333339</v>
      </c>
    </row>
    <row r="67" spans="2:30" x14ac:dyDescent="0.2">
      <c r="B67" s="4" t="s">
        <v>46</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299"/>
  <sheetViews>
    <sheetView zoomScale="170" zoomScaleNormal="170" workbookViewId="0">
      <pane xSplit="1" ySplit="5" topLeftCell="B162" activePane="bottomRight" state="frozen"/>
      <selection pane="topRight" activeCell="B1" sqref="B1"/>
      <selection pane="bottomLeft" activeCell="A6" sqref="A6"/>
      <selection pane="bottomRight" activeCell="L299" sqref="L299"/>
    </sheetView>
  </sheetViews>
  <sheetFormatPr baseColWidth="10" defaultColWidth="9.1640625" defaultRowHeight="15" x14ac:dyDescent="0.2"/>
  <cols>
    <col min="1" max="1" width="12" style="88" customWidth="1"/>
    <col min="2" max="2" width="13.1640625" style="88" customWidth="1"/>
    <col min="3" max="9" width="11.5" style="88" customWidth="1"/>
    <col min="10" max="10" width="12.1640625" style="88" customWidth="1"/>
    <col min="11" max="11" width="11.5" style="88" customWidth="1"/>
    <col min="12" max="12" width="15.33203125" style="88" customWidth="1"/>
    <col min="13" max="16" width="9.1640625" style="88" customWidth="1"/>
    <col min="17" max="16384" width="9.1640625" style="88"/>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61</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c r="C6" s="51">
        <v>55.6</v>
      </c>
      <c r="D6" s="51">
        <v>49</v>
      </c>
      <c r="E6" s="52">
        <v>50.9</v>
      </c>
      <c r="F6" s="51">
        <v>58.6</v>
      </c>
      <c r="G6" s="52"/>
      <c r="H6" s="52">
        <v>51</v>
      </c>
      <c r="I6" s="52"/>
      <c r="J6" s="52">
        <v>53.8</v>
      </c>
      <c r="K6" s="52">
        <v>62</v>
      </c>
      <c r="L6" s="50">
        <v>56.7</v>
      </c>
    </row>
    <row r="7" spans="1:12" ht="14.25" customHeight="1" x14ac:dyDescent="0.2">
      <c r="A7" s="53">
        <v>35643</v>
      </c>
      <c r="B7" s="50"/>
      <c r="C7" s="51">
        <v>48.4</v>
      </c>
      <c r="D7" s="51">
        <v>56.5</v>
      </c>
      <c r="E7" s="52">
        <v>53.3</v>
      </c>
      <c r="F7" s="51">
        <v>62.6</v>
      </c>
      <c r="G7" s="52">
        <v>62</v>
      </c>
      <c r="H7" s="52">
        <v>48.5</v>
      </c>
      <c r="I7" s="52"/>
      <c r="J7" s="52">
        <v>53.8</v>
      </c>
      <c r="K7" s="52">
        <v>57.5</v>
      </c>
      <c r="L7" s="50">
        <v>62</v>
      </c>
    </row>
    <row r="8" spans="1:12" ht="14.25" customHeight="1" x14ac:dyDescent="0.2">
      <c r="A8" s="49">
        <v>35674</v>
      </c>
      <c r="B8" s="50"/>
      <c r="C8" s="51">
        <v>47.5</v>
      </c>
      <c r="D8" s="51">
        <v>49.5</v>
      </c>
      <c r="E8" s="52">
        <v>53.1</v>
      </c>
      <c r="F8" s="51">
        <v>59.1</v>
      </c>
      <c r="G8" s="52">
        <v>63</v>
      </c>
      <c r="H8" s="52">
        <v>54</v>
      </c>
      <c r="I8" s="52"/>
      <c r="J8" s="52">
        <v>53.2</v>
      </c>
      <c r="K8" s="52">
        <v>49.5</v>
      </c>
      <c r="L8" s="50">
        <v>56.2</v>
      </c>
    </row>
    <row r="9" spans="1:12" ht="14.25" customHeight="1" x14ac:dyDescent="0.2">
      <c r="A9" s="53">
        <v>35704</v>
      </c>
      <c r="B9" s="50"/>
      <c r="C9" s="51">
        <v>50.7</v>
      </c>
      <c r="D9" s="51">
        <v>52</v>
      </c>
      <c r="E9" s="52">
        <v>53.1</v>
      </c>
      <c r="F9" s="51">
        <v>62.6</v>
      </c>
      <c r="G9" s="52">
        <v>66</v>
      </c>
      <c r="H9" s="52">
        <v>46.5</v>
      </c>
      <c r="I9" s="52"/>
      <c r="J9" s="52">
        <v>51</v>
      </c>
      <c r="K9" s="52">
        <v>51.5</v>
      </c>
      <c r="L9" s="50">
        <v>56.6</v>
      </c>
    </row>
    <row r="10" spans="1:12" ht="14.25" customHeight="1" x14ac:dyDescent="0.2">
      <c r="A10" s="49">
        <v>35735</v>
      </c>
      <c r="B10" s="50"/>
      <c r="C10" s="51">
        <v>50.3</v>
      </c>
      <c r="D10" s="51">
        <v>56</v>
      </c>
      <c r="E10" s="52">
        <v>54.3</v>
      </c>
      <c r="F10" s="51">
        <v>61.9</v>
      </c>
      <c r="G10" s="52">
        <v>64.5</v>
      </c>
      <c r="H10" s="52">
        <v>51</v>
      </c>
      <c r="I10" s="52"/>
      <c r="J10" s="52">
        <v>56.7</v>
      </c>
      <c r="K10" s="52">
        <v>53.5</v>
      </c>
      <c r="L10" s="50">
        <v>58.5</v>
      </c>
    </row>
    <row r="11" spans="1:12" ht="14.25" customHeight="1" x14ac:dyDescent="0.2">
      <c r="A11" s="53">
        <v>35765</v>
      </c>
      <c r="B11" s="50"/>
      <c r="C11" s="51">
        <v>52.2</v>
      </c>
      <c r="D11" s="51">
        <v>49</v>
      </c>
      <c r="E11" s="52">
        <v>54.9</v>
      </c>
      <c r="F11" s="51">
        <v>56.5</v>
      </c>
      <c r="G11" s="52">
        <v>67</v>
      </c>
      <c r="H11" s="52">
        <v>49</v>
      </c>
      <c r="I11" s="52"/>
      <c r="J11" s="52">
        <v>55</v>
      </c>
      <c r="K11" s="52">
        <v>48.5</v>
      </c>
      <c r="L11" s="50">
        <v>55.5</v>
      </c>
    </row>
    <row r="12" spans="1:12" ht="14.25" customHeight="1" x14ac:dyDescent="0.2">
      <c r="A12" s="49">
        <v>35796</v>
      </c>
      <c r="B12" s="50">
        <v>57.4</v>
      </c>
      <c r="C12" s="51">
        <v>51.5</v>
      </c>
      <c r="D12" s="51">
        <v>49</v>
      </c>
      <c r="E12" s="52">
        <v>52.7</v>
      </c>
      <c r="F12" s="51">
        <v>61.4</v>
      </c>
      <c r="G12" s="52">
        <v>61.5</v>
      </c>
      <c r="H12" s="52">
        <v>48.5</v>
      </c>
      <c r="I12" s="52">
        <v>54</v>
      </c>
      <c r="J12" s="52">
        <v>55</v>
      </c>
      <c r="K12" s="52">
        <v>52</v>
      </c>
      <c r="L12" s="50">
        <v>57</v>
      </c>
    </row>
    <row r="13" spans="1:12" ht="14.25" customHeight="1" x14ac:dyDescent="0.2">
      <c r="A13" s="53">
        <v>35827</v>
      </c>
      <c r="B13" s="50">
        <v>59.1</v>
      </c>
      <c r="C13" s="51">
        <v>52.6</v>
      </c>
      <c r="D13" s="51">
        <v>51.5</v>
      </c>
      <c r="E13" s="52">
        <v>51.6</v>
      </c>
      <c r="F13" s="51">
        <v>58.9</v>
      </c>
      <c r="G13" s="52">
        <v>59.5</v>
      </c>
      <c r="H13" s="52">
        <v>50.5</v>
      </c>
      <c r="I13" s="52">
        <v>52</v>
      </c>
      <c r="J13" s="52">
        <v>54.8</v>
      </c>
      <c r="K13" s="52">
        <v>51.5</v>
      </c>
      <c r="L13" s="50">
        <v>56.2</v>
      </c>
    </row>
    <row r="14" spans="1:12" ht="14.25" customHeight="1" x14ac:dyDescent="0.2">
      <c r="A14" s="49">
        <v>35855</v>
      </c>
      <c r="B14" s="50">
        <v>55.1</v>
      </c>
      <c r="C14" s="51">
        <v>50</v>
      </c>
      <c r="D14" s="51">
        <v>51.5</v>
      </c>
      <c r="E14" s="52">
        <v>47.9</v>
      </c>
      <c r="F14" s="51">
        <v>57</v>
      </c>
      <c r="G14" s="52">
        <v>64</v>
      </c>
      <c r="H14" s="52">
        <v>52.5</v>
      </c>
      <c r="I14" s="52">
        <v>52.5</v>
      </c>
      <c r="J14" s="52">
        <v>54.1</v>
      </c>
      <c r="K14" s="52">
        <v>58.5</v>
      </c>
      <c r="L14" s="50">
        <v>54.7</v>
      </c>
    </row>
    <row r="15" spans="1:12" x14ac:dyDescent="0.2">
      <c r="A15" s="53">
        <v>35886</v>
      </c>
      <c r="B15" s="54">
        <v>57.5</v>
      </c>
      <c r="C15" s="55">
        <v>52.1</v>
      </c>
      <c r="D15" s="55">
        <v>51</v>
      </c>
      <c r="E15" s="90">
        <v>46.8</v>
      </c>
      <c r="F15" s="55">
        <v>58.6</v>
      </c>
      <c r="G15" s="52">
        <v>66.5</v>
      </c>
      <c r="H15" s="90">
        <v>52.5</v>
      </c>
      <c r="I15" s="90">
        <v>52</v>
      </c>
      <c r="J15" s="90">
        <v>51.6</v>
      </c>
      <c r="K15" s="90">
        <v>56.5</v>
      </c>
      <c r="L15" s="54">
        <v>54.9</v>
      </c>
    </row>
    <row r="16" spans="1:12" x14ac:dyDescent="0.2">
      <c r="A16" s="53">
        <v>35916</v>
      </c>
      <c r="B16" s="54">
        <v>60.2</v>
      </c>
      <c r="C16" s="55">
        <v>52.8</v>
      </c>
      <c r="D16" s="55">
        <v>53</v>
      </c>
      <c r="E16" s="90">
        <v>47.2</v>
      </c>
      <c r="F16" s="55">
        <v>61.2</v>
      </c>
      <c r="G16" s="52">
        <v>63.5</v>
      </c>
      <c r="H16" s="90">
        <v>50</v>
      </c>
      <c r="I16" s="90">
        <v>50.5</v>
      </c>
      <c r="J16" s="90">
        <v>52.8</v>
      </c>
      <c r="K16" s="90">
        <v>48.5</v>
      </c>
      <c r="L16" s="54">
        <v>56.2</v>
      </c>
    </row>
    <row r="17" spans="1:12" x14ac:dyDescent="0.2">
      <c r="A17" s="53">
        <v>35947</v>
      </c>
      <c r="B17" s="54">
        <v>55.8</v>
      </c>
      <c r="C17" s="55">
        <v>54.5</v>
      </c>
      <c r="D17" s="55">
        <v>50</v>
      </c>
      <c r="E17" s="90">
        <v>45.5</v>
      </c>
      <c r="F17" s="55">
        <v>58.7</v>
      </c>
      <c r="G17" s="52">
        <v>69</v>
      </c>
      <c r="H17" s="90">
        <v>49.5</v>
      </c>
      <c r="I17" s="90">
        <v>53.5</v>
      </c>
      <c r="J17" s="90">
        <v>52.5</v>
      </c>
      <c r="K17" s="90">
        <v>55</v>
      </c>
      <c r="L17" s="54">
        <v>55.1</v>
      </c>
    </row>
    <row r="18" spans="1:12" x14ac:dyDescent="0.2">
      <c r="A18" s="53">
        <v>35977</v>
      </c>
      <c r="B18" s="54">
        <v>58.2</v>
      </c>
      <c r="C18" s="55">
        <v>50.9</v>
      </c>
      <c r="D18" s="55">
        <v>52</v>
      </c>
      <c r="E18" s="90">
        <v>47</v>
      </c>
      <c r="F18" s="55">
        <v>58.6</v>
      </c>
      <c r="G18" s="52">
        <v>60.5</v>
      </c>
      <c r="H18" s="90">
        <v>48</v>
      </c>
      <c r="I18" s="90">
        <v>54.5</v>
      </c>
      <c r="J18" s="90">
        <v>51.9</v>
      </c>
      <c r="K18" s="90">
        <v>51.5</v>
      </c>
      <c r="L18" s="54">
        <v>55.8</v>
      </c>
    </row>
    <row r="19" spans="1:12" x14ac:dyDescent="0.2">
      <c r="A19" s="53">
        <v>36008</v>
      </c>
      <c r="B19" s="54">
        <v>55.3</v>
      </c>
      <c r="C19" s="55">
        <v>55.2</v>
      </c>
      <c r="D19" s="55">
        <v>56.5</v>
      </c>
      <c r="E19" s="90">
        <v>47.9</v>
      </c>
      <c r="F19" s="55">
        <v>52.2</v>
      </c>
      <c r="G19" s="52">
        <v>62.5</v>
      </c>
      <c r="H19" s="90">
        <v>48</v>
      </c>
      <c r="I19" s="90">
        <v>54</v>
      </c>
      <c r="J19" s="90">
        <v>52.3</v>
      </c>
      <c r="K19" s="90">
        <v>54</v>
      </c>
      <c r="L19" s="54">
        <v>53.5</v>
      </c>
    </row>
    <row r="20" spans="1:12" x14ac:dyDescent="0.2">
      <c r="A20" s="53">
        <v>36039</v>
      </c>
      <c r="B20" s="54">
        <v>55.9</v>
      </c>
      <c r="C20" s="55">
        <v>52</v>
      </c>
      <c r="D20" s="55">
        <v>54</v>
      </c>
      <c r="E20" s="90">
        <v>46.2</v>
      </c>
      <c r="F20" s="55">
        <v>57.4</v>
      </c>
      <c r="G20" s="52">
        <v>65</v>
      </c>
      <c r="H20" s="90">
        <v>50.5</v>
      </c>
      <c r="I20" s="90">
        <v>53</v>
      </c>
      <c r="J20" s="90">
        <v>53.7</v>
      </c>
      <c r="K20" s="90">
        <v>54</v>
      </c>
      <c r="L20" s="54">
        <v>55</v>
      </c>
    </row>
    <row r="21" spans="1:12" x14ac:dyDescent="0.2">
      <c r="A21" s="53">
        <v>36069</v>
      </c>
      <c r="B21" s="54">
        <v>54.7</v>
      </c>
      <c r="C21" s="55">
        <v>48.8</v>
      </c>
      <c r="D21" s="55">
        <v>49</v>
      </c>
      <c r="E21" s="90">
        <v>49.3</v>
      </c>
      <c r="F21" s="55">
        <v>54</v>
      </c>
      <c r="G21" s="52">
        <v>65.5</v>
      </c>
      <c r="H21" s="90">
        <v>48.5</v>
      </c>
      <c r="I21" s="90">
        <v>53.5</v>
      </c>
      <c r="J21" s="90">
        <v>53.1</v>
      </c>
      <c r="K21" s="90">
        <v>48.5</v>
      </c>
      <c r="L21" s="54">
        <v>53.8</v>
      </c>
    </row>
    <row r="22" spans="1:12" x14ac:dyDescent="0.2">
      <c r="A22" s="53">
        <v>36100</v>
      </c>
      <c r="B22" s="54">
        <v>52.7</v>
      </c>
      <c r="C22" s="55">
        <v>50.7</v>
      </c>
      <c r="D22" s="55">
        <v>46.5</v>
      </c>
      <c r="E22" s="90">
        <v>47.3</v>
      </c>
      <c r="F22" s="55">
        <v>54.9</v>
      </c>
      <c r="G22" s="52">
        <v>63</v>
      </c>
      <c r="H22" s="90">
        <v>50</v>
      </c>
      <c r="I22" s="90">
        <v>50</v>
      </c>
      <c r="J22" s="90">
        <v>52.6</v>
      </c>
      <c r="K22" s="90">
        <v>45</v>
      </c>
      <c r="L22" s="54">
        <v>52.6</v>
      </c>
    </row>
    <row r="23" spans="1:12" x14ac:dyDescent="0.2">
      <c r="A23" s="53">
        <v>36130</v>
      </c>
      <c r="B23" s="54">
        <v>53.5</v>
      </c>
      <c r="C23" s="55">
        <v>50.3</v>
      </c>
      <c r="D23" s="55">
        <v>47</v>
      </c>
      <c r="E23" s="90">
        <v>48.5</v>
      </c>
      <c r="F23" s="55">
        <v>54.2</v>
      </c>
      <c r="G23" s="52">
        <v>64.5</v>
      </c>
      <c r="H23" s="90">
        <v>50.5</v>
      </c>
      <c r="I23" s="90">
        <v>53</v>
      </c>
      <c r="J23" s="90">
        <v>50.9</v>
      </c>
      <c r="K23" s="90">
        <v>49</v>
      </c>
      <c r="L23" s="54">
        <v>52.9</v>
      </c>
    </row>
    <row r="24" spans="1:12" x14ac:dyDescent="0.2">
      <c r="A24" s="53">
        <v>36161</v>
      </c>
      <c r="B24" s="54">
        <v>57.5</v>
      </c>
      <c r="C24" s="55">
        <v>53.1</v>
      </c>
      <c r="D24" s="55">
        <v>49</v>
      </c>
      <c r="E24" s="90">
        <v>47</v>
      </c>
      <c r="F24" s="55">
        <v>58.8</v>
      </c>
      <c r="G24" s="52">
        <v>61</v>
      </c>
      <c r="H24" s="90">
        <v>47</v>
      </c>
      <c r="I24" s="90">
        <v>54.5</v>
      </c>
      <c r="J24" s="90">
        <v>51.4</v>
      </c>
      <c r="K24" s="90">
        <v>46.5</v>
      </c>
      <c r="L24" s="54">
        <v>55.6</v>
      </c>
    </row>
    <row r="25" spans="1:12" x14ac:dyDescent="0.2">
      <c r="A25" s="53">
        <v>36192</v>
      </c>
      <c r="B25" s="54">
        <v>56.6</v>
      </c>
      <c r="C25" s="55">
        <v>52.7</v>
      </c>
      <c r="D25" s="55">
        <v>51.5</v>
      </c>
      <c r="E25" s="90">
        <v>45.5</v>
      </c>
      <c r="F25" s="55">
        <v>57.3</v>
      </c>
      <c r="G25" s="52">
        <v>60.5</v>
      </c>
      <c r="H25" s="90">
        <v>49.5</v>
      </c>
      <c r="I25" s="90">
        <v>51.5</v>
      </c>
      <c r="J25" s="90">
        <v>52.2</v>
      </c>
      <c r="K25" s="90">
        <v>47.5</v>
      </c>
      <c r="L25" s="54">
        <v>54.4</v>
      </c>
    </row>
    <row r="26" spans="1:12" x14ac:dyDescent="0.2">
      <c r="A26" s="53">
        <v>36220</v>
      </c>
      <c r="B26" s="54">
        <v>58.1</v>
      </c>
      <c r="C26" s="55">
        <v>55.3</v>
      </c>
      <c r="D26" s="55">
        <v>55.5</v>
      </c>
      <c r="E26" s="90">
        <v>48.9</v>
      </c>
      <c r="F26" s="55">
        <v>59.5</v>
      </c>
      <c r="G26" s="52">
        <v>61.5</v>
      </c>
      <c r="H26" s="90">
        <v>47.5</v>
      </c>
      <c r="I26" s="90">
        <v>52.5</v>
      </c>
      <c r="J26" s="90">
        <v>51.1</v>
      </c>
      <c r="K26" s="90">
        <v>58.5</v>
      </c>
      <c r="L26" s="54">
        <v>55.3</v>
      </c>
    </row>
    <row r="27" spans="1:12" x14ac:dyDescent="0.2">
      <c r="A27" s="53">
        <v>36251</v>
      </c>
      <c r="B27" s="54">
        <v>58.6</v>
      </c>
      <c r="C27" s="55">
        <v>52.6</v>
      </c>
      <c r="D27" s="55">
        <v>51</v>
      </c>
      <c r="E27" s="90">
        <v>51.4</v>
      </c>
      <c r="F27" s="55">
        <v>59.8</v>
      </c>
      <c r="G27" s="52">
        <v>63</v>
      </c>
      <c r="H27" s="90">
        <v>48.5</v>
      </c>
      <c r="I27" s="90">
        <v>51.5</v>
      </c>
      <c r="J27" s="90">
        <v>52</v>
      </c>
      <c r="K27" s="90">
        <v>56.5</v>
      </c>
      <c r="L27" s="54">
        <v>55.5</v>
      </c>
    </row>
    <row r="28" spans="1:12" x14ac:dyDescent="0.2">
      <c r="A28" s="53">
        <v>36281</v>
      </c>
      <c r="B28" s="54">
        <v>56.4</v>
      </c>
      <c r="C28" s="55">
        <v>54.4</v>
      </c>
      <c r="D28" s="55">
        <v>50.5</v>
      </c>
      <c r="E28" s="90">
        <v>52.9</v>
      </c>
      <c r="F28" s="55">
        <v>57.7</v>
      </c>
      <c r="G28" s="52">
        <v>61</v>
      </c>
      <c r="H28" s="90">
        <v>51.5</v>
      </c>
      <c r="I28" s="90">
        <v>54</v>
      </c>
      <c r="J28" s="90">
        <v>52.9</v>
      </c>
      <c r="K28" s="90">
        <v>58.5</v>
      </c>
      <c r="L28" s="54">
        <v>55.3</v>
      </c>
    </row>
    <row r="29" spans="1:12" x14ac:dyDescent="0.2">
      <c r="A29" s="53">
        <v>36312</v>
      </c>
      <c r="B29" s="54">
        <v>59.7</v>
      </c>
      <c r="C29" s="55">
        <v>51.9</v>
      </c>
      <c r="D29" s="55">
        <v>52</v>
      </c>
      <c r="E29" s="90">
        <v>53.2</v>
      </c>
      <c r="F29" s="55">
        <v>57.9</v>
      </c>
      <c r="G29" s="52">
        <v>61</v>
      </c>
      <c r="H29" s="90">
        <v>49.5</v>
      </c>
      <c r="I29" s="90">
        <v>54</v>
      </c>
      <c r="J29" s="90">
        <v>55.3</v>
      </c>
      <c r="K29" s="90">
        <v>53.5</v>
      </c>
      <c r="L29" s="54">
        <v>56.7</v>
      </c>
    </row>
    <row r="30" spans="1:12" x14ac:dyDescent="0.2">
      <c r="A30" s="53">
        <v>36342</v>
      </c>
      <c r="B30" s="54">
        <v>58.1</v>
      </c>
      <c r="C30" s="55">
        <v>55.9</v>
      </c>
      <c r="D30" s="55">
        <v>50</v>
      </c>
      <c r="E30" s="90">
        <v>57.7</v>
      </c>
      <c r="F30" s="55">
        <v>60.7</v>
      </c>
      <c r="G30" s="52">
        <v>61</v>
      </c>
      <c r="H30" s="90">
        <v>49.5</v>
      </c>
      <c r="I30" s="90">
        <v>52.5</v>
      </c>
      <c r="J30" s="90">
        <v>53.4</v>
      </c>
      <c r="K30" s="90">
        <v>57.5</v>
      </c>
      <c r="L30" s="54">
        <v>56.2</v>
      </c>
    </row>
    <row r="31" spans="1:12" x14ac:dyDescent="0.2">
      <c r="A31" s="53">
        <v>36373</v>
      </c>
      <c r="B31" s="54">
        <v>59.6</v>
      </c>
      <c r="C31" s="55">
        <v>52.3</v>
      </c>
      <c r="D31" s="55">
        <v>51.5</v>
      </c>
      <c r="E31" s="90">
        <v>58.9</v>
      </c>
      <c r="F31" s="55">
        <v>60.3</v>
      </c>
      <c r="G31" s="52">
        <v>63</v>
      </c>
      <c r="H31" s="90">
        <v>52</v>
      </c>
      <c r="I31" s="90">
        <v>53.5</v>
      </c>
      <c r="J31" s="90">
        <v>52.3</v>
      </c>
      <c r="K31" s="90">
        <v>58</v>
      </c>
      <c r="L31" s="54">
        <v>56.4</v>
      </c>
    </row>
    <row r="32" spans="1:12" x14ac:dyDescent="0.2">
      <c r="A32" s="53">
        <v>36404</v>
      </c>
      <c r="B32" s="54">
        <v>60.1</v>
      </c>
      <c r="C32" s="55">
        <v>55.5</v>
      </c>
      <c r="D32" s="55">
        <v>52.5</v>
      </c>
      <c r="E32" s="90">
        <v>64.2</v>
      </c>
      <c r="F32" s="55">
        <v>59.1</v>
      </c>
      <c r="G32" s="52">
        <v>61.5</v>
      </c>
      <c r="H32" s="90">
        <v>52</v>
      </c>
      <c r="I32" s="90">
        <v>54</v>
      </c>
      <c r="J32" s="90">
        <v>51.4</v>
      </c>
      <c r="K32" s="90">
        <v>62.5</v>
      </c>
      <c r="L32" s="54">
        <v>56.2</v>
      </c>
    </row>
    <row r="33" spans="1:12" x14ac:dyDescent="0.2">
      <c r="A33" s="53">
        <v>36434</v>
      </c>
      <c r="B33" s="54">
        <v>62</v>
      </c>
      <c r="C33" s="55">
        <v>55.7</v>
      </c>
      <c r="D33" s="55">
        <v>52</v>
      </c>
      <c r="E33" s="90">
        <v>58.9</v>
      </c>
      <c r="F33" s="55">
        <v>60.7</v>
      </c>
      <c r="G33" s="52">
        <v>58</v>
      </c>
      <c r="H33" s="90">
        <v>47.5</v>
      </c>
      <c r="I33" s="90">
        <v>56</v>
      </c>
      <c r="J33" s="90">
        <v>51.7</v>
      </c>
      <c r="K33" s="90">
        <v>54</v>
      </c>
      <c r="L33" s="54">
        <v>57.6</v>
      </c>
    </row>
    <row r="34" spans="1:12" x14ac:dyDescent="0.2">
      <c r="A34" s="53">
        <v>36465</v>
      </c>
      <c r="B34" s="54">
        <v>55.5</v>
      </c>
      <c r="C34" s="55">
        <v>53.8</v>
      </c>
      <c r="D34" s="55">
        <v>49</v>
      </c>
      <c r="E34" s="90">
        <v>61</v>
      </c>
      <c r="F34" s="55">
        <v>57</v>
      </c>
      <c r="G34" s="52">
        <v>62.5</v>
      </c>
      <c r="H34" s="90">
        <v>52.5</v>
      </c>
      <c r="I34" s="90">
        <v>56.5</v>
      </c>
      <c r="J34" s="90">
        <v>50.6</v>
      </c>
      <c r="K34" s="90">
        <v>56</v>
      </c>
      <c r="L34" s="54">
        <v>54.9</v>
      </c>
    </row>
    <row r="35" spans="1:12" x14ac:dyDescent="0.2">
      <c r="A35" s="53">
        <v>36495</v>
      </c>
      <c r="B35" s="54">
        <v>61.1</v>
      </c>
      <c r="C35" s="55">
        <v>50.8</v>
      </c>
      <c r="D35" s="55">
        <v>49</v>
      </c>
      <c r="E35" s="90">
        <v>60.5</v>
      </c>
      <c r="F35" s="55">
        <v>60.4</v>
      </c>
      <c r="G35" s="52">
        <v>61.5</v>
      </c>
      <c r="H35" s="90">
        <v>50</v>
      </c>
      <c r="I35" s="90">
        <v>53</v>
      </c>
      <c r="J35" s="90">
        <v>53</v>
      </c>
      <c r="K35" s="90">
        <v>58</v>
      </c>
      <c r="L35" s="54">
        <v>56.9</v>
      </c>
    </row>
    <row r="36" spans="1:12" x14ac:dyDescent="0.2">
      <c r="A36" s="53">
        <v>36526</v>
      </c>
      <c r="B36" s="54">
        <v>60.8</v>
      </c>
      <c r="C36" s="55">
        <v>54.9</v>
      </c>
      <c r="D36" s="55">
        <v>48.5</v>
      </c>
      <c r="E36" s="90">
        <v>61.4</v>
      </c>
      <c r="F36" s="55">
        <v>57.7</v>
      </c>
      <c r="G36" s="52">
        <v>67</v>
      </c>
      <c r="H36" s="90">
        <v>49.5</v>
      </c>
      <c r="I36" s="90">
        <v>55.5</v>
      </c>
      <c r="J36" s="90">
        <v>52.3</v>
      </c>
      <c r="K36" s="90">
        <v>57.5</v>
      </c>
      <c r="L36" s="54">
        <v>56.6</v>
      </c>
    </row>
    <row r="37" spans="1:12" x14ac:dyDescent="0.2">
      <c r="A37" s="53">
        <v>36557</v>
      </c>
      <c r="B37" s="54">
        <v>58.9</v>
      </c>
      <c r="C37" s="55">
        <v>51.9</v>
      </c>
      <c r="D37" s="55">
        <v>52</v>
      </c>
      <c r="E37" s="90">
        <v>66.5</v>
      </c>
      <c r="F37" s="55">
        <v>58.2</v>
      </c>
      <c r="G37" s="52">
        <v>66.5</v>
      </c>
      <c r="H37" s="90">
        <v>49.5</v>
      </c>
      <c r="I37" s="90">
        <v>55</v>
      </c>
      <c r="J37" s="90">
        <v>52.8</v>
      </c>
      <c r="K37" s="90">
        <v>47.5</v>
      </c>
      <c r="L37" s="54">
        <v>56.2</v>
      </c>
    </row>
    <row r="38" spans="1:12" x14ac:dyDescent="0.2">
      <c r="A38" s="53">
        <v>36586</v>
      </c>
      <c r="B38" s="54">
        <v>61.7</v>
      </c>
      <c r="C38" s="55">
        <v>54.7</v>
      </c>
      <c r="D38" s="55">
        <v>53</v>
      </c>
      <c r="E38" s="90">
        <v>68.599999999999994</v>
      </c>
      <c r="F38" s="55">
        <v>60.5</v>
      </c>
      <c r="G38" s="52">
        <v>60.5</v>
      </c>
      <c r="H38" s="90">
        <v>51.5</v>
      </c>
      <c r="I38" s="90">
        <v>52.5</v>
      </c>
      <c r="J38" s="90">
        <v>55</v>
      </c>
      <c r="K38" s="90">
        <v>55.5</v>
      </c>
      <c r="L38" s="54">
        <v>57.4</v>
      </c>
    </row>
    <row r="39" spans="1:12" x14ac:dyDescent="0.2">
      <c r="A39" s="53">
        <v>36617</v>
      </c>
      <c r="B39" s="54">
        <v>61.5</v>
      </c>
      <c r="C39" s="55">
        <v>54.6</v>
      </c>
      <c r="D39" s="55">
        <v>55.5</v>
      </c>
      <c r="E39" s="90">
        <v>65</v>
      </c>
      <c r="F39" s="55">
        <v>61.1</v>
      </c>
      <c r="G39" s="52">
        <v>64</v>
      </c>
      <c r="H39" s="90">
        <v>53.5</v>
      </c>
      <c r="I39" s="90">
        <v>55</v>
      </c>
      <c r="J39" s="90">
        <v>54.4</v>
      </c>
      <c r="K39" s="90">
        <v>59</v>
      </c>
      <c r="L39" s="54">
        <v>58</v>
      </c>
    </row>
    <row r="40" spans="1:12" x14ac:dyDescent="0.2">
      <c r="A40" s="53">
        <v>36647</v>
      </c>
      <c r="B40" s="54">
        <v>60.5</v>
      </c>
      <c r="C40" s="55">
        <v>54.7</v>
      </c>
      <c r="D40" s="55">
        <v>53.5</v>
      </c>
      <c r="E40" s="90">
        <v>64.2</v>
      </c>
      <c r="F40" s="55">
        <v>59.8</v>
      </c>
      <c r="G40" s="52">
        <v>63</v>
      </c>
      <c r="H40" s="90">
        <v>49.5</v>
      </c>
      <c r="I40" s="90">
        <v>57</v>
      </c>
      <c r="J40" s="90">
        <v>53.5</v>
      </c>
      <c r="K40" s="90">
        <v>62</v>
      </c>
      <c r="L40" s="54">
        <v>57.7</v>
      </c>
    </row>
    <row r="41" spans="1:12" x14ac:dyDescent="0.2">
      <c r="A41" s="53">
        <v>36678</v>
      </c>
      <c r="B41" s="54">
        <v>59.4</v>
      </c>
      <c r="C41" s="55">
        <v>52.6</v>
      </c>
      <c r="D41" s="55">
        <v>56.5</v>
      </c>
      <c r="E41" s="90">
        <v>65</v>
      </c>
      <c r="F41" s="55">
        <v>60.3</v>
      </c>
      <c r="G41" s="52">
        <v>66.5</v>
      </c>
      <c r="H41" s="90">
        <v>54</v>
      </c>
      <c r="I41" s="90">
        <v>53.5</v>
      </c>
      <c r="J41" s="90">
        <v>54.4</v>
      </c>
      <c r="K41" s="90">
        <v>57</v>
      </c>
      <c r="L41" s="54">
        <v>56.9</v>
      </c>
    </row>
    <row r="42" spans="1:12" x14ac:dyDescent="0.2">
      <c r="A42" s="53">
        <v>36708</v>
      </c>
      <c r="B42" s="54">
        <v>59.7</v>
      </c>
      <c r="C42" s="55">
        <v>53.1</v>
      </c>
      <c r="D42" s="55">
        <v>50.5</v>
      </c>
      <c r="E42" s="90">
        <v>62.1</v>
      </c>
      <c r="F42" s="55">
        <v>56.5</v>
      </c>
      <c r="G42" s="52">
        <v>68</v>
      </c>
      <c r="H42" s="90">
        <v>51</v>
      </c>
      <c r="I42" s="90">
        <v>54.5</v>
      </c>
      <c r="J42" s="90">
        <v>50.5</v>
      </c>
      <c r="K42" s="90">
        <v>53</v>
      </c>
      <c r="L42" s="54">
        <v>55.3</v>
      </c>
    </row>
    <row r="43" spans="1:12" x14ac:dyDescent="0.2">
      <c r="A43" s="53">
        <v>36739</v>
      </c>
      <c r="B43" s="54">
        <v>59.8</v>
      </c>
      <c r="C43" s="55">
        <v>53.9</v>
      </c>
      <c r="D43" s="55">
        <v>52</v>
      </c>
      <c r="E43" s="90">
        <v>59.2</v>
      </c>
      <c r="F43" s="55">
        <v>61.3</v>
      </c>
      <c r="G43" s="52">
        <v>61.5</v>
      </c>
      <c r="H43" s="90">
        <v>51</v>
      </c>
      <c r="I43" s="90">
        <v>55</v>
      </c>
      <c r="J43" s="90">
        <v>54.2</v>
      </c>
      <c r="K43" s="90">
        <v>56</v>
      </c>
      <c r="L43" s="54">
        <v>57.6</v>
      </c>
    </row>
    <row r="44" spans="1:12" x14ac:dyDescent="0.2">
      <c r="A44" s="53">
        <v>36770</v>
      </c>
      <c r="B44" s="54">
        <v>60.4</v>
      </c>
      <c r="C44" s="55">
        <v>46</v>
      </c>
      <c r="D44" s="55">
        <v>56.5</v>
      </c>
      <c r="E44" s="90">
        <v>62.1</v>
      </c>
      <c r="F44" s="55">
        <v>59.8</v>
      </c>
      <c r="G44" s="52">
        <v>65</v>
      </c>
      <c r="H44" s="90">
        <v>53.5</v>
      </c>
      <c r="I44" s="90">
        <v>53</v>
      </c>
      <c r="J44" s="90">
        <v>53.5</v>
      </c>
      <c r="K44" s="90">
        <v>51.5</v>
      </c>
      <c r="L44" s="54">
        <v>56.7</v>
      </c>
    </row>
    <row r="45" spans="1:12" x14ac:dyDescent="0.2">
      <c r="A45" s="53">
        <v>36800</v>
      </c>
      <c r="B45" s="54">
        <v>59.2</v>
      </c>
      <c r="C45" s="55">
        <v>58.9</v>
      </c>
      <c r="D45" s="55">
        <v>53.5</v>
      </c>
      <c r="E45" s="90">
        <v>63.7</v>
      </c>
      <c r="F45" s="55">
        <v>58.6</v>
      </c>
      <c r="G45" s="52">
        <v>67.5</v>
      </c>
      <c r="H45" s="90">
        <v>55</v>
      </c>
      <c r="I45" s="90">
        <v>54.5</v>
      </c>
      <c r="J45" s="90">
        <v>54.5</v>
      </c>
      <c r="K45" s="90">
        <v>55</v>
      </c>
      <c r="L45" s="54">
        <v>56.7</v>
      </c>
    </row>
    <row r="46" spans="1:12" x14ac:dyDescent="0.2">
      <c r="A46" s="53">
        <v>36831</v>
      </c>
      <c r="B46" s="54">
        <v>56.4</v>
      </c>
      <c r="C46" s="55">
        <v>54.7</v>
      </c>
      <c r="D46" s="55">
        <v>49.5</v>
      </c>
      <c r="E46" s="90">
        <v>60.9</v>
      </c>
      <c r="F46" s="55">
        <v>59.7</v>
      </c>
      <c r="G46" s="52">
        <v>66</v>
      </c>
      <c r="H46" s="90">
        <v>49.5</v>
      </c>
      <c r="I46" s="90">
        <v>54</v>
      </c>
      <c r="J46" s="90">
        <v>54.6</v>
      </c>
      <c r="K46" s="90">
        <v>55</v>
      </c>
      <c r="L46" s="54">
        <v>56.2</v>
      </c>
    </row>
    <row r="47" spans="1:12" x14ac:dyDescent="0.2">
      <c r="A47" s="53">
        <v>36861</v>
      </c>
      <c r="B47" s="54">
        <v>54.9</v>
      </c>
      <c r="C47" s="55">
        <v>53.4</v>
      </c>
      <c r="D47" s="55">
        <v>50.5</v>
      </c>
      <c r="E47" s="90">
        <v>63.5</v>
      </c>
      <c r="F47" s="55">
        <v>57.5</v>
      </c>
      <c r="G47" s="52">
        <v>65</v>
      </c>
      <c r="H47" s="90">
        <v>48.5</v>
      </c>
      <c r="I47" s="90">
        <v>51</v>
      </c>
      <c r="J47" s="90">
        <v>52.4</v>
      </c>
      <c r="K47" s="90">
        <v>56.5</v>
      </c>
      <c r="L47" s="54">
        <v>54</v>
      </c>
    </row>
    <row r="48" spans="1:12" x14ac:dyDescent="0.2">
      <c r="A48" s="53">
        <v>36892</v>
      </c>
      <c r="B48" s="54">
        <v>50.8</v>
      </c>
      <c r="C48" s="55">
        <v>49.8</v>
      </c>
      <c r="D48" s="55">
        <v>42.5</v>
      </c>
      <c r="E48" s="90">
        <v>61.8</v>
      </c>
      <c r="F48" s="55">
        <v>52.5</v>
      </c>
      <c r="G48" s="52">
        <v>67.5</v>
      </c>
      <c r="H48" s="90">
        <v>45.5</v>
      </c>
      <c r="I48" s="90">
        <v>51.5</v>
      </c>
      <c r="J48" s="90">
        <v>51.7</v>
      </c>
      <c r="K48" s="90">
        <v>55</v>
      </c>
      <c r="L48" s="54">
        <v>51.6</v>
      </c>
    </row>
    <row r="49" spans="1:12" x14ac:dyDescent="0.2">
      <c r="A49" s="53">
        <v>36923</v>
      </c>
      <c r="B49" s="54">
        <v>51.4</v>
      </c>
      <c r="C49" s="55">
        <v>48.7</v>
      </c>
      <c r="D49" s="55">
        <v>45.5</v>
      </c>
      <c r="E49" s="90">
        <v>58.1</v>
      </c>
      <c r="F49" s="55">
        <v>51.5</v>
      </c>
      <c r="G49" s="52">
        <v>65</v>
      </c>
      <c r="H49" s="90">
        <v>47</v>
      </c>
      <c r="I49" s="90">
        <v>51.5</v>
      </c>
      <c r="J49" s="90">
        <v>50.7</v>
      </c>
      <c r="K49" s="90">
        <v>53.5</v>
      </c>
      <c r="L49" s="54">
        <v>51.3</v>
      </c>
    </row>
    <row r="50" spans="1:12" x14ac:dyDescent="0.2">
      <c r="A50" s="53">
        <v>36951</v>
      </c>
      <c r="B50" s="54">
        <v>52.6</v>
      </c>
      <c r="C50" s="55">
        <v>48.4</v>
      </c>
      <c r="D50" s="55">
        <v>47.5</v>
      </c>
      <c r="E50" s="90">
        <v>55.8</v>
      </c>
      <c r="F50" s="55">
        <v>50</v>
      </c>
      <c r="G50" s="52">
        <v>69</v>
      </c>
      <c r="H50" s="90">
        <v>49</v>
      </c>
      <c r="I50" s="90">
        <v>50.5</v>
      </c>
      <c r="J50" s="90">
        <v>49.6</v>
      </c>
      <c r="K50" s="90">
        <v>49.5</v>
      </c>
      <c r="L50" s="54">
        <v>50.7</v>
      </c>
    </row>
    <row r="51" spans="1:12" x14ac:dyDescent="0.2">
      <c r="A51" s="53">
        <v>36982</v>
      </c>
      <c r="B51" s="54">
        <v>47.2</v>
      </c>
      <c r="C51" s="55">
        <v>49.8</v>
      </c>
      <c r="D51" s="55">
        <v>44</v>
      </c>
      <c r="E51" s="90">
        <v>53.8</v>
      </c>
      <c r="F51" s="55">
        <v>48.3</v>
      </c>
      <c r="G51" s="52">
        <v>64</v>
      </c>
      <c r="H51" s="90">
        <v>45.5</v>
      </c>
      <c r="I51" s="90">
        <v>51</v>
      </c>
      <c r="J51" s="90">
        <v>46.5</v>
      </c>
      <c r="K51" s="90">
        <v>55.5</v>
      </c>
      <c r="L51" s="54">
        <v>48.3</v>
      </c>
    </row>
    <row r="52" spans="1:12" x14ac:dyDescent="0.2">
      <c r="A52" s="53">
        <v>37012</v>
      </c>
      <c r="B52" s="54">
        <v>49.3</v>
      </c>
      <c r="C52" s="55">
        <v>48.7</v>
      </c>
      <c r="D52" s="55">
        <v>46.5</v>
      </c>
      <c r="E52" s="90">
        <v>58.5</v>
      </c>
      <c r="F52" s="55">
        <v>47.9</v>
      </c>
      <c r="G52" s="52">
        <v>63.5</v>
      </c>
      <c r="H52" s="90">
        <v>47.5</v>
      </c>
      <c r="I52" s="90">
        <v>52</v>
      </c>
      <c r="J52" s="90">
        <v>46.7</v>
      </c>
      <c r="K52" s="90">
        <v>48.5</v>
      </c>
      <c r="L52" s="54">
        <v>49</v>
      </c>
    </row>
    <row r="53" spans="1:12" x14ac:dyDescent="0.2">
      <c r="A53" s="53">
        <v>37043</v>
      </c>
      <c r="B53" s="54">
        <v>52.2</v>
      </c>
      <c r="C53" s="55">
        <v>50</v>
      </c>
      <c r="D53" s="55">
        <v>49</v>
      </c>
      <c r="E53" s="90">
        <v>54.5</v>
      </c>
      <c r="F53" s="55">
        <v>51.6</v>
      </c>
      <c r="G53" s="52">
        <v>65</v>
      </c>
      <c r="H53" s="90">
        <v>48.5</v>
      </c>
      <c r="I53" s="90">
        <v>51</v>
      </c>
      <c r="J53" s="90">
        <v>45.6</v>
      </c>
      <c r="K53" s="90">
        <v>49.5</v>
      </c>
      <c r="L53" s="54">
        <v>50.1</v>
      </c>
    </row>
    <row r="54" spans="1:12" x14ac:dyDescent="0.2">
      <c r="A54" s="53">
        <v>37073</v>
      </c>
      <c r="B54" s="54">
        <v>47.5</v>
      </c>
      <c r="C54" s="55">
        <v>50.1</v>
      </c>
      <c r="D54" s="55">
        <v>42.5</v>
      </c>
      <c r="E54" s="90">
        <v>49.9</v>
      </c>
      <c r="F54" s="55">
        <v>48.1</v>
      </c>
      <c r="G54" s="52">
        <v>61.5</v>
      </c>
      <c r="H54" s="90">
        <v>46</v>
      </c>
      <c r="I54" s="90">
        <v>50.5</v>
      </c>
      <c r="J54" s="90">
        <v>46.4</v>
      </c>
      <c r="K54" s="90">
        <v>53</v>
      </c>
      <c r="L54" s="54">
        <v>48.1</v>
      </c>
    </row>
    <row r="55" spans="1:12" x14ac:dyDescent="0.2">
      <c r="A55" s="53">
        <v>37104</v>
      </c>
      <c r="B55" s="54">
        <v>46.5</v>
      </c>
      <c r="C55" s="55">
        <v>52.8</v>
      </c>
      <c r="D55" s="55">
        <v>41.5</v>
      </c>
      <c r="E55" s="90">
        <v>48.9</v>
      </c>
      <c r="F55" s="55">
        <v>47.4</v>
      </c>
      <c r="G55" s="52">
        <v>65.5</v>
      </c>
      <c r="H55" s="90">
        <v>43.5</v>
      </c>
      <c r="I55" s="90">
        <v>48</v>
      </c>
      <c r="J55" s="90">
        <v>45.7</v>
      </c>
      <c r="K55" s="90">
        <v>47.5</v>
      </c>
      <c r="L55" s="54">
        <v>46.9</v>
      </c>
    </row>
    <row r="56" spans="1:12" x14ac:dyDescent="0.2">
      <c r="A56" s="53">
        <v>37135</v>
      </c>
      <c r="B56" s="54">
        <v>50.8</v>
      </c>
      <c r="C56" s="55">
        <v>52.7</v>
      </c>
      <c r="D56" s="55">
        <v>48.5</v>
      </c>
      <c r="E56" s="90">
        <v>50.2</v>
      </c>
      <c r="F56" s="55">
        <v>49.7</v>
      </c>
      <c r="G56" s="52">
        <v>64</v>
      </c>
      <c r="H56" s="90">
        <v>44.5</v>
      </c>
      <c r="I56" s="90">
        <v>51</v>
      </c>
      <c r="J56" s="90">
        <v>46.4</v>
      </c>
      <c r="K56" s="90">
        <v>53.5</v>
      </c>
      <c r="L56" s="54">
        <v>49.5</v>
      </c>
    </row>
    <row r="57" spans="1:12" x14ac:dyDescent="0.2">
      <c r="A57" s="53">
        <v>37165</v>
      </c>
      <c r="B57" s="54">
        <v>41.3</v>
      </c>
      <c r="C57" s="55">
        <v>50.7</v>
      </c>
      <c r="D57" s="55">
        <v>40.5</v>
      </c>
      <c r="E57" s="90">
        <v>43.4</v>
      </c>
      <c r="F57" s="55">
        <v>40.5</v>
      </c>
      <c r="G57" s="52">
        <v>68.5</v>
      </c>
      <c r="H57" s="90">
        <v>48</v>
      </c>
      <c r="I57" s="90">
        <v>53.5</v>
      </c>
      <c r="J57" s="90">
        <v>43.9</v>
      </c>
      <c r="K57" s="90">
        <v>44.5</v>
      </c>
      <c r="L57" s="54">
        <v>44.8</v>
      </c>
    </row>
    <row r="58" spans="1:12" x14ac:dyDescent="0.2">
      <c r="A58" s="53">
        <v>37196</v>
      </c>
      <c r="B58" s="54">
        <v>46.4</v>
      </c>
      <c r="C58" s="55">
        <v>51.6</v>
      </c>
      <c r="D58" s="55">
        <v>42</v>
      </c>
      <c r="E58" s="90">
        <v>41.3</v>
      </c>
      <c r="F58" s="55">
        <v>49.4</v>
      </c>
      <c r="G58" s="52">
        <v>67</v>
      </c>
      <c r="H58" s="90">
        <v>49.5</v>
      </c>
      <c r="I58" s="90">
        <v>52.5</v>
      </c>
      <c r="J58" s="90">
        <v>44.5</v>
      </c>
      <c r="K58" s="90">
        <v>48.5</v>
      </c>
      <c r="L58" s="54">
        <v>48.2</v>
      </c>
    </row>
    <row r="59" spans="1:12" x14ac:dyDescent="0.2">
      <c r="A59" s="53">
        <v>37226</v>
      </c>
      <c r="B59" s="54">
        <v>49.9</v>
      </c>
      <c r="C59" s="55">
        <v>55.9</v>
      </c>
      <c r="D59" s="55">
        <v>46.5</v>
      </c>
      <c r="E59" s="90">
        <v>42.3</v>
      </c>
      <c r="F59" s="55">
        <v>50.7</v>
      </c>
      <c r="G59" s="52">
        <v>66.5</v>
      </c>
      <c r="H59" s="90">
        <v>48.5</v>
      </c>
      <c r="I59" s="90">
        <v>53.5</v>
      </c>
      <c r="J59" s="90">
        <v>44.6</v>
      </c>
      <c r="K59" s="90">
        <v>55</v>
      </c>
      <c r="L59" s="54">
        <v>49.7</v>
      </c>
    </row>
    <row r="60" spans="1:12" x14ac:dyDescent="0.2">
      <c r="A60" s="53">
        <v>37257</v>
      </c>
      <c r="B60" s="54">
        <v>48.3</v>
      </c>
      <c r="C60" s="55">
        <v>55.3</v>
      </c>
      <c r="D60" s="55">
        <v>45.5</v>
      </c>
      <c r="E60" s="90">
        <v>48.8</v>
      </c>
      <c r="F60" s="55">
        <v>49.8</v>
      </c>
      <c r="G60" s="52">
        <v>64.5</v>
      </c>
      <c r="H60" s="90">
        <v>47.5</v>
      </c>
      <c r="I60" s="90">
        <v>53</v>
      </c>
      <c r="J60" s="90">
        <v>44.3</v>
      </c>
      <c r="K60" s="90">
        <v>56.5</v>
      </c>
      <c r="L60" s="54">
        <v>48.9</v>
      </c>
    </row>
    <row r="61" spans="1:12" x14ac:dyDescent="0.2">
      <c r="A61" s="53">
        <v>37288</v>
      </c>
      <c r="B61" s="54">
        <v>56.3</v>
      </c>
      <c r="C61" s="55">
        <v>54.3</v>
      </c>
      <c r="D61" s="55">
        <v>47.5</v>
      </c>
      <c r="E61" s="90">
        <v>47.6</v>
      </c>
      <c r="F61" s="55">
        <v>57.5</v>
      </c>
      <c r="G61" s="52">
        <v>66.5</v>
      </c>
      <c r="H61" s="90">
        <v>51.5</v>
      </c>
      <c r="I61" s="90">
        <v>53</v>
      </c>
      <c r="J61" s="90">
        <v>43.9</v>
      </c>
      <c r="K61" s="90">
        <v>52.5</v>
      </c>
      <c r="L61" s="54">
        <v>52.7</v>
      </c>
    </row>
    <row r="62" spans="1:12" x14ac:dyDescent="0.2">
      <c r="A62" s="53">
        <v>37316</v>
      </c>
      <c r="B62" s="54">
        <v>56.4</v>
      </c>
      <c r="C62" s="55">
        <v>48.9</v>
      </c>
      <c r="D62" s="55">
        <v>49.5</v>
      </c>
      <c r="E62" s="90">
        <v>49.2</v>
      </c>
      <c r="F62" s="55">
        <v>57.1</v>
      </c>
      <c r="G62" s="52">
        <v>65.5</v>
      </c>
      <c r="H62" s="90">
        <v>50</v>
      </c>
      <c r="I62" s="90">
        <v>52</v>
      </c>
      <c r="J62" s="90">
        <v>45.8</v>
      </c>
      <c r="K62" s="90">
        <v>49.5</v>
      </c>
      <c r="L62" s="54">
        <v>52.8</v>
      </c>
    </row>
    <row r="63" spans="1:12" x14ac:dyDescent="0.2">
      <c r="A63" s="53">
        <v>37347</v>
      </c>
      <c r="B63" s="54">
        <v>58.4</v>
      </c>
      <c r="C63" s="55">
        <v>56.2</v>
      </c>
      <c r="D63" s="55">
        <v>48.5</v>
      </c>
      <c r="E63" s="90">
        <v>53.7</v>
      </c>
      <c r="F63" s="55">
        <v>56.3</v>
      </c>
      <c r="G63" s="52">
        <v>63</v>
      </c>
      <c r="H63" s="90">
        <v>52.5</v>
      </c>
      <c r="I63" s="90">
        <v>51.5</v>
      </c>
      <c r="J63" s="90">
        <v>47.8</v>
      </c>
      <c r="K63" s="90">
        <v>52.5</v>
      </c>
      <c r="L63" s="54">
        <v>53.5</v>
      </c>
    </row>
    <row r="64" spans="1:12" x14ac:dyDescent="0.2">
      <c r="A64" s="53">
        <v>37377</v>
      </c>
      <c r="B64" s="54">
        <v>57.3</v>
      </c>
      <c r="C64" s="55">
        <v>54</v>
      </c>
      <c r="D64" s="55">
        <v>53.5</v>
      </c>
      <c r="E64" s="90">
        <v>55.2</v>
      </c>
      <c r="F64" s="55">
        <v>60.5</v>
      </c>
      <c r="G64" s="52">
        <v>65</v>
      </c>
      <c r="H64" s="90">
        <v>48.5</v>
      </c>
      <c r="I64" s="90">
        <v>52</v>
      </c>
      <c r="J64" s="90">
        <v>49.2</v>
      </c>
      <c r="K64" s="90">
        <v>61.5</v>
      </c>
      <c r="L64" s="54">
        <v>54.8</v>
      </c>
    </row>
    <row r="65" spans="1:12" x14ac:dyDescent="0.2">
      <c r="A65" s="53">
        <v>37408</v>
      </c>
      <c r="B65" s="54">
        <v>56.4</v>
      </c>
      <c r="C65" s="55">
        <v>55.2</v>
      </c>
      <c r="D65" s="55">
        <v>49</v>
      </c>
      <c r="E65" s="90">
        <v>53.1</v>
      </c>
      <c r="F65" s="55">
        <v>56.1</v>
      </c>
      <c r="G65" s="52">
        <v>66</v>
      </c>
      <c r="H65" s="90">
        <v>47.5</v>
      </c>
      <c r="I65" s="90">
        <v>53.5</v>
      </c>
      <c r="J65" s="90">
        <v>44</v>
      </c>
      <c r="K65" s="90">
        <v>57.5</v>
      </c>
      <c r="L65" s="54">
        <v>52.5</v>
      </c>
    </row>
    <row r="66" spans="1:12" x14ac:dyDescent="0.2">
      <c r="A66" s="53">
        <v>37438</v>
      </c>
      <c r="B66" s="54">
        <v>50.7</v>
      </c>
      <c r="C66" s="55">
        <v>52.6</v>
      </c>
      <c r="D66" s="55">
        <v>43.5</v>
      </c>
      <c r="E66" s="90">
        <v>60.5</v>
      </c>
      <c r="F66" s="55">
        <v>52.1</v>
      </c>
      <c r="G66" s="52">
        <v>66</v>
      </c>
      <c r="H66" s="90">
        <v>52</v>
      </c>
      <c r="I66" s="90">
        <v>52.5</v>
      </c>
      <c r="J66" s="90">
        <v>46.1</v>
      </c>
      <c r="K66" s="90">
        <v>59.5</v>
      </c>
      <c r="L66" s="54">
        <v>50.4</v>
      </c>
    </row>
    <row r="67" spans="1:12" x14ac:dyDescent="0.2">
      <c r="A67" s="53">
        <v>37469</v>
      </c>
      <c r="B67" s="54">
        <v>51.6</v>
      </c>
      <c r="C67" s="55">
        <v>48.3</v>
      </c>
      <c r="D67" s="55">
        <v>48</v>
      </c>
      <c r="E67" s="90">
        <v>55.1</v>
      </c>
      <c r="F67" s="55">
        <v>51.9</v>
      </c>
      <c r="G67" s="52">
        <v>62</v>
      </c>
      <c r="H67" s="90">
        <v>46</v>
      </c>
      <c r="I67" s="90">
        <v>53</v>
      </c>
      <c r="J67" s="90">
        <v>47.2</v>
      </c>
      <c r="K67" s="90">
        <v>46</v>
      </c>
      <c r="L67" s="54">
        <v>50.9</v>
      </c>
    </row>
    <row r="68" spans="1:12" x14ac:dyDescent="0.2">
      <c r="A68" s="53">
        <v>37500</v>
      </c>
      <c r="B68" s="54">
        <v>54.8</v>
      </c>
      <c r="C68" s="55">
        <v>44.7</v>
      </c>
      <c r="D68" s="55">
        <v>51</v>
      </c>
      <c r="E68" s="90">
        <v>53.4</v>
      </c>
      <c r="F68" s="55">
        <v>54.9</v>
      </c>
      <c r="G68" s="52">
        <v>66</v>
      </c>
      <c r="H68" s="90">
        <v>44.5</v>
      </c>
      <c r="I68" s="90">
        <v>52.5</v>
      </c>
      <c r="J68" s="90">
        <v>47.1</v>
      </c>
      <c r="K68" s="90">
        <v>57.5</v>
      </c>
      <c r="L68" s="54">
        <v>52.3</v>
      </c>
    </row>
    <row r="69" spans="1:12" x14ac:dyDescent="0.2">
      <c r="A69" s="53">
        <v>37530</v>
      </c>
      <c r="B69" s="54">
        <v>52.3</v>
      </c>
      <c r="C69" s="55">
        <v>54.9</v>
      </c>
      <c r="D69" s="55">
        <v>52</v>
      </c>
      <c r="E69" s="90">
        <v>56.1</v>
      </c>
      <c r="F69" s="55">
        <v>53.1</v>
      </c>
      <c r="G69" s="52">
        <v>64.5</v>
      </c>
      <c r="H69" s="90">
        <v>44</v>
      </c>
      <c r="I69" s="90">
        <v>53.5</v>
      </c>
      <c r="J69" s="90">
        <v>46.6</v>
      </c>
      <c r="K69" s="90">
        <v>49</v>
      </c>
      <c r="L69" s="54">
        <v>51.4</v>
      </c>
    </row>
    <row r="70" spans="1:12" x14ac:dyDescent="0.2">
      <c r="A70" s="53">
        <v>37561</v>
      </c>
      <c r="B70" s="54">
        <v>56.4</v>
      </c>
      <c r="C70" s="55">
        <v>55.1</v>
      </c>
      <c r="D70" s="55">
        <v>50.5</v>
      </c>
      <c r="E70" s="90">
        <v>57.6</v>
      </c>
      <c r="F70" s="55">
        <v>56.8</v>
      </c>
      <c r="G70" s="52">
        <v>61</v>
      </c>
      <c r="H70" s="90">
        <v>44</v>
      </c>
      <c r="I70" s="90">
        <v>52.5</v>
      </c>
      <c r="J70" s="90">
        <v>46</v>
      </c>
      <c r="K70" s="90">
        <v>58.5</v>
      </c>
      <c r="L70" s="54">
        <v>52.9</v>
      </c>
    </row>
    <row r="71" spans="1:12" x14ac:dyDescent="0.2">
      <c r="A71" s="53">
        <v>37591</v>
      </c>
      <c r="B71" s="54">
        <v>54.2</v>
      </c>
      <c r="C71" s="55">
        <v>51.8</v>
      </c>
      <c r="D71" s="55">
        <v>51.5</v>
      </c>
      <c r="E71" s="90">
        <v>56.5</v>
      </c>
      <c r="F71" s="55">
        <v>55.5</v>
      </c>
      <c r="G71" s="52">
        <v>63</v>
      </c>
      <c r="H71" s="90">
        <v>45.5</v>
      </c>
      <c r="I71" s="90">
        <v>52.5</v>
      </c>
      <c r="J71" s="90">
        <v>47</v>
      </c>
      <c r="K71" s="90">
        <v>54</v>
      </c>
      <c r="L71" s="54">
        <v>52.3</v>
      </c>
    </row>
    <row r="72" spans="1:12" x14ac:dyDescent="0.2">
      <c r="A72" s="53">
        <v>37622</v>
      </c>
      <c r="B72" s="54">
        <v>54.4</v>
      </c>
      <c r="C72" s="55">
        <v>56.5</v>
      </c>
      <c r="D72" s="55">
        <v>48</v>
      </c>
      <c r="E72" s="90">
        <v>58</v>
      </c>
      <c r="F72" s="55">
        <v>56.2</v>
      </c>
      <c r="G72" s="52">
        <v>64.5</v>
      </c>
      <c r="H72" s="90">
        <v>46.5</v>
      </c>
      <c r="I72" s="90">
        <v>52</v>
      </c>
      <c r="J72" s="90">
        <v>50.5</v>
      </c>
      <c r="K72" s="90">
        <v>53</v>
      </c>
      <c r="L72" s="54">
        <v>53.3</v>
      </c>
    </row>
    <row r="73" spans="1:12" x14ac:dyDescent="0.2">
      <c r="A73" s="53">
        <v>37653</v>
      </c>
      <c r="B73" s="54">
        <v>53.9</v>
      </c>
      <c r="C73" s="55">
        <v>51.5</v>
      </c>
      <c r="D73" s="55">
        <v>50</v>
      </c>
      <c r="E73" s="90">
        <v>60.5</v>
      </c>
      <c r="F73" s="55">
        <v>55.6</v>
      </c>
      <c r="G73" s="52">
        <v>66.5</v>
      </c>
      <c r="H73" s="90">
        <v>48.5</v>
      </c>
      <c r="I73" s="90">
        <v>52.5</v>
      </c>
      <c r="J73" s="90">
        <v>48.5</v>
      </c>
      <c r="K73" s="90">
        <v>58.5</v>
      </c>
      <c r="L73" s="54">
        <v>52.6</v>
      </c>
    </row>
    <row r="74" spans="1:12" x14ac:dyDescent="0.2">
      <c r="A74" s="53">
        <v>37681</v>
      </c>
      <c r="B74" s="54">
        <v>49.9</v>
      </c>
      <c r="C74" s="55">
        <v>55</v>
      </c>
      <c r="D74" s="55">
        <v>47.5</v>
      </c>
      <c r="E74" s="90">
        <v>59.4</v>
      </c>
      <c r="F74" s="55">
        <v>46.3</v>
      </c>
      <c r="G74" s="52">
        <v>66</v>
      </c>
      <c r="H74" s="90">
        <v>49.5</v>
      </c>
      <c r="I74" s="90">
        <v>52</v>
      </c>
      <c r="J74" s="90">
        <v>48.1</v>
      </c>
      <c r="K74" s="90">
        <v>48.5</v>
      </c>
      <c r="L74" s="54">
        <v>49.1</v>
      </c>
    </row>
    <row r="75" spans="1:12" x14ac:dyDescent="0.2">
      <c r="A75" s="53">
        <v>37712</v>
      </c>
      <c r="B75" s="54">
        <v>50.4</v>
      </c>
      <c r="C75" s="55">
        <v>50</v>
      </c>
      <c r="D75" s="55">
        <v>46</v>
      </c>
      <c r="E75" s="90">
        <v>55.7</v>
      </c>
      <c r="F75" s="55">
        <v>50.7</v>
      </c>
      <c r="G75" s="52">
        <v>62.5</v>
      </c>
      <c r="H75" s="90">
        <v>51</v>
      </c>
      <c r="I75" s="90">
        <v>50.5</v>
      </c>
      <c r="J75" s="90">
        <v>48.7</v>
      </c>
      <c r="K75" s="90">
        <v>52.5</v>
      </c>
      <c r="L75" s="54">
        <v>50.1</v>
      </c>
    </row>
    <row r="76" spans="1:12" x14ac:dyDescent="0.2">
      <c r="A76" s="53">
        <v>37742</v>
      </c>
      <c r="B76" s="54">
        <v>55.9</v>
      </c>
      <c r="C76" s="55">
        <v>58.5</v>
      </c>
      <c r="D76" s="55">
        <v>51</v>
      </c>
      <c r="E76" s="90">
        <v>50</v>
      </c>
      <c r="F76" s="55">
        <v>54.6</v>
      </c>
      <c r="G76" s="52">
        <v>63</v>
      </c>
      <c r="H76" s="90">
        <v>52.5</v>
      </c>
      <c r="I76" s="90">
        <v>52</v>
      </c>
      <c r="J76" s="90">
        <v>48.5</v>
      </c>
      <c r="K76" s="90">
        <v>49</v>
      </c>
      <c r="L76" s="54">
        <v>52.8</v>
      </c>
    </row>
    <row r="77" spans="1:12" x14ac:dyDescent="0.2">
      <c r="A77" s="53">
        <v>37773</v>
      </c>
      <c r="B77" s="54">
        <v>57.1</v>
      </c>
      <c r="C77" s="55">
        <v>50.5</v>
      </c>
      <c r="D77" s="55">
        <v>51.5</v>
      </c>
      <c r="E77" s="90">
        <v>52.3</v>
      </c>
      <c r="F77" s="55">
        <v>59.2</v>
      </c>
      <c r="G77" s="52">
        <v>62</v>
      </c>
      <c r="H77" s="90">
        <v>47</v>
      </c>
      <c r="I77" s="90">
        <v>51.5</v>
      </c>
      <c r="J77" s="90">
        <v>49.3</v>
      </c>
      <c r="K77" s="90">
        <v>49.5</v>
      </c>
      <c r="L77" s="54">
        <v>54.3</v>
      </c>
    </row>
    <row r="78" spans="1:12" x14ac:dyDescent="0.2">
      <c r="A78" s="53">
        <v>37803</v>
      </c>
      <c r="B78" s="54">
        <v>62.3</v>
      </c>
      <c r="C78" s="55">
        <v>54</v>
      </c>
      <c r="D78" s="55">
        <v>54.5</v>
      </c>
      <c r="E78" s="90">
        <v>51.4</v>
      </c>
      <c r="F78" s="55">
        <v>62.7</v>
      </c>
      <c r="G78" s="52">
        <v>60</v>
      </c>
      <c r="H78" s="90">
        <v>49.5</v>
      </c>
      <c r="I78" s="90">
        <v>53.5</v>
      </c>
      <c r="J78" s="90">
        <v>50.5</v>
      </c>
      <c r="K78" s="90">
        <v>47.5</v>
      </c>
      <c r="L78" s="54">
        <v>57.3</v>
      </c>
    </row>
    <row r="79" spans="1:12" x14ac:dyDescent="0.2">
      <c r="A79" s="53">
        <v>37834</v>
      </c>
      <c r="B79" s="54">
        <v>66.900000000000006</v>
      </c>
      <c r="C79" s="55">
        <v>60</v>
      </c>
      <c r="D79" s="55">
        <v>51.5</v>
      </c>
      <c r="E79" s="90">
        <v>56.1</v>
      </c>
      <c r="F79" s="55">
        <v>65.099999999999994</v>
      </c>
      <c r="G79" s="52">
        <v>62</v>
      </c>
      <c r="H79" s="90">
        <v>49</v>
      </c>
      <c r="I79" s="90">
        <v>52.5</v>
      </c>
      <c r="J79" s="90">
        <v>51.7</v>
      </c>
      <c r="K79" s="90">
        <v>58.5</v>
      </c>
      <c r="L79" s="54">
        <v>59.1</v>
      </c>
    </row>
    <row r="80" spans="1:12" x14ac:dyDescent="0.2">
      <c r="A80" s="53">
        <v>37865</v>
      </c>
      <c r="B80" s="54">
        <v>61.4</v>
      </c>
      <c r="C80" s="55">
        <v>55</v>
      </c>
      <c r="D80" s="55">
        <v>57</v>
      </c>
      <c r="E80" s="90">
        <v>59.5</v>
      </c>
      <c r="F80" s="55">
        <v>63.8</v>
      </c>
      <c r="G80" s="52">
        <v>60.5</v>
      </c>
      <c r="H80" s="90">
        <v>47.5</v>
      </c>
      <c r="I80" s="90">
        <v>55</v>
      </c>
      <c r="J80" s="90">
        <v>50.1</v>
      </c>
      <c r="K80" s="90">
        <v>56</v>
      </c>
      <c r="L80" s="54">
        <v>57.6</v>
      </c>
    </row>
    <row r="81" spans="1:12" x14ac:dyDescent="0.2">
      <c r="A81" s="53">
        <v>37895</v>
      </c>
      <c r="B81" s="54">
        <v>64.2</v>
      </c>
      <c r="C81" s="55">
        <v>56</v>
      </c>
      <c r="D81" s="55">
        <v>54</v>
      </c>
      <c r="E81" s="90">
        <v>57.2</v>
      </c>
      <c r="F81" s="55">
        <v>64.400000000000006</v>
      </c>
      <c r="G81" s="52">
        <v>60</v>
      </c>
      <c r="H81" s="90">
        <v>49</v>
      </c>
      <c r="I81" s="90">
        <v>53</v>
      </c>
      <c r="J81" s="90">
        <v>53</v>
      </c>
      <c r="K81" s="90">
        <v>58</v>
      </c>
      <c r="L81" s="54">
        <v>58.7</v>
      </c>
    </row>
    <row r="82" spans="1:12" x14ac:dyDescent="0.2">
      <c r="A82" s="53">
        <v>37926</v>
      </c>
      <c r="B82" s="54">
        <v>61.3</v>
      </c>
      <c r="C82" s="55">
        <v>57.5</v>
      </c>
      <c r="D82" s="55">
        <v>52.5</v>
      </c>
      <c r="E82" s="90">
        <v>58.5</v>
      </c>
      <c r="F82" s="55">
        <v>61.1</v>
      </c>
      <c r="G82" s="52">
        <v>62</v>
      </c>
      <c r="H82" s="90">
        <v>51</v>
      </c>
      <c r="I82" s="90">
        <v>53</v>
      </c>
      <c r="J82" s="90">
        <v>54.4</v>
      </c>
      <c r="K82" s="90">
        <v>54.5</v>
      </c>
      <c r="L82" s="54">
        <v>57.5</v>
      </c>
    </row>
    <row r="83" spans="1:12" x14ac:dyDescent="0.2">
      <c r="A83" s="53">
        <v>37956</v>
      </c>
      <c r="B83" s="54">
        <v>61.2</v>
      </c>
      <c r="C83" s="55">
        <v>57</v>
      </c>
      <c r="D83" s="55">
        <v>55.5</v>
      </c>
      <c r="E83" s="90">
        <v>61.1</v>
      </c>
      <c r="F83" s="55">
        <v>60</v>
      </c>
      <c r="G83" s="52">
        <v>62</v>
      </c>
      <c r="H83" s="90">
        <v>51.5</v>
      </c>
      <c r="I83" s="90">
        <v>52</v>
      </c>
      <c r="J83" s="90">
        <v>54</v>
      </c>
      <c r="K83" s="90">
        <v>57.5</v>
      </c>
      <c r="L83" s="54">
        <v>56.8</v>
      </c>
    </row>
    <row r="84" spans="1:12" x14ac:dyDescent="0.2">
      <c r="A84" s="53">
        <v>37987</v>
      </c>
      <c r="B84" s="54">
        <v>65.400000000000006</v>
      </c>
      <c r="C84" s="55">
        <v>54.5</v>
      </c>
      <c r="D84" s="55">
        <v>53.5</v>
      </c>
      <c r="E84" s="90">
        <v>62.2</v>
      </c>
      <c r="F84" s="55">
        <v>67.7</v>
      </c>
      <c r="G84" s="52">
        <v>59</v>
      </c>
      <c r="H84" s="90">
        <v>49.5</v>
      </c>
      <c r="I84" s="90">
        <v>56.5</v>
      </c>
      <c r="J84" s="90">
        <v>55.143160127252997</v>
      </c>
      <c r="K84" s="90">
        <v>51</v>
      </c>
      <c r="L84" s="54">
        <v>61.2</v>
      </c>
    </row>
    <row r="85" spans="1:12" x14ac:dyDescent="0.2">
      <c r="A85" s="53">
        <v>38018</v>
      </c>
      <c r="B85" s="54">
        <v>61.2</v>
      </c>
      <c r="C85" s="55">
        <v>58.5</v>
      </c>
      <c r="D85" s="55">
        <v>53</v>
      </c>
      <c r="E85" s="90">
        <v>59.5</v>
      </c>
      <c r="F85" s="55">
        <v>62.5</v>
      </c>
      <c r="G85" s="52">
        <v>58</v>
      </c>
      <c r="H85" s="90">
        <v>49</v>
      </c>
      <c r="I85" s="90">
        <v>55.5</v>
      </c>
      <c r="J85" s="90">
        <v>52.904564315352999</v>
      </c>
      <c r="K85" s="90">
        <v>55.5</v>
      </c>
      <c r="L85" s="54">
        <v>58</v>
      </c>
    </row>
    <row r="86" spans="1:12" x14ac:dyDescent="0.2">
      <c r="A86" s="53">
        <v>38047</v>
      </c>
      <c r="B86" s="54">
        <v>62.1</v>
      </c>
      <c r="C86" s="55">
        <v>60.5</v>
      </c>
      <c r="D86" s="55">
        <v>52.5</v>
      </c>
      <c r="E86" s="90">
        <v>65</v>
      </c>
      <c r="F86" s="55">
        <v>62.3</v>
      </c>
      <c r="G86" s="52">
        <v>60.5</v>
      </c>
      <c r="H86" s="90">
        <v>51.5</v>
      </c>
      <c r="I86" s="90">
        <v>55</v>
      </c>
      <c r="J86" s="90">
        <v>53.800592300098998</v>
      </c>
      <c r="K86" s="90">
        <v>51.5</v>
      </c>
      <c r="L86" s="54">
        <v>58.3</v>
      </c>
    </row>
    <row r="87" spans="1:12" x14ac:dyDescent="0.2">
      <c r="A87" s="53">
        <v>38078</v>
      </c>
      <c r="B87" s="54">
        <v>61.6</v>
      </c>
      <c r="C87" s="55">
        <v>60.5</v>
      </c>
      <c r="D87" s="55">
        <v>53.5</v>
      </c>
      <c r="E87" s="90">
        <v>68.599999999999994</v>
      </c>
      <c r="F87" s="55">
        <v>64</v>
      </c>
      <c r="G87" s="52">
        <v>58</v>
      </c>
      <c r="H87" s="90">
        <v>56.5</v>
      </c>
      <c r="I87" s="90">
        <v>58</v>
      </c>
      <c r="J87" s="90">
        <v>54.6875</v>
      </c>
      <c r="K87" s="90">
        <v>62</v>
      </c>
      <c r="L87" s="54">
        <v>59.6</v>
      </c>
    </row>
    <row r="88" spans="1:12" x14ac:dyDescent="0.2">
      <c r="A88" s="53">
        <v>38108</v>
      </c>
      <c r="B88" s="54">
        <v>60.7</v>
      </c>
      <c r="C88" s="55">
        <v>59.5</v>
      </c>
      <c r="D88" s="55">
        <v>56.5</v>
      </c>
      <c r="E88" s="90">
        <v>71</v>
      </c>
      <c r="F88" s="55">
        <v>62.6</v>
      </c>
      <c r="G88" s="52">
        <v>60</v>
      </c>
      <c r="H88" s="90">
        <v>54</v>
      </c>
      <c r="I88" s="90">
        <v>56</v>
      </c>
      <c r="J88" s="90">
        <v>54.545454545455001</v>
      </c>
      <c r="K88" s="90">
        <v>52</v>
      </c>
      <c r="L88" s="54">
        <v>58.5</v>
      </c>
    </row>
    <row r="89" spans="1:12" x14ac:dyDescent="0.2">
      <c r="A89" s="53">
        <v>38139</v>
      </c>
      <c r="B89" s="54">
        <v>62.1</v>
      </c>
      <c r="C89" s="55">
        <v>56.5</v>
      </c>
      <c r="D89" s="55">
        <v>55.5</v>
      </c>
      <c r="E89" s="90">
        <v>74.2</v>
      </c>
      <c r="F89" s="55">
        <v>59.2</v>
      </c>
      <c r="G89" s="52">
        <v>60.5</v>
      </c>
      <c r="H89" s="90">
        <v>57.5</v>
      </c>
      <c r="I89" s="90">
        <v>57.5</v>
      </c>
      <c r="J89" s="90">
        <v>55.555555555555998</v>
      </c>
      <c r="K89" s="90">
        <v>59.5</v>
      </c>
      <c r="L89" s="54">
        <v>58.6</v>
      </c>
    </row>
    <row r="90" spans="1:12" x14ac:dyDescent="0.2">
      <c r="A90" s="53">
        <v>38169</v>
      </c>
      <c r="B90" s="54">
        <v>63.2</v>
      </c>
      <c r="C90" s="55">
        <v>60.5</v>
      </c>
      <c r="D90" s="55">
        <v>55</v>
      </c>
      <c r="E90" s="90">
        <v>71.900000000000006</v>
      </c>
      <c r="F90" s="55">
        <v>63.2</v>
      </c>
      <c r="G90" s="52">
        <v>64</v>
      </c>
      <c r="H90" s="90">
        <v>54</v>
      </c>
      <c r="I90" s="90">
        <v>58</v>
      </c>
      <c r="J90" s="90">
        <v>49.665711556829002</v>
      </c>
      <c r="K90" s="90">
        <v>55.5</v>
      </c>
      <c r="L90" s="54">
        <v>58.5</v>
      </c>
    </row>
    <row r="91" spans="1:12" x14ac:dyDescent="0.2">
      <c r="A91" s="53">
        <v>38200</v>
      </c>
      <c r="B91" s="54">
        <v>59</v>
      </c>
      <c r="C91" s="55">
        <v>63.5</v>
      </c>
      <c r="D91" s="55">
        <v>53</v>
      </c>
      <c r="E91" s="90">
        <v>70.900000000000006</v>
      </c>
      <c r="F91" s="55">
        <v>59.7</v>
      </c>
      <c r="G91" s="52">
        <v>62.5</v>
      </c>
      <c r="H91" s="90">
        <v>53</v>
      </c>
      <c r="I91" s="90">
        <v>57</v>
      </c>
      <c r="J91" s="90">
        <v>53.516819571865</v>
      </c>
      <c r="K91" s="90">
        <v>55</v>
      </c>
      <c r="L91" s="54">
        <v>57.3</v>
      </c>
    </row>
    <row r="92" spans="1:12" x14ac:dyDescent="0.2">
      <c r="A92" s="53">
        <v>38231</v>
      </c>
      <c r="B92" s="54">
        <v>60.6</v>
      </c>
      <c r="C92" s="55">
        <v>56</v>
      </c>
      <c r="D92" s="55">
        <v>52.5</v>
      </c>
      <c r="E92" s="90">
        <v>67</v>
      </c>
      <c r="F92" s="55">
        <v>60</v>
      </c>
      <c r="G92" s="52">
        <v>61.5</v>
      </c>
      <c r="H92" s="90">
        <v>51.5</v>
      </c>
      <c r="I92" s="90">
        <v>55.5</v>
      </c>
      <c r="J92" s="90">
        <v>55.325749741468002</v>
      </c>
      <c r="K92" s="90">
        <v>55.5</v>
      </c>
      <c r="L92" s="54">
        <v>57.9</v>
      </c>
    </row>
    <row r="93" spans="1:12" x14ac:dyDescent="0.2">
      <c r="A93" s="53">
        <v>38261</v>
      </c>
      <c r="B93" s="54">
        <v>61.7</v>
      </c>
      <c r="C93" s="55">
        <v>57.5</v>
      </c>
      <c r="D93" s="55">
        <v>52.5</v>
      </c>
      <c r="E93" s="90">
        <v>72.8</v>
      </c>
      <c r="F93" s="55">
        <v>61</v>
      </c>
      <c r="G93" s="52">
        <v>60.5</v>
      </c>
      <c r="H93" s="90">
        <v>50</v>
      </c>
      <c r="I93" s="90">
        <v>56</v>
      </c>
      <c r="J93" s="90">
        <v>56.476683937823999</v>
      </c>
      <c r="K93" s="90">
        <v>55</v>
      </c>
      <c r="L93" s="54">
        <v>58.8</v>
      </c>
    </row>
    <row r="94" spans="1:12" x14ac:dyDescent="0.2">
      <c r="A94" s="53">
        <v>38292</v>
      </c>
      <c r="B94" s="54">
        <v>61.1</v>
      </c>
      <c r="C94" s="55">
        <v>62</v>
      </c>
      <c r="D94" s="55">
        <v>54</v>
      </c>
      <c r="E94" s="90">
        <v>70.599999999999994</v>
      </c>
      <c r="F94" s="55">
        <v>62.8</v>
      </c>
      <c r="G94" s="52">
        <v>61.5</v>
      </c>
      <c r="H94" s="90">
        <v>52.5</v>
      </c>
      <c r="I94" s="90">
        <v>55</v>
      </c>
      <c r="J94" s="90">
        <v>54.835493519441997</v>
      </c>
      <c r="K94" s="90">
        <v>53.5</v>
      </c>
      <c r="L94" s="54">
        <v>58.4</v>
      </c>
    </row>
    <row r="95" spans="1:12" x14ac:dyDescent="0.2">
      <c r="A95" s="53">
        <v>38322</v>
      </c>
      <c r="B95" s="54">
        <v>63.2</v>
      </c>
      <c r="C95" s="55">
        <v>61</v>
      </c>
      <c r="D95" s="55">
        <v>56.5</v>
      </c>
      <c r="E95" s="90">
        <v>71.3</v>
      </c>
      <c r="F95" s="55">
        <v>65</v>
      </c>
      <c r="G95" s="52">
        <v>64</v>
      </c>
      <c r="H95" s="90">
        <v>56</v>
      </c>
      <c r="I95" s="90">
        <v>55.5</v>
      </c>
      <c r="J95" s="90">
        <v>54.711246200608002</v>
      </c>
      <c r="K95" s="90">
        <v>55.5</v>
      </c>
      <c r="L95" s="54">
        <v>59.6</v>
      </c>
    </row>
    <row r="96" spans="1:12" x14ac:dyDescent="0.2">
      <c r="A96" s="53">
        <v>38353</v>
      </c>
      <c r="B96" s="54">
        <v>62.4</v>
      </c>
      <c r="C96" s="55">
        <v>53</v>
      </c>
      <c r="D96" s="55">
        <v>48</v>
      </c>
      <c r="E96" s="90">
        <v>69.099999999999994</v>
      </c>
      <c r="F96" s="55">
        <v>62.5</v>
      </c>
      <c r="G96" s="52">
        <v>64.5</v>
      </c>
      <c r="H96" s="90">
        <v>49.5</v>
      </c>
      <c r="I96" s="90">
        <v>52.5</v>
      </c>
      <c r="J96" s="90">
        <v>54.6</v>
      </c>
      <c r="K96" s="90">
        <v>52.5</v>
      </c>
      <c r="L96" s="54">
        <v>58</v>
      </c>
    </row>
    <row r="97" spans="1:12" x14ac:dyDescent="0.2">
      <c r="A97" s="53">
        <v>38384</v>
      </c>
      <c r="B97" s="54">
        <v>63.3</v>
      </c>
      <c r="C97" s="55">
        <v>57.5</v>
      </c>
      <c r="D97" s="55">
        <v>51.5</v>
      </c>
      <c r="E97" s="90">
        <v>69.7</v>
      </c>
      <c r="F97" s="55">
        <v>61.9</v>
      </c>
      <c r="G97" s="52">
        <v>64.5</v>
      </c>
      <c r="H97" s="90">
        <v>52</v>
      </c>
      <c r="I97" s="90">
        <v>52.5</v>
      </c>
      <c r="J97" s="90">
        <v>59.7</v>
      </c>
      <c r="K97" s="90">
        <v>56</v>
      </c>
      <c r="L97" s="54">
        <v>59.4</v>
      </c>
    </row>
    <row r="98" spans="1:12" x14ac:dyDescent="0.2">
      <c r="A98" s="53">
        <v>38412</v>
      </c>
      <c r="B98" s="54">
        <v>60.5</v>
      </c>
      <c r="C98" s="55">
        <v>59</v>
      </c>
      <c r="D98" s="55">
        <v>56.5</v>
      </c>
      <c r="E98" s="90">
        <v>65.599999999999994</v>
      </c>
      <c r="F98" s="55">
        <v>61.3</v>
      </c>
      <c r="G98" s="52">
        <v>64.5</v>
      </c>
      <c r="H98" s="90">
        <v>52.5</v>
      </c>
      <c r="I98" s="90">
        <v>53</v>
      </c>
      <c r="J98" s="90">
        <v>57.2</v>
      </c>
      <c r="K98" s="90">
        <v>51.5</v>
      </c>
      <c r="L98" s="54">
        <v>58</v>
      </c>
    </row>
    <row r="99" spans="1:12" x14ac:dyDescent="0.2">
      <c r="A99" s="53">
        <v>38443</v>
      </c>
      <c r="B99" s="54">
        <v>57.5</v>
      </c>
      <c r="C99" s="55">
        <v>58.5</v>
      </c>
      <c r="D99" s="55">
        <v>54</v>
      </c>
      <c r="E99" s="90">
        <v>62.4</v>
      </c>
      <c r="F99" s="55">
        <v>58.6</v>
      </c>
      <c r="G99" s="52">
        <v>60.5</v>
      </c>
      <c r="H99" s="90">
        <v>54.5</v>
      </c>
      <c r="I99" s="90">
        <v>53</v>
      </c>
      <c r="J99" s="90">
        <v>53.3</v>
      </c>
      <c r="K99" s="90">
        <v>52.5</v>
      </c>
      <c r="L99" s="54">
        <v>55.6</v>
      </c>
    </row>
    <row r="100" spans="1:12" x14ac:dyDescent="0.2">
      <c r="A100" s="53">
        <v>38473</v>
      </c>
      <c r="B100" s="54">
        <v>58.2</v>
      </c>
      <c r="C100" s="55">
        <v>57.5</v>
      </c>
      <c r="D100" s="55">
        <v>56.5</v>
      </c>
      <c r="E100" s="90">
        <v>57.6</v>
      </c>
      <c r="F100" s="55">
        <v>57.5</v>
      </c>
      <c r="G100" s="52">
        <v>63</v>
      </c>
      <c r="H100" s="90">
        <v>51.5</v>
      </c>
      <c r="I100" s="90">
        <v>53.5</v>
      </c>
      <c r="J100" s="90">
        <v>51.8</v>
      </c>
      <c r="K100" s="90">
        <v>62</v>
      </c>
      <c r="L100" s="54">
        <v>55.3</v>
      </c>
    </row>
    <row r="101" spans="1:12" x14ac:dyDescent="0.2">
      <c r="A101" s="53">
        <v>38504</v>
      </c>
      <c r="B101" s="54">
        <v>59.2</v>
      </c>
      <c r="C101" s="55">
        <v>58.5</v>
      </c>
      <c r="D101" s="55">
        <v>52.5</v>
      </c>
      <c r="E101" s="90">
        <v>58.4</v>
      </c>
      <c r="F101" s="55">
        <v>60.7</v>
      </c>
      <c r="G101" s="52">
        <v>64.5</v>
      </c>
      <c r="H101" s="90">
        <v>52</v>
      </c>
      <c r="I101" s="90">
        <v>56.5</v>
      </c>
      <c r="J101" s="90">
        <v>55.8</v>
      </c>
      <c r="K101" s="90">
        <v>50</v>
      </c>
      <c r="L101" s="54">
        <v>58.1</v>
      </c>
    </row>
    <row r="102" spans="1:12" x14ac:dyDescent="0.2">
      <c r="A102" s="53">
        <v>38534</v>
      </c>
      <c r="B102" s="54">
        <v>64.400000000000006</v>
      </c>
      <c r="C102" s="55">
        <v>62</v>
      </c>
      <c r="D102" s="55">
        <v>53.5</v>
      </c>
      <c r="E102" s="90">
        <v>65.8</v>
      </c>
      <c r="F102" s="55">
        <v>61.3</v>
      </c>
      <c r="G102" s="52">
        <v>64</v>
      </c>
      <c r="H102" s="90">
        <v>52.5</v>
      </c>
      <c r="I102" s="90">
        <v>57</v>
      </c>
      <c r="J102" s="90">
        <v>55.1</v>
      </c>
      <c r="K102" s="90">
        <v>53.5</v>
      </c>
      <c r="L102" s="54">
        <v>59.5</v>
      </c>
    </row>
    <row r="103" spans="1:12" x14ac:dyDescent="0.2">
      <c r="A103" s="53">
        <v>38565</v>
      </c>
      <c r="B103" s="54">
        <v>65.3</v>
      </c>
      <c r="C103" s="55">
        <v>61.5</v>
      </c>
      <c r="D103" s="55">
        <v>52</v>
      </c>
      <c r="E103" s="90">
        <v>66.099999999999994</v>
      </c>
      <c r="F103" s="55">
        <v>64.8</v>
      </c>
      <c r="G103" s="52">
        <v>67</v>
      </c>
      <c r="H103" s="90">
        <v>53.5</v>
      </c>
      <c r="I103" s="90">
        <v>55</v>
      </c>
      <c r="J103" s="90">
        <v>60.2</v>
      </c>
      <c r="K103" s="90">
        <v>63.5</v>
      </c>
      <c r="L103" s="54">
        <v>61.3</v>
      </c>
    </row>
    <row r="104" spans="1:12" x14ac:dyDescent="0.2">
      <c r="A104" s="53">
        <v>38596</v>
      </c>
      <c r="B104" s="54">
        <v>56.2</v>
      </c>
      <c r="C104" s="55">
        <v>58.5</v>
      </c>
      <c r="D104" s="55">
        <v>52</v>
      </c>
      <c r="E104" s="90">
        <v>83.5</v>
      </c>
      <c r="F104" s="55">
        <v>55.2</v>
      </c>
      <c r="G104" s="52">
        <v>64</v>
      </c>
      <c r="H104" s="90">
        <v>50</v>
      </c>
      <c r="I104" s="90">
        <v>56</v>
      </c>
      <c r="J104" s="90">
        <v>55.4</v>
      </c>
      <c r="K104" s="90">
        <v>55</v>
      </c>
      <c r="L104" s="54">
        <v>55.7</v>
      </c>
    </row>
    <row r="105" spans="1:12" x14ac:dyDescent="0.2">
      <c r="A105" s="53">
        <v>38626</v>
      </c>
      <c r="B105" s="54">
        <v>57.5</v>
      </c>
      <c r="C105" s="55">
        <v>53.5</v>
      </c>
      <c r="D105" s="55">
        <v>55</v>
      </c>
      <c r="E105" s="90">
        <v>79.2</v>
      </c>
      <c r="F105" s="55">
        <v>59.2</v>
      </c>
      <c r="G105" s="52">
        <v>55</v>
      </c>
      <c r="H105" s="90">
        <v>50</v>
      </c>
      <c r="I105" s="90">
        <v>58.5</v>
      </c>
      <c r="J105" s="90">
        <v>54.2</v>
      </c>
      <c r="K105" s="90">
        <v>54.5</v>
      </c>
      <c r="L105" s="54">
        <v>57.4</v>
      </c>
    </row>
    <row r="106" spans="1:12" x14ac:dyDescent="0.2">
      <c r="A106" s="53">
        <v>38657</v>
      </c>
      <c r="B106" s="54">
        <v>59.6</v>
      </c>
      <c r="C106" s="55">
        <v>56.5</v>
      </c>
      <c r="D106" s="55">
        <v>54</v>
      </c>
      <c r="E106" s="90">
        <v>72.599999999999994</v>
      </c>
      <c r="F106" s="55">
        <v>59.2</v>
      </c>
      <c r="G106" s="52">
        <v>60</v>
      </c>
      <c r="H106" s="90">
        <v>54</v>
      </c>
      <c r="I106" s="90">
        <v>60.5</v>
      </c>
      <c r="J106" s="90">
        <v>56.9</v>
      </c>
      <c r="K106" s="90">
        <v>57</v>
      </c>
      <c r="L106" s="54">
        <v>59.1</v>
      </c>
    </row>
    <row r="107" spans="1:12" x14ac:dyDescent="0.2">
      <c r="A107" s="53">
        <v>38687</v>
      </c>
      <c r="B107" s="54">
        <v>62.8</v>
      </c>
      <c r="C107" s="55">
        <v>56.5</v>
      </c>
      <c r="D107" s="55">
        <v>54</v>
      </c>
      <c r="E107" s="90">
        <v>68.900000000000006</v>
      </c>
      <c r="F107" s="55">
        <v>60.1</v>
      </c>
      <c r="G107" s="52">
        <v>59</v>
      </c>
      <c r="H107" s="90">
        <v>56</v>
      </c>
      <c r="I107" s="90">
        <v>56.5</v>
      </c>
      <c r="J107" s="90">
        <v>56.4</v>
      </c>
      <c r="K107" s="90">
        <v>61.5</v>
      </c>
      <c r="L107" s="54">
        <v>59</v>
      </c>
    </row>
    <row r="108" spans="1:12" x14ac:dyDescent="0.2">
      <c r="A108" s="53">
        <v>38718</v>
      </c>
      <c r="B108" s="54">
        <v>57.4</v>
      </c>
      <c r="C108" s="55">
        <v>49.5</v>
      </c>
      <c r="D108" s="55">
        <v>52.5</v>
      </c>
      <c r="E108" s="90">
        <v>69.900000000000006</v>
      </c>
      <c r="F108" s="55">
        <v>58.6</v>
      </c>
      <c r="G108" s="52">
        <v>63</v>
      </c>
      <c r="H108" s="90">
        <v>55</v>
      </c>
      <c r="I108" s="90">
        <v>54.5</v>
      </c>
      <c r="J108" s="90">
        <v>54.5</v>
      </c>
      <c r="K108" s="90">
        <v>58</v>
      </c>
      <c r="L108" s="54">
        <v>56.3</v>
      </c>
    </row>
    <row r="109" spans="1:12" x14ac:dyDescent="0.2">
      <c r="A109" s="53">
        <v>38749</v>
      </c>
      <c r="B109" s="54">
        <v>57.8</v>
      </c>
      <c r="C109" s="55">
        <v>55</v>
      </c>
      <c r="D109" s="55">
        <v>54</v>
      </c>
      <c r="E109" s="90">
        <v>67.8</v>
      </c>
      <c r="F109" s="55">
        <v>61.8</v>
      </c>
      <c r="G109" s="52">
        <v>63.5</v>
      </c>
      <c r="H109" s="90">
        <v>53</v>
      </c>
      <c r="I109" s="90">
        <v>52.5</v>
      </c>
      <c r="J109" s="90">
        <v>58.1</v>
      </c>
      <c r="K109" s="90">
        <v>60</v>
      </c>
      <c r="L109" s="54">
        <v>57.6</v>
      </c>
    </row>
    <row r="110" spans="1:12" x14ac:dyDescent="0.2">
      <c r="A110" s="53">
        <v>38777</v>
      </c>
      <c r="B110" s="54">
        <v>58.6</v>
      </c>
      <c r="C110" s="55">
        <v>60.5</v>
      </c>
      <c r="D110" s="55">
        <v>50.5</v>
      </c>
      <c r="E110" s="90">
        <v>60.1</v>
      </c>
      <c r="F110" s="55">
        <v>60</v>
      </c>
      <c r="G110" s="52">
        <v>63</v>
      </c>
      <c r="H110" s="90">
        <v>54</v>
      </c>
      <c r="I110" s="90">
        <v>54</v>
      </c>
      <c r="J110" s="90">
        <v>55.1</v>
      </c>
      <c r="K110" s="90">
        <v>63.5</v>
      </c>
      <c r="L110" s="54">
        <v>56.9</v>
      </c>
    </row>
    <row r="111" spans="1:12" x14ac:dyDescent="0.2">
      <c r="A111" s="53">
        <v>38808</v>
      </c>
      <c r="B111" s="54">
        <v>61.1</v>
      </c>
      <c r="C111" s="55">
        <v>57</v>
      </c>
      <c r="D111" s="55">
        <v>54</v>
      </c>
      <c r="E111" s="90">
        <v>68.5</v>
      </c>
      <c r="F111" s="55">
        <v>61.3</v>
      </c>
      <c r="G111" s="52">
        <v>60</v>
      </c>
      <c r="H111" s="90">
        <v>59</v>
      </c>
      <c r="I111" s="90">
        <v>54.5</v>
      </c>
      <c r="J111" s="90">
        <v>56.5</v>
      </c>
      <c r="K111" s="90">
        <v>59.5</v>
      </c>
      <c r="L111" s="54">
        <v>58.4</v>
      </c>
    </row>
    <row r="112" spans="1:12" x14ac:dyDescent="0.2">
      <c r="A112" s="53">
        <v>38838</v>
      </c>
      <c r="B112" s="54">
        <v>58.6</v>
      </c>
      <c r="C112" s="55">
        <v>58.5</v>
      </c>
      <c r="D112" s="55">
        <v>52</v>
      </c>
      <c r="E112" s="90">
        <v>70.5</v>
      </c>
      <c r="F112" s="55">
        <v>58.1</v>
      </c>
      <c r="G112" s="52">
        <v>59</v>
      </c>
      <c r="H112" s="90">
        <v>59</v>
      </c>
      <c r="I112" s="90">
        <v>56.5</v>
      </c>
      <c r="J112" s="90">
        <v>54.6</v>
      </c>
      <c r="K112" s="90">
        <v>64</v>
      </c>
      <c r="L112" s="54">
        <v>57</v>
      </c>
    </row>
    <row r="113" spans="1:12" x14ac:dyDescent="0.2">
      <c r="A113" s="53">
        <v>38869</v>
      </c>
      <c r="B113" s="54">
        <v>57</v>
      </c>
      <c r="C113" s="55">
        <v>55.5</v>
      </c>
      <c r="D113" s="55">
        <v>55</v>
      </c>
      <c r="E113" s="90">
        <v>69</v>
      </c>
      <c r="F113" s="55">
        <v>56.4</v>
      </c>
      <c r="G113" s="52">
        <v>63</v>
      </c>
      <c r="H113" s="90">
        <v>51.5</v>
      </c>
      <c r="I113" s="90">
        <v>56</v>
      </c>
      <c r="J113" s="90">
        <v>51.2</v>
      </c>
      <c r="K113" s="90">
        <v>54.5</v>
      </c>
      <c r="L113" s="54">
        <v>55.2</v>
      </c>
    </row>
    <row r="114" spans="1:12" x14ac:dyDescent="0.2">
      <c r="A114" s="53">
        <v>38899</v>
      </c>
      <c r="B114" s="54">
        <v>58.1</v>
      </c>
      <c r="C114" s="55">
        <v>60.5</v>
      </c>
      <c r="D114" s="55">
        <v>56</v>
      </c>
      <c r="E114" s="90">
        <v>70.599999999999994</v>
      </c>
      <c r="F114" s="55">
        <v>56.3</v>
      </c>
      <c r="G114" s="52">
        <v>60</v>
      </c>
      <c r="H114" s="90">
        <v>53</v>
      </c>
      <c r="I114" s="90">
        <v>54.5</v>
      </c>
      <c r="J114" s="90">
        <v>53.6</v>
      </c>
      <c r="K114" s="90">
        <v>56</v>
      </c>
      <c r="L114" s="54">
        <v>55.6</v>
      </c>
    </row>
    <row r="115" spans="1:12" x14ac:dyDescent="0.2">
      <c r="A115" s="53">
        <v>38930</v>
      </c>
      <c r="B115" s="54">
        <v>53.1</v>
      </c>
      <c r="C115" s="55">
        <v>60</v>
      </c>
      <c r="D115" s="55">
        <v>49.5</v>
      </c>
      <c r="E115" s="90">
        <v>72.2</v>
      </c>
      <c r="F115" s="55">
        <v>56.7</v>
      </c>
      <c r="G115" s="52">
        <v>59</v>
      </c>
      <c r="H115" s="90">
        <v>51.5</v>
      </c>
      <c r="I115" s="90">
        <v>53.5</v>
      </c>
      <c r="J115" s="90">
        <v>52.2</v>
      </c>
      <c r="K115" s="90">
        <v>53</v>
      </c>
      <c r="L115" s="54">
        <v>53.9</v>
      </c>
    </row>
    <row r="116" spans="1:12" x14ac:dyDescent="0.2">
      <c r="A116" s="53">
        <v>38961</v>
      </c>
      <c r="B116" s="54">
        <v>56.5</v>
      </c>
      <c r="C116" s="55">
        <v>55</v>
      </c>
      <c r="D116" s="55">
        <v>53</v>
      </c>
      <c r="E116" s="90">
        <v>60.6</v>
      </c>
      <c r="F116" s="55">
        <v>54.4</v>
      </c>
      <c r="G116" s="52">
        <v>63.5</v>
      </c>
      <c r="H116" s="90">
        <v>50.5</v>
      </c>
      <c r="I116" s="90">
        <v>54</v>
      </c>
      <c r="J116" s="90">
        <v>52.9</v>
      </c>
      <c r="K116" s="90">
        <v>59</v>
      </c>
      <c r="L116" s="54">
        <v>54.5</v>
      </c>
    </row>
    <row r="117" spans="1:12" x14ac:dyDescent="0.2">
      <c r="A117" s="53">
        <v>38991</v>
      </c>
      <c r="B117" s="54">
        <v>55.3</v>
      </c>
      <c r="C117" s="55">
        <v>57.5</v>
      </c>
      <c r="D117" s="55">
        <v>51.5</v>
      </c>
      <c r="E117" s="90">
        <v>56.5</v>
      </c>
      <c r="F117" s="55">
        <v>56.9</v>
      </c>
      <c r="G117" s="52">
        <v>64.5</v>
      </c>
      <c r="H117" s="90">
        <v>53</v>
      </c>
      <c r="I117" s="90">
        <v>54.5</v>
      </c>
      <c r="J117" s="90">
        <v>52.9</v>
      </c>
      <c r="K117" s="90">
        <v>63.5</v>
      </c>
      <c r="L117" s="54">
        <v>54.9</v>
      </c>
    </row>
    <row r="118" spans="1:12" x14ac:dyDescent="0.2">
      <c r="A118" s="53">
        <v>39022</v>
      </c>
      <c r="B118" s="54">
        <v>56.7</v>
      </c>
      <c r="C118" s="55">
        <v>59.5</v>
      </c>
      <c r="D118" s="55">
        <v>54.5</v>
      </c>
      <c r="E118" s="90">
        <v>56.7</v>
      </c>
      <c r="F118" s="55">
        <v>59.2</v>
      </c>
      <c r="G118" s="52">
        <v>57</v>
      </c>
      <c r="H118" s="90">
        <v>51.5</v>
      </c>
      <c r="I118" s="90">
        <v>50</v>
      </c>
      <c r="J118" s="90">
        <v>52.2</v>
      </c>
      <c r="K118" s="90">
        <v>58.5</v>
      </c>
      <c r="L118" s="54">
        <v>54.5</v>
      </c>
    </row>
    <row r="119" spans="1:12" x14ac:dyDescent="0.2">
      <c r="A119" s="53">
        <v>39052</v>
      </c>
      <c r="B119" s="54">
        <v>54.8</v>
      </c>
      <c r="C119" s="55">
        <v>62</v>
      </c>
      <c r="D119" s="55">
        <v>48</v>
      </c>
      <c r="E119" s="90">
        <v>60.5</v>
      </c>
      <c r="F119" s="55">
        <v>56.1</v>
      </c>
      <c r="G119" s="52">
        <v>63.5</v>
      </c>
      <c r="H119" s="90">
        <v>53.5</v>
      </c>
      <c r="I119" s="90">
        <v>51</v>
      </c>
      <c r="J119" s="90">
        <v>52.7</v>
      </c>
      <c r="K119" s="90">
        <v>61.5</v>
      </c>
      <c r="L119" s="54">
        <v>53.7</v>
      </c>
    </row>
    <row r="120" spans="1:12" x14ac:dyDescent="0.2">
      <c r="A120" s="53">
        <v>39083</v>
      </c>
      <c r="B120" s="54">
        <v>55.6</v>
      </c>
      <c r="C120" s="55">
        <v>52</v>
      </c>
      <c r="D120" s="55">
        <v>49</v>
      </c>
      <c r="E120" s="90">
        <v>57.5</v>
      </c>
      <c r="F120" s="55">
        <v>58.3</v>
      </c>
      <c r="G120" s="52">
        <v>65.5</v>
      </c>
      <c r="H120" s="90">
        <v>47</v>
      </c>
      <c r="I120" s="90">
        <v>53.5</v>
      </c>
      <c r="J120" s="90">
        <v>54.8</v>
      </c>
      <c r="K120" s="90">
        <v>55</v>
      </c>
      <c r="L120" s="54">
        <v>55.4</v>
      </c>
    </row>
    <row r="121" spans="1:12" x14ac:dyDescent="0.2">
      <c r="A121" s="53">
        <v>39114</v>
      </c>
      <c r="B121" s="54">
        <v>55.7</v>
      </c>
      <c r="C121" s="55">
        <v>54</v>
      </c>
      <c r="D121" s="55">
        <v>47</v>
      </c>
      <c r="E121" s="90">
        <v>57</v>
      </c>
      <c r="F121" s="55">
        <v>56</v>
      </c>
      <c r="G121" s="52">
        <v>61.5</v>
      </c>
      <c r="H121" s="90">
        <v>50.5</v>
      </c>
      <c r="I121" s="90">
        <v>52.5</v>
      </c>
      <c r="J121" s="90">
        <v>52.7</v>
      </c>
      <c r="K121" s="90">
        <v>59</v>
      </c>
      <c r="L121" s="54">
        <v>54.2</v>
      </c>
    </row>
    <row r="122" spans="1:12" x14ac:dyDescent="0.2">
      <c r="A122" s="53">
        <v>39142</v>
      </c>
      <c r="B122" s="54">
        <v>53.2</v>
      </c>
      <c r="C122" s="55">
        <v>50</v>
      </c>
      <c r="D122" s="55">
        <v>52.5</v>
      </c>
      <c r="E122" s="90">
        <v>64.2</v>
      </c>
      <c r="F122" s="55">
        <v>52.8</v>
      </c>
      <c r="G122" s="52">
        <v>63</v>
      </c>
      <c r="H122" s="90">
        <v>52</v>
      </c>
      <c r="I122" s="90">
        <v>50</v>
      </c>
      <c r="J122" s="90">
        <v>51.9</v>
      </c>
      <c r="K122" s="90">
        <v>48.5</v>
      </c>
      <c r="L122" s="54">
        <v>52.1</v>
      </c>
    </row>
    <row r="123" spans="1:12" x14ac:dyDescent="0.2">
      <c r="A123" s="53">
        <v>39173</v>
      </c>
      <c r="B123" s="54">
        <v>54.9</v>
      </c>
      <c r="C123" s="55">
        <v>52.5</v>
      </c>
      <c r="D123" s="55">
        <v>50</v>
      </c>
      <c r="E123" s="90">
        <v>63.2</v>
      </c>
      <c r="F123" s="55">
        <v>56.1</v>
      </c>
      <c r="G123" s="52">
        <v>60.5</v>
      </c>
      <c r="H123" s="90">
        <v>52</v>
      </c>
      <c r="I123" s="90">
        <v>51</v>
      </c>
      <c r="J123" s="90">
        <v>51.1</v>
      </c>
      <c r="K123" s="90">
        <v>55.5</v>
      </c>
      <c r="L123" s="54">
        <v>53.4</v>
      </c>
    </row>
    <row r="124" spans="1:12" x14ac:dyDescent="0.2">
      <c r="A124" s="53">
        <v>39203</v>
      </c>
      <c r="B124" s="54">
        <v>57.1</v>
      </c>
      <c r="C124" s="55">
        <v>55.5</v>
      </c>
      <c r="D124" s="55">
        <v>48</v>
      </c>
      <c r="E124" s="90">
        <v>62.8</v>
      </c>
      <c r="F124" s="55">
        <v>58.1</v>
      </c>
      <c r="G124" s="52">
        <v>61</v>
      </c>
      <c r="H124" s="90">
        <v>61</v>
      </c>
      <c r="I124" s="90">
        <v>49.5</v>
      </c>
      <c r="J124" s="90">
        <v>52.2</v>
      </c>
      <c r="K124" s="90">
        <v>66</v>
      </c>
      <c r="L124" s="54">
        <v>54.3</v>
      </c>
    </row>
    <row r="125" spans="1:12" x14ac:dyDescent="0.2">
      <c r="A125" s="53">
        <v>39234</v>
      </c>
      <c r="B125" s="54">
        <v>57.2</v>
      </c>
      <c r="C125" s="55">
        <v>57.5</v>
      </c>
      <c r="D125" s="55">
        <v>46.5</v>
      </c>
      <c r="E125" s="90">
        <v>61.6</v>
      </c>
      <c r="F125" s="55">
        <v>60.1</v>
      </c>
      <c r="G125" s="52">
        <v>60.5</v>
      </c>
      <c r="H125" s="90">
        <v>52.5</v>
      </c>
      <c r="I125" s="90">
        <v>50.5</v>
      </c>
      <c r="J125" s="90">
        <v>53.3</v>
      </c>
      <c r="K125" s="90">
        <v>59</v>
      </c>
      <c r="L125" s="54">
        <v>54.9</v>
      </c>
    </row>
    <row r="126" spans="1:12" x14ac:dyDescent="0.2">
      <c r="A126" s="53">
        <v>39264</v>
      </c>
      <c r="B126" s="54">
        <v>54.5</v>
      </c>
      <c r="C126" s="55">
        <v>54.5</v>
      </c>
      <c r="D126" s="55">
        <v>53</v>
      </c>
      <c r="E126" s="90">
        <v>59.7</v>
      </c>
      <c r="F126" s="55">
        <v>57.1</v>
      </c>
      <c r="G126" s="52">
        <v>65</v>
      </c>
      <c r="H126" s="90">
        <v>55</v>
      </c>
      <c r="I126" s="90">
        <v>51.5</v>
      </c>
      <c r="J126" s="90">
        <v>51.1</v>
      </c>
      <c r="K126" s="90">
        <v>52.5</v>
      </c>
      <c r="L126" s="54">
        <v>53.6</v>
      </c>
    </row>
    <row r="127" spans="1:12" x14ac:dyDescent="0.2">
      <c r="A127" s="53">
        <v>39295</v>
      </c>
      <c r="B127" s="54">
        <v>56.7</v>
      </c>
      <c r="C127" s="55">
        <v>55</v>
      </c>
      <c r="D127" s="55">
        <v>58.6</v>
      </c>
      <c r="E127" s="90">
        <v>60</v>
      </c>
      <c r="F127" s="55">
        <v>55.7</v>
      </c>
      <c r="G127" s="52">
        <v>61.5</v>
      </c>
      <c r="H127" s="90">
        <v>57</v>
      </c>
      <c r="I127" s="90">
        <v>50.5</v>
      </c>
      <c r="J127" s="90">
        <v>48.3</v>
      </c>
      <c r="K127" s="90">
        <v>53.5</v>
      </c>
      <c r="L127" s="54">
        <v>52.7</v>
      </c>
    </row>
    <row r="128" spans="1:12" x14ac:dyDescent="0.2">
      <c r="A128" s="53">
        <v>39326</v>
      </c>
      <c r="B128" s="54">
        <v>52.6</v>
      </c>
      <c r="C128" s="55">
        <v>51</v>
      </c>
      <c r="D128" s="55">
        <v>47</v>
      </c>
      <c r="E128" s="90">
        <v>66.7</v>
      </c>
      <c r="F128" s="55">
        <v>54.2</v>
      </c>
      <c r="G128" s="52">
        <v>62</v>
      </c>
      <c r="H128" s="90">
        <v>50</v>
      </c>
      <c r="I128" s="90">
        <v>50.5</v>
      </c>
      <c r="J128" s="90">
        <v>52.5</v>
      </c>
      <c r="K128" s="90">
        <v>50</v>
      </c>
      <c r="L128" s="54">
        <v>52.6</v>
      </c>
    </row>
    <row r="129" spans="1:12" x14ac:dyDescent="0.2">
      <c r="A129" s="53">
        <v>39356</v>
      </c>
      <c r="B129" s="54">
        <v>55.3</v>
      </c>
      <c r="C129" s="55">
        <v>55.5</v>
      </c>
      <c r="D129" s="55">
        <v>43.5</v>
      </c>
      <c r="E129" s="90">
        <v>66.2</v>
      </c>
      <c r="F129" s="55">
        <v>55.1</v>
      </c>
      <c r="G129" s="52">
        <v>60</v>
      </c>
      <c r="H129" s="90">
        <v>49.5</v>
      </c>
      <c r="I129" s="90">
        <v>50</v>
      </c>
      <c r="J129" s="90">
        <v>53.6</v>
      </c>
      <c r="K129" s="90">
        <v>56</v>
      </c>
      <c r="L129" s="54">
        <v>53.6</v>
      </c>
    </row>
    <row r="130" spans="1:12" x14ac:dyDescent="0.2">
      <c r="A130" s="53">
        <v>39387</v>
      </c>
      <c r="B130" s="54">
        <v>51.9</v>
      </c>
      <c r="C130" s="55">
        <v>49.5</v>
      </c>
      <c r="D130" s="55">
        <v>48.5</v>
      </c>
      <c r="E130" s="90">
        <v>75.3</v>
      </c>
      <c r="F130" s="55">
        <v>55.7</v>
      </c>
      <c r="G130" s="52">
        <v>61.5</v>
      </c>
      <c r="H130" s="90">
        <v>50.5</v>
      </c>
      <c r="I130" s="90">
        <v>51.5</v>
      </c>
      <c r="J130" s="90">
        <v>51.6</v>
      </c>
      <c r="K130" s="90">
        <v>55.5</v>
      </c>
      <c r="L130" s="54">
        <v>52.8</v>
      </c>
    </row>
    <row r="131" spans="1:12" x14ac:dyDescent="0.2">
      <c r="A131" s="53">
        <v>39417</v>
      </c>
      <c r="B131" s="54">
        <v>52.5</v>
      </c>
      <c r="C131" s="55">
        <v>50.5</v>
      </c>
      <c r="D131" s="55">
        <v>49</v>
      </c>
      <c r="E131" s="90">
        <v>72</v>
      </c>
      <c r="F131" s="55">
        <v>53.2</v>
      </c>
      <c r="G131" s="52">
        <v>64.5</v>
      </c>
      <c r="H131" s="90">
        <v>50.5</v>
      </c>
      <c r="I131" s="90">
        <v>52.5</v>
      </c>
      <c r="J131" s="90">
        <v>51.8</v>
      </c>
      <c r="K131" s="90">
        <v>50</v>
      </c>
      <c r="L131" s="54">
        <v>52.5</v>
      </c>
    </row>
    <row r="132" spans="1:12" x14ac:dyDescent="0.2">
      <c r="A132" s="53">
        <v>39448</v>
      </c>
      <c r="B132" s="54">
        <v>43.3</v>
      </c>
      <c r="C132" s="55">
        <v>41.5</v>
      </c>
      <c r="D132" s="55">
        <v>46</v>
      </c>
      <c r="E132" s="90">
        <v>71.599999999999994</v>
      </c>
      <c r="F132" s="55">
        <v>41.9</v>
      </c>
      <c r="G132" s="52">
        <v>57</v>
      </c>
      <c r="H132" s="90">
        <v>44.5</v>
      </c>
      <c r="I132" s="90">
        <v>49</v>
      </c>
      <c r="J132" s="90">
        <v>45.7</v>
      </c>
      <c r="K132" s="90">
        <v>52</v>
      </c>
      <c r="L132" s="54">
        <v>44.8</v>
      </c>
    </row>
    <row r="133" spans="1:12" x14ac:dyDescent="0.2">
      <c r="A133" s="53">
        <v>39479</v>
      </c>
      <c r="B133" s="54">
        <v>50.1</v>
      </c>
      <c r="C133" s="55">
        <v>49</v>
      </c>
      <c r="D133" s="55">
        <v>49.5</v>
      </c>
      <c r="E133" s="90">
        <v>71.7</v>
      </c>
      <c r="F133" s="55">
        <v>52.2</v>
      </c>
      <c r="G133" s="52">
        <v>60.5</v>
      </c>
      <c r="H133" s="90">
        <v>50</v>
      </c>
      <c r="I133" s="90">
        <v>50</v>
      </c>
      <c r="J133" s="90">
        <v>47.3</v>
      </c>
      <c r="K133" s="90">
        <v>46.5</v>
      </c>
      <c r="L133" s="54">
        <v>49.9</v>
      </c>
    </row>
    <row r="134" spans="1:12" x14ac:dyDescent="0.2">
      <c r="A134" s="53">
        <v>39508</v>
      </c>
      <c r="B134" s="54">
        <v>49.3</v>
      </c>
      <c r="C134" s="55">
        <v>54.5</v>
      </c>
      <c r="D134" s="55">
        <v>47.5</v>
      </c>
      <c r="E134" s="90">
        <v>72.7</v>
      </c>
      <c r="F134" s="55">
        <v>51.7</v>
      </c>
      <c r="G134" s="52">
        <v>60.5</v>
      </c>
      <c r="H134" s="90">
        <v>51.5</v>
      </c>
      <c r="I134" s="90">
        <v>49</v>
      </c>
      <c r="J134" s="90">
        <v>47.4</v>
      </c>
      <c r="K134" s="90">
        <v>55</v>
      </c>
      <c r="L134" s="54">
        <v>49.4</v>
      </c>
    </row>
    <row r="135" spans="1:12" x14ac:dyDescent="0.2">
      <c r="A135" s="53">
        <v>39539</v>
      </c>
      <c r="B135" s="54">
        <v>50.3</v>
      </c>
      <c r="C135" s="55">
        <v>50</v>
      </c>
      <c r="D135" s="55">
        <v>50</v>
      </c>
      <c r="E135" s="90">
        <v>71.900000000000006</v>
      </c>
      <c r="F135" s="55">
        <v>51.1</v>
      </c>
      <c r="G135" s="52">
        <v>63</v>
      </c>
      <c r="H135" s="90">
        <v>47</v>
      </c>
      <c r="I135" s="90">
        <v>56</v>
      </c>
      <c r="J135" s="90">
        <v>49.7</v>
      </c>
      <c r="K135" s="90">
        <v>48.5</v>
      </c>
      <c r="L135" s="54">
        <v>51.9</v>
      </c>
    </row>
    <row r="136" spans="1:12" x14ac:dyDescent="0.2">
      <c r="A136" s="53">
        <v>39569</v>
      </c>
      <c r="B136" s="54">
        <v>54.2</v>
      </c>
      <c r="C136" s="55">
        <v>48</v>
      </c>
      <c r="D136" s="55">
        <v>49</v>
      </c>
      <c r="E136" s="90">
        <v>75.2</v>
      </c>
      <c r="F136" s="55">
        <v>53.3</v>
      </c>
      <c r="G136" s="52">
        <v>66.5</v>
      </c>
      <c r="H136" s="90">
        <v>54</v>
      </c>
      <c r="I136" s="90">
        <v>51</v>
      </c>
      <c r="J136" s="90">
        <v>47.2</v>
      </c>
      <c r="K136" s="90">
        <v>54</v>
      </c>
      <c r="L136" s="54">
        <v>51.5</v>
      </c>
    </row>
    <row r="137" spans="1:12" x14ac:dyDescent="0.2">
      <c r="A137" s="53">
        <v>39600</v>
      </c>
      <c r="B137" s="54">
        <v>49.2</v>
      </c>
      <c r="C137" s="55">
        <v>50.5</v>
      </c>
      <c r="D137" s="55">
        <v>49</v>
      </c>
      <c r="E137" s="90">
        <v>79.599999999999994</v>
      </c>
      <c r="F137" s="55">
        <v>50.2</v>
      </c>
      <c r="G137" s="52">
        <v>60</v>
      </c>
      <c r="H137" s="90">
        <v>53</v>
      </c>
      <c r="I137" s="90">
        <v>50.5</v>
      </c>
      <c r="J137" s="90">
        <v>43.4</v>
      </c>
      <c r="K137" s="90">
        <v>52</v>
      </c>
      <c r="L137" s="54">
        <v>48.1</v>
      </c>
    </row>
    <row r="138" spans="1:12" x14ac:dyDescent="0.2">
      <c r="A138" s="53">
        <v>39630</v>
      </c>
      <c r="B138" s="54">
        <v>49</v>
      </c>
      <c r="C138" s="55">
        <v>49</v>
      </c>
      <c r="D138" s="55">
        <v>52</v>
      </c>
      <c r="E138" s="90">
        <v>77.400000000000006</v>
      </c>
      <c r="F138" s="55">
        <v>51</v>
      </c>
      <c r="G138" s="52">
        <v>62.5</v>
      </c>
      <c r="H138" s="90">
        <v>54.5</v>
      </c>
      <c r="I138" s="90">
        <v>53.5</v>
      </c>
      <c r="J138" s="90">
        <v>46.3</v>
      </c>
      <c r="K138" s="90">
        <v>47.5</v>
      </c>
      <c r="L138" s="54">
        <v>50.1</v>
      </c>
    </row>
    <row r="139" spans="1:12" x14ac:dyDescent="0.2">
      <c r="A139" s="53">
        <v>39661</v>
      </c>
      <c r="B139" s="54">
        <v>50.7</v>
      </c>
      <c r="C139" s="55">
        <v>46</v>
      </c>
      <c r="D139" s="55">
        <v>49</v>
      </c>
      <c r="E139" s="90">
        <v>72.400000000000006</v>
      </c>
      <c r="F139" s="55">
        <v>51.1</v>
      </c>
      <c r="G139" s="52">
        <v>66</v>
      </c>
      <c r="H139" s="90">
        <v>53.5</v>
      </c>
      <c r="I139" s="90">
        <v>55.5</v>
      </c>
      <c r="J139" s="90">
        <v>45.2</v>
      </c>
      <c r="K139" s="90">
        <v>44.5</v>
      </c>
      <c r="L139" s="54">
        <v>50.6</v>
      </c>
    </row>
    <row r="140" spans="1:12" x14ac:dyDescent="0.2">
      <c r="A140" s="53">
        <v>39692</v>
      </c>
      <c r="B140" s="54">
        <v>49.5</v>
      </c>
      <c r="C140" s="55">
        <v>47.5</v>
      </c>
      <c r="D140" s="55">
        <v>46.5</v>
      </c>
      <c r="E140" s="90">
        <v>71.900000000000006</v>
      </c>
      <c r="F140" s="55">
        <v>50.4</v>
      </c>
      <c r="G140" s="52">
        <v>62.5</v>
      </c>
      <c r="H140" s="90">
        <v>45.5</v>
      </c>
      <c r="I140" s="90">
        <v>53.5</v>
      </c>
      <c r="J140" s="90">
        <v>44.3</v>
      </c>
      <c r="K140" s="90">
        <v>50.5</v>
      </c>
      <c r="L140" s="54">
        <v>49.4</v>
      </c>
    </row>
    <row r="141" spans="1:12" x14ac:dyDescent="0.2">
      <c r="A141" s="53">
        <v>39722</v>
      </c>
      <c r="B141" s="54">
        <v>44.1</v>
      </c>
      <c r="C141" s="55">
        <v>52</v>
      </c>
      <c r="D141" s="55">
        <v>44</v>
      </c>
      <c r="E141" s="90">
        <v>53.9</v>
      </c>
      <c r="F141" s="55">
        <v>43.8</v>
      </c>
      <c r="G141" s="52">
        <v>67.5</v>
      </c>
      <c r="H141" s="90">
        <v>48</v>
      </c>
      <c r="I141" s="90">
        <v>48</v>
      </c>
      <c r="J141" s="90">
        <v>42.8</v>
      </c>
      <c r="K141" s="90">
        <v>50</v>
      </c>
      <c r="L141" s="54">
        <v>44.7</v>
      </c>
    </row>
    <row r="142" spans="1:12" x14ac:dyDescent="0.2">
      <c r="A142" s="53">
        <v>39753</v>
      </c>
      <c r="B142" s="54">
        <v>35.299999999999997</v>
      </c>
      <c r="C142" s="55">
        <v>40</v>
      </c>
      <c r="D142" s="55">
        <v>39.5</v>
      </c>
      <c r="E142" s="90">
        <v>37.4</v>
      </c>
      <c r="F142" s="55">
        <v>34.200000000000003</v>
      </c>
      <c r="G142" s="52">
        <v>65</v>
      </c>
      <c r="H142" s="90">
        <v>46</v>
      </c>
      <c r="I142" s="90">
        <v>49.5</v>
      </c>
      <c r="J142" s="90">
        <v>31.5</v>
      </c>
      <c r="K142" s="90">
        <v>34.5</v>
      </c>
      <c r="L142" s="54">
        <v>37.799999999999997</v>
      </c>
    </row>
    <row r="143" spans="1:12" x14ac:dyDescent="0.2">
      <c r="A143" s="53">
        <v>39783</v>
      </c>
      <c r="B143" s="54">
        <v>38.700000000000003</v>
      </c>
      <c r="C143" s="55">
        <v>32.5</v>
      </c>
      <c r="D143" s="55">
        <v>42.5</v>
      </c>
      <c r="E143" s="90">
        <v>36.1</v>
      </c>
      <c r="F143" s="55">
        <v>38.299999999999997</v>
      </c>
      <c r="G143" s="52">
        <v>65.5</v>
      </c>
      <c r="H143" s="90">
        <v>49</v>
      </c>
      <c r="I143" s="90">
        <v>48</v>
      </c>
      <c r="J143" s="90">
        <v>34.9</v>
      </c>
      <c r="K143" s="90">
        <v>39.5</v>
      </c>
      <c r="L143" s="54">
        <v>40</v>
      </c>
    </row>
    <row r="144" spans="1:12" x14ac:dyDescent="0.2">
      <c r="A144" s="53">
        <v>39814</v>
      </c>
      <c r="B144" s="54">
        <v>40.700000000000003</v>
      </c>
      <c r="C144" s="55">
        <v>40.5</v>
      </c>
      <c r="D144" s="55">
        <v>37.5</v>
      </c>
      <c r="E144" s="90">
        <v>41.7</v>
      </c>
      <c r="F144" s="55">
        <v>44.1</v>
      </c>
      <c r="G144" s="52">
        <v>62.5</v>
      </c>
      <c r="H144" s="90">
        <v>41.5</v>
      </c>
      <c r="I144" s="90">
        <v>51.5</v>
      </c>
      <c r="J144" s="90">
        <v>36.200000000000003</v>
      </c>
      <c r="K144" s="90">
        <v>39</v>
      </c>
      <c r="L144" s="54">
        <v>43</v>
      </c>
    </row>
    <row r="145" spans="1:12" x14ac:dyDescent="0.2">
      <c r="A145" s="53">
        <v>39845</v>
      </c>
      <c r="B145" s="54">
        <v>40.4</v>
      </c>
      <c r="C145" s="55">
        <v>39</v>
      </c>
      <c r="D145" s="55">
        <v>36.5</v>
      </c>
      <c r="E145" s="90">
        <v>48.6</v>
      </c>
      <c r="F145" s="55">
        <v>40.6</v>
      </c>
      <c r="G145" s="52">
        <v>66.5</v>
      </c>
      <c r="H145" s="90">
        <v>39</v>
      </c>
      <c r="I145" s="90">
        <v>48</v>
      </c>
      <c r="J145" s="90">
        <v>37</v>
      </c>
      <c r="K145" s="90">
        <v>40</v>
      </c>
      <c r="L145" s="54">
        <v>41.6</v>
      </c>
    </row>
    <row r="146" spans="1:12" x14ac:dyDescent="0.2">
      <c r="A146" s="53">
        <v>39873</v>
      </c>
      <c r="B146" s="54">
        <v>37.200000000000003</v>
      </c>
      <c r="C146" s="55">
        <v>37</v>
      </c>
      <c r="D146" s="55">
        <v>41</v>
      </c>
      <c r="E146" s="90">
        <v>40</v>
      </c>
      <c r="F146" s="55">
        <v>42.8</v>
      </c>
      <c r="G146" s="52">
        <v>60</v>
      </c>
      <c r="H146" s="90">
        <v>40</v>
      </c>
      <c r="I146" s="90">
        <v>48</v>
      </c>
      <c r="J146" s="90">
        <v>31.9</v>
      </c>
      <c r="K146" s="90">
        <v>39</v>
      </c>
      <c r="L146" s="54">
        <v>40.1</v>
      </c>
    </row>
    <row r="147" spans="1:12" x14ac:dyDescent="0.2">
      <c r="A147" s="53">
        <v>39904</v>
      </c>
      <c r="B147" s="54">
        <v>46.8</v>
      </c>
      <c r="C147" s="55">
        <v>48.5</v>
      </c>
      <c r="D147" s="55">
        <v>44</v>
      </c>
      <c r="E147" s="90">
        <v>39.9</v>
      </c>
      <c r="F147" s="55">
        <v>45</v>
      </c>
      <c r="G147" s="52">
        <v>62.5</v>
      </c>
      <c r="H147" s="90">
        <v>43</v>
      </c>
      <c r="I147" s="90">
        <v>45.5</v>
      </c>
      <c r="J147" s="90">
        <v>36.299999999999997</v>
      </c>
      <c r="K147" s="90">
        <v>48.5</v>
      </c>
      <c r="L147" s="54">
        <v>43.7</v>
      </c>
    </row>
    <row r="148" spans="1:12" x14ac:dyDescent="0.2">
      <c r="A148" s="53">
        <v>39934</v>
      </c>
      <c r="B148" s="54">
        <v>45.9</v>
      </c>
      <c r="C148" s="55">
        <v>46</v>
      </c>
      <c r="D148" s="55">
        <v>40</v>
      </c>
      <c r="E148" s="90">
        <v>47.1</v>
      </c>
      <c r="F148" s="55">
        <v>43.1</v>
      </c>
      <c r="G148" s="52">
        <v>62.5</v>
      </c>
      <c r="H148" s="90">
        <v>47</v>
      </c>
      <c r="I148" s="90">
        <v>50</v>
      </c>
      <c r="J148" s="90">
        <v>37.9</v>
      </c>
      <c r="K148" s="90">
        <v>47</v>
      </c>
      <c r="L148" s="54">
        <v>44.4</v>
      </c>
    </row>
    <row r="149" spans="1:12" x14ac:dyDescent="0.2">
      <c r="A149" s="53">
        <v>39965</v>
      </c>
      <c r="B149" s="54">
        <v>49.6</v>
      </c>
      <c r="C149" s="55">
        <v>47</v>
      </c>
      <c r="D149" s="55">
        <v>46</v>
      </c>
      <c r="E149" s="90">
        <v>52.9</v>
      </c>
      <c r="F149" s="55">
        <v>50.1</v>
      </c>
      <c r="G149" s="52">
        <v>67</v>
      </c>
      <c r="H149" s="90">
        <v>45</v>
      </c>
      <c r="I149" s="90">
        <v>46</v>
      </c>
      <c r="J149" s="90">
        <v>41.5</v>
      </c>
      <c r="K149" s="90">
        <v>54.5</v>
      </c>
      <c r="L149" s="54">
        <v>46.4</v>
      </c>
    </row>
    <row r="150" spans="1:12" x14ac:dyDescent="0.2">
      <c r="A150" s="53">
        <v>39995</v>
      </c>
      <c r="B150" s="54">
        <v>49.7</v>
      </c>
      <c r="C150" s="55">
        <v>45</v>
      </c>
      <c r="D150" s="55">
        <v>42</v>
      </c>
      <c r="E150" s="90">
        <v>41.5</v>
      </c>
      <c r="F150" s="55">
        <v>47</v>
      </c>
      <c r="G150" s="52">
        <v>62.5</v>
      </c>
      <c r="H150" s="90">
        <v>47</v>
      </c>
      <c r="I150" s="90">
        <v>50</v>
      </c>
      <c r="J150" s="90">
        <v>41.3</v>
      </c>
      <c r="K150" s="90">
        <v>47.5</v>
      </c>
      <c r="L150" s="54">
        <v>47.1</v>
      </c>
    </row>
    <row r="151" spans="1:12" x14ac:dyDescent="0.2">
      <c r="A151" s="53">
        <v>40026</v>
      </c>
      <c r="B151" s="54">
        <v>51.7</v>
      </c>
      <c r="C151" s="55">
        <v>49</v>
      </c>
      <c r="D151" s="55">
        <v>41</v>
      </c>
      <c r="E151" s="90">
        <v>60.8</v>
      </c>
      <c r="F151" s="55">
        <v>52.1</v>
      </c>
      <c r="G151" s="52">
        <v>67.5</v>
      </c>
      <c r="H151" s="90">
        <v>43</v>
      </c>
      <c r="I151" s="90">
        <v>49</v>
      </c>
      <c r="J151" s="90">
        <v>43.4</v>
      </c>
      <c r="K151" s="90">
        <v>54</v>
      </c>
      <c r="L151" s="54">
        <v>48.9</v>
      </c>
    </row>
    <row r="152" spans="1:12" x14ac:dyDescent="0.2">
      <c r="A152" s="53">
        <v>40057</v>
      </c>
      <c r="B152" s="54">
        <v>53.3</v>
      </c>
      <c r="C152" s="55">
        <v>51.5</v>
      </c>
      <c r="D152" s="55">
        <v>51.5</v>
      </c>
      <c r="E152" s="90">
        <v>49.6</v>
      </c>
      <c r="F152" s="55">
        <v>53.8</v>
      </c>
      <c r="G152" s="52">
        <v>62</v>
      </c>
      <c r="H152" s="90">
        <v>47.5</v>
      </c>
      <c r="I152" s="90">
        <v>50</v>
      </c>
      <c r="J152" s="90">
        <v>44.7</v>
      </c>
      <c r="K152" s="90">
        <v>48.5</v>
      </c>
      <c r="L152" s="54">
        <v>50.1</v>
      </c>
    </row>
    <row r="153" spans="1:12" x14ac:dyDescent="0.2">
      <c r="A153" s="53">
        <v>40087</v>
      </c>
      <c r="B153" s="54">
        <v>55.4</v>
      </c>
      <c r="C153" s="55">
        <v>46</v>
      </c>
      <c r="D153" s="55">
        <v>53.5</v>
      </c>
      <c r="E153" s="90">
        <v>53.5</v>
      </c>
      <c r="F153" s="55">
        <v>55</v>
      </c>
      <c r="G153" s="52">
        <v>63.5</v>
      </c>
      <c r="H153" s="90">
        <v>43</v>
      </c>
      <c r="I153" s="90">
        <v>50.5</v>
      </c>
      <c r="J153" s="90">
        <v>42.6</v>
      </c>
      <c r="K153" s="90">
        <v>53.5</v>
      </c>
      <c r="L153" s="54">
        <v>51</v>
      </c>
    </row>
    <row r="154" spans="1:12" x14ac:dyDescent="0.2">
      <c r="A154" s="53">
        <v>40118</v>
      </c>
      <c r="B154" s="54">
        <v>54.9</v>
      </c>
      <c r="C154" s="55">
        <v>46</v>
      </c>
      <c r="D154" s="55">
        <v>48.5</v>
      </c>
      <c r="E154" s="90">
        <v>58.9</v>
      </c>
      <c r="F154" s="55">
        <v>50.9</v>
      </c>
      <c r="G154" s="52">
        <v>61.5</v>
      </c>
      <c r="H154" s="90">
        <v>45.5</v>
      </c>
      <c r="I154" s="90">
        <v>48.5</v>
      </c>
      <c r="J154" s="90">
        <v>42.8</v>
      </c>
      <c r="K154" s="90">
        <v>54.5</v>
      </c>
      <c r="L154" s="54">
        <v>49.5</v>
      </c>
    </row>
    <row r="155" spans="1:12" x14ac:dyDescent="0.2">
      <c r="A155" s="53">
        <v>40148</v>
      </c>
      <c r="B155" s="54">
        <v>51.6</v>
      </c>
      <c r="C155" s="55">
        <v>52.5</v>
      </c>
      <c r="D155" s="55">
        <v>48</v>
      </c>
      <c r="E155" s="90">
        <v>58.9</v>
      </c>
      <c r="F155" s="55">
        <v>53</v>
      </c>
      <c r="G155" s="52">
        <v>61</v>
      </c>
      <c r="H155" s="90">
        <v>51.5</v>
      </c>
      <c r="I155" s="90">
        <v>50.5</v>
      </c>
      <c r="J155" s="90">
        <v>44.6</v>
      </c>
      <c r="K155" s="90">
        <v>46</v>
      </c>
      <c r="L155" s="54">
        <v>49.7</v>
      </c>
    </row>
    <row r="156" spans="1:12" x14ac:dyDescent="0.2">
      <c r="A156" s="53">
        <v>40179</v>
      </c>
      <c r="B156" s="54">
        <v>52.9</v>
      </c>
      <c r="C156" s="55">
        <v>47</v>
      </c>
      <c r="D156" s="55">
        <v>45.5</v>
      </c>
      <c r="E156" s="90">
        <v>59.4</v>
      </c>
      <c r="F156" s="55">
        <v>51.5</v>
      </c>
      <c r="G156" s="52">
        <v>64.5</v>
      </c>
      <c r="H156" s="90">
        <v>46.5</v>
      </c>
      <c r="I156" s="90">
        <v>50.5</v>
      </c>
      <c r="J156" s="90">
        <v>44.8</v>
      </c>
      <c r="K156" s="90">
        <v>46</v>
      </c>
      <c r="L156" s="54">
        <v>50</v>
      </c>
    </row>
    <row r="157" spans="1:12" x14ac:dyDescent="0.2">
      <c r="A157" s="53">
        <v>40210</v>
      </c>
      <c r="B157" s="54">
        <v>53.4</v>
      </c>
      <c r="C157" s="55">
        <v>48.5</v>
      </c>
      <c r="D157" s="55">
        <v>46</v>
      </c>
      <c r="E157" s="90">
        <v>58.7</v>
      </c>
      <c r="F157" s="55">
        <v>53</v>
      </c>
      <c r="G157" s="52">
        <v>60</v>
      </c>
      <c r="H157" s="90">
        <v>45</v>
      </c>
      <c r="I157" s="90">
        <v>53.5</v>
      </c>
      <c r="J157" s="90">
        <v>46</v>
      </c>
      <c r="K157" s="90">
        <v>47</v>
      </c>
      <c r="L157" s="54">
        <v>51.7</v>
      </c>
    </row>
    <row r="158" spans="1:12" x14ac:dyDescent="0.2">
      <c r="A158" s="53">
        <v>40238</v>
      </c>
      <c r="B158" s="54">
        <v>58.1</v>
      </c>
      <c r="C158" s="55">
        <v>51</v>
      </c>
      <c r="D158" s="55">
        <v>55.5</v>
      </c>
      <c r="E158" s="90">
        <v>60.9</v>
      </c>
      <c r="F158" s="55">
        <v>57.7</v>
      </c>
      <c r="G158" s="52">
        <v>52.5</v>
      </c>
      <c r="H158" s="90">
        <v>46.5</v>
      </c>
      <c r="I158" s="90">
        <v>49.5</v>
      </c>
      <c r="J158" s="90">
        <v>47.4</v>
      </c>
      <c r="K158" s="90">
        <v>57.5</v>
      </c>
      <c r="L158" s="54">
        <v>53.3</v>
      </c>
    </row>
    <row r="159" spans="1:12" x14ac:dyDescent="0.2">
      <c r="A159" s="53">
        <v>40269</v>
      </c>
      <c r="B159" s="54">
        <v>58.1</v>
      </c>
      <c r="C159" s="55">
        <v>56.5</v>
      </c>
      <c r="D159" s="55">
        <v>49.5</v>
      </c>
      <c r="E159" s="90">
        <v>63.8</v>
      </c>
      <c r="F159" s="55">
        <v>59.8</v>
      </c>
      <c r="G159" s="52">
        <v>53.5</v>
      </c>
      <c r="H159" s="90">
        <v>54.5</v>
      </c>
      <c r="I159" s="90">
        <v>53.5</v>
      </c>
      <c r="J159" s="90">
        <v>49.3</v>
      </c>
      <c r="K159" s="90">
        <v>57</v>
      </c>
      <c r="L159" s="54">
        <v>55.3</v>
      </c>
    </row>
    <row r="160" spans="1:12" x14ac:dyDescent="0.2">
      <c r="A160" s="53">
        <v>40299</v>
      </c>
      <c r="B160" s="54">
        <v>57.9</v>
      </c>
      <c r="C160" s="55">
        <v>56.5</v>
      </c>
      <c r="D160" s="55">
        <v>56</v>
      </c>
      <c r="E160" s="90">
        <v>60.8</v>
      </c>
      <c r="F160" s="55">
        <v>61.3</v>
      </c>
      <c r="G160" s="52">
        <v>60.5</v>
      </c>
      <c r="H160" s="90">
        <v>62.5</v>
      </c>
      <c r="I160" s="90">
        <v>53</v>
      </c>
      <c r="J160" s="90">
        <v>49.6</v>
      </c>
      <c r="K160" s="90">
        <v>53.5</v>
      </c>
      <c r="L160" s="54">
        <v>55.5</v>
      </c>
    </row>
    <row r="161" spans="1:12" x14ac:dyDescent="0.2">
      <c r="A161" s="53">
        <v>40330</v>
      </c>
      <c r="B161" s="54">
        <v>56.6</v>
      </c>
      <c r="C161" s="55">
        <v>48</v>
      </c>
      <c r="D161" s="55">
        <v>55.5</v>
      </c>
      <c r="E161" s="90">
        <v>56.7</v>
      </c>
      <c r="F161" s="55">
        <v>59.4</v>
      </c>
      <c r="G161" s="52">
        <v>59</v>
      </c>
      <c r="H161" s="90">
        <v>58.5</v>
      </c>
      <c r="I161" s="90">
        <v>53</v>
      </c>
      <c r="J161" s="90">
        <v>48.5</v>
      </c>
      <c r="K161" s="90">
        <v>48</v>
      </c>
      <c r="L161" s="54">
        <v>54.4</v>
      </c>
    </row>
    <row r="162" spans="1:12" x14ac:dyDescent="0.2">
      <c r="A162" s="53">
        <v>40360</v>
      </c>
      <c r="B162" s="54">
        <v>58.2</v>
      </c>
      <c r="C162" s="55">
        <v>48</v>
      </c>
      <c r="D162" s="55">
        <v>52</v>
      </c>
      <c r="E162" s="90">
        <v>56.1</v>
      </c>
      <c r="F162" s="55">
        <v>57.4</v>
      </c>
      <c r="G162" s="52">
        <v>59</v>
      </c>
      <c r="H162" s="90">
        <v>55.5</v>
      </c>
      <c r="I162" s="90">
        <v>52</v>
      </c>
      <c r="J162" s="90">
        <v>50.7</v>
      </c>
      <c r="K162" s="90">
        <v>52</v>
      </c>
      <c r="L162" s="54">
        <v>54.6</v>
      </c>
    </row>
    <row r="163" spans="1:12" x14ac:dyDescent="0.2">
      <c r="A163" s="53">
        <v>40391</v>
      </c>
      <c r="B163" s="54">
        <v>54.4</v>
      </c>
      <c r="C163" s="55">
        <v>50.5</v>
      </c>
      <c r="D163" s="55">
        <v>50.5</v>
      </c>
      <c r="E163" s="90">
        <v>59.2</v>
      </c>
      <c r="F163" s="55">
        <v>55.8</v>
      </c>
      <c r="G163" s="52">
        <v>60</v>
      </c>
      <c r="H163" s="90">
        <v>53.5</v>
      </c>
      <c r="I163" s="90">
        <v>51</v>
      </c>
      <c r="J163" s="90">
        <v>48.9</v>
      </c>
      <c r="K163" s="90">
        <v>46.5</v>
      </c>
      <c r="L163" s="54">
        <v>52.4</v>
      </c>
    </row>
    <row r="164" spans="1:12" x14ac:dyDescent="0.2">
      <c r="A164" s="53">
        <v>40422</v>
      </c>
      <c r="B164" s="54">
        <v>54.3</v>
      </c>
      <c r="C164" s="55">
        <v>53</v>
      </c>
      <c r="D164" s="55">
        <v>48</v>
      </c>
      <c r="E164" s="90">
        <v>59.5</v>
      </c>
      <c r="F164" s="55">
        <v>53.3</v>
      </c>
      <c r="G164" s="52">
        <v>59.5</v>
      </c>
      <c r="H164" s="90">
        <v>47</v>
      </c>
      <c r="I164" s="90">
        <v>55</v>
      </c>
      <c r="J164" s="90">
        <v>51.5</v>
      </c>
      <c r="K164" s="90">
        <v>58</v>
      </c>
      <c r="L164" s="54">
        <v>53.3</v>
      </c>
    </row>
    <row r="165" spans="1:12" x14ac:dyDescent="0.2">
      <c r="A165" s="53">
        <v>40452</v>
      </c>
      <c r="B165" s="54">
        <v>58.3</v>
      </c>
      <c r="C165" s="55">
        <v>54</v>
      </c>
      <c r="D165" s="55">
        <v>52</v>
      </c>
      <c r="E165" s="90">
        <v>68.2</v>
      </c>
      <c r="F165" s="55">
        <v>59.7</v>
      </c>
      <c r="G165" s="52">
        <v>61.5</v>
      </c>
      <c r="H165" s="90">
        <v>47.5</v>
      </c>
      <c r="I165" s="90">
        <v>51</v>
      </c>
      <c r="J165" s="90">
        <v>52.1</v>
      </c>
      <c r="K165" s="90">
        <v>55.5</v>
      </c>
      <c r="L165" s="54">
        <v>55.3</v>
      </c>
    </row>
    <row r="166" spans="1:12" x14ac:dyDescent="0.2">
      <c r="A166" s="53">
        <v>40483</v>
      </c>
      <c r="B166" s="54">
        <v>58.4</v>
      </c>
      <c r="C166" s="55">
        <v>54.5</v>
      </c>
      <c r="D166" s="55">
        <v>51.5</v>
      </c>
      <c r="E166" s="90">
        <v>65.599999999999994</v>
      </c>
      <c r="F166" s="55">
        <v>59.1</v>
      </c>
      <c r="G166" s="52">
        <v>60</v>
      </c>
      <c r="H166" s="90">
        <v>51.5</v>
      </c>
      <c r="I166" s="90">
        <v>52.5</v>
      </c>
      <c r="J166" s="90">
        <v>56.6</v>
      </c>
      <c r="K166" s="90">
        <v>59.5</v>
      </c>
      <c r="L166" s="54">
        <v>56.4</v>
      </c>
    </row>
    <row r="167" spans="1:12" x14ac:dyDescent="0.2">
      <c r="A167" s="53">
        <v>40513</v>
      </c>
      <c r="B167" s="54">
        <v>62.1</v>
      </c>
      <c r="C167" s="55">
        <v>51</v>
      </c>
      <c r="D167" s="55">
        <v>48.5</v>
      </c>
      <c r="E167" s="90">
        <v>69.3</v>
      </c>
      <c r="F167" s="55">
        <v>62.2</v>
      </c>
      <c r="G167" s="52">
        <v>61.5</v>
      </c>
      <c r="H167" s="90">
        <v>52.5</v>
      </c>
      <c r="I167" s="90">
        <v>51.5</v>
      </c>
      <c r="J167" s="90">
        <v>52.2</v>
      </c>
      <c r="K167" s="90">
        <v>56</v>
      </c>
      <c r="L167" s="54">
        <v>56.9</v>
      </c>
    </row>
    <row r="168" spans="1:12" x14ac:dyDescent="0.2">
      <c r="A168" s="53">
        <v>40544</v>
      </c>
      <c r="B168" s="54">
        <v>63</v>
      </c>
      <c r="C168" s="55">
        <v>53.5</v>
      </c>
      <c r="D168" s="55">
        <v>50.5</v>
      </c>
      <c r="E168" s="90">
        <v>70</v>
      </c>
      <c r="F168" s="55">
        <v>61.6</v>
      </c>
      <c r="G168" s="52">
        <v>60</v>
      </c>
      <c r="H168" s="90">
        <v>49</v>
      </c>
      <c r="I168" s="90">
        <v>53.5</v>
      </c>
      <c r="J168" s="90">
        <v>52.1</v>
      </c>
      <c r="K168" s="90">
        <v>53.5</v>
      </c>
      <c r="L168" s="54">
        <v>57.6</v>
      </c>
    </row>
    <row r="169" spans="1:12" x14ac:dyDescent="0.2">
      <c r="A169" s="53">
        <v>40575</v>
      </c>
      <c r="B169" s="54">
        <v>61.9</v>
      </c>
      <c r="C169" s="55">
        <v>53.5</v>
      </c>
      <c r="D169" s="55">
        <v>52</v>
      </c>
      <c r="E169" s="90">
        <v>70.900000000000006</v>
      </c>
      <c r="F169" s="55">
        <v>63.3</v>
      </c>
      <c r="G169" s="52">
        <v>57.5</v>
      </c>
      <c r="H169" s="90">
        <v>55.5</v>
      </c>
      <c r="I169" s="90">
        <v>52</v>
      </c>
      <c r="J169" s="90">
        <v>53.6</v>
      </c>
      <c r="K169" s="90">
        <v>56.5</v>
      </c>
      <c r="L169" s="54">
        <v>58</v>
      </c>
    </row>
    <row r="170" spans="1:12" x14ac:dyDescent="0.2">
      <c r="A170" s="53">
        <v>40603</v>
      </c>
      <c r="B170" s="54">
        <v>59.5</v>
      </c>
      <c r="C170" s="55">
        <v>50</v>
      </c>
      <c r="D170" s="55">
        <v>56</v>
      </c>
      <c r="E170" s="90">
        <v>70.900000000000006</v>
      </c>
      <c r="F170" s="55">
        <v>58.2</v>
      </c>
      <c r="G170" s="52">
        <v>67</v>
      </c>
      <c r="H170" s="90">
        <v>55.5</v>
      </c>
      <c r="I170" s="90">
        <v>51.5</v>
      </c>
      <c r="J170" s="90">
        <v>52.9</v>
      </c>
      <c r="K170" s="90">
        <v>59</v>
      </c>
      <c r="L170" s="54">
        <v>55.8</v>
      </c>
    </row>
    <row r="171" spans="1:12" x14ac:dyDescent="0.2">
      <c r="A171" s="53">
        <v>40634</v>
      </c>
      <c r="B171" s="54">
        <v>56.3</v>
      </c>
      <c r="C171" s="55">
        <v>57</v>
      </c>
      <c r="D171" s="55">
        <v>55.5</v>
      </c>
      <c r="E171" s="90">
        <v>71</v>
      </c>
      <c r="F171" s="55">
        <v>56.9</v>
      </c>
      <c r="G171" s="52">
        <v>57.5</v>
      </c>
      <c r="H171" s="90">
        <v>55.5</v>
      </c>
      <c r="I171" s="90">
        <v>53</v>
      </c>
      <c r="J171" s="90">
        <v>53.6</v>
      </c>
      <c r="K171" s="90">
        <v>53.5</v>
      </c>
      <c r="L171" s="54">
        <v>55.2</v>
      </c>
    </row>
    <row r="172" spans="1:12" x14ac:dyDescent="0.2">
      <c r="A172" s="53">
        <v>40664</v>
      </c>
      <c r="B172" s="54">
        <v>56</v>
      </c>
      <c r="C172" s="55">
        <v>50.5</v>
      </c>
      <c r="D172" s="55">
        <v>55</v>
      </c>
      <c r="E172" s="90">
        <v>70.3</v>
      </c>
      <c r="F172" s="55">
        <v>55</v>
      </c>
      <c r="G172" s="52">
        <v>55</v>
      </c>
      <c r="H172" s="90">
        <v>55</v>
      </c>
      <c r="I172" s="90">
        <v>54</v>
      </c>
      <c r="J172" s="90">
        <v>54.4</v>
      </c>
      <c r="K172" s="90">
        <v>57</v>
      </c>
      <c r="L172" s="54">
        <v>55</v>
      </c>
    </row>
    <row r="173" spans="1:12" x14ac:dyDescent="0.2">
      <c r="A173" s="53">
        <v>40695</v>
      </c>
      <c r="B173" s="54">
        <v>55.4</v>
      </c>
      <c r="C173" s="55">
        <v>46.5</v>
      </c>
      <c r="D173" s="55">
        <v>48.5</v>
      </c>
      <c r="E173" s="90">
        <v>62.4</v>
      </c>
      <c r="F173" s="55">
        <v>55.7</v>
      </c>
      <c r="G173" s="52">
        <v>58.5</v>
      </c>
      <c r="H173" s="90">
        <v>53.5</v>
      </c>
      <c r="I173" s="90">
        <v>52</v>
      </c>
      <c r="J173" s="90">
        <v>52.9</v>
      </c>
      <c r="K173" s="90">
        <v>57</v>
      </c>
      <c r="L173" s="54">
        <v>54.2</v>
      </c>
    </row>
    <row r="174" spans="1:12" x14ac:dyDescent="0.2">
      <c r="A174" s="53">
        <v>40725</v>
      </c>
      <c r="B174" s="54">
        <v>53.7</v>
      </c>
      <c r="C174" s="55">
        <v>47.5</v>
      </c>
      <c r="D174" s="55">
        <v>44</v>
      </c>
      <c r="E174" s="90">
        <v>60.7</v>
      </c>
      <c r="F174" s="55">
        <v>56.6</v>
      </c>
      <c r="G174" s="52">
        <v>59.5</v>
      </c>
      <c r="H174" s="90">
        <v>56.5</v>
      </c>
      <c r="I174" s="90">
        <v>50.5</v>
      </c>
      <c r="J174" s="90">
        <v>53.3</v>
      </c>
      <c r="K174" s="90">
        <v>49</v>
      </c>
      <c r="L174" s="54">
        <v>53.5</v>
      </c>
    </row>
    <row r="175" spans="1:12" x14ac:dyDescent="0.2">
      <c r="A175" s="53">
        <v>40756</v>
      </c>
      <c r="B175" s="54">
        <v>53.9</v>
      </c>
      <c r="C175" s="55">
        <v>53.5</v>
      </c>
      <c r="D175" s="55">
        <v>47.5</v>
      </c>
      <c r="E175" s="90">
        <v>61.3</v>
      </c>
      <c r="F175" s="55">
        <v>56.5</v>
      </c>
      <c r="G175" s="52">
        <v>56</v>
      </c>
      <c r="H175" s="90">
        <v>53.5</v>
      </c>
      <c r="I175" s="90">
        <v>53</v>
      </c>
      <c r="J175" s="90">
        <v>51.9</v>
      </c>
      <c r="K175" s="90">
        <v>56.5</v>
      </c>
      <c r="L175" s="54">
        <v>53.5</v>
      </c>
    </row>
    <row r="176" spans="1:12" x14ac:dyDescent="0.2">
      <c r="A176" s="53">
        <v>40787</v>
      </c>
      <c r="B176" s="54">
        <v>54.6</v>
      </c>
      <c r="C176" s="55">
        <v>47.5</v>
      </c>
      <c r="D176" s="55">
        <v>52.5</v>
      </c>
      <c r="E176" s="90">
        <v>60.9</v>
      </c>
      <c r="F176" s="55">
        <v>56.8</v>
      </c>
      <c r="G176" s="52">
        <v>59</v>
      </c>
      <c r="H176" s="90">
        <v>51.5</v>
      </c>
      <c r="I176" s="90">
        <v>49.5</v>
      </c>
      <c r="J176" s="90">
        <v>49.4</v>
      </c>
      <c r="K176" s="90">
        <v>52</v>
      </c>
      <c r="L176" s="54">
        <v>52.3</v>
      </c>
    </row>
    <row r="177" spans="1:12" x14ac:dyDescent="0.2">
      <c r="A177" s="53">
        <v>40817</v>
      </c>
      <c r="B177" s="54">
        <v>53.4</v>
      </c>
      <c r="C177" s="55">
        <v>48</v>
      </c>
      <c r="D177" s="55">
        <v>47</v>
      </c>
      <c r="E177" s="90">
        <v>57.7</v>
      </c>
      <c r="F177" s="55">
        <v>53.9</v>
      </c>
      <c r="G177" s="52">
        <v>57.5</v>
      </c>
      <c r="H177" s="90">
        <v>45.5</v>
      </c>
      <c r="I177" s="90">
        <v>52</v>
      </c>
      <c r="J177" s="90">
        <v>52.3</v>
      </c>
      <c r="K177" s="90">
        <v>54</v>
      </c>
      <c r="L177" s="54">
        <v>52.8</v>
      </c>
    </row>
    <row r="178" spans="1:12" x14ac:dyDescent="0.2">
      <c r="A178" s="53">
        <v>40848</v>
      </c>
      <c r="B178" s="54">
        <v>53.4</v>
      </c>
      <c r="C178" s="55">
        <v>48.5</v>
      </c>
      <c r="D178" s="55">
        <v>48</v>
      </c>
      <c r="E178" s="90">
        <v>63.4</v>
      </c>
      <c r="F178" s="55">
        <v>56.1</v>
      </c>
      <c r="G178" s="52">
        <v>63</v>
      </c>
      <c r="H178" s="90">
        <v>52.5</v>
      </c>
      <c r="I178" s="90">
        <v>50</v>
      </c>
      <c r="J178" s="90">
        <v>53.1</v>
      </c>
      <c r="K178" s="90">
        <v>55.5</v>
      </c>
      <c r="L178" s="54">
        <v>52.9</v>
      </c>
    </row>
    <row r="179" spans="1:12" x14ac:dyDescent="0.2">
      <c r="A179" s="53">
        <v>40878</v>
      </c>
      <c r="B179" s="54">
        <v>54.1</v>
      </c>
      <c r="C179" s="55">
        <v>54</v>
      </c>
      <c r="D179" s="55">
        <v>45.5</v>
      </c>
      <c r="E179" s="90">
        <v>62.2</v>
      </c>
      <c r="F179" s="55">
        <v>55.6</v>
      </c>
      <c r="G179" s="52">
        <v>59.5</v>
      </c>
      <c r="H179" s="90">
        <v>48.5</v>
      </c>
      <c r="I179" s="90">
        <v>51.5</v>
      </c>
      <c r="J179" s="90">
        <v>49</v>
      </c>
      <c r="K179" s="90">
        <v>51</v>
      </c>
      <c r="L179" s="54">
        <v>52.6</v>
      </c>
    </row>
    <row r="180" spans="1:12" x14ac:dyDescent="0.2">
      <c r="A180" s="53">
        <v>40909</v>
      </c>
      <c r="B180" s="54">
        <v>59.5</v>
      </c>
      <c r="C180" s="55">
        <v>55</v>
      </c>
      <c r="D180" s="55">
        <v>49.5</v>
      </c>
      <c r="E180" s="90">
        <v>61.4</v>
      </c>
      <c r="F180" s="55">
        <v>58.7</v>
      </c>
      <c r="G180" s="52">
        <v>58.5</v>
      </c>
      <c r="H180" s="90">
        <v>47</v>
      </c>
      <c r="I180" s="90">
        <v>51</v>
      </c>
      <c r="J180" s="90">
        <v>54.9</v>
      </c>
      <c r="K180" s="90">
        <v>56.5</v>
      </c>
      <c r="L180" s="54">
        <v>56</v>
      </c>
    </row>
    <row r="181" spans="1:12" x14ac:dyDescent="0.2">
      <c r="A181" s="53">
        <v>40940</v>
      </c>
      <c r="B181" s="54">
        <v>59.9</v>
      </c>
      <c r="C181" s="55">
        <v>52</v>
      </c>
      <c r="D181" s="55">
        <v>53</v>
      </c>
      <c r="E181" s="90">
        <v>67.400000000000006</v>
      </c>
      <c r="F181" s="55">
        <v>59.9</v>
      </c>
      <c r="G181" s="52">
        <v>61.5</v>
      </c>
      <c r="H181" s="90">
        <v>53.5</v>
      </c>
      <c r="I181" s="90">
        <v>49.5</v>
      </c>
      <c r="J181" s="90">
        <v>53.2</v>
      </c>
      <c r="K181" s="90">
        <v>54.5</v>
      </c>
      <c r="L181" s="54">
        <v>56</v>
      </c>
    </row>
    <row r="182" spans="1:12" x14ac:dyDescent="0.2">
      <c r="A182" s="53">
        <v>40969</v>
      </c>
      <c r="B182" s="54">
        <v>57.9</v>
      </c>
      <c r="C182" s="55">
        <v>56</v>
      </c>
      <c r="D182" s="55">
        <v>49.5</v>
      </c>
      <c r="E182" s="90">
        <v>65</v>
      </c>
      <c r="F182" s="55">
        <v>58.5</v>
      </c>
      <c r="G182" s="52">
        <v>58.5</v>
      </c>
      <c r="H182" s="90">
        <v>54</v>
      </c>
      <c r="I182" s="90">
        <v>49.5</v>
      </c>
      <c r="J182" s="90">
        <v>55.2</v>
      </c>
      <c r="K182" s="90">
        <v>52.5</v>
      </c>
      <c r="L182" s="54">
        <v>55.6</v>
      </c>
    </row>
    <row r="183" spans="1:12" x14ac:dyDescent="0.2">
      <c r="A183" s="53">
        <v>41000</v>
      </c>
      <c r="B183" s="54">
        <v>55.1</v>
      </c>
      <c r="C183" s="55">
        <v>56.5</v>
      </c>
      <c r="D183" s="55">
        <v>53</v>
      </c>
      <c r="E183" s="90">
        <v>56.6</v>
      </c>
      <c r="F183" s="55">
        <v>56</v>
      </c>
      <c r="G183" s="52">
        <v>61</v>
      </c>
      <c r="H183" s="90">
        <v>54</v>
      </c>
      <c r="I183" s="90">
        <v>51.5</v>
      </c>
      <c r="J183" s="90">
        <v>54.5</v>
      </c>
      <c r="K183" s="90">
        <v>58</v>
      </c>
      <c r="L183" s="54">
        <v>54.4</v>
      </c>
    </row>
    <row r="184" spans="1:12" x14ac:dyDescent="0.2">
      <c r="A184" s="53">
        <v>41030</v>
      </c>
      <c r="B184" s="54">
        <v>55.6</v>
      </c>
      <c r="C184" s="55">
        <v>53</v>
      </c>
      <c r="D184" s="55">
        <v>53</v>
      </c>
      <c r="E184" s="90">
        <v>52.8</v>
      </c>
      <c r="F184" s="55">
        <v>56.4</v>
      </c>
      <c r="G184" s="52">
        <v>63</v>
      </c>
      <c r="H184" s="90">
        <v>56</v>
      </c>
      <c r="I184" s="90">
        <v>53</v>
      </c>
      <c r="J184" s="90">
        <v>51.9</v>
      </c>
      <c r="K184" s="90">
        <v>53</v>
      </c>
      <c r="L184" s="54">
        <v>54.5</v>
      </c>
    </row>
    <row r="185" spans="1:12" x14ac:dyDescent="0.2">
      <c r="A185" s="53">
        <v>41061</v>
      </c>
      <c r="B185" s="54">
        <v>55.7</v>
      </c>
      <c r="C185" s="55">
        <v>53.5</v>
      </c>
      <c r="D185" s="55">
        <v>47.5</v>
      </c>
      <c r="E185" s="90">
        <v>49.7</v>
      </c>
      <c r="F185" s="55">
        <v>53.6</v>
      </c>
      <c r="G185" s="52">
        <v>64.5</v>
      </c>
      <c r="H185" s="90">
        <v>53</v>
      </c>
      <c r="I185" s="90">
        <v>51</v>
      </c>
      <c r="J185" s="90">
        <v>52.5</v>
      </c>
      <c r="K185" s="90">
        <v>49.5</v>
      </c>
      <c r="L185" s="54">
        <v>53.7</v>
      </c>
    </row>
    <row r="186" spans="1:12" x14ac:dyDescent="0.2">
      <c r="A186" s="53">
        <v>41091</v>
      </c>
      <c r="B186" s="54">
        <v>54.3</v>
      </c>
      <c r="C186" s="55">
        <v>44.5</v>
      </c>
      <c r="D186" s="55">
        <v>44.5</v>
      </c>
      <c r="E186" s="90">
        <v>54.8</v>
      </c>
      <c r="F186" s="55">
        <v>56.2</v>
      </c>
      <c r="G186" s="52">
        <v>59</v>
      </c>
      <c r="H186" s="90">
        <v>54.5</v>
      </c>
      <c r="I186" s="90">
        <v>49.5</v>
      </c>
      <c r="J186" s="90">
        <v>50.3</v>
      </c>
      <c r="K186" s="90">
        <v>51</v>
      </c>
      <c r="L186" s="54">
        <v>52.4</v>
      </c>
    </row>
    <row r="187" spans="1:12" x14ac:dyDescent="0.2">
      <c r="A187" s="53">
        <v>41122</v>
      </c>
      <c r="B187" s="54">
        <v>53.6</v>
      </c>
      <c r="C187" s="55">
        <v>49.5</v>
      </c>
      <c r="D187" s="55">
        <v>50.5</v>
      </c>
      <c r="E187" s="90">
        <v>61.8</v>
      </c>
      <c r="F187" s="55">
        <v>55.3</v>
      </c>
      <c r="G187" s="52">
        <v>67</v>
      </c>
      <c r="H187" s="90">
        <v>52.5</v>
      </c>
      <c r="I187" s="90">
        <v>51.5</v>
      </c>
      <c r="J187" s="90">
        <v>53.3</v>
      </c>
      <c r="K187" s="90">
        <v>52</v>
      </c>
      <c r="L187" s="54">
        <v>52.9</v>
      </c>
    </row>
    <row r="188" spans="1:12" x14ac:dyDescent="0.2">
      <c r="A188" s="53">
        <v>41153</v>
      </c>
      <c r="B188" s="54">
        <v>55.6</v>
      </c>
      <c r="C188" s="55">
        <v>50</v>
      </c>
      <c r="D188" s="55">
        <v>48</v>
      </c>
      <c r="E188" s="90">
        <v>65.900000000000006</v>
      </c>
      <c r="F188" s="55">
        <v>60.2</v>
      </c>
      <c r="G188" s="52">
        <v>65</v>
      </c>
      <c r="H188" s="90">
        <v>48.5</v>
      </c>
      <c r="I188" s="90">
        <v>51.5</v>
      </c>
      <c r="J188" s="90">
        <v>53.2</v>
      </c>
      <c r="K188" s="90">
        <v>50.5</v>
      </c>
      <c r="L188" s="54">
        <v>54.6</v>
      </c>
    </row>
    <row r="189" spans="1:12" x14ac:dyDescent="0.2">
      <c r="A189" s="53">
        <v>41183</v>
      </c>
      <c r="B189" s="54">
        <v>55.5</v>
      </c>
      <c r="C189" s="55">
        <v>49.5</v>
      </c>
      <c r="D189" s="55">
        <v>49</v>
      </c>
      <c r="E189" s="90">
        <v>61.7</v>
      </c>
      <c r="F189" s="55">
        <v>56.1</v>
      </c>
      <c r="G189" s="52">
        <v>64</v>
      </c>
      <c r="H189" s="90">
        <v>46.5</v>
      </c>
      <c r="I189" s="90">
        <v>51.5</v>
      </c>
      <c r="J189" s="90">
        <v>54.7</v>
      </c>
      <c r="K189" s="90">
        <v>47.5</v>
      </c>
      <c r="L189" s="54">
        <v>54.2</v>
      </c>
    </row>
    <row r="190" spans="1:12" x14ac:dyDescent="0.2">
      <c r="A190" s="53">
        <v>41214</v>
      </c>
      <c r="B190" s="54">
        <v>57.1</v>
      </c>
      <c r="C190" s="55">
        <v>55.5</v>
      </c>
      <c r="D190" s="55">
        <v>53.5</v>
      </c>
      <c r="E190" s="90">
        <v>57.9</v>
      </c>
      <c r="F190" s="55">
        <v>60.9</v>
      </c>
      <c r="G190" s="52">
        <v>62.5</v>
      </c>
      <c r="H190" s="90">
        <v>47</v>
      </c>
      <c r="I190" s="90">
        <v>49</v>
      </c>
      <c r="J190" s="90">
        <v>53.3</v>
      </c>
      <c r="K190" s="90">
        <v>48</v>
      </c>
      <c r="L190" s="54">
        <v>54.8</v>
      </c>
    </row>
    <row r="191" spans="1:12" x14ac:dyDescent="0.2">
      <c r="A191" s="53">
        <v>41244</v>
      </c>
      <c r="B191" s="54">
        <v>58.8</v>
      </c>
      <c r="C191" s="55">
        <v>49</v>
      </c>
      <c r="D191" s="55">
        <v>49.5</v>
      </c>
      <c r="E191" s="90">
        <v>56.9</v>
      </c>
      <c r="F191" s="55">
        <v>60</v>
      </c>
      <c r="G191" s="52">
        <v>58</v>
      </c>
      <c r="H191" s="90">
        <v>50</v>
      </c>
      <c r="I191" s="90">
        <v>48.5</v>
      </c>
      <c r="J191" s="90">
        <v>55.2</v>
      </c>
      <c r="K191" s="90">
        <v>49.5</v>
      </c>
      <c r="L191" s="54">
        <v>55.6</v>
      </c>
    </row>
    <row r="192" spans="1:12" x14ac:dyDescent="0.2">
      <c r="A192" s="53">
        <v>41275</v>
      </c>
      <c r="B192" s="54">
        <v>56.7</v>
      </c>
      <c r="C192" s="55">
        <v>51</v>
      </c>
      <c r="D192" s="55">
        <v>49</v>
      </c>
      <c r="E192" s="90">
        <v>57.4</v>
      </c>
      <c r="F192" s="55">
        <v>56.4</v>
      </c>
      <c r="G192" s="52">
        <v>64</v>
      </c>
      <c r="H192" s="90">
        <v>47</v>
      </c>
      <c r="I192" s="90">
        <v>52.5</v>
      </c>
      <c r="J192" s="90">
        <v>55.6</v>
      </c>
      <c r="K192" s="90">
        <v>55.5</v>
      </c>
      <c r="L192" s="54">
        <v>55.3</v>
      </c>
    </row>
    <row r="193" spans="1:12" x14ac:dyDescent="0.2">
      <c r="A193" s="53">
        <v>41306</v>
      </c>
      <c r="B193" s="54">
        <v>58.9</v>
      </c>
      <c r="C193" s="55">
        <v>52.5</v>
      </c>
      <c r="D193" s="55">
        <v>54.5</v>
      </c>
      <c r="E193" s="90">
        <v>61</v>
      </c>
      <c r="F193" s="55">
        <v>56.3</v>
      </c>
      <c r="G193" s="52">
        <v>62.5</v>
      </c>
      <c r="H193" s="90">
        <v>54</v>
      </c>
      <c r="I193" s="90">
        <v>51.5</v>
      </c>
      <c r="J193" s="90">
        <v>55.5</v>
      </c>
      <c r="K193" s="90">
        <v>60.5</v>
      </c>
      <c r="L193" s="54">
        <v>56.1</v>
      </c>
    </row>
    <row r="194" spans="1:12" x14ac:dyDescent="0.2">
      <c r="A194" s="53">
        <v>41334</v>
      </c>
      <c r="B194" s="54">
        <v>56.5</v>
      </c>
      <c r="C194" s="55">
        <v>57.5</v>
      </c>
      <c r="D194" s="55">
        <v>54.5</v>
      </c>
      <c r="E194" s="90">
        <v>56.2</v>
      </c>
      <c r="F194" s="55">
        <v>56.6</v>
      </c>
      <c r="G194" s="52">
        <v>59.5</v>
      </c>
      <c r="H194" s="90">
        <v>51.5</v>
      </c>
      <c r="I194" s="90">
        <v>53</v>
      </c>
      <c r="J194" s="90">
        <v>53.2</v>
      </c>
      <c r="K194" s="90">
        <v>56.5</v>
      </c>
      <c r="L194" s="54">
        <v>55.2</v>
      </c>
    </row>
    <row r="195" spans="1:12" x14ac:dyDescent="0.2">
      <c r="A195" s="53">
        <v>41365</v>
      </c>
      <c r="B195" s="54">
        <v>55.4</v>
      </c>
      <c r="C195" s="55">
        <v>58.5</v>
      </c>
      <c r="D195" s="55">
        <v>51.5</v>
      </c>
      <c r="E195" s="90">
        <v>52.7</v>
      </c>
      <c r="F195" s="55">
        <v>55.9</v>
      </c>
      <c r="G195" s="52">
        <v>60.5</v>
      </c>
      <c r="H195" s="90">
        <v>56</v>
      </c>
      <c r="I195" s="90">
        <v>51</v>
      </c>
      <c r="J195" s="90">
        <v>52.6</v>
      </c>
      <c r="K195" s="90">
        <v>53.5</v>
      </c>
      <c r="L195" s="54">
        <v>53.9</v>
      </c>
    </row>
    <row r="196" spans="1:12" x14ac:dyDescent="0.2">
      <c r="A196" s="53">
        <v>41395</v>
      </c>
      <c r="B196" s="54">
        <v>56.1</v>
      </c>
      <c r="C196" s="55">
        <v>49.5</v>
      </c>
      <c r="D196" s="55">
        <v>51.5</v>
      </c>
      <c r="E196" s="90">
        <v>52.6</v>
      </c>
      <c r="F196" s="55">
        <v>57</v>
      </c>
      <c r="G196" s="52">
        <v>62.5</v>
      </c>
      <c r="H196" s="90">
        <v>51.5</v>
      </c>
      <c r="I196" s="90">
        <v>52</v>
      </c>
      <c r="J196" s="90">
        <v>50.3</v>
      </c>
      <c r="K196" s="90">
        <v>50</v>
      </c>
      <c r="L196" s="54">
        <v>54.4</v>
      </c>
    </row>
    <row r="197" spans="1:12" x14ac:dyDescent="0.2">
      <c r="A197" s="53">
        <v>41426</v>
      </c>
      <c r="B197" s="54">
        <v>54.1</v>
      </c>
      <c r="C197" s="55">
        <v>53.5</v>
      </c>
      <c r="D197" s="55">
        <v>52</v>
      </c>
      <c r="E197" s="90">
        <v>54.8</v>
      </c>
      <c r="F197" s="55">
        <v>53.3</v>
      </c>
      <c r="G197" s="52">
        <v>61.5</v>
      </c>
      <c r="H197" s="90">
        <v>54.5</v>
      </c>
      <c r="I197" s="90">
        <v>51.5</v>
      </c>
      <c r="J197" s="90">
        <v>54.9</v>
      </c>
      <c r="K197" s="90">
        <v>47.5</v>
      </c>
      <c r="L197" s="54">
        <v>54.1</v>
      </c>
    </row>
    <row r="198" spans="1:12" x14ac:dyDescent="0.2">
      <c r="A198" s="53">
        <v>41456</v>
      </c>
      <c r="B198" s="54">
        <v>55.3</v>
      </c>
      <c r="C198" s="55">
        <v>50.5</v>
      </c>
      <c r="D198" s="55">
        <v>46.5</v>
      </c>
      <c r="E198" s="90">
        <v>56.9</v>
      </c>
      <c r="F198" s="55">
        <v>59.5</v>
      </c>
      <c r="G198" s="52">
        <v>64</v>
      </c>
      <c r="H198" s="90">
        <v>53.5</v>
      </c>
      <c r="I198" s="90">
        <v>52.5</v>
      </c>
      <c r="J198" s="90">
        <v>53.9</v>
      </c>
      <c r="K198" s="90">
        <v>49.5</v>
      </c>
      <c r="L198" s="54">
        <v>54.9</v>
      </c>
    </row>
    <row r="199" spans="1:12" x14ac:dyDescent="0.2">
      <c r="A199" s="53">
        <v>41487</v>
      </c>
      <c r="B199" s="54">
        <v>57.8</v>
      </c>
      <c r="C199" s="55">
        <v>55</v>
      </c>
      <c r="D199" s="55">
        <v>50.5</v>
      </c>
      <c r="E199" s="90">
        <v>53.2</v>
      </c>
      <c r="F199" s="55">
        <v>61</v>
      </c>
      <c r="G199" s="52">
        <v>63.5</v>
      </c>
      <c r="H199" s="90">
        <v>56</v>
      </c>
      <c r="I199" s="90">
        <v>54.5</v>
      </c>
      <c r="J199" s="90">
        <v>56.3</v>
      </c>
      <c r="K199" s="90">
        <v>50.5</v>
      </c>
      <c r="L199" s="54">
        <v>56.6</v>
      </c>
    </row>
    <row r="200" spans="1:12" x14ac:dyDescent="0.2">
      <c r="A200" s="53">
        <v>41518</v>
      </c>
      <c r="B200" s="54">
        <v>57.1</v>
      </c>
      <c r="C200" s="55">
        <v>51.5</v>
      </c>
      <c r="D200" s="55">
        <v>50.5</v>
      </c>
      <c r="E200" s="90">
        <v>57</v>
      </c>
      <c r="F200" s="55">
        <v>55.8</v>
      </c>
      <c r="G200" s="52">
        <v>62</v>
      </c>
      <c r="H200" s="90">
        <v>54.5</v>
      </c>
      <c r="I200" s="90">
        <v>50</v>
      </c>
      <c r="J200" s="90">
        <v>54.1</v>
      </c>
      <c r="K200" s="90">
        <v>57.5</v>
      </c>
      <c r="L200" s="54">
        <v>53.6</v>
      </c>
    </row>
    <row r="201" spans="1:12" x14ac:dyDescent="0.2">
      <c r="A201" s="53">
        <v>41548</v>
      </c>
      <c r="B201" s="54">
        <v>56</v>
      </c>
      <c r="C201" s="55">
        <v>55</v>
      </c>
      <c r="D201" s="55">
        <v>50</v>
      </c>
      <c r="E201" s="90">
        <v>56.7</v>
      </c>
      <c r="F201" s="55">
        <v>58.9</v>
      </c>
      <c r="G201" s="52">
        <v>62.5</v>
      </c>
      <c r="H201" s="90">
        <v>54.5</v>
      </c>
      <c r="I201" s="90">
        <v>49</v>
      </c>
      <c r="J201" s="90">
        <v>56</v>
      </c>
      <c r="K201" s="90">
        <v>53</v>
      </c>
      <c r="L201" s="54">
        <v>54.5</v>
      </c>
    </row>
    <row r="202" spans="1:12" x14ac:dyDescent="0.2">
      <c r="A202" s="53">
        <v>41579</v>
      </c>
      <c r="B202" s="54">
        <v>55.4</v>
      </c>
      <c r="C202" s="55">
        <v>55</v>
      </c>
      <c r="D202" s="55">
        <v>49</v>
      </c>
      <c r="E202" s="90">
        <v>52.9</v>
      </c>
      <c r="F202" s="55">
        <v>55.3</v>
      </c>
      <c r="G202" s="52">
        <v>60.5</v>
      </c>
      <c r="H202" s="90">
        <v>54</v>
      </c>
      <c r="I202" s="90">
        <v>51</v>
      </c>
      <c r="J202" s="90">
        <v>54.5</v>
      </c>
      <c r="K202" s="90">
        <v>58</v>
      </c>
      <c r="L202" s="54">
        <v>53.8</v>
      </c>
    </row>
    <row r="203" spans="1:12" x14ac:dyDescent="0.2">
      <c r="A203" s="53">
        <v>41609</v>
      </c>
      <c r="B203" s="54">
        <v>50.2</v>
      </c>
      <c r="C203" s="55">
        <v>50.5</v>
      </c>
      <c r="D203" s="55">
        <v>46</v>
      </c>
      <c r="E203" s="90">
        <v>56</v>
      </c>
      <c r="F203" s="55">
        <v>54.3</v>
      </c>
      <c r="G203" s="52">
        <v>57.5</v>
      </c>
      <c r="H203" s="90">
        <v>48</v>
      </c>
      <c r="I203" s="90">
        <v>51.5</v>
      </c>
      <c r="J203" s="90">
        <v>55.6</v>
      </c>
      <c r="K203" s="90">
        <v>51.5</v>
      </c>
      <c r="L203" s="54">
        <v>52.9</v>
      </c>
    </row>
    <row r="204" spans="1:12" x14ac:dyDescent="0.2">
      <c r="A204" s="53">
        <v>41640</v>
      </c>
      <c r="B204" s="54">
        <v>52.9</v>
      </c>
      <c r="C204" s="55">
        <v>48</v>
      </c>
      <c r="D204" s="55">
        <v>49</v>
      </c>
      <c r="E204" s="90">
        <v>58.1</v>
      </c>
      <c r="F204" s="55">
        <v>56.3</v>
      </c>
      <c r="G204" s="52">
        <v>63</v>
      </c>
      <c r="H204" s="90">
        <v>50.5</v>
      </c>
      <c r="I204" s="90">
        <v>52.5</v>
      </c>
      <c r="J204" s="90">
        <v>56.4</v>
      </c>
      <c r="K204" s="90">
        <v>49</v>
      </c>
      <c r="L204" s="54">
        <v>54.7</v>
      </c>
    </row>
    <row r="205" spans="1:12" x14ac:dyDescent="0.2">
      <c r="A205" s="53">
        <v>41671</v>
      </c>
      <c r="B205" s="54">
        <v>54.4</v>
      </c>
      <c r="C205" s="55">
        <v>47</v>
      </c>
      <c r="D205" s="55">
        <v>52</v>
      </c>
      <c r="E205" s="90">
        <v>56.9</v>
      </c>
      <c r="F205" s="55">
        <v>54.6</v>
      </c>
      <c r="G205" s="52">
        <v>62</v>
      </c>
      <c r="H205" s="90">
        <v>50.5</v>
      </c>
      <c r="I205" s="90">
        <v>53</v>
      </c>
      <c r="J205" s="90">
        <v>47.5</v>
      </c>
      <c r="K205" s="90">
        <v>47.5</v>
      </c>
      <c r="L205" s="54">
        <v>53</v>
      </c>
    </row>
    <row r="206" spans="1:12" x14ac:dyDescent="0.2">
      <c r="A206" s="53">
        <v>41699</v>
      </c>
      <c r="B206" s="54">
        <v>55.3</v>
      </c>
      <c r="C206" s="55">
        <v>50.5</v>
      </c>
      <c r="D206" s="55">
        <v>51.5</v>
      </c>
      <c r="E206" s="90">
        <v>58.4</v>
      </c>
      <c r="F206" s="55">
        <v>53.4</v>
      </c>
      <c r="G206" s="52">
        <v>60.5</v>
      </c>
      <c r="H206" s="90">
        <v>48</v>
      </c>
      <c r="I206" s="90">
        <v>52</v>
      </c>
      <c r="J206" s="90">
        <v>53.6</v>
      </c>
      <c r="K206" s="90">
        <v>49.5</v>
      </c>
      <c r="L206" s="54">
        <v>54.2</v>
      </c>
    </row>
    <row r="207" spans="1:12" x14ac:dyDescent="0.2">
      <c r="A207" s="53">
        <v>41730</v>
      </c>
      <c r="B207" s="54">
        <v>58</v>
      </c>
      <c r="C207" s="55">
        <v>55.5</v>
      </c>
      <c r="D207" s="55">
        <v>49</v>
      </c>
      <c r="E207" s="90">
        <v>60.5</v>
      </c>
      <c r="F207" s="55">
        <v>60.9</v>
      </c>
      <c r="G207" s="52">
        <v>65</v>
      </c>
      <c r="H207" s="90">
        <v>55.5</v>
      </c>
      <c r="I207" s="90">
        <v>50.5</v>
      </c>
      <c r="J207" s="90">
        <v>51.3</v>
      </c>
      <c r="K207" s="90">
        <v>57</v>
      </c>
      <c r="L207" s="54">
        <v>55.2</v>
      </c>
    </row>
    <row r="208" spans="1:12" x14ac:dyDescent="0.2">
      <c r="A208" s="53">
        <v>41760</v>
      </c>
      <c r="B208" s="54">
        <v>60.2</v>
      </c>
      <c r="C208" s="55">
        <v>55.5</v>
      </c>
      <c r="D208" s="55">
        <v>54</v>
      </c>
      <c r="E208" s="90">
        <v>58.7</v>
      </c>
      <c r="F208" s="55">
        <v>62.1</v>
      </c>
      <c r="G208" s="52">
        <v>63</v>
      </c>
      <c r="H208" s="90">
        <v>55.5</v>
      </c>
      <c r="I208" s="90">
        <v>50</v>
      </c>
      <c r="J208" s="90">
        <v>52.4</v>
      </c>
      <c r="K208" s="90">
        <v>53</v>
      </c>
      <c r="L208" s="54">
        <v>56.9</v>
      </c>
    </row>
    <row r="209" spans="1:12" x14ac:dyDescent="0.2">
      <c r="A209" s="53">
        <v>41791</v>
      </c>
      <c r="B209" s="54">
        <v>60.9</v>
      </c>
      <c r="C209" s="55">
        <v>53</v>
      </c>
      <c r="D209" s="55">
        <v>53</v>
      </c>
      <c r="E209" s="90">
        <v>59.3</v>
      </c>
      <c r="F209" s="55">
        <v>57.5</v>
      </c>
      <c r="G209" s="52">
        <v>60.5</v>
      </c>
      <c r="H209" s="90">
        <v>53.5</v>
      </c>
      <c r="I209" s="90">
        <v>51</v>
      </c>
      <c r="J209" s="90">
        <v>54.4</v>
      </c>
      <c r="K209" s="90">
        <v>55</v>
      </c>
      <c r="L209" s="54">
        <v>56.6</v>
      </c>
    </row>
    <row r="210" spans="1:12" x14ac:dyDescent="0.2">
      <c r="A210" s="53">
        <v>41821</v>
      </c>
      <c r="B210" s="54">
        <v>60.7</v>
      </c>
      <c r="C210" s="55">
        <v>54.5</v>
      </c>
      <c r="D210" s="55">
        <v>53</v>
      </c>
      <c r="E210" s="90">
        <v>59.1</v>
      </c>
      <c r="F210" s="55">
        <v>62.4</v>
      </c>
      <c r="G210" s="52">
        <v>58</v>
      </c>
      <c r="H210" s="90">
        <v>51</v>
      </c>
      <c r="I210" s="90">
        <v>51.5</v>
      </c>
      <c r="J210" s="90">
        <v>56</v>
      </c>
      <c r="K210" s="90">
        <v>53</v>
      </c>
      <c r="L210" s="54">
        <v>57.1</v>
      </c>
    </row>
    <row r="211" spans="1:12" x14ac:dyDescent="0.2">
      <c r="A211" s="53">
        <v>41852</v>
      </c>
      <c r="B211" s="54">
        <v>61.4</v>
      </c>
      <c r="C211" s="55">
        <v>51</v>
      </c>
      <c r="D211" s="55">
        <v>54.5</v>
      </c>
      <c r="E211" s="90">
        <v>57.5</v>
      </c>
      <c r="F211" s="55">
        <v>65</v>
      </c>
      <c r="G211" s="52">
        <v>55</v>
      </c>
      <c r="H211" s="90">
        <v>51</v>
      </c>
      <c r="I211" s="90">
        <v>52.5</v>
      </c>
      <c r="J211" s="90">
        <v>57.1</v>
      </c>
      <c r="K211" s="90">
        <v>52.5</v>
      </c>
      <c r="L211" s="54">
        <v>58</v>
      </c>
    </row>
    <row r="212" spans="1:12" x14ac:dyDescent="0.2">
      <c r="A212" s="53">
        <v>41883</v>
      </c>
      <c r="B212" s="54">
        <v>59.9</v>
      </c>
      <c r="C212" s="55">
        <v>52.5</v>
      </c>
      <c r="D212" s="55">
        <v>52</v>
      </c>
      <c r="E212" s="90">
        <v>55.3</v>
      </c>
      <c r="F212" s="55">
        <v>62.9</v>
      </c>
      <c r="G212" s="52">
        <v>60</v>
      </c>
      <c r="H212" s="90">
        <v>52</v>
      </c>
      <c r="I212" s="90">
        <v>52</v>
      </c>
      <c r="J212" s="90">
        <v>58.5</v>
      </c>
      <c r="K212" s="90">
        <v>57.5</v>
      </c>
      <c r="L212" s="54">
        <v>57.4</v>
      </c>
    </row>
    <row r="213" spans="1:12" x14ac:dyDescent="0.2">
      <c r="A213" s="53">
        <v>41913</v>
      </c>
      <c r="B213" s="54">
        <v>58.5</v>
      </c>
      <c r="C213" s="55">
        <v>56</v>
      </c>
      <c r="D213" s="55">
        <v>51.5</v>
      </c>
      <c r="E213" s="90">
        <v>52.3</v>
      </c>
      <c r="F213" s="55">
        <v>60</v>
      </c>
      <c r="G213" s="52">
        <v>58.5</v>
      </c>
      <c r="H213" s="90">
        <v>49.5</v>
      </c>
      <c r="I213" s="90">
        <v>49.5</v>
      </c>
      <c r="J213" s="90">
        <v>59.6</v>
      </c>
      <c r="K213" s="90">
        <v>53.5</v>
      </c>
      <c r="L213" s="54">
        <v>56</v>
      </c>
    </row>
    <row r="214" spans="1:12" x14ac:dyDescent="0.2">
      <c r="A214" s="53">
        <v>41944</v>
      </c>
      <c r="B214" s="54">
        <v>61.4</v>
      </c>
      <c r="C214" s="55">
        <v>53.5</v>
      </c>
      <c r="D214" s="55">
        <v>55.5</v>
      </c>
      <c r="E214" s="90">
        <v>54.3</v>
      </c>
      <c r="F214" s="55">
        <v>64.400000000000006</v>
      </c>
      <c r="G214" s="52">
        <v>63</v>
      </c>
      <c r="H214" s="90">
        <v>55.5</v>
      </c>
      <c r="I214" s="90">
        <v>54.5</v>
      </c>
      <c r="J214" s="90">
        <v>56.7</v>
      </c>
      <c r="K214" s="90">
        <v>57</v>
      </c>
      <c r="L214" s="54">
        <v>58.7</v>
      </c>
    </row>
    <row r="215" spans="1:12" x14ac:dyDescent="0.2">
      <c r="A215" s="53">
        <v>41974</v>
      </c>
      <c r="B215" s="54">
        <v>58.7</v>
      </c>
      <c r="C215" s="55">
        <v>50</v>
      </c>
      <c r="D215" s="55">
        <v>49.5</v>
      </c>
      <c r="E215" s="90">
        <v>50.3</v>
      </c>
      <c r="F215" s="55">
        <v>57.2</v>
      </c>
      <c r="G215" s="52">
        <v>59</v>
      </c>
      <c r="H215" s="90">
        <v>50</v>
      </c>
      <c r="I215" s="90">
        <v>52.5</v>
      </c>
      <c r="J215" s="90">
        <v>56</v>
      </c>
      <c r="K215" s="90">
        <v>53.5</v>
      </c>
      <c r="L215" s="54">
        <v>56.4</v>
      </c>
    </row>
    <row r="216" spans="1:12" x14ac:dyDescent="0.2">
      <c r="A216" s="53">
        <v>42005</v>
      </c>
      <c r="B216" s="54">
        <v>60.5</v>
      </c>
      <c r="C216" s="55">
        <v>46.5</v>
      </c>
      <c r="D216" s="55">
        <v>49</v>
      </c>
      <c r="E216" s="90">
        <v>47.1</v>
      </c>
      <c r="F216" s="55">
        <v>61.5</v>
      </c>
      <c r="G216" s="52">
        <v>61.5</v>
      </c>
      <c r="H216" s="90">
        <v>52.5</v>
      </c>
      <c r="I216" s="90">
        <v>54</v>
      </c>
      <c r="J216" s="90">
        <v>51.6</v>
      </c>
      <c r="K216" s="90">
        <v>52.5</v>
      </c>
      <c r="L216" s="54">
        <v>57.3</v>
      </c>
    </row>
    <row r="217" spans="1:12" x14ac:dyDescent="0.2">
      <c r="A217" s="53">
        <v>42036</v>
      </c>
      <c r="B217" s="54">
        <v>58.8</v>
      </c>
      <c r="C217" s="55">
        <v>51</v>
      </c>
      <c r="D217" s="55">
        <v>53</v>
      </c>
      <c r="E217" s="90">
        <v>50.7</v>
      </c>
      <c r="F217" s="55">
        <v>59.4</v>
      </c>
      <c r="G217" s="52">
        <v>62</v>
      </c>
      <c r="H217" s="90">
        <v>54.5</v>
      </c>
      <c r="I217" s="90">
        <v>55</v>
      </c>
      <c r="J217" s="90">
        <v>56.4</v>
      </c>
      <c r="K217" s="90">
        <v>53</v>
      </c>
      <c r="L217" s="54">
        <v>57.6</v>
      </c>
    </row>
    <row r="218" spans="1:12" x14ac:dyDescent="0.2">
      <c r="A218" s="53">
        <v>42064</v>
      </c>
      <c r="B218" s="54">
        <v>58.9</v>
      </c>
      <c r="C218" s="55">
        <v>55.5</v>
      </c>
      <c r="D218" s="55">
        <v>53.5</v>
      </c>
      <c r="E218" s="90">
        <v>53.3</v>
      </c>
      <c r="F218" s="55">
        <v>57.5</v>
      </c>
      <c r="G218" s="52">
        <v>61</v>
      </c>
      <c r="H218" s="90">
        <v>49.5</v>
      </c>
      <c r="I218" s="90">
        <v>54</v>
      </c>
      <c r="J218" s="90">
        <v>56.6</v>
      </c>
      <c r="K218" s="90">
        <v>59</v>
      </c>
      <c r="L218" s="54">
        <v>57.5</v>
      </c>
    </row>
    <row r="219" spans="1:12" x14ac:dyDescent="0.2">
      <c r="A219" s="53">
        <v>42095</v>
      </c>
      <c r="B219" s="54">
        <v>58.7</v>
      </c>
      <c r="C219" s="55">
        <v>51.5</v>
      </c>
      <c r="D219" s="55">
        <v>54.5</v>
      </c>
      <c r="E219" s="90">
        <v>50.2</v>
      </c>
      <c r="F219" s="55">
        <v>61.6</v>
      </c>
      <c r="G219" s="52">
        <v>59.5</v>
      </c>
      <c r="H219" s="90">
        <v>51</v>
      </c>
      <c r="I219" s="90">
        <v>53.5</v>
      </c>
      <c r="J219" s="90">
        <v>56.7</v>
      </c>
      <c r="K219" s="90">
        <v>48.5</v>
      </c>
      <c r="L219" s="54">
        <v>57.5</v>
      </c>
    </row>
    <row r="220" spans="1:12" x14ac:dyDescent="0.2">
      <c r="A220" s="53">
        <v>42125</v>
      </c>
      <c r="B220" s="54">
        <v>58.4</v>
      </c>
      <c r="C220" s="55">
        <v>53.5</v>
      </c>
      <c r="D220" s="55">
        <v>48.5</v>
      </c>
      <c r="E220" s="90">
        <v>54</v>
      </c>
      <c r="F220" s="55">
        <v>59.5</v>
      </c>
      <c r="G220" s="52">
        <v>59</v>
      </c>
      <c r="H220" s="90">
        <v>51</v>
      </c>
      <c r="I220" s="90">
        <v>50</v>
      </c>
      <c r="J220" s="90">
        <v>55.3</v>
      </c>
      <c r="K220" s="90">
        <v>55</v>
      </c>
      <c r="L220" s="54">
        <v>56.8</v>
      </c>
    </row>
    <row r="221" spans="1:12" x14ac:dyDescent="0.2">
      <c r="A221" s="53">
        <v>42156</v>
      </c>
      <c r="B221" s="54">
        <v>58.3</v>
      </c>
      <c r="C221" s="90">
        <v>48</v>
      </c>
      <c r="D221" s="55">
        <v>50.5</v>
      </c>
      <c r="E221" s="90">
        <v>52.3</v>
      </c>
      <c r="F221" s="90">
        <v>61.5</v>
      </c>
      <c r="G221" s="52">
        <v>65</v>
      </c>
      <c r="H221" s="90">
        <v>55</v>
      </c>
      <c r="I221" s="90">
        <v>51.5</v>
      </c>
      <c r="J221" s="90">
        <v>52.7</v>
      </c>
      <c r="K221" s="90">
        <v>52</v>
      </c>
      <c r="L221" s="54">
        <v>56</v>
      </c>
    </row>
    <row r="222" spans="1:12" x14ac:dyDescent="0.2">
      <c r="A222" s="53">
        <v>42186</v>
      </c>
      <c r="B222" s="54">
        <v>60.9</v>
      </c>
      <c r="C222" s="90">
        <v>50.5</v>
      </c>
      <c r="D222" s="55">
        <v>54</v>
      </c>
      <c r="E222" s="90">
        <v>52.8</v>
      </c>
      <c r="F222" s="90">
        <v>64.900000000000006</v>
      </c>
      <c r="G222" s="52">
        <v>63.5</v>
      </c>
      <c r="H222" s="90">
        <v>57</v>
      </c>
      <c r="I222" s="90">
        <v>53</v>
      </c>
      <c r="J222" s="90">
        <v>59.6</v>
      </c>
      <c r="K222" s="90">
        <v>56.5</v>
      </c>
      <c r="L222" s="54">
        <v>59.3</v>
      </c>
    </row>
    <row r="223" spans="1:12" x14ac:dyDescent="0.2">
      <c r="A223" s="53">
        <v>42217</v>
      </c>
      <c r="B223" s="54">
        <v>62.7</v>
      </c>
      <c r="C223" s="90">
        <v>51.5</v>
      </c>
      <c r="D223" s="55">
        <v>56.5</v>
      </c>
      <c r="E223" s="90">
        <v>50.9</v>
      </c>
      <c r="F223" s="90">
        <v>63.9</v>
      </c>
      <c r="G223" s="52">
        <v>69</v>
      </c>
      <c r="H223" s="90">
        <v>54.5</v>
      </c>
      <c r="I223" s="90">
        <v>52.5</v>
      </c>
      <c r="J223" s="90">
        <v>56</v>
      </c>
      <c r="K223" s="90">
        <v>52</v>
      </c>
      <c r="L223" s="54">
        <v>58.4</v>
      </c>
    </row>
    <row r="224" spans="1:12" x14ac:dyDescent="0.2">
      <c r="A224" s="53">
        <v>42248</v>
      </c>
      <c r="B224" s="54">
        <v>56</v>
      </c>
      <c r="C224" s="90">
        <v>53</v>
      </c>
      <c r="D224" s="55">
        <v>54.5</v>
      </c>
      <c r="E224" s="90">
        <v>48.7</v>
      </c>
      <c r="F224" s="90">
        <v>60.2</v>
      </c>
      <c r="G224" s="52">
        <v>65</v>
      </c>
      <c r="H224" s="90">
        <v>51</v>
      </c>
      <c r="I224" s="90">
        <v>52.5</v>
      </c>
      <c r="J224" s="90">
        <v>58.3</v>
      </c>
      <c r="K224" s="90">
        <v>52.5</v>
      </c>
      <c r="L224" s="54">
        <v>56.1</v>
      </c>
    </row>
    <row r="225" spans="1:12" x14ac:dyDescent="0.2">
      <c r="A225" s="53">
        <v>42278</v>
      </c>
      <c r="B225" s="54">
        <v>61</v>
      </c>
      <c r="C225" s="90">
        <v>54.5</v>
      </c>
      <c r="D225" s="55">
        <v>54.5</v>
      </c>
      <c r="E225" s="90">
        <v>48.4</v>
      </c>
      <c r="F225" s="90">
        <v>63</v>
      </c>
      <c r="G225" s="52">
        <v>63</v>
      </c>
      <c r="H225" s="90">
        <v>52.5</v>
      </c>
      <c r="I225" s="90">
        <v>52</v>
      </c>
      <c r="J225" s="90">
        <v>59.2</v>
      </c>
      <c r="K225" s="90">
        <v>54.5</v>
      </c>
      <c r="L225" s="54">
        <v>57.9</v>
      </c>
    </row>
    <row r="226" spans="1:12" x14ac:dyDescent="0.2">
      <c r="A226" s="53">
        <v>42309</v>
      </c>
      <c r="B226" s="54">
        <v>58.2</v>
      </c>
      <c r="C226" s="90">
        <v>51</v>
      </c>
      <c r="D226" s="55">
        <v>51.5</v>
      </c>
      <c r="E226" s="90">
        <v>49.1</v>
      </c>
      <c r="F226" s="90">
        <v>58.2</v>
      </c>
      <c r="G226" s="52">
        <v>63.5</v>
      </c>
      <c r="H226" s="90">
        <v>54.5</v>
      </c>
      <c r="I226" s="90">
        <v>53</v>
      </c>
      <c r="J226" s="90">
        <v>55</v>
      </c>
      <c r="K226" s="90">
        <v>49.5</v>
      </c>
      <c r="L226" s="54">
        <v>55.8</v>
      </c>
    </row>
    <row r="227" spans="1:12" x14ac:dyDescent="0.2">
      <c r="A227" s="53">
        <v>42339</v>
      </c>
      <c r="B227" s="54">
        <v>57.9</v>
      </c>
      <c r="C227" s="90">
        <v>49</v>
      </c>
      <c r="D227" s="55">
        <v>50</v>
      </c>
      <c r="E227" s="90">
        <v>50.1</v>
      </c>
      <c r="F227" s="90">
        <v>58.7</v>
      </c>
      <c r="G227" s="52">
        <v>64.5</v>
      </c>
      <c r="H227" s="90">
        <v>53</v>
      </c>
      <c r="I227" s="90">
        <v>48.5</v>
      </c>
      <c r="J227" s="90">
        <v>55.7</v>
      </c>
      <c r="K227" s="90">
        <v>53.5</v>
      </c>
      <c r="L227" s="54">
        <v>55.3</v>
      </c>
    </row>
    <row r="228" spans="1:12" x14ac:dyDescent="0.2">
      <c r="A228" s="53">
        <v>42370</v>
      </c>
      <c r="B228" s="54">
        <v>57</v>
      </c>
      <c r="C228" s="90">
        <v>46</v>
      </c>
      <c r="D228" s="55">
        <v>52</v>
      </c>
      <c r="E228" s="90">
        <v>47.3</v>
      </c>
      <c r="F228" s="90">
        <v>53.9</v>
      </c>
      <c r="G228" s="52">
        <v>61.5</v>
      </c>
      <c r="H228" s="90">
        <v>51.5</v>
      </c>
      <c r="I228" s="90">
        <v>51.5</v>
      </c>
      <c r="J228" s="90">
        <v>52.1</v>
      </c>
      <c r="K228" s="90">
        <v>45.5</v>
      </c>
      <c r="L228" s="54">
        <v>54</v>
      </c>
    </row>
    <row r="229" spans="1:12" x14ac:dyDescent="0.2">
      <c r="A229" s="53">
        <v>42401</v>
      </c>
      <c r="B229" s="54">
        <v>56.8</v>
      </c>
      <c r="C229" s="90">
        <v>55.5</v>
      </c>
      <c r="D229" s="55">
        <v>52</v>
      </c>
      <c r="E229" s="90">
        <v>45.6</v>
      </c>
      <c r="F229" s="90">
        <v>57.8</v>
      </c>
      <c r="G229" s="52">
        <v>62</v>
      </c>
      <c r="H229" s="90">
        <v>52.5</v>
      </c>
      <c r="I229" s="90">
        <v>50.5</v>
      </c>
      <c r="J229" s="90">
        <v>49.7</v>
      </c>
      <c r="K229" s="90">
        <v>53.5</v>
      </c>
      <c r="L229" s="54">
        <v>54</v>
      </c>
    </row>
    <row r="230" spans="1:12" x14ac:dyDescent="0.2">
      <c r="A230" s="53">
        <v>42430</v>
      </c>
      <c r="B230" s="54">
        <v>57.4</v>
      </c>
      <c r="C230" s="90">
        <v>53</v>
      </c>
      <c r="D230" s="55">
        <v>52</v>
      </c>
      <c r="E230" s="90">
        <v>50.4</v>
      </c>
      <c r="F230" s="90">
        <v>59.8</v>
      </c>
      <c r="G230" s="52">
        <v>62.5</v>
      </c>
      <c r="H230" s="90">
        <v>52.5</v>
      </c>
      <c r="I230" s="90">
        <v>51</v>
      </c>
      <c r="J230" s="90">
        <v>50.3</v>
      </c>
      <c r="K230" s="90">
        <v>58.5</v>
      </c>
      <c r="L230" s="54">
        <v>55.2</v>
      </c>
    </row>
    <row r="231" spans="1:12" x14ac:dyDescent="0.2">
      <c r="A231" s="53">
        <v>42461</v>
      </c>
      <c r="B231" s="54">
        <v>59.5</v>
      </c>
      <c r="C231" s="90">
        <v>54</v>
      </c>
      <c r="D231" s="55">
        <v>51.5</v>
      </c>
      <c r="E231" s="90">
        <v>53.6</v>
      </c>
      <c r="F231" s="90">
        <v>58.8</v>
      </c>
      <c r="G231" s="52">
        <v>61</v>
      </c>
      <c r="H231" s="90">
        <v>54</v>
      </c>
      <c r="I231" s="90">
        <v>51</v>
      </c>
      <c r="J231" s="90">
        <v>53</v>
      </c>
      <c r="K231" s="90">
        <v>56.5</v>
      </c>
      <c r="L231" s="54">
        <v>55.6</v>
      </c>
    </row>
    <row r="232" spans="1:12" x14ac:dyDescent="0.2">
      <c r="A232" s="53">
        <v>42491</v>
      </c>
      <c r="B232" s="54">
        <v>54.8</v>
      </c>
      <c r="C232" s="90">
        <v>53.5</v>
      </c>
      <c r="D232" s="55">
        <v>50</v>
      </c>
      <c r="E232" s="90">
        <v>55.5</v>
      </c>
      <c r="F232" s="90">
        <v>55.1</v>
      </c>
      <c r="G232" s="52">
        <v>60</v>
      </c>
      <c r="H232" s="90">
        <v>54</v>
      </c>
      <c r="I232" s="90">
        <v>52.5</v>
      </c>
      <c r="J232" s="90">
        <v>49.7</v>
      </c>
      <c r="K232" s="90">
        <v>49</v>
      </c>
      <c r="L232" s="54">
        <v>53.8</v>
      </c>
    </row>
    <row r="233" spans="1:12" x14ac:dyDescent="0.2">
      <c r="A233" s="53">
        <v>42522</v>
      </c>
      <c r="B233" s="54">
        <v>58.9</v>
      </c>
      <c r="C233" s="90">
        <v>54</v>
      </c>
      <c r="D233" s="55">
        <v>47.5</v>
      </c>
      <c r="E233" s="90">
        <v>55.7</v>
      </c>
      <c r="F233" s="90">
        <v>59.5</v>
      </c>
      <c r="G233" s="52">
        <v>62.5</v>
      </c>
      <c r="H233" s="90">
        <v>55.5</v>
      </c>
      <c r="I233" s="90">
        <v>54</v>
      </c>
      <c r="J233" s="90">
        <v>52.7</v>
      </c>
      <c r="K233" s="90">
        <v>53</v>
      </c>
      <c r="L233" s="54">
        <v>56</v>
      </c>
    </row>
    <row r="234" spans="1:12" x14ac:dyDescent="0.2">
      <c r="A234" s="53">
        <v>42552</v>
      </c>
      <c r="B234" s="54">
        <v>58.5</v>
      </c>
      <c r="C234" s="90">
        <v>53</v>
      </c>
      <c r="D234" s="55">
        <v>51</v>
      </c>
      <c r="E234" s="90">
        <v>52.7</v>
      </c>
      <c r="F234" s="90">
        <v>59.3</v>
      </c>
      <c r="G234" s="52">
        <v>63</v>
      </c>
      <c r="H234" s="90">
        <v>54</v>
      </c>
      <c r="I234" s="90">
        <v>51</v>
      </c>
      <c r="J234" s="90">
        <v>51.4</v>
      </c>
      <c r="K234" s="90">
        <v>55.5</v>
      </c>
      <c r="L234" s="54">
        <v>55.2</v>
      </c>
    </row>
    <row r="235" spans="1:12" x14ac:dyDescent="0.2">
      <c r="A235" s="53">
        <v>42583</v>
      </c>
      <c r="B235" s="54">
        <v>52</v>
      </c>
      <c r="C235" s="90">
        <v>50.5</v>
      </c>
      <c r="D235" s="55">
        <v>49.5</v>
      </c>
      <c r="E235" s="90">
        <v>52</v>
      </c>
      <c r="F235" s="90">
        <v>51.8</v>
      </c>
      <c r="G235" s="52">
        <v>64</v>
      </c>
      <c r="H235" s="90">
        <v>48</v>
      </c>
      <c r="I235" s="90">
        <v>51.5</v>
      </c>
      <c r="J235" s="90">
        <v>50.7</v>
      </c>
      <c r="K235" s="90">
        <v>46.5</v>
      </c>
      <c r="L235" s="54">
        <v>51.6</v>
      </c>
    </row>
    <row r="236" spans="1:12" x14ac:dyDescent="0.2">
      <c r="A236" s="53">
        <v>42614</v>
      </c>
      <c r="B236" s="54">
        <v>59.6</v>
      </c>
      <c r="C236" s="90">
        <v>51</v>
      </c>
      <c r="D236" s="55">
        <v>52</v>
      </c>
      <c r="E236" s="90">
        <v>53.4</v>
      </c>
      <c r="F236" s="90">
        <v>60.3</v>
      </c>
      <c r="G236" s="52">
        <v>64.5</v>
      </c>
      <c r="H236" s="90">
        <v>51.5</v>
      </c>
      <c r="I236" s="90">
        <v>51</v>
      </c>
      <c r="J236" s="90">
        <v>57.2</v>
      </c>
      <c r="K236" s="90">
        <v>56.5</v>
      </c>
      <c r="L236" s="54">
        <v>56.3</v>
      </c>
    </row>
    <row r="237" spans="1:12" x14ac:dyDescent="0.2">
      <c r="A237" s="53">
        <v>42644</v>
      </c>
      <c r="B237" s="54">
        <v>57.7</v>
      </c>
      <c r="C237" s="90">
        <v>53</v>
      </c>
      <c r="D237" s="55">
        <v>52</v>
      </c>
      <c r="E237" s="90">
        <v>54.9</v>
      </c>
      <c r="F237" s="90">
        <v>57.7</v>
      </c>
      <c r="G237" s="52">
        <v>62</v>
      </c>
      <c r="H237" s="90">
        <v>52</v>
      </c>
      <c r="I237" s="90">
        <v>50.5</v>
      </c>
      <c r="J237" s="90">
        <v>53.1</v>
      </c>
      <c r="K237" s="90">
        <v>55.5</v>
      </c>
      <c r="L237" s="54">
        <v>54.4</v>
      </c>
    </row>
    <row r="238" spans="1:12" x14ac:dyDescent="0.2">
      <c r="A238" s="53">
        <v>42675</v>
      </c>
      <c r="B238" s="54">
        <v>57.4</v>
      </c>
      <c r="C238" s="90">
        <v>54</v>
      </c>
      <c r="D238" s="55">
        <v>51</v>
      </c>
      <c r="E238" s="90">
        <v>55</v>
      </c>
      <c r="F238" s="90">
        <v>61.7</v>
      </c>
      <c r="G238" s="52">
        <v>60.5</v>
      </c>
      <c r="H238" s="90">
        <v>51.5</v>
      </c>
      <c r="I238" s="90">
        <v>52</v>
      </c>
      <c r="J238" s="90">
        <v>58.2</v>
      </c>
      <c r="K238" s="90">
        <v>57</v>
      </c>
      <c r="L238" s="54">
        <v>56.2</v>
      </c>
    </row>
    <row r="239" spans="1:12" x14ac:dyDescent="0.2">
      <c r="A239" s="53">
        <v>42705</v>
      </c>
      <c r="B239" s="54">
        <v>60.7</v>
      </c>
      <c r="C239" s="90">
        <v>50</v>
      </c>
      <c r="D239" s="55">
        <v>48</v>
      </c>
      <c r="E239" s="90">
        <v>55.4</v>
      </c>
      <c r="F239" s="90">
        <v>61.4</v>
      </c>
      <c r="G239" s="52">
        <v>61.5</v>
      </c>
      <c r="H239" s="90">
        <v>52</v>
      </c>
      <c r="I239" s="90">
        <v>52</v>
      </c>
      <c r="J239" s="90">
        <v>53.8</v>
      </c>
      <c r="K239" s="90">
        <v>53</v>
      </c>
      <c r="L239" s="54">
        <v>56.7</v>
      </c>
    </row>
    <row r="240" spans="1:12" x14ac:dyDescent="0.2">
      <c r="A240" s="53">
        <v>42736</v>
      </c>
      <c r="B240" s="54">
        <v>58.6</v>
      </c>
      <c r="C240" s="90">
        <v>54</v>
      </c>
      <c r="D240" s="55">
        <v>50</v>
      </c>
      <c r="E240" s="90">
        <v>57.5</v>
      </c>
      <c r="F240" s="90">
        <v>60.3</v>
      </c>
      <c r="G240" s="52">
        <v>62</v>
      </c>
      <c r="H240" s="90">
        <v>48</v>
      </c>
      <c r="I240" s="90">
        <v>52.5</v>
      </c>
      <c r="J240" s="90">
        <v>54.7</v>
      </c>
      <c r="K240" s="90">
        <v>48</v>
      </c>
      <c r="L240" s="54">
        <v>56.8</v>
      </c>
    </row>
    <row r="241" spans="1:12" x14ac:dyDescent="0.2">
      <c r="A241" s="53">
        <v>42767</v>
      </c>
      <c r="B241" s="54">
        <v>61.2</v>
      </c>
      <c r="C241" s="90">
        <v>51</v>
      </c>
      <c r="D241" s="55">
        <v>54</v>
      </c>
      <c r="E241" s="90">
        <v>57.1</v>
      </c>
      <c r="F241" s="90">
        <v>63.6</v>
      </c>
      <c r="G241" s="52">
        <v>64.5</v>
      </c>
      <c r="H241" s="90">
        <v>52</v>
      </c>
      <c r="I241" s="90">
        <v>50.5</v>
      </c>
      <c r="J241" s="90">
        <v>55.2</v>
      </c>
      <c r="K241" s="90">
        <v>57</v>
      </c>
      <c r="L241" s="54">
        <v>57.4</v>
      </c>
    </row>
    <row r="242" spans="1:12" x14ac:dyDescent="0.2">
      <c r="A242" s="53">
        <v>42795</v>
      </c>
      <c r="B242" s="54">
        <v>58.9</v>
      </c>
      <c r="C242" s="90">
        <v>56.5</v>
      </c>
      <c r="D242" s="55">
        <v>53</v>
      </c>
      <c r="E242" s="90">
        <v>54.3</v>
      </c>
      <c r="F242" s="90">
        <v>58.9</v>
      </c>
      <c r="G242" s="52">
        <v>65</v>
      </c>
      <c r="H242" s="90">
        <v>48.5</v>
      </c>
      <c r="I242" s="90">
        <v>51.5</v>
      </c>
      <c r="J242" s="90">
        <v>51.6</v>
      </c>
      <c r="K242" s="90">
        <v>62.5</v>
      </c>
      <c r="L242" s="54">
        <v>55.6</v>
      </c>
    </row>
    <row r="243" spans="1:12" x14ac:dyDescent="0.2">
      <c r="A243" s="53">
        <v>42826</v>
      </c>
      <c r="B243" s="54">
        <v>63.2</v>
      </c>
      <c r="C243" s="90">
        <v>53</v>
      </c>
      <c r="D243" s="55">
        <v>53.5</v>
      </c>
      <c r="E243" s="90">
        <v>58</v>
      </c>
      <c r="F243" s="90">
        <v>62.4</v>
      </c>
      <c r="G243" s="52">
        <v>60</v>
      </c>
      <c r="H243" s="90">
        <v>52.5</v>
      </c>
      <c r="I243" s="90">
        <v>53</v>
      </c>
      <c r="J243" s="90">
        <v>51.4</v>
      </c>
      <c r="K243" s="90">
        <v>65.5</v>
      </c>
      <c r="L243" s="54">
        <v>57.3</v>
      </c>
    </row>
    <row r="244" spans="1:12" x14ac:dyDescent="0.2">
      <c r="A244" s="53">
        <v>42856</v>
      </c>
      <c r="B244" s="54">
        <v>57.7</v>
      </c>
      <c r="C244" s="90">
        <v>48.5</v>
      </c>
      <c r="D244" s="55">
        <v>57</v>
      </c>
      <c r="E244" s="90">
        <v>50.1</v>
      </c>
      <c r="F244" s="90">
        <v>60.7</v>
      </c>
      <c r="G244" s="52">
        <v>63</v>
      </c>
      <c r="H244" s="90">
        <v>54</v>
      </c>
      <c r="I244" s="90">
        <v>51.5</v>
      </c>
      <c r="J244" s="90">
        <v>57.8</v>
      </c>
      <c r="K244" s="90">
        <v>54.5</v>
      </c>
      <c r="L244" s="54">
        <v>57.1</v>
      </c>
    </row>
    <row r="245" spans="1:12" x14ac:dyDescent="0.2">
      <c r="A245" s="53">
        <v>42887</v>
      </c>
      <c r="B245" s="54">
        <v>60.5</v>
      </c>
      <c r="C245" s="90">
        <v>51</v>
      </c>
      <c r="D245" s="55">
        <v>52.5</v>
      </c>
      <c r="E245" s="90">
        <v>53.3</v>
      </c>
      <c r="F245" s="90">
        <v>60.8</v>
      </c>
      <c r="G245" s="52">
        <v>62</v>
      </c>
      <c r="H245" s="90">
        <v>57.5</v>
      </c>
      <c r="I245" s="90">
        <v>52.5</v>
      </c>
      <c r="J245" s="90">
        <v>55.8</v>
      </c>
      <c r="K245" s="90">
        <v>55</v>
      </c>
      <c r="L245" s="54">
        <v>57.2</v>
      </c>
    </row>
    <row r="246" spans="1:12" x14ac:dyDescent="0.2">
      <c r="A246" s="53">
        <v>42917</v>
      </c>
      <c r="B246" s="54">
        <v>55.1</v>
      </c>
      <c r="C246" s="90">
        <v>51.5</v>
      </c>
      <c r="D246" s="55">
        <v>52</v>
      </c>
      <c r="E246" s="90">
        <v>56.4</v>
      </c>
      <c r="F246" s="90">
        <v>55.9</v>
      </c>
      <c r="G246" s="52">
        <v>67.5</v>
      </c>
      <c r="H246" s="90">
        <v>56.5</v>
      </c>
      <c r="I246" s="90">
        <v>51</v>
      </c>
      <c r="J246" s="90">
        <v>53.6</v>
      </c>
      <c r="K246" s="90">
        <v>53</v>
      </c>
      <c r="L246" s="54">
        <v>54.3</v>
      </c>
    </row>
    <row r="247" spans="1:12" x14ac:dyDescent="0.2">
      <c r="A247" s="53">
        <v>42948</v>
      </c>
      <c r="B247" s="54">
        <v>57.1</v>
      </c>
      <c r="C247" s="90">
        <v>50.5</v>
      </c>
      <c r="D247" s="55">
        <v>53.5</v>
      </c>
      <c r="E247" s="90">
        <v>58.1</v>
      </c>
      <c r="F247" s="90">
        <v>57.5</v>
      </c>
      <c r="G247" s="52">
        <v>61</v>
      </c>
      <c r="H247" s="90">
        <v>53.5</v>
      </c>
      <c r="I247" s="90">
        <v>50.5</v>
      </c>
      <c r="J247" s="90">
        <v>56.2</v>
      </c>
      <c r="K247" s="90">
        <v>55</v>
      </c>
      <c r="L247" s="54">
        <v>55.2</v>
      </c>
    </row>
    <row r="248" spans="1:12" x14ac:dyDescent="0.2">
      <c r="A248" s="53">
        <v>42979</v>
      </c>
      <c r="B248" s="54">
        <v>63</v>
      </c>
      <c r="C248" s="90">
        <v>52</v>
      </c>
      <c r="D248" s="55">
        <v>56</v>
      </c>
      <c r="E248" s="90">
        <v>65.900000000000006</v>
      </c>
      <c r="F248" s="90">
        <v>61.3</v>
      </c>
      <c r="G248" s="52">
        <v>58.5</v>
      </c>
      <c r="H248" s="90">
        <v>51.5</v>
      </c>
      <c r="I248" s="90">
        <v>58</v>
      </c>
      <c r="J248" s="90">
        <v>56.8</v>
      </c>
      <c r="K248" s="90">
        <v>56</v>
      </c>
      <c r="L248" s="54">
        <v>59.4</v>
      </c>
    </row>
    <row r="249" spans="1:12" x14ac:dyDescent="0.2">
      <c r="A249" s="53">
        <v>43009</v>
      </c>
      <c r="B249" s="54">
        <v>62.8</v>
      </c>
      <c r="C249" s="90">
        <v>52</v>
      </c>
      <c r="D249" s="55">
        <v>53.5</v>
      </c>
      <c r="E249" s="90">
        <v>61.5</v>
      </c>
      <c r="F249" s="90">
        <v>62.2</v>
      </c>
      <c r="G249" s="52">
        <v>61</v>
      </c>
      <c r="H249" s="90">
        <v>52.5</v>
      </c>
      <c r="I249" s="90">
        <v>58</v>
      </c>
      <c r="J249" s="90">
        <v>57.5</v>
      </c>
      <c r="K249" s="90">
        <v>60</v>
      </c>
      <c r="L249" s="54">
        <v>59.8</v>
      </c>
    </row>
    <row r="250" spans="1:12" x14ac:dyDescent="0.2">
      <c r="A250" s="53">
        <v>43040</v>
      </c>
      <c r="B250" s="54">
        <v>58.7</v>
      </c>
      <c r="C250" s="90">
        <v>52.5</v>
      </c>
      <c r="D250" s="55">
        <v>51.5</v>
      </c>
      <c r="E250" s="90">
        <v>60.1</v>
      </c>
      <c r="F250" s="90">
        <v>61.4</v>
      </c>
      <c r="G250" s="52">
        <v>56</v>
      </c>
      <c r="H250" s="90">
        <v>54.5</v>
      </c>
      <c r="I250" s="90">
        <v>54</v>
      </c>
      <c r="J250" s="90">
        <v>55.3</v>
      </c>
      <c r="K250" s="90">
        <v>57</v>
      </c>
      <c r="L250" s="54">
        <v>57.3</v>
      </c>
    </row>
    <row r="251" spans="1:12" x14ac:dyDescent="0.2">
      <c r="A251" s="53">
        <v>43070</v>
      </c>
      <c r="B251" s="54">
        <v>54.3</v>
      </c>
      <c r="C251" s="90">
        <v>52.5</v>
      </c>
      <c r="D251" s="55">
        <v>50</v>
      </c>
      <c r="E251" s="90">
        <v>59.9</v>
      </c>
      <c r="F251" s="90">
        <v>57.3</v>
      </c>
      <c r="G251" s="52">
        <v>62.5</v>
      </c>
      <c r="H251" s="90">
        <v>53.5</v>
      </c>
      <c r="I251" s="90">
        <v>55.5</v>
      </c>
      <c r="J251" s="90">
        <v>56.3</v>
      </c>
      <c r="K251" s="90">
        <v>56.5</v>
      </c>
      <c r="L251" s="54">
        <v>56</v>
      </c>
    </row>
    <row r="252" spans="1:12" x14ac:dyDescent="0.2">
      <c r="A252" s="53">
        <v>43101</v>
      </c>
      <c r="B252" s="54">
        <v>62.7</v>
      </c>
      <c r="C252" s="90">
        <v>54</v>
      </c>
      <c r="D252" s="55">
        <v>50.5</v>
      </c>
      <c r="E252" s="90">
        <v>61.9</v>
      </c>
      <c r="F252" s="90">
        <v>59.8</v>
      </c>
      <c r="G252" s="52">
        <v>61</v>
      </c>
      <c r="H252" s="90">
        <v>49</v>
      </c>
      <c r="I252" s="90">
        <v>55.5</v>
      </c>
      <c r="J252" s="90">
        <v>61.6</v>
      </c>
      <c r="K252" s="90">
        <v>58</v>
      </c>
      <c r="L252" s="54">
        <v>59.9</v>
      </c>
    </row>
    <row r="253" spans="1:12" x14ac:dyDescent="0.2">
      <c r="A253" s="53">
        <v>43132</v>
      </c>
      <c r="B253" s="54">
        <v>64.8</v>
      </c>
      <c r="C253" s="90">
        <v>50</v>
      </c>
      <c r="D253" s="55">
        <v>56</v>
      </c>
      <c r="E253" s="90">
        <v>61</v>
      </c>
      <c r="F253" s="90">
        <v>62.8</v>
      </c>
      <c r="G253" s="52">
        <v>61</v>
      </c>
      <c r="H253" s="90">
        <v>53.5</v>
      </c>
      <c r="I253" s="90">
        <v>55.5</v>
      </c>
      <c r="J253" s="90">
        <v>55</v>
      </c>
      <c r="K253" s="90">
        <v>59.5</v>
      </c>
      <c r="L253" s="54">
        <v>59.5</v>
      </c>
    </row>
    <row r="254" spans="1:12" x14ac:dyDescent="0.2">
      <c r="A254" s="53">
        <v>43160</v>
      </c>
      <c r="B254" s="54">
        <v>59.5</v>
      </c>
      <c r="C254" s="90">
        <v>55</v>
      </c>
      <c r="D254" s="55">
        <v>56.5</v>
      </c>
      <c r="E254" s="90">
        <v>61.5</v>
      </c>
      <c r="F254" s="90">
        <v>60.6</v>
      </c>
      <c r="G254" s="52">
        <v>58.5</v>
      </c>
      <c r="H254" s="90">
        <v>53.5</v>
      </c>
      <c r="I254" s="90">
        <v>58.5</v>
      </c>
      <c r="J254" s="90">
        <v>56.6</v>
      </c>
      <c r="K254" s="90">
        <v>58</v>
      </c>
      <c r="L254" s="54">
        <v>58.8</v>
      </c>
    </row>
    <row r="255" spans="1:12" x14ac:dyDescent="0.2">
      <c r="A255" s="53">
        <v>43191</v>
      </c>
      <c r="B255" s="54">
        <v>60</v>
      </c>
      <c r="C255" s="90">
        <v>54.5</v>
      </c>
      <c r="D255" s="55">
        <v>52</v>
      </c>
      <c r="E255" s="90">
        <v>61.8</v>
      </c>
      <c r="F255" s="90">
        <v>59.1</v>
      </c>
      <c r="G255" s="52">
        <v>60</v>
      </c>
      <c r="H255" s="90">
        <v>57</v>
      </c>
      <c r="I255" s="90">
        <v>54.5</v>
      </c>
      <c r="J255" s="90">
        <v>53.6</v>
      </c>
      <c r="K255" s="90">
        <v>61.5</v>
      </c>
      <c r="L255" s="54">
        <v>56.8</v>
      </c>
    </row>
    <row r="256" spans="1:12" x14ac:dyDescent="0.2">
      <c r="A256" s="53">
        <v>43221</v>
      </c>
      <c r="B256" s="54">
        <v>60.5</v>
      </c>
      <c r="C256" s="90">
        <v>54</v>
      </c>
      <c r="D256" s="55">
        <v>60.5</v>
      </c>
      <c r="E256" s="90">
        <v>64.3</v>
      </c>
      <c r="F256" s="90">
        <v>61.3</v>
      </c>
      <c r="G256" s="52">
        <v>61</v>
      </c>
      <c r="H256" s="90">
        <v>57.5</v>
      </c>
      <c r="I256" s="90">
        <v>58.5</v>
      </c>
      <c r="J256" s="90">
        <v>54.1</v>
      </c>
      <c r="K256" s="90">
        <v>57.5</v>
      </c>
      <c r="L256" s="54">
        <v>58.6</v>
      </c>
    </row>
    <row r="257" spans="1:12" x14ac:dyDescent="0.2">
      <c r="A257" s="53">
        <v>43252</v>
      </c>
      <c r="B257" s="54">
        <v>63.2</v>
      </c>
      <c r="C257" s="90">
        <v>51.5</v>
      </c>
      <c r="D257" s="55">
        <v>56.5</v>
      </c>
      <c r="E257" s="90">
        <v>60.7</v>
      </c>
      <c r="F257" s="90">
        <v>63.9</v>
      </c>
      <c r="G257" s="52">
        <v>57.5</v>
      </c>
      <c r="H257" s="90">
        <v>53.5</v>
      </c>
      <c r="I257" s="90">
        <v>55.5</v>
      </c>
      <c r="J257" s="90">
        <v>53.6</v>
      </c>
      <c r="K257" s="90">
        <v>60.5</v>
      </c>
      <c r="L257" s="54">
        <v>59.1</v>
      </c>
    </row>
    <row r="258" spans="1:12" x14ac:dyDescent="0.2">
      <c r="A258" s="53">
        <v>43282</v>
      </c>
      <c r="B258" s="54">
        <v>57</v>
      </c>
      <c r="C258" s="90">
        <v>52.5</v>
      </c>
      <c r="D258" s="55">
        <v>51.5</v>
      </c>
      <c r="E258" s="90">
        <v>63.4</v>
      </c>
      <c r="F258" s="90">
        <v>56.5</v>
      </c>
      <c r="G258" s="52">
        <v>58</v>
      </c>
      <c r="H258" s="90">
        <v>53.5</v>
      </c>
      <c r="I258" s="90">
        <v>53</v>
      </c>
      <c r="J258" s="90">
        <v>56.1</v>
      </c>
      <c r="K258" s="90">
        <v>58</v>
      </c>
      <c r="L258" s="54">
        <v>55.7</v>
      </c>
    </row>
    <row r="259" spans="1:12" x14ac:dyDescent="0.2">
      <c r="A259" s="53">
        <v>43313</v>
      </c>
      <c r="B259" s="54">
        <v>60.4</v>
      </c>
      <c r="C259" s="90">
        <v>52</v>
      </c>
      <c r="D259" s="55">
        <v>56.5</v>
      </c>
      <c r="E259" s="90">
        <v>62.8</v>
      </c>
      <c r="F259" s="90">
        <v>60.7</v>
      </c>
      <c r="G259" s="52">
        <v>59.5</v>
      </c>
      <c r="H259" s="90">
        <v>53.5</v>
      </c>
      <c r="I259" s="90">
        <v>56</v>
      </c>
      <c r="J259" s="90">
        <v>56.7</v>
      </c>
      <c r="K259" s="90">
        <v>60.5</v>
      </c>
      <c r="L259" s="54">
        <v>58.5</v>
      </c>
    </row>
    <row r="260" spans="1:12" x14ac:dyDescent="0.2">
      <c r="A260" s="53">
        <v>43344</v>
      </c>
      <c r="B260" s="54">
        <v>61.6</v>
      </c>
      <c r="C260" s="90">
        <v>55</v>
      </c>
      <c r="D260" s="55">
        <v>58.5</v>
      </c>
      <c r="E260" s="90">
        <v>64.2</v>
      </c>
      <c r="F260" s="90">
        <v>65.2</v>
      </c>
      <c r="G260" s="52">
        <v>59.5</v>
      </c>
      <c r="H260" s="90">
        <v>54.5</v>
      </c>
      <c r="I260" s="90">
        <v>57</v>
      </c>
      <c r="J260" s="90">
        <v>62.4</v>
      </c>
      <c r="K260" s="90">
        <v>61</v>
      </c>
      <c r="L260" s="54">
        <v>61.6</v>
      </c>
    </row>
    <row r="261" spans="1:12" x14ac:dyDescent="0.2">
      <c r="A261" s="53">
        <v>43374</v>
      </c>
      <c r="B261" s="54">
        <v>61.5</v>
      </c>
      <c r="C261" s="90">
        <v>51</v>
      </c>
      <c r="D261" s="55">
        <v>53.5</v>
      </c>
      <c r="E261" s="90">
        <v>61.7</v>
      </c>
      <c r="F261" s="90">
        <v>62.5</v>
      </c>
      <c r="G261" s="52">
        <v>62</v>
      </c>
      <c r="H261" s="90">
        <v>56</v>
      </c>
      <c r="I261" s="90">
        <v>57.5</v>
      </c>
      <c r="J261" s="90">
        <v>59.7</v>
      </c>
      <c r="K261" s="90">
        <v>61</v>
      </c>
      <c r="L261" s="54">
        <v>60.3</v>
      </c>
    </row>
    <row r="262" spans="1:12" x14ac:dyDescent="0.2">
      <c r="A262" s="53">
        <v>43405</v>
      </c>
      <c r="B262" s="54">
        <v>62.5</v>
      </c>
      <c r="C262" s="90">
        <v>54.5</v>
      </c>
      <c r="D262" s="55">
        <v>55.5</v>
      </c>
      <c r="E262" s="90">
        <v>64.3</v>
      </c>
      <c r="F262" s="90">
        <v>65.2</v>
      </c>
      <c r="G262" s="52">
        <v>60</v>
      </c>
      <c r="H262" s="90">
        <v>57.5</v>
      </c>
      <c r="I262" s="90">
        <v>56.5</v>
      </c>
      <c r="J262" s="90">
        <v>58.4</v>
      </c>
      <c r="K262" s="90">
        <v>57.5</v>
      </c>
      <c r="L262" s="54">
        <v>60.7</v>
      </c>
    </row>
    <row r="263" spans="1:12" x14ac:dyDescent="0.2">
      <c r="A263" s="53">
        <v>43435</v>
      </c>
      <c r="B263" s="54">
        <v>62.7</v>
      </c>
      <c r="C263" s="90">
        <v>53.5</v>
      </c>
      <c r="D263" s="55">
        <v>50.5</v>
      </c>
      <c r="E263" s="90">
        <v>57.6</v>
      </c>
      <c r="F263" s="90">
        <v>59.9</v>
      </c>
      <c r="G263" s="52">
        <v>59</v>
      </c>
      <c r="H263" s="90">
        <v>51.5</v>
      </c>
      <c r="I263" s="90">
        <v>51.5</v>
      </c>
      <c r="J263" s="90">
        <v>56.3</v>
      </c>
      <c r="K263" s="90">
        <v>59.5</v>
      </c>
      <c r="L263" s="54">
        <v>57.6</v>
      </c>
    </row>
    <row r="264" spans="1:12" x14ac:dyDescent="0.2">
      <c r="A264" s="53">
        <v>43466</v>
      </c>
      <c r="B264" s="54">
        <v>57.7</v>
      </c>
      <c r="C264" s="90">
        <v>52</v>
      </c>
      <c r="D264" s="55">
        <v>52.5</v>
      </c>
      <c r="E264" s="90">
        <v>59.4</v>
      </c>
      <c r="F264" s="90">
        <v>59.7</v>
      </c>
      <c r="G264" s="52">
        <v>60.5</v>
      </c>
      <c r="H264" s="90">
        <v>49</v>
      </c>
      <c r="I264" s="90">
        <v>51.5</v>
      </c>
      <c r="J264" s="90">
        <v>57.8</v>
      </c>
      <c r="K264" s="90">
        <v>50.5</v>
      </c>
      <c r="L264" s="54">
        <v>56.7</v>
      </c>
    </row>
    <row r="265" spans="1:12" x14ac:dyDescent="0.2">
      <c r="A265" s="53">
        <v>43497</v>
      </c>
      <c r="B265" s="54">
        <v>65.2</v>
      </c>
      <c r="C265" s="90">
        <v>48.5</v>
      </c>
      <c r="D265" s="55">
        <v>55.5</v>
      </c>
      <c r="E265" s="90">
        <v>54.4</v>
      </c>
      <c r="F265" s="90">
        <v>64.7</v>
      </c>
      <c r="G265" s="52">
        <v>59</v>
      </c>
      <c r="H265" s="90">
        <v>51</v>
      </c>
      <c r="I265" s="90">
        <v>53.5</v>
      </c>
      <c r="J265" s="90">
        <v>55.2</v>
      </c>
      <c r="K265" s="90">
        <v>55</v>
      </c>
      <c r="L265" s="54">
        <v>59.7</v>
      </c>
    </row>
    <row r="266" spans="1:12" x14ac:dyDescent="0.2">
      <c r="A266" s="53">
        <v>43525</v>
      </c>
      <c r="B266" s="54">
        <v>59</v>
      </c>
      <c r="C266" s="90">
        <v>51.5</v>
      </c>
      <c r="D266" s="55">
        <v>56.5</v>
      </c>
      <c r="E266" s="90">
        <v>58.7</v>
      </c>
      <c r="F266" s="90">
        <v>57.4</v>
      </c>
      <c r="G266" s="52">
        <v>62.5</v>
      </c>
      <c r="H266" s="90">
        <v>50</v>
      </c>
      <c r="I266" s="90">
        <v>52</v>
      </c>
      <c r="J266" s="90">
        <v>55.9</v>
      </c>
      <c r="K266" s="90">
        <v>52.5</v>
      </c>
      <c r="L266" s="54">
        <v>56.1</v>
      </c>
    </row>
    <row r="267" spans="1:12" x14ac:dyDescent="0.2">
      <c r="A267" s="53">
        <v>43556</v>
      </c>
      <c r="B267" s="54">
        <v>58.1</v>
      </c>
      <c r="C267" s="90">
        <v>55</v>
      </c>
      <c r="D267" s="55">
        <v>55</v>
      </c>
      <c r="E267" s="90">
        <v>55.7</v>
      </c>
      <c r="F267" s="90">
        <v>59.5</v>
      </c>
      <c r="G267" s="52">
        <v>60</v>
      </c>
      <c r="H267" s="90">
        <v>51.5</v>
      </c>
      <c r="I267" s="90">
        <v>50.5</v>
      </c>
      <c r="J267" s="90">
        <v>53.7</v>
      </c>
      <c r="K267" s="90">
        <v>57</v>
      </c>
      <c r="L267" s="54">
        <v>55.5</v>
      </c>
    </row>
    <row r="268" spans="1:12" x14ac:dyDescent="0.2">
      <c r="A268" s="53">
        <v>43586</v>
      </c>
      <c r="B268" s="54">
        <v>58.6</v>
      </c>
      <c r="C268" s="90">
        <v>50</v>
      </c>
      <c r="D268" s="55">
        <v>52.5</v>
      </c>
      <c r="E268" s="90">
        <v>55.4</v>
      </c>
      <c r="F268" s="90">
        <v>61.2</v>
      </c>
      <c r="G268" s="52">
        <v>58.5</v>
      </c>
      <c r="H268" s="90">
        <v>54</v>
      </c>
      <c r="I268" s="90">
        <v>49.5</v>
      </c>
      <c r="J268" s="90">
        <v>58.1</v>
      </c>
      <c r="K268" s="90">
        <v>55.5</v>
      </c>
      <c r="L268" s="54">
        <v>56.9</v>
      </c>
    </row>
    <row r="269" spans="1:12" x14ac:dyDescent="0.2">
      <c r="A269" s="53">
        <v>43617</v>
      </c>
      <c r="B269" s="54">
        <v>55.8</v>
      </c>
      <c r="C269" s="90">
        <v>50</v>
      </c>
      <c r="D269" s="55">
        <v>56</v>
      </c>
      <c r="E269" s="90">
        <v>58.9</v>
      </c>
      <c r="F269" s="90">
        <v>58.2</v>
      </c>
      <c r="G269" s="52">
        <v>58.5</v>
      </c>
      <c r="H269" s="90">
        <v>55</v>
      </c>
      <c r="I269" s="90">
        <v>51.5</v>
      </c>
      <c r="J269" s="90">
        <v>55</v>
      </c>
      <c r="K269" s="90">
        <v>55.5</v>
      </c>
      <c r="L269" s="54">
        <v>55.1</v>
      </c>
    </row>
    <row r="270" spans="1:12" x14ac:dyDescent="0.2">
      <c r="A270" s="53">
        <v>43647</v>
      </c>
      <c r="B270" s="54">
        <v>54.1</v>
      </c>
      <c r="C270" s="90">
        <v>53.5</v>
      </c>
      <c r="D270" s="55">
        <v>53.5</v>
      </c>
      <c r="E270" s="90">
        <v>56.5</v>
      </c>
      <c r="F270" s="90">
        <v>53.1</v>
      </c>
      <c r="G270" s="52">
        <v>60.5</v>
      </c>
      <c r="H270" s="90">
        <v>50</v>
      </c>
      <c r="I270" s="90">
        <v>51.5</v>
      </c>
      <c r="J270" s="90">
        <v>56.2</v>
      </c>
      <c r="K270" s="90">
        <v>53.5</v>
      </c>
      <c r="L270" s="54">
        <v>53.7</v>
      </c>
    </row>
    <row r="271" spans="1:12" x14ac:dyDescent="0.2">
      <c r="A271" s="53">
        <v>43678</v>
      </c>
      <c r="B271" s="54">
        <v>60.3</v>
      </c>
      <c r="C271" s="90">
        <v>50.5</v>
      </c>
      <c r="D271" s="55">
        <v>49</v>
      </c>
      <c r="E271" s="90">
        <v>58.2</v>
      </c>
      <c r="F271" s="90">
        <v>61.5</v>
      </c>
      <c r="G271" s="52">
        <v>56</v>
      </c>
      <c r="H271" s="90">
        <v>55</v>
      </c>
      <c r="I271" s="90">
        <v>50.5</v>
      </c>
      <c r="J271" s="90">
        <v>53.1</v>
      </c>
      <c r="K271" s="90">
        <v>50.5</v>
      </c>
      <c r="L271" s="54">
        <v>56.4</v>
      </c>
    </row>
    <row r="272" spans="1:12" x14ac:dyDescent="0.2">
      <c r="A272" s="53">
        <v>43709</v>
      </c>
      <c r="B272" s="54">
        <v>53.7</v>
      </c>
      <c r="C272" s="90">
        <v>49</v>
      </c>
      <c r="D272" s="55">
        <v>54</v>
      </c>
      <c r="E272" s="90">
        <v>60</v>
      </c>
      <c r="F272" s="90">
        <v>55.2</v>
      </c>
      <c r="G272" s="52">
        <v>58</v>
      </c>
      <c r="H272" s="90">
        <v>53</v>
      </c>
      <c r="I272" s="90">
        <v>51</v>
      </c>
      <c r="J272" s="90">
        <v>50.4</v>
      </c>
      <c r="K272" s="90">
        <v>52</v>
      </c>
      <c r="L272" s="54">
        <v>52.6</v>
      </c>
    </row>
    <row r="273" spans="1:12" x14ac:dyDescent="0.2">
      <c r="A273" s="53">
        <v>43739</v>
      </c>
      <c r="B273" s="54">
        <v>55.6</v>
      </c>
      <c r="C273" s="90">
        <v>48.5</v>
      </c>
      <c r="D273" s="55">
        <v>48.5</v>
      </c>
      <c r="E273" s="90">
        <v>56.6</v>
      </c>
      <c r="F273" s="90">
        <v>57</v>
      </c>
      <c r="G273" s="52">
        <v>57</v>
      </c>
      <c r="H273" s="90">
        <v>50.5</v>
      </c>
      <c r="I273" s="90">
        <v>52.5</v>
      </c>
      <c r="J273" s="90">
        <v>53.7</v>
      </c>
      <c r="K273" s="90">
        <v>50</v>
      </c>
      <c r="L273" s="54">
        <v>54.7</v>
      </c>
    </row>
    <row r="274" spans="1:12" x14ac:dyDescent="0.2">
      <c r="A274" s="53">
        <v>43770</v>
      </c>
      <c r="B274" s="54">
        <v>57.1</v>
      </c>
      <c r="C274" s="90">
        <v>45</v>
      </c>
      <c r="D274" s="55">
        <v>48.5</v>
      </c>
      <c r="E274" s="90">
        <v>58.5</v>
      </c>
      <c r="F274" s="90">
        <v>51.6</v>
      </c>
      <c r="G274" s="52">
        <v>58.5</v>
      </c>
      <c r="H274" s="90">
        <v>50.5</v>
      </c>
      <c r="I274" s="90">
        <v>51.5</v>
      </c>
      <c r="J274" s="90">
        <v>55.5</v>
      </c>
      <c r="K274" s="90">
        <v>52</v>
      </c>
      <c r="L274" s="54">
        <v>53.9</v>
      </c>
    </row>
    <row r="275" spans="1:12" x14ac:dyDescent="0.2">
      <c r="A275" s="53">
        <v>43800</v>
      </c>
      <c r="B275" s="54">
        <v>54.9</v>
      </c>
      <c r="C275" s="90">
        <v>48</v>
      </c>
      <c r="D275" s="55">
        <v>47.5</v>
      </c>
      <c r="E275" s="90">
        <v>58.5</v>
      </c>
      <c r="F275" s="90">
        <v>57.2</v>
      </c>
      <c r="G275" s="52">
        <v>60</v>
      </c>
      <c r="H275" s="90">
        <v>51</v>
      </c>
      <c r="I275" s="90">
        <v>52.5</v>
      </c>
      <c r="J275" s="90">
        <v>55.2</v>
      </c>
      <c r="K275" s="90">
        <v>51</v>
      </c>
      <c r="L275" s="54">
        <v>55</v>
      </c>
    </row>
    <row r="276" spans="1:12" x14ac:dyDescent="0.2">
      <c r="A276" s="53">
        <v>43831</v>
      </c>
      <c r="B276" s="54">
        <v>56.2</v>
      </c>
      <c r="C276" s="90">
        <v>55.1</v>
      </c>
      <c r="D276" s="55">
        <v>45.5</v>
      </c>
      <c r="E276" s="90">
        <v>55.5</v>
      </c>
      <c r="F276" s="90">
        <v>60.9</v>
      </c>
      <c r="G276" s="52">
        <v>54.9</v>
      </c>
      <c r="H276" s="90">
        <v>46.5</v>
      </c>
      <c r="I276" s="90">
        <v>51.7</v>
      </c>
      <c r="J276" s="90">
        <v>53.1</v>
      </c>
      <c r="K276" s="90">
        <v>50.1</v>
      </c>
      <c r="L276" s="54">
        <v>55.5</v>
      </c>
    </row>
    <row r="277" spans="1:12" x14ac:dyDescent="0.2">
      <c r="A277" s="53">
        <v>43862</v>
      </c>
      <c r="B277" s="54">
        <v>63.1</v>
      </c>
      <c r="C277" s="90">
        <v>52.6</v>
      </c>
      <c r="D277" s="55">
        <v>53.2</v>
      </c>
      <c r="E277" s="90">
        <v>50.8</v>
      </c>
      <c r="F277" s="90">
        <v>57.8</v>
      </c>
      <c r="G277" s="52">
        <v>59.3</v>
      </c>
      <c r="H277" s="90">
        <v>53.9</v>
      </c>
      <c r="I277" s="90">
        <v>52.4</v>
      </c>
      <c r="J277" s="90">
        <v>55.6</v>
      </c>
      <c r="K277" s="90">
        <v>55.6</v>
      </c>
      <c r="L277" s="54">
        <v>57.3</v>
      </c>
    </row>
    <row r="278" spans="1:12" x14ac:dyDescent="0.2">
      <c r="A278" s="53">
        <v>43891</v>
      </c>
      <c r="B278" s="54">
        <v>52.9</v>
      </c>
      <c r="C278" s="90">
        <v>40.200000000000003</v>
      </c>
      <c r="D278" s="55">
        <v>55</v>
      </c>
      <c r="E278" s="90">
        <v>50</v>
      </c>
      <c r="F278" s="90">
        <v>48</v>
      </c>
      <c r="G278" s="52">
        <v>47.8</v>
      </c>
      <c r="H278" s="90">
        <v>41.5</v>
      </c>
      <c r="I278" s="90">
        <v>62.1</v>
      </c>
      <c r="J278" s="90">
        <v>47</v>
      </c>
      <c r="K278" s="90">
        <v>45.9</v>
      </c>
      <c r="L278" s="54">
        <v>52.5</v>
      </c>
    </row>
    <row r="279" spans="1:12" x14ac:dyDescent="0.2">
      <c r="A279" s="53">
        <v>43922</v>
      </c>
      <c r="B279" s="54">
        <v>32.9</v>
      </c>
      <c r="C279" s="90">
        <v>49.3</v>
      </c>
      <c r="D279" s="55">
        <v>47.7</v>
      </c>
      <c r="E279" s="90">
        <v>55.1</v>
      </c>
      <c r="F279" s="90">
        <v>26</v>
      </c>
      <c r="G279" s="52">
        <v>62.6</v>
      </c>
      <c r="H279" s="90">
        <v>46.9</v>
      </c>
      <c r="I279" s="90">
        <v>78.3</v>
      </c>
      <c r="J279" s="90">
        <v>30</v>
      </c>
      <c r="K279" s="90">
        <v>36.299999999999997</v>
      </c>
      <c r="L279" s="54">
        <v>41.8</v>
      </c>
    </row>
    <row r="280" spans="1:12" x14ac:dyDescent="0.2">
      <c r="A280" s="53">
        <v>43952</v>
      </c>
      <c r="B280" s="54">
        <v>41.9</v>
      </c>
      <c r="C280" s="90">
        <v>43.7</v>
      </c>
      <c r="D280" s="55">
        <v>46.4</v>
      </c>
      <c r="E280" s="90">
        <v>55.6</v>
      </c>
      <c r="F280" s="90">
        <v>41</v>
      </c>
      <c r="G280" s="52">
        <v>55.1</v>
      </c>
      <c r="H280" s="90">
        <v>48</v>
      </c>
      <c r="I280" s="90">
        <v>67</v>
      </c>
      <c r="J280" s="90">
        <v>31.8</v>
      </c>
      <c r="K280" s="90">
        <v>41.5</v>
      </c>
      <c r="L280" s="54">
        <v>45.4</v>
      </c>
    </row>
    <row r="281" spans="1:12" x14ac:dyDescent="0.2">
      <c r="A281" s="53">
        <v>43983</v>
      </c>
      <c r="B281" s="54">
        <v>61.6</v>
      </c>
      <c r="C281" s="90">
        <v>52.9</v>
      </c>
      <c r="D281" s="55">
        <v>41.9</v>
      </c>
      <c r="E281" s="90">
        <v>62.4</v>
      </c>
      <c r="F281" s="90">
        <v>66</v>
      </c>
      <c r="G281" s="52">
        <v>55.9</v>
      </c>
      <c r="H281" s="90">
        <v>60.7</v>
      </c>
      <c r="I281" s="90">
        <v>57.5</v>
      </c>
      <c r="J281" s="90">
        <v>43.1</v>
      </c>
      <c r="K281" s="90">
        <v>58.9</v>
      </c>
      <c r="L281" s="54">
        <v>57.1</v>
      </c>
    </row>
    <row r="282" spans="1:12" x14ac:dyDescent="0.2">
      <c r="A282" s="53">
        <v>44013</v>
      </c>
      <c r="B282" s="54">
        <v>67.7</v>
      </c>
      <c r="C282" s="90">
        <v>46.3</v>
      </c>
      <c r="D282" s="55">
        <v>55.9</v>
      </c>
      <c r="E282" s="90">
        <v>57.6</v>
      </c>
      <c r="F282" s="90">
        <v>67.2</v>
      </c>
      <c r="G282" s="52">
        <v>50</v>
      </c>
      <c r="H282" s="90">
        <v>52</v>
      </c>
      <c r="I282" s="90">
        <v>55.2</v>
      </c>
      <c r="J282" s="90">
        <v>42.1</v>
      </c>
      <c r="K282" s="90">
        <v>49.3</v>
      </c>
      <c r="L282" s="54">
        <v>58.1</v>
      </c>
    </row>
    <row r="283" spans="1:12" x14ac:dyDescent="0.2">
      <c r="A283" s="53">
        <v>44044</v>
      </c>
      <c r="B283" s="54">
        <v>56.8</v>
      </c>
      <c r="C283" s="90">
        <v>50.8</v>
      </c>
      <c r="D283" s="55">
        <v>56.6</v>
      </c>
      <c r="E283" s="90">
        <v>64.2</v>
      </c>
      <c r="F283" s="90">
        <v>62.4</v>
      </c>
      <c r="G283" s="52">
        <v>52.5</v>
      </c>
      <c r="H283" s="90">
        <v>45.8</v>
      </c>
      <c r="I283" s="90">
        <v>60.5</v>
      </c>
      <c r="J283" s="90">
        <v>47.9</v>
      </c>
      <c r="K283" s="90">
        <v>55.8</v>
      </c>
      <c r="L283" s="54">
        <v>56.9</v>
      </c>
    </row>
    <row r="284" spans="1:12" x14ac:dyDescent="0.2">
      <c r="A284" s="53">
        <v>44075</v>
      </c>
      <c r="B284" s="54">
        <v>61.5</v>
      </c>
      <c r="C284" s="90">
        <v>46.6</v>
      </c>
      <c r="D284" s="55">
        <v>50.1</v>
      </c>
      <c r="E284" s="90">
        <v>59</v>
      </c>
      <c r="F284" s="90">
        <v>63</v>
      </c>
      <c r="G284" s="52">
        <v>55.4</v>
      </c>
      <c r="H284" s="90">
        <v>48.8</v>
      </c>
      <c r="I284" s="90">
        <v>54.9</v>
      </c>
      <c r="J284" s="90">
        <v>51.8</v>
      </c>
      <c r="K284" s="90">
        <v>52.6</v>
      </c>
      <c r="L284" s="54">
        <v>57.8</v>
      </c>
    </row>
    <row r="285" spans="1:12" x14ac:dyDescent="0.2">
      <c r="A285" s="53">
        <v>44105</v>
      </c>
      <c r="B285" s="54">
        <v>58.8</v>
      </c>
      <c r="C285" s="90">
        <v>52.5</v>
      </c>
      <c r="D285" s="55">
        <v>54.4</v>
      </c>
      <c r="E285" s="90">
        <v>63.9</v>
      </c>
      <c r="F285" s="90">
        <v>61.2</v>
      </c>
      <c r="G285" s="52">
        <v>51.1</v>
      </c>
      <c r="H285" s="90">
        <v>53.1</v>
      </c>
      <c r="I285" s="90">
        <v>56.2</v>
      </c>
      <c r="J285" s="90">
        <v>50.1</v>
      </c>
      <c r="K285" s="90">
        <v>53.7</v>
      </c>
      <c r="L285" s="54">
        <v>56.6</v>
      </c>
    </row>
    <row r="286" spans="1:12" x14ac:dyDescent="0.2">
      <c r="A286" s="53">
        <v>44136</v>
      </c>
      <c r="B286" s="54">
        <v>57.2</v>
      </c>
      <c r="C286" s="90">
        <v>55</v>
      </c>
      <c r="D286" s="55">
        <v>50.7</v>
      </c>
      <c r="E286" s="90">
        <v>66.099999999999994</v>
      </c>
      <c r="F286" s="90">
        <v>58</v>
      </c>
      <c r="G286" s="52">
        <v>49.9</v>
      </c>
      <c r="H286" s="90">
        <v>49.3</v>
      </c>
      <c r="I286" s="90">
        <v>57</v>
      </c>
      <c r="J286" s="90">
        <v>51.5</v>
      </c>
      <c r="K286" s="90">
        <v>50.4</v>
      </c>
      <c r="L286" s="54">
        <v>55.9</v>
      </c>
    </row>
    <row r="287" spans="1:12" x14ac:dyDescent="0.2">
      <c r="A287" s="53">
        <v>44166</v>
      </c>
      <c r="B287" s="54">
        <v>58.5</v>
      </c>
      <c r="C287" s="90">
        <v>51.8</v>
      </c>
      <c r="D287" s="55">
        <v>48.7</v>
      </c>
      <c r="E287" s="90">
        <v>64.8</v>
      </c>
      <c r="F287" s="90">
        <v>59.4</v>
      </c>
      <c r="G287" s="52">
        <v>47.7</v>
      </c>
      <c r="H287" s="90">
        <v>58.2</v>
      </c>
      <c r="I287" s="90">
        <v>62.8</v>
      </c>
      <c r="J287" s="90">
        <v>48.2</v>
      </c>
      <c r="K287" s="90">
        <v>57.3</v>
      </c>
      <c r="L287" s="54">
        <v>57.2</v>
      </c>
    </row>
    <row r="288" spans="1:12" x14ac:dyDescent="0.2">
      <c r="A288" s="53">
        <v>44197</v>
      </c>
      <c r="B288" s="54">
        <v>61.8</v>
      </c>
      <c r="C288" s="90">
        <v>53.5</v>
      </c>
      <c r="D288" s="55">
        <v>50.9</v>
      </c>
      <c r="E288" s="90">
        <v>64.2</v>
      </c>
      <c r="F288" s="90">
        <v>59.9</v>
      </c>
      <c r="G288" s="52">
        <v>49.7</v>
      </c>
      <c r="H288" s="90">
        <v>49.2</v>
      </c>
      <c r="I288" s="90">
        <v>57.8</v>
      </c>
      <c r="J288" s="90">
        <v>55.2</v>
      </c>
      <c r="K288" s="90">
        <v>47</v>
      </c>
      <c r="L288" s="54">
        <v>58.7</v>
      </c>
    </row>
    <row r="289" spans="1:12" x14ac:dyDescent="0.2">
      <c r="A289" s="53">
        <v>44228</v>
      </c>
      <c r="B289" s="54">
        <v>51.9</v>
      </c>
      <c r="C289" s="90">
        <v>50.5</v>
      </c>
      <c r="D289" s="55">
        <v>55.2</v>
      </c>
      <c r="E289" s="90">
        <v>71.8</v>
      </c>
      <c r="F289" s="90">
        <v>55.5</v>
      </c>
      <c r="G289" s="52">
        <v>54.3</v>
      </c>
      <c r="H289" s="90">
        <v>58.9</v>
      </c>
      <c r="I289" s="90">
        <v>60.8</v>
      </c>
      <c r="J289" s="90">
        <v>52.7</v>
      </c>
      <c r="K289" s="90">
        <v>57.6</v>
      </c>
      <c r="L289" s="54">
        <v>55.3</v>
      </c>
    </row>
    <row r="290" spans="1:12" x14ac:dyDescent="0.2">
      <c r="A290" s="53">
        <v>44256</v>
      </c>
      <c r="B290" s="54">
        <v>67.2</v>
      </c>
      <c r="C290" s="90">
        <v>74</v>
      </c>
      <c r="D290" s="55">
        <v>50.2</v>
      </c>
      <c r="E290" s="90">
        <v>74</v>
      </c>
      <c r="F290" s="90">
        <v>69.400000000000006</v>
      </c>
      <c r="G290" s="52">
        <v>52.7</v>
      </c>
      <c r="H290" s="90">
        <v>54</v>
      </c>
      <c r="I290" s="90">
        <v>61</v>
      </c>
      <c r="J290" s="90">
        <v>57.2</v>
      </c>
      <c r="K290" s="90">
        <v>55.5</v>
      </c>
      <c r="L290" s="54">
        <v>63.7</v>
      </c>
    </row>
    <row r="291" spans="1:12" x14ac:dyDescent="0.2">
      <c r="A291" s="53">
        <v>44287</v>
      </c>
      <c r="B291" s="54">
        <v>63.2</v>
      </c>
      <c r="C291" s="90">
        <v>55.7</v>
      </c>
      <c r="D291" s="55">
        <v>55.7</v>
      </c>
      <c r="E291" s="90">
        <v>76.8</v>
      </c>
      <c r="F291" s="90">
        <v>62.7</v>
      </c>
      <c r="G291" s="52">
        <v>46.8</v>
      </c>
      <c r="H291" s="90">
        <v>49.1</v>
      </c>
      <c r="I291" s="90">
        <v>66.099999999999994</v>
      </c>
      <c r="J291" s="90">
        <v>58.8</v>
      </c>
      <c r="K291" s="90">
        <v>58.6</v>
      </c>
      <c r="L291" s="54">
        <v>62.7</v>
      </c>
    </row>
    <row r="292" spans="1:12" x14ac:dyDescent="0.2">
      <c r="A292" s="53">
        <v>44317</v>
      </c>
      <c r="B292" s="54">
        <v>63.9</v>
      </c>
      <c r="C292" s="90">
        <v>50.4</v>
      </c>
      <c r="D292" s="55">
        <v>61.1</v>
      </c>
      <c r="E292" s="90">
        <v>80.599999999999994</v>
      </c>
      <c r="F292" s="90">
        <v>66.2</v>
      </c>
      <c r="G292" s="52">
        <v>40.5</v>
      </c>
      <c r="H292" s="90">
        <v>51.5</v>
      </c>
      <c r="I292" s="90">
        <v>70.400000000000006</v>
      </c>
      <c r="J292" s="90">
        <v>55.3</v>
      </c>
      <c r="K292" s="90">
        <v>60</v>
      </c>
      <c r="L292" s="54">
        <v>64</v>
      </c>
    </row>
    <row r="293" spans="1:12" x14ac:dyDescent="0.2">
      <c r="A293" s="53">
        <v>44348</v>
      </c>
      <c r="B293" s="54">
        <v>62.1</v>
      </c>
      <c r="C293" s="90">
        <v>58.2</v>
      </c>
      <c r="D293" s="55">
        <v>65.8</v>
      </c>
      <c r="E293" s="90">
        <v>79.5</v>
      </c>
      <c r="F293" s="90">
        <v>60.4</v>
      </c>
      <c r="G293" s="52">
        <v>37.200000000000003</v>
      </c>
      <c r="H293" s="90">
        <v>49.9</v>
      </c>
      <c r="I293" s="90">
        <v>68.5</v>
      </c>
      <c r="J293" s="90">
        <v>49.3</v>
      </c>
      <c r="K293" s="90">
        <v>50.7</v>
      </c>
      <c r="L293" s="54">
        <v>60.1</v>
      </c>
    </row>
    <row r="294" spans="1:12" x14ac:dyDescent="0.2">
      <c r="A294" s="53">
        <v>44378</v>
      </c>
      <c r="B294" s="54">
        <v>63.7</v>
      </c>
      <c r="C294" s="90">
        <v>51.6</v>
      </c>
      <c r="D294" s="55">
        <v>63.5</v>
      </c>
      <c r="E294" s="90">
        <v>82.3</v>
      </c>
      <c r="F294" s="90">
        <v>67</v>
      </c>
      <c r="G294" s="52">
        <v>40.299999999999997</v>
      </c>
      <c r="H294" s="90">
        <v>49.2</v>
      </c>
      <c r="I294" s="90">
        <v>72</v>
      </c>
      <c r="J294" s="90">
        <v>53.8</v>
      </c>
      <c r="K294" s="90">
        <v>65.8</v>
      </c>
      <c r="L294" s="54">
        <v>64.099999999999994</v>
      </c>
    </row>
    <row r="295" spans="1:12" x14ac:dyDescent="0.2">
      <c r="A295" s="53">
        <v>44409</v>
      </c>
      <c r="B295" s="54">
        <v>63.2</v>
      </c>
      <c r="C295" s="90">
        <v>48.7</v>
      </c>
      <c r="D295" s="55">
        <v>61.3</v>
      </c>
      <c r="E295" s="90">
        <v>75.400000000000006</v>
      </c>
      <c r="F295" s="90">
        <v>60.1</v>
      </c>
      <c r="G295" s="52">
        <v>41.4</v>
      </c>
      <c r="H295" s="90">
        <v>46.9</v>
      </c>
      <c r="I295" s="90">
        <v>69.599999999999994</v>
      </c>
      <c r="J295" s="90">
        <v>53.7</v>
      </c>
      <c r="K295" s="90">
        <v>60.6</v>
      </c>
      <c r="L295" s="54">
        <v>61.7</v>
      </c>
    </row>
    <row r="296" spans="1:12" x14ac:dyDescent="0.2">
      <c r="A296" s="53">
        <v>44440</v>
      </c>
      <c r="B296" s="54">
        <v>63.5</v>
      </c>
      <c r="C296" s="90">
        <v>47.7</v>
      </c>
      <c r="D296" s="55">
        <v>61.9</v>
      </c>
      <c r="E296" s="90">
        <v>77.5</v>
      </c>
      <c r="F296" s="90">
        <v>62.3</v>
      </c>
      <c r="G296" s="52">
        <v>46.3</v>
      </c>
      <c r="H296" s="90">
        <v>46.1</v>
      </c>
      <c r="I296" s="90">
        <v>68.8</v>
      </c>
      <c r="J296" s="90">
        <v>53</v>
      </c>
      <c r="K296" s="90">
        <v>59.5</v>
      </c>
      <c r="L296" s="54">
        <v>61.9</v>
      </c>
    </row>
    <row r="297" spans="1:12" x14ac:dyDescent="0.2">
      <c r="A297" s="53">
        <v>44470</v>
      </c>
      <c r="B297" s="54">
        <v>69.7</v>
      </c>
      <c r="C297" s="90">
        <v>53.3</v>
      </c>
      <c r="D297" s="55">
        <v>67.3</v>
      </c>
      <c r="E297" s="90">
        <v>82.9</v>
      </c>
      <c r="F297" s="90">
        <v>69.8</v>
      </c>
      <c r="G297" s="52">
        <v>37.299999999999997</v>
      </c>
      <c r="H297" s="90">
        <v>42.2</v>
      </c>
      <c r="I297" s="90">
        <v>75.7</v>
      </c>
      <c r="J297" s="90">
        <v>51.6</v>
      </c>
      <c r="K297" s="90">
        <v>62.3</v>
      </c>
      <c r="L297" s="54">
        <v>66.7</v>
      </c>
    </row>
    <row r="298" spans="1:12" x14ac:dyDescent="0.2">
      <c r="A298" s="53">
        <v>44501</v>
      </c>
      <c r="B298" s="54">
        <v>69.7</v>
      </c>
      <c r="C298" s="90">
        <v>50.5</v>
      </c>
      <c r="D298" s="55">
        <v>65.900000000000006</v>
      </c>
      <c r="E298" s="90">
        <v>82.3</v>
      </c>
      <c r="F298" s="90">
        <v>74.599999999999994</v>
      </c>
      <c r="G298" s="52">
        <v>36.4</v>
      </c>
      <c r="H298" s="90">
        <v>48.2</v>
      </c>
      <c r="I298" s="90">
        <v>75.7</v>
      </c>
      <c r="J298" s="90">
        <v>56.5</v>
      </c>
      <c r="K298" s="90">
        <v>57.9</v>
      </c>
      <c r="L298" s="54">
        <v>69.099999999999994</v>
      </c>
    </row>
    <row r="299" spans="1:12" x14ac:dyDescent="0.2">
      <c r="A299" s="53">
        <v>44531</v>
      </c>
      <c r="B299" s="54">
        <v>61.5</v>
      </c>
      <c r="C299" s="90">
        <v>55.5</v>
      </c>
      <c r="D299" s="55">
        <v>62.3</v>
      </c>
      <c r="E299" s="90">
        <v>82.5</v>
      </c>
      <c r="F299" s="90">
        <v>67.599999999999994</v>
      </c>
      <c r="G299" s="52">
        <v>38.299999999999997</v>
      </c>
      <c r="H299" s="90">
        <v>46.7</v>
      </c>
      <c r="I299" s="90">
        <v>63.9</v>
      </c>
      <c r="J299" s="90">
        <v>54.9</v>
      </c>
      <c r="K299" s="90">
        <v>61.5</v>
      </c>
      <c r="L299" s="54">
        <v>62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
  <sheetViews>
    <sheetView zoomScale="150" zoomScaleNormal="150" workbookViewId="0">
      <selection activeCell="AA52" sqref="AA52"/>
    </sheetView>
  </sheetViews>
  <sheetFormatPr baseColWidth="10" defaultColWidth="9.1640625" defaultRowHeight="15" x14ac:dyDescent="0.2"/>
  <cols>
    <col min="1" max="4" width="9.1640625" style="88" customWidth="1"/>
    <col min="5" max="16384" width="9.1640625" style="88"/>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E299"/>
  <sheetViews>
    <sheetView zoomScale="170" zoomScaleNormal="170" workbookViewId="0">
      <pane ySplit="5" topLeftCell="A264" activePane="bottomLeft" state="frozen"/>
      <selection activeCell="F274" sqref="F274"/>
      <selection pane="bottomLeft" activeCell="Q280" sqref="Q280"/>
    </sheetView>
  </sheetViews>
  <sheetFormatPr baseColWidth="10" defaultColWidth="9.1640625" defaultRowHeight="15" x14ac:dyDescent="0.2"/>
  <cols>
    <col min="1" max="1" width="12.33203125" style="88" customWidth="1"/>
    <col min="2" max="5" width="14.6640625" style="88" customWidth="1"/>
    <col min="6" max="9" width="9.1640625" style="88" customWidth="1"/>
    <col min="10" max="16384" width="9.1640625" style="88"/>
  </cols>
  <sheetData>
    <row r="1" spans="1:5" x14ac:dyDescent="0.2">
      <c r="A1" s="28" t="s">
        <v>62</v>
      </c>
    </row>
    <row r="2" spans="1:5" ht="3.75" customHeight="1" x14ac:dyDescent="0.2"/>
    <row r="3" spans="1:5" ht="3.75" customHeight="1" x14ac:dyDescent="0.2"/>
    <row r="4" spans="1:5" ht="16" customHeight="1" thickBot="1" x14ac:dyDescent="0.25"/>
    <row r="5" spans="1:5" ht="25" customHeight="1" thickBot="1" x14ac:dyDescent="0.25">
      <c r="A5" s="56" t="s">
        <v>61</v>
      </c>
      <c r="B5" s="57" t="s">
        <v>0</v>
      </c>
      <c r="C5" s="58" t="s">
        <v>63</v>
      </c>
      <c r="D5" s="59" t="s">
        <v>64</v>
      </c>
      <c r="E5" s="60" t="s">
        <v>65</v>
      </c>
    </row>
    <row r="6" spans="1:5" x14ac:dyDescent="0.2">
      <c r="A6" s="61">
        <v>35612</v>
      </c>
      <c r="B6" s="50">
        <v>56.7</v>
      </c>
      <c r="C6" s="62">
        <v>4.6738025753933231E-2</v>
      </c>
      <c r="D6" s="62">
        <v>1.2507785733139491E-2</v>
      </c>
      <c r="E6" s="62">
        <v>5.0977662738524332E-2</v>
      </c>
    </row>
    <row r="7" spans="1:5" x14ac:dyDescent="0.2">
      <c r="A7" s="61">
        <v>35643</v>
      </c>
      <c r="B7" s="50">
        <v>62</v>
      </c>
      <c r="C7" s="62">
        <v>4.6738025753933231E-2</v>
      </c>
      <c r="D7" s="62">
        <v>1.2507785733139491E-2</v>
      </c>
      <c r="E7" s="62">
        <v>5.0977662738524332E-2</v>
      </c>
    </row>
    <row r="8" spans="1:5" x14ac:dyDescent="0.2">
      <c r="A8" s="61">
        <v>35674</v>
      </c>
      <c r="B8" s="50">
        <v>56.2</v>
      </c>
      <c r="C8" s="62">
        <v>4.6738025753933231E-2</v>
      </c>
      <c r="D8" s="62">
        <v>1.2507785733139491E-2</v>
      </c>
      <c r="E8" s="62">
        <v>5.0977662738524332E-2</v>
      </c>
    </row>
    <row r="9" spans="1:5" x14ac:dyDescent="0.2">
      <c r="A9" s="61">
        <v>35704</v>
      </c>
      <c r="B9" s="50">
        <v>56.6</v>
      </c>
      <c r="C9" s="62">
        <v>4.4876844577145122E-2</v>
      </c>
      <c r="D9" s="62">
        <v>8.5874356260664548E-3</v>
      </c>
      <c r="E9" s="62">
        <v>3.4794745335392063E-2</v>
      </c>
    </row>
    <row r="10" spans="1:5" x14ac:dyDescent="0.2">
      <c r="A10" s="61">
        <v>35735</v>
      </c>
      <c r="B10" s="50">
        <v>58.5</v>
      </c>
      <c r="C10" s="62">
        <v>4.4876844577145122E-2</v>
      </c>
      <c r="D10" s="62">
        <v>8.5874356260664548E-3</v>
      </c>
      <c r="E10" s="62">
        <v>3.4794745335392063E-2</v>
      </c>
    </row>
    <row r="11" spans="1:5" x14ac:dyDescent="0.2">
      <c r="A11" s="61">
        <v>35765</v>
      </c>
      <c r="B11" s="50">
        <v>55.5</v>
      </c>
      <c r="C11" s="62">
        <v>4.4876844577145122E-2</v>
      </c>
      <c r="D11" s="62">
        <v>8.5874356260664548E-3</v>
      </c>
      <c r="E11" s="62">
        <v>3.4794745335392063E-2</v>
      </c>
    </row>
    <row r="12" spans="1:5" x14ac:dyDescent="0.2">
      <c r="A12" s="61">
        <v>35796</v>
      </c>
      <c r="B12" s="50">
        <v>57</v>
      </c>
      <c r="C12" s="62">
        <v>4.8550058826576883E-2</v>
      </c>
      <c r="D12" s="62">
        <v>9.9937540103740806E-3</v>
      </c>
      <c r="E12" s="62">
        <v>4.0578269241347657E-2</v>
      </c>
    </row>
    <row r="13" spans="1:5" x14ac:dyDescent="0.2">
      <c r="A13" s="61">
        <v>35827</v>
      </c>
      <c r="B13" s="50">
        <v>56.2</v>
      </c>
      <c r="C13" s="62">
        <v>4.8550058826576883E-2</v>
      </c>
      <c r="D13" s="62">
        <v>9.9937540103740806E-3</v>
      </c>
      <c r="E13" s="62">
        <v>4.0578269241347657E-2</v>
      </c>
    </row>
    <row r="14" spans="1:5" x14ac:dyDescent="0.2">
      <c r="A14" s="61">
        <v>35855</v>
      </c>
      <c r="B14" s="50">
        <v>54.7</v>
      </c>
      <c r="C14" s="62">
        <v>4.8550058826576883E-2</v>
      </c>
      <c r="D14" s="62">
        <v>9.9937540103740806E-3</v>
      </c>
      <c r="E14" s="62">
        <v>4.0578269241347657E-2</v>
      </c>
    </row>
    <row r="15" spans="1:5" x14ac:dyDescent="0.2">
      <c r="A15" s="61">
        <v>35886</v>
      </c>
      <c r="B15" s="54">
        <v>54.9</v>
      </c>
      <c r="C15" s="62">
        <v>4.0957268412006649E-2</v>
      </c>
      <c r="D15" s="62">
        <v>9.2582050690395729E-3</v>
      </c>
      <c r="E15" s="62">
        <v>3.7550288034241763E-2</v>
      </c>
    </row>
    <row r="16" spans="1:5" x14ac:dyDescent="0.2">
      <c r="A16" s="61">
        <v>35916</v>
      </c>
      <c r="B16" s="54">
        <v>56.2</v>
      </c>
      <c r="C16" s="62">
        <v>4.0957268412006649E-2</v>
      </c>
      <c r="D16" s="62">
        <v>9.2582050690395729E-3</v>
      </c>
      <c r="E16" s="62">
        <v>3.7550288034241763E-2</v>
      </c>
    </row>
    <row r="17" spans="1:5" x14ac:dyDescent="0.2">
      <c r="A17" s="61">
        <v>35947</v>
      </c>
      <c r="B17" s="54">
        <v>55.1</v>
      </c>
      <c r="C17" s="62">
        <v>4.0957268412006649E-2</v>
      </c>
      <c r="D17" s="62">
        <v>9.2582050690395729E-3</v>
      </c>
      <c r="E17" s="62">
        <v>3.7550288034241763E-2</v>
      </c>
    </row>
    <row r="18" spans="1:5" x14ac:dyDescent="0.2">
      <c r="A18" s="61">
        <v>35977</v>
      </c>
      <c r="B18" s="54">
        <v>55.8</v>
      </c>
      <c r="C18" s="62">
        <v>4.0977686226798142E-2</v>
      </c>
      <c r="D18" s="62">
        <v>1.252764552668854E-2</v>
      </c>
      <c r="E18" s="62">
        <v>5.1060122602257119E-2</v>
      </c>
    </row>
    <row r="19" spans="1:5" x14ac:dyDescent="0.2">
      <c r="A19" s="61">
        <v>36008</v>
      </c>
      <c r="B19" s="54">
        <v>53.5</v>
      </c>
      <c r="C19" s="62">
        <v>4.0977686226798142E-2</v>
      </c>
      <c r="D19" s="62">
        <v>1.252764552668854E-2</v>
      </c>
      <c r="E19" s="62">
        <v>5.1060122602257119E-2</v>
      </c>
    </row>
    <row r="20" spans="1:5" x14ac:dyDescent="0.2">
      <c r="A20" s="61">
        <v>36039</v>
      </c>
      <c r="B20" s="54">
        <v>55</v>
      </c>
      <c r="C20" s="62">
        <v>4.0977686226798142E-2</v>
      </c>
      <c r="D20" s="62">
        <v>1.252764552668854E-2</v>
      </c>
      <c r="E20" s="62">
        <v>5.1060122602257119E-2</v>
      </c>
    </row>
    <row r="21" spans="1:5" x14ac:dyDescent="0.2">
      <c r="A21" s="61">
        <v>36069</v>
      </c>
      <c r="B21" s="54">
        <v>53.8</v>
      </c>
      <c r="C21" s="62">
        <v>4.8795407755980173E-2</v>
      </c>
      <c r="D21" s="62">
        <v>1.6161907023370281E-2</v>
      </c>
      <c r="E21" s="62">
        <v>6.6231826182913567E-2</v>
      </c>
    </row>
    <row r="22" spans="1:5" x14ac:dyDescent="0.2">
      <c r="A22" s="61">
        <v>36100</v>
      </c>
      <c r="B22" s="54">
        <v>52.6</v>
      </c>
      <c r="C22" s="62">
        <v>4.8795407755980173E-2</v>
      </c>
      <c r="D22" s="62">
        <v>1.6161907023370281E-2</v>
      </c>
      <c r="E22" s="62">
        <v>6.6231826182913567E-2</v>
      </c>
    </row>
    <row r="23" spans="1:5" x14ac:dyDescent="0.2">
      <c r="A23" s="61">
        <v>36130</v>
      </c>
      <c r="B23" s="54">
        <v>52.9</v>
      </c>
      <c r="C23" s="62">
        <v>4.8795407755980173E-2</v>
      </c>
      <c r="D23" s="62">
        <v>1.6161907023370281E-2</v>
      </c>
      <c r="E23" s="62">
        <v>6.6231826182913567E-2</v>
      </c>
    </row>
    <row r="24" spans="1:5" x14ac:dyDescent="0.2">
      <c r="A24" s="61">
        <v>36161</v>
      </c>
      <c r="B24" s="54">
        <v>55.6</v>
      </c>
      <c r="C24" s="62">
        <v>4.8218579316202298E-2</v>
      </c>
      <c r="D24" s="62">
        <v>9.438266145912767E-3</v>
      </c>
      <c r="E24" s="62">
        <v>3.8290920801855137E-2</v>
      </c>
    </row>
    <row r="25" spans="1:5" x14ac:dyDescent="0.2">
      <c r="A25" s="61">
        <v>36192</v>
      </c>
      <c r="B25" s="54">
        <v>54.4</v>
      </c>
      <c r="C25" s="62">
        <v>4.8218579316202298E-2</v>
      </c>
      <c r="D25" s="62">
        <v>9.438266145912767E-3</v>
      </c>
      <c r="E25" s="62">
        <v>3.8290920801855137E-2</v>
      </c>
    </row>
    <row r="26" spans="1:5" x14ac:dyDescent="0.2">
      <c r="A26" s="61">
        <v>36220</v>
      </c>
      <c r="B26" s="54">
        <v>55.3</v>
      </c>
      <c r="C26" s="62">
        <v>4.8218579316202298E-2</v>
      </c>
      <c r="D26" s="62">
        <v>9.438266145912767E-3</v>
      </c>
      <c r="E26" s="62">
        <v>3.8290920801855137E-2</v>
      </c>
    </row>
    <row r="27" spans="1:5" x14ac:dyDescent="0.2">
      <c r="A27" s="61">
        <v>36251</v>
      </c>
      <c r="B27" s="54">
        <v>55.5</v>
      </c>
      <c r="C27" s="62">
        <v>4.7275315134735367E-2</v>
      </c>
      <c r="D27" s="62">
        <v>8.3500002981279006E-3</v>
      </c>
      <c r="E27" s="62">
        <v>3.3820669815361137E-2</v>
      </c>
    </row>
    <row r="28" spans="1:5" x14ac:dyDescent="0.2">
      <c r="A28" s="61">
        <v>36281</v>
      </c>
      <c r="B28" s="54">
        <v>55.3</v>
      </c>
      <c r="C28" s="62">
        <v>4.7275315134735367E-2</v>
      </c>
      <c r="D28" s="62">
        <v>8.3500002981279006E-3</v>
      </c>
      <c r="E28" s="62">
        <v>3.3820669815361137E-2</v>
      </c>
    </row>
    <row r="29" spans="1:5" x14ac:dyDescent="0.2">
      <c r="A29" s="61">
        <v>36312</v>
      </c>
      <c r="B29" s="54">
        <v>56.7</v>
      </c>
      <c r="C29" s="62">
        <v>4.7275315134735367E-2</v>
      </c>
      <c r="D29" s="62">
        <v>8.3500002981279006E-3</v>
      </c>
      <c r="E29" s="62">
        <v>3.3820669815361137E-2</v>
      </c>
    </row>
    <row r="30" spans="1:5" x14ac:dyDescent="0.2">
      <c r="A30" s="61">
        <v>36342</v>
      </c>
      <c r="B30" s="54">
        <v>56.2</v>
      </c>
      <c r="C30" s="62">
        <v>4.8002052368625307E-2</v>
      </c>
      <c r="D30" s="62">
        <v>1.3230270261286141E-2</v>
      </c>
      <c r="E30" s="62">
        <v>5.3980615300018853E-2</v>
      </c>
    </row>
    <row r="31" spans="1:5" x14ac:dyDescent="0.2">
      <c r="A31" s="61">
        <v>36373</v>
      </c>
      <c r="B31" s="54">
        <v>56.4</v>
      </c>
      <c r="C31" s="62">
        <v>4.8002052368625307E-2</v>
      </c>
      <c r="D31" s="62">
        <v>1.3230270261286141E-2</v>
      </c>
      <c r="E31" s="62">
        <v>5.3980615300018853E-2</v>
      </c>
    </row>
    <row r="32" spans="1:5" x14ac:dyDescent="0.2">
      <c r="A32" s="61">
        <v>36404</v>
      </c>
      <c r="B32" s="54">
        <v>56.2</v>
      </c>
      <c r="C32" s="62">
        <v>4.8002052368625307E-2</v>
      </c>
      <c r="D32" s="62">
        <v>1.3230270261286141E-2</v>
      </c>
      <c r="E32" s="62">
        <v>5.3980615300018853E-2</v>
      </c>
    </row>
    <row r="33" spans="1:5" x14ac:dyDescent="0.2">
      <c r="A33" s="61">
        <v>36434</v>
      </c>
      <c r="B33" s="54">
        <v>57.6</v>
      </c>
      <c r="C33" s="62">
        <v>4.827626650330151E-2</v>
      </c>
      <c r="D33" s="62">
        <v>1.6427790050407821E-2</v>
      </c>
      <c r="E33" s="62">
        <v>6.734820036933864E-2</v>
      </c>
    </row>
    <row r="34" spans="1:5" x14ac:dyDescent="0.2">
      <c r="A34" s="61">
        <v>36465</v>
      </c>
      <c r="B34" s="54">
        <v>54.9</v>
      </c>
      <c r="C34" s="62">
        <v>4.827626650330151E-2</v>
      </c>
      <c r="D34" s="62">
        <v>1.6427790050407821E-2</v>
      </c>
      <c r="E34" s="62">
        <v>6.734820036933864E-2</v>
      </c>
    </row>
    <row r="35" spans="1:5" x14ac:dyDescent="0.2">
      <c r="A35" s="61">
        <v>36495</v>
      </c>
      <c r="B35" s="54">
        <v>56.9</v>
      </c>
      <c r="C35" s="62">
        <v>4.827626650330151E-2</v>
      </c>
      <c r="D35" s="62">
        <v>1.6427790050407821E-2</v>
      </c>
      <c r="E35" s="62">
        <v>6.734820036933864E-2</v>
      </c>
    </row>
    <row r="36" spans="1:5" x14ac:dyDescent="0.2">
      <c r="A36" s="61">
        <v>36526</v>
      </c>
      <c r="B36" s="54">
        <v>56.6</v>
      </c>
      <c r="C36" s="62">
        <v>4.225955858689924E-2</v>
      </c>
      <c r="D36" s="62">
        <v>3.6444736113372721E-3</v>
      </c>
      <c r="E36" s="62">
        <v>1.46577813755211E-2</v>
      </c>
    </row>
    <row r="37" spans="1:5" x14ac:dyDescent="0.2">
      <c r="A37" s="61">
        <v>36557</v>
      </c>
      <c r="B37" s="54">
        <v>56.2</v>
      </c>
      <c r="C37" s="62">
        <v>4.225955858689924E-2</v>
      </c>
      <c r="D37" s="62">
        <v>3.6444736113372721E-3</v>
      </c>
      <c r="E37" s="62">
        <v>1.46577813755211E-2</v>
      </c>
    </row>
    <row r="38" spans="1:5" x14ac:dyDescent="0.2">
      <c r="A38" s="61">
        <v>36586</v>
      </c>
      <c r="B38" s="54">
        <v>57.4</v>
      </c>
      <c r="C38" s="62">
        <v>4.225955858689924E-2</v>
      </c>
      <c r="D38" s="62">
        <v>3.6444736113372721E-3</v>
      </c>
      <c r="E38" s="62">
        <v>1.46577813755211E-2</v>
      </c>
    </row>
    <row r="39" spans="1:5" x14ac:dyDescent="0.2">
      <c r="A39" s="61">
        <v>36617</v>
      </c>
      <c r="B39" s="54">
        <v>58</v>
      </c>
      <c r="C39" s="62">
        <v>5.2446827688533121E-2</v>
      </c>
      <c r="D39" s="62">
        <v>1.820583008355766E-2</v>
      </c>
      <c r="E39" s="62">
        <v>7.4836281142319105E-2</v>
      </c>
    </row>
    <row r="40" spans="1:5" x14ac:dyDescent="0.2">
      <c r="A40" s="61">
        <v>36647</v>
      </c>
      <c r="B40" s="54">
        <v>57.7</v>
      </c>
      <c r="C40" s="62">
        <v>5.2446827688533121E-2</v>
      </c>
      <c r="D40" s="62">
        <v>1.820583008355766E-2</v>
      </c>
      <c r="E40" s="62">
        <v>7.4836281142319105E-2</v>
      </c>
    </row>
    <row r="41" spans="1:5" x14ac:dyDescent="0.2">
      <c r="A41" s="61">
        <v>36678</v>
      </c>
      <c r="B41" s="54">
        <v>56.9</v>
      </c>
      <c r="C41" s="62">
        <v>5.2446827688533121E-2</v>
      </c>
      <c r="D41" s="62">
        <v>1.820583008355766E-2</v>
      </c>
      <c r="E41" s="62">
        <v>7.4836281142319105E-2</v>
      </c>
    </row>
    <row r="42" spans="1:5" x14ac:dyDescent="0.2">
      <c r="A42" s="61">
        <v>36708</v>
      </c>
      <c r="B42" s="54">
        <v>55.3</v>
      </c>
      <c r="C42" s="62">
        <v>3.9740844955791207E-2</v>
      </c>
      <c r="D42" s="62">
        <v>9.9774128259521319E-4</v>
      </c>
      <c r="E42" s="62">
        <v>3.9969420303302972E-3</v>
      </c>
    </row>
    <row r="43" spans="1:5" x14ac:dyDescent="0.2">
      <c r="A43" s="61">
        <v>36739</v>
      </c>
      <c r="B43" s="54">
        <v>57.6</v>
      </c>
      <c r="C43" s="62">
        <v>3.9740844955791207E-2</v>
      </c>
      <c r="D43" s="62">
        <v>9.9774128259521319E-4</v>
      </c>
      <c r="E43" s="62">
        <v>3.9969420303302972E-3</v>
      </c>
    </row>
    <row r="44" spans="1:5" x14ac:dyDescent="0.2">
      <c r="A44" s="61">
        <v>36770</v>
      </c>
      <c r="B44" s="54">
        <v>56.7</v>
      </c>
      <c r="C44" s="62">
        <v>3.9740844955791207E-2</v>
      </c>
      <c r="D44" s="62">
        <v>9.9774128259521319E-4</v>
      </c>
      <c r="E44" s="62">
        <v>3.9969420303302972E-3</v>
      </c>
    </row>
    <row r="45" spans="1:5" x14ac:dyDescent="0.2">
      <c r="A45" s="61">
        <v>36800</v>
      </c>
      <c r="B45" s="54">
        <v>56.7</v>
      </c>
      <c r="C45" s="62">
        <v>2.9016204721172601E-2</v>
      </c>
      <c r="D45" s="62">
        <v>5.9436175514207554E-3</v>
      </c>
      <c r="E45" s="62">
        <v>2.3987270862187989E-2</v>
      </c>
    </row>
    <row r="46" spans="1:5" x14ac:dyDescent="0.2">
      <c r="A46" s="61">
        <v>36831</v>
      </c>
      <c r="B46" s="54">
        <v>56.2</v>
      </c>
      <c r="C46" s="62">
        <v>2.9016204721172601E-2</v>
      </c>
      <c r="D46" s="62">
        <v>5.9436175514207554E-3</v>
      </c>
      <c r="E46" s="62">
        <v>2.3987270862187989E-2</v>
      </c>
    </row>
    <row r="47" spans="1:5" x14ac:dyDescent="0.2">
      <c r="A47" s="61">
        <v>36861</v>
      </c>
      <c r="B47" s="54">
        <v>54</v>
      </c>
      <c r="C47" s="62">
        <v>2.9016204721172601E-2</v>
      </c>
      <c r="D47" s="62">
        <v>5.9436175514207554E-3</v>
      </c>
      <c r="E47" s="62">
        <v>2.3987270862187989E-2</v>
      </c>
    </row>
    <row r="48" spans="1:5" x14ac:dyDescent="0.2">
      <c r="A48" s="61">
        <v>36892</v>
      </c>
      <c r="B48" s="54">
        <v>51.6</v>
      </c>
      <c r="C48" s="62">
        <v>2.1955428467879849E-2</v>
      </c>
      <c r="D48" s="62">
        <v>-3.2422100322343338E-3</v>
      </c>
      <c r="E48" s="62">
        <v>-1.290590479056453E-2</v>
      </c>
    </row>
    <row r="49" spans="1:5" x14ac:dyDescent="0.2">
      <c r="A49" s="61">
        <v>36923</v>
      </c>
      <c r="B49" s="54">
        <v>51.3</v>
      </c>
      <c r="C49" s="62">
        <v>2.1955428467879849E-2</v>
      </c>
      <c r="D49" s="62">
        <v>-3.2422100322343338E-3</v>
      </c>
      <c r="E49" s="62">
        <v>-1.290590479056453E-2</v>
      </c>
    </row>
    <row r="50" spans="1:5" x14ac:dyDescent="0.2">
      <c r="A50" s="61">
        <v>36951</v>
      </c>
      <c r="B50" s="54">
        <v>50.7</v>
      </c>
      <c r="C50" s="62">
        <v>2.1955428467879849E-2</v>
      </c>
      <c r="D50" s="62">
        <v>-3.2422100322343338E-3</v>
      </c>
      <c r="E50" s="62">
        <v>-1.290590479056453E-2</v>
      </c>
    </row>
    <row r="51" spans="1:5" x14ac:dyDescent="0.2">
      <c r="A51" s="61">
        <v>36982</v>
      </c>
      <c r="B51" s="54">
        <v>48.3</v>
      </c>
      <c r="C51" s="62">
        <v>9.9193295688802842E-3</v>
      </c>
      <c r="D51" s="62">
        <v>6.2138921486550201E-3</v>
      </c>
      <c r="E51" s="62">
        <v>2.5088204553891821E-2</v>
      </c>
    </row>
    <row r="52" spans="1:5" x14ac:dyDescent="0.2">
      <c r="A52" s="61">
        <v>37012</v>
      </c>
      <c r="B52" s="54">
        <v>49</v>
      </c>
      <c r="C52" s="62">
        <v>9.9193295688802842E-3</v>
      </c>
      <c r="D52" s="62">
        <v>6.2138921486550201E-3</v>
      </c>
      <c r="E52" s="62">
        <v>2.5088204553891821E-2</v>
      </c>
    </row>
    <row r="53" spans="1:5" x14ac:dyDescent="0.2">
      <c r="A53" s="61">
        <v>37043</v>
      </c>
      <c r="B53" s="54">
        <v>50.1</v>
      </c>
      <c r="C53" s="62">
        <v>9.9193295688802842E-3</v>
      </c>
      <c r="D53" s="62">
        <v>6.2138921486550201E-3</v>
      </c>
      <c r="E53" s="62">
        <v>2.5088204553891821E-2</v>
      </c>
    </row>
    <row r="54" spans="1:5" x14ac:dyDescent="0.2">
      <c r="A54" s="61">
        <v>37073</v>
      </c>
      <c r="B54" s="54">
        <v>48.1</v>
      </c>
      <c r="C54" s="62">
        <v>4.8735236716932872E-3</v>
      </c>
      <c r="D54" s="62">
        <v>-4.0034901605050122E-3</v>
      </c>
      <c r="E54" s="62">
        <v>-1.5918049455029729E-2</v>
      </c>
    </row>
    <row r="55" spans="1:5" x14ac:dyDescent="0.2">
      <c r="A55" s="61">
        <v>37104</v>
      </c>
      <c r="B55" s="54">
        <v>46.9</v>
      </c>
      <c r="C55" s="62">
        <v>4.8735236716932872E-3</v>
      </c>
      <c r="D55" s="62">
        <v>-4.0034901605050122E-3</v>
      </c>
      <c r="E55" s="62">
        <v>-1.5918049455029729E-2</v>
      </c>
    </row>
    <row r="56" spans="1:5" x14ac:dyDescent="0.2">
      <c r="A56" s="61">
        <v>37135</v>
      </c>
      <c r="B56" s="54">
        <v>49.5</v>
      </c>
      <c r="C56" s="62">
        <v>4.8735236716932872E-3</v>
      </c>
      <c r="D56" s="62">
        <v>-4.0034901605050122E-3</v>
      </c>
      <c r="E56" s="62">
        <v>-1.5918049455029729E-2</v>
      </c>
    </row>
    <row r="57" spans="1:5" x14ac:dyDescent="0.2">
      <c r="A57" s="61">
        <v>37165</v>
      </c>
      <c r="B57" s="54">
        <v>44.8</v>
      </c>
      <c r="C57" s="62">
        <v>1.706422364229252E-3</v>
      </c>
      <c r="D57" s="62">
        <v>2.7731435849645621E-3</v>
      </c>
      <c r="E57" s="62">
        <v>1.113880165656145E-2</v>
      </c>
    </row>
    <row r="58" spans="1:5" x14ac:dyDescent="0.2">
      <c r="A58" s="61">
        <v>37196</v>
      </c>
      <c r="B58" s="54">
        <v>48.2</v>
      </c>
      <c r="C58" s="62">
        <v>1.706422364229252E-3</v>
      </c>
      <c r="D58" s="62">
        <v>2.7731435849645621E-3</v>
      </c>
      <c r="E58" s="62">
        <v>1.113880165656145E-2</v>
      </c>
    </row>
    <row r="59" spans="1:5" x14ac:dyDescent="0.2">
      <c r="A59" s="61">
        <v>37226</v>
      </c>
      <c r="B59" s="54">
        <v>49.7</v>
      </c>
      <c r="C59" s="62">
        <v>1.706422364229252E-3</v>
      </c>
      <c r="D59" s="62">
        <v>2.7731435849645621E-3</v>
      </c>
      <c r="E59" s="62">
        <v>1.113880165656145E-2</v>
      </c>
    </row>
    <row r="60" spans="1:5" x14ac:dyDescent="0.2">
      <c r="A60" s="61">
        <v>37257</v>
      </c>
      <c r="B60" s="54">
        <v>48.9</v>
      </c>
      <c r="C60" s="62">
        <v>1.3288120484284601E-2</v>
      </c>
      <c r="D60" s="62">
        <v>8.2822721558439595E-3</v>
      </c>
      <c r="E60" s="62">
        <v>3.354294204519781E-2</v>
      </c>
    </row>
    <row r="61" spans="1:5" x14ac:dyDescent="0.2">
      <c r="A61" s="61">
        <v>37288</v>
      </c>
      <c r="B61" s="54">
        <v>52.7</v>
      </c>
      <c r="C61" s="62">
        <v>1.3288120484284601E-2</v>
      </c>
      <c r="D61" s="62">
        <v>8.2822721558439595E-3</v>
      </c>
      <c r="E61" s="62">
        <v>3.354294204519781E-2</v>
      </c>
    </row>
    <row r="62" spans="1:5" x14ac:dyDescent="0.2">
      <c r="A62" s="61">
        <v>37316</v>
      </c>
      <c r="B62" s="54">
        <v>52.8</v>
      </c>
      <c r="C62" s="62">
        <v>1.3288120484284601E-2</v>
      </c>
      <c r="D62" s="62">
        <v>8.2822721558439595E-3</v>
      </c>
      <c r="E62" s="62">
        <v>3.354294204519781E-2</v>
      </c>
    </row>
    <row r="63" spans="1:5" x14ac:dyDescent="0.2">
      <c r="A63" s="61">
        <v>37347</v>
      </c>
      <c r="B63" s="54">
        <v>53.5</v>
      </c>
      <c r="C63" s="62">
        <v>1.322883902243626E-2</v>
      </c>
      <c r="D63" s="62">
        <v>6.1550245578357683E-3</v>
      </c>
      <c r="E63" s="62">
        <v>2.4848338346270319E-2</v>
      </c>
    </row>
    <row r="64" spans="1:5" x14ac:dyDescent="0.2">
      <c r="A64" s="61">
        <v>37377</v>
      </c>
      <c r="B64" s="54">
        <v>54.8</v>
      </c>
      <c r="C64" s="62">
        <v>1.322883902243626E-2</v>
      </c>
      <c r="D64" s="62">
        <v>6.1550245578357683E-3</v>
      </c>
      <c r="E64" s="62">
        <v>2.4848338346270319E-2</v>
      </c>
    </row>
    <row r="65" spans="1:5" x14ac:dyDescent="0.2">
      <c r="A65" s="61">
        <v>37408</v>
      </c>
      <c r="B65" s="54">
        <v>52.5</v>
      </c>
      <c r="C65" s="62">
        <v>1.322883902243626E-2</v>
      </c>
      <c r="D65" s="62">
        <v>6.1550245578357683E-3</v>
      </c>
      <c r="E65" s="62">
        <v>2.4848338346270319E-2</v>
      </c>
    </row>
    <row r="66" spans="1:5" x14ac:dyDescent="0.2">
      <c r="A66" s="61">
        <v>37438</v>
      </c>
      <c r="B66" s="54">
        <v>50.4</v>
      </c>
      <c r="C66" s="62">
        <v>2.140669989799325E-2</v>
      </c>
      <c r="D66" s="62">
        <v>4.0352870399802624E-3</v>
      </c>
      <c r="E66" s="62">
        <v>1.6239112509100598E-2</v>
      </c>
    </row>
    <row r="67" spans="1:5" x14ac:dyDescent="0.2">
      <c r="A67" s="61">
        <v>37469</v>
      </c>
      <c r="B67" s="54">
        <v>50.9</v>
      </c>
      <c r="C67" s="62">
        <v>2.140669989799325E-2</v>
      </c>
      <c r="D67" s="62">
        <v>4.0352870399802624E-3</v>
      </c>
      <c r="E67" s="62">
        <v>1.6239112509100598E-2</v>
      </c>
    </row>
    <row r="68" spans="1:5" x14ac:dyDescent="0.2">
      <c r="A68" s="61">
        <v>37500</v>
      </c>
      <c r="B68" s="54">
        <v>52.3</v>
      </c>
      <c r="C68" s="62">
        <v>2.140669989799325E-2</v>
      </c>
      <c r="D68" s="62">
        <v>4.0352870399802624E-3</v>
      </c>
      <c r="E68" s="62">
        <v>1.6239112509100598E-2</v>
      </c>
    </row>
    <row r="69" spans="1:5" x14ac:dyDescent="0.2">
      <c r="A69" s="61">
        <v>37530</v>
      </c>
      <c r="B69" s="54">
        <v>51.4</v>
      </c>
      <c r="C69" s="62">
        <v>1.9912861846485559E-2</v>
      </c>
      <c r="D69" s="62">
        <v>1.306557670590968E-3</v>
      </c>
      <c r="E69" s="62">
        <v>5.2364821646193596E-3</v>
      </c>
    </row>
    <row r="70" spans="1:5" x14ac:dyDescent="0.2">
      <c r="A70" s="61">
        <v>37561</v>
      </c>
      <c r="B70" s="54">
        <v>52.9</v>
      </c>
      <c r="C70" s="62">
        <v>1.9912861846485559E-2</v>
      </c>
      <c r="D70" s="62">
        <v>1.306557670590968E-3</v>
      </c>
      <c r="E70" s="62">
        <v>5.2364821646193596E-3</v>
      </c>
    </row>
    <row r="71" spans="1:5" x14ac:dyDescent="0.2">
      <c r="A71" s="61">
        <v>37591</v>
      </c>
      <c r="B71" s="54">
        <v>52.3</v>
      </c>
      <c r="C71" s="62">
        <v>1.9912861846485559E-2</v>
      </c>
      <c r="D71" s="62">
        <v>1.306557670590968E-3</v>
      </c>
      <c r="E71" s="62">
        <v>5.2364821646193596E-3</v>
      </c>
    </row>
    <row r="72" spans="1:5" x14ac:dyDescent="0.2">
      <c r="A72" s="61">
        <v>37622</v>
      </c>
      <c r="B72" s="54">
        <v>53.3</v>
      </c>
      <c r="C72" s="62">
        <v>1.676188940425874E-2</v>
      </c>
      <c r="D72" s="62">
        <v>5.1672318691698346E-3</v>
      </c>
      <c r="E72" s="62">
        <v>2.0829681766981079E-2</v>
      </c>
    </row>
    <row r="73" spans="1:5" x14ac:dyDescent="0.2">
      <c r="A73" s="61">
        <v>37653</v>
      </c>
      <c r="B73" s="54">
        <v>52.6</v>
      </c>
      <c r="C73" s="62">
        <v>1.676188940425874E-2</v>
      </c>
      <c r="D73" s="62">
        <v>5.1672318691698346E-3</v>
      </c>
      <c r="E73" s="62">
        <v>2.0829681766981079E-2</v>
      </c>
    </row>
    <row r="74" spans="1:5" x14ac:dyDescent="0.2">
      <c r="A74" s="61">
        <v>37681</v>
      </c>
      <c r="B74" s="54">
        <v>49.1</v>
      </c>
      <c r="C74" s="62">
        <v>1.676188940425874E-2</v>
      </c>
      <c r="D74" s="62">
        <v>5.1672318691698346E-3</v>
      </c>
      <c r="E74" s="62">
        <v>2.0829681766981079E-2</v>
      </c>
    </row>
    <row r="75" spans="1:5" x14ac:dyDescent="0.2">
      <c r="A75" s="61">
        <v>37712</v>
      </c>
      <c r="B75" s="54">
        <v>50.1</v>
      </c>
      <c r="C75" s="62">
        <v>1.9569936417795909E-2</v>
      </c>
      <c r="D75" s="62">
        <v>8.9337780116266717E-3</v>
      </c>
      <c r="E75" s="62">
        <v>3.621684485857446E-2</v>
      </c>
    </row>
    <row r="76" spans="1:5" x14ac:dyDescent="0.2">
      <c r="A76" s="61">
        <v>37742</v>
      </c>
      <c r="B76" s="54">
        <v>52.8</v>
      </c>
      <c r="C76" s="62">
        <v>1.9569936417795909E-2</v>
      </c>
      <c r="D76" s="62">
        <v>8.9337780116266717E-3</v>
      </c>
      <c r="E76" s="62">
        <v>3.621684485857446E-2</v>
      </c>
    </row>
    <row r="77" spans="1:5" x14ac:dyDescent="0.2">
      <c r="A77" s="61">
        <v>37773</v>
      </c>
      <c r="B77" s="54">
        <v>54.3</v>
      </c>
      <c r="C77" s="62">
        <v>1.9569936417795909E-2</v>
      </c>
      <c r="D77" s="62">
        <v>8.9337780116266717E-3</v>
      </c>
      <c r="E77" s="62">
        <v>3.621684485857446E-2</v>
      </c>
    </row>
    <row r="78" spans="1:5" x14ac:dyDescent="0.2">
      <c r="A78" s="61">
        <v>37803</v>
      </c>
      <c r="B78" s="54">
        <v>57.3</v>
      </c>
      <c r="C78" s="62">
        <v>3.2399083015260143E-2</v>
      </c>
      <c r="D78" s="62">
        <v>1.666896269711016E-2</v>
      </c>
      <c r="E78" s="62">
        <v>6.8361580068855732E-2</v>
      </c>
    </row>
    <row r="79" spans="1:5" x14ac:dyDescent="0.2">
      <c r="A79" s="61">
        <v>37834</v>
      </c>
      <c r="B79" s="54">
        <v>59.1</v>
      </c>
      <c r="C79" s="62">
        <v>3.2399083015260143E-2</v>
      </c>
      <c r="D79" s="62">
        <v>1.666896269711016E-2</v>
      </c>
      <c r="E79" s="62">
        <v>6.8361580068855732E-2</v>
      </c>
    </row>
    <row r="80" spans="1:5" x14ac:dyDescent="0.2">
      <c r="A80" s="61">
        <v>37865</v>
      </c>
      <c r="B80" s="54">
        <v>57.6</v>
      </c>
      <c r="C80" s="62">
        <v>3.2399083015260143E-2</v>
      </c>
      <c r="D80" s="62">
        <v>1.666896269711016E-2</v>
      </c>
      <c r="E80" s="62">
        <v>6.8361580068855732E-2</v>
      </c>
    </row>
    <row r="81" spans="1:5" x14ac:dyDescent="0.2">
      <c r="A81" s="61">
        <v>37895</v>
      </c>
      <c r="B81" s="54">
        <v>58.7</v>
      </c>
      <c r="C81" s="62">
        <v>4.2950765202439317E-2</v>
      </c>
      <c r="D81" s="62">
        <v>1.154045727617818E-2</v>
      </c>
      <c r="E81" s="62">
        <v>4.6967087698897902E-2</v>
      </c>
    </row>
    <row r="82" spans="1:5" x14ac:dyDescent="0.2">
      <c r="A82" s="61">
        <v>37926</v>
      </c>
      <c r="B82" s="54">
        <v>57.5</v>
      </c>
      <c r="C82" s="62">
        <v>4.2950765202439317E-2</v>
      </c>
      <c r="D82" s="62">
        <v>1.154045727617818E-2</v>
      </c>
      <c r="E82" s="62">
        <v>4.6967087698897902E-2</v>
      </c>
    </row>
    <row r="83" spans="1:5" x14ac:dyDescent="0.2">
      <c r="A83" s="61">
        <v>37956</v>
      </c>
      <c r="B83" s="54">
        <v>56.8</v>
      </c>
      <c r="C83" s="62">
        <v>4.2950765202439317E-2</v>
      </c>
      <c r="D83" s="62">
        <v>1.154045727617818E-2</v>
      </c>
      <c r="E83" s="62">
        <v>4.6967087698897902E-2</v>
      </c>
    </row>
    <row r="84" spans="1:5" x14ac:dyDescent="0.2">
      <c r="A84" s="61">
        <v>37987</v>
      </c>
      <c r="B84" s="54">
        <v>61.2</v>
      </c>
      <c r="C84" s="62">
        <v>4.3533820862159241E-2</v>
      </c>
      <c r="D84" s="62">
        <v>5.7291648606975533E-3</v>
      </c>
      <c r="E84" s="62">
        <v>2.3114352701243401E-2</v>
      </c>
    </row>
    <row r="85" spans="1:5" x14ac:dyDescent="0.2">
      <c r="A85" s="61">
        <v>38018</v>
      </c>
      <c r="B85" s="54">
        <v>58</v>
      </c>
      <c r="C85" s="62">
        <v>4.3533820862159241E-2</v>
      </c>
      <c r="D85" s="62">
        <v>5.7291648606975533E-3</v>
      </c>
      <c r="E85" s="62">
        <v>2.3114352701243401E-2</v>
      </c>
    </row>
    <row r="86" spans="1:5" x14ac:dyDescent="0.2">
      <c r="A86" s="61">
        <v>38047</v>
      </c>
      <c r="B86" s="54">
        <v>58.3</v>
      </c>
      <c r="C86" s="62">
        <v>4.3533820862159241E-2</v>
      </c>
      <c r="D86" s="62">
        <v>5.7291648606975533E-3</v>
      </c>
      <c r="E86" s="62">
        <v>2.3114352701243401E-2</v>
      </c>
    </row>
    <row r="87" spans="1:5" x14ac:dyDescent="0.2">
      <c r="A87" s="61">
        <v>38078</v>
      </c>
      <c r="B87" s="54">
        <v>59.6</v>
      </c>
      <c r="C87" s="62">
        <v>4.2348116494544417E-2</v>
      </c>
      <c r="D87" s="62">
        <v>7.7873875800888301E-3</v>
      </c>
      <c r="E87" s="62">
        <v>3.1515303444719089E-2</v>
      </c>
    </row>
    <row r="88" spans="1:5" x14ac:dyDescent="0.2">
      <c r="A88" s="61">
        <v>38108</v>
      </c>
      <c r="B88" s="54">
        <v>58.5</v>
      </c>
      <c r="C88" s="62">
        <v>4.2348116494544417E-2</v>
      </c>
      <c r="D88" s="62">
        <v>7.7873875800888301E-3</v>
      </c>
      <c r="E88" s="62">
        <v>3.1515303444719089E-2</v>
      </c>
    </row>
    <row r="89" spans="1:5" x14ac:dyDescent="0.2">
      <c r="A89" s="61">
        <v>38139</v>
      </c>
      <c r="B89" s="54">
        <v>58.6</v>
      </c>
      <c r="C89" s="62">
        <v>4.2348116494544417E-2</v>
      </c>
      <c r="D89" s="62">
        <v>7.7873875800888301E-3</v>
      </c>
      <c r="E89" s="62">
        <v>3.1515303444719089E-2</v>
      </c>
    </row>
    <row r="90" spans="1:5" x14ac:dyDescent="0.2">
      <c r="A90" s="61">
        <v>38169</v>
      </c>
      <c r="B90" s="54">
        <v>58.5</v>
      </c>
      <c r="C90" s="62">
        <v>3.4908340686507763E-2</v>
      </c>
      <c r="D90" s="62">
        <v>9.4124722465944513E-3</v>
      </c>
      <c r="E90" s="62">
        <v>3.8184800216271693E-2</v>
      </c>
    </row>
    <row r="91" spans="1:5" x14ac:dyDescent="0.2">
      <c r="A91" s="61">
        <v>38200</v>
      </c>
      <c r="B91" s="54">
        <v>57.3</v>
      </c>
      <c r="C91" s="62">
        <v>3.4908340686507763E-2</v>
      </c>
      <c r="D91" s="62">
        <v>9.4124722465944513E-3</v>
      </c>
      <c r="E91" s="62">
        <v>3.8184800216271693E-2</v>
      </c>
    </row>
    <row r="92" spans="1:5" x14ac:dyDescent="0.2">
      <c r="A92" s="61">
        <v>38231</v>
      </c>
      <c r="B92" s="54">
        <v>57.9</v>
      </c>
      <c r="C92" s="62">
        <v>3.4908340686507763E-2</v>
      </c>
      <c r="D92" s="62">
        <v>9.4124722465944513E-3</v>
      </c>
      <c r="E92" s="62">
        <v>3.8184800216271693E-2</v>
      </c>
    </row>
    <row r="93" spans="1:5" x14ac:dyDescent="0.2">
      <c r="A93" s="61">
        <v>38261</v>
      </c>
      <c r="B93" s="54">
        <v>58.8</v>
      </c>
      <c r="C93" s="62">
        <v>3.3557659164048917E-2</v>
      </c>
      <c r="D93" s="62">
        <v>1.0220273689720489E-2</v>
      </c>
      <c r="E93" s="62">
        <v>4.1512099828914462E-2</v>
      </c>
    </row>
    <row r="94" spans="1:5" x14ac:dyDescent="0.2">
      <c r="A94" s="61">
        <v>38292</v>
      </c>
      <c r="B94" s="54">
        <v>58.4</v>
      </c>
      <c r="C94" s="62">
        <v>3.3557659164048917E-2</v>
      </c>
      <c r="D94" s="62">
        <v>1.0220273689720489E-2</v>
      </c>
      <c r="E94" s="62">
        <v>4.1512099828914462E-2</v>
      </c>
    </row>
    <row r="95" spans="1:5" x14ac:dyDescent="0.2">
      <c r="A95" s="61">
        <v>38322</v>
      </c>
      <c r="B95" s="54">
        <v>59.6</v>
      </c>
      <c r="C95" s="62">
        <v>3.3557659164048917E-2</v>
      </c>
      <c r="D95" s="62">
        <v>1.0220273689720489E-2</v>
      </c>
      <c r="E95" s="62">
        <v>4.1512099828914462E-2</v>
      </c>
    </row>
    <row r="96" spans="1:5" x14ac:dyDescent="0.2">
      <c r="A96" s="61">
        <v>38353</v>
      </c>
      <c r="B96" s="54">
        <v>58</v>
      </c>
      <c r="C96" s="62">
        <v>3.9086174408999461E-2</v>
      </c>
      <c r="D96" s="62">
        <v>1.110882507696538E-2</v>
      </c>
      <c r="E96" s="62">
        <v>4.5181235086874112E-2</v>
      </c>
    </row>
    <row r="97" spans="1:5" x14ac:dyDescent="0.2">
      <c r="A97" s="61">
        <v>38384</v>
      </c>
      <c r="B97" s="54">
        <v>59.4</v>
      </c>
      <c r="C97" s="62">
        <v>3.9086174408999461E-2</v>
      </c>
      <c r="D97" s="62">
        <v>1.110882507696538E-2</v>
      </c>
      <c r="E97" s="62">
        <v>4.5181235086874112E-2</v>
      </c>
    </row>
    <row r="98" spans="1:5" x14ac:dyDescent="0.2">
      <c r="A98" s="61">
        <v>38412</v>
      </c>
      <c r="B98" s="54">
        <v>58</v>
      </c>
      <c r="C98" s="62">
        <v>3.9086174408999461E-2</v>
      </c>
      <c r="D98" s="62">
        <v>1.110882507696538E-2</v>
      </c>
      <c r="E98" s="62">
        <v>4.5181235086874112E-2</v>
      </c>
    </row>
    <row r="99" spans="1:5" x14ac:dyDescent="0.2">
      <c r="A99" s="61">
        <v>38443</v>
      </c>
      <c r="B99" s="54">
        <v>55.6</v>
      </c>
      <c r="C99" s="62">
        <v>3.6074103661260792E-2</v>
      </c>
      <c r="D99" s="62">
        <v>4.8660447840531912E-3</v>
      </c>
      <c r="E99" s="62">
        <v>1.9606710928381729E-2</v>
      </c>
    </row>
    <row r="100" spans="1:5" x14ac:dyDescent="0.2">
      <c r="A100" s="61">
        <v>38473</v>
      </c>
      <c r="B100" s="54">
        <v>55.3</v>
      </c>
      <c r="C100" s="62">
        <v>3.6074103661260792E-2</v>
      </c>
      <c r="D100" s="62">
        <v>4.8660447840531912E-3</v>
      </c>
      <c r="E100" s="62">
        <v>1.9606710928381729E-2</v>
      </c>
    </row>
    <row r="101" spans="1:5" x14ac:dyDescent="0.2">
      <c r="A101" s="61">
        <v>38504</v>
      </c>
      <c r="B101" s="54">
        <v>58.1</v>
      </c>
      <c r="C101" s="62">
        <v>3.6074103661260792E-2</v>
      </c>
      <c r="D101" s="62">
        <v>4.8660447840531912E-3</v>
      </c>
      <c r="E101" s="62">
        <v>1.9606710928381729E-2</v>
      </c>
    </row>
    <row r="102" spans="1:5" x14ac:dyDescent="0.2">
      <c r="A102" s="61">
        <v>38534</v>
      </c>
      <c r="B102" s="54">
        <v>59.5</v>
      </c>
      <c r="C102" s="62">
        <v>3.4476745891085119E-2</v>
      </c>
      <c r="D102" s="62">
        <v>7.8562198027224469E-3</v>
      </c>
      <c r="E102" s="62">
        <v>3.1797143707307018E-2</v>
      </c>
    </row>
    <row r="103" spans="1:5" x14ac:dyDescent="0.2">
      <c r="A103" s="61">
        <v>38565</v>
      </c>
      <c r="B103" s="54">
        <v>61.3</v>
      </c>
      <c r="C103" s="62">
        <v>3.4476745891085119E-2</v>
      </c>
      <c r="D103" s="62">
        <v>7.8562198027224469E-3</v>
      </c>
      <c r="E103" s="62">
        <v>3.1797143707307018E-2</v>
      </c>
    </row>
    <row r="104" spans="1:5" x14ac:dyDescent="0.2">
      <c r="A104" s="61">
        <v>38596</v>
      </c>
      <c r="B104" s="54">
        <v>55.7</v>
      </c>
      <c r="C104" s="62">
        <v>3.4476745891085119E-2</v>
      </c>
      <c r="D104" s="62">
        <v>7.8562198027224469E-3</v>
      </c>
      <c r="E104" s="62">
        <v>3.1797143707307018E-2</v>
      </c>
    </row>
    <row r="105" spans="1:5" x14ac:dyDescent="0.2">
      <c r="A105" s="61">
        <v>38626</v>
      </c>
      <c r="B105" s="54">
        <v>57.4</v>
      </c>
      <c r="C105" s="62">
        <v>2.9826720513611439E-2</v>
      </c>
      <c r="D105" s="62">
        <v>5.6792823835803089E-3</v>
      </c>
      <c r="E105" s="62">
        <v>2.2911388788950941E-2</v>
      </c>
    </row>
    <row r="106" spans="1:5" x14ac:dyDescent="0.2">
      <c r="A106" s="61">
        <v>38657</v>
      </c>
      <c r="B106" s="54">
        <v>59.1</v>
      </c>
      <c r="C106" s="62">
        <v>2.9826720513611439E-2</v>
      </c>
      <c r="D106" s="62">
        <v>5.6792823835803089E-3</v>
      </c>
      <c r="E106" s="62">
        <v>2.2911388788950941E-2</v>
      </c>
    </row>
    <row r="107" spans="1:5" x14ac:dyDescent="0.2">
      <c r="A107" s="61">
        <v>38687</v>
      </c>
      <c r="B107" s="54">
        <v>59</v>
      </c>
      <c r="C107" s="62">
        <v>2.9826720513611439E-2</v>
      </c>
      <c r="D107" s="62">
        <v>5.6792823835803089E-3</v>
      </c>
      <c r="E107" s="62">
        <v>2.2911388788950941E-2</v>
      </c>
    </row>
    <row r="108" spans="1:5" x14ac:dyDescent="0.2">
      <c r="A108" s="61">
        <v>38718</v>
      </c>
      <c r="B108" s="54">
        <v>56.3</v>
      </c>
      <c r="C108" s="62">
        <v>3.2248575723230061E-2</v>
      </c>
      <c r="D108" s="62">
        <v>1.3486661199029431E-2</v>
      </c>
      <c r="E108" s="62">
        <v>5.5047830418741617E-2</v>
      </c>
    </row>
    <row r="109" spans="1:5" x14ac:dyDescent="0.2">
      <c r="A109" s="61">
        <v>38749</v>
      </c>
      <c r="B109" s="54">
        <v>57.6</v>
      </c>
      <c r="C109" s="62">
        <v>3.2248575723230061E-2</v>
      </c>
      <c r="D109" s="62">
        <v>1.3486661199029431E-2</v>
      </c>
      <c r="E109" s="62">
        <v>5.5047830418741617E-2</v>
      </c>
    </row>
    <row r="110" spans="1:5" x14ac:dyDescent="0.2">
      <c r="A110" s="61">
        <v>38777</v>
      </c>
      <c r="B110" s="54">
        <v>56.9</v>
      </c>
      <c r="C110" s="62">
        <v>3.2248575723230061E-2</v>
      </c>
      <c r="D110" s="62">
        <v>1.3486661199029431E-2</v>
      </c>
      <c r="E110" s="62">
        <v>5.5047830418741617E-2</v>
      </c>
    </row>
    <row r="111" spans="1:5" x14ac:dyDescent="0.2">
      <c r="A111" s="61">
        <v>38808</v>
      </c>
      <c r="B111" s="54">
        <v>58.4</v>
      </c>
      <c r="C111" s="62">
        <v>2.977269025594638E-2</v>
      </c>
      <c r="D111" s="62">
        <v>2.4558373055836402E-3</v>
      </c>
      <c r="E111" s="62">
        <v>9.8595953259017488E-3</v>
      </c>
    </row>
    <row r="112" spans="1:5" x14ac:dyDescent="0.2">
      <c r="A112" s="61">
        <v>38838</v>
      </c>
      <c r="B112" s="54">
        <v>57</v>
      </c>
      <c r="C112" s="62">
        <v>2.977269025594638E-2</v>
      </c>
      <c r="D112" s="62">
        <v>2.4558373055836402E-3</v>
      </c>
      <c r="E112" s="62">
        <v>9.8595953259017488E-3</v>
      </c>
    </row>
    <row r="113" spans="1:5" x14ac:dyDescent="0.2">
      <c r="A113" s="61">
        <v>38869</v>
      </c>
      <c r="B113" s="54">
        <v>55.2</v>
      </c>
      <c r="C113" s="62">
        <v>2.977269025594638E-2</v>
      </c>
      <c r="D113" s="62">
        <v>2.4558373055836402E-3</v>
      </c>
      <c r="E113" s="62">
        <v>9.8595953259017488E-3</v>
      </c>
    </row>
    <row r="114" spans="1:5" x14ac:dyDescent="0.2">
      <c r="A114" s="61">
        <v>38899</v>
      </c>
      <c r="B114" s="54">
        <v>55.6</v>
      </c>
      <c r="C114" s="62">
        <v>2.328291151863791E-2</v>
      </c>
      <c r="D114" s="62">
        <v>1.5045618810949951E-3</v>
      </c>
      <c r="E114" s="62">
        <v>6.0318433917740943E-3</v>
      </c>
    </row>
    <row r="115" spans="1:5" x14ac:dyDescent="0.2">
      <c r="A115" s="61">
        <v>38930</v>
      </c>
      <c r="B115" s="54">
        <v>53.9</v>
      </c>
      <c r="C115" s="62">
        <v>2.328291151863791E-2</v>
      </c>
      <c r="D115" s="62">
        <v>1.5045618810949951E-3</v>
      </c>
      <c r="E115" s="62">
        <v>6.0318433917740943E-3</v>
      </c>
    </row>
    <row r="116" spans="1:5" x14ac:dyDescent="0.2">
      <c r="A116" s="61">
        <v>38961</v>
      </c>
      <c r="B116" s="54">
        <v>54.5</v>
      </c>
      <c r="C116" s="62">
        <v>2.328291151863791E-2</v>
      </c>
      <c r="D116" s="62">
        <v>1.5045618810949951E-3</v>
      </c>
      <c r="E116" s="62">
        <v>6.0318433917740943E-3</v>
      </c>
    </row>
    <row r="117" spans="1:5" x14ac:dyDescent="0.2">
      <c r="A117" s="61">
        <v>38991</v>
      </c>
      <c r="B117" s="54">
        <v>54.9</v>
      </c>
      <c r="C117" s="62">
        <v>2.6089019835609219E-2</v>
      </c>
      <c r="D117" s="62">
        <v>8.4371169635735783E-3</v>
      </c>
      <c r="E117" s="62">
        <v>3.417798496028146E-2</v>
      </c>
    </row>
    <row r="118" spans="1:5" x14ac:dyDescent="0.2">
      <c r="A118" s="61">
        <v>39022</v>
      </c>
      <c r="B118" s="54">
        <v>54.5</v>
      </c>
      <c r="C118" s="62">
        <v>2.6089019835609219E-2</v>
      </c>
      <c r="D118" s="62">
        <v>8.4371169635735783E-3</v>
      </c>
      <c r="E118" s="62">
        <v>3.417798496028146E-2</v>
      </c>
    </row>
    <row r="119" spans="1:5" x14ac:dyDescent="0.2">
      <c r="A119" s="61">
        <v>39052</v>
      </c>
      <c r="B119" s="54">
        <v>53.7</v>
      </c>
      <c r="C119" s="62">
        <v>2.6089019835609219E-2</v>
      </c>
      <c r="D119" s="62">
        <v>8.4371169635735783E-3</v>
      </c>
      <c r="E119" s="62">
        <v>3.417798496028146E-2</v>
      </c>
    </row>
    <row r="120" spans="1:5" x14ac:dyDescent="0.2">
      <c r="A120" s="61">
        <v>39083</v>
      </c>
      <c r="B120" s="54">
        <v>55.4</v>
      </c>
      <c r="C120" s="62">
        <v>1.540715325180492E-2</v>
      </c>
      <c r="D120" s="62">
        <v>2.9359886061897439E-3</v>
      </c>
      <c r="E120" s="62">
        <v>1.1795775906866529E-2</v>
      </c>
    </row>
    <row r="121" spans="1:5" x14ac:dyDescent="0.2">
      <c r="A121" s="61">
        <v>39114</v>
      </c>
      <c r="B121" s="54">
        <v>54.2</v>
      </c>
      <c r="C121" s="62">
        <v>1.540715325180492E-2</v>
      </c>
      <c r="D121" s="62">
        <v>2.9359886061897439E-3</v>
      </c>
      <c r="E121" s="62">
        <v>1.1795775906866529E-2</v>
      </c>
    </row>
    <row r="122" spans="1:5" x14ac:dyDescent="0.2">
      <c r="A122" s="61">
        <v>39142</v>
      </c>
      <c r="B122" s="54">
        <v>52.1</v>
      </c>
      <c r="C122" s="62">
        <v>1.540715325180492E-2</v>
      </c>
      <c r="D122" s="62">
        <v>2.9359886061897439E-3</v>
      </c>
      <c r="E122" s="62">
        <v>1.1795775906866529E-2</v>
      </c>
    </row>
    <row r="123" spans="1:5" x14ac:dyDescent="0.2">
      <c r="A123" s="61">
        <v>39173</v>
      </c>
      <c r="B123" s="54">
        <v>53.4</v>
      </c>
      <c r="C123" s="62">
        <v>1.938641594997887E-2</v>
      </c>
      <c r="D123" s="62">
        <v>6.3843453008071297E-3</v>
      </c>
      <c r="E123" s="62">
        <v>2.5782982954323241E-2</v>
      </c>
    </row>
    <row r="124" spans="1:5" x14ac:dyDescent="0.2">
      <c r="A124" s="61">
        <v>39203</v>
      </c>
      <c r="B124" s="54">
        <v>54.3</v>
      </c>
      <c r="C124" s="62">
        <v>1.938641594997887E-2</v>
      </c>
      <c r="D124" s="62">
        <v>6.3843453008071297E-3</v>
      </c>
      <c r="E124" s="62">
        <v>2.5782982954323241E-2</v>
      </c>
    </row>
    <row r="125" spans="1:5" x14ac:dyDescent="0.2">
      <c r="A125" s="61">
        <v>39234</v>
      </c>
      <c r="B125" s="54">
        <v>54.9</v>
      </c>
      <c r="C125" s="62">
        <v>1.938641594997887E-2</v>
      </c>
      <c r="D125" s="62">
        <v>6.3843453008071297E-3</v>
      </c>
      <c r="E125" s="62">
        <v>2.5782982954323241E-2</v>
      </c>
    </row>
    <row r="126" spans="1:5" x14ac:dyDescent="0.2">
      <c r="A126" s="61">
        <v>39264</v>
      </c>
      <c r="B126" s="54">
        <v>53.6</v>
      </c>
      <c r="C126" s="62">
        <v>2.3985598500102932E-2</v>
      </c>
      <c r="D126" s="62">
        <v>6.0230665745096982E-3</v>
      </c>
      <c r="E126" s="62">
        <v>2.4310805602967941E-2</v>
      </c>
    </row>
    <row r="127" spans="1:5" x14ac:dyDescent="0.2">
      <c r="A127" s="61">
        <v>39295</v>
      </c>
      <c r="B127" s="54">
        <v>52.7</v>
      </c>
      <c r="C127" s="62">
        <v>2.3985598500102932E-2</v>
      </c>
      <c r="D127" s="62">
        <v>6.0230665745096982E-3</v>
      </c>
      <c r="E127" s="62">
        <v>2.4310805602967941E-2</v>
      </c>
    </row>
    <row r="128" spans="1:5" x14ac:dyDescent="0.2">
      <c r="A128" s="61">
        <v>39326</v>
      </c>
      <c r="B128" s="54">
        <v>52.6</v>
      </c>
      <c r="C128" s="62">
        <v>2.3985598500102932E-2</v>
      </c>
      <c r="D128" s="62">
        <v>6.0230665745096982E-3</v>
      </c>
      <c r="E128" s="62">
        <v>2.4310805602967941E-2</v>
      </c>
    </row>
    <row r="129" spans="1:5" x14ac:dyDescent="0.2">
      <c r="A129" s="61">
        <v>39356</v>
      </c>
      <c r="B129" s="54">
        <v>53.6</v>
      </c>
      <c r="C129" s="62">
        <v>2.1608832081965391E-2</v>
      </c>
      <c r="D129" s="62">
        <v>6.0964400264045121E-3</v>
      </c>
      <c r="E129" s="62">
        <v>2.4609667308274071E-2</v>
      </c>
    </row>
    <row r="130" spans="1:5" x14ac:dyDescent="0.2">
      <c r="A130" s="61">
        <v>39387</v>
      </c>
      <c r="B130" s="54">
        <v>52.8</v>
      </c>
      <c r="C130" s="62">
        <v>2.1608832081965391E-2</v>
      </c>
      <c r="D130" s="62">
        <v>6.0964400264045121E-3</v>
      </c>
      <c r="E130" s="62">
        <v>2.4609667308274071E-2</v>
      </c>
    </row>
    <row r="131" spans="1:5" x14ac:dyDescent="0.2">
      <c r="A131" s="61">
        <v>39417</v>
      </c>
      <c r="B131" s="54">
        <v>52.5</v>
      </c>
      <c r="C131" s="62">
        <v>2.1608832081965391E-2</v>
      </c>
      <c r="D131" s="62">
        <v>6.0964400264045121E-3</v>
      </c>
      <c r="E131" s="62">
        <v>2.4609667308274071E-2</v>
      </c>
    </row>
    <row r="132" spans="1:5" x14ac:dyDescent="0.2">
      <c r="A132" s="61">
        <v>39448</v>
      </c>
      <c r="B132" s="54">
        <v>44.8</v>
      </c>
      <c r="C132" s="62">
        <v>1.4468030014427379E-2</v>
      </c>
      <c r="D132" s="62">
        <v>-4.0742947392000926E-3</v>
      </c>
      <c r="E132" s="62">
        <v>-1.6197849946689269E-2</v>
      </c>
    </row>
    <row r="133" spans="1:5" x14ac:dyDescent="0.2">
      <c r="A133" s="61">
        <v>39479</v>
      </c>
      <c r="B133" s="54">
        <v>49.9</v>
      </c>
      <c r="C133" s="62">
        <v>1.4468030014427379E-2</v>
      </c>
      <c r="D133" s="62">
        <v>-4.0742947392000926E-3</v>
      </c>
      <c r="E133" s="62">
        <v>-1.6197849946689269E-2</v>
      </c>
    </row>
    <row r="134" spans="1:5" x14ac:dyDescent="0.2">
      <c r="A134" s="61">
        <v>39508</v>
      </c>
      <c r="B134" s="54">
        <v>49.4</v>
      </c>
      <c r="C134" s="62">
        <v>1.4468030014427379E-2</v>
      </c>
      <c r="D134" s="62">
        <v>-4.0742947392000926E-3</v>
      </c>
      <c r="E134" s="62">
        <v>-1.6197849946689269E-2</v>
      </c>
    </row>
    <row r="135" spans="1:5" x14ac:dyDescent="0.2">
      <c r="A135" s="61">
        <v>39539</v>
      </c>
      <c r="B135" s="54">
        <v>51.9</v>
      </c>
      <c r="C135" s="62">
        <v>1.3801325593333859E-2</v>
      </c>
      <c r="D135" s="62">
        <v>5.7229534456869546E-3</v>
      </c>
      <c r="E135" s="62">
        <v>2.308907778947766E-2</v>
      </c>
    </row>
    <row r="136" spans="1:5" x14ac:dyDescent="0.2">
      <c r="A136" s="61">
        <v>39569</v>
      </c>
      <c r="B136" s="54">
        <v>51.5</v>
      </c>
      <c r="C136" s="62">
        <v>1.3801325593333859E-2</v>
      </c>
      <c r="D136" s="62">
        <v>5.7229534456869546E-3</v>
      </c>
      <c r="E136" s="62">
        <v>2.308907778947766E-2</v>
      </c>
    </row>
    <row r="137" spans="1:5" x14ac:dyDescent="0.2">
      <c r="A137" s="61">
        <v>39600</v>
      </c>
      <c r="B137" s="54">
        <v>48.1</v>
      </c>
      <c r="C137" s="62">
        <v>1.3801325593333859E-2</v>
      </c>
      <c r="D137" s="62">
        <v>5.7229534456869546E-3</v>
      </c>
      <c r="E137" s="62">
        <v>2.308907778947766E-2</v>
      </c>
    </row>
    <row r="138" spans="1:5" x14ac:dyDescent="0.2">
      <c r="A138" s="61">
        <v>39630</v>
      </c>
      <c r="B138" s="54">
        <v>50.1</v>
      </c>
      <c r="C138" s="62">
        <v>2.4220237812272792E-3</v>
      </c>
      <c r="D138" s="62">
        <v>-5.2689290221545849E-3</v>
      </c>
      <c r="E138" s="62">
        <v>-2.0909730735542701E-2</v>
      </c>
    </row>
    <row r="139" spans="1:5" x14ac:dyDescent="0.2">
      <c r="A139" s="61">
        <v>39661</v>
      </c>
      <c r="B139" s="54">
        <v>50.6</v>
      </c>
      <c r="C139" s="62">
        <v>2.4220237812272792E-3</v>
      </c>
      <c r="D139" s="62">
        <v>-5.2689290221545849E-3</v>
      </c>
      <c r="E139" s="62">
        <v>-2.0909730735542701E-2</v>
      </c>
    </row>
    <row r="140" spans="1:5" x14ac:dyDescent="0.2">
      <c r="A140" s="61">
        <v>39692</v>
      </c>
      <c r="B140" s="54">
        <v>49.4</v>
      </c>
      <c r="C140" s="62">
        <v>2.4220237812272792E-3</v>
      </c>
      <c r="D140" s="62">
        <v>-5.2689290221545849E-3</v>
      </c>
      <c r="E140" s="62">
        <v>-2.0909730735542701E-2</v>
      </c>
    </row>
    <row r="141" spans="1:5" x14ac:dyDescent="0.2">
      <c r="A141" s="61">
        <v>39722</v>
      </c>
      <c r="B141" s="54">
        <v>44.7</v>
      </c>
      <c r="C141" s="62">
        <v>-2.5403392598762051E-2</v>
      </c>
      <c r="D141" s="62">
        <v>-2.1830971480936261E-2</v>
      </c>
      <c r="E141" s="62">
        <v>-8.4505728695347337E-2</v>
      </c>
    </row>
    <row r="142" spans="1:5" x14ac:dyDescent="0.2">
      <c r="A142" s="61">
        <v>39753</v>
      </c>
      <c r="B142" s="54">
        <v>37.799999999999997</v>
      </c>
      <c r="C142" s="62">
        <v>-2.5403392598762051E-2</v>
      </c>
      <c r="D142" s="62">
        <v>-2.1830971480936261E-2</v>
      </c>
      <c r="E142" s="62">
        <v>-8.4505728695347337E-2</v>
      </c>
    </row>
    <row r="143" spans="1:5" x14ac:dyDescent="0.2">
      <c r="A143" s="61">
        <v>39783</v>
      </c>
      <c r="B143" s="54">
        <v>40</v>
      </c>
      <c r="C143" s="62">
        <v>-2.5403392598762051E-2</v>
      </c>
      <c r="D143" s="62">
        <v>-2.1830971480936261E-2</v>
      </c>
      <c r="E143" s="62">
        <v>-8.4505728695347337E-2</v>
      </c>
    </row>
    <row r="144" spans="1:5" x14ac:dyDescent="0.2">
      <c r="A144" s="61">
        <v>39814</v>
      </c>
      <c r="B144" s="54">
        <v>43</v>
      </c>
      <c r="C144" s="62">
        <v>-3.2823924437935283E-2</v>
      </c>
      <c r="D144" s="62">
        <v>-1.165722530679672E-2</v>
      </c>
      <c r="E144" s="62">
        <v>-4.5819873793169319E-2</v>
      </c>
    </row>
    <row r="145" spans="1:5" x14ac:dyDescent="0.2">
      <c r="A145" s="61">
        <v>39845</v>
      </c>
      <c r="B145" s="54">
        <v>41.6</v>
      </c>
      <c r="C145" s="62">
        <v>-3.2823924437935283E-2</v>
      </c>
      <c r="D145" s="62">
        <v>-1.165722530679672E-2</v>
      </c>
      <c r="E145" s="62">
        <v>-4.5819873793169319E-2</v>
      </c>
    </row>
    <row r="146" spans="1:5" x14ac:dyDescent="0.2">
      <c r="A146" s="61">
        <v>39873</v>
      </c>
      <c r="B146" s="54">
        <v>40.1</v>
      </c>
      <c r="C146" s="62">
        <v>-3.2823924437935283E-2</v>
      </c>
      <c r="D146" s="62">
        <v>-1.165722530679672E-2</v>
      </c>
      <c r="E146" s="62">
        <v>-4.5819873793169319E-2</v>
      </c>
    </row>
    <row r="147" spans="1:5" x14ac:dyDescent="0.2">
      <c r="A147" s="61">
        <v>39904</v>
      </c>
      <c r="B147" s="54">
        <v>43.7</v>
      </c>
      <c r="C147" s="62">
        <v>-3.995504779306322E-2</v>
      </c>
      <c r="D147" s="62">
        <v>-1.692381386635996E-3</v>
      </c>
      <c r="E147" s="62">
        <v>-6.7523599987623362E-3</v>
      </c>
    </row>
    <row r="148" spans="1:5" x14ac:dyDescent="0.2">
      <c r="A148" s="61">
        <v>39934</v>
      </c>
      <c r="B148" s="54">
        <v>44.4</v>
      </c>
      <c r="C148" s="62">
        <v>-3.995504779306322E-2</v>
      </c>
      <c r="D148" s="62">
        <v>-1.692381386635996E-3</v>
      </c>
      <c r="E148" s="62">
        <v>-6.7523599987623362E-3</v>
      </c>
    </row>
    <row r="149" spans="1:5" x14ac:dyDescent="0.2">
      <c r="A149" s="61">
        <v>39965</v>
      </c>
      <c r="B149" s="54">
        <v>46.4</v>
      </c>
      <c r="C149" s="62">
        <v>-3.995504779306322E-2</v>
      </c>
      <c r="D149" s="62">
        <v>-1.692381386635996E-3</v>
      </c>
      <c r="E149" s="62">
        <v>-6.7523599987623362E-3</v>
      </c>
    </row>
    <row r="150" spans="1:5" x14ac:dyDescent="0.2">
      <c r="A150" s="61">
        <v>39995</v>
      </c>
      <c r="B150" s="54">
        <v>47.1</v>
      </c>
      <c r="C150" s="62">
        <v>-3.1376750032878008E-2</v>
      </c>
      <c r="D150" s="62">
        <v>3.6192999076888901E-3</v>
      </c>
      <c r="E150" s="62">
        <v>1.455598543492065E-2</v>
      </c>
    </row>
    <row r="151" spans="1:5" x14ac:dyDescent="0.2">
      <c r="A151" s="61">
        <v>40026</v>
      </c>
      <c r="B151" s="54">
        <v>48.9</v>
      </c>
      <c r="C151" s="62">
        <v>-3.1376750032878008E-2</v>
      </c>
      <c r="D151" s="62">
        <v>3.6192999076888901E-3</v>
      </c>
      <c r="E151" s="62">
        <v>1.455598543492065E-2</v>
      </c>
    </row>
    <row r="152" spans="1:5" x14ac:dyDescent="0.2">
      <c r="A152" s="61">
        <v>40057</v>
      </c>
      <c r="B152" s="54">
        <v>50.1</v>
      </c>
      <c r="C152" s="62">
        <v>-3.1376750032878008E-2</v>
      </c>
      <c r="D152" s="62">
        <v>3.6192999076888901E-3</v>
      </c>
      <c r="E152" s="62">
        <v>1.455598543492065E-2</v>
      </c>
    </row>
    <row r="153" spans="1:5" x14ac:dyDescent="0.2">
      <c r="A153" s="61">
        <v>40087</v>
      </c>
      <c r="B153" s="54">
        <v>51</v>
      </c>
      <c r="C153" s="62">
        <v>8.1657583876523191E-4</v>
      </c>
      <c r="D153" s="62">
        <v>1.0679619498303389E-2</v>
      </c>
      <c r="E153" s="62">
        <v>4.34076888622974E-2</v>
      </c>
    </row>
    <row r="154" spans="1:5" x14ac:dyDescent="0.2">
      <c r="A154" s="61">
        <v>40118</v>
      </c>
      <c r="B154" s="54">
        <v>49.5</v>
      </c>
      <c r="C154" s="62">
        <v>8.1657583876523191E-4</v>
      </c>
      <c r="D154" s="62">
        <v>1.0679619498303389E-2</v>
      </c>
      <c r="E154" s="62">
        <v>4.34076888622974E-2</v>
      </c>
    </row>
    <row r="155" spans="1:5" x14ac:dyDescent="0.2">
      <c r="A155" s="61">
        <v>40148</v>
      </c>
      <c r="B155" s="54">
        <v>49.7</v>
      </c>
      <c r="C155" s="62">
        <v>8.1657583876523191E-4</v>
      </c>
      <c r="D155" s="62">
        <v>1.0679619498303389E-2</v>
      </c>
      <c r="E155" s="62">
        <v>4.34076888622974E-2</v>
      </c>
    </row>
    <row r="156" spans="1:5" x14ac:dyDescent="0.2">
      <c r="A156" s="61">
        <v>40179</v>
      </c>
      <c r="B156" s="54">
        <v>50</v>
      </c>
      <c r="C156" s="62">
        <v>1.768457232028358E-2</v>
      </c>
      <c r="D156" s="62">
        <v>5.0005348148190604E-3</v>
      </c>
      <c r="E156" s="62">
        <v>2.015267213561045E-2</v>
      </c>
    </row>
    <row r="157" spans="1:5" x14ac:dyDescent="0.2">
      <c r="A157" s="61">
        <v>40210</v>
      </c>
      <c r="B157" s="54">
        <v>51.7</v>
      </c>
      <c r="C157" s="62">
        <v>1.768457232028358E-2</v>
      </c>
      <c r="D157" s="62">
        <v>5.0005348148190604E-3</v>
      </c>
      <c r="E157" s="62">
        <v>2.015267213561045E-2</v>
      </c>
    </row>
    <row r="158" spans="1:5" x14ac:dyDescent="0.2">
      <c r="A158" s="61">
        <v>40238</v>
      </c>
      <c r="B158" s="54">
        <v>53.3</v>
      </c>
      <c r="C158" s="62">
        <v>1.768457232028358E-2</v>
      </c>
      <c r="D158" s="62">
        <v>5.0005348148190604E-3</v>
      </c>
      <c r="E158" s="62">
        <v>2.015267213561045E-2</v>
      </c>
    </row>
    <row r="159" spans="1:5" x14ac:dyDescent="0.2">
      <c r="A159" s="61">
        <v>40269</v>
      </c>
      <c r="B159" s="54">
        <v>55.3</v>
      </c>
      <c r="C159" s="62">
        <v>2.9274678447875339E-2</v>
      </c>
      <c r="D159" s="62">
        <v>9.6770463932624312E-3</v>
      </c>
      <c r="E159" s="62">
        <v>3.9273690540683408E-2</v>
      </c>
    </row>
    <row r="160" spans="1:5" x14ac:dyDescent="0.2">
      <c r="A160" s="61">
        <v>40299</v>
      </c>
      <c r="B160" s="54">
        <v>55.5</v>
      </c>
      <c r="C160" s="62">
        <v>2.9274678447875339E-2</v>
      </c>
      <c r="D160" s="62">
        <v>9.6770463932624312E-3</v>
      </c>
      <c r="E160" s="62">
        <v>3.9273690540683408E-2</v>
      </c>
    </row>
    <row r="161" spans="1:5" x14ac:dyDescent="0.2">
      <c r="A161" s="61">
        <v>40330</v>
      </c>
      <c r="B161" s="54">
        <v>54.4</v>
      </c>
      <c r="C161" s="62">
        <v>2.9274678447875339E-2</v>
      </c>
      <c r="D161" s="62">
        <v>9.6770463932624312E-3</v>
      </c>
      <c r="E161" s="62">
        <v>3.9273690540683408E-2</v>
      </c>
    </row>
    <row r="162" spans="1:5" x14ac:dyDescent="0.2">
      <c r="A162" s="61">
        <v>40360</v>
      </c>
      <c r="B162" s="54">
        <v>54.6</v>
      </c>
      <c r="C162" s="62">
        <v>3.3491938138539873E-2</v>
      </c>
      <c r="D162" s="62">
        <v>7.7314415030268974E-3</v>
      </c>
      <c r="E162" s="62">
        <v>3.128626930493783E-2</v>
      </c>
    </row>
    <row r="163" spans="1:5" x14ac:dyDescent="0.2">
      <c r="A163" s="61">
        <v>40391</v>
      </c>
      <c r="B163" s="54">
        <v>52.4</v>
      </c>
      <c r="C163" s="62">
        <v>3.3491938138539873E-2</v>
      </c>
      <c r="D163" s="62">
        <v>7.7314415030268974E-3</v>
      </c>
      <c r="E163" s="62">
        <v>3.128626930493783E-2</v>
      </c>
    </row>
    <row r="164" spans="1:5" x14ac:dyDescent="0.2">
      <c r="A164" s="61">
        <v>40422</v>
      </c>
      <c r="B164" s="54">
        <v>53.3</v>
      </c>
      <c r="C164" s="62">
        <v>3.3491938138539873E-2</v>
      </c>
      <c r="D164" s="62">
        <v>7.7314415030268974E-3</v>
      </c>
      <c r="E164" s="62">
        <v>3.128626930493783E-2</v>
      </c>
    </row>
    <row r="165" spans="1:5" x14ac:dyDescent="0.2">
      <c r="A165" s="61">
        <v>40452</v>
      </c>
      <c r="B165" s="54">
        <v>55.3</v>
      </c>
      <c r="C165" s="62">
        <v>2.7884496905064039E-2</v>
      </c>
      <c r="D165" s="62">
        <v>5.1959515923726638E-3</v>
      </c>
      <c r="E165" s="62">
        <v>2.0946355695475209E-2</v>
      </c>
    </row>
    <row r="166" spans="1:5" x14ac:dyDescent="0.2">
      <c r="A166" s="61">
        <v>40483</v>
      </c>
      <c r="B166" s="54">
        <v>56.4</v>
      </c>
      <c r="C166" s="62">
        <v>2.7884496905064039E-2</v>
      </c>
      <c r="D166" s="62">
        <v>5.1959515923726638E-3</v>
      </c>
      <c r="E166" s="62">
        <v>2.0946355695475209E-2</v>
      </c>
    </row>
    <row r="167" spans="1:5" x14ac:dyDescent="0.2">
      <c r="A167" s="61">
        <v>40513</v>
      </c>
      <c r="B167" s="54">
        <v>56.9</v>
      </c>
      <c r="C167" s="62">
        <v>2.7884496905064039E-2</v>
      </c>
      <c r="D167" s="62">
        <v>5.1959515923726638E-3</v>
      </c>
      <c r="E167" s="62">
        <v>2.0946355695475209E-2</v>
      </c>
    </row>
    <row r="168" spans="1:5" x14ac:dyDescent="0.2">
      <c r="A168" s="61">
        <v>40544</v>
      </c>
      <c r="B168" s="54">
        <v>57.6</v>
      </c>
      <c r="C168" s="62">
        <v>2.0306081906131489E-2</v>
      </c>
      <c r="D168" s="62">
        <v>-2.409160681035181E-3</v>
      </c>
      <c r="E168" s="62">
        <v>-9.6018742909375066E-3</v>
      </c>
    </row>
    <row r="169" spans="1:5" x14ac:dyDescent="0.2">
      <c r="A169" s="61">
        <v>40575</v>
      </c>
      <c r="B169" s="54">
        <v>58</v>
      </c>
      <c r="C169" s="62">
        <v>2.0306081906131489E-2</v>
      </c>
      <c r="D169" s="62">
        <v>-2.409160681035181E-3</v>
      </c>
      <c r="E169" s="62">
        <v>-9.6018742909375066E-3</v>
      </c>
    </row>
    <row r="170" spans="1:5" x14ac:dyDescent="0.2">
      <c r="A170" s="61">
        <v>40603</v>
      </c>
      <c r="B170" s="54">
        <v>55.8</v>
      </c>
      <c r="C170" s="62">
        <v>2.0306081906131489E-2</v>
      </c>
      <c r="D170" s="62">
        <v>-2.409160681035181E-3</v>
      </c>
      <c r="E170" s="62">
        <v>-9.6018742909375066E-3</v>
      </c>
    </row>
    <row r="171" spans="1:5" x14ac:dyDescent="0.2">
      <c r="A171" s="61">
        <v>40634</v>
      </c>
      <c r="B171" s="54">
        <v>55.2</v>
      </c>
      <c r="C171" s="62">
        <v>1.7379050686072959E-2</v>
      </c>
      <c r="D171" s="62">
        <v>6.7805075120588752E-3</v>
      </c>
      <c r="E171" s="62">
        <v>2.7399130797671759E-2</v>
      </c>
    </row>
    <row r="172" spans="1:5" x14ac:dyDescent="0.2">
      <c r="A172" s="61">
        <v>40664</v>
      </c>
      <c r="B172" s="54">
        <v>55</v>
      </c>
      <c r="C172" s="62">
        <v>1.7379050686072959E-2</v>
      </c>
      <c r="D172" s="62">
        <v>6.7805075120588752E-3</v>
      </c>
      <c r="E172" s="62">
        <v>2.7399130797671759E-2</v>
      </c>
    </row>
    <row r="173" spans="1:5" x14ac:dyDescent="0.2">
      <c r="A173" s="61">
        <v>40695</v>
      </c>
      <c r="B173" s="54">
        <v>54.2</v>
      </c>
      <c r="C173" s="62">
        <v>1.7379050686072959E-2</v>
      </c>
      <c r="D173" s="62">
        <v>6.7805075120588752E-3</v>
      </c>
      <c r="E173" s="62">
        <v>2.7399130797671759E-2</v>
      </c>
    </row>
    <row r="174" spans="1:5" x14ac:dyDescent="0.2">
      <c r="A174" s="61">
        <v>40725</v>
      </c>
      <c r="B174" s="54">
        <v>53.5</v>
      </c>
      <c r="C174" s="62">
        <v>9.1822084838616043E-3</v>
      </c>
      <c r="D174" s="62">
        <v>-3.8767162657507928E-4</v>
      </c>
      <c r="E174" s="62">
        <v>-1.5497850035889329E-3</v>
      </c>
    </row>
    <row r="175" spans="1:5" x14ac:dyDescent="0.2">
      <c r="A175" s="61">
        <v>40756</v>
      </c>
      <c r="B175" s="54">
        <v>53.5</v>
      </c>
      <c r="C175" s="62">
        <v>9.1822084838616043E-3</v>
      </c>
      <c r="D175" s="62">
        <v>-3.8767162657507928E-4</v>
      </c>
      <c r="E175" s="62">
        <v>-1.5497850035889329E-3</v>
      </c>
    </row>
    <row r="176" spans="1:5" x14ac:dyDescent="0.2">
      <c r="A176" s="61">
        <v>40787</v>
      </c>
      <c r="B176" s="54">
        <v>52.3</v>
      </c>
      <c r="C176" s="62">
        <v>9.1822084838616043E-3</v>
      </c>
      <c r="D176" s="62">
        <v>-3.8767162657507928E-4</v>
      </c>
      <c r="E176" s="62">
        <v>-1.5497850035889329E-3</v>
      </c>
    </row>
    <row r="177" spans="1:5" x14ac:dyDescent="0.2">
      <c r="A177" s="61">
        <v>40817</v>
      </c>
      <c r="B177" s="54">
        <v>52.8</v>
      </c>
      <c r="C177" s="62">
        <v>1.52269152413066E-2</v>
      </c>
      <c r="D177" s="62">
        <v>1.121678183498582E-2</v>
      </c>
      <c r="E177" s="62">
        <v>4.5627685349290507E-2</v>
      </c>
    </row>
    <row r="178" spans="1:5" x14ac:dyDescent="0.2">
      <c r="A178" s="61">
        <v>40848</v>
      </c>
      <c r="B178" s="54">
        <v>52.9</v>
      </c>
      <c r="C178" s="62">
        <v>1.52269152413066E-2</v>
      </c>
      <c r="D178" s="62">
        <v>1.121678183498582E-2</v>
      </c>
      <c r="E178" s="62">
        <v>4.5627685349290507E-2</v>
      </c>
    </row>
    <row r="179" spans="1:5" x14ac:dyDescent="0.2">
      <c r="A179" s="61">
        <v>40878</v>
      </c>
      <c r="B179" s="54">
        <v>52.6</v>
      </c>
      <c r="C179" s="62">
        <v>1.52269152413066E-2</v>
      </c>
      <c r="D179" s="62">
        <v>1.121678183498582E-2</v>
      </c>
      <c r="E179" s="62">
        <v>4.5627685349290507E-2</v>
      </c>
    </row>
    <row r="180" spans="1:5" x14ac:dyDescent="0.2">
      <c r="A180" s="61">
        <v>40909</v>
      </c>
      <c r="B180" s="54">
        <v>56</v>
      </c>
      <c r="C180" s="62">
        <v>2.6002492975388428E-2</v>
      </c>
      <c r="D180" s="62">
        <v>8.1792284509988062E-3</v>
      </c>
      <c r="E180" s="62">
        <v>3.3120505702168852E-2</v>
      </c>
    </row>
    <row r="181" spans="1:5" x14ac:dyDescent="0.2">
      <c r="A181" s="61">
        <v>40940</v>
      </c>
      <c r="B181" s="54">
        <v>56</v>
      </c>
      <c r="C181" s="62">
        <v>2.6002492975388428E-2</v>
      </c>
      <c r="D181" s="62">
        <v>8.1792284509988062E-3</v>
      </c>
      <c r="E181" s="62">
        <v>3.3120505702168852E-2</v>
      </c>
    </row>
    <row r="182" spans="1:5" x14ac:dyDescent="0.2">
      <c r="A182" s="61">
        <v>40969</v>
      </c>
      <c r="B182" s="54">
        <v>55.6</v>
      </c>
      <c r="C182" s="62">
        <v>2.6002492975388428E-2</v>
      </c>
      <c r="D182" s="62">
        <v>8.1792284509988062E-3</v>
      </c>
      <c r="E182" s="62">
        <v>3.3120505702168852E-2</v>
      </c>
    </row>
    <row r="183" spans="1:5" x14ac:dyDescent="0.2">
      <c r="A183" s="61">
        <v>41000</v>
      </c>
      <c r="B183" s="54">
        <v>54.4</v>
      </c>
      <c r="C183" s="62">
        <v>2.3738163497154609E-2</v>
      </c>
      <c r="D183" s="62">
        <v>4.5585998686771077E-3</v>
      </c>
      <c r="E183" s="62">
        <v>1.835946382913356E-2</v>
      </c>
    </row>
    <row r="184" spans="1:5" x14ac:dyDescent="0.2">
      <c r="A184" s="61">
        <v>41030</v>
      </c>
      <c r="B184" s="54">
        <v>54.5</v>
      </c>
      <c r="C184" s="62">
        <v>2.3738163497154609E-2</v>
      </c>
      <c r="D184" s="62">
        <v>4.5585998686771077E-3</v>
      </c>
      <c r="E184" s="62">
        <v>1.835946382913356E-2</v>
      </c>
    </row>
    <row r="185" spans="1:5" x14ac:dyDescent="0.2">
      <c r="A185" s="61">
        <v>41061</v>
      </c>
      <c r="B185" s="54">
        <v>53.7</v>
      </c>
      <c r="C185" s="62">
        <v>2.3738163497154609E-2</v>
      </c>
      <c r="D185" s="62">
        <v>4.5585998686771077E-3</v>
      </c>
      <c r="E185" s="62">
        <v>1.835946382913356E-2</v>
      </c>
    </row>
    <row r="186" spans="1:5" x14ac:dyDescent="0.2">
      <c r="A186" s="61">
        <v>41091</v>
      </c>
      <c r="B186" s="54">
        <v>52.4</v>
      </c>
      <c r="C186" s="62">
        <v>2.5926229770563171E-2</v>
      </c>
      <c r="D186" s="62">
        <v>1.748829776015621E-3</v>
      </c>
      <c r="E186" s="62">
        <v>7.0136909414517667E-3</v>
      </c>
    </row>
    <row r="187" spans="1:5" x14ac:dyDescent="0.2">
      <c r="A187" s="61">
        <v>41122</v>
      </c>
      <c r="B187" s="54">
        <v>52.9</v>
      </c>
      <c r="C187" s="62">
        <v>2.5926229770563171E-2</v>
      </c>
      <c r="D187" s="62">
        <v>1.748829776015621E-3</v>
      </c>
      <c r="E187" s="62">
        <v>7.0136909414517667E-3</v>
      </c>
    </row>
    <row r="188" spans="1:5" x14ac:dyDescent="0.2">
      <c r="A188" s="61">
        <v>41153</v>
      </c>
      <c r="B188" s="54">
        <v>54.6</v>
      </c>
      <c r="C188" s="62">
        <v>2.5926229770563171E-2</v>
      </c>
      <c r="D188" s="62">
        <v>1.748829776015621E-3</v>
      </c>
      <c r="E188" s="62">
        <v>7.0136909414517667E-3</v>
      </c>
    </row>
    <row r="189" spans="1:5" x14ac:dyDescent="0.2">
      <c r="A189" s="61">
        <v>41183</v>
      </c>
      <c r="B189" s="54">
        <v>54.2</v>
      </c>
      <c r="C189" s="62">
        <v>1.56606434588916E-2</v>
      </c>
      <c r="D189" s="62">
        <v>1.0983806746418219E-3</v>
      </c>
      <c r="E189" s="62">
        <v>4.4007666411836066E-3</v>
      </c>
    </row>
    <row r="190" spans="1:5" x14ac:dyDescent="0.2">
      <c r="A190" s="61">
        <v>41214</v>
      </c>
      <c r="B190" s="54">
        <v>54.8</v>
      </c>
      <c r="C190" s="62">
        <v>1.56606434588916E-2</v>
      </c>
      <c r="D190" s="62">
        <v>1.0983806746418219E-3</v>
      </c>
      <c r="E190" s="62">
        <v>4.4007666411836066E-3</v>
      </c>
    </row>
    <row r="191" spans="1:5" x14ac:dyDescent="0.2">
      <c r="A191" s="61">
        <v>41244</v>
      </c>
      <c r="B191" s="54">
        <v>55.6</v>
      </c>
      <c r="C191" s="62">
        <v>1.56606434588916E-2</v>
      </c>
      <c r="D191" s="62">
        <v>1.0983806746418219E-3</v>
      </c>
      <c r="E191" s="62">
        <v>4.4007666411836066E-3</v>
      </c>
    </row>
    <row r="192" spans="1:5" x14ac:dyDescent="0.2">
      <c r="A192" s="61">
        <v>41275</v>
      </c>
      <c r="B192" s="54">
        <v>55.3</v>
      </c>
      <c r="C192" s="62">
        <v>1.6163010952802859E-2</v>
      </c>
      <c r="D192" s="62">
        <v>8.6778954769115967E-3</v>
      </c>
      <c r="E192" s="62">
        <v>3.5166036783940813E-2</v>
      </c>
    </row>
    <row r="193" spans="1:5" x14ac:dyDescent="0.2">
      <c r="A193" s="61">
        <v>41306</v>
      </c>
      <c r="B193" s="54">
        <v>56.1</v>
      </c>
      <c r="C193" s="62">
        <v>1.6163010952802859E-2</v>
      </c>
      <c r="D193" s="62">
        <v>8.6778954769115967E-3</v>
      </c>
      <c r="E193" s="62">
        <v>3.5166036783940813E-2</v>
      </c>
    </row>
    <row r="194" spans="1:5" x14ac:dyDescent="0.2">
      <c r="A194" s="61">
        <v>41334</v>
      </c>
      <c r="B194" s="54">
        <v>55.2</v>
      </c>
      <c r="C194" s="62">
        <v>1.6163010952802859E-2</v>
      </c>
      <c r="D194" s="62">
        <v>8.6778954769115967E-3</v>
      </c>
      <c r="E194" s="62">
        <v>3.5166036783940813E-2</v>
      </c>
    </row>
    <row r="195" spans="1:5" x14ac:dyDescent="0.2">
      <c r="A195" s="61">
        <v>41365</v>
      </c>
      <c r="B195" s="54">
        <v>53.9</v>
      </c>
      <c r="C195" s="62">
        <v>1.2961704903847749E-2</v>
      </c>
      <c r="D195" s="62">
        <v>1.393852197657185E-3</v>
      </c>
      <c r="E195" s="62">
        <v>5.5870765701340197E-3</v>
      </c>
    </row>
    <row r="196" spans="1:5" x14ac:dyDescent="0.2">
      <c r="A196" s="61">
        <v>41395</v>
      </c>
      <c r="B196" s="54">
        <v>54.4</v>
      </c>
      <c r="C196" s="62">
        <v>1.2961704903847749E-2</v>
      </c>
      <c r="D196" s="62">
        <v>1.393852197657185E-3</v>
      </c>
      <c r="E196" s="62">
        <v>5.5870765701340197E-3</v>
      </c>
    </row>
    <row r="197" spans="1:5" x14ac:dyDescent="0.2">
      <c r="A197" s="61">
        <v>41426</v>
      </c>
      <c r="B197" s="54">
        <v>54.1</v>
      </c>
      <c r="C197" s="62">
        <v>1.2961704903847749E-2</v>
      </c>
      <c r="D197" s="62">
        <v>1.393852197657185E-3</v>
      </c>
      <c r="E197" s="62">
        <v>5.5870765701340197E-3</v>
      </c>
    </row>
    <row r="198" spans="1:5" x14ac:dyDescent="0.2">
      <c r="A198" s="61">
        <v>41456</v>
      </c>
      <c r="B198" s="54">
        <v>54.9</v>
      </c>
      <c r="C198" s="62">
        <v>1.919844620038217E-2</v>
      </c>
      <c r="D198" s="62">
        <v>7.9165341079500094E-3</v>
      </c>
      <c r="E198" s="62">
        <v>3.2044153997870202E-2</v>
      </c>
    </row>
    <row r="199" spans="1:5" x14ac:dyDescent="0.2">
      <c r="A199" s="61">
        <v>41487</v>
      </c>
      <c r="B199" s="54">
        <v>56.6</v>
      </c>
      <c r="C199" s="62">
        <v>1.919844620038217E-2</v>
      </c>
      <c r="D199" s="62">
        <v>7.9165341079500094E-3</v>
      </c>
      <c r="E199" s="62">
        <v>3.2044153997870202E-2</v>
      </c>
    </row>
    <row r="200" spans="1:5" x14ac:dyDescent="0.2">
      <c r="A200" s="61">
        <v>41518</v>
      </c>
      <c r="B200" s="54">
        <v>53.6</v>
      </c>
      <c r="C200" s="62">
        <v>1.919844620038217E-2</v>
      </c>
      <c r="D200" s="62">
        <v>7.9165341079500094E-3</v>
      </c>
      <c r="E200" s="62">
        <v>3.2044153997870202E-2</v>
      </c>
    </row>
    <row r="201" spans="1:5" x14ac:dyDescent="0.2">
      <c r="A201" s="61">
        <v>41548</v>
      </c>
      <c r="B201" s="54">
        <v>54.5</v>
      </c>
      <c r="C201" s="62">
        <v>2.532049777807217E-2</v>
      </c>
      <c r="D201" s="62">
        <v>7.1117100156356649E-3</v>
      </c>
      <c r="E201" s="62">
        <v>2.8751739875908289E-2</v>
      </c>
    </row>
    <row r="202" spans="1:5" x14ac:dyDescent="0.2">
      <c r="A202" s="61">
        <v>41579</v>
      </c>
      <c r="B202" s="54">
        <v>53.8</v>
      </c>
      <c r="C202" s="62">
        <v>2.532049777807217E-2</v>
      </c>
      <c r="D202" s="62">
        <v>7.1117100156356649E-3</v>
      </c>
      <c r="E202" s="62">
        <v>2.8751739875908289E-2</v>
      </c>
    </row>
    <row r="203" spans="1:5" x14ac:dyDescent="0.2">
      <c r="A203" s="61">
        <v>41609</v>
      </c>
      <c r="B203" s="54">
        <v>52.9</v>
      </c>
      <c r="C203" s="62">
        <v>2.532049777807217E-2</v>
      </c>
      <c r="D203" s="62">
        <v>7.1117100156356649E-3</v>
      </c>
      <c r="E203" s="62">
        <v>2.8751739875908289E-2</v>
      </c>
    </row>
    <row r="204" spans="1:5" x14ac:dyDescent="0.2">
      <c r="A204" s="61">
        <v>41640</v>
      </c>
      <c r="B204" s="54">
        <v>54.7</v>
      </c>
      <c r="C204" s="62">
        <v>1.294055859309538E-2</v>
      </c>
      <c r="D204" s="62">
        <v>-3.5010973651269459E-3</v>
      </c>
      <c r="E204" s="62">
        <v>-1.3931014875059541E-2</v>
      </c>
    </row>
    <row r="205" spans="1:5" x14ac:dyDescent="0.2">
      <c r="A205" s="61">
        <v>41671</v>
      </c>
      <c r="B205" s="54">
        <v>53</v>
      </c>
      <c r="C205" s="62">
        <v>1.294055859309538E-2</v>
      </c>
      <c r="D205" s="62">
        <v>-3.5010973651269459E-3</v>
      </c>
      <c r="E205" s="62">
        <v>-1.3931014875059541E-2</v>
      </c>
    </row>
    <row r="206" spans="1:5" x14ac:dyDescent="0.2">
      <c r="A206" s="61">
        <v>41699</v>
      </c>
      <c r="B206" s="54">
        <v>54.2</v>
      </c>
      <c r="C206" s="62">
        <v>1.294055859309538E-2</v>
      </c>
      <c r="D206" s="62">
        <v>-3.5010973651269459E-3</v>
      </c>
      <c r="E206" s="62">
        <v>-1.3931014875059541E-2</v>
      </c>
    </row>
    <row r="207" spans="1:5" x14ac:dyDescent="0.2">
      <c r="A207" s="61">
        <v>41730</v>
      </c>
      <c r="B207" s="54">
        <v>55.2</v>
      </c>
      <c r="C207" s="62">
        <v>2.45199916765882E-2</v>
      </c>
      <c r="D207" s="62">
        <v>1.2841289071790579E-2</v>
      </c>
      <c r="E207" s="62">
        <v>5.2363045756652397E-2</v>
      </c>
    </row>
    <row r="208" spans="1:5" x14ac:dyDescent="0.2">
      <c r="A208" s="61">
        <v>41760</v>
      </c>
      <c r="B208" s="54">
        <v>56.9</v>
      </c>
      <c r="C208" s="62">
        <v>2.45199916765882E-2</v>
      </c>
      <c r="D208" s="62">
        <v>1.2841289071790579E-2</v>
      </c>
      <c r="E208" s="62">
        <v>5.2363045756652397E-2</v>
      </c>
    </row>
    <row r="209" spans="1:5" x14ac:dyDescent="0.2">
      <c r="A209" s="61">
        <v>41791</v>
      </c>
      <c r="B209" s="54">
        <v>56.6</v>
      </c>
      <c r="C209" s="62">
        <v>2.45199916765882E-2</v>
      </c>
      <c r="D209" s="62">
        <v>1.2841289071790579E-2</v>
      </c>
      <c r="E209" s="62">
        <v>5.2363045756652397E-2</v>
      </c>
    </row>
    <row r="210" spans="1:5" x14ac:dyDescent="0.2">
      <c r="A210" s="61">
        <v>41821</v>
      </c>
      <c r="B210" s="54">
        <v>57.1</v>
      </c>
      <c r="C210" s="62">
        <v>2.831456925846958E-2</v>
      </c>
      <c r="D210" s="62">
        <v>1.1649616444854689E-2</v>
      </c>
      <c r="E210" s="62">
        <v>4.7419089621299371E-2</v>
      </c>
    </row>
    <row r="211" spans="1:5" x14ac:dyDescent="0.2">
      <c r="A211" s="61">
        <v>41852</v>
      </c>
      <c r="B211" s="54">
        <v>58</v>
      </c>
      <c r="C211" s="62">
        <v>2.831456925846958E-2</v>
      </c>
      <c r="D211" s="62">
        <v>1.1649616444854689E-2</v>
      </c>
      <c r="E211" s="62">
        <v>4.7419089621299371E-2</v>
      </c>
    </row>
    <row r="212" spans="1:5" x14ac:dyDescent="0.2">
      <c r="A212" s="61">
        <v>41883</v>
      </c>
      <c r="B212" s="54">
        <v>57.4</v>
      </c>
      <c r="C212" s="62">
        <v>2.831456925846958E-2</v>
      </c>
      <c r="D212" s="62">
        <v>1.1649616444854689E-2</v>
      </c>
      <c r="E212" s="62">
        <v>4.7419089621299371E-2</v>
      </c>
    </row>
    <row r="213" spans="1:5" x14ac:dyDescent="0.2">
      <c r="A213" s="61">
        <v>41913</v>
      </c>
      <c r="B213" s="54">
        <v>56</v>
      </c>
      <c r="C213" s="62">
        <v>2.5637596662669859E-2</v>
      </c>
      <c r="D213" s="62">
        <v>4.4899340248851054E-3</v>
      </c>
      <c r="E213" s="62">
        <v>1.808105561066875E-2</v>
      </c>
    </row>
    <row r="214" spans="1:5" x14ac:dyDescent="0.2">
      <c r="A214" s="61">
        <v>41944</v>
      </c>
      <c r="B214" s="54">
        <v>58.7</v>
      </c>
      <c r="C214" s="62">
        <v>2.5637596662669859E-2</v>
      </c>
      <c r="D214" s="62">
        <v>4.4899340248851054E-3</v>
      </c>
      <c r="E214" s="62">
        <v>1.808105561066875E-2</v>
      </c>
    </row>
    <row r="215" spans="1:5" x14ac:dyDescent="0.2">
      <c r="A215" s="61">
        <v>41974</v>
      </c>
      <c r="B215" s="54">
        <v>56.4</v>
      </c>
      <c r="C215" s="62">
        <v>2.5637596662669859E-2</v>
      </c>
      <c r="D215" s="62">
        <v>4.4899340248851054E-3</v>
      </c>
      <c r="E215" s="62">
        <v>1.808105561066875E-2</v>
      </c>
    </row>
    <row r="216" spans="1:5" x14ac:dyDescent="0.2">
      <c r="A216" s="61">
        <v>42005</v>
      </c>
      <c r="B216" s="54">
        <v>57.3</v>
      </c>
      <c r="C216" s="62">
        <v>3.7612027730824553E-2</v>
      </c>
      <c r="D216" s="62">
        <v>8.1331362646857273E-3</v>
      </c>
      <c r="E216" s="62">
        <v>3.2931588827004088E-2</v>
      </c>
    </row>
    <row r="217" spans="1:5" x14ac:dyDescent="0.2">
      <c r="A217" s="61">
        <v>42036</v>
      </c>
      <c r="B217" s="54">
        <v>57.6</v>
      </c>
      <c r="C217" s="62">
        <v>3.7612027730824553E-2</v>
      </c>
      <c r="D217" s="62">
        <v>8.1331362646857273E-3</v>
      </c>
      <c r="E217" s="62">
        <v>3.2931588827004088E-2</v>
      </c>
    </row>
    <row r="218" spans="1:5" x14ac:dyDescent="0.2">
      <c r="A218" s="61">
        <v>42064</v>
      </c>
      <c r="B218" s="54">
        <v>57.5</v>
      </c>
      <c r="C218" s="62">
        <v>3.7612027730824553E-2</v>
      </c>
      <c r="D218" s="62">
        <v>8.1331362646857273E-3</v>
      </c>
      <c r="E218" s="62">
        <v>3.2931588827004088E-2</v>
      </c>
    </row>
    <row r="219" spans="1:5" x14ac:dyDescent="0.2">
      <c r="A219" s="61">
        <v>42095</v>
      </c>
      <c r="B219" s="54">
        <v>57.5</v>
      </c>
      <c r="C219" s="62">
        <v>3.0398546748778989E-2</v>
      </c>
      <c r="D219" s="62">
        <v>5.800014316593537E-3</v>
      </c>
      <c r="E219" s="62">
        <v>2.3402679848250289E-2</v>
      </c>
    </row>
    <row r="220" spans="1:5" x14ac:dyDescent="0.2">
      <c r="A220" s="61">
        <v>42125</v>
      </c>
      <c r="B220" s="54">
        <v>56.8</v>
      </c>
      <c r="C220" s="62">
        <v>3.0398546748778989E-2</v>
      </c>
      <c r="D220" s="62">
        <v>5.800014316593537E-3</v>
      </c>
      <c r="E220" s="62">
        <v>2.3402679848250289E-2</v>
      </c>
    </row>
    <row r="221" spans="1:5" x14ac:dyDescent="0.2">
      <c r="A221" s="61">
        <v>42156</v>
      </c>
      <c r="B221" s="54">
        <v>56</v>
      </c>
      <c r="C221" s="62">
        <v>3.0398546748778989E-2</v>
      </c>
      <c r="D221" s="62">
        <v>5.800014316593537E-3</v>
      </c>
      <c r="E221" s="62">
        <v>2.3402679848250289E-2</v>
      </c>
    </row>
    <row r="222" spans="1:5" x14ac:dyDescent="0.2">
      <c r="A222" s="61">
        <v>42186</v>
      </c>
      <c r="B222" s="54">
        <v>59.3</v>
      </c>
      <c r="C222" s="62">
        <v>2.1826685112633061E-2</v>
      </c>
      <c r="D222" s="62">
        <v>3.233726725495796E-3</v>
      </c>
      <c r="E222" s="62">
        <v>1.2997784202716019E-2</v>
      </c>
    </row>
    <row r="223" spans="1:5" x14ac:dyDescent="0.2">
      <c r="A223" s="61">
        <v>42217</v>
      </c>
      <c r="B223" s="54">
        <v>58.4</v>
      </c>
      <c r="C223" s="62">
        <v>2.1826685112633061E-2</v>
      </c>
      <c r="D223" s="62">
        <v>3.233726725495796E-3</v>
      </c>
      <c r="E223" s="62">
        <v>1.2997784202716019E-2</v>
      </c>
    </row>
    <row r="224" spans="1:5" x14ac:dyDescent="0.2">
      <c r="A224" s="61">
        <v>42248</v>
      </c>
      <c r="B224" s="54">
        <v>56.1</v>
      </c>
      <c r="C224" s="62">
        <v>2.1826685112633061E-2</v>
      </c>
      <c r="D224" s="62">
        <v>3.233726725495796E-3</v>
      </c>
      <c r="E224" s="62">
        <v>1.2997784202716019E-2</v>
      </c>
    </row>
    <row r="225" spans="1:5" x14ac:dyDescent="0.2">
      <c r="A225" s="61">
        <v>42278</v>
      </c>
      <c r="B225" s="54">
        <v>57.9</v>
      </c>
      <c r="C225" s="62">
        <v>1.874684058645722E-2</v>
      </c>
      <c r="D225" s="62">
        <v>1.462343465763751E-3</v>
      </c>
      <c r="E225" s="62">
        <v>5.8622170666831064E-3</v>
      </c>
    </row>
    <row r="226" spans="1:5" x14ac:dyDescent="0.2">
      <c r="A226" s="61">
        <v>42309</v>
      </c>
      <c r="B226" s="54">
        <v>55.8</v>
      </c>
      <c r="C226" s="62">
        <v>1.874684058645722E-2</v>
      </c>
      <c r="D226" s="62">
        <v>1.462343465763751E-3</v>
      </c>
      <c r="E226" s="62">
        <v>5.8622170666831064E-3</v>
      </c>
    </row>
    <row r="227" spans="1:5" x14ac:dyDescent="0.2">
      <c r="A227" s="61">
        <v>42339</v>
      </c>
      <c r="B227" s="54">
        <v>55.3</v>
      </c>
      <c r="C227" s="62">
        <v>1.874684058645722E-2</v>
      </c>
      <c r="D227" s="62">
        <v>1.462343465763751E-3</v>
      </c>
      <c r="E227" s="62">
        <v>5.8622170666831064E-3</v>
      </c>
    </row>
    <row r="228" spans="1:5" x14ac:dyDescent="0.2">
      <c r="A228" s="61">
        <v>42370</v>
      </c>
      <c r="B228" s="54">
        <v>54</v>
      </c>
      <c r="C228" s="62">
        <v>1.6481906030485969E-2</v>
      </c>
      <c r="D228" s="62">
        <v>5.8917986856350706E-3</v>
      </c>
      <c r="E228" s="62">
        <v>2.377629379297197E-2</v>
      </c>
    </row>
    <row r="229" spans="1:5" x14ac:dyDescent="0.2">
      <c r="A229" s="61">
        <v>42401</v>
      </c>
      <c r="B229" s="54">
        <v>54</v>
      </c>
      <c r="C229" s="62">
        <v>1.6481906030485969E-2</v>
      </c>
      <c r="D229" s="62">
        <v>5.8917986856350706E-3</v>
      </c>
      <c r="E229" s="62">
        <v>2.377629379297197E-2</v>
      </c>
    </row>
    <row r="230" spans="1:5" x14ac:dyDescent="0.2">
      <c r="A230" s="61">
        <v>42430</v>
      </c>
      <c r="B230" s="54">
        <v>55.2</v>
      </c>
      <c r="C230" s="62">
        <v>1.6481906030485969E-2</v>
      </c>
      <c r="D230" s="62">
        <v>5.8917986856350706E-3</v>
      </c>
      <c r="E230" s="62">
        <v>2.377629379297197E-2</v>
      </c>
    </row>
    <row r="231" spans="1:5" x14ac:dyDescent="0.2">
      <c r="A231" s="61">
        <v>42461</v>
      </c>
      <c r="B231" s="54">
        <v>55.6</v>
      </c>
      <c r="C231" s="62">
        <v>1.367629650405968E-2</v>
      </c>
      <c r="D231" s="62">
        <v>3.0238880667262818E-3</v>
      </c>
      <c r="E231" s="62">
        <v>1.215052634526592E-2</v>
      </c>
    </row>
    <row r="232" spans="1:5" x14ac:dyDescent="0.2">
      <c r="A232" s="61">
        <v>42491</v>
      </c>
      <c r="B232" s="54">
        <v>53.8</v>
      </c>
      <c r="C232" s="62">
        <v>1.367629650405968E-2</v>
      </c>
      <c r="D232" s="62">
        <v>3.0238880667262818E-3</v>
      </c>
      <c r="E232" s="62">
        <v>1.215052634526592E-2</v>
      </c>
    </row>
    <row r="233" spans="1:5" x14ac:dyDescent="0.2">
      <c r="A233" s="61">
        <v>42522</v>
      </c>
      <c r="B233" s="54">
        <v>56</v>
      </c>
      <c r="C233" s="62">
        <v>1.367629650405968E-2</v>
      </c>
      <c r="D233" s="62">
        <v>3.0238880667262818E-3</v>
      </c>
      <c r="E233" s="62">
        <v>1.215052634526592E-2</v>
      </c>
    </row>
    <row r="234" spans="1:5" x14ac:dyDescent="0.2">
      <c r="A234" s="61">
        <v>42552</v>
      </c>
      <c r="B234" s="54">
        <v>55.2</v>
      </c>
      <c r="C234" s="62">
        <v>1.6482633560206159E-2</v>
      </c>
      <c r="D234" s="62">
        <v>6.0111537926921072E-3</v>
      </c>
      <c r="E234" s="62">
        <v>2.4262289123349708E-2</v>
      </c>
    </row>
    <row r="235" spans="1:5" x14ac:dyDescent="0.2">
      <c r="A235" s="61">
        <v>42583</v>
      </c>
      <c r="B235" s="54">
        <v>51.6</v>
      </c>
      <c r="C235" s="62">
        <v>1.6482633560206159E-2</v>
      </c>
      <c r="D235" s="62">
        <v>6.0111537926921072E-3</v>
      </c>
      <c r="E235" s="62">
        <v>2.4262289123349708E-2</v>
      </c>
    </row>
    <row r="236" spans="1:5" x14ac:dyDescent="0.2">
      <c r="A236" s="61">
        <v>42614</v>
      </c>
      <c r="B236" s="54">
        <v>56.3</v>
      </c>
      <c r="C236" s="62">
        <v>1.6482633560206159E-2</v>
      </c>
      <c r="D236" s="62">
        <v>6.0111537926921072E-3</v>
      </c>
      <c r="E236" s="62">
        <v>2.4262289123349708E-2</v>
      </c>
    </row>
    <row r="237" spans="1:5" x14ac:dyDescent="0.2">
      <c r="A237" s="61">
        <v>42644</v>
      </c>
      <c r="B237" s="54">
        <v>54.4</v>
      </c>
      <c r="C237" s="62">
        <v>2.0041770462427101E-2</v>
      </c>
      <c r="D237" s="62">
        <v>4.9688879606063626E-3</v>
      </c>
      <c r="E237" s="62">
        <v>2.0024182261750179E-2</v>
      </c>
    </row>
    <row r="238" spans="1:5" x14ac:dyDescent="0.2">
      <c r="A238" s="61">
        <v>42675</v>
      </c>
      <c r="B238" s="54">
        <v>56.2</v>
      </c>
      <c r="C238" s="62">
        <v>2.0041770462427101E-2</v>
      </c>
      <c r="D238" s="62">
        <v>4.9688879606063626E-3</v>
      </c>
      <c r="E238" s="62">
        <v>2.0024182261750179E-2</v>
      </c>
    </row>
    <row r="239" spans="1:5" x14ac:dyDescent="0.2">
      <c r="A239" s="61">
        <v>42705</v>
      </c>
      <c r="B239" s="54">
        <v>56.7</v>
      </c>
      <c r="C239" s="62">
        <v>2.0041770462427101E-2</v>
      </c>
      <c r="D239" s="62">
        <v>4.9688879606063626E-3</v>
      </c>
      <c r="E239" s="62">
        <v>2.0024182261750179E-2</v>
      </c>
    </row>
    <row r="240" spans="1:5" x14ac:dyDescent="0.2">
      <c r="A240" s="61">
        <v>42736</v>
      </c>
      <c r="B240" s="54">
        <v>56.8</v>
      </c>
      <c r="C240" s="62">
        <v>1.8852788696456339E-2</v>
      </c>
      <c r="D240" s="62">
        <v>4.719310419164807E-3</v>
      </c>
      <c r="E240" s="62">
        <v>1.9011293949556581E-2</v>
      </c>
    </row>
    <row r="241" spans="1:5" x14ac:dyDescent="0.2">
      <c r="A241" s="61">
        <v>42767</v>
      </c>
      <c r="B241" s="54">
        <v>57.4</v>
      </c>
      <c r="C241" s="62">
        <v>1.8852788696456339E-2</v>
      </c>
      <c r="D241" s="62">
        <v>4.719310419164807E-3</v>
      </c>
      <c r="E241" s="62">
        <v>1.9011293949556581E-2</v>
      </c>
    </row>
    <row r="242" spans="1:5" x14ac:dyDescent="0.2">
      <c r="A242" s="61">
        <v>42795</v>
      </c>
      <c r="B242" s="54">
        <v>55.6</v>
      </c>
      <c r="C242" s="62">
        <v>1.8852788696456339E-2</v>
      </c>
      <c r="D242" s="62">
        <v>4.719310419164807E-3</v>
      </c>
      <c r="E242" s="62">
        <v>1.9011293949556581E-2</v>
      </c>
    </row>
    <row r="243" spans="1:5" x14ac:dyDescent="0.2">
      <c r="A243" s="61">
        <v>42826</v>
      </c>
      <c r="B243" s="54">
        <v>57.3</v>
      </c>
      <c r="C243" s="62">
        <v>2.1467165829075641E-2</v>
      </c>
      <c r="D243" s="62">
        <v>5.5976482267073562E-3</v>
      </c>
      <c r="E243" s="62">
        <v>2.25792974619996E-2</v>
      </c>
    </row>
    <row r="244" spans="1:5" x14ac:dyDescent="0.2">
      <c r="A244" s="61">
        <v>42856</v>
      </c>
      <c r="B244" s="54">
        <v>57.1</v>
      </c>
      <c r="C244" s="62">
        <v>2.1467165829075641E-2</v>
      </c>
      <c r="D244" s="62">
        <v>5.5976482267073562E-3</v>
      </c>
      <c r="E244" s="62">
        <v>2.25792974619996E-2</v>
      </c>
    </row>
    <row r="245" spans="1:5" x14ac:dyDescent="0.2">
      <c r="A245" s="61">
        <v>42887</v>
      </c>
      <c r="B245" s="54">
        <v>57.2</v>
      </c>
      <c r="C245" s="62">
        <v>2.1467165829075641E-2</v>
      </c>
      <c r="D245" s="62">
        <v>5.5976482267073562E-3</v>
      </c>
      <c r="E245" s="62">
        <v>2.25792974619996E-2</v>
      </c>
    </row>
    <row r="246" spans="1:5" x14ac:dyDescent="0.2">
      <c r="A246" s="61">
        <v>42917</v>
      </c>
      <c r="B246" s="54">
        <v>54.3</v>
      </c>
      <c r="C246" s="62">
        <v>2.2665646383373719E-2</v>
      </c>
      <c r="D246" s="62">
        <v>7.1914999120398764E-3</v>
      </c>
      <c r="E246" s="62">
        <v>2.9077796059291838E-2</v>
      </c>
    </row>
    <row r="247" spans="1:5" x14ac:dyDescent="0.2">
      <c r="A247" s="61">
        <v>42948</v>
      </c>
      <c r="B247" s="54">
        <v>55.2</v>
      </c>
      <c r="C247" s="62">
        <v>2.2665646383373719E-2</v>
      </c>
      <c r="D247" s="62">
        <v>7.1914999120398764E-3</v>
      </c>
      <c r="E247" s="62">
        <v>2.9077796059291838E-2</v>
      </c>
    </row>
    <row r="248" spans="1:5" x14ac:dyDescent="0.2">
      <c r="A248" s="61">
        <v>42979</v>
      </c>
      <c r="B248" s="54">
        <v>59.4</v>
      </c>
      <c r="C248" s="62">
        <v>2.2665646383373719E-2</v>
      </c>
      <c r="D248" s="62">
        <v>7.1914999120398764E-3</v>
      </c>
      <c r="E248" s="62">
        <v>2.9077796059291838E-2</v>
      </c>
    </row>
    <row r="249" spans="1:5" x14ac:dyDescent="0.2">
      <c r="A249" s="61">
        <v>43009</v>
      </c>
      <c r="B249" s="54">
        <v>59.8</v>
      </c>
      <c r="C249" s="62">
        <v>2.7178855818590929E-2</v>
      </c>
      <c r="D249" s="62">
        <v>9.403998383337081E-3</v>
      </c>
      <c r="E249" s="62">
        <v>3.814993904506303E-2</v>
      </c>
    </row>
    <row r="250" spans="1:5" x14ac:dyDescent="0.2">
      <c r="A250" s="61">
        <v>43040</v>
      </c>
      <c r="B250" s="54">
        <v>57.3</v>
      </c>
      <c r="C250" s="62">
        <v>2.7178855818590929E-2</v>
      </c>
      <c r="D250" s="62">
        <v>9.403998383337081E-3</v>
      </c>
      <c r="E250" s="62">
        <v>3.814993904506303E-2</v>
      </c>
    </row>
    <row r="251" spans="1:5" x14ac:dyDescent="0.2">
      <c r="A251" s="61">
        <v>43070</v>
      </c>
      <c r="B251" s="54">
        <v>56</v>
      </c>
      <c r="C251" s="62">
        <v>2.7178855818590929E-2</v>
      </c>
      <c r="D251" s="62">
        <v>9.403998383337081E-3</v>
      </c>
      <c r="E251" s="62">
        <v>3.814993904506303E-2</v>
      </c>
    </row>
    <row r="252" spans="1:5" x14ac:dyDescent="0.2">
      <c r="A252" s="61">
        <v>43101</v>
      </c>
      <c r="B252" s="54">
        <v>59.9</v>
      </c>
      <c r="C252" s="62">
        <v>3.0153118831413011E-2</v>
      </c>
      <c r="D252" s="62">
        <v>7.6285403612729556E-3</v>
      </c>
      <c r="E252" s="62">
        <v>3.0865108360243591E-2</v>
      </c>
    </row>
    <row r="253" spans="1:5" x14ac:dyDescent="0.2">
      <c r="A253" s="61">
        <v>43132</v>
      </c>
      <c r="B253" s="54">
        <v>59.5</v>
      </c>
      <c r="C253" s="62">
        <v>3.0153118831413011E-2</v>
      </c>
      <c r="D253" s="62">
        <v>7.6285403612729556E-3</v>
      </c>
      <c r="E253" s="62">
        <v>3.0865108360243591E-2</v>
      </c>
    </row>
    <row r="254" spans="1:5" x14ac:dyDescent="0.2">
      <c r="A254" s="61">
        <v>43160</v>
      </c>
      <c r="B254" s="54">
        <v>58.8</v>
      </c>
      <c r="C254" s="62">
        <v>3.0153118831413011E-2</v>
      </c>
      <c r="D254" s="62">
        <v>7.6285403612729556E-3</v>
      </c>
      <c r="E254" s="62">
        <v>3.0865108360243591E-2</v>
      </c>
    </row>
    <row r="255" spans="1:5" x14ac:dyDescent="0.2">
      <c r="A255" s="61">
        <v>43191</v>
      </c>
      <c r="B255" s="54">
        <v>56.8</v>
      </c>
      <c r="C255" s="62">
        <v>3.296152283055629E-2</v>
      </c>
      <c r="D255" s="62">
        <v>8.339109088382559E-3</v>
      </c>
      <c r="E255" s="62">
        <v>3.3776005263053348E-2</v>
      </c>
    </row>
    <row r="256" spans="1:5" x14ac:dyDescent="0.2">
      <c r="A256" s="61">
        <v>43221</v>
      </c>
      <c r="B256" s="54">
        <v>58.6</v>
      </c>
      <c r="C256" s="62">
        <v>3.296152283055629E-2</v>
      </c>
      <c r="D256" s="62">
        <v>8.339109088382559E-3</v>
      </c>
      <c r="E256" s="62">
        <v>3.3776005263053348E-2</v>
      </c>
    </row>
    <row r="257" spans="1:5" x14ac:dyDescent="0.2">
      <c r="A257" s="61">
        <v>43252</v>
      </c>
      <c r="B257" s="54">
        <v>59.1</v>
      </c>
      <c r="C257" s="62">
        <v>3.296152283055629E-2</v>
      </c>
      <c r="D257" s="62">
        <v>8.339109088382559E-3</v>
      </c>
      <c r="E257" s="62">
        <v>3.3776005263053348E-2</v>
      </c>
    </row>
    <row r="258" spans="1:5" x14ac:dyDescent="0.2">
      <c r="A258" s="61">
        <v>43282</v>
      </c>
      <c r="B258" s="54">
        <v>55.7</v>
      </c>
      <c r="C258" s="62">
        <v>3.0528859123791111E-2</v>
      </c>
      <c r="D258" s="62">
        <v>4.819525590204151E-3</v>
      </c>
      <c r="E258" s="62">
        <v>1.9417917650261129E-2</v>
      </c>
    </row>
    <row r="259" spans="1:5" x14ac:dyDescent="0.2">
      <c r="A259" s="61">
        <v>43313</v>
      </c>
      <c r="B259" s="54">
        <v>58.5</v>
      </c>
      <c r="C259" s="62">
        <v>3.0528859123791111E-2</v>
      </c>
      <c r="D259" s="62">
        <v>4.819525590204151E-3</v>
      </c>
      <c r="E259" s="62">
        <v>1.9417917650261129E-2</v>
      </c>
    </row>
    <row r="260" spans="1:5" x14ac:dyDescent="0.2">
      <c r="A260" s="61">
        <v>43344</v>
      </c>
      <c r="B260" s="54">
        <v>61.6</v>
      </c>
      <c r="C260" s="62">
        <v>3.0528859123791111E-2</v>
      </c>
      <c r="D260" s="62">
        <v>4.819525590204151E-3</v>
      </c>
      <c r="E260" s="62">
        <v>1.9417917650261129E-2</v>
      </c>
    </row>
    <row r="261" spans="1:5" x14ac:dyDescent="0.2">
      <c r="A261" s="61">
        <v>43374</v>
      </c>
      <c r="B261" s="54">
        <v>60.3</v>
      </c>
      <c r="C261" s="62">
        <v>2.3206170953918571E-2</v>
      </c>
      <c r="D261" s="62">
        <v>2.2314183511113221E-3</v>
      </c>
      <c r="E261" s="62">
        <v>8.9555932393459159E-3</v>
      </c>
    </row>
    <row r="262" spans="1:5" x14ac:dyDescent="0.2">
      <c r="A262" s="61">
        <v>43405</v>
      </c>
      <c r="B262" s="54">
        <v>60.7</v>
      </c>
      <c r="C262" s="62">
        <v>2.3206170953918571E-2</v>
      </c>
      <c r="D262" s="62">
        <v>2.2314183511113221E-3</v>
      </c>
      <c r="E262" s="62">
        <v>8.9555932393459159E-3</v>
      </c>
    </row>
    <row r="263" spans="1:5" x14ac:dyDescent="0.2">
      <c r="A263" s="61">
        <v>43435</v>
      </c>
      <c r="B263" s="54">
        <v>57.6</v>
      </c>
      <c r="C263" s="62">
        <v>2.3206170953918571E-2</v>
      </c>
      <c r="D263" s="62">
        <v>2.2314183511113221E-3</v>
      </c>
      <c r="E263" s="62">
        <v>8.9555932393459159E-3</v>
      </c>
    </row>
    <row r="264" spans="1:5" x14ac:dyDescent="0.2">
      <c r="A264" s="61">
        <v>43466</v>
      </c>
      <c r="B264" s="54">
        <v>56.7</v>
      </c>
      <c r="C264" s="62">
        <v>2.1530015140813302E-2</v>
      </c>
      <c r="D264" s="62">
        <v>5.9779029009820791E-3</v>
      </c>
      <c r="E264" s="62">
        <v>2.4126879308669521E-2</v>
      </c>
    </row>
    <row r="265" spans="1:5" x14ac:dyDescent="0.2">
      <c r="A265" s="61">
        <v>43497</v>
      </c>
      <c r="B265" s="54">
        <v>59.7</v>
      </c>
      <c r="C265" s="62">
        <v>2.1530015140813302E-2</v>
      </c>
      <c r="D265" s="62">
        <v>5.9779029009820791E-3</v>
      </c>
      <c r="E265" s="62">
        <v>2.4126879308669521E-2</v>
      </c>
    </row>
    <row r="266" spans="1:5" x14ac:dyDescent="0.2">
      <c r="A266" s="61">
        <v>43525</v>
      </c>
      <c r="B266" s="54">
        <v>56.1</v>
      </c>
      <c r="C266" s="62">
        <v>2.1530015140813302E-2</v>
      </c>
      <c r="D266" s="62">
        <v>5.9779029009820791E-3</v>
      </c>
      <c r="E266" s="62">
        <v>2.4126879308669521E-2</v>
      </c>
    </row>
    <row r="267" spans="1:5" x14ac:dyDescent="0.2">
      <c r="A267" s="61">
        <v>43556</v>
      </c>
      <c r="B267" s="54">
        <v>55.5</v>
      </c>
      <c r="C267" s="62">
        <v>2.111478835615084E-2</v>
      </c>
      <c r="D267" s="62">
        <v>7.9292440820582337E-3</v>
      </c>
      <c r="E267" s="62">
        <v>3.2096211890165538E-2</v>
      </c>
    </row>
    <row r="268" spans="1:5" x14ac:dyDescent="0.2">
      <c r="A268" s="61">
        <v>43586</v>
      </c>
      <c r="B268" s="54">
        <v>56.9</v>
      </c>
      <c r="C268" s="62">
        <v>2.111478835615084E-2</v>
      </c>
      <c r="D268" s="62">
        <v>7.9292440820582337E-3</v>
      </c>
      <c r="E268" s="62">
        <v>3.2096211890165538E-2</v>
      </c>
    </row>
    <row r="269" spans="1:5" x14ac:dyDescent="0.2">
      <c r="A269" s="61">
        <v>43617</v>
      </c>
      <c r="B269" s="54">
        <v>55.1</v>
      </c>
      <c r="C269" s="62">
        <v>2.111478835615084E-2</v>
      </c>
      <c r="D269" s="62">
        <v>7.9292440820582337E-3</v>
      </c>
      <c r="E269" s="62">
        <v>3.2096211890165538E-2</v>
      </c>
    </row>
    <row r="270" spans="1:5" x14ac:dyDescent="0.2">
      <c r="A270" s="61">
        <v>43647</v>
      </c>
      <c r="B270" s="54">
        <v>53.7</v>
      </c>
      <c r="C270" s="62">
        <v>2.3183259983257681E-2</v>
      </c>
      <c r="D270" s="62">
        <v>6.8549879130956641E-3</v>
      </c>
      <c r="E270" s="62">
        <v>2.7703187503345331E-2</v>
      </c>
    </row>
    <row r="271" spans="1:5" x14ac:dyDescent="0.2">
      <c r="A271" s="61">
        <v>43678</v>
      </c>
      <c r="B271" s="54">
        <v>56.4</v>
      </c>
      <c r="C271" s="62">
        <v>2.3183259983257681E-2</v>
      </c>
      <c r="D271" s="62">
        <v>6.8549879130956641E-3</v>
      </c>
      <c r="E271" s="62">
        <v>2.7703187503345331E-2</v>
      </c>
    </row>
    <row r="272" spans="1:5" x14ac:dyDescent="0.2">
      <c r="A272" s="61">
        <v>43709</v>
      </c>
      <c r="B272" s="54">
        <v>52.6</v>
      </c>
      <c r="C272" s="62">
        <v>2.3183259983257681E-2</v>
      </c>
      <c r="D272" s="62">
        <v>6.8549879130956641E-3</v>
      </c>
      <c r="E272" s="62">
        <v>2.7703187503345331E-2</v>
      </c>
    </row>
    <row r="273" spans="1:5" x14ac:dyDescent="0.2">
      <c r="A273" s="61">
        <v>43739</v>
      </c>
      <c r="B273" s="54">
        <v>54.7</v>
      </c>
      <c r="C273" s="62">
        <v>2.5694235346395491E-2</v>
      </c>
      <c r="D273" s="62">
        <v>4.690976182113644E-3</v>
      </c>
      <c r="E273" s="62">
        <v>1.8896349662489209E-2</v>
      </c>
    </row>
    <row r="274" spans="1:5" x14ac:dyDescent="0.2">
      <c r="A274" s="61">
        <v>43770</v>
      </c>
      <c r="B274" s="54">
        <v>53.9</v>
      </c>
      <c r="C274" s="62">
        <v>2.5694235346395491E-2</v>
      </c>
      <c r="D274" s="62">
        <v>4.690976182113644E-3</v>
      </c>
      <c r="E274" s="62">
        <v>1.8896349662489209E-2</v>
      </c>
    </row>
    <row r="275" spans="1:5" x14ac:dyDescent="0.2">
      <c r="A275" s="61">
        <v>43800</v>
      </c>
      <c r="B275" s="54">
        <v>55</v>
      </c>
      <c r="C275" s="62">
        <v>2.5694235346395491E-2</v>
      </c>
      <c r="D275" s="62">
        <v>4.690976182113644E-3</v>
      </c>
      <c r="E275" s="62">
        <v>1.8896349662489209E-2</v>
      </c>
    </row>
    <row r="276" spans="1:5" x14ac:dyDescent="0.2">
      <c r="A276" s="61">
        <v>43831</v>
      </c>
      <c r="B276" s="54">
        <v>55.5</v>
      </c>
      <c r="C276" s="62">
        <v>6.3078516417420767E-3</v>
      </c>
      <c r="D276" s="62">
        <v>-1.303582746034216E-2</v>
      </c>
      <c r="E276" s="62">
        <v>-5.1132545037274268E-2</v>
      </c>
    </row>
    <row r="277" spans="1:5" x14ac:dyDescent="0.2">
      <c r="A277" s="61">
        <v>43862</v>
      </c>
      <c r="B277" s="54">
        <v>57.3</v>
      </c>
      <c r="C277" s="62">
        <v>6.3078516417420767E-3</v>
      </c>
      <c r="D277" s="62">
        <v>-1.303582746034216E-2</v>
      </c>
      <c r="E277" s="62">
        <v>-5.1132545037274268E-2</v>
      </c>
    </row>
    <row r="278" spans="1:5" x14ac:dyDescent="0.2">
      <c r="A278" s="61">
        <v>43891</v>
      </c>
      <c r="B278" s="54">
        <v>52.5</v>
      </c>
      <c r="C278" s="62">
        <v>6.3078516417420767E-3</v>
      </c>
      <c r="D278" s="62">
        <v>-1.303582746034216E-2</v>
      </c>
      <c r="E278" s="62">
        <v>-5.1132545037274268E-2</v>
      </c>
    </row>
    <row r="279" spans="1:5" x14ac:dyDescent="0.2">
      <c r="A279" s="61">
        <v>43922</v>
      </c>
      <c r="B279" s="54">
        <v>41.8</v>
      </c>
      <c r="C279" s="62">
        <v>-9.0837374242250385E-2</v>
      </c>
      <c r="D279" s="62">
        <v>-8.9372505011610218E-2</v>
      </c>
      <c r="E279" s="62">
        <v>-0.31235698461085082</v>
      </c>
    </row>
    <row r="280" spans="1:5" x14ac:dyDescent="0.2">
      <c r="A280" s="61">
        <v>43952</v>
      </c>
      <c r="B280" s="54">
        <v>45.4</v>
      </c>
      <c r="C280" s="62">
        <v>-9.0837374242250385E-2</v>
      </c>
      <c r="D280" s="62">
        <v>-8.9372505011610218E-2</v>
      </c>
      <c r="E280" s="62">
        <v>-0.31235698461085082</v>
      </c>
    </row>
    <row r="281" spans="1:5" x14ac:dyDescent="0.2">
      <c r="A281" s="61">
        <v>43983</v>
      </c>
      <c r="B281" s="54">
        <v>57.1</v>
      </c>
      <c r="C281" s="62">
        <v>-9.0837374242250385E-2</v>
      </c>
      <c r="D281" s="62">
        <v>-8.9372505011610218E-2</v>
      </c>
      <c r="E281" s="62">
        <v>-0.31235698461085082</v>
      </c>
    </row>
    <row r="282" spans="1:5" x14ac:dyDescent="0.2">
      <c r="A282" s="61">
        <v>44013</v>
      </c>
      <c r="B282" s="54">
        <v>58.1</v>
      </c>
      <c r="C282" s="62">
        <v>-2.8875059888336659E-2</v>
      </c>
      <c r="D282" s="62">
        <v>7.547534636423657E-2</v>
      </c>
      <c r="E282" s="62">
        <v>0.33783279300793229</v>
      </c>
    </row>
    <row r="283" spans="1:5" x14ac:dyDescent="0.2">
      <c r="A283" s="61">
        <v>44044</v>
      </c>
      <c r="B283" s="54">
        <v>56.9</v>
      </c>
      <c r="C283" s="62">
        <v>-2.8875059888336659E-2</v>
      </c>
      <c r="D283" s="62">
        <v>7.547534636423657E-2</v>
      </c>
      <c r="E283" s="62">
        <v>0.33783279300793229</v>
      </c>
    </row>
    <row r="284" spans="1:5" x14ac:dyDescent="0.2">
      <c r="A284" s="61">
        <v>44075</v>
      </c>
      <c r="B284" s="54">
        <v>57.8</v>
      </c>
      <c r="C284" s="62">
        <v>-2.8875059888336659E-2</v>
      </c>
      <c r="D284" s="62">
        <v>7.547534636423657E-2</v>
      </c>
      <c r="E284" s="62">
        <v>0.33783279300793229</v>
      </c>
    </row>
    <row r="285" spans="1:5" x14ac:dyDescent="0.2">
      <c r="A285" s="61">
        <v>44105</v>
      </c>
      <c r="B285" s="54">
        <v>56.6</v>
      </c>
      <c r="C285" s="62">
        <v>-2.2629152430098401E-2</v>
      </c>
      <c r="D285" s="62">
        <v>1.115276765936578E-2</v>
      </c>
      <c r="E285" s="62">
        <v>4.536294038119415E-2</v>
      </c>
    </row>
    <row r="286" spans="1:5" x14ac:dyDescent="0.2">
      <c r="A286" s="61">
        <v>44136</v>
      </c>
      <c r="B286" s="54">
        <v>55.9</v>
      </c>
      <c r="C286" s="62">
        <v>-2.2629152430098401E-2</v>
      </c>
      <c r="D286" s="62">
        <v>1.115276765936578E-2</v>
      </c>
      <c r="E286" s="62">
        <v>4.536294038119415E-2</v>
      </c>
    </row>
    <row r="287" spans="1:5" x14ac:dyDescent="0.2">
      <c r="A287" s="61">
        <v>44166</v>
      </c>
      <c r="B287" s="54">
        <v>57.2</v>
      </c>
      <c r="C287" s="62">
        <v>-2.2629152430098401E-2</v>
      </c>
      <c r="D287" s="62">
        <v>1.115276765936578E-2</v>
      </c>
      <c r="E287" s="62">
        <v>4.536294038119415E-2</v>
      </c>
    </row>
    <row r="288" spans="1:5" x14ac:dyDescent="0.2">
      <c r="A288" s="61">
        <v>44197</v>
      </c>
      <c r="B288" s="54">
        <v>58.7</v>
      </c>
      <c r="C288" s="62">
        <v>5.4697680328273934E-3</v>
      </c>
      <c r="D288" s="62">
        <v>1.533889627211066E-2</v>
      </c>
      <c r="E288" s="62">
        <v>6.2781766727765698E-2</v>
      </c>
    </row>
    <row r="289" spans="1:5" x14ac:dyDescent="0.2">
      <c r="A289" s="61">
        <v>44228</v>
      </c>
      <c r="B289" s="54">
        <v>55.3</v>
      </c>
      <c r="C289" s="62">
        <v>5.4697680328273934E-3</v>
      </c>
      <c r="D289" s="62">
        <v>1.533889627211066E-2</v>
      </c>
      <c r="E289" s="62">
        <v>6.2781766727765698E-2</v>
      </c>
    </row>
    <row r="290" spans="1:5" x14ac:dyDescent="0.2">
      <c r="A290" s="61">
        <v>44256</v>
      </c>
      <c r="B290" s="54">
        <v>63.7</v>
      </c>
      <c r="C290" s="62">
        <v>5.4697680328273934E-3</v>
      </c>
      <c r="D290" s="62">
        <v>1.533889627211066E-2</v>
      </c>
      <c r="E290" s="62">
        <v>6.2781766727765698E-2</v>
      </c>
    </row>
    <row r="291" spans="1:5" x14ac:dyDescent="0.2">
      <c r="A291" s="61">
        <v>44287</v>
      </c>
      <c r="B291" s="54">
        <v>62.7</v>
      </c>
      <c r="C291" s="62">
        <v>0.1218200270537983</v>
      </c>
      <c r="D291" s="62">
        <v>1.6002861092940641E-2</v>
      </c>
      <c r="E291" s="62">
        <v>6.5564452124460049E-2</v>
      </c>
    </row>
    <row r="292" spans="1:5" x14ac:dyDescent="0.2">
      <c r="A292" s="61">
        <v>44317</v>
      </c>
      <c r="B292" s="54">
        <v>64</v>
      </c>
      <c r="C292" s="62">
        <v>0.1218200270537983</v>
      </c>
      <c r="D292" s="62">
        <v>1.6002861092940641E-2</v>
      </c>
      <c r="E292" s="62">
        <v>6.5564452124460049E-2</v>
      </c>
    </row>
    <row r="293" spans="1:5" x14ac:dyDescent="0.2">
      <c r="A293" s="61">
        <v>44348</v>
      </c>
      <c r="B293" s="54">
        <v>60.1</v>
      </c>
      <c r="C293" s="62">
        <v>0.1218200270537983</v>
      </c>
      <c r="D293" s="62">
        <v>1.6002861092940641E-2</v>
      </c>
      <c r="E293" s="62">
        <v>6.5564452124460049E-2</v>
      </c>
    </row>
    <row r="294" spans="1:5" x14ac:dyDescent="0.2">
      <c r="A294" s="61">
        <v>44378</v>
      </c>
      <c r="B294" s="54">
        <v>64.099999999999994</v>
      </c>
      <c r="C294" s="62"/>
      <c r="D294" s="62"/>
      <c r="E294" s="62"/>
    </row>
    <row r="295" spans="1:5" x14ac:dyDescent="0.2">
      <c r="A295" s="61">
        <v>44409</v>
      </c>
      <c r="B295" s="54">
        <v>61.7</v>
      </c>
      <c r="C295" s="62"/>
      <c r="D295" s="62"/>
      <c r="E295" s="62"/>
    </row>
    <row r="296" spans="1:5" x14ac:dyDescent="0.2">
      <c r="A296" s="61">
        <v>44440</v>
      </c>
      <c r="B296" s="54">
        <v>61.9</v>
      </c>
      <c r="C296" s="62"/>
      <c r="D296" s="62"/>
      <c r="E296" s="62"/>
    </row>
    <row r="297" spans="1:5" x14ac:dyDescent="0.2">
      <c r="A297" s="61">
        <v>44470</v>
      </c>
      <c r="B297" s="54">
        <v>66.7</v>
      </c>
      <c r="C297" s="62"/>
      <c r="D297" s="62"/>
      <c r="E297" s="62"/>
    </row>
    <row r="298" spans="1:5" x14ac:dyDescent="0.2">
      <c r="A298" s="61">
        <v>44501</v>
      </c>
      <c r="B298" s="54">
        <v>69.099999999999994</v>
      </c>
      <c r="C298" s="62"/>
      <c r="D298" s="62"/>
      <c r="E298" s="62"/>
    </row>
    <row r="299" spans="1:5" x14ac:dyDescent="0.2">
      <c r="A299" s="61">
        <v>44531</v>
      </c>
      <c r="B299" s="54">
        <v>62</v>
      </c>
      <c r="C299" s="62"/>
      <c r="D299" s="62"/>
      <c r="E299" s="62"/>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J299"/>
  <sheetViews>
    <sheetView zoomScale="190" zoomScaleNormal="190" workbookViewId="0">
      <pane ySplit="5" topLeftCell="A276" activePane="bottomLeft" state="frozen"/>
      <selection activeCell="P256" sqref="P256"/>
      <selection pane="bottomLeft" activeCell="N290" sqref="N290"/>
    </sheetView>
  </sheetViews>
  <sheetFormatPr baseColWidth="10" defaultColWidth="9.1640625" defaultRowHeight="15" x14ac:dyDescent="0.2"/>
  <cols>
    <col min="1" max="1" width="18.33203125" style="88" customWidth="1"/>
    <col min="2" max="3" width="11" style="88" customWidth="1"/>
    <col min="4" max="6" width="9.1640625" style="88" customWidth="1"/>
    <col min="7" max="7" width="12.83203125" style="88" customWidth="1"/>
    <col min="8" max="8" width="14.5" style="88" customWidth="1"/>
    <col min="9" max="9" width="9.1640625" style="88" customWidth="1"/>
    <col min="10" max="10" width="14.83203125" style="88" customWidth="1"/>
    <col min="11" max="14" width="9.1640625" style="88" customWidth="1"/>
    <col min="15" max="16384" width="9.1640625" style="88"/>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83" t="s">
        <v>61</v>
      </c>
      <c r="B5" s="84" t="s">
        <v>0</v>
      </c>
      <c r="C5" s="85" t="s">
        <v>66</v>
      </c>
    </row>
    <row r="6" spans="1:9" x14ac:dyDescent="0.2">
      <c r="A6" s="49">
        <v>35612</v>
      </c>
      <c r="B6" s="55">
        <v>56.7</v>
      </c>
      <c r="C6" s="55"/>
    </row>
    <row r="7" spans="1:9" x14ac:dyDescent="0.2">
      <c r="A7" s="53">
        <v>35643</v>
      </c>
      <c r="B7" s="55">
        <v>62</v>
      </c>
      <c r="C7" s="55">
        <f>Table9[[#This Row],[ISM Services]]-B6</f>
        <v>5.2999999999999972</v>
      </c>
    </row>
    <row r="8" spans="1:9" x14ac:dyDescent="0.2">
      <c r="A8" s="49">
        <v>35674</v>
      </c>
      <c r="B8" s="55">
        <v>56.2</v>
      </c>
      <c r="C8" s="55">
        <f>Table9[[#This Row],[ISM Services]]-B7</f>
        <v>-5.7999999999999972</v>
      </c>
    </row>
    <row r="9" spans="1:9" x14ac:dyDescent="0.2">
      <c r="A9" s="53">
        <v>35704</v>
      </c>
      <c r="B9" s="55">
        <v>56.6</v>
      </c>
      <c r="C9" s="55">
        <f>Table9[[#This Row],[ISM Services]]-B8</f>
        <v>0.39999999999999858</v>
      </c>
    </row>
    <row r="10" spans="1:9" x14ac:dyDescent="0.2">
      <c r="A10" s="49">
        <v>35735</v>
      </c>
      <c r="B10" s="55">
        <v>58.5</v>
      </c>
      <c r="C10" s="55">
        <f>Table9[[#This Row],[ISM Services]]-B9</f>
        <v>1.8999999999999986</v>
      </c>
    </row>
    <row r="11" spans="1:9" x14ac:dyDescent="0.2">
      <c r="A11" s="53">
        <v>35765</v>
      </c>
      <c r="B11" s="55">
        <v>55.5</v>
      </c>
      <c r="C11" s="55">
        <f>Table9[[#This Row],[ISM Services]]-B10</f>
        <v>-3</v>
      </c>
    </row>
    <row r="12" spans="1:9" x14ac:dyDescent="0.2">
      <c r="A12" s="49">
        <v>35796</v>
      </c>
      <c r="B12" s="55">
        <v>57</v>
      </c>
      <c r="C12" s="55">
        <f>Table9[[#This Row],[ISM Services]]-B11</f>
        <v>1.5</v>
      </c>
    </row>
    <row r="13" spans="1:9" x14ac:dyDescent="0.2">
      <c r="A13" s="53">
        <v>35827</v>
      </c>
      <c r="B13" s="55">
        <v>56.2</v>
      </c>
      <c r="C13" s="55">
        <f>Table9[[#This Row],[ISM Services]]-B12</f>
        <v>-0.79999999999999716</v>
      </c>
    </row>
    <row r="14" spans="1:9" x14ac:dyDescent="0.2">
      <c r="A14" s="49">
        <v>35855</v>
      </c>
      <c r="B14" s="55">
        <v>54.7</v>
      </c>
      <c r="C14" s="55">
        <f>Table9[[#This Row],[ISM Services]]-B13</f>
        <v>-1.5</v>
      </c>
    </row>
    <row r="15" spans="1:9" x14ac:dyDescent="0.2">
      <c r="A15" s="53">
        <v>35886</v>
      </c>
      <c r="B15" s="55">
        <v>54.9</v>
      </c>
      <c r="C15" s="55">
        <f>Table9[[#This Row],[ISM Services]]-B14</f>
        <v>0.19999999999999574</v>
      </c>
    </row>
    <row r="16" spans="1:9" x14ac:dyDescent="0.2">
      <c r="A16" s="53">
        <v>35916</v>
      </c>
      <c r="B16" s="55">
        <v>56.2</v>
      </c>
      <c r="C16" s="55">
        <f>Table9[[#This Row],[ISM Services]]-B15</f>
        <v>1.3000000000000043</v>
      </c>
    </row>
    <row r="17" spans="1:3" x14ac:dyDescent="0.2">
      <c r="A17" s="53">
        <v>35947</v>
      </c>
      <c r="B17" s="55">
        <v>55.1</v>
      </c>
      <c r="C17" s="55">
        <f>Table9[[#This Row],[ISM Services]]-B16</f>
        <v>-1.1000000000000014</v>
      </c>
    </row>
    <row r="18" spans="1:3" x14ac:dyDescent="0.2">
      <c r="A18" s="53">
        <v>35977</v>
      </c>
      <c r="B18" s="55">
        <v>55.8</v>
      </c>
      <c r="C18" s="55">
        <f>Table9[[#This Row],[ISM Services]]-B17</f>
        <v>0.69999999999999574</v>
      </c>
    </row>
    <row r="19" spans="1:3" x14ac:dyDescent="0.2">
      <c r="A19" s="53">
        <v>36008</v>
      </c>
      <c r="B19" s="55">
        <v>53.5</v>
      </c>
      <c r="C19" s="55">
        <f>Table9[[#This Row],[ISM Services]]-B18</f>
        <v>-2.2999999999999972</v>
      </c>
    </row>
    <row r="20" spans="1:3" x14ac:dyDescent="0.2">
      <c r="A20" s="53">
        <v>36039</v>
      </c>
      <c r="B20" s="55">
        <v>55</v>
      </c>
      <c r="C20" s="55">
        <f>Table9[[#This Row],[ISM Services]]-B19</f>
        <v>1.5</v>
      </c>
    </row>
    <row r="21" spans="1:3" x14ac:dyDescent="0.2">
      <c r="A21" s="53">
        <v>36069</v>
      </c>
      <c r="B21" s="55">
        <v>53.8</v>
      </c>
      <c r="C21" s="55">
        <f>Table9[[#This Row],[ISM Services]]-B20</f>
        <v>-1.2000000000000028</v>
      </c>
    </row>
    <row r="22" spans="1:3" x14ac:dyDescent="0.2">
      <c r="A22" s="53">
        <v>36100</v>
      </c>
      <c r="B22" s="55">
        <v>52.6</v>
      </c>
      <c r="C22" s="55">
        <f>Table9[[#This Row],[ISM Services]]-B21</f>
        <v>-1.1999999999999957</v>
      </c>
    </row>
    <row r="23" spans="1:3" x14ac:dyDescent="0.2">
      <c r="A23" s="53">
        <v>36130</v>
      </c>
      <c r="B23" s="55">
        <v>52.9</v>
      </c>
      <c r="C23" s="55">
        <f>Table9[[#This Row],[ISM Services]]-B22</f>
        <v>0.29999999999999716</v>
      </c>
    </row>
    <row r="24" spans="1:3" x14ac:dyDescent="0.2">
      <c r="A24" s="53">
        <v>36161</v>
      </c>
      <c r="B24" s="55">
        <v>55.6</v>
      </c>
      <c r="C24" s="55">
        <f>Table9[[#This Row],[ISM Services]]-B23</f>
        <v>2.7000000000000028</v>
      </c>
    </row>
    <row r="25" spans="1:3" x14ac:dyDescent="0.2">
      <c r="A25" s="53">
        <v>36192</v>
      </c>
      <c r="B25" s="55">
        <v>54.4</v>
      </c>
      <c r="C25" s="55">
        <f>Table9[[#This Row],[ISM Services]]-B24</f>
        <v>-1.2000000000000028</v>
      </c>
    </row>
    <row r="26" spans="1:3" x14ac:dyDescent="0.2">
      <c r="A26" s="53">
        <v>36220</v>
      </c>
      <c r="B26" s="55">
        <v>55.3</v>
      </c>
      <c r="C26" s="55">
        <f>Table9[[#This Row],[ISM Services]]-B25</f>
        <v>0.89999999999999858</v>
      </c>
    </row>
    <row r="27" spans="1:3" x14ac:dyDescent="0.2">
      <c r="A27" s="53">
        <v>36251</v>
      </c>
      <c r="B27" s="55">
        <v>55.5</v>
      </c>
      <c r="C27" s="55">
        <f>Table9[[#This Row],[ISM Services]]-B26</f>
        <v>0.20000000000000284</v>
      </c>
    </row>
    <row r="28" spans="1:3" x14ac:dyDescent="0.2">
      <c r="A28" s="53">
        <v>36281</v>
      </c>
      <c r="B28" s="55">
        <v>55.3</v>
      </c>
      <c r="C28" s="55">
        <f>Table9[[#This Row],[ISM Services]]-B27</f>
        <v>-0.20000000000000284</v>
      </c>
    </row>
    <row r="29" spans="1:3" x14ac:dyDescent="0.2">
      <c r="A29" s="53">
        <v>36312</v>
      </c>
      <c r="B29" s="55">
        <v>56.7</v>
      </c>
      <c r="C29" s="55">
        <f>Table9[[#This Row],[ISM Services]]-B28</f>
        <v>1.4000000000000057</v>
      </c>
    </row>
    <row r="30" spans="1:3" x14ac:dyDescent="0.2">
      <c r="A30" s="53">
        <v>36342</v>
      </c>
      <c r="B30" s="55">
        <v>56.2</v>
      </c>
      <c r="C30" s="55">
        <f>Table9[[#This Row],[ISM Services]]-B29</f>
        <v>-0.5</v>
      </c>
    </row>
    <row r="31" spans="1:3" x14ac:dyDescent="0.2">
      <c r="A31" s="53">
        <v>36373</v>
      </c>
      <c r="B31" s="55">
        <v>56.4</v>
      </c>
      <c r="C31" s="55">
        <f>Table9[[#This Row],[ISM Services]]-B30</f>
        <v>0.19999999999999574</v>
      </c>
    </row>
    <row r="32" spans="1:3" x14ac:dyDescent="0.2">
      <c r="A32" s="53">
        <v>36404</v>
      </c>
      <c r="B32" s="55">
        <v>56.2</v>
      </c>
      <c r="C32" s="55">
        <f>Table9[[#This Row],[ISM Services]]-B31</f>
        <v>-0.19999999999999574</v>
      </c>
    </row>
    <row r="33" spans="1:3" x14ac:dyDescent="0.2">
      <c r="A33" s="53">
        <v>36434</v>
      </c>
      <c r="B33" s="55">
        <v>57.6</v>
      </c>
      <c r="C33" s="55">
        <f>Table9[[#This Row],[ISM Services]]-B32</f>
        <v>1.3999999999999986</v>
      </c>
    </row>
    <row r="34" spans="1:3" x14ac:dyDescent="0.2">
      <c r="A34" s="53">
        <v>36465</v>
      </c>
      <c r="B34" s="55">
        <v>54.9</v>
      </c>
      <c r="C34" s="55">
        <f>Table9[[#This Row],[ISM Services]]-B33</f>
        <v>-2.7000000000000028</v>
      </c>
    </row>
    <row r="35" spans="1:3" x14ac:dyDescent="0.2">
      <c r="A35" s="53">
        <v>36495</v>
      </c>
      <c r="B35" s="55">
        <v>56.9</v>
      </c>
      <c r="C35" s="55">
        <f>Table9[[#This Row],[ISM Services]]-B34</f>
        <v>2</v>
      </c>
    </row>
    <row r="36" spans="1:3" x14ac:dyDescent="0.2">
      <c r="A36" s="53">
        <v>36526</v>
      </c>
      <c r="B36" s="55">
        <v>56.6</v>
      </c>
      <c r="C36" s="55">
        <f>Table9[[#This Row],[ISM Services]]-B35</f>
        <v>-0.29999999999999716</v>
      </c>
    </row>
    <row r="37" spans="1:3" x14ac:dyDescent="0.2">
      <c r="A37" s="53">
        <v>36557</v>
      </c>
      <c r="B37" s="55">
        <v>56.2</v>
      </c>
      <c r="C37" s="55">
        <f>Table9[[#This Row],[ISM Services]]-B36</f>
        <v>-0.39999999999999858</v>
      </c>
    </row>
    <row r="38" spans="1:3" x14ac:dyDescent="0.2">
      <c r="A38" s="53">
        <v>36586</v>
      </c>
      <c r="B38" s="55">
        <v>57.4</v>
      </c>
      <c r="C38" s="55">
        <f>Table9[[#This Row],[ISM Services]]-B37</f>
        <v>1.1999999999999957</v>
      </c>
    </row>
    <row r="39" spans="1:3" x14ac:dyDescent="0.2">
      <c r="A39" s="53">
        <v>36617</v>
      </c>
      <c r="B39" s="55">
        <v>58</v>
      </c>
      <c r="C39" s="55">
        <f>Table9[[#This Row],[ISM Services]]-B38</f>
        <v>0.60000000000000142</v>
      </c>
    </row>
    <row r="40" spans="1:3" x14ac:dyDescent="0.2">
      <c r="A40" s="53">
        <v>36647</v>
      </c>
      <c r="B40" s="55">
        <v>57.7</v>
      </c>
      <c r="C40" s="55">
        <f>Table9[[#This Row],[ISM Services]]-B39</f>
        <v>-0.29999999999999716</v>
      </c>
    </row>
    <row r="41" spans="1:3" x14ac:dyDescent="0.2">
      <c r="A41" s="53">
        <v>36678</v>
      </c>
      <c r="B41" s="55">
        <v>56.9</v>
      </c>
      <c r="C41" s="55">
        <f>Table9[[#This Row],[ISM Services]]-B40</f>
        <v>-0.80000000000000426</v>
      </c>
    </row>
    <row r="42" spans="1:3" x14ac:dyDescent="0.2">
      <c r="A42" s="53">
        <v>36708</v>
      </c>
      <c r="B42" s="55">
        <v>55.3</v>
      </c>
      <c r="C42" s="55">
        <f>Table9[[#This Row],[ISM Services]]-B41</f>
        <v>-1.6000000000000014</v>
      </c>
    </row>
    <row r="43" spans="1:3" x14ac:dyDescent="0.2">
      <c r="A43" s="53">
        <v>36739</v>
      </c>
      <c r="B43" s="55">
        <v>57.6</v>
      </c>
      <c r="C43" s="55">
        <f>Table9[[#This Row],[ISM Services]]-B42</f>
        <v>2.3000000000000043</v>
      </c>
    </row>
    <row r="44" spans="1:3" x14ac:dyDescent="0.2">
      <c r="A44" s="53">
        <v>36770</v>
      </c>
      <c r="B44" s="55">
        <v>56.7</v>
      </c>
      <c r="C44" s="55">
        <f>Table9[[#This Row],[ISM Services]]-B43</f>
        <v>-0.89999999999999858</v>
      </c>
    </row>
    <row r="45" spans="1:3" x14ac:dyDescent="0.2">
      <c r="A45" s="53">
        <v>36800</v>
      </c>
      <c r="B45" s="55">
        <v>56.7</v>
      </c>
      <c r="C45" s="55">
        <f>Table9[[#This Row],[ISM Services]]-B44</f>
        <v>0</v>
      </c>
    </row>
    <row r="46" spans="1:3" x14ac:dyDescent="0.2">
      <c r="A46" s="53">
        <v>36831</v>
      </c>
      <c r="B46" s="55">
        <v>56.2</v>
      </c>
      <c r="C46" s="55">
        <f>Table9[[#This Row],[ISM Services]]-B45</f>
        <v>-0.5</v>
      </c>
    </row>
    <row r="47" spans="1:3" x14ac:dyDescent="0.2">
      <c r="A47" s="53">
        <v>36861</v>
      </c>
      <c r="B47" s="55">
        <v>54</v>
      </c>
      <c r="C47" s="55">
        <f>Table9[[#This Row],[ISM Services]]-B46</f>
        <v>-2.2000000000000028</v>
      </c>
    </row>
    <row r="48" spans="1:3" x14ac:dyDescent="0.2">
      <c r="A48" s="53">
        <v>36892</v>
      </c>
      <c r="B48" s="55">
        <v>51.6</v>
      </c>
      <c r="C48" s="55">
        <f>Table9[[#This Row],[ISM Services]]-B47</f>
        <v>-2.3999999999999986</v>
      </c>
    </row>
    <row r="49" spans="1:3" x14ac:dyDescent="0.2">
      <c r="A49" s="53">
        <v>36923</v>
      </c>
      <c r="B49" s="55">
        <v>51.3</v>
      </c>
      <c r="C49" s="55">
        <f>Table9[[#This Row],[ISM Services]]-B48</f>
        <v>-0.30000000000000426</v>
      </c>
    </row>
    <row r="50" spans="1:3" x14ac:dyDescent="0.2">
      <c r="A50" s="53">
        <v>36951</v>
      </c>
      <c r="B50" s="55">
        <v>50.7</v>
      </c>
      <c r="C50" s="55">
        <f>Table9[[#This Row],[ISM Services]]-B49</f>
        <v>-0.59999999999999432</v>
      </c>
    </row>
    <row r="51" spans="1:3" x14ac:dyDescent="0.2">
      <c r="A51" s="53">
        <v>36982</v>
      </c>
      <c r="B51" s="55">
        <v>48.3</v>
      </c>
      <c r="C51" s="55">
        <f>Table9[[#This Row],[ISM Services]]-B50</f>
        <v>-2.4000000000000057</v>
      </c>
    </row>
    <row r="52" spans="1:3" x14ac:dyDescent="0.2">
      <c r="A52" s="53">
        <v>37012</v>
      </c>
      <c r="B52" s="55">
        <v>49</v>
      </c>
      <c r="C52" s="55">
        <f>Table9[[#This Row],[ISM Services]]-B51</f>
        <v>0.70000000000000284</v>
      </c>
    </row>
    <row r="53" spans="1:3" x14ac:dyDescent="0.2">
      <c r="A53" s="53">
        <v>37043</v>
      </c>
      <c r="B53" s="55">
        <v>50.1</v>
      </c>
      <c r="C53" s="55">
        <f>Table9[[#This Row],[ISM Services]]-B52</f>
        <v>1.1000000000000014</v>
      </c>
    </row>
    <row r="54" spans="1:3" x14ac:dyDescent="0.2">
      <c r="A54" s="53">
        <v>37073</v>
      </c>
      <c r="B54" s="55">
        <v>48.1</v>
      </c>
      <c r="C54" s="55">
        <f>Table9[[#This Row],[ISM Services]]-B53</f>
        <v>-2</v>
      </c>
    </row>
    <row r="55" spans="1:3" x14ac:dyDescent="0.2">
      <c r="A55" s="53">
        <v>37104</v>
      </c>
      <c r="B55" s="55">
        <v>46.9</v>
      </c>
      <c r="C55" s="55">
        <f>Table9[[#This Row],[ISM Services]]-B54</f>
        <v>-1.2000000000000028</v>
      </c>
    </row>
    <row r="56" spans="1:3" x14ac:dyDescent="0.2">
      <c r="A56" s="53">
        <v>37135</v>
      </c>
      <c r="B56" s="55">
        <v>49.5</v>
      </c>
      <c r="C56" s="55">
        <f>Table9[[#This Row],[ISM Services]]-B55</f>
        <v>2.6000000000000014</v>
      </c>
    </row>
    <row r="57" spans="1:3" x14ac:dyDescent="0.2">
      <c r="A57" s="53">
        <v>37165</v>
      </c>
      <c r="B57" s="55">
        <v>44.8</v>
      </c>
      <c r="C57" s="55">
        <f>Table9[[#This Row],[ISM Services]]-B56</f>
        <v>-4.7000000000000028</v>
      </c>
    </row>
    <row r="58" spans="1:3" x14ac:dyDescent="0.2">
      <c r="A58" s="53">
        <v>37196</v>
      </c>
      <c r="B58" s="55">
        <v>48.2</v>
      </c>
      <c r="C58" s="55">
        <f>Table9[[#This Row],[ISM Services]]-B57</f>
        <v>3.4000000000000057</v>
      </c>
    </row>
    <row r="59" spans="1:3" x14ac:dyDescent="0.2">
      <c r="A59" s="53">
        <v>37226</v>
      </c>
      <c r="B59" s="55">
        <v>49.7</v>
      </c>
      <c r="C59" s="55">
        <f>Table9[[#This Row],[ISM Services]]-B58</f>
        <v>1.5</v>
      </c>
    </row>
    <row r="60" spans="1:3" x14ac:dyDescent="0.2">
      <c r="A60" s="53">
        <v>37257</v>
      </c>
      <c r="B60" s="55">
        <v>48.9</v>
      </c>
      <c r="C60" s="55">
        <f>Table9[[#This Row],[ISM Services]]-B59</f>
        <v>-0.80000000000000426</v>
      </c>
    </row>
    <row r="61" spans="1:3" x14ac:dyDescent="0.2">
      <c r="A61" s="53">
        <v>37288</v>
      </c>
      <c r="B61" s="55">
        <v>52.7</v>
      </c>
      <c r="C61" s="55">
        <f>Table9[[#This Row],[ISM Services]]-B60</f>
        <v>3.8000000000000043</v>
      </c>
    </row>
    <row r="62" spans="1:3" x14ac:dyDescent="0.2">
      <c r="A62" s="53">
        <v>37316</v>
      </c>
      <c r="B62" s="55">
        <v>52.8</v>
      </c>
      <c r="C62" s="55">
        <f>Table9[[#This Row],[ISM Services]]-B61</f>
        <v>9.9999999999994316E-2</v>
      </c>
    </row>
    <row r="63" spans="1:3" x14ac:dyDescent="0.2">
      <c r="A63" s="53">
        <v>37347</v>
      </c>
      <c r="B63" s="55">
        <v>53.5</v>
      </c>
      <c r="C63" s="55">
        <f>Table9[[#This Row],[ISM Services]]-B62</f>
        <v>0.70000000000000284</v>
      </c>
    </row>
    <row r="64" spans="1:3" x14ac:dyDescent="0.2">
      <c r="A64" s="53">
        <v>37377</v>
      </c>
      <c r="B64" s="55">
        <v>54.8</v>
      </c>
      <c r="C64" s="55">
        <f>Table9[[#This Row],[ISM Services]]-B63</f>
        <v>1.2999999999999972</v>
      </c>
    </row>
    <row r="65" spans="1:3" x14ac:dyDescent="0.2">
      <c r="A65" s="53">
        <v>37408</v>
      </c>
      <c r="B65" s="55">
        <v>52.5</v>
      </c>
      <c r="C65" s="55">
        <f>Table9[[#This Row],[ISM Services]]-B64</f>
        <v>-2.2999999999999972</v>
      </c>
    </row>
    <row r="66" spans="1:3" x14ac:dyDescent="0.2">
      <c r="A66" s="53">
        <v>37438</v>
      </c>
      <c r="B66" s="55">
        <v>50.4</v>
      </c>
      <c r="C66" s="55">
        <f>Table9[[#This Row],[ISM Services]]-B65</f>
        <v>-2.1000000000000014</v>
      </c>
    </row>
    <row r="67" spans="1:3" x14ac:dyDescent="0.2">
      <c r="A67" s="53">
        <v>37469</v>
      </c>
      <c r="B67" s="55">
        <v>50.9</v>
      </c>
      <c r="C67" s="55">
        <f>Table9[[#This Row],[ISM Services]]-B66</f>
        <v>0.5</v>
      </c>
    </row>
    <row r="68" spans="1:3" x14ac:dyDescent="0.2">
      <c r="A68" s="53">
        <v>37500</v>
      </c>
      <c r="B68" s="55">
        <v>52.3</v>
      </c>
      <c r="C68" s="55">
        <f>Table9[[#This Row],[ISM Services]]-B67</f>
        <v>1.3999999999999986</v>
      </c>
    </row>
    <row r="69" spans="1:3" x14ac:dyDescent="0.2">
      <c r="A69" s="53">
        <v>37530</v>
      </c>
      <c r="B69" s="55">
        <v>51.4</v>
      </c>
      <c r="C69" s="55">
        <f>Table9[[#This Row],[ISM Services]]-B68</f>
        <v>-0.89999999999999858</v>
      </c>
    </row>
    <row r="70" spans="1:3" x14ac:dyDescent="0.2">
      <c r="A70" s="53">
        <v>37561</v>
      </c>
      <c r="B70" s="55">
        <v>52.9</v>
      </c>
      <c r="C70" s="55">
        <f>Table9[[#This Row],[ISM Services]]-B69</f>
        <v>1.5</v>
      </c>
    </row>
    <row r="71" spans="1:3" x14ac:dyDescent="0.2">
      <c r="A71" s="53">
        <v>37591</v>
      </c>
      <c r="B71" s="55">
        <v>52.3</v>
      </c>
      <c r="C71" s="55">
        <f>Table9[[#This Row],[ISM Services]]-B70</f>
        <v>-0.60000000000000142</v>
      </c>
    </row>
    <row r="72" spans="1:3" x14ac:dyDescent="0.2">
      <c r="A72" s="53">
        <v>37622</v>
      </c>
      <c r="B72" s="55">
        <v>53.3</v>
      </c>
      <c r="C72" s="55">
        <f>Table9[[#This Row],[ISM Services]]-B71</f>
        <v>1</v>
      </c>
    </row>
    <row r="73" spans="1:3" x14ac:dyDescent="0.2">
      <c r="A73" s="53">
        <v>37653</v>
      </c>
      <c r="B73" s="55">
        <v>52.6</v>
      </c>
      <c r="C73" s="55">
        <f>Table9[[#This Row],[ISM Services]]-B72</f>
        <v>-0.69999999999999574</v>
      </c>
    </row>
    <row r="74" spans="1:3" x14ac:dyDescent="0.2">
      <c r="A74" s="53">
        <v>37681</v>
      </c>
      <c r="B74" s="55">
        <v>49.1</v>
      </c>
      <c r="C74" s="55">
        <f>Table9[[#This Row],[ISM Services]]-B73</f>
        <v>-3.5</v>
      </c>
    </row>
    <row r="75" spans="1:3" x14ac:dyDescent="0.2">
      <c r="A75" s="53">
        <v>37712</v>
      </c>
      <c r="B75" s="55">
        <v>50.1</v>
      </c>
      <c r="C75" s="55">
        <f>Table9[[#This Row],[ISM Services]]-B74</f>
        <v>1</v>
      </c>
    </row>
    <row r="76" spans="1:3" x14ac:dyDescent="0.2">
      <c r="A76" s="53">
        <v>37742</v>
      </c>
      <c r="B76" s="55">
        <v>52.8</v>
      </c>
      <c r="C76" s="55">
        <f>Table9[[#This Row],[ISM Services]]-B75</f>
        <v>2.6999999999999957</v>
      </c>
    </row>
    <row r="77" spans="1:3" x14ac:dyDescent="0.2">
      <c r="A77" s="53">
        <v>37773</v>
      </c>
      <c r="B77" s="55">
        <v>54.3</v>
      </c>
      <c r="C77" s="55">
        <f>Table9[[#This Row],[ISM Services]]-B76</f>
        <v>1.5</v>
      </c>
    </row>
    <row r="78" spans="1:3" x14ac:dyDescent="0.2">
      <c r="A78" s="53">
        <v>37803</v>
      </c>
      <c r="B78" s="55">
        <v>57.3</v>
      </c>
      <c r="C78" s="55">
        <f>Table9[[#This Row],[ISM Services]]-B77</f>
        <v>3</v>
      </c>
    </row>
    <row r="79" spans="1:3" x14ac:dyDescent="0.2">
      <c r="A79" s="53">
        <v>37834</v>
      </c>
      <c r="B79" s="55">
        <v>59.1</v>
      </c>
      <c r="C79" s="55">
        <f>Table9[[#This Row],[ISM Services]]-B78</f>
        <v>1.8000000000000043</v>
      </c>
    </row>
    <row r="80" spans="1:3" x14ac:dyDescent="0.2">
      <c r="A80" s="53">
        <v>37865</v>
      </c>
      <c r="B80" s="55">
        <v>57.6</v>
      </c>
      <c r="C80" s="55">
        <f>Table9[[#This Row],[ISM Services]]-B79</f>
        <v>-1.5</v>
      </c>
    </row>
    <row r="81" spans="1:3" x14ac:dyDescent="0.2">
      <c r="A81" s="53">
        <v>37895</v>
      </c>
      <c r="B81" s="55">
        <v>58.7</v>
      </c>
      <c r="C81" s="55">
        <f>Table9[[#This Row],[ISM Services]]-B80</f>
        <v>1.1000000000000014</v>
      </c>
    </row>
    <row r="82" spans="1:3" x14ac:dyDescent="0.2">
      <c r="A82" s="53">
        <v>37926</v>
      </c>
      <c r="B82" s="55">
        <v>57.5</v>
      </c>
      <c r="C82" s="55">
        <f>Table9[[#This Row],[ISM Services]]-B81</f>
        <v>-1.2000000000000028</v>
      </c>
    </row>
    <row r="83" spans="1:3" x14ac:dyDescent="0.2">
      <c r="A83" s="53">
        <v>37956</v>
      </c>
      <c r="B83" s="55">
        <v>56.8</v>
      </c>
      <c r="C83" s="55">
        <f>Table9[[#This Row],[ISM Services]]-B82</f>
        <v>-0.70000000000000284</v>
      </c>
    </row>
    <row r="84" spans="1:3" x14ac:dyDescent="0.2">
      <c r="A84" s="53">
        <v>37987</v>
      </c>
      <c r="B84" s="55">
        <v>61.2</v>
      </c>
      <c r="C84" s="55">
        <f>Table9[[#This Row],[ISM Services]]-B83</f>
        <v>4.4000000000000057</v>
      </c>
    </row>
    <row r="85" spans="1:3" x14ac:dyDescent="0.2">
      <c r="A85" s="53">
        <v>38018</v>
      </c>
      <c r="B85" s="55">
        <v>58</v>
      </c>
      <c r="C85" s="55">
        <f>Table9[[#This Row],[ISM Services]]-B84</f>
        <v>-3.2000000000000028</v>
      </c>
    </row>
    <row r="86" spans="1:3" x14ac:dyDescent="0.2">
      <c r="A86" s="53">
        <v>38047</v>
      </c>
      <c r="B86" s="55">
        <v>58.3</v>
      </c>
      <c r="C86" s="55">
        <f>Table9[[#This Row],[ISM Services]]-B85</f>
        <v>0.29999999999999716</v>
      </c>
    </row>
    <row r="87" spans="1:3" x14ac:dyDescent="0.2">
      <c r="A87" s="53">
        <v>38078</v>
      </c>
      <c r="B87" s="55">
        <v>59.6</v>
      </c>
      <c r="C87" s="55">
        <f>Table9[[#This Row],[ISM Services]]-B86</f>
        <v>1.3000000000000043</v>
      </c>
    </row>
    <row r="88" spans="1:3" x14ac:dyDescent="0.2">
      <c r="A88" s="53">
        <v>38108</v>
      </c>
      <c r="B88" s="55">
        <v>58.5</v>
      </c>
      <c r="C88" s="55">
        <f>Table9[[#This Row],[ISM Services]]-B87</f>
        <v>-1.1000000000000014</v>
      </c>
    </row>
    <row r="89" spans="1:3" x14ac:dyDescent="0.2">
      <c r="A89" s="53">
        <v>38139</v>
      </c>
      <c r="B89" s="55">
        <v>58.6</v>
      </c>
      <c r="C89" s="55">
        <f>Table9[[#This Row],[ISM Services]]-B88</f>
        <v>0.10000000000000142</v>
      </c>
    </row>
    <row r="90" spans="1:3" x14ac:dyDescent="0.2">
      <c r="A90" s="53">
        <v>38169</v>
      </c>
      <c r="B90" s="55">
        <v>58.5</v>
      </c>
      <c r="C90" s="55">
        <f>Table9[[#This Row],[ISM Services]]-B89</f>
        <v>-0.10000000000000142</v>
      </c>
    </row>
    <row r="91" spans="1:3" x14ac:dyDescent="0.2">
      <c r="A91" s="53">
        <v>38200</v>
      </c>
      <c r="B91" s="55">
        <v>57.3</v>
      </c>
      <c r="C91" s="55">
        <f>Table9[[#This Row],[ISM Services]]-B90</f>
        <v>-1.2000000000000028</v>
      </c>
    </row>
    <row r="92" spans="1:3" x14ac:dyDescent="0.2">
      <c r="A92" s="53">
        <v>38231</v>
      </c>
      <c r="B92" s="55">
        <v>57.9</v>
      </c>
      <c r="C92" s="55">
        <f>Table9[[#This Row],[ISM Services]]-B91</f>
        <v>0.60000000000000142</v>
      </c>
    </row>
    <row r="93" spans="1:3" x14ac:dyDescent="0.2">
      <c r="A93" s="53">
        <v>38261</v>
      </c>
      <c r="B93" s="55">
        <v>58.8</v>
      </c>
      <c r="C93" s="55">
        <f>Table9[[#This Row],[ISM Services]]-B92</f>
        <v>0.89999999999999858</v>
      </c>
    </row>
    <row r="94" spans="1:3" x14ac:dyDescent="0.2">
      <c r="A94" s="53">
        <v>38292</v>
      </c>
      <c r="B94" s="55">
        <v>58.4</v>
      </c>
      <c r="C94" s="55">
        <f>Table9[[#This Row],[ISM Services]]-B93</f>
        <v>-0.39999999999999858</v>
      </c>
    </row>
    <row r="95" spans="1:3" x14ac:dyDescent="0.2">
      <c r="A95" s="53">
        <v>38322</v>
      </c>
      <c r="B95" s="55">
        <v>59.6</v>
      </c>
      <c r="C95" s="55">
        <f>Table9[[#This Row],[ISM Services]]-B94</f>
        <v>1.2000000000000028</v>
      </c>
    </row>
    <row r="96" spans="1:3" x14ac:dyDescent="0.2">
      <c r="A96" s="53">
        <v>38353</v>
      </c>
      <c r="B96" s="55">
        <v>58</v>
      </c>
      <c r="C96" s="55">
        <f>Table9[[#This Row],[ISM Services]]-B95</f>
        <v>-1.6000000000000014</v>
      </c>
    </row>
    <row r="97" spans="1:3" x14ac:dyDescent="0.2">
      <c r="A97" s="53">
        <v>38384</v>
      </c>
      <c r="B97" s="55">
        <v>59.4</v>
      </c>
      <c r="C97" s="55">
        <f>Table9[[#This Row],[ISM Services]]-B96</f>
        <v>1.3999999999999986</v>
      </c>
    </row>
    <row r="98" spans="1:3" x14ac:dyDescent="0.2">
      <c r="A98" s="53">
        <v>38412</v>
      </c>
      <c r="B98" s="55">
        <v>58</v>
      </c>
      <c r="C98" s="55">
        <f>Table9[[#This Row],[ISM Services]]-B97</f>
        <v>-1.3999999999999986</v>
      </c>
    </row>
    <row r="99" spans="1:3" x14ac:dyDescent="0.2">
      <c r="A99" s="53">
        <v>38443</v>
      </c>
      <c r="B99" s="55">
        <v>55.6</v>
      </c>
      <c r="C99" s="55">
        <f>Table9[[#This Row],[ISM Services]]-B98</f>
        <v>-2.3999999999999986</v>
      </c>
    </row>
    <row r="100" spans="1:3" x14ac:dyDescent="0.2">
      <c r="A100" s="53">
        <v>38473</v>
      </c>
      <c r="B100" s="55">
        <v>55.3</v>
      </c>
      <c r="C100" s="55">
        <f>Table9[[#This Row],[ISM Services]]-B99</f>
        <v>-0.30000000000000426</v>
      </c>
    </row>
    <row r="101" spans="1:3" x14ac:dyDescent="0.2">
      <c r="A101" s="53">
        <v>38504</v>
      </c>
      <c r="B101" s="55">
        <v>58.1</v>
      </c>
      <c r="C101" s="55">
        <f>Table9[[#This Row],[ISM Services]]-B100</f>
        <v>2.8000000000000043</v>
      </c>
    </row>
    <row r="102" spans="1:3" x14ac:dyDescent="0.2">
      <c r="A102" s="53">
        <v>38534</v>
      </c>
      <c r="B102" s="55">
        <v>59.5</v>
      </c>
      <c r="C102" s="55">
        <f>Table9[[#This Row],[ISM Services]]-B101</f>
        <v>1.3999999999999986</v>
      </c>
    </row>
    <row r="103" spans="1:3" x14ac:dyDescent="0.2">
      <c r="A103" s="53">
        <v>38565</v>
      </c>
      <c r="B103" s="55">
        <v>61.3</v>
      </c>
      <c r="C103" s="55">
        <f>Table9[[#This Row],[ISM Services]]-B102</f>
        <v>1.7999999999999972</v>
      </c>
    </row>
    <row r="104" spans="1:3" x14ac:dyDescent="0.2">
      <c r="A104" s="53">
        <v>38596</v>
      </c>
      <c r="B104" s="55">
        <v>55.7</v>
      </c>
      <c r="C104" s="55">
        <f>Table9[[#This Row],[ISM Services]]-B103</f>
        <v>-5.5999999999999943</v>
      </c>
    </row>
    <row r="105" spans="1:3" x14ac:dyDescent="0.2">
      <c r="A105" s="53">
        <v>38626</v>
      </c>
      <c r="B105" s="55">
        <v>57.4</v>
      </c>
      <c r="C105" s="55">
        <f>Table9[[#This Row],[ISM Services]]-B104</f>
        <v>1.6999999999999957</v>
      </c>
    </row>
    <row r="106" spans="1:3" x14ac:dyDescent="0.2">
      <c r="A106" s="53">
        <v>38657</v>
      </c>
      <c r="B106" s="55">
        <v>59.1</v>
      </c>
      <c r="C106" s="55">
        <f>Table9[[#This Row],[ISM Services]]-B105</f>
        <v>1.7000000000000028</v>
      </c>
    </row>
    <row r="107" spans="1:3" x14ac:dyDescent="0.2">
      <c r="A107" s="53">
        <v>38687</v>
      </c>
      <c r="B107" s="55">
        <v>59</v>
      </c>
      <c r="C107" s="55">
        <f>Table9[[#This Row],[ISM Services]]-B106</f>
        <v>-0.10000000000000142</v>
      </c>
    </row>
    <row r="108" spans="1:3" x14ac:dyDescent="0.2">
      <c r="A108" s="53">
        <v>38718</v>
      </c>
      <c r="B108" s="55">
        <v>56.3</v>
      </c>
      <c r="C108" s="55">
        <f>Table9[[#This Row],[ISM Services]]-B107</f>
        <v>-2.7000000000000028</v>
      </c>
    </row>
    <row r="109" spans="1:3" x14ac:dyDescent="0.2">
      <c r="A109" s="53">
        <v>38749</v>
      </c>
      <c r="B109" s="55">
        <v>57.6</v>
      </c>
      <c r="C109" s="55">
        <f>Table9[[#This Row],[ISM Services]]-B108</f>
        <v>1.3000000000000043</v>
      </c>
    </row>
    <row r="110" spans="1:3" x14ac:dyDescent="0.2">
      <c r="A110" s="53">
        <v>38777</v>
      </c>
      <c r="B110" s="55">
        <v>56.9</v>
      </c>
      <c r="C110" s="55">
        <f>Table9[[#This Row],[ISM Services]]-B109</f>
        <v>-0.70000000000000284</v>
      </c>
    </row>
    <row r="111" spans="1:3" x14ac:dyDescent="0.2">
      <c r="A111" s="53">
        <v>38808</v>
      </c>
      <c r="B111" s="55">
        <v>58.4</v>
      </c>
      <c r="C111" s="55">
        <f>Table9[[#This Row],[ISM Services]]-B110</f>
        <v>1.5</v>
      </c>
    </row>
    <row r="112" spans="1:3" x14ac:dyDescent="0.2">
      <c r="A112" s="53">
        <v>38838</v>
      </c>
      <c r="B112" s="55">
        <v>57</v>
      </c>
      <c r="C112" s="55">
        <f>Table9[[#This Row],[ISM Services]]-B111</f>
        <v>-1.3999999999999986</v>
      </c>
    </row>
    <row r="113" spans="1:3" x14ac:dyDescent="0.2">
      <c r="A113" s="53">
        <v>38869</v>
      </c>
      <c r="B113" s="55">
        <v>55.2</v>
      </c>
      <c r="C113" s="55">
        <f>Table9[[#This Row],[ISM Services]]-B112</f>
        <v>-1.7999999999999972</v>
      </c>
    </row>
    <row r="114" spans="1:3" x14ac:dyDescent="0.2">
      <c r="A114" s="53">
        <v>38899</v>
      </c>
      <c r="B114" s="55">
        <v>55.6</v>
      </c>
      <c r="C114" s="55">
        <f>Table9[[#This Row],[ISM Services]]-B113</f>
        <v>0.39999999999999858</v>
      </c>
    </row>
    <row r="115" spans="1:3" x14ac:dyDescent="0.2">
      <c r="A115" s="53">
        <v>38930</v>
      </c>
      <c r="B115" s="55">
        <v>53.9</v>
      </c>
      <c r="C115" s="55">
        <f>Table9[[#This Row],[ISM Services]]-B114</f>
        <v>-1.7000000000000028</v>
      </c>
    </row>
    <row r="116" spans="1:3" x14ac:dyDescent="0.2">
      <c r="A116" s="53">
        <v>38961</v>
      </c>
      <c r="B116" s="55">
        <v>54.5</v>
      </c>
      <c r="C116" s="55">
        <f>Table9[[#This Row],[ISM Services]]-B115</f>
        <v>0.60000000000000142</v>
      </c>
    </row>
    <row r="117" spans="1:3" x14ac:dyDescent="0.2">
      <c r="A117" s="53">
        <v>38991</v>
      </c>
      <c r="B117" s="55">
        <v>54.9</v>
      </c>
      <c r="C117" s="55">
        <f>Table9[[#This Row],[ISM Services]]-B116</f>
        <v>0.39999999999999858</v>
      </c>
    </row>
    <row r="118" spans="1:3" x14ac:dyDescent="0.2">
      <c r="A118" s="53">
        <v>39022</v>
      </c>
      <c r="B118" s="55">
        <v>54.5</v>
      </c>
      <c r="C118" s="55">
        <f>Table9[[#This Row],[ISM Services]]-B117</f>
        <v>-0.39999999999999858</v>
      </c>
    </row>
    <row r="119" spans="1:3" x14ac:dyDescent="0.2">
      <c r="A119" s="53">
        <v>39052</v>
      </c>
      <c r="B119" s="55">
        <v>53.7</v>
      </c>
      <c r="C119" s="55">
        <f>Table9[[#This Row],[ISM Services]]-B118</f>
        <v>-0.79999999999999716</v>
      </c>
    </row>
    <row r="120" spans="1:3" x14ac:dyDescent="0.2">
      <c r="A120" s="53">
        <v>39083</v>
      </c>
      <c r="B120" s="55">
        <v>55.4</v>
      </c>
      <c r="C120" s="55">
        <f>Table9[[#This Row],[ISM Services]]-B119</f>
        <v>1.6999999999999957</v>
      </c>
    </row>
    <row r="121" spans="1:3" x14ac:dyDescent="0.2">
      <c r="A121" s="53">
        <v>39114</v>
      </c>
      <c r="B121" s="55">
        <v>54.2</v>
      </c>
      <c r="C121" s="55">
        <f>Table9[[#This Row],[ISM Services]]-B120</f>
        <v>-1.1999999999999957</v>
      </c>
    </row>
    <row r="122" spans="1:3" x14ac:dyDescent="0.2">
      <c r="A122" s="53">
        <v>39142</v>
      </c>
      <c r="B122" s="55">
        <v>52.1</v>
      </c>
      <c r="C122" s="55">
        <f>Table9[[#This Row],[ISM Services]]-B121</f>
        <v>-2.1000000000000014</v>
      </c>
    </row>
    <row r="123" spans="1:3" x14ac:dyDescent="0.2">
      <c r="A123" s="53">
        <v>39173</v>
      </c>
      <c r="B123" s="55">
        <v>53.4</v>
      </c>
      <c r="C123" s="55">
        <f>Table9[[#This Row],[ISM Services]]-B122</f>
        <v>1.2999999999999972</v>
      </c>
    </row>
    <row r="124" spans="1:3" x14ac:dyDescent="0.2">
      <c r="A124" s="53">
        <v>39203</v>
      </c>
      <c r="B124" s="55">
        <v>54.3</v>
      </c>
      <c r="C124" s="55">
        <f>Table9[[#This Row],[ISM Services]]-B123</f>
        <v>0.89999999999999858</v>
      </c>
    </row>
    <row r="125" spans="1:3" x14ac:dyDescent="0.2">
      <c r="A125" s="53">
        <v>39234</v>
      </c>
      <c r="B125" s="55">
        <v>54.9</v>
      </c>
      <c r="C125" s="55">
        <f>Table9[[#This Row],[ISM Services]]-B124</f>
        <v>0.60000000000000142</v>
      </c>
    </row>
    <row r="126" spans="1:3" x14ac:dyDescent="0.2">
      <c r="A126" s="53">
        <v>39264</v>
      </c>
      <c r="B126" s="55">
        <v>53.6</v>
      </c>
      <c r="C126" s="55">
        <f>Table9[[#This Row],[ISM Services]]-B125</f>
        <v>-1.2999999999999972</v>
      </c>
    </row>
    <row r="127" spans="1:3" x14ac:dyDescent="0.2">
      <c r="A127" s="53">
        <v>39295</v>
      </c>
      <c r="B127" s="55">
        <v>52.7</v>
      </c>
      <c r="C127" s="55">
        <f>Table9[[#This Row],[ISM Services]]-B126</f>
        <v>-0.89999999999999858</v>
      </c>
    </row>
    <row r="128" spans="1:3" x14ac:dyDescent="0.2">
      <c r="A128" s="53">
        <v>39326</v>
      </c>
      <c r="B128" s="55">
        <v>52.6</v>
      </c>
      <c r="C128" s="55">
        <f>Table9[[#This Row],[ISM Services]]-B127</f>
        <v>-0.10000000000000142</v>
      </c>
    </row>
    <row r="129" spans="1:3" x14ac:dyDescent="0.2">
      <c r="A129" s="53">
        <v>39356</v>
      </c>
      <c r="B129" s="55">
        <v>53.6</v>
      </c>
      <c r="C129" s="55">
        <f>Table9[[#This Row],[ISM Services]]-B128</f>
        <v>1</v>
      </c>
    </row>
    <row r="130" spans="1:3" x14ac:dyDescent="0.2">
      <c r="A130" s="53">
        <v>39387</v>
      </c>
      <c r="B130" s="55">
        <v>52.8</v>
      </c>
      <c r="C130" s="55">
        <f>Table9[[#This Row],[ISM Services]]-B129</f>
        <v>-0.80000000000000426</v>
      </c>
    </row>
    <row r="131" spans="1:3" x14ac:dyDescent="0.2">
      <c r="A131" s="53">
        <v>39417</v>
      </c>
      <c r="B131" s="55">
        <v>52.5</v>
      </c>
      <c r="C131" s="55">
        <f>Table9[[#This Row],[ISM Services]]-B130</f>
        <v>-0.29999999999999716</v>
      </c>
    </row>
    <row r="132" spans="1:3" x14ac:dyDescent="0.2">
      <c r="A132" s="53">
        <v>39448</v>
      </c>
      <c r="B132" s="55">
        <v>44.8</v>
      </c>
      <c r="C132" s="55">
        <f>Table9[[#This Row],[ISM Services]]-B131</f>
        <v>-7.7000000000000028</v>
      </c>
    </row>
    <row r="133" spans="1:3" x14ac:dyDescent="0.2">
      <c r="A133" s="53">
        <v>39479</v>
      </c>
      <c r="B133" s="55">
        <v>49.9</v>
      </c>
      <c r="C133" s="55">
        <f>Table9[[#This Row],[ISM Services]]-B132</f>
        <v>5.1000000000000014</v>
      </c>
    </row>
    <row r="134" spans="1:3" x14ac:dyDescent="0.2">
      <c r="A134" s="53">
        <v>39508</v>
      </c>
      <c r="B134" s="55">
        <v>49.4</v>
      </c>
      <c r="C134" s="55">
        <f>Table9[[#This Row],[ISM Services]]-B133</f>
        <v>-0.5</v>
      </c>
    </row>
    <row r="135" spans="1:3" x14ac:dyDescent="0.2">
      <c r="A135" s="53">
        <v>39539</v>
      </c>
      <c r="B135" s="55">
        <v>51.9</v>
      </c>
      <c r="C135" s="55">
        <f>Table9[[#This Row],[ISM Services]]-B134</f>
        <v>2.5</v>
      </c>
    </row>
    <row r="136" spans="1:3" x14ac:dyDescent="0.2">
      <c r="A136" s="53">
        <v>39569</v>
      </c>
      <c r="B136" s="55">
        <v>51.5</v>
      </c>
      <c r="C136" s="55">
        <f>Table9[[#This Row],[ISM Services]]-B135</f>
        <v>-0.39999999999999858</v>
      </c>
    </row>
    <row r="137" spans="1:3" x14ac:dyDescent="0.2">
      <c r="A137" s="53">
        <v>39600</v>
      </c>
      <c r="B137" s="55">
        <v>48.1</v>
      </c>
      <c r="C137" s="55">
        <f>Table9[[#This Row],[ISM Services]]-B136</f>
        <v>-3.3999999999999986</v>
      </c>
    </row>
    <row r="138" spans="1:3" x14ac:dyDescent="0.2">
      <c r="A138" s="53">
        <v>39630</v>
      </c>
      <c r="B138" s="55">
        <v>50.1</v>
      </c>
      <c r="C138" s="55">
        <f>Table9[[#This Row],[ISM Services]]-B137</f>
        <v>2</v>
      </c>
    </row>
    <row r="139" spans="1:3" x14ac:dyDescent="0.2">
      <c r="A139" s="53">
        <v>39661</v>
      </c>
      <c r="B139" s="55">
        <v>50.6</v>
      </c>
      <c r="C139" s="55">
        <f>Table9[[#This Row],[ISM Services]]-B138</f>
        <v>0.5</v>
      </c>
    </row>
    <row r="140" spans="1:3" x14ac:dyDescent="0.2">
      <c r="A140" s="53">
        <v>39692</v>
      </c>
      <c r="B140" s="55">
        <v>49.4</v>
      </c>
      <c r="C140" s="55">
        <f>Table9[[#This Row],[ISM Services]]-B139</f>
        <v>-1.2000000000000028</v>
      </c>
    </row>
    <row r="141" spans="1:3" x14ac:dyDescent="0.2">
      <c r="A141" s="53">
        <v>39722</v>
      </c>
      <c r="B141" s="55">
        <v>44.7</v>
      </c>
      <c r="C141" s="55">
        <f>Table9[[#This Row],[ISM Services]]-B140</f>
        <v>-4.6999999999999957</v>
      </c>
    </row>
    <row r="142" spans="1:3" x14ac:dyDescent="0.2">
      <c r="A142" s="53">
        <v>39753</v>
      </c>
      <c r="B142" s="55">
        <v>37.799999999999997</v>
      </c>
      <c r="C142" s="55">
        <f>Table9[[#This Row],[ISM Services]]-B141</f>
        <v>-6.9000000000000057</v>
      </c>
    </row>
    <row r="143" spans="1:3" x14ac:dyDescent="0.2">
      <c r="A143" s="53">
        <v>39783</v>
      </c>
      <c r="B143" s="55">
        <v>40</v>
      </c>
      <c r="C143" s="55">
        <f>Table9[[#This Row],[ISM Services]]-B142</f>
        <v>2.2000000000000028</v>
      </c>
    </row>
    <row r="144" spans="1:3" x14ac:dyDescent="0.2">
      <c r="A144" s="53">
        <v>39814</v>
      </c>
      <c r="B144" s="55">
        <v>43</v>
      </c>
      <c r="C144" s="55">
        <f>Table9[[#This Row],[ISM Services]]-B143</f>
        <v>3</v>
      </c>
    </row>
    <row r="145" spans="1:3" x14ac:dyDescent="0.2">
      <c r="A145" s="53">
        <v>39845</v>
      </c>
      <c r="B145" s="55">
        <v>41.6</v>
      </c>
      <c r="C145" s="55">
        <f>Table9[[#This Row],[ISM Services]]-B144</f>
        <v>-1.3999999999999986</v>
      </c>
    </row>
    <row r="146" spans="1:3" x14ac:dyDescent="0.2">
      <c r="A146" s="53">
        <v>39873</v>
      </c>
      <c r="B146" s="55">
        <v>40.1</v>
      </c>
      <c r="C146" s="55">
        <f>Table9[[#This Row],[ISM Services]]-B145</f>
        <v>-1.5</v>
      </c>
    </row>
    <row r="147" spans="1:3" x14ac:dyDescent="0.2">
      <c r="A147" s="53">
        <v>39904</v>
      </c>
      <c r="B147" s="55">
        <v>43.7</v>
      </c>
      <c r="C147" s="55">
        <f>Table9[[#This Row],[ISM Services]]-B146</f>
        <v>3.6000000000000014</v>
      </c>
    </row>
    <row r="148" spans="1:3" x14ac:dyDescent="0.2">
      <c r="A148" s="53">
        <v>39934</v>
      </c>
      <c r="B148" s="55">
        <v>44.4</v>
      </c>
      <c r="C148" s="55">
        <f>Table9[[#This Row],[ISM Services]]-B147</f>
        <v>0.69999999999999574</v>
      </c>
    </row>
    <row r="149" spans="1:3" x14ac:dyDescent="0.2">
      <c r="A149" s="53">
        <v>39965</v>
      </c>
      <c r="B149" s="55">
        <v>46.4</v>
      </c>
      <c r="C149" s="55">
        <f>Table9[[#This Row],[ISM Services]]-B148</f>
        <v>2</v>
      </c>
    </row>
    <row r="150" spans="1:3" x14ac:dyDescent="0.2">
      <c r="A150" s="53">
        <v>39995</v>
      </c>
      <c r="B150" s="55">
        <v>47.1</v>
      </c>
      <c r="C150" s="55">
        <f>Table9[[#This Row],[ISM Services]]-B149</f>
        <v>0.70000000000000284</v>
      </c>
    </row>
    <row r="151" spans="1:3" x14ac:dyDescent="0.2">
      <c r="A151" s="53">
        <v>40026</v>
      </c>
      <c r="B151" s="55">
        <v>48.9</v>
      </c>
      <c r="C151" s="55">
        <f>Table9[[#This Row],[ISM Services]]-B150</f>
        <v>1.7999999999999972</v>
      </c>
    </row>
    <row r="152" spans="1:3" x14ac:dyDescent="0.2">
      <c r="A152" s="53">
        <v>40057</v>
      </c>
      <c r="B152" s="55">
        <v>50.1</v>
      </c>
      <c r="C152" s="55">
        <f>Table9[[#This Row],[ISM Services]]-B151</f>
        <v>1.2000000000000028</v>
      </c>
    </row>
    <row r="153" spans="1:3" x14ac:dyDescent="0.2">
      <c r="A153" s="53">
        <v>40087</v>
      </c>
      <c r="B153" s="55">
        <v>51</v>
      </c>
      <c r="C153" s="55">
        <f>Table9[[#This Row],[ISM Services]]-B152</f>
        <v>0.89999999999999858</v>
      </c>
    </row>
    <row r="154" spans="1:3" x14ac:dyDescent="0.2">
      <c r="A154" s="53">
        <v>40118</v>
      </c>
      <c r="B154" s="55">
        <v>49.5</v>
      </c>
      <c r="C154" s="55">
        <f>Table9[[#This Row],[ISM Services]]-B153</f>
        <v>-1.5</v>
      </c>
    </row>
    <row r="155" spans="1:3" x14ac:dyDescent="0.2">
      <c r="A155" s="53">
        <v>40148</v>
      </c>
      <c r="B155" s="55">
        <v>49.7</v>
      </c>
      <c r="C155" s="55">
        <f>Table9[[#This Row],[ISM Services]]-B154</f>
        <v>0.20000000000000284</v>
      </c>
    </row>
    <row r="156" spans="1:3" x14ac:dyDescent="0.2">
      <c r="A156" s="53">
        <v>40179</v>
      </c>
      <c r="B156" s="55">
        <v>50</v>
      </c>
      <c r="C156" s="55">
        <f>Table9[[#This Row],[ISM Services]]-B155</f>
        <v>0.29999999999999716</v>
      </c>
    </row>
    <row r="157" spans="1:3" x14ac:dyDescent="0.2">
      <c r="A157" s="53">
        <v>40210</v>
      </c>
      <c r="B157" s="55">
        <v>51.7</v>
      </c>
      <c r="C157" s="55">
        <f>Table9[[#This Row],[ISM Services]]-B156</f>
        <v>1.7000000000000028</v>
      </c>
    </row>
    <row r="158" spans="1:3" x14ac:dyDescent="0.2">
      <c r="A158" s="53">
        <v>40238</v>
      </c>
      <c r="B158" s="55">
        <v>53.3</v>
      </c>
      <c r="C158" s="55">
        <f>Table9[[#This Row],[ISM Services]]-B157</f>
        <v>1.5999999999999943</v>
      </c>
    </row>
    <row r="159" spans="1:3" x14ac:dyDescent="0.2">
      <c r="A159" s="53">
        <v>40269</v>
      </c>
      <c r="B159" s="55">
        <v>55.3</v>
      </c>
      <c r="C159" s="55">
        <f>Table9[[#This Row],[ISM Services]]-B158</f>
        <v>2</v>
      </c>
    </row>
    <row r="160" spans="1:3" x14ac:dyDescent="0.2">
      <c r="A160" s="53">
        <v>40299</v>
      </c>
      <c r="B160" s="55">
        <v>55.5</v>
      </c>
      <c r="C160" s="55">
        <f>Table9[[#This Row],[ISM Services]]-B159</f>
        <v>0.20000000000000284</v>
      </c>
    </row>
    <row r="161" spans="1:3" x14ac:dyDescent="0.2">
      <c r="A161" s="53">
        <v>40330</v>
      </c>
      <c r="B161" s="55">
        <v>54.4</v>
      </c>
      <c r="C161" s="55">
        <f>Table9[[#This Row],[ISM Services]]-B160</f>
        <v>-1.1000000000000014</v>
      </c>
    </row>
    <row r="162" spans="1:3" x14ac:dyDescent="0.2">
      <c r="A162" s="53">
        <v>40360</v>
      </c>
      <c r="B162" s="55">
        <v>54.6</v>
      </c>
      <c r="C162" s="55">
        <f>Table9[[#This Row],[ISM Services]]-B161</f>
        <v>0.20000000000000284</v>
      </c>
    </row>
    <row r="163" spans="1:3" x14ac:dyDescent="0.2">
      <c r="A163" s="53">
        <v>40391</v>
      </c>
      <c r="B163" s="55">
        <v>52.4</v>
      </c>
      <c r="C163" s="55">
        <f>Table9[[#This Row],[ISM Services]]-B162</f>
        <v>-2.2000000000000028</v>
      </c>
    </row>
    <row r="164" spans="1:3" x14ac:dyDescent="0.2">
      <c r="A164" s="53">
        <v>40422</v>
      </c>
      <c r="B164" s="55">
        <v>53.3</v>
      </c>
      <c r="C164" s="55">
        <f>Table9[[#This Row],[ISM Services]]-B163</f>
        <v>0.89999999999999858</v>
      </c>
    </row>
    <row r="165" spans="1:3" x14ac:dyDescent="0.2">
      <c r="A165" s="53">
        <v>40452</v>
      </c>
      <c r="B165" s="55">
        <v>55.3</v>
      </c>
      <c r="C165" s="55">
        <f>Table9[[#This Row],[ISM Services]]-B164</f>
        <v>2</v>
      </c>
    </row>
    <row r="166" spans="1:3" x14ac:dyDescent="0.2">
      <c r="A166" s="53">
        <v>40483</v>
      </c>
      <c r="B166" s="55">
        <v>56.4</v>
      </c>
      <c r="C166" s="55">
        <f>Table9[[#This Row],[ISM Services]]-B165</f>
        <v>1.1000000000000014</v>
      </c>
    </row>
    <row r="167" spans="1:3" x14ac:dyDescent="0.2">
      <c r="A167" s="53">
        <v>40513</v>
      </c>
      <c r="B167" s="55">
        <v>56.9</v>
      </c>
      <c r="C167" s="55">
        <f>Table9[[#This Row],[ISM Services]]-B166</f>
        <v>0.5</v>
      </c>
    </row>
    <row r="168" spans="1:3" x14ac:dyDescent="0.2">
      <c r="A168" s="53">
        <v>40544</v>
      </c>
      <c r="B168" s="55">
        <v>57.6</v>
      </c>
      <c r="C168" s="55">
        <f>Table9[[#This Row],[ISM Services]]-B167</f>
        <v>0.70000000000000284</v>
      </c>
    </row>
    <row r="169" spans="1:3" x14ac:dyDescent="0.2">
      <c r="A169" s="53">
        <v>40575</v>
      </c>
      <c r="B169" s="55">
        <v>58</v>
      </c>
      <c r="C169" s="55">
        <f>Table9[[#This Row],[ISM Services]]-B168</f>
        <v>0.39999999999999858</v>
      </c>
    </row>
    <row r="170" spans="1:3" x14ac:dyDescent="0.2">
      <c r="A170" s="53">
        <v>40603</v>
      </c>
      <c r="B170" s="55">
        <v>55.8</v>
      </c>
      <c r="C170" s="55">
        <f>Table9[[#This Row],[ISM Services]]-B169</f>
        <v>-2.2000000000000028</v>
      </c>
    </row>
    <row r="171" spans="1:3" x14ac:dyDescent="0.2">
      <c r="A171" s="53">
        <v>40634</v>
      </c>
      <c r="B171" s="55">
        <v>55.2</v>
      </c>
      <c r="C171" s="55">
        <f>Table9[[#This Row],[ISM Services]]-B170</f>
        <v>-0.59999999999999432</v>
      </c>
    </row>
    <row r="172" spans="1:3" x14ac:dyDescent="0.2">
      <c r="A172" s="53">
        <v>40664</v>
      </c>
      <c r="B172" s="55">
        <v>55</v>
      </c>
      <c r="C172" s="55">
        <f>Table9[[#This Row],[ISM Services]]-B171</f>
        <v>-0.20000000000000284</v>
      </c>
    </row>
    <row r="173" spans="1:3" x14ac:dyDescent="0.2">
      <c r="A173" s="53">
        <v>40695</v>
      </c>
      <c r="B173" s="55">
        <v>54.2</v>
      </c>
      <c r="C173" s="55">
        <f>Table9[[#This Row],[ISM Services]]-B172</f>
        <v>-0.79999999999999716</v>
      </c>
    </row>
    <row r="174" spans="1:3" x14ac:dyDescent="0.2">
      <c r="A174" s="53">
        <v>40725</v>
      </c>
      <c r="B174" s="55">
        <v>53.5</v>
      </c>
      <c r="C174" s="55">
        <f>Table9[[#This Row],[ISM Services]]-B173</f>
        <v>-0.70000000000000284</v>
      </c>
    </row>
    <row r="175" spans="1:3" x14ac:dyDescent="0.2">
      <c r="A175" s="53">
        <v>40756</v>
      </c>
      <c r="B175" s="55">
        <v>53.5</v>
      </c>
      <c r="C175" s="55">
        <f>Table9[[#This Row],[ISM Services]]-B174</f>
        <v>0</v>
      </c>
    </row>
    <row r="176" spans="1:3" x14ac:dyDescent="0.2">
      <c r="A176" s="53">
        <v>40787</v>
      </c>
      <c r="B176" s="55">
        <v>52.3</v>
      </c>
      <c r="C176" s="55">
        <f>Table9[[#This Row],[ISM Services]]-B175</f>
        <v>-1.2000000000000028</v>
      </c>
    </row>
    <row r="177" spans="1:3" x14ac:dyDescent="0.2">
      <c r="A177" s="53">
        <v>40817</v>
      </c>
      <c r="B177" s="55">
        <v>52.8</v>
      </c>
      <c r="C177" s="55">
        <f>Table9[[#This Row],[ISM Services]]-B176</f>
        <v>0.5</v>
      </c>
    </row>
    <row r="178" spans="1:3" x14ac:dyDescent="0.2">
      <c r="A178" s="53">
        <v>40848</v>
      </c>
      <c r="B178" s="55">
        <v>52.9</v>
      </c>
      <c r="C178" s="55">
        <f>Table9[[#This Row],[ISM Services]]-B177</f>
        <v>0.10000000000000142</v>
      </c>
    </row>
    <row r="179" spans="1:3" x14ac:dyDescent="0.2">
      <c r="A179" s="53">
        <v>40878</v>
      </c>
      <c r="B179" s="55">
        <v>52.6</v>
      </c>
      <c r="C179" s="55">
        <f>Table9[[#This Row],[ISM Services]]-B178</f>
        <v>-0.29999999999999716</v>
      </c>
    </row>
    <row r="180" spans="1:3" x14ac:dyDescent="0.2">
      <c r="A180" s="53">
        <v>40909</v>
      </c>
      <c r="B180" s="55">
        <v>56</v>
      </c>
      <c r="C180" s="55">
        <f>Table9[[#This Row],[ISM Services]]-B179</f>
        <v>3.3999999999999986</v>
      </c>
    </row>
    <row r="181" spans="1:3" x14ac:dyDescent="0.2">
      <c r="A181" s="53">
        <v>40940</v>
      </c>
      <c r="B181" s="55">
        <v>56</v>
      </c>
      <c r="C181" s="55">
        <f>Table9[[#This Row],[ISM Services]]-B180</f>
        <v>0</v>
      </c>
    </row>
    <row r="182" spans="1:3" x14ac:dyDescent="0.2">
      <c r="A182" s="53">
        <v>40969</v>
      </c>
      <c r="B182" s="55">
        <v>55.6</v>
      </c>
      <c r="C182" s="55">
        <f>Table9[[#This Row],[ISM Services]]-B181</f>
        <v>-0.39999999999999858</v>
      </c>
    </row>
    <row r="183" spans="1:3" x14ac:dyDescent="0.2">
      <c r="A183" s="53">
        <v>41000</v>
      </c>
      <c r="B183" s="55">
        <v>54.4</v>
      </c>
      <c r="C183" s="55">
        <f>Table9[[#This Row],[ISM Services]]-B182</f>
        <v>-1.2000000000000028</v>
      </c>
    </row>
    <row r="184" spans="1:3" x14ac:dyDescent="0.2">
      <c r="A184" s="53">
        <v>41030</v>
      </c>
      <c r="B184" s="55">
        <v>54.5</v>
      </c>
      <c r="C184" s="55">
        <f>Table9[[#This Row],[ISM Services]]-B183</f>
        <v>0.10000000000000142</v>
      </c>
    </row>
    <row r="185" spans="1:3" x14ac:dyDescent="0.2">
      <c r="A185" s="53">
        <v>41061</v>
      </c>
      <c r="B185" s="55">
        <v>53.7</v>
      </c>
      <c r="C185" s="55">
        <f>Table9[[#This Row],[ISM Services]]-B184</f>
        <v>-0.79999999999999716</v>
      </c>
    </row>
    <row r="186" spans="1:3" x14ac:dyDescent="0.2">
      <c r="A186" s="53">
        <v>41091</v>
      </c>
      <c r="B186" s="55">
        <v>52.4</v>
      </c>
      <c r="C186" s="55">
        <f>Table9[[#This Row],[ISM Services]]-B185</f>
        <v>-1.3000000000000043</v>
      </c>
    </row>
    <row r="187" spans="1:3" x14ac:dyDescent="0.2">
      <c r="A187" s="53">
        <v>41122</v>
      </c>
      <c r="B187" s="55">
        <v>52.9</v>
      </c>
      <c r="C187" s="55">
        <f>Table9[[#This Row],[ISM Services]]-B186</f>
        <v>0.5</v>
      </c>
    </row>
    <row r="188" spans="1:3" x14ac:dyDescent="0.2">
      <c r="A188" s="53">
        <v>41153</v>
      </c>
      <c r="B188" s="55">
        <v>54.6</v>
      </c>
      <c r="C188" s="55">
        <f>Table9[[#This Row],[ISM Services]]-B187</f>
        <v>1.7000000000000028</v>
      </c>
    </row>
    <row r="189" spans="1:3" x14ac:dyDescent="0.2">
      <c r="A189" s="53">
        <v>41183</v>
      </c>
      <c r="B189" s="55">
        <v>54.2</v>
      </c>
      <c r="C189" s="55">
        <f>Table9[[#This Row],[ISM Services]]-B188</f>
        <v>-0.39999999999999858</v>
      </c>
    </row>
    <row r="190" spans="1:3" x14ac:dyDescent="0.2">
      <c r="A190" s="53">
        <v>41214</v>
      </c>
      <c r="B190" s="55">
        <v>54.8</v>
      </c>
      <c r="C190" s="55">
        <f>Table9[[#This Row],[ISM Services]]-B189</f>
        <v>0.59999999999999432</v>
      </c>
    </row>
    <row r="191" spans="1:3" x14ac:dyDescent="0.2">
      <c r="A191" s="53">
        <v>41244</v>
      </c>
      <c r="B191" s="55">
        <v>55.6</v>
      </c>
      <c r="C191" s="55">
        <f>Table9[[#This Row],[ISM Services]]-B190</f>
        <v>0.80000000000000426</v>
      </c>
    </row>
    <row r="192" spans="1:3" x14ac:dyDescent="0.2">
      <c r="A192" s="53">
        <v>41275</v>
      </c>
      <c r="B192" s="55">
        <v>55.3</v>
      </c>
      <c r="C192" s="55">
        <f>Table9[[#This Row],[ISM Services]]-B191</f>
        <v>-0.30000000000000426</v>
      </c>
    </row>
    <row r="193" spans="1:3" x14ac:dyDescent="0.2">
      <c r="A193" s="53">
        <v>41306</v>
      </c>
      <c r="B193" s="55">
        <v>56.1</v>
      </c>
      <c r="C193" s="55">
        <f>Table9[[#This Row],[ISM Services]]-B192</f>
        <v>0.80000000000000426</v>
      </c>
    </row>
    <row r="194" spans="1:3" x14ac:dyDescent="0.2">
      <c r="A194" s="53">
        <v>41334</v>
      </c>
      <c r="B194" s="55">
        <v>55.2</v>
      </c>
      <c r="C194" s="55">
        <f>Table9[[#This Row],[ISM Services]]-B193</f>
        <v>-0.89999999999999858</v>
      </c>
    </row>
    <row r="195" spans="1:3" x14ac:dyDescent="0.2">
      <c r="A195" s="53">
        <v>41365</v>
      </c>
      <c r="B195" s="55">
        <v>53.9</v>
      </c>
      <c r="C195" s="55">
        <f>Table9[[#This Row],[ISM Services]]-B194</f>
        <v>-1.3000000000000043</v>
      </c>
    </row>
    <row r="196" spans="1:3" x14ac:dyDescent="0.2">
      <c r="A196" s="53">
        <v>41395</v>
      </c>
      <c r="B196" s="55">
        <v>54.4</v>
      </c>
      <c r="C196" s="55">
        <f>Table9[[#This Row],[ISM Services]]-B195</f>
        <v>0.5</v>
      </c>
    </row>
    <row r="197" spans="1:3" x14ac:dyDescent="0.2">
      <c r="A197" s="53">
        <v>41426</v>
      </c>
      <c r="B197" s="55">
        <v>54.1</v>
      </c>
      <c r="C197" s="55">
        <f>Table9[[#This Row],[ISM Services]]-B196</f>
        <v>-0.29999999999999716</v>
      </c>
    </row>
    <row r="198" spans="1:3" x14ac:dyDescent="0.2">
      <c r="A198" s="53">
        <v>41456</v>
      </c>
      <c r="B198" s="55">
        <v>54.9</v>
      </c>
      <c r="C198" s="55">
        <f>Table9[[#This Row],[ISM Services]]-B197</f>
        <v>0.79999999999999716</v>
      </c>
    </row>
    <row r="199" spans="1:3" x14ac:dyDescent="0.2">
      <c r="A199" s="53">
        <v>41487</v>
      </c>
      <c r="B199" s="55">
        <v>56.6</v>
      </c>
      <c r="C199" s="55">
        <f>Table9[[#This Row],[ISM Services]]-B198</f>
        <v>1.7000000000000028</v>
      </c>
    </row>
    <row r="200" spans="1:3" x14ac:dyDescent="0.2">
      <c r="A200" s="53">
        <v>41518</v>
      </c>
      <c r="B200" s="55">
        <v>53.6</v>
      </c>
      <c r="C200" s="55">
        <f>Table9[[#This Row],[ISM Services]]-B199</f>
        <v>-3</v>
      </c>
    </row>
    <row r="201" spans="1:3" x14ac:dyDescent="0.2">
      <c r="A201" s="53">
        <v>41548</v>
      </c>
      <c r="B201" s="55">
        <v>54.5</v>
      </c>
      <c r="C201" s="55">
        <f>Table9[[#This Row],[ISM Services]]-B200</f>
        <v>0.89999999999999858</v>
      </c>
    </row>
    <row r="202" spans="1:3" x14ac:dyDescent="0.2">
      <c r="A202" s="53">
        <v>41579</v>
      </c>
      <c r="B202" s="55">
        <v>53.8</v>
      </c>
      <c r="C202" s="55">
        <f>Table9[[#This Row],[ISM Services]]-B201</f>
        <v>-0.70000000000000284</v>
      </c>
    </row>
    <row r="203" spans="1:3" x14ac:dyDescent="0.2">
      <c r="A203" s="53">
        <v>41609</v>
      </c>
      <c r="B203" s="55">
        <v>52.9</v>
      </c>
      <c r="C203" s="55">
        <f>Table9[[#This Row],[ISM Services]]-B202</f>
        <v>-0.89999999999999858</v>
      </c>
    </row>
    <row r="204" spans="1:3" x14ac:dyDescent="0.2">
      <c r="A204" s="53">
        <v>41640</v>
      </c>
      <c r="B204" s="55">
        <v>54.7</v>
      </c>
      <c r="C204" s="55">
        <f>Table9[[#This Row],[ISM Services]]-B203</f>
        <v>1.8000000000000043</v>
      </c>
    </row>
    <row r="205" spans="1:3" x14ac:dyDescent="0.2">
      <c r="A205" s="53">
        <v>41671</v>
      </c>
      <c r="B205" s="55">
        <v>53</v>
      </c>
      <c r="C205" s="55">
        <f>Table9[[#This Row],[ISM Services]]-B204</f>
        <v>-1.7000000000000028</v>
      </c>
    </row>
    <row r="206" spans="1:3" x14ac:dyDescent="0.2">
      <c r="A206" s="53">
        <v>41699</v>
      </c>
      <c r="B206" s="55">
        <v>54.2</v>
      </c>
      <c r="C206" s="55">
        <f>Table9[[#This Row],[ISM Services]]-B205</f>
        <v>1.2000000000000028</v>
      </c>
    </row>
    <row r="207" spans="1:3" x14ac:dyDescent="0.2">
      <c r="A207" s="53">
        <v>41730</v>
      </c>
      <c r="B207" s="55">
        <v>55.2</v>
      </c>
      <c r="C207" s="55">
        <f>Table9[[#This Row],[ISM Services]]-B206</f>
        <v>1</v>
      </c>
    </row>
    <row r="208" spans="1:3" x14ac:dyDescent="0.2">
      <c r="A208" s="53">
        <v>41760</v>
      </c>
      <c r="B208" s="55">
        <v>56.9</v>
      </c>
      <c r="C208" s="55">
        <f>Table9[[#This Row],[ISM Services]]-B207</f>
        <v>1.6999999999999957</v>
      </c>
    </row>
    <row r="209" spans="1:3" x14ac:dyDescent="0.2">
      <c r="A209" s="53">
        <v>41791</v>
      </c>
      <c r="B209" s="55">
        <v>56.6</v>
      </c>
      <c r="C209" s="55">
        <f>Table9[[#This Row],[ISM Services]]-B208</f>
        <v>-0.29999999999999716</v>
      </c>
    </row>
    <row r="210" spans="1:3" x14ac:dyDescent="0.2">
      <c r="A210" s="53">
        <v>41821</v>
      </c>
      <c r="B210" s="55">
        <v>57.1</v>
      </c>
      <c r="C210" s="55">
        <f>Table9[[#This Row],[ISM Services]]-B209</f>
        <v>0.5</v>
      </c>
    </row>
    <row r="211" spans="1:3" x14ac:dyDescent="0.2">
      <c r="A211" s="53">
        <v>41852</v>
      </c>
      <c r="B211" s="55">
        <v>58</v>
      </c>
      <c r="C211" s="55">
        <f>Table9[[#This Row],[ISM Services]]-B210</f>
        <v>0.89999999999999858</v>
      </c>
    </row>
    <row r="212" spans="1:3" x14ac:dyDescent="0.2">
      <c r="A212" s="53">
        <v>41883</v>
      </c>
      <c r="B212" s="55">
        <v>57.4</v>
      </c>
      <c r="C212" s="55">
        <f>Table9[[#This Row],[ISM Services]]-B211</f>
        <v>-0.60000000000000142</v>
      </c>
    </row>
    <row r="213" spans="1:3" x14ac:dyDescent="0.2">
      <c r="A213" s="53">
        <v>41913</v>
      </c>
      <c r="B213" s="90">
        <v>56</v>
      </c>
      <c r="C213" s="55">
        <f>Table9[[#This Row],[ISM Services]]-B212</f>
        <v>-1.3999999999999986</v>
      </c>
    </row>
    <row r="214" spans="1:3" x14ac:dyDescent="0.2">
      <c r="A214" s="53">
        <v>41944</v>
      </c>
      <c r="B214" s="90">
        <v>58.7</v>
      </c>
      <c r="C214" s="55">
        <f>Table9[[#This Row],[ISM Services]]-B213</f>
        <v>2.7000000000000028</v>
      </c>
    </row>
    <row r="215" spans="1:3" x14ac:dyDescent="0.2">
      <c r="A215" s="53">
        <v>41974</v>
      </c>
      <c r="B215" s="90">
        <v>56.4</v>
      </c>
      <c r="C215" s="55">
        <f>Table9[[#This Row],[ISM Services]]-B214</f>
        <v>-2.3000000000000043</v>
      </c>
    </row>
    <row r="216" spans="1:3" x14ac:dyDescent="0.2">
      <c r="A216" s="53">
        <v>42005</v>
      </c>
      <c r="B216" s="90">
        <v>57.3</v>
      </c>
      <c r="C216" s="55">
        <f>Table9[[#This Row],[ISM Services]]-B215</f>
        <v>0.89999999999999858</v>
      </c>
    </row>
    <row r="217" spans="1:3" x14ac:dyDescent="0.2">
      <c r="A217" s="53">
        <v>42036</v>
      </c>
      <c r="B217" s="90">
        <v>57.6</v>
      </c>
      <c r="C217" s="55">
        <f>Table9[[#This Row],[ISM Services]]-B216</f>
        <v>0.30000000000000426</v>
      </c>
    </row>
    <row r="218" spans="1:3" x14ac:dyDescent="0.2">
      <c r="A218" s="53">
        <v>42064</v>
      </c>
      <c r="B218" s="90">
        <v>57.5</v>
      </c>
      <c r="C218" s="55">
        <f>Table9[[#This Row],[ISM Services]]-B217</f>
        <v>-0.10000000000000142</v>
      </c>
    </row>
    <row r="219" spans="1:3" x14ac:dyDescent="0.2">
      <c r="A219" s="53">
        <v>42095</v>
      </c>
      <c r="B219" s="90">
        <v>57.5</v>
      </c>
      <c r="C219" s="55">
        <f>Table9[[#This Row],[ISM Services]]-B218</f>
        <v>0</v>
      </c>
    </row>
    <row r="220" spans="1:3" x14ac:dyDescent="0.2">
      <c r="A220" s="53">
        <v>42125</v>
      </c>
      <c r="B220" s="90">
        <v>56.8</v>
      </c>
      <c r="C220" s="55">
        <f>Table9[[#This Row],[ISM Services]]-B219</f>
        <v>-0.70000000000000284</v>
      </c>
    </row>
    <row r="221" spans="1:3" x14ac:dyDescent="0.2">
      <c r="A221" s="53">
        <v>42156</v>
      </c>
      <c r="B221" s="90">
        <v>56</v>
      </c>
      <c r="C221" s="55">
        <f>Table9[[#This Row],[ISM Services]]-B220</f>
        <v>-0.79999999999999716</v>
      </c>
    </row>
    <row r="222" spans="1:3" x14ac:dyDescent="0.2">
      <c r="A222" s="53">
        <v>42186</v>
      </c>
      <c r="B222" s="90">
        <v>59.3</v>
      </c>
      <c r="C222" s="55">
        <f>Table9[[#This Row],[ISM Services]]-B221</f>
        <v>3.2999999999999972</v>
      </c>
    </row>
    <row r="223" spans="1:3" x14ac:dyDescent="0.2">
      <c r="A223" s="53">
        <v>42217</v>
      </c>
      <c r="B223" s="90">
        <v>58.4</v>
      </c>
      <c r="C223" s="55">
        <f>Table9[[#This Row],[ISM Services]]-B222</f>
        <v>-0.89999999999999858</v>
      </c>
    </row>
    <row r="224" spans="1:3" x14ac:dyDescent="0.2">
      <c r="A224" s="53">
        <v>42248</v>
      </c>
      <c r="B224" s="90">
        <v>56.1</v>
      </c>
      <c r="C224" s="55">
        <f>Table9[[#This Row],[ISM Services]]-B223</f>
        <v>-2.2999999999999972</v>
      </c>
    </row>
    <row r="225" spans="1:3" x14ac:dyDescent="0.2">
      <c r="A225" s="53">
        <v>42278</v>
      </c>
      <c r="B225" s="90">
        <v>57.9</v>
      </c>
      <c r="C225" s="55">
        <f>Table9[[#This Row],[ISM Services]]-B224</f>
        <v>1.7999999999999972</v>
      </c>
    </row>
    <row r="226" spans="1:3" x14ac:dyDescent="0.2">
      <c r="A226" s="53">
        <v>42309</v>
      </c>
      <c r="B226" s="90">
        <v>55.8</v>
      </c>
      <c r="C226" s="55">
        <f>Table9[[#This Row],[ISM Services]]-B225</f>
        <v>-2.1000000000000014</v>
      </c>
    </row>
    <row r="227" spans="1:3" x14ac:dyDescent="0.2">
      <c r="A227" s="53">
        <v>42339</v>
      </c>
      <c r="B227" s="90">
        <v>55.3</v>
      </c>
      <c r="C227" s="55">
        <f>Table9[[#This Row],[ISM Services]]-B226</f>
        <v>-0.5</v>
      </c>
    </row>
    <row r="228" spans="1:3" x14ac:dyDescent="0.2">
      <c r="A228" s="53">
        <v>42370</v>
      </c>
      <c r="B228" s="90">
        <v>54</v>
      </c>
      <c r="C228" s="55">
        <f>Table9[[#This Row],[ISM Services]]-B227</f>
        <v>-1.2999999999999972</v>
      </c>
    </row>
    <row r="229" spans="1:3" x14ac:dyDescent="0.2">
      <c r="A229" s="53">
        <v>42401</v>
      </c>
      <c r="B229" s="90">
        <v>54</v>
      </c>
      <c r="C229" s="55">
        <f>Table9[[#This Row],[ISM Services]]-B228</f>
        <v>0</v>
      </c>
    </row>
    <row r="230" spans="1:3" x14ac:dyDescent="0.2">
      <c r="A230" s="53">
        <v>42430</v>
      </c>
      <c r="B230" s="90">
        <v>55.2</v>
      </c>
      <c r="C230" s="55">
        <f>Table9[[#This Row],[ISM Services]]-B229</f>
        <v>1.2000000000000028</v>
      </c>
    </row>
    <row r="231" spans="1:3" x14ac:dyDescent="0.2">
      <c r="A231" s="53">
        <v>42461</v>
      </c>
      <c r="B231" s="90">
        <v>55.6</v>
      </c>
      <c r="C231" s="55">
        <f>Table9[[#This Row],[ISM Services]]-B230</f>
        <v>0.39999999999999858</v>
      </c>
    </row>
    <row r="232" spans="1:3" x14ac:dyDescent="0.2">
      <c r="A232" s="53">
        <v>42491</v>
      </c>
      <c r="B232" s="90">
        <v>53.8</v>
      </c>
      <c r="C232" s="55">
        <f>Table9[[#This Row],[ISM Services]]-B231</f>
        <v>-1.8000000000000043</v>
      </c>
    </row>
    <row r="233" spans="1:3" x14ac:dyDescent="0.2">
      <c r="A233" s="53">
        <v>42522</v>
      </c>
      <c r="B233" s="90">
        <v>56</v>
      </c>
      <c r="C233" s="55">
        <f>Table9[[#This Row],[ISM Services]]-B232</f>
        <v>2.2000000000000028</v>
      </c>
    </row>
    <row r="234" spans="1:3" x14ac:dyDescent="0.2">
      <c r="A234" s="53">
        <v>42552</v>
      </c>
      <c r="B234" s="90">
        <v>55.2</v>
      </c>
      <c r="C234" s="55">
        <f>Table9[[#This Row],[ISM Services]]-B233</f>
        <v>-0.79999999999999716</v>
      </c>
    </row>
    <row r="235" spans="1:3" x14ac:dyDescent="0.2">
      <c r="A235" s="53">
        <v>42583</v>
      </c>
      <c r="B235" s="90">
        <v>51.6</v>
      </c>
      <c r="C235" s="55">
        <f>Table9[[#This Row],[ISM Services]]-B234</f>
        <v>-3.6000000000000014</v>
      </c>
    </row>
    <row r="236" spans="1:3" x14ac:dyDescent="0.2">
      <c r="A236" s="53">
        <v>42614</v>
      </c>
      <c r="B236" s="90">
        <v>56.3</v>
      </c>
      <c r="C236" s="55">
        <f>Table9[[#This Row],[ISM Services]]-B235</f>
        <v>4.6999999999999957</v>
      </c>
    </row>
    <row r="237" spans="1:3" x14ac:dyDescent="0.2">
      <c r="A237" s="53">
        <v>42644</v>
      </c>
      <c r="B237" s="90">
        <v>54.4</v>
      </c>
      <c r="C237" s="55">
        <f>Table9[[#This Row],[ISM Services]]-B236</f>
        <v>-1.8999999999999986</v>
      </c>
    </row>
    <row r="238" spans="1:3" x14ac:dyDescent="0.2">
      <c r="A238" s="53">
        <v>42675</v>
      </c>
      <c r="B238" s="90">
        <v>56.2</v>
      </c>
      <c r="C238" s="55">
        <f>Table9[[#This Row],[ISM Services]]-B237</f>
        <v>1.8000000000000043</v>
      </c>
    </row>
    <row r="239" spans="1:3" x14ac:dyDescent="0.2">
      <c r="A239" s="53">
        <v>42705</v>
      </c>
      <c r="B239" s="90">
        <v>56.7</v>
      </c>
      <c r="C239" s="55">
        <f>Table9[[#This Row],[ISM Services]]-B238</f>
        <v>0.5</v>
      </c>
    </row>
    <row r="240" spans="1:3" x14ac:dyDescent="0.2">
      <c r="A240" s="53">
        <v>42736</v>
      </c>
      <c r="B240" s="90">
        <v>56.8</v>
      </c>
      <c r="C240" s="55">
        <f>Table9[[#This Row],[ISM Services]]-B239</f>
        <v>9.9999999999994316E-2</v>
      </c>
    </row>
    <row r="241" spans="1:10" x14ac:dyDescent="0.2">
      <c r="A241" s="53">
        <v>42767</v>
      </c>
      <c r="B241" s="90">
        <v>57.4</v>
      </c>
      <c r="C241" s="55">
        <f>Table9[[#This Row],[ISM Services]]-B240</f>
        <v>0.60000000000000142</v>
      </c>
    </row>
    <row r="242" spans="1:10" x14ac:dyDescent="0.2">
      <c r="A242" s="53">
        <v>42795</v>
      </c>
      <c r="B242" s="90">
        <v>55.6</v>
      </c>
      <c r="C242" s="55">
        <f>Table9[[#This Row],[ISM Services]]-B241</f>
        <v>-1.7999999999999972</v>
      </c>
    </row>
    <row r="243" spans="1:10" x14ac:dyDescent="0.2">
      <c r="A243" s="53">
        <v>42826</v>
      </c>
      <c r="B243" s="90">
        <v>57.3</v>
      </c>
      <c r="C243" s="55">
        <f>Table9[[#This Row],[ISM Services]]-B242</f>
        <v>1.6999999999999957</v>
      </c>
    </row>
    <row r="244" spans="1:10" x14ac:dyDescent="0.2">
      <c r="A244" s="53">
        <v>42856</v>
      </c>
      <c r="B244" s="90">
        <v>57.1</v>
      </c>
      <c r="C244" s="55">
        <f>Table9[[#This Row],[ISM Services]]-B243</f>
        <v>-0.19999999999999574</v>
      </c>
    </row>
    <row r="245" spans="1:10" x14ac:dyDescent="0.2">
      <c r="A245" s="53">
        <v>42887</v>
      </c>
      <c r="B245" s="90">
        <v>57.2</v>
      </c>
      <c r="C245" s="55">
        <f>Table9[[#This Row],[ISM Services]]-B244</f>
        <v>0.10000000000000142</v>
      </c>
    </row>
    <row r="246" spans="1:10" x14ac:dyDescent="0.2">
      <c r="A246" s="53">
        <v>42917</v>
      </c>
      <c r="B246" s="90">
        <v>54.3</v>
      </c>
      <c r="C246" s="55">
        <f>Table9[[#This Row],[ISM Services]]-B245</f>
        <v>-2.9000000000000057</v>
      </c>
      <c r="J246" s="35"/>
    </row>
    <row r="247" spans="1:10" x14ac:dyDescent="0.2">
      <c r="A247" s="53">
        <v>42948</v>
      </c>
      <c r="B247" s="90">
        <v>55.2</v>
      </c>
      <c r="C247" s="55">
        <f>Table9[[#This Row],[ISM Services]]-B246</f>
        <v>0.90000000000000568</v>
      </c>
      <c r="J247" s="35"/>
    </row>
    <row r="248" spans="1:10" x14ac:dyDescent="0.2">
      <c r="A248" s="53">
        <v>42979</v>
      </c>
      <c r="B248" s="90">
        <v>59.4</v>
      </c>
      <c r="C248" s="55">
        <f>Table9[[#This Row],[ISM Services]]-B247</f>
        <v>4.1999999999999957</v>
      </c>
      <c r="J248" s="35"/>
    </row>
    <row r="249" spans="1:10" x14ac:dyDescent="0.2">
      <c r="A249" s="53">
        <v>43009</v>
      </c>
      <c r="B249" s="90">
        <v>59.8</v>
      </c>
      <c r="C249" s="55">
        <f>Table9[[#This Row],[ISM Services]]-B248</f>
        <v>0.39999999999999858</v>
      </c>
      <c r="J249" s="35"/>
    </row>
    <row r="250" spans="1:10" x14ac:dyDescent="0.2">
      <c r="A250" s="53">
        <v>43040</v>
      </c>
      <c r="B250" s="90">
        <v>57.3</v>
      </c>
      <c r="C250" s="55">
        <f>Table9[[#This Row],[ISM Services]]-B249</f>
        <v>-2.5</v>
      </c>
      <c r="J250" s="35"/>
    </row>
    <row r="251" spans="1:10" x14ac:dyDescent="0.2">
      <c r="A251" s="53">
        <v>43070</v>
      </c>
      <c r="B251" s="90">
        <v>56</v>
      </c>
      <c r="C251" s="55">
        <f>Table9[[#This Row],[ISM Services]]-B250</f>
        <v>-1.2999999999999972</v>
      </c>
      <c r="J251" s="35"/>
    </row>
    <row r="252" spans="1:10" x14ac:dyDescent="0.2">
      <c r="A252" s="53">
        <v>43101</v>
      </c>
      <c r="B252" s="90">
        <v>59.9</v>
      </c>
      <c r="C252" s="55">
        <f>Table9[[#This Row],[ISM Services]]-B251</f>
        <v>3.8999999999999986</v>
      </c>
      <c r="J252" s="35"/>
    </row>
    <row r="253" spans="1:10" x14ac:dyDescent="0.2">
      <c r="A253" s="53">
        <v>43132</v>
      </c>
      <c r="B253" s="90">
        <v>59.5</v>
      </c>
      <c r="C253" s="55">
        <f>Table9[[#This Row],[ISM Services]]-B252</f>
        <v>-0.39999999999999858</v>
      </c>
      <c r="J253" s="35"/>
    </row>
    <row r="254" spans="1:10" x14ac:dyDescent="0.2">
      <c r="A254" s="53">
        <v>43160</v>
      </c>
      <c r="B254" s="90">
        <v>58.8</v>
      </c>
      <c r="C254" s="55">
        <f>Table9[[#This Row],[ISM Services]]-B253</f>
        <v>-0.70000000000000284</v>
      </c>
      <c r="J254" s="35"/>
    </row>
    <row r="255" spans="1:10" x14ac:dyDescent="0.2">
      <c r="A255" s="53">
        <v>43191</v>
      </c>
      <c r="B255" s="90">
        <v>56.8</v>
      </c>
      <c r="C255" s="55">
        <f>Table9[[#This Row],[ISM Services]]-B254</f>
        <v>-2</v>
      </c>
      <c r="J255" s="35"/>
    </row>
    <row r="256" spans="1:10" x14ac:dyDescent="0.2">
      <c r="A256" s="53">
        <v>43221</v>
      </c>
      <c r="B256" s="90">
        <v>58.6</v>
      </c>
      <c r="C256" s="55">
        <f>Table9[[#This Row],[ISM Services]]-B255</f>
        <v>1.8000000000000043</v>
      </c>
      <c r="J256" s="35"/>
    </row>
    <row r="257" spans="1:10" x14ac:dyDescent="0.2">
      <c r="A257" s="53">
        <v>43252</v>
      </c>
      <c r="B257" s="90">
        <v>59.1</v>
      </c>
      <c r="C257" s="55">
        <f>Table9[[#This Row],[ISM Services]]-B256</f>
        <v>0.5</v>
      </c>
      <c r="J257" s="35"/>
    </row>
    <row r="258" spans="1:10" x14ac:dyDescent="0.2">
      <c r="A258" s="53">
        <v>43282</v>
      </c>
      <c r="B258" s="90">
        <v>55.7</v>
      </c>
      <c r="C258" s="55">
        <f>Table9[[#This Row],[ISM Services]]-B257</f>
        <v>-3.3999999999999986</v>
      </c>
      <c r="J258" s="35"/>
    </row>
    <row r="259" spans="1:10" x14ac:dyDescent="0.2">
      <c r="A259" s="53">
        <v>43313</v>
      </c>
      <c r="B259" s="90">
        <v>58.5</v>
      </c>
      <c r="C259" s="55">
        <f>Table9[[#This Row],[ISM Services]]-B258</f>
        <v>2.7999999999999972</v>
      </c>
      <c r="J259" s="35"/>
    </row>
    <row r="260" spans="1:10" x14ac:dyDescent="0.2">
      <c r="A260" s="53">
        <v>43344</v>
      </c>
      <c r="B260" s="90">
        <v>61.6</v>
      </c>
      <c r="C260" s="55">
        <f>Table9[[#This Row],[ISM Services]]-B259</f>
        <v>3.1000000000000014</v>
      </c>
      <c r="J260" s="35"/>
    </row>
    <row r="261" spans="1:10" x14ac:dyDescent="0.2">
      <c r="A261" s="53">
        <v>43374</v>
      </c>
      <c r="B261" s="90">
        <v>60.3</v>
      </c>
      <c r="C261" s="55">
        <f>Table9[[#This Row],[ISM Services]]-B260</f>
        <v>-1.3000000000000043</v>
      </c>
      <c r="J261" s="35"/>
    </row>
    <row r="262" spans="1:10" x14ac:dyDescent="0.2">
      <c r="A262" s="53">
        <v>43405</v>
      </c>
      <c r="B262" s="90">
        <v>60.7</v>
      </c>
      <c r="C262" s="55">
        <f>Table9[[#This Row],[ISM Services]]-B261</f>
        <v>0.40000000000000568</v>
      </c>
      <c r="J262" s="35"/>
    </row>
    <row r="263" spans="1:10" x14ac:dyDescent="0.2">
      <c r="A263" s="53">
        <v>43435</v>
      </c>
      <c r="B263" s="90">
        <v>57.6</v>
      </c>
      <c r="C263" s="55">
        <f>Table9[[#This Row],[ISM Services]]-B262</f>
        <v>-3.1000000000000014</v>
      </c>
      <c r="J263" s="35"/>
    </row>
    <row r="264" spans="1:10" x14ac:dyDescent="0.2">
      <c r="A264" s="53">
        <v>43466</v>
      </c>
      <c r="B264" s="90">
        <v>56.7</v>
      </c>
      <c r="C264" s="55">
        <f>Table9[[#This Row],[ISM Services]]-B263</f>
        <v>-0.89999999999999858</v>
      </c>
      <c r="J264" s="35"/>
    </row>
    <row r="265" spans="1:10" x14ac:dyDescent="0.2">
      <c r="A265" s="53">
        <v>43497</v>
      </c>
      <c r="B265" s="90">
        <v>59.7</v>
      </c>
      <c r="C265" s="55">
        <f>Table9[[#This Row],[ISM Services]]-B264</f>
        <v>3</v>
      </c>
      <c r="J265" s="35"/>
    </row>
    <row r="266" spans="1:10" x14ac:dyDescent="0.2">
      <c r="A266" s="53">
        <v>43525</v>
      </c>
      <c r="B266" s="90">
        <v>56.1</v>
      </c>
      <c r="C266" s="55">
        <f>Table9[[#This Row],[ISM Services]]-B265</f>
        <v>-3.6000000000000014</v>
      </c>
      <c r="J266" s="35"/>
    </row>
    <row r="267" spans="1:10" x14ac:dyDescent="0.2">
      <c r="A267" s="53">
        <v>43556</v>
      </c>
      <c r="B267" s="90">
        <v>55.5</v>
      </c>
      <c r="C267" s="55">
        <f>Table9[[#This Row],[ISM Services]]-B266</f>
        <v>-0.60000000000000142</v>
      </c>
      <c r="J267" s="35"/>
    </row>
    <row r="268" spans="1:10" x14ac:dyDescent="0.2">
      <c r="A268" s="53">
        <v>43586</v>
      </c>
      <c r="B268" s="90">
        <v>56.9</v>
      </c>
      <c r="C268" s="55">
        <f>Table9[[#This Row],[ISM Services]]-B267</f>
        <v>1.3999999999999986</v>
      </c>
      <c r="J268" s="35"/>
    </row>
    <row r="269" spans="1:10" x14ac:dyDescent="0.2">
      <c r="A269" s="53">
        <v>43617</v>
      </c>
      <c r="B269" s="90">
        <v>55.1</v>
      </c>
      <c r="C269" s="55">
        <f>Table9[[#This Row],[ISM Services]]-B268</f>
        <v>-1.7999999999999972</v>
      </c>
      <c r="J269" s="35"/>
    </row>
    <row r="270" spans="1:10" x14ac:dyDescent="0.2">
      <c r="A270" s="53">
        <v>43647</v>
      </c>
      <c r="B270" s="90">
        <v>53.7</v>
      </c>
      <c r="C270" s="55">
        <f>Table9[[#This Row],[ISM Services]]-B269</f>
        <v>-1.3999999999999986</v>
      </c>
      <c r="J270" s="35"/>
    </row>
    <row r="271" spans="1:10" x14ac:dyDescent="0.2">
      <c r="A271" s="53">
        <v>43678</v>
      </c>
      <c r="B271" s="90">
        <v>56.4</v>
      </c>
      <c r="C271" s="55">
        <f>Table9[[#This Row],[ISM Services]]-B270</f>
        <v>2.6999999999999957</v>
      </c>
      <c r="J271" s="35"/>
    </row>
    <row r="272" spans="1:10" x14ac:dyDescent="0.2">
      <c r="A272" s="53">
        <v>43709</v>
      </c>
      <c r="B272" s="90">
        <v>52.6</v>
      </c>
      <c r="C272" s="55">
        <f>Table9[[#This Row],[ISM Services]]-B271</f>
        <v>-3.7999999999999972</v>
      </c>
    </row>
    <row r="273" spans="1:3" x14ac:dyDescent="0.2">
      <c r="A273" s="53">
        <v>43739</v>
      </c>
      <c r="B273" s="90">
        <v>54.7</v>
      </c>
      <c r="C273" s="55">
        <f>Table9[[#This Row],[ISM Services]]-B272</f>
        <v>2.1000000000000014</v>
      </c>
    </row>
    <row r="274" spans="1:3" x14ac:dyDescent="0.2">
      <c r="A274" s="53">
        <v>43770</v>
      </c>
      <c r="B274" s="90">
        <v>53.9</v>
      </c>
      <c r="C274" s="55">
        <f>Table9[[#This Row],[ISM Services]]-B273</f>
        <v>-0.80000000000000426</v>
      </c>
    </row>
    <row r="275" spans="1:3" x14ac:dyDescent="0.2">
      <c r="A275" s="53">
        <v>43800</v>
      </c>
      <c r="B275" s="90">
        <v>55</v>
      </c>
      <c r="C275" s="55">
        <f>Table9[[#This Row],[ISM Services]]-B274</f>
        <v>1.1000000000000014</v>
      </c>
    </row>
    <row r="276" spans="1:3" x14ac:dyDescent="0.2">
      <c r="A276" s="53">
        <v>43831</v>
      </c>
      <c r="B276" s="90">
        <v>55.5</v>
      </c>
      <c r="C276" s="55">
        <f>Table9[[#This Row],[ISM Services]]-B275</f>
        <v>0.5</v>
      </c>
    </row>
    <row r="277" spans="1:3" x14ac:dyDescent="0.2">
      <c r="A277" s="53">
        <v>43862</v>
      </c>
      <c r="B277" s="90">
        <v>57.3</v>
      </c>
      <c r="C277" s="55">
        <f>Table9[[#This Row],[ISM Services]]-B276</f>
        <v>1.7999999999999972</v>
      </c>
    </row>
    <row r="278" spans="1:3" x14ac:dyDescent="0.2">
      <c r="A278" s="53">
        <v>43891</v>
      </c>
      <c r="B278" s="90">
        <v>52.5</v>
      </c>
      <c r="C278" s="55">
        <f>Table9[[#This Row],[ISM Services]]-B277</f>
        <v>-4.7999999999999972</v>
      </c>
    </row>
    <row r="279" spans="1:3" x14ac:dyDescent="0.2">
      <c r="A279" s="53">
        <v>43922</v>
      </c>
      <c r="B279" s="90">
        <v>41.8</v>
      </c>
      <c r="C279" s="55">
        <f>Table9[[#This Row],[ISM Services]]-B278</f>
        <v>-10.700000000000003</v>
      </c>
    </row>
    <row r="280" spans="1:3" x14ac:dyDescent="0.2">
      <c r="A280" s="53">
        <v>43952</v>
      </c>
      <c r="B280" s="90">
        <v>45.4</v>
      </c>
      <c r="C280" s="55">
        <f>Table9[[#This Row],[ISM Services]]-B279</f>
        <v>3.6000000000000014</v>
      </c>
    </row>
    <row r="281" spans="1:3" x14ac:dyDescent="0.2">
      <c r="A281" s="53">
        <v>43983</v>
      </c>
      <c r="B281" s="90">
        <v>57.1</v>
      </c>
      <c r="C281" s="55">
        <f>Table9[[#This Row],[ISM Services]]-B280</f>
        <v>11.700000000000003</v>
      </c>
    </row>
    <row r="282" spans="1:3" x14ac:dyDescent="0.2">
      <c r="A282" s="53">
        <v>44013</v>
      </c>
      <c r="B282" s="90">
        <v>58.1</v>
      </c>
      <c r="C282" s="55">
        <f>Table9[[#This Row],[ISM Services]]-B281</f>
        <v>1</v>
      </c>
    </row>
    <row r="283" spans="1:3" x14ac:dyDescent="0.2">
      <c r="A283" s="53">
        <v>44044</v>
      </c>
      <c r="B283" s="90">
        <v>56.9</v>
      </c>
      <c r="C283" s="55">
        <f>Table9[[#This Row],[ISM Services]]-B282</f>
        <v>-1.2000000000000028</v>
      </c>
    </row>
    <row r="284" spans="1:3" x14ac:dyDescent="0.2">
      <c r="A284" s="53">
        <v>44075</v>
      </c>
      <c r="B284" s="90">
        <v>57.8</v>
      </c>
      <c r="C284" s="55">
        <f>Table9[[#This Row],[ISM Services]]-B283</f>
        <v>0.89999999999999858</v>
      </c>
    </row>
    <row r="285" spans="1:3" x14ac:dyDescent="0.2">
      <c r="A285" s="53">
        <v>44105</v>
      </c>
      <c r="B285" s="90">
        <v>56.6</v>
      </c>
      <c r="C285" s="55">
        <f>Table9[[#This Row],[ISM Services]]-B284</f>
        <v>-1.1999999999999957</v>
      </c>
    </row>
    <row r="286" spans="1:3" x14ac:dyDescent="0.2">
      <c r="A286" s="53">
        <v>44136</v>
      </c>
      <c r="B286" s="90">
        <v>55.9</v>
      </c>
      <c r="C286" s="55">
        <f>Table9[[#This Row],[ISM Services]]-B285</f>
        <v>-0.70000000000000284</v>
      </c>
    </row>
    <row r="287" spans="1:3" x14ac:dyDescent="0.2">
      <c r="A287" s="53">
        <v>44166</v>
      </c>
      <c r="B287" s="90">
        <v>57.2</v>
      </c>
      <c r="C287" s="55">
        <f>Table9[[#This Row],[ISM Services]]-B286</f>
        <v>1.3000000000000043</v>
      </c>
    </row>
    <row r="288" spans="1:3" x14ac:dyDescent="0.2">
      <c r="A288" s="53">
        <v>44197</v>
      </c>
      <c r="B288" s="90">
        <v>58.7</v>
      </c>
      <c r="C288" s="55">
        <f>Table9[[#This Row],[ISM Services]]-B287</f>
        <v>1.5</v>
      </c>
    </row>
    <row r="289" spans="1:3" x14ac:dyDescent="0.2">
      <c r="A289" s="53">
        <v>44228</v>
      </c>
      <c r="B289" s="90">
        <v>55.3</v>
      </c>
      <c r="C289" s="55">
        <f>Table9[[#This Row],[ISM Services]]-B288</f>
        <v>-3.4000000000000057</v>
      </c>
    </row>
    <row r="290" spans="1:3" x14ac:dyDescent="0.2">
      <c r="A290" s="53">
        <v>44256</v>
      </c>
      <c r="B290" s="90">
        <v>63.7</v>
      </c>
      <c r="C290" s="55">
        <f>Table9[[#This Row],[ISM Services]]-B289</f>
        <v>8.4000000000000057</v>
      </c>
    </row>
    <row r="291" spans="1:3" x14ac:dyDescent="0.2">
      <c r="A291" s="53">
        <v>44287</v>
      </c>
      <c r="B291" s="90">
        <v>62.7</v>
      </c>
      <c r="C291" s="55">
        <f>Table9[[#This Row],[ISM Services]]-B290</f>
        <v>-1</v>
      </c>
    </row>
    <row r="292" spans="1:3" x14ac:dyDescent="0.2">
      <c r="A292" s="53">
        <v>44317</v>
      </c>
      <c r="B292" s="90">
        <v>64</v>
      </c>
      <c r="C292" s="55">
        <f>Table9[[#This Row],[ISM Services]]-B291</f>
        <v>1.2999999999999972</v>
      </c>
    </row>
    <row r="293" spans="1:3" x14ac:dyDescent="0.2">
      <c r="A293" s="53">
        <v>44348</v>
      </c>
      <c r="B293" s="90">
        <v>60.1</v>
      </c>
      <c r="C293" s="55">
        <f>Table9[[#This Row],[ISM Services]]-B292</f>
        <v>-3.8999999999999986</v>
      </c>
    </row>
    <row r="294" spans="1:3" x14ac:dyDescent="0.2">
      <c r="A294" s="53">
        <v>44378</v>
      </c>
      <c r="B294" s="90">
        <v>64.099999999999994</v>
      </c>
      <c r="C294" s="55">
        <f>Table9[[#This Row],[ISM Services]]-B293</f>
        <v>3.9999999999999929</v>
      </c>
    </row>
    <row r="295" spans="1:3" x14ac:dyDescent="0.2">
      <c r="A295" s="53">
        <v>44409</v>
      </c>
      <c r="B295" s="90">
        <v>61.7</v>
      </c>
      <c r="C295" s="55">
        <f>Table9[[#This Row],[ISM Services]]-B294</f>
        <v>-2.3999999999999915</v>
      </c>
    </row>
    <row r="296" spans="1:3" x14ac:dyDescent="0.2">
      <c r="A296" s="53">
        <v>44440</v>
      </c>
      <c r="B296" s="90">
        <v>61.9</v>
      </c>
      <c r="C296" s="55">
        <f>Table9[[#This Row],[ISM Services]]-B295</f>
        <v>0.19999999999999574</v>
      </c>
    </row>
    <row r="297" spans="1:3" x14ac:dyDescent="0.2">
      <c r="A297" s="53">
        <v>44470</v>
      </c>
      <c r="B297" s="90">
        <v>66.7</v>
      </c>
      <c r="C297" s="55">
        <f>Table9[[#This Row],[ISM Services]]-B296</f>
        <v>4.8000000000000043</v>
      </c>
    </row>
    <row r="298" spans="1:3" x14ac:dyDescent="0.2">
      <c r="A298" s="53">
        <v>44501</v>
      </c>
      <c r="B298" s="90">
        <v>69.099999999999994</v>
      </c>
      <c r="C298" s="55">
        <f>Table9[[#This Row],[ISM Services]]-B297</f>
        <v>2.3999999999999915</v>
      </c>
    </row>
    <row r="299" spans="1:3" x14ac:dyDescent="0.2">
      <c r="A299" s="53">
        <v>44531</v>
      </c>
      <c r="B299" s="90">
        <v>62</v>
      </c>
      <c r="C299" s="55">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1:D363"/>
  <sheetViews>
    <sheetView workbookViewId="0">
      <pane xSplit="1" ySplit="2" topLeftCell="B3" activePane="bottomRight" state="frozen"/>
      <selection pane="topRight" activeCell="B1" sqref="B1"/>
      <selection pane="bottomLeft" activeCell="A3" sqref="A3"/>
      <selection pane="bottomRight" activeCell="D4" sqref="D4"/>
    </sheetView>
  </sheetViews>
  <sheetFormatPr baseColWidth="10" defaultColWidth="8.83203125" defaultRowHeight="14" x14ac:dyDescent="0.15"/>
  <cols>
    <col min="1" max="1" width="3.5" style="65" customWidth="1"/>
    <col min="2" max="2" width="19.1640625" style="65" customWidth="1"/>
    <col min="3" max="3" width="12.83203125" style="64" customWidth="1"/>
    <col min="4" max="4" width="193.6640625" style="65" customWidth="1"/>
    <col min="5" max="257" width="9.1640625" style="65" customWidth="1"/>
    <col min="258" max="258" width="19.1640625" style="65" customWidth="1"/>
    <col min="259" max="259" width="9.1640625" style="65" customWidth="1"/>
    <col min="260" max="260" width="141.1640625" style="65" customWidth="1"/>
    <col min="261" max="513" width="9.1640625" style="65" customWidth="1"/>
    <col min="514" max="514" width="19.1640625" style="65" customWidth="1"/>
    <col min="515" max="515" width="9.1640625" style="65" customWidth="1"/>
    <col min="516" max="516" width="141.1640625" style="65" customWidth="1"/>
    <col min="517" max="769" width="9.1640625" style="65" customWidth="1"/>
    <col min="770" max="770" width="19.1640625" style="65" customWidth="1"/>
    <col min="771" max="771" width="9.1640625" style="65" customWidth="1"/>
    <col min="772" max="772" width="141.1640625" style="65" customWidth="1"/>
    <col min="773" max="1025" width="9.1640625" style="65" customWidth="1"/>
    <col min="1026" max="1026" width="19.1640625" style="65" customWidth="1"/>
    <col min="1027" max="1027" width="9.1640625" style="65" customWidth="1"/>
    <col min="1028" max="1028" width="141.1640625" style="65" customWidth="1"/>
    <col min="1029" max="1281" width="9.1640625" style="65" customWidth="1"/>
    <col min="1282" max="1282" width="19.1640625" style="65" customWidth="1"/>
    <col min="1283" max="1283" width="9.1640625" style="65" customWidth="1"/>
    <col min="1284" max="1284" width="141.1640625" style="65" customWidth="1"/>
    <col min="1285" max="1537" width="9.1640625" style="65" customWidth="1"/>
    <col min="1538" max="1538" width="19.1640625" style="65" customWidth="1"/>
    <col min="1539" max="1539" width="9.1640625" style="65" customWidth="1"/>
    <col min="1540" max="1540" width="141.1640625" style="65" customWidth="1"/>
    <col min="1541" max="1793" width="9.1640625" style="65" customWidth="1"/>
    <col min="1794" max="1794" width="19.1640625" style="65" customWidth="1"/>
    <col min="1795" max="1795" width="9.1640625" style="65" customWidth="1"/>
    <col min="1796" max="1796" width="141.1640625" style="65" customWidth="1"/>
    <col min="1797" max="2049" width="9.1640625" style="65" customWidth="1"/>
    <col min="2050" max="2050" width="19.1640625" style="65" customWidth="1"/>
    <col min="2051" max="2051" width="9.1640625" style="65" customWidth="1"/>
    <col min="2052" max="2052" width="141.1640625" style="65" customWidth="1"/>
    <col min="2053" max="2305" width="9.1640625" style="65" customWidth="1"/>
    <col min="2306" max="2306" width="19.1640625" style="65" customWidth="1"/>
    <col min="2307" max="2307" width="9.1640625" style="65" customWidth="1"/>
    <col min="2308" max="2308" width="141.1640625" style="65" customWidth="1"/>
    <col min="2309" max="2561" width="9.1640625" style="65" customWidth="1"/>
    <col min="2562" max="2562" width="19.1640625" style="65" customWidth="1"/>
    <col min="2563" max="2563" width="9.1640625" style="65" customWidth="1"/>
    <col min="2564" max="2564" width="141.1640625" style="65" customWidth="1"/>
    <col min="2565" max="2817" width="9.1640625" style="65" customWidth="1"/>
    <col min="2818" max="2818" width="19.1640625" style="65" customWidth="1"/>
    <col min="2819" max="2819" width="9.1640625" style="65" customWidth="1"/>
    <col min="2820" max="2820" width="141.1640625" style="65" customWidth="1"/>
    <col min="2821" max="3073" width="9.1640625" style="65" customWidth="1"/>
    <col min="3074" max="3074" width="19.1640625" style="65" customWidth="1"/>
    <col min="3075" max="3075" width="9.1640625" style="65" customWidth="1"/>
    <col min="3076" max="3076" width="141.1640625" style="65" customWidth="1"/>
    <col min="3077" max="3329" width="9.1640625" style="65" customWidth="1"/>
    <col min="3330" max="3330" width="19.1640625" style="65" customWidth="1"/>
    <col min="3331" max="3331" width="9.1640625" style="65" customWidth="1"/>
    <col min="3332" max="3332" width="141.1640625" style="65" customWidth="1"/>
    <col min="3333" max="3585" width="9.1640625" style="65" customWidth="1"/>
    <col min="3586" max="3586" width="19.1640625" style="65" customWidth="1"/>
    <col min="3587" max="3587" width="9.1640625" style="65" customWidth="1"/>
    <col min="3588" max="3588" width="141.1640625" style="65" customWidth="1"/>
    <col min="3589" max="3841" width="9.1640625" style="65" customWidth="1"/>
    <col min="3842" max="3842" width="19.1640625" style="65" customWidth="1"/>
    <col min="3843" max="3843" width="9.1640625" style="65" customWidth="1"/>
    <col min="3844" max="3844" width="141.1640625" style="65" customWidth="1"/>
    <col min="3845" max="4097" width="9.1640625" style="65" customWidth="1"/>
    <col min="4098" max="4098" width="19.1640625" style="65" customWidth="1"/>
    <col min="4099" max="4099" width="9.1640625" style="65" customWidth="1"/>
    <col min="4100" max="4100" width="141.1640625" style="65" customWidth="1"/>
    <col min="4101" max="4353" width="9.1640625" style="65" customWidth="1"/>
    <col min="4354" max="4354" width="19.1640625" style="65" customWidth="1"/>
    <col min="4355" max="4355" width="9.1640625" style="65" customWidth="1"/>
    <col min="4356" max="4356" width="141.1640625" style="65" customWidth="1"/>
    <col min="4357" max="4609" width="9.1640625" style="65" customWidth="1"/>
    <col min="4610" max="4610" width="19.1640625" style="65" customWidth="1"/>
    <col min="4611" max="4611" width="9.1640625" style="65" customWidth="1"/>
    <col min="4612" max="4612" width="141.1640625" style="65" customWidth="1"/>
    <col min="4613" max="4865" width="9.1640625" style="65" customWidth="1"/>
    <col min="4866" max="4866" width="19.1640625" style="65" customWidth="1"/>
    <col min="4867" max="4867" width="9.1640625" style="65" customWidth="1"/>
    <col min="4868" max="4868" width="141.1640625" style="65" customWidth="1"/>
    <col min="4869" max="5121" width="9.1640625" style="65" customWidth="1"/>
    <col min="5122" max="5122" width="19.1640625" style="65" customWidth="1"/>
    <col min="5123" max="5123" width="9.1640625" style="65" customWidth="1"/>
    <col min="5124" max="5124" width="141.1640625" style="65" customWidth="1"/>
    <col min="5125" max="5377" width="9.1640625" style="65" customWidth="1"/>
    <col min="5378" max="5378" width="19.1640625" style="65" customWidth="1"/>
    <col min="5379" max="5379" width="9.1640625" style="65" customWidth="1"/>
    <col min="5380" max="5380" width="141.1640625" style="65" customWidth="1"/>
    <col min="5381" max="5633" width="9.1640625" style="65" customWidth="1"/>
    <col min="5634" max="5634" width="19.1640625" style="65" customWidth="1"/>
    <col min="5635" max="5635" width="9.1640625" style="65" customWidth="1"/>
    <col min="5636" max="5636" width="141.1640625" style="65" customWidth="1"/>
    <col min="5637" max="5889" width="9.1640625" style="65" customWidth="1"/>
    <col min="5890" max="5890" width="19.1640625" style="65" customWidth="1"/>
    <col min="5891" max="5891" width="9.1640625" style="65" customWidth="1"/>
    <col min="5892" max="5892" width="141.1640625" style="65" customWidth="1"/>
    <col min="5893" max="6145" width="9.1640625" style="65" customWidth="1"/>
    <col min="6146" max="6146" width="19.1640625" style="65" customWidth="1"/>
    <col min="6147" max="6147" width="9.1640625" style="65" customWidth="1"/>
    <col min="6148" max="6148" width="141.1640625" style="65" customWidth="1"/>
    <col min="6149" max="6401" width="9.1640625" style="65" customWidth="1"/>
    <col min="6402" max="6402" width="19.1640625" style="65" customWidth="1"/>
    <col min="6403" max="6403" width="9.1640625" style="65" customWidth="1"/>
    <col min="6404" max="6404" width="141.1640625" style="65" customWidth="1"/>
    <col min="6405" max="6657" width="9.1640625" style="65" customWidth="1"/>
    <col min="6658" max="6658" width="19.1640625" style="65" customWidth="1"/>
    <col min="6659" max="6659" width="9.1640625" style="65" customWidth="1"/>
    <col min="6660" max="6660" width="141.1640625" style="65" customWidth="1"/>
    <col min="6661" max="6913" width="9.1640625" style="65" customWidth="1"/>
    <col min="6914" max="6914" width="19.1640625" style="65" customWidth="1"/>
    <col min="6915" max="6915" width="9.1640625" style="65" customWidth="1"/>
    <col min="6916" max="6916" width="141.1640625" style="65" customWidth="1"/>
    <col min="6917" max="7169" width="9.1640625" style="65" customWidth="1"/>
    <col min="7170" max="7170" width="19.1640625" style="65" customWidth="1"/>
    <col min="7171" max="7171" width="9.1640625" style="65" customWidth="1"/>
    <col min="7172" max="7172" width="141.1640625" style="65" customWidth="1"/>
    <col min="7173" max="7425" width="9.1640625" style="65" customWidth="1"/>
    <col min="7426" max="7426" width="19.1640625" style="65" customWidth="1"/>
    <col min="7427" max="7427" width="9.1640625" style="65" customWidth="1"/>
    <col min="7428" max="7428" width="141.1640625" style="65" customWidth="1"/>
    <col min="7429" max="7681" width="9.1640625" style="65" customWidth="1"/>
    <col min="7682" max="7682" width="19.1640625" style="65" customWidth="1"/>
    <col min="7683" max="7683" width="9.1640625" style="65" customWidth="1"/>
    <col min="7684" max="7684" width="141.1640625" style="65" customWidth="1"/>
    <col min="7685" max="7937" width="9.1640625" style="65" customWidth="1"/>
    <col min="7938" max="7938" width="19.1640625" style="65" customWidth="1"/>
    <col min="7939" max="7939" width="9.1640625" style="65" customWidth="1"/>
    <col min="7940" max="7940" width="141.1640625" style="65" customWidth="1"/>
    <col min="7941" max="8193" width="9.1640625" style="65" customWidth="1"/>
    <col min="8194" max="8194" width="19.1640625" style="65" customWidth="1"/>
    <col min="8195" max="8195" width="9.1640625" style="65" customWidth="1"/>
    <col min="8196" max="8196" width="141.1640625" style="65" customWidth="1"/>
    <col min="8197" max="8449" width="9.1640625" style="65" customWidth="1"/>
    <col min="8450" max="8450" width="19.1640625" style="65" customWidth="1"/>
    <col min="8451" max="8451" width="9.1640625" style="65" customWidth="1"/>
    <col min="8452" max="8452" width="141.1640625" style="65" customWidth="1"/>
    <col min="8453" max="8705" width="9.1640625" style="65" customWidth="1"/>
    <col min="8706" max="8706" width="19.1640625" style="65" customWidth="1"/>
    <col min="8707" max="8707" width="9.1640625" style="65" customWidth="1"/>
    <col min="8708" max="8708" width="141.1640625" style="65" customWidth="1"/>
    <col min="8709" max="8961" width="9.1640625" style="65" customWidth="1"/>
    <col min="8962" max="8962" width="19.1640625" style="65" customWidth="1"/>
    <col min="8963" max="8963" width="9.1640625" style="65" customWidth="1"/>
    <col min="8964" max="8964" width="141.1640625" style="65" customWidth="1"/>
    <col min="8965" max="9217" width="9.1640625" style="65" customWidth="1"/>
    <col min="9218" max="9218" width="19.1640625" style="65" customWidth="1"/>
    <col min="9219" max="9219" width="9.1640625" style="65" customWidth="1"/>
    <col min="9220" max="9220" width="141.1640625" style="65" customWidth="1"/>
    <col min="9221" max="9473" width="9.1640625" style="65" customWidth="1"/>
    <col min="9474" max="9474" width="19.1640625" style="65" customWidth="1"/>
    <col min="9475" max="9475" width="9.1640625" style="65" customWidth="1"/>
    <col min="9476" max="9476" width="141.1640625" style="65" customWidth="1"/>
    <col min="9477" max="9729" width="9.1640625" style="65" customWidth="1"/>
    <col min="9730" max="9730" width="19.1640625" style="65" customWidth="1"/>
    <col min="9731" max="9731" width="9.1640625" style="65" customWidth="1"/>
    <col min="9732" max="9732" width="141.1640625" style="65" customWidth="1"/>
    <col min="9733" max="9985" width="9.1640625" style="65" customWidth="1"/>
    <col min="9986" max="9986" width="19.1640625" style="65" customWidth="1"/>
    <col min="9987" max="9987" width="9.1640625" style="65" customWidth="1"/>
    <col min="9988" max="9988" width="141.1640625" style="65" customWidth="1"/>
    <col min="9989" max="10241" width="9.1640625" style="65" customWidth="1"/>
    <col min="10242" max="10242" width="19.1640625" style="65" customWidth="1"/>
    <col min="10243" max="10243" width="9.1640625" style="65" customWidth="1"/>
    <col min="10244" max="10244" width="141.1640625" style="65" customWidth="1"/>
    <col min="10245" max="10497" width="9.1640625" style="65" customWidth="1"/>
    <col min="10498" max="10498" width="19.1640625" style="65" customWidth="1"/>
    <col min="10499" max="10499" width="9.1640625" style="65" customWidth="1"/>
    <col min="10500" max="10500" width="141.1640625" style="65" customWidth="1"/>
    <col min="10501" max="10753" width="9.1640625" style="65" customWidth="1"/>
    <col min="10754" max="10754" width="19.1640625" style="65" customWidth="1"/>
    <col min="10755" max="10755" width="9.1640625" style="65" customWidth="1"/>
    <col min="10756" max="10756" width="141.1640625" style="65" customWidth="1"/>
    <col min="10757" max="11009" width="9.1640625" style="65" customWidth="1"/>
    <col min="11010" max="11010" width="19.1640625" style="65" customWidth="1"/>
    <col min="11011" max="11011" width="9.1640625" style="65" customWidth="1"/>
    <col min="11012" max="11012" width="141.1640625" style="65" customWidth="1"/>
    <col min="11013" max="11265" width="9.1640625" style="65" customWidth="1"/>
    <col min="11266" max="11266" width="19.1640625" style="65" customWidth="1"/>
    <col min="11267" max="11267" width="9.1640625" style="65" customWidth="1"/>
    <col min="11268" max="11268" width="141.1640625" style="65" customWidth="1"/>
    <col min="11269" max="11521" width="9.1640625" style="65" customWidth="1"/>
    <col min="11522" max="11522" width="19.1640625" style="65" customWidth="1"/>
    <col min="11523" max="11523" width="9.1640625" style="65" customWidth="1"/>
    <col min="11524" max="11524" width="141.1640625" style="65" customWidth="1"/>
    <col min="11525" max="11777" width="9.1640625" style="65" customWidth="1"/>
    <col min="11778" max="11778" width="19.1640625" style="65" customWidth="1"/>
    <col min="11779" max="11779" width="9.1640625" style="65" customWidth="1"/>
    <col min="11780" max="11780" width="141.1640625" style="65" customWidth="1"/>
    <col min="11781" max="12033" width="9.1640625" style="65" customWidth="1"/>
    <col min="12034" max="12034" width="19.1640625" style="65" customWidth="1"/>
    <col min="12035" max="12035" width="9.1640625" style="65" customWidth="1"/>
    <col min="12036" max="12036" width="141.1640625" style="65" customWidth="1"/>
    <col min="12037" max="12289" width="9.1640625" style="65" customWidth="1"/>
    <col min="12290" max="12290" width="19.1640625" style="65" customWidth="1"/>
    <col min="12291" max="12291" width="9.1640625" style="65" customWidth="1"/>
    <col min="12292" max="12292" width="141.1640625" style="65" customWidth="1"/>
    <col min="12293" max="12545" width="9.1640625" style="65" customWidth="1"/>
    <col min="12546" max="12546" width="19.1640625" style="65" customWidth="1"/>
    <col min="12547" max="12547" width="9.1640625" style="65" customWidth="1"/>
    <col min="12548" max="12548" width="141.1640625" style="65" customWidth="1"/>
    <col min="12549" max="12801" width="9.1640625" style="65" customWidth="1"/>
    <col min="12802" max="12802" width="19.1640625" style="65" customWidth="1"/>
    <col min="12803" max="12803" width="9.1640625" style="65" customWidth="1"/>
    <col min="12804" max="12804" width="141.1640625" style="65" customWidth="1"/>
    <col min="12805" max="13057" width="9.1640625" style="65" customWidth="1"/>
    <col min="13058" max="13058" width="19.1640625" style="65" customWidth="1"/>
    <col min="13059" max="13059" width="9.1640625" style="65" customWidth="1"/>
    <col min="13060" max="13060" width="141.1640625" style="65" customWidth="1"/>
    <col min="13061" max="13313" width="9.1640625" style="65" customWidth="1"/>
    <col min="13314" max="13314" width="19.1640625" style="65" customWidth="1"/>
    <col min="13315" max="13315" width="9.1640625" style="65" customWidth="1"/>
    <col min="13316" max="13316" width="141.1640625" style="65" customWidth="1"/>
    <col min="13317" max="13569" width="9.1640625" style="65" customWidth="1"/>
    <col min="13570" max="13570" width="19.1640625" style="65" customWidth="1"/>
    <col min="13571" max="13571" width="9.1640625" style="65" customWidth="1"/>
    <col min="13572" max="13572" width="141.1640625" style="65" customWidth="1"/>
    <col min="13573" max="13825" width="9.1640625" style="65" customWidth="1"/>
    <col min="13826" max="13826" width="19.1640625" style="65" customWidth="1"/>
    <col min="13827" max="13827" width="9.1640625" style="65" customWidth="1"/>
    <col min="13828" max="13828" width="141.1640625" style="65" customWidth="1"/>
    <col min="13829" max="14081" width="9.1640625" style="65" customWidth="1"/>
    <col min="14082" max="14082" width="19.1640625" style="65" customWidth="1"/>
    <col min="14083" max="14083" width="9.1640625" style="65" customWidth="1"/>
    <col min="14084" max="14084" width="141.1640625" style="65" customWidth="1"/>
    <col min="14085" max="14337" width="9.1640625" style="65" customWidth="1"/>
    <col min="14338" max="14338" width="19.1640625" style="65" customWidth="1"/>
    <col min="14339" max="14339" width="9.1640625" style="65" customWidth="1"/>
    <col min="14340" max="14340" width="141.1640625" style="65" customWidth="1"/>
    <col min="14341" max="14593" width="9.1640625" style="65" customWidth="1"/>
    <col min="14594" max="14594" width="19.1640625" style="65" customWidth="1"/>
    <col min="14595" max="14595" width="9.1640625" style="65" customWidth="1"/>
    <col min="14596" max="14596" width="141.1640625" style="65" customWidth="1"/>
    <col min="14597" max="14849" width="9.1640625" style="65" customWidth="1"/>
    <col min="14850" max="14850" width="19.1640625" style="65" customWidth="1"/>
    <col min="14851" max="14851" width="9.1640625" style="65" customWidth="1"/>
    <col min="14852" max="14852" width="141.1640625" style="65" customWidth="1"/>
    <col min="14853" max="15105" width="9.1640625" style="65" customWidth="1"/>
    <col min="15106" max="15106" width="19.1640625" style="65" customWidth="1"/>
    <col min="15107" max="15107" width="9.1640625" style="65" customWidth="1"/>
    <col min="15108" max="15108" width="141.1640625" style="65" customWidth="1"/>
    <col min="15109" max="15361" width="9.1640625" style="65" customWidth="1"/>
    <col min="15362" max="15362" width="19.1640625" style="65" customWidth="1"/>
    <col min="15363" max="15363" width="9.1640625" style="65" customWidth="1"/>
    <col min="15364" max="15364" width="141.1640625" style="65" customWidth="1"/>
    <col min="15365" max="15617" width="9.1640625" style="65" customWidth="1"/>
    <col min="15618" max="15618" width="19.1640625" style="65" customWidth="1"/>
    <col min="15619" max="15619" width="9.1640625" style="65" customWidth="1"/>
    <col min="15620" max="15620" width="141.1640625" style="65" customWidth="1"/>
    <col min="15621" max="15873" width="9.1640625" style="65" customWidth="1"/>
    <col min="15874" max="15874" width="19.1640625" style="65" customWidth="1"/>
    <col min="15875" max="15875" width="9.1640625" style="65" customWidth="1"/>
    <col min="15876" max="15876" width="141.1640625" style="65" customWidth="1"/>
    <col min="15877" max="16129" width="9.1640625" style="65" customWidth="1"/>
    <col min="16130" max="16130" width="19.1640625" style="65" customWidth="1"/>
    <col min="16131" max="16131" width="9.1640625" style="65" customWidth="1"/>
    <col min="16132" max="16132" width="141.1640625" style="65" customWidth="1"/>
    <col min="16133" max="16384" width="9.1640625" style="65" customWidth="1"/>
  </cols>
  <sheetData>
    <row r="1" spans="2:4" ht="15" customHeight="1" thickBot="1" x14ac:dyDescent="0.2">
      <c r="B1" s="63"/>
    </row>
    <row r="2" spans="2:4" ht="15" customHeight="1" thickBot="1" x14ac:dyDescent="0.2">
      <c r="B2" s="66" t="s">
        <v>11</v>
      </c>
      <c r="C2" s="67" t="s">
        <v>67</v>
      </c>
      <c r="D2" s="68" t="s">
        <v>10</v>
      </c>
    </row>
    <row r="3" spans="2:4" ht="30" customHeight="1" x14ac:dyDescent="0.15">
      <c r="B3" s="69" t="s">
        <v>17</v>
      </c>
      <c r="C3" s="70">
        <v>44531</v>
      </c>
      <c r="D3" s="71" t="s">
        <v>68</v>
      </c>
    </row>
    <row r="4" spans="2:4" x14ac:dyDescent="0.15">
      <c r="B4" s="72"/>
      <c r="C4" s="73">
        <v>44501</v>
      </c>
      <c r="D4" s="74" t="s">
        <v>69</v>
      </c>
    </row>
    <row r="5" spans="2:4" x14ac:dyDescent="0.15">
      <c r="B5" s="72"/>
      <c r="C5" s="73">
        <v>44470</v>
      </c>
      <c r="D5" s="74" t="s">
        <v>70</v>
      </c>
    </row>
    <row r="6" spans="2:4" x14ac:dyDescent="0.15">
      <c r="B6" s="72"/>
      <c r="C6" s="73">
        <v>44440</v>
      </c>
      <c r="D6" s="74" t="s">
        <v>71</v>
      </c>
    </row>
    <row r="7" spans="2:4" x14ac:dyDescent="0.15">
      <c r="B7" s="72"/>
      <c r="C7" s="73">
        <v>44409</v>
      </c>
      <c r="D7" s="74" t="s">
        <v>72</v>
      </c>
    </row>
    <row r="8" spans="2:4" x14ac:dyDescent="0.15">
      <c r="B8" s="72"/>
      <c r="C8" s="73">
        <v>44378</v>
      </c>
      <c r="D8" s="74" t="s">
        <v>73</v>
      </c>
    </row>
    <row r="9" spans="2:4" x14ac:dyDescent="0.15">
      <c r="B9" s="72"/>
      <c r="C9" s="73">
        <v>44348</v>
      </c>
      <c r="D9" s="74" t="s">
        <v>74</v>
      </c>
    </row>
    <row r="10" spans="2:4" x14ac:dyDescent="0.15">
      <c r="B10" s="72"/>
      <c r="C10" s="73">
        <v>44317</v>
      </c>
      <c r="D10" s="74" t="s">
        <v>75</v>
      </c>
    </row>
    <row r="11" spans="2:4" x14ac:dyDescent="0.15">
      <c r="B11" s="72"/>
      <c r="C11" s="73">
        <v>44287</v>
      </c>
      <c r="D11" s="74" t="s">
        <v>76</v>
      </c>
    </row>
    <row r="12" spans="2:4" x14ac:dyDescent="0.15">
      <c r="B12" s="72"/>
      <c r="C12" s="73">
        <v>44228</v>
      </c>
      <c r="D12" s="74" t="s">
        <v>77</v>
      </c>
    </row>
    <row r="13" spans="2:4" x14ac:dyDescent="0.15">
      <c r="B13" s="72"/>
      <c r="C13" s="73">
        <v>44197</v>
      </c>
      <c r="D13" s="74" t="s">
        <v>78</v>
      </c>
    </row>
    <row r="14" spans="2:4" x14ac:dyDescent="0.15">
      <c r="B14" s="72"/>
      <c r="C14" s="73">
        <v>44166</v>
      </c>
      <c r="D14" s="74" t="s">
        <v>79</v>
      </c>
    </row>
    <row r="15" spans="2:4" x14ac:dyDescent="0.15">
      <c r="B15" s="72"/>
      <c r="C15" s="73">
        <v>44136</v>
      </c>
      <c r="D15" s="74" t="s">
        <v>80</v>
      </c>
    </row>
    <row r="16" spans="2:4" x14ac:dyDescent="0.15">
      <c r="B16" s="72"/>
      <c r="C16" s="73">
        <v>44105</v>
      </c>
      <c r="D16" s="74" t="s">
        <v>81</v>
      </c>
    </row>
    <row r="17" spans="2:4" x14ac:dyDescent="0.15">
      <c r="B17" s="72"/>
      <c r="C17" s="73">
        <v>44044</v>
      </c>
      <c r="D17" s="74" t="s">
        <v>82</v>
      </c>
    </row>
    <row r="18" spans="2:4" x14ac:dyDescent="0.15">
      <c r="B18" s="72"/>
      <c r="C18" s="73">
        <v>43983</v>
      </c>
      <c r="D18" s="74" t="s">
        <v>83</v>
      </c>
    </row>
    <row r="19" spans="2:4" x14ac:dyDescent="0.15">
      <c r="B19" s="72"/>
      <c r="C19" s="73">
        <v>43952</v>
      </c>
      <c r="D19" s="74" t="s">
        <v>84</v>
      </c>
    </row>
    <row r="20" spans="2:4" x14ac:dyDescent="0.15">
      <c r="B20" s="72"/>
      <c r="C20" s="73">
        <v>43922</v>
      </c>
      <c r="D20" s="74" t="s">
        <v>85</v>
      </c>
    </row>
    <row r="21" spans="2:4" x14ac:dyDescent="0.15">
      <c r="B21" s="72"/>
      <c r="C21" s="73">
        <v>43891</v>
      </c>
      <c r="D21" s="74" t="s">
        <v>86</v>
      </c>
    </row>
    <row r="22" spans="2:4" x14ac:dyDescent="0.15">
      <c r="B22" s="72"/>
      <c r="C22" s="73">
        <v>43831</v>
      </c>
      <c r="D22" s="74" t="s">
        <v>87</v>
      </c>
    </row>
    <row r="23" spans="2:4" x14ac:dyDescent="0.15">
      <c r="B23" s="72"/>
      <c r="C23" s="73">
        <v>43800</v>
      </c>
      <c r="D23" s="74" t="s">
        <v>88</v>
      </c>
    </row>
    <row r="24" spans="2:4" x14ac:dyDescent="0.15">
      <c r="B24" s="72"/>
      <c r="C24" s="73">
        <v>43739</v>
      </c>
      <c r="D24" s="74" t="s">
        <v>89</v>
      </c>
    </row>
    <row r="25" spans="2:4" x14ac:dyDescent="0.15">
      <c r="B25" s="72"/>
      <c r="C25" s="73">
        <v>43709</v>
      </c>
      <c r="D25" s="74" t="s">
        <v>90</v>
      </c>
    </row>
    <row r="26" spans="2:4" x14ac:dyDescent="0.15">
      <c r="B26" s="72"/>
      <c r="C26" s="73">
        <v>43678</v>
      </c>
      <c r="D26" s="74" t="s">
        <v>91</v>
      </c>
    </row>
    <row r="27" spans="2:4" x14ac:dyDescent="0.15">
      <c r="B27" s="72"/>
      <c r="C27" s="73">
        <v>43647</v>
      </c>
      <c r="D27" s="74" t="s">
        <v>92</v>
      </c>
    </row>
    <row r="28" spans="2:4" x14ac:dyDescent="0.15">
      <c r="B28" s="72"/>
      <c r="C28" s="73">
        <v>43586</v>
      </c>
      <c r="D28" s="74" t="s">
        <v>93</v>
      </c>
    </row>
    <row r="29" spans="2:4" x14ac:dyDescent="0.15">
      <c r="B29" s="72"/>
      <c r="C29" s="73">
        <v>43556</v>
      </c>
      <c r="D29" s="75" t="s">
        <v>94</v>
      </c>
    </row>
    <row r="30" spans="2:4" x14ac:dyDescent="0.15">
      <c r="B30" s="72"/>
      <c r="C30" s="73">
        <v>43525</v>
      </c>
      <c r="D30" s="74" t="s">
        <v>95</v>
      </c>
    </row>
    <row r="31" spans="2:4" ht="15" customHeight="1" thickBot="1" x14ac:dyDescent="0.2">
      <c r="B31" s="76"/>
      <c r="C31" s="77">
        <v>43497</v>
      </c>
      <c r="D31" s="78" t="s">
        <v>96</v>
      </c>
    </row>
    <row r="32" spans="2:4" ht="30" customHeight="1" x14ac:dyDescent="0.15">
      <c r="B32" s="69" t="s">
        <v>47</v>
      </c>
      <c r="C32" s="79">
        <v>44531</v>
      </c>
      <c r="D32" s="71" t="s">
        <v>97</v>
      </c>
    </row>
    <row r="33" spans="2:4" x14ac:dyDescent="0.15">
      <c r="B33" s="72"/>
      <c r="C33" s="80">
        <v>44501</v>
      </c>
      <c r="D33" s="74" t="s">
        <v>98</v>
      </c>
    </row>
    <row r="34" spans="2:4" x14ac:dyDescent="0.15">
      <c r="B34" s="72"/>
      <c r="C34" s="80">
        <v>44470</v>
      </c>
      <c r="D34" s="74" t="s">
        <v>99</v>
      </c>
    </row>
    <row r="35" spans="2:4" x14ac:dyDescent="0.15">
      <c r="B35" s="72"/>
      <c r="C35" s="80">
        <v>44409</v>
      </c>
      <c r="D35" s="74" t="s">
        <v>100</v>
      </c>
    </row>
    <row r="36" spans="2:4" x14ac:dyDescent="0.15">
      <c r="B36" s="72"/>
      <c r="C36" s="80">
        <v>44378</v>
      </c>
      <c r="D36" s="74" t="s">
        <v>101</v>
      </c>
    </row>
    <row r="37" spans="2:4" x14ac:dyDescent="0.15">
      <c r="B37" s="72"/>
      <c r="C37" s="80">
        <v>44317</v>
      </c>
      <c r="D37" s="74" t="s">
        <v>102</v>
      </c>
    </row>
    <row r="38" spans="2:4" x14ac:dyDescent="0.15">
      <c r="B38" s="72"/>
      <c r="C38" s="80">
        <v>44287</v>
      </c>
      <c r="D38" s="74" t="s">
        <v>103</v>
      </c>
    </row>
    <row r="39" spans="2:4" x14ac:dyDescent="0.15">
      <c r="B39" s="72"/>
      <c r="C39" s="80">
        <v>44075</v>
      </c>
      <c r="D39" s="74" t="s">
        <v>104</v>
      </c>
    </row>
    <row r="40" spans="2:4" x14ac:dyDescent="0.15">
      <c r="B40" s="72"/>
      <c r="C40" s="80">
        <v>43983</v>
      </c>
      <c r="D40" s="74" t="s">
        <v>105</v>
      </c>
    </row>
    <row r="41" spans="2:4" x14ac:dyDescent="0.15">
      <c r="B41" s="72"/>
      <c r="C41" s="80">
        <v>43952</v>
      </c>
      <c r="D41" s="74" t="s">
        <v>106</v>
      </c>
    </row>
    <row r="42" spans="2:4" x14ac:dyDescent="0.15">
      <c r="B42" s="72"/>
      <c r="C42" s="80">
        <v>43922</v>
      </c>
      <c r="D42" s="74" t="s">
        <v>107</v>
      </c>
    </row>
    <row r="43" spans="2:4" x14ac:dyDescent="0.15">
      <c r="B43" s="72"/>
      <c r="C43" s="80">
        <v>43770</v>
      </c>
      <c r="D43" s="74" t="s">
        <v>108</v>
      </c>
    </row>
    <row r="44" spans="2:4" x14ac:dyDescent="0.15">
      <c r="B44" s="72"/>
      <c r="C44" s="80">
        <v>43709</v>
      </c>
      <c r="D44" s="74" t="s">
        <v>109</v>
      </c>
    </row>
    <row r="45" spans="2:4" x14ac:dyDescent="0.15">
      <c r="B45" s="72"/>
      <c r="C45" s="80">
        <v>43678</v>
      </c>
      <c r="D45" s="74" t="s">
        <v>110</v>
      </c>
    </row>
    <row r="46" spans="2:4" x14ac:dyDescent="0.15">
      <c r="B46" s="72"/>
      <c r="C46" s="80">
        <v>43617</v>
      </c>
      <c r="D46" s="74" t="s">
        <v>111</v>
      </c>
    </row>
    <row r="47" spans="2:4" ht="15" customHeight="1" thickBot="1" x14ac:dyDescent="0.2">
      <c r="B47" s="72"/>
      <c r="C47" s="80">
        <v>43556</v>
      </c>
      <c r="D47" s="75" t="s">
        <v>112</v>
      </c>
    </row>
    <row r="48" spans="2:4" ht="30" customHeight="1" x14ac:dyDescent="0.15">
      <c r="B48" s="69" t="s">
        <v>36</v>
      </c>
      <c r="C48" s="79">
        <v>44501</v>
      </c>
      <c r="D48" s="71" t="s">
        <v>113</v>
      </c>
    </row>
    <row r="49" spans="2:4" x14ac:dyDescent="0.15">
      <c r="B49" s="72"/>
      <c r="C49" s="80">
        <v>44348</v>
      </c>
      <c r="D49" s="74" t="s">
        <v>114</v>
      </c>
    </row>
    <row r="50" spans="2:4" x14ac:dyDescent="0.15">
      <c r="B50" s="72"/>
      <c r="C50" s="80">
        <v>44317</v>
      </c>
      <c r="D50" s="74" t="s">
        <v>115</v>
      </c>
    </row>
    <row r="51" spans="2:4" x14ac:dyDescent="0.15">
      <c r="B51" s="72"/>
      <c r="C51" s="80">
        <v>44256</v>
      </c>
      <c r="D51" s="74" t="s">
        <v>116</v>
      </c>
    </row>
    <row r="52" spans="2:4" x14ac:dyDescent="0.15">
      <c r="B52" s="72"/>
      <c r="C52" s="80">
        <v>44228</v>
      </c>
      <c r="D52" s="74" t="s">
        <v>117</v>
      </c>
    </row>
    <row r="53" spans="2:4" x14ac:dyDescent="0.15">
      <c r="B53" s="72"/>
      <c r="C53" s="80">
        <v>43709</v>
      </c>
      <c r="D53" s="74" t="s">
        <v>118</v>
      </c>
    </row>
    <row r="54" spans="2:4" ht="15" customHeight="1" thickBot="1" x14ac:dyDescent="0.2">
      <c r="B54" s="76"/>
      <c r="C54" s="81">
        <v>43586</v>
      </c>
      <c r="D54" s="78" t="s">
        <v>119</v>
      </c>
    </row>
    <row r="55" spans="2:4" ht="15" customHeight="1" x14ac:dyDescent="0.15">
      <c r="B55" s="72" t="s">
        <v>22</v>
      </c>
      <c r="C55" s="80">
        <v>44531</v>
      </c>
      <c r="D55" s="74" t="s">
        <v>120</v>
      </c>
    </row>
    <row r="56" spans="2:4" x14ac:dyDescent="0.15">
      <c r="B56" s="72"/>
      <c r="C56" s="80">
        <v>44501</v>
      </c>
      <c r="D56" s="74" t="s">
        <v>121</v>
      </c>
    </row>
    <row r="57" spans="2:4" x14ac:dyDescent="0.15">
      <c r="B57" s="72"/>
      <c r="C57" s="80">
        <v>44470</v>
      </c>
      <c r="D57" s="74" t="s">
        <v>122</v>
      </c>
    </row>
    <row r="58" spans="2:4" x14ac:dyDescent="0.15">
      <c r="B58" s="72"/>
      <c r="C58" s="80">
        <v>44440</v>
      </c>
      <c r="D58" s="74" t="s">
        <v>123</v>
      </c>
    </row>
    <row r="59" spans="2:4" x14ac:dyDescent="0.15">
      <c r="B59" s="72"/>
      <c r="C59" s="80">
        <v>44409</v>
      </c>
      <c r="D59" s="74" t="s">
        <v>124</v>
      </c>
    </row>
    <row r="60" spans="2:4" x14ac:dyDescent="0.15">
      <c r="B60" s="72"/>
      <c r="C60" s="80">
        <v>44378</v>
      </c>
      <c r="D60" s="74" t="s">
        <v>125</v>
      </c>
    </row>
    <row r="61" spans="2:4" x14ac:dyDescent="0.15">
      <c r="B61" s="72"/>
      <c r="C61" s="80">
        <v>44348</v>
      </c>
      <c r="D61" s="74" t="s">
        <v>126</v>
      </c>
    </row>
    <row r="62" spans="2:4" x14ac:dyDescent="0.15">
      <c r="B62" s="72"/>
      <c r="C62" s="80">
        <v>44317</v>
      </c>
      <c r="D62" s="74" t="s">
        <v>127</v>
      </c>
    </row>
    <row r="63" spans="2:4" x14ac:dyDescent="0.15">
      <c r="B63" s="72"/>
      <c r="C63" s="80">
        <v>44287</v>
      </c>
      <c r="D63" s="74" t="s">
        <v>128</v>
      </c>
    </row>
    <row r="64" spans="2:4" x14ac:dyDescent="0.15">
      <c r="B64" s="72"/>
      <c r="C64" s="80">
        <v>44256</v>
      </c>
      <c r="D64" s="74" t="s">
        <v>129</v>
      </c>
    </row>
    <row r="65" spans="2:4" x14ac:dyDescent="0.15">
      <c r="B65" s="72"/>
      <c r="C65" s="80">
        <v>44228</v>
      </c>
      <c r="D65" s="74" t="s">
        <v>130</v>
      </c>
    </row>
    <row r="66" spans="2:4" x14ac:dyDescent="0.15">
      <c r="B66" s="72"/>
      <c r="C66" s="80">
        <v>44197</v>
      </c>
      <c r="D66" s="74" t="s">
        <v>131</v>
      </c>
    </row>
    <row r="67" spans="2:4" x14ac:dyDescent="0.15">
      <c r="B67" s="72"/>
      <c r="C67" s="80">
        <v>44166</v>
      </c>
      <c r="D67" s="74" t="s">
        <v>132</v>
      </c>
    </row>
    <row r="68" spans="2:4" x14ac:dyDescent="0.15">
      <c r="B68" s="72"/>
      <c r="C68" s="80">
        <v>44136</v>
      </c>
      <c r="D68" s="74" t="s">
        <v>133</v>
      </c>
    </row>
    <row r="69" spans="2:4" x14ac:dyDescent="0.15">
      <c r="B69" s="72"/>
      <c r="C69" s="80">
        <v>44105</v>
      </c>
      <c r="D69" s="74" t="s">
        <v>134</v>
      </c>
    </row>
    <row r="70" spans="2:4" x14ac:dyDescent="0.15">
      <c r="B70" s="72"/>
      <c r="C70" s="80">
        <v>44075</v>
      </c>
      <c r="D70" s="74" t="s">
        <v>135</v>
      </c>
    </row>
    <row r="71" spans="2:4" x14ac:dyDescent="0.15">
      <c r="B71" s="72"/>
      <c r="C71" s="80">
        <v>44044</v>
      </c>
      <c r="D71" s="74" t="s">
        <v>136</v>
      </c>
    </row>
    <row r="72" spans="2:4" x14ac:dyDescent="0.15">
      <c r="B72" s="72"/>
      <c r="C72" s="80">
        <v>43983</v>
      </c>
      <c r="D72" s="74" t="s">
        <v>137</v>
      </c>
    </row>
    <row r="73" spans="2:4" x14ac:dyDescent="0.15">
      <c r="B73" s="72"/>
      <c r="C73" s="80">
        <v>43952</v>
      </c>
      <c r="D73" s="74" t="s">
        <v>138</v>
      </c>
    </row>
    <row r="74" spans="2:4" x14ac:dyDescent="0.15">
      <c r="B74" s="72"/>
      <c r="C74" s="80">
        <v>43922</v>
      </c>
      <c r="D74" s="74" t="s">
        <v>139</v>
      </c>
    </row>
    <row r="75" spans="2:4" x14ac:dyDescent="0.15">
      <c r="B75" s="72"/>
      <c r="C75" s="80">
        <v>43891</v>
      </c>
      <c r="D75" s="74" t="s">
        <v>140</v>
      </c>
    </row>
    <row r="76" spans="2:4" x14ac:dyDescent="0.15">
      <c r="B76" s="72"/>
      <c r="C76" s="80">
        <v>43862</v>
      </c>
      <c r="D76" s="74" t="s">
        <v>141</v>
      </c>
    </row>
    <row r="77" spans="2:4" x14ac:dyDescent="0.15">
      <c r="B77" s="72"/>
      <c r="C77" s="80">
        <v>43831</v>
      </c>
      <c r="D77" s="74" t="s">
        <v>142</v>
      </c>
    </row>
    <row r="78" spans="2:4" x14ac:dyDescent="0.15">
      <c r="B78" s="72"/>
      <c r="C78" s="80">
        <v>43800</v>
      </c>
      <c r="D78" s="74" t="s">
        <v>143</v>
      </c>
    </row>
    <row r="79" spans="2:4" x14ac:dyDescent="0.15">
      <c r="B79" s="72"/>
      <c r="C79" s="80">
        <v>43770</v>
      </c>
      <c r="D79" s="74" t="s">
        <v>144</v>
      </c>
    </row>
    <row r="80" spans="2:4" x14ac:dyDescent="0.15">
      <c r="B80" s="72"/>
      <c r="C80" s="80">
        <v>43739</v>
      </c>
      <c r="D80" s="74" t="s">
        <v>145</v>
      </c>
    </row>
    <row r="81" spans="2:4" x14ac:dyDescent="0.15">
      <c r="B81" s="72"/>
      <c r="C81" s="80">
        <v>43709</v>
      </c>
      <c r="D81" s="74" t="s">
        <v>146</v>
      </c>
    </row>
    <row r="82" spans="2:4" x14ac:dyDescent="0.15">
      <c r="B82" s="72"/>
      <c r="C82" s="80">
        <v>43678</v>
      </c>
      <c r="D82" s="74" t="s">
        <v>147</v>
      </c>
    </row>
    <row r="83" spans="2:4" x14ac:dyDescent="0.15">
      <c r="B83" s="72"/>
      <c r="C83" s="80">
        <v>43647</v>
      </c>
      <c r="D83" s="74" t="s">
        <v>148</v>
      </c>
    </row>
    <row r="84" spans="2:4" x14ac:dyDescent="0.15">
      <c r="B84" s="72"/>
      <c r="C84" s="80">
        <v>43617</v>
      </c>
      <c r="D84" s="74" t="s">
        <v>149</v>
      </c>
    </row>
    <row r="85" spans="2:4" x14ac:dyDescent="0.15">
      <c r="B85" s="72"/>
      <c r="C85" s="80">
        <v>43586</v>
      </c>
      <c r="D85" s="74" t="s">
        <v>150</v>
      </c>
    </row>
    <row r="86" spans="2:4" x14ac:dyDescent="0.15">
      <c r="B86" s="72"/>
      <c r="C86" s="80">
        <v>43556</v>
      </c>
      <c r="D86" s="75" t="s">
        <v>151</v>
      </c>
    </row>
    <row r="87" spans="2:4" x14ac:dyDescent="0.15">
      <c r="B87" s="72"/>
      <c r="C87" s="80">
        <v>43525</v>
      </c>
      <c r="D87" s="74" t="s">
        <v>152</v>
      </c>
    </row>
    <row r="88" spans="2:4" x14ac:dyDescent="0.15">
      <c r="B88" s="72"/>
      <c r="C88" s="80">
        <v>43497</v>
      </c>
      <c r="D88" s="74" t="s">
        <v>153</v>
      </c>
    </row>
    <row r="89" spans="2:4" ht="15" customHeight="1" thickBot="1" x14ac:dyDescent="0.2">
      <c r="B89" s="72"/>
      <c r="C89" s="80">
        <v>43466</v>
      </c>
      <c r="D89" s="75" t="s">
        <v>154</v>
      </c>
    </row>
    <row r="90" spans="2:4" ht="15" customHeight="1" x14ac:dyDescent="0.15">
      <c r="B90" s="69" t="s">
        <v>46</v>
      </c>
      <c r="C90" s="79">
        <v>44501</v>
      </c>
      <c r="D90" s="86" t="s">
        <v>155</v>
      </c>
    </row>
    <row r="91" spans="2:4" x14ac:dyDescent="0.15">
      <c r="B91" s="72"/>
      <c r="C91" s="80">
        <v>44470</v>
      </c>
      <c r="D91" s="75" t="s">
        <v>156</v>
      </c>
    </row>
    <row r="92" spans="2:4" x14ac:dyDescent="0.15">
      <c r="B92" s="72"/>
      <c r="C92" s="80">
        <v>44440</v>
      </c>
      <c r="D92" s="75" t="s">
        <v>157</v>
      </c>
    </row>
    <row r="93" spans="2:4" x14ac:dyDescent="0.15">
      <c r="B93" s="72"/>
      <c r="C93" s="80">
        <v>44409</v>
      </c>
      <c r="D93" s="75" t="s">
        <v>158</v>
      </c>
    </row>
    <row r="94" spans="2:4" x14ac:dyDescent="0.15">
      <c r="B94" s="72"/>
      <c r="C94" s="80">
        <v>44348</v>
      </c>
      <c r="D94" s="75" t="s">
        <v>159</v>
      </c>
    </row>
    <row r="95" spans="2:4" x14ac:dyDescent="0.15">
      <c r="B95" s="72"/>
      <c r="C95" s="80">
        <v>44287</v>
      </c>
      <c r="D95" s="75" t="s">
        <v>160</v>
      </c>
    </row>
    <row r="96" spans="2:4" x14ac:dyDescent="0.15">
      <c r="B96" s="72"/>
      <c r="C96" s="80">
        <v>44256</v>
      </c>
      <c r="D96" s="75" t="s">
        <v>161</v>
      </c>
    </row>
    <row r="97" spans="2:4" x14ac:dyDescent="0.15">
      <c r="B97" s="72"/>
      <c r="C97" s="80">
        <v>44228</v>
      </c>
      <c r="D97" s="75" t="s">
        <v>162</v>
      </c>
    </row>
    <row r="98" spans="2:4" x14ac:dyDescent="0.15">
      <c r="B98" s="72"/>
      <c r="C98" s="80">
        <v>44197</v>
      </c>
      <c r="D98" s="75" t="s">
        <v>163</v>
      </c>
    </row>
    <row r="99" spans="2:4" x14ac:dyDescent="0.15">
      <c r="B99" s="72"/>
      <c r="C99" s="80">
        <v>44166</v>
      </c>
      <c r="D99" s="75" t="s">
        <v>164</v>
      </c>
    </row>
    <row r="100" spans="2:4" x14ac:dyDescent="0.15">
      <c r="B100" s="72"/>
      <c r="C100" s="80">
        <v>44136</v>
      </c>
      <c r="D100" s="75" t="s">
        <v>165</v>
      </c>
    </row>
    <row r="101" spans="2:4" x14ac:dyDescent="0.15">
      <c r="B101" s="72"/>
      <c r="C101" s="80">
        <v>44105</v>
      </c>
      <c r="D101" s="75" t="s">
        <v>166</v>
      </c>
    </row>
    <row r="102" spans="2:4" x14ac:dyDescent="0.15">
      <c r="B102" s="72"/>
      <c r="C102" s="80">
        <v>44075</v>
      </c>
      <c r="D102" s="75" t="s">
        <v>167</v>
      </c>
    </row>
    <row r="103" spans="2:4" x14ac:dyDescent="0.15">
      <c r="B103" s="72"/>
      <c r="C103" s="80">
        <v>44044</v>
      </c>
      <c r="D103" s="75" t="s">
        <v>168</v>
      </c>
    </row>
    <row r="104" spans="2:4" x14ac:dyDescent="0.15">
      <c r="B104" s="72"/>
      <c r="C104" s="80">
        <v>44013</v>
      </c>
      <c r="D104" s="75" t="s">
        <v>169</v>
      </c>
    </row>
    <row r="105" spans="2:4" x14ac:dyDescent="0.15">
      <c r="B105" s="72"/>
      <c r="C105" s="80">
        <v>43983</v>
      </c>
      <c r="D105" s="75" t="s">
        <v>170</v>
      </c>
    </row>
    <row r="106" spans="2:4" x14ac:dyDescent="0.15">
      <c r="B106" s="72"/>
      <c r="C106" s="80">
        <v>43952</v>
      </c>
      <c r="D106" s="75" t="s">
        <v>171</v>
      </c>
    </row>
    <row r="107" spans="2:4" x14ac:dyDescent="0.15">
      <c r="B107" s="72"/>
      <c r="C107" s="80">
        <v>43922</v>
      </c>
      <c r="D107" s="75" t="s">
        <v>172</v>
      </c>
    </row>
    <row r="108" spans="2:4" ht="15" customHeight="1" thickBot="1" x14ac:dyDescent="0.2">
      <c r="B108" s="76"/>
      <c r="C108" s="81">
        <v>43891</v>
      </c>
      <c r="D108" s="82" t="s">
        <v>173</v>
      </c>
    </row>
    <row r="109" spans="2:4" ht="15" customHeight="1" x14ac:dyDescent="0.15">
      <c r="B109" s="72" t="s">
        <v>43</v>
      </c>
      <c r="C109" s="80">
        <v>44531</v>
      </c>
      <c r="D109" s="74" t="s">
        <v>174</v>
      </c>
    </row>
    <row r="110" spans="2:4" x14ac:dyDescent="0.15">
      <c r="B110" s="72"/>
      <c r="C110" s="80">
        <v>44501</v>
      </c>
      <c r="D110" s="74" t="s">
        <v>175</v>
      </c>
    </row>
    <row r="111" spans="2:4" x14ac:dyDescent="0.15">
      <c r="B111" s="72"/>
      <c r="C111" s="80">
        <v>44440</v>
      </c>
      <c r="D111" s="74" t="s">
        <v>176</v>
      </c>
    </row>
    <row r="112" spans="2:4" x14ac:dyDescent="0.15">
      <c r="B112" s="72"/>
      <c r="C112" s="80">
        <v>44348</v>
      </c>
      <c r="D112" s="74" t="s">
        <v>177</v>
      </c>
    </row>
    <row r="113" spans="2:4" x14ac:dyDescent="0.15">
      <c r="B113" s="72"/>
      <c r="C113" s="80">
        <v>44317</v>
      </c>
      <c r="D113" s="74" t="s">
        <v>178</v>
      </c>
    </row>
    <row r="114" spans="2:4" x14ac:dyDescent="0.15">
      <c r="B114" s="72"/>
      <c r="C114" s="80">
        <v>44287</v>
      </c>
      <c r="D114" s="74" t="s">
        <v>179</v>
      </c>
    </row>
    <row r="115" spans="2:4" x14ac:dyDescent="0.15">
      <c r="B115" s="72"/>
      <c r="C115" s="80">
        <v>44256</v>
      </c>
      <c r="D115" s="74" t="s">
        <v>180</v>
      </c>
    </row>
    <row r="116" spans="2:4" x14ac:dyDescent="0.15">
      <c r="B116" s="72"/>
      <c r="C116" s="80">
        <v>44228</v>
      </c>
      <c r="D116" s="74" t="s">
        <v>181</v>
      </c>
    </row>
    <row r="117" spans="2:4" x14ac:dyDescent="0.15">
      <c r="B117" s="72"/>
      <c r="C117" s="80">
        <v>44197</v>
      </c>
      <c r="D117" s="74" t="s">
        <v>182</v>
      </c>
    </row>
    <row r="118" spans="2:4" x14ac:dyDescent="0.15">
      <c r="B118" s="72"/>
      <c r="C118" s="80">
        <v>44136</v>
      </c>
      <c r="D118" s="74" t="s">
        <v>183</v>
      </c>
    </row>
    <row r="119" spans="2:4" x14ac:dyDescent="0.15">
      <c r="B119" s="72"/>
      <c r="C119" s="80">
        <v>44105</v>
      </c>
      <c r="D119" s="74" t="s">
        <v>184</v>
      </c>
    </row>
    <row r="120" spans="2:4" x14ac:dyDescent="0.15">
      <c r="B120" s="72"/>
      <c r="C120" s="80">
        <v>44075</v>
      </c>
      <c r="D120" s="74" t="s">
        <v>185</v>
      </c>
    </row>
    <row r="121" spans="2:4" x14ac:dyDescent="0.15">
      <c r="B121" s="72"/>
      <c r="C121" s="80">
        <v>44044</v>
      </c>
      <c r="D121" s="74" t="s">
        <v>186</v>
      </c>
    </row>
    <row r="122" spans="2:4" x14ac:dyDescent="0.15">
      <c r="B122" s="72"/>
      <c r="C122" s="80">
        <v>44013</v>
      </c>
      <c r="D122" s="74" t="s">
        <v>187</v>
      </c>
    </row>
    <row r="123" spans="2:4" x14ac:dyDescent="0.15">
      <c r="B123" s="72"/>
      <c r="C123" s="80">
        <v>43983</v>
      </c>
      <c r="D123" s="74" t="s">
        <v>188</v>
      </c>
    </row>
    <row r="124" spans="2:4" x14ac:dyDescent="0.15">
      <c r="B124" s="72"/>
      <c r="C124" s="80">
        <v>43952</v>
      </c>
      <c r="D124" s="74" t="s">
        <v>189</v>
      </c>
    </row>
    <row r="125" spans="2:4" x14ac:dyDescent="0.15">
      <c r="B125" s="72"/>
      <c r="C125" s="80">
        <v>43922</v>
      </c>
      <c r="D125" s="74" t="s">
        <v>190</v>
      </c>
    </row>
    <row r="126" spans="2:4" x14ac:dyDescent="0.15">
      <c r="B126" s="72"/>
      <c r="C126" s="80">
        <v>43862</v>
      </c>
      <c r="D126" s="74" t="s">
        <v>191</v>
      </c>
    </row>
    <row r="127" spans="2:4" x14ac:dyDescent="0.15">
      <c r="B127" s="72"/>
      <c r="C127" s="80">
        <v>43831</v>
      </c>
      <c r="D127" s="74" t="s">
        <v>192</v>
      </c>
    </row>
    <row r="128" spans="2:4" x14ac:dyDescent="0.15">
      <c r="B128" s="72"/>
      <c r="C128" s="80">
        <v>43770</v>
      </c>
      <c r="D128" s="74" t="s">
        <v>193</v>
      </c>
    </row>
    <row r="129" spans="2:4" x14ac:dyDescent="0.15">
      <c r="B129" s="72"/>
      <c r="C129" s="80">
        <v>43739</v>
      </c>
      <c r="D129" s="74" t="s">
        <v>194</v>
      </c>
    </row>
    <row r="130" spans="2:4" x14ac:dyDescent="0.15">
      <c r="B130" s="72"/>
      <c r="C130" s="80">
        <v>43709</v>
      </c>
      <c r="D130" s="74" t="s">
        <v>195</v>
      </c>
    </row>
    <row r="131" spans="2:4" x14ac:dyDescent="0.15">
      <c r="B131" s="72"/>
      <c r="C131" s="80">
        <v>43678</v>
      </c>
      <c r="D131" s="74" t="s">
        <v>196</v>
      </c>
    </row>
    <row r="132" spans="2:4" x14ac:dyDescent="0.15">
      <c r="B132" s="72"/>
      <c r="C132" s="80">
        <v>43586</v>
      </c>
      <c r="D132" s="74" t="s">
        <v>197</v>
      </c>
    </row>
    <row r="133" spans="2:4" ht="15" customHeight="1" thickBot="1" x14ac:dyDescent="0.2">
      <c r="B133" s="76"/>
      <c r="C133" s="81">
        <v>43497</v>
      </c>
      <c r="D133" s="78" t="s">
        <v>198</v>
      </c>
    </row>
    <row r="134" spans="2:4" ht="30" customHeight="1" x14ac:dyDescent="0.15">
      <c r="B134" s="69" t="s">
        <v>34</v>
      </c>
      <c r="C134" s="79">
        <v>44531</v>
      </c>
      <c r="D134" s="71" t="s">
        <v>199</v>
      </c>
    </row>
    <row r="135" spans="2:4" x14ac:dyDescent="0.15">
      <c r="B135" s="72"/>
      <c r="C135" s="80">
        <v>44501</v>
      </c>
      <c r="D135" s="74" t="s">
        <v>200</v>
      </c>
    </row>
    <row r="136" spans="2:4" x14ac:dyDescent="0.15">
      <c r="B136" s="72"/>
      <c r="C136" s="80">
        <v>44470</v>
      </c>
      <c r="D136" s="74" t="s">
        <v>201</v>
      </c>
    </row>
    <row r="137" spans="2:4" x14ac:dyDescent="0.15">
      <c r="B137" s="72"/>
      <c r="C137" s="80">
        <v>44440</v>
      </c>
      <c r="D137" s="74" t="s">
        <v>202</v>
      </c>
    </row>
    <row r="138" spans="2:4" x14ac:dyDescent="0.15">
      <c r="B138" s="72"/>
      <c r="C138" s="80">
        <v>44409</v>
      </c>
      <c r="D138" s="74" t="s">
        <v>203</v>
      </c>
    </row>
    <row r="139" spans="2:4" x14ac:dyDescent="0.15">
      <c r="B139" s="72"/>
      <c r="C139" s="80">
        <v>44378</v>
      </c>
      <c r="D139" s="74" t="s">
        <v>204</v>
      </c>
    </row>
    <row r="140" spans="2:4" x14ac:dyDescent="0.15">
      <c r="B140" s="72"/>
      <c r="C140" s="80">
        <v>44348</v>
      </c>
      <c r="D140" s="74" t="s">
        <v>205</v>
      </c>
    </row>
    <row r="141" spans="2:4" x14ac:dyDescent="0.15">
      <c r="B141" s="72"/>
      <c r="C141" s="80">
        <v>44317</v>
      </c>
      <c r="D141" s="74" t="s">
        <v>206</v>
      </c>
    </row>
    <row r="142" spans="2:4" x14ac:dyDescent="0.15">
      <c r="B142" s="72"/>
      <c r="C142" s="80">
        <v>44287</v>
      </c>
      <c r="D142" s="74" t="s">
        <v>207</v>
      </c>
    </row>
    <row r="143" spans="2:4" x14ac:dyDescent="0.15">
      <c r="B143" s="72"/>
      <c r="C143" s="80">
        <v>44256</v>
      </c>
      <c r="D143" s="74" t="s">
        <v>208</v>
      </c>
    </row>
    <row r="144" spans="2:4" x14ac:dyDescent="0.15">
      <c r="B144" s="72"/>
      <c r="C144" s="80">
        <v>44228</v>
      </c>
      <c r="D144" s="74" t="s">
        <v>209</v>
      </c>
    </row>
    <row r="145" spans="2:4" x14ac:dyDescent="0.15">
      <c r="B145" s="72"/>
      <c r="C145" s="80">
        <v>44197</v>
      </c>
      <c r="D145" s="74" t="s">
        <v>210</v>
      </c>
    </row>
    <row r="146" spans="2:4" x14ac:dyDescent="0.15">
      <c r="B146" s="72"/>
      <c r="C146" s="80">
        <v>44166</v>
      </c>
      <c r="D146" s="74" t="s">
        <v>211</v>
      </c>
    </row>
    <row r="147" spans="2:4" x14ac:dyDescent="0.15">
      <c r="B147" s="72"/>
      <c r="C147" s="80">
        <v>44105</v>
      </c>
      <c r="D147" s="74" t="s">
        <v>212</v>
      </c>
    </row>
    <row r="148" spans="2:4" x14ac:dyDescent="0.15">
      <c r="B148" s="72"/>
      <c r="C148" s="80">
        <v>44105</v>
      </c>
      <c r="D148" s="74" t="s">
        <v>213</v>
      </c>
    </row>
    <row r="149" spans="2:4" x14ac:dyDescent="0.15">
      <c r="B149" s="72"/>
      <c r="C149" s="80">
        <v>44075</v>
      </c>
      <c r="D149" s="74" t="s">
        <v>214</v>
      </c>
    </row>
    <row r="150" spans="2:4" x14ac:dyDescent="0.15">
      <c r="B150" s="72"/>
      <c r="C150" s="80">
        <v>44044</v>
      </c>
      <c r="D150" s="74" t="s">
        <v>215</v>
      </c>
    </row>
    <row r="151" spans="2:4" x14ac:dyDescent="0.15">
      <c r="B151" s="72"/>
      <c r="C151" s="80">
        <v>44013</v>
      </c>
      <c r="D151" s="74" t="s">
        <v>216</v>
      </c>
    </row>
    <row r="152" spans="2:4" x14ac:dyDescent="0.15">
      <c r="B152" s="72"/>
      <c r="C152" s="80">
        <v>43983</v>
      </c>
      <c r="D152" s="74" t="s">
        <v>217</v>
      </c>
    </row>
    <row r="153" spans="2:4" x14ac:dyDescent="0.15">
      <c r="B153" s="72"/>
      <c r="C153" s="80">
        <v>43952</v>
      </c>
      <c r="D153" s="74" t="s">
        <v>218</v>
      </c>
    </row>
    <row r="154" spans="2:4" x14ac:dyDescent="0.15">
      <c r="B154" s="72"/>
      <c r="C154" s="80">
        <v>43922</v>
      </c>
      <c r="D154" s="74" t="s">
        <v>219</v>
      </c>
    </row>
    <row r="155" spans="2:4" x14ac:dyDescent="0.15">
      <c r="B155" s="72"/>
      <c r="C155" s="80">
        <v>43891</v>
      </c>
      <c r="D155" s="74" t="s">
        <v>220</v>
      </c>
    </row>
    <row r="156" spans="2:4" x14ac:dyDescent="0.15">
      <c r="B156" s="72"/>
      <c r="C156" s="80">
        <v>43862</v>
      </c>
      <c r="D156" s="74" t="s">
        <v>221</v>
      </c>
    </row>
    <row r="157" spans="2:4" x14ac:dyDescent="0.15">
      <c r="B157" s="72"/>
      <c r="C157" s="80">
        <v>43831</v>
      </c>
      <c r="D157" s="74" t="s">
        <v>222</v>
      </c>
    </row>
    <row r="158" spans="2:4" x14ac:dyDescent="0.15">
      <c r="B158" s="72"/>
      <c r="C158" s="80">
        <v>43770</v>
      </c>
      <c r="D158" s="74" t="s">
        <v>223</v>
      </c>
    </row>
    <row r="159" spans="2:4" x14ac:dyDescent="0.15">
      <c r="B159" s="72"/>
      <c r="C159" s="80">
        <v>43709</v>
      </c>
      <c r="D159" s="74" t="s">
        <v>224</v>
      </c>
    </row>
    <row r="160" spans="2:4" x14ac:dyDescent="0.15">
      <c r="B160" s="72"/>
      <c r="C160" s="80">
        <v>43647</v>
      </c>
      <c r="D160" s="74" t="s">
        <v>225</v>
      </c>
    </row>
    <row r="161" spans="2:4" x14ac:dyDescent="0.15">
      <c r="B161" s="72"/>
      <c r="C161" s="80">
        <v>43617</v>
      </c>
      <c r="D161" s="74" t="s">
        <v>226</v>
      </c>
    </row>
    <row r="162" spans="2:4" x14ac:dyDescent="0.15">
      <c r="B162" s="72"/>
      <c r="C162" s="80">
        <v>43586</v>
      </c>
      <c r="D162" s="74" t="s">
        <v>227</v>
      </c>
    </row>
    <row r="163" spans="2:4" x14ac:dyDescent="0.15">
      <c r="B163" s="72"/>
      <c r="C163" s="80">
        <v>43556</v>
      </c>
      <c r="D163" s="75" t="s">
        <v>228</v>
      </c>
    </row>
    <row r="164" spans="2:4" x14ac:dyDescent="0.15">
      <c r="B164" s="72"/>
      <c r="C164" s="80">
        <v>43525</v>
      </c>
      <c r="D164" s="74" t="s">
        <v>229</v>
      </c>
    </row>
    <row r="165" spans="2:4" ht="15" customHeight="1" thickBot="1" x14ac:dyDescent="0.2">
      <c r="B165" s="76"/>
      <c r="C165" s="81">
        <v>43497</v>
      </c>
      <c r="D165" s="78" t="s">
        <v>230</v>
      </c>
    </row>
    <row r="166" spans="2:4" ht="15" customHeight="1" x14ac:dyDescent="0.15">
      <c r="B166" s="69" t="s">
        <v>44</v>
      </c>
      <c r="C166" s="79">
        <v>44531</v>
      </c>
      <c r="D166" s="71" t="s">
        <v>231</v>
      </c>
    </row>
    <row r="167" spans="2:4" x14ac:dyDescent="0.15">
      <c r="B167" s="72"/>
      <c r="C167" s="80">
        <v>44470</v>
      </c>
      <c r="D167" s="74" t="s">
        <v>232</v>
      </c>
    </row>
    <row r="168" spans="2:4" x14ac:dyDescent="0.15">
      <c r="B168" s="72"/>
      <c r="C168" s="80">
        <v>44440</v>
      </c>
      <c r="D168" s="74" t="s">
        <v>233</v>
      </c>
    </row>
    <row r="169" spans="2:4" x14ac:dyDescent="0.15">
      <c r="B169" s="72"/>
      <c r="C169" s="80">
        <v>44409</v>
      </c>
      <c r="D169" s="74" t="s">
        <v>234</v>
      </c>
    </row>
    <row r="170" spans="2:4" x14ac:dyDescent="0.15">
      <c r="B170" s="72"/>
      <c r="C170" s="80">
        <v>44348</v>
      </c>
      <c r="D170" s="74" t="s">
        <v>235</v>
      </c>
    </row>
    <row r="171" spans="2:4" x14ac:dyDescent="0.15">
      <c r="B171" s="72"/>
      <c r="C171" s="80">
        <v>44287</v>
      </c>
      <c r="D171" s="74" t="s">
        <v>236</v>
      </c>
    </row>
    <row r="172" spans="2:4" x14ac:dyDescent="0.15">
      <c r="B172" s="72"/>
      <c r="C172" s="80">
        <v>44256</v>
      </c>
      <c r="D172" s="74" t="s">
        <v>237</v>
      </c>
    </row>
    <row r="173" spans="2:4" x14ac:dyDescent="0.15">
      <c r="B173" s="72"/>
      <c r="C173" s="80">
        <v>44228</v>
      </c>
      <c r="D173" s="74" t="s">
        <v>238</v>
      </c>
    </row>
    <row r="174" spans="2:4" x14ac:dyDescent="0.15">
      <c r="B174" s="72"/>
      <c r="C174" s="80">
        <v>44197</v>
      </c>
      <c r="D174" s="74" t="s">
        <v>239</v>
      </c>
    </row>
    <row r="175" spans="2:4" x14ac:dyDescent="0.15">
      <c r="B175" s="72"/>
      <c r="C175" s="80">
        <v>44136</v>
      </c>
      <c r="D175" s="74" t="s">
        <v>240</v>
      </c>
    </row>
    <row r="176" spans="2:4" x14ac:dyDescent="0.15">
      <c r="B176" s="72"/>
      <c r="C176" s="80">
        <v>44105</v>
      </c>
      <c r="D176" s="74" t="s">
        <v>241</v>
      </c>
    </row>
    <row r="177" spans="2:4" x14ac:dyDescent="0.15">
      <c r="B177" s="72"/>
      <c r="C177" s="80">
        <v>44044</v>
      </c>
      <c r="D177" s="74" t="s">
        <v>242</v>
      </c>
    </row>
    <row r="178" spans="2:4" x14ac:dyDescent="0.15">
      <c r="B178" s="72"/>
      <c r="C178" s="80">
        <v>43983</v>
      </c>
      <c r="D178" s="74" t="s">
        <v>243</v>
      </c>
    </row>
    <row r="179" spans="2:4" x14ac:dyDescent="0.15">
      <c r="B179" s="72"/>
      <c r="C179" s="80">
        <v>43952</v>
      </c>
      <c r="D179" s="74" t="s">
        <v>244</v>
      </c>
    </row>
    <row r="180" spans="2:4" x14ac:dyDescent="0.15">
      <c r="B180" s="72"/>
      <c r="C180" s="80">
        <v>43891</v>
      </c>
      <c r="D180" s="74" t="s">
        <v>245</v>
      </c>
    </row>
    <row r="181" spans="2:4" x14ac:dyDescent="0.15">
      <c r="B181" s="72"/>
      <c r="C181" s="80">
        <v>43800</v>
      </c>
      <c r="D181" s="74" t="s">
        <v>246</v>
      </c>
    </row>
    <row r="182" spans="2:4" x14ac:dyDescent="0.15">
      <c r="B182" s="72"/>
      <c r="C182" s="80">
        <v>43709</v>
      </c>
      <c r="D182" s="74" t="s">
        <v>247</v>
      </c>
    </row>
    <row r="183" spans="2:4" x14ac:dyDescent="0.15">
      <c r="B183" s="72"/>
      <c r="C183" s="80">
        <v>43647</v>
      </c>
      <c r="D183" s="74" t="s">
        <v>248</v>
      </c>
    </row>
    <row r="184" spans="2:4" ht="15" customHeight="1" thickBot="1" x14ac:dyDescent="0.2">
      <c r="B184" s="76"/>
      <c r="C184" s="81">
        <v>43586</v>
      </c>
      <c r="D184" s="78" t="s">
        <v>249</v>
      </c>
    </row>
    <row r="185" spans="2:4" ht="45" customHeight="1" x14ac:dyDescent="0.15">
      <c r="B185" s="69" t="s">
        <v>28</v>
      </c>
      <c r="C185" s="79">
        <v>44501</v>
      </c>
      <c r="D185" s="71" t="s">
        <v>250</v>
      </c>
    </row>
    <row r="186" spans="2:4" x14ac:dyDescent="0.15">
      <c r="B186" s="72"/>
      <c r="C186" s="80">
        <v>44470</v>
      </c>
      <c r="D186" s="74" t="s">
        <v>251</v>
      </c>
    </row>
    <row r="187" spans="2:4" x14ac:dyDescent="0.15">
      <c r="B187" s="72"/>
      <c r="C187" s="80">
        <v>44440</v>
      </c>
      <c r="D187" s="74" t="s">
        <v>252</v>
      </c>
    </row>
    <row r="188" spans="2:4" x14ac:dyDescent="0.15">
      <c r="B188" s="72"/>
      <c r="C188" s="80">
        <v>44409</v>
      </c>
      <c r="D188" s="74" t="s">
        <v>253</v>
      </c>
    </row>
    <row r="189" spans="2:4" x14ac:dyDescent="0.15">
      <c r="B189" s="72"/>
      <c r="C189" s="80">
        <v>44378</v>
      </c>
      <c r="D189" s="74" t="s">
        <v>254</v>
      </c>
    </row>
    <row r="190" spans="2:4" x14ac:dyDescent="0.15">
      <c r="B190" s="72"/>
      <c r="C190" s="80">
        <v>44317</v>
      </c>
      <c r="D190" s="74" t="s">
        <v>255</v>
      </c>
    </row>
    <row r="191" spans="2:4" x14ac:dyDescent="0.15">
      <c r="B191" s="72"/>
      <c r="C191" s="80">
        <v>44136</v>
      </c>
      <c r="D191" s="74" t="s">
        <v>256</v>
      </c>
    </row>
    <row r="192" spans="2:4" x14ac:dyDescent="0.15">
      <c r="B192" s="72"/>
      <c r="C192" s="80">
        <v>44136</v>
      </c>
      <c r="D192" s="74" t="s">
        <v>257</v>
      </c>
    </row>
    <row r="193" spans="2:4" x14ac:dyDescent="0.15">
      <c r="B193" s="72"/>
      <c r="C193" s="80">
        <v>44013</v>
      </c>
      <c r="D193" s="74" t="s">
        <v>258</v>
      </c>
    </row>
    <row r="194" spans="2:4" x14ac:dyDescent="0.15">
      <c r="B194" s="72"/>
      <c r="C194" s="80">
        <v>43922</v>
      </c>
      <c r="D194" s="74" t="s">
        <v>259</v>
      </c>
    </row>
    <row r="195" spans="2:4" x14ac:dyDescent="0.15">
      <c r="B195" s="72"/>
      <c r="C195" s="80">
        <v>43891</v>
      </c>
      <c r="D195" s="74" t="s">
        <v>260</v>
      </c>
    </row>
    <row r="196" spans="2:4" x14ac:dyDescent="0.15">
      <c r="B196" s="72"/>
      <c r="C196" s="80">
        <v>43862</v>
      </c>
      <c r="D196" s="74" t="s">
        <v>261</v>
      </c>
    </row>
    <row r="197" spans="2:4" x14ac:dyDescent="0.15">
      <c r="B197" s="72"/>
      <c r="C197" s="80">
        <v>43831</v>
      </c>
      <c r="D197" s="74" t="s">
        <v>262</v>
      </c>
    </row>
    <row r="198" spans="2:4" x14ac:dyDescent="0.15">
      <c r="B198" s="72"/>
      <c r="C198" s="80">
        <v>43800</v>
      </c>
      <c r="D198" s="74" t="s">
        <v>263</v>
      </c>
    </row>
    <row r="199" spans="2:4" x14ac:dyDescent="0.15">
      <c r="B199" s="72"/>
      <c r="C199" s="80">
        <v>43770</v>
      </c>
      <c r="D199" s="74" t="s">
        <v>264</v>
      </c>
    </row>
    <row r="200" spans="2:4" x14ac:dyDescent="0.15">
      <c r="B200" s="72"/>
      <c r="C200" s="80">
        <v>43709</v>
      </c>
      <c r="D200" s="74" t="s">
        <v>265</v>
      </c>
    </row>
    <row r="201" spans="2:4" x14ac:dyDescent="0.15">
      <c r="B201" s="72"/>
      <c r="C201" s="80">
        <v>43678</v>
      </c>
      <c r="D201" s="74" t="s">
        <v>266</v>
      </c>
    </row>
    <row r="202" spans="2:4" x14ac:dyDescent="0.15">
      <c r="B202" s="72"/>
      <c r="C202" s="80">
        <v>43647</v>
      </c>
      <c r="D202" s="74" t="s">
        <v>267</v>
      </c>
    </row>
    <row r="203" spans="2:4" x14ac:dyDescent="0.15">
      <c r="B203" s="72"/>
      <c r="C203" s="80">
        <v>43617</v>
      </c>
      <c r="D203" s="74" t="s">
        <v>268</v>
      </c>
    </row>
    <row r="204" spans="2:4" x14ac:dyDescent="0.15">
      <c r="B204" s="72"/>
      <c r="C204" s="80">
        <v>43556</v>
      </c>
      <c r="D204" s="75" t="s">
        <v>269</v>
      </c>
    </row>
    <row r="205" spans="2:4" x14ac:dyDescent="0.15">
      <c r="B205" s="72"/>
      <c r="C205" s="80">
        <v>43525</v>
      </c>
      <c r="D205" s="74" t="s">
        <v>270</v>
      </c>
    </row>
    <row r="206" spans="2:4" x14ac:dyDescent="0.15">
      <c r="B206" s="72"/>
      <c r="C206" s="80">
        <v>43497</v>
      </c>
      <c r="D206" s="74" t="s">
        <v>271</v>
      </c>
    </row>
    <row r="207" spans="2:4" ht="15" customHeight="1" thickBot="1" x14ac:dyDescent="0.2">
      <c r="B207" s="76"/>
      <c r="C207" s="81">
        <v>43466</v>
      </c>
      <c r="D207" s="82" t="s">
        <v>272</v>
      </c>
    </row>
    <row r="208" spans="2:4" ht="15" customHeight="1" x14ac:dyDescent="0.15">
      <c r="B208" s="69" t="s">
        <v>48</v>
      </c>
      <c r="C208" s="79">
        <v>44409</v>
      </c>
      <c r="D208" s="71" t="s">
        <v>273</v>
      </c>
    </row>
    <row r="209" spans="2:4" x14ac:dyDescent="0.15">
      <c r="B209" s="72"/>
      <c r="C209" s="80">
        <v>44348</v>
      </c>
      <c r="D209" s="74" t="s">
        <v>274</v>
      </c>
    </row>
    <row r="210" spans="2:4" x14ac:dyDescent="0.15">
      <c r="B210" s="72"/>
      <c r="C210" s="80">
        <v>44317</v>
      </c>
      <c r="D210" s="74" t="s">
        <v>275</v>
      </c>
    </row>
    <row r="211" spans="2:4" x14ac:dyDescent="0.15">
      <c r="B211" s="72"/>
      <c r="C211" s="80">
        <v>44256</v>
      </c>
      <c r="D211" s="74" t="s">
        <v>276</v>
      </c>
    </row>
    <row r="212" spans="2:4" x14ac:dyDescent="0.15">
      <c r="B212" s="72"/>
      <c r="C212" s="80">
        <v>44197</v>
      </c>
      <c r="D212" s="74" t="s">
        <v>277</v>
      </c>
    </row>
    <row r="213" spans="2:4" x14ac:dyDescent="0.15">
      <c r="B213" s="72"/>
      <c r="C213" s="80">
        <v>44136</v>
      </c>
      <c r="D213" s="74" t="s">
        <v>278</v>
      </c>
    </row>
    <row r="214" spans="2:4" x14ac:dyDescent="0.15">
      <c r="B214" s="72"/>
      <c r="C214" s="80">
        <v>44075</v>
      </c>
      <c r="D214" s="74" t="s">
        <v>279</v>
      </c>
    </row>
    <row r="215" spans="2:4" x14ac:dyDescent="0.15">
      <c r="B215" s="72"/>
      <c r="C215" s="80">
        <v>43983</v>
      </c>
      <c r="D215" s="74" t="s">
        <v>280</v>
      </c>
    </row>
    <row r="216" spans="2:4" x14ac:dyDescent="0.15">
      <c r="B216" s="72"/>
      <c r="C216" s="80">
        <v>43891</v>
      </c>
      <c r="D216" s="74" t="s">
        <v>281</v>
      </c>
    </row>
    <row r="217" spans="2:4" x14ac:dyDescent="0.15">
      <c r="B217" s="72"/>
      <c r="C217" s="80">
        <v>43862</v>
      </c>
      <c r="D217" s="74" t="s">
        <v>282</v>
      </c>
    </row>
    <row r="218" spans="2:4" x14ac:dyDescent="0.15">
      <c r="B218" s="72"/>
      <c r="C218" s="80">
        <v>43800</v>
      </c>
      <c r="D218" s="74" t="s">
        <v>283</v>
      </c>
    </row>
    <row r="219" spans="2:4" x14ac:dyDescent="0.15">
      <c r="B219" s="72"/>
      <c r="C219" s="80">
        <v>43739</v>
      </c>
      <c r="D219" s="74" t="s">
        <v>284</v>
      </c>
    </row>
    <row r="220" spans="2:4" x14ac:dyDescent="0.15">
      <c r="B220" s="72"/>
      <c r="C220" s="80">
        <v>43647</v>
      </c>
      <c r="D220" s="74" t="s">
        <v>285</v>
      </c>
    </row>
    <row r="221" spans="2:4" x14ac:dyDescent="0.15">
      <c r="B221" s="72"/>
      <c r="C221" s="80">
        <v>43586</v>
      </c>
      <c r="D221" s="74" t="s">
        <v>286</v>
      </c>
    </row>
    <row r="222" spans="2:4" x14ac:dyDescent="0.15">
      <c r="B222" s="72"/>
      <c r="C222" s="80">
        <v>43556</v>
      </c>
      <c r="D222" s="75" t="s">
        <v>287</v>
      </c>
    </row>
    <row r="223" spans="2:4" x14ac:dyDescent="0.15">
      <c r="B223" s="72"/>
      <c r="C223" s="80">
        <v>43525</v>
      </c>
      <c r="D223" s="74" t="s">
        <v>288</v>
      </c>
    </row>
    <row r="224" spans="2:4" ht="15" customHeight="1" thickBot="1" x14ac:dyDescent="0.2">
      <c r="B224" s="72"/>
      <c r="C224" s="80">
        <v>43497</v>
      </c>
      <c r="D224" s="74" t="s">
        <v>289</v>
      </c>
    </row>
    <row r="225" spans="2:4" ht="15" customHeight="1" x14ac:dyDescent="0.15">
      <c r="B225" s="69" t="s">
        <v>32</v>
      </c>
      <c r="C225" s="79">
        <v>44531</v>
      </c>
      <c r="D225" s="71" t="s">
        <v>290</v>
      </c>
    </row>
    <row r="226" spans="2:4" x14ac:dyDescent="0.15">
      <c r="B226" s="72"/>
      <c r="C226" s="80">
        <v>44197</v>
      </c>
      <c r="D226" s="74" t="s">
        <v>291</v>
      </c>
    </row>
    <row r="227" spans="2:4" x14ac:dyDescent="0.15">
      <c r="B227" s="72"/>
      <c r="C227" s="80">
        <v>43983</v>
      </c>
      <c r="D227" s="74" t="s">
        <v>292</v>
      </c>
    </row>
    <row r="228" spans="2:4" x14ac:dyDescent="0.15">
      <c r="B228" s="72"/>
      <c r="C228" s="80">
        <v>43770</v>
      </c>
      <c r="D228" s="74" t="s">
        <v>293</v>
      </c>
    </row>
    <row r="229" spans="2:4" ht="15" customHeight="1" thickBot="1" x14ac:dyDescent="0.2">
      <c r="B229" s="76"/>
      <c r="C229" s="81"/>
      <c r="D229" s="78" t="s">
        <v>294</v>
      </c>
    </row>
    <row r="230" spans="2:4" ht="45" customHeight="1" x14ac:dyDescent="0.15">
      <c r="B230" s="72" t="s">
        <v>40</v>
      </c>
      <c r="C230" s="80">
        <v>44531</v>
      </c>
      <c r="D230" s="74" t="s">
        <v>295</v>
      </c>
    </row>
    <row r="231" spans="2:4" x14ac:dyDescent="0.15">
      <c r="B231" s="72"/>
      <c r="C231" s="80">
        <v>44470</v>
      </c>
      <c r="D231" s="74" t="s">
        <v>296</v>
      </c>
    </row>
    <row r="232" spans="2:4" x14ac:dyDescent="0.15">
      <c r="B232" s="72"/>
      <c r="C232" s="80">
        <v>44440</v>
      </c>
      <c r="D232" s="74" t="s">
        <v>297</v>
      </c>
    </row>
    <row r="233" spans="2:4" x14ac:dyDescent="0.15">
      <c r="B233" s="72"/>
      <c r="C233" s="80">
        <v>44409</v>
      </c>
      <c r="D233" s="74" t="s">
        <v>298</v>
      </c>
    </row>
    <row r="234" spans="2:4" x14ac:dyDescent="0.15">
      <c r="B234" s="72"/>
      <c r="C234" s="80">
        <v>44378</v>
      </c>
      <c r="D234" s="74" t="s">
        <v>299</v>
      </c>
    </row>
    <row r="235" spans="2:4" x14ac:dyDescent="0.15">
      <c r="B235" s="72"/>
      <c r="C235" s="80">
        <v>44317</v>
      </c>
      <c r="D235" s="74" t="s">
        <v>300</v>
      </c>
    </row>
    <row r="236" spans="2:4" x14ac:dyDescent="0.15">
      <c r="B236" s="72"/>
      <c r="C236" s="80">
        <v>44287</v>
      </c>
      <c r="D236" s="74" t="s">
        <v>301</v>
      </c>
    </row>
    <row r="237" spans="2:4" x14ac:dyDescent="0.15">
      <c r="B237" s="72"/>
      <c r="C237" s="80">
        <v>44256</v>
      </c>
      <c r="D237" s="74" t="s">
        <v>302</v>
      </c>
    </row>
    <row r="238" spans="2:4" x14ac:dyDescent="0.15">
      <c r="B238" s="72"/>
      <c r="C238" s="80">
        <v>44228</v>
      </c>
      <c r="D238" s="74" t="s">
        <v>303</v>
      </c>
    </row>
    <row r="239" spans="2:4" x14ac:dyDescent="0.15">
      <c r="B239" s="72"/>
      <c r="C239" s="80">
        <v>44166</v>
      </c>
      <c r="D239" s="74" t="s">
        <v>304</v>
      </c>
    </row>
    <row r="240" spans="2:4" x14ac:dyDescent="0.15">
      <c r="B240" s="72"/>
      <c r="C240" s="80">
        <v>44136</v>
      </c>
      <c r="D240" s="74" t="s">
        <v>305</v>
      </c>
    </row>
    <row r="241" spans="2:4" x14ac:dyDescent="0.15">
      <c r="B241" s="72"/>
      <c r="C241" s="80">
        <v>44105</v>
      </c>
      <c r="D241" s="74" t="s">
        <v>306</v>
      </c>
    </row>
    <row r="242" spans="2:4" x14ac:dyDescent="0.15">
      <c r="B242" s="72"/>
      <c r="C242" s="80">
        <v>44075</v>
      </c>
      <c r="D242" s="74" t="s">
        <v>307</v>
      </c>
    </row>
    <row r="243" spans="2:4" x14ac:dyDescent="0.15">
      <c r="B243" s="72"/>
      <c r="C243" s="80">
        <v>44044</v>
      </c>
      <c r="D243" s="74" t="s">
        <v>308</v>
      </c>
    </row>
    <row r="244" spans="2:4" x14ac:dyDescent="0.15">
      <c r="B244" s="72"/>
      <c r="C244" s="80">
        <v>44013</v>
      </c>
      <c r="D244" s="74" t="s">
        <v>309</v>
      </c>
    </row>
    <row r="245" spans="2:4" x14ac:dyDescent="0.15">
      <c r="B245" s="72"/>
      <c r="C245" s="80">
        <v>43862</v>
      </c>
      <c r="D245" s="74" t="s">
        <v>310</v>
      </c>
    </row>
    <row r="246" spans="2:4" x14ac:dyDescent="0.15">
      <c r="B246" s="72"/>
      <c r="C246" s="80">
        <v>43800</v>
      </c>
      <c r="D246" s="74" t="s">
        <v>311</v>
      </c>
    </row>
    <row r="247" spans="2:4" x14ac:dyDescent="0.15">
      <c r="B247" s="72"/>
      <c r="C247" s="80">
        <v>43770</v>
      </c>
      <c r="D247" s="74" t="s">
        <v>312</v>
      </c>
    </row>
    <row r="248" spans="2:4" x14ac:dyDescent="0.15">
      <c r="B248" s="72"/>
      <c r="C248" s="80">
        <v>43739</v>
      </c>
      <c r="D248" s="74" t="s">
        <v>313</v>
      </c>
    </row>
    <row r="249" spans="2:4" x14ac:dyDescent="0.15">
      <c r="B249" s="72"/>
      <c r="C249" s="80">
        <v>43678</v>
      </c>
      <c r="D249" s="74" t="s">
        <v>314</v>
      </c>
    </row>
    <row r="250" spans="2:4" x14ac:dyDescent="0.15">
      <c r="B250" s="72"/>
      <c r="C250" s="80">
        <v>43647</v>
      </c>
      <c r="D250" s="74" t="s">
        <v>315</v>
      </c>
    </row>
    <row r="251" spans="2:4" x14ac:dyDescent="0.15">
      <c r="B251" s="72"/>
      <c r="C251" s="80">
        <v>43617</v>
      </c>
      <c r="D251" s="74" t="s">
        <v>316</v>
      </c>
    </row>
    <row r="252" spans="2:4" x14ac:dyDescent="0.15">
      <c r="B252" s="72"/>
      <c r="C252" s="80">
        <v>43556</v>
      </c>
      <c r="D252" s="75" t="s">
        <v>317</v>
      </c>
    </row>
    <row r="253" spans="2:4" x14ac:dyDescent="0.15">
      <c r="B253" s="72"/>
      <c r="C253" s="80">
        <v>43525</v>
      </c>
      <c r="D253" s="74" t="s">
        <v>318</v>
      </c>
    </row>
    <row r="254" spans="2:4" ht="15" customHeight="1" thickBot="1" x14ac:dyDescent="0.2">
      <c r="B254" s="76"/>
      <c r="C254" s="81">
        <v>43466</v>
      </c>
      <c r="D254" s="82" t="s">
        <v>319</v>
      </c>
    </row>
    <row r="255" spans="2:4" ht="15" customHeight="1" x14ac:dyDescent="0.15">
      <c r="B255" s="69" t="s">
        <v>42</v>
      </c>
      <c r="C255" s="79">
        <v>44501</v>
      </c>
      <c r="D255" s="71" t="s">
        <v>320</v>
      </c>
    </row>
    <row r="256" spans="2:4" x14ac:dyDescent="0.15">
      <c r="B256" s="72"/>
      <c r="C256" s="80">
        <v>44470</v>
      </c>
      <c r="D256" s="74" t="s">
        <v>321</v>
      </c>
    </row>
    <row r="257" spans="2:4" x14ac:dyDescent="0.15">
      <c r="B257" s="72"/>
      <c r="C257" s="80">
        <v>44440</v>
      </c>
      <c r="D257" s="74" t="s">
        <v>322</v>
      </c>
    </row>
    <row r="258" spans="2:4" x14ac:dyDescent="0.15">
      <c r="B258" s="72"/>
      <c r="C258" s="80">
        <v>44409</v>
      </c>
      <c r="D258" s="74" t="s">
        <v>323</v>
      </c>
    </row>
    <row r="259" spans="2:4" x14ac:dyDescent="0.15">
      <c r="B259" s="72"/>
      <c r="C259" s="80">
        <v>44378</v>
      </c>
      <c r="D259" s="74" t="s">
        <v>324</v>
      </c>
    </row>
    <row r="260" spans="2:4" x14ac:dyDescent="0.15">
      <c r="B260" s="72"/>
      <c r="C260" s="80">
        <v>44287</v>
      </c>
      <c r="D260" s="74" t="s">
        <v>325</v>
      </c>
    </row>
    <row r="261" spans="2:4" x14ac:dyDescent="0.15">
      <c r="B261" s="72"/>
      <c r="C261" s="80">
        <v>44197</v>
      </c>
      <c r="D261" s="74" t="s">
        <v>326</v>
      </c>
    </row>
    <row r="262" spans="2:4" x14ac:dyDescent="0.15">
      <c r="B262" s="72"/>
      <c r="C262" s="80">
        <v>44013</v>
      </c>
      <c r="D262" s="74" t="s">
        <v>327</v>
      </c>
    </row>
    <row r="263" spans="2:4" x14ac:dyDescent="0.15">
      <c r="B263" s="72"/>
      <c r="C263" s="80">
        <v>43952</v>
      </c>
      <c r="D263" s="74" t="s">
        <v>328</v>
      </c>
    </row>
    <row r="264" spans="2:4" x14ac:dyDescent="0.15">
      <c r="B264" s="72"/>
      <c r="C264" s="80">
        <v>43891</v>
      </c>
      <c r="D264" s="74" t="s">
        <v>329</v>
      </c>
    </row>
    <row r="265" spans="2:4" x14ac:dyDescent="0.15">
      <c r="B265" s="72"/>
      <c r="C265" s="80">
        <v>43800</v>
      </c>
      <c r="D265" s="74" t="s">
        <v>330</v>
      </c>
    </row>
    <row r="266" spans="2:4" x14ac:dyDescent="0.15">
      <c r="B266" s="72"/>
      <c r="C266" s="80">
        <v>43739</v>
      </c>
      <c r="D266" s="74" t="s">
        <v>331</v>
      </c>
    </row>
    <row r="267" spans="2:4" x14ac:dyDescent="0.15">
      <c r="B267" s="72"/>
      <c r="C267" s="80">
        <v>43617</v>
      </c>
      <c r="D267" s="74" t="s">
        <v>332</v>
      </c>
    </row>
    <row r="268" spans="2:4" x14ac:dyDescent="0.15">
      <c r="B268" s="72"/>
      <c r="C268" s="80">
        <v>43617</v>
      </c>
      <c r="D268" s="74" t="s">
        <v>333</v>
      </c>
    </row>
    <row r="269" spans="2:4" x14ac:dyDescent="0.15">
      <c r="B269" s="72"/>
      <c r="C269" s="80">
        <v>43586</v>
      </c>
      <c r="D269" s="74" t="s">
        <v>334</v>
      </c>
    </row>
    <row r="270" spans="2:4" x14ac:dyDescent="0.15">
      <c r="B270" s="72"/>
      <c r="C270" s="80">
        <v>43556</v>
      </c>
      <c r="D270" s="75" t="s">
        <v>335</v>
      </c>
    </row>
    <row r="271" spans="2:4" x14ac:dyDescent="0.15">
      <c r="B271" s="72"/>
      <c r="C271" s="80">
        <v>43525</v>
      </c>
      <c r="D271" s="74" t="s">
        <v>336</v>
      </c>
    </row>
    <row r="272" spans="2:4" ht="15" customHeight="1" thickBot="1" x14ac:dyDescent="0.2">
      <c r="B272" s="76"/>
      <c r="C272" s="81">
        <v>43466</v>
      </c>
      <c r="D272" s="82" t="s">
        <v>337</v>
      </c>
    </row>
    <row r="273" spans="2:4" ht="30" customHeight="1" x14ac:dyDescent="0.15">
      <c r="B273" s="69" t="s">
        <v>45</v>
      </c>
      <c r="C273" s="79">
        <v>44470</v>
      </c>
      <c r="D273" s="71" t="s">
        <v>338</v>
      </c>
    </row>
    <row r="274" spans="2:4" x14ac:dyDescent="0.15">
      <c r="B274" s="72"/>
      <c r="C274" s="80">
        <v>44440</v>
      </c>
      <c r="D274" s="74" t="s">
        <v>339</v>
      </c>
    </row>
    <row r="275" spans="2:4" x14ac:dyDescent="0.15">
      <c r="B275" s="72"/>
      <c r="C275" s="80">
        <v>44409</v>
      </c>
      <c r="D275" s="74" t="s">
        <v>340</v>
      </c>
    </row>
    <row r="276" spans="2:4" x14ac:dyDescent="0.15">
      <c r="B276" s="72"/>
      <c r="C276" s="80">
        <v>44378</v>
      </c>
      <c r="D276" s="74" t="s">
        <v>341</v>
      </c>
    </row>
    <row r="277" spans="2:4" x14ac:dyDescent="0.15">
      <c r="B277" s="72"/>
      <c r="C277" s="80">
        <v>44317</v>
      </c>
      <c r="D277" s="74" t="s">
        <v>342</v>
      </c>
    </row>
    <row r="278" spans="2:4" x14ac:dyDescent="0.15">
      <c r="B278" s="72"/>
      <c r="C278" s="80">
        <v>44287</v>
      </c>
      <c r="D278" s="74" t="s">
        <v>343</v>
      </c>
    </row>
    <row r="279" spans="2:4" x14ac:dyDescent="0.15">
      <c r="B279" s="72"/>
      <c r="C279" s="80">
        <v>44256</v>
      </c>
      <c r="D279" s="74" t="s">
        <v>344</v>
      </c>
    </row>
    <row r="280" spans="2:4" x14ac:dyDescent="0.15">
      <c r="B280" s="72"/>
      <c r="C280" s="80">
        <v>44166</v>
      </c>
      <c r="D280" s="74" t="s">
        <v>345</v>
      </c>
    </row>
    <row r="281" spans="2:4" x14ac:dyDescent="0.15">
      <c r="B281" s="72"/>
      <c r="C281" s="80">
        <v>44013</v>
      </c>
      <c r="D281" s="74" t="s">
        <v>346</v>
      </c>
    </row>
    <row r="282" spans="2:4" x14ac:dyDescent="0.15">
      <c r="B282" s="72"/>
      <c r="C282" s="80">
        <v>43983</v>
      </c>
      <c r="D282" s="74" t="s">
        <v>347</v>
      </c>
    </row>
    <row r="283" spans="2:4" x14ac:dyDescent="0.15">
      <c r="B283" s="72"/>
      <c r="C283" s="80">
        <v>43862</v>
      </c>
      <c r="D283" s="74" t="s">
        <v>348</v>
      </c>
    </row>
    <row r="284" spans="2:4" x14ac:dyDescent="0.15">
      <c r="B284" s="72"/>
      <c r="C284" s="80">
        <v>43831</v>
      </c>
      <c r="D284" s="74" t="s">
        <v>349</v>
      </c>
    </row>
    <row r="285" spans="2:4" x14ac:dyDescent="0.15">
      <c r="B285" s="72"/>
      <c r="C285" s="80">
        <v>43739</v>
      </c>
      <c r="D285" s="74" t="s">
        <v>350</v>
      </c>
    </row>
    <row r="286" spans="2:4" x14ac:dyDescent="0.15">
      <c r="B286" s="72"/>
      <c r="C286" s="80">
        <v>43678</v>
      </c>
      <c r="D286" s="74" t="s">
        <v>351</v>
      </c>
    </row>
    <row r="287" spans="2:4" x14ac:dyDescent="0.15">
      <c r="B287" s="72"/>
      <c r="C287" s="80">
        <v>43525</v>
      </c>
      <c r="D287" s="74" t="s">
        <v>352</v>
      </c>
    </row>
    <row r="288" spans="2:4" ht="15" customHeight="1" thickBot="1" x14ac:dyDescent="0.2">
      <c r="B288" s="76"/>
      <c r="C288" s="81">
        <v>43466</v>
      </c>
      <c r="D288" s="82" t="s">
        <v>353</v>
      </c>
    </row>
    <row r="289" spans="2:4" ht="15" customHeight="1" x14ac:dyDescent="0.15">
      <c r="B289" s="69" t="s">
        <v>30</v>
      </c>
      <c r="C289" s="79">
        <v>44531</v>
      </c>
      <c r="D289" s="71" t="s">
        <v>354</v>
      </c>
    </row>
    <row r="290" spans="2:4" x14ac:dyDescent="0.15">
      <c r="B290" s="72"/>
      <c r="C290" s="80">
        <v>44501</v>
      </c>
      <c r="D290" s="74" t="s">
        <v>355</v>
      </c>
    </row>
    <row r="291" spans="2:4" x14ac:dyDescent="0.15">
      <c r="B291" s="72"/>
      <c r="C291" s="80">
        <v>44440</v>
      </c>
      <c r="D291" s="74" t="s">
        <v>356</v>
      </c>
    </row>
    <row r="292" spans="2:4" x14ac:dyDescent="0.15">
      <c r="B292" s="72"/>
      <c r="C292" s="80">
        <v>44409</v>
      </c>
      <c r="D292" s="74" t="s">
        <v>357</v>
      </c>
    </row>
    <row r="293" spans="2:4" x14ac:dyDescent="0.15">
      <c r="B293" s="72"/>
      <c r="C293" s="80">
        <v>44378</v>
      </c>
      <c r="D293" s="74" t="s">
        <v>358</v>
      </c>
    </row>
    <row r="294" spans="2:4" x14ac:dyDescent="0.15">
      <c r="B294" s="72"/>
      <c r="C294" s="80">
        <v>44348</v>
      </c>
      <c r="D294" s="74" t="s">
        <v>359</v>
      </c>
    </row>
    <row r="295" spans="2:4" x14ac:dyDescent="0.15">
      <c r="B295" s="72"/>
      <c r="C295" s="80">
        <v>44317</v>
      </c>
      <c r="D295" s="74" t="s">
        <v>360</v>
      </c>
    </row>
    <row r="296" spans="2:4" x14ac:dyDescent="0.15">
      <c r="B296" s="72"/>
      <c r="C296" s="80">
        <v>44256</v>
      </c>
      <c r="D296" s="74" t="s">
        <v>361</v>
      </c>
    </row>
    <row r="297" spans="2:4" x14ac:dyDescent="0.15">
      <c r="B297" s="72"/>
      <c r="C297" s="80">
        <v>44228</v>
      </c>
      <c r="D297" s="74" t="s">
        <v>362</v>
      </c>
    </row>
    <row r="298" spans="2:4" x14ac:dyDescent="0.15">
      <c r="B298" s="72"/>
      <c r="C298" s="80">
        <v>44197</v>
      </c>
      <c r="D298" s="74" t="s">
        <v>363</v>
      </c>
    </row>
    <row r="299" spans="2:4" x14ac:dyDescent="0.15">
      <c r="B299" s="72"/>
      <c r="C299" s="80">
        <v>44136</v>
      </c>
      <c r="D299" s="74" t="s">
        <v>364</v>
      </c>
    </row>
    <row r="300" spans="2:4" x14ac:dyDescent="0.15">
      <c r="B300" s="72"/>
      <c r="C300" s="80">
        <v>44105</v>
      </c>
      <c r="D300" s="74" t="s">
        <v>365</v>
      </c>
    </row>
    <row r="301" spans="2:4" x14ac:dyDescent="0.15">
      <c r="B301" s="72"/>
      <c r="C301" s="80">
        <v>44075</v>
      </c>
      <c r="D301" s="74" t="s">
        <v>366</v>
      </c>
    </row>
    <row r="302" spans="2:4" x14ac:dyDescent="0.15">
      <c r="B302" s="72"/>
      <c r="C302" s="80">
        <v>44044</v>
      </c>
      <c r="D302" s="74" t="s">
        <v>367</v>
      </c>
    </row>
    <row r="303" spans="2:4" x14ac:dyDescent="0.15">
      <c r="B303" s="72"/>
      <c r="C303" s="80">
        <v>44013</v>
      </c>
      <c r="D303" s="74" t="s">
        <v>368</v>
      </c>
    </row>
    <row r="304" spans="2:4" x14ac:dyDescent="0.15">
      <c r="B304" s="72"/>
      <c r="C304" s="80">
        <v>43952</v>
      </c>
      <c r="D304" s="74" t="s">
        <v>369</v>
      </c>
    </row>
    <row r="305" spans="2:4" x14ac:dyDescent="0.15">
      <c r="B305" s="72"/>
      <c r="C305" s="80">
        <v>43922</v>
      </c>
      <c r="D305" s="74" t="s">
        <v>370</v>
      </c>
    </row>
    <row r="306" spans="2:4" x14ac:dyDescent="0.15">
      <c r="B306" s="72"/>
      <c r="C306" s="80">
        <v>43891</v>
      </c>
      <c r="D306" s="74" t="s">
        <v>371</v>
      </c>
    </row>
    <row r="307" spans="2:4" x14ac:dyDescent="0.15">
      <c r="B307" s="72"/>
      <c r="C307" s="80">
        <v>43862</v>
      </c>
      <c r="D307" s="74" t="s">
        <v>372</v>
      </c>
    </row>
    <row r="308" spans="2:4" x14ac:dyDescent="0.15">
      <c r="B308" s="72"/>
      <c r="C308" s="80">
        <v>43800</v>
      </c>
      <c r="D308" s="74" t="s">
        <v>373</v>
      </c>
    </row>
    <row r="309" spans="2:4" x14ac:dyDescent="0.15">
      <c r="B309" s="72"/>
      <c r="C309" s="80">
        <v>43709</v>
      </c>
      <c r="D309" s="74" t="s">
        <v>374</v>
      </c>
    </row>
    <row r="310" spans="2:4" x14ac:dyDescent="0.15">
      <c r="B310" s="72"/>
      <c r="C310" s="80">
        <v>43678</v>
      </c>
      <c r="D310" s="74" t="s">
        <v>375</v>
      </c>
    </row>
    <row r="311" spans="2:4" x14ac:dyDescent="0.15">
      <c r="B311" s="72"/>
      <c r="C311" s="80">
        <v>43647</v>
      </c>
      <c r="D311" s="74" t="s">
        <v>376</v>
      </c>
    </row>
    <row r="312" spans="2:4" x14ac:dyDescent="0.15">
      <c r="B312" s="72"/>
      <c r="C312" s="80">
        <v>43617</v>
      </c>
      <c r="D312" s="74" t="s">
        <v>377</v>
      </c>
    </row>
    <row r="313" spans="2:4" x14ac:dyDescent="0.15">
      <c r="B313" s="72"/>
      <c r="C313" s="80">
        <v>43586</v>
      </c>
      <c r="D313" s="74" t="s">
        <v>378</v>
      </c>
    </row>
    <row r="314" spans="2:4" x14ac:dyDescent="0.15">
      <c r="B314" s="72"/>
      <c r="C314" s="80">
        <v>43556</v>
      </c>
      <c r="D314" s="75" t="s">
        <v>379</v>
      </c>
    </row>
    <row r="315" spans="2:4" x14ac:dyDescent="0.15">
      <c r="B315" s="72"/>
      <c r="C315" s="80">
        <v>43497</v>
      </c>
      <c r="D315" s="74" t="s">
        <v>380</v>
      </c>
    </row>
    <row r="316" spans="2:4" ht="15" customHeight="1" thickBot="1" x14ac:dyDescent="0.2">
      <c r="B316" s="76"/>
      <c r="C316" s="81">
        <v>43466</v>
      </c>
      <c r="D316" s="82" t="s">
        <v>381</v>
      </c>
    </row>
    <row r="317" spans="2:4" ht="30" customHeight="1" x14ac:dyDescent="0.15">
      <c r="B317" s="69" t="s">
        <v>25</v>
      </c>
      <c r="C317" s="79">
        <v>44501</v>
      </c>
      <c r="D317" s="71" t="s">
        <v>382</v>
      </c>
    </row>
    <row r="318" spans="2:4" x14ac:dyDescent="0.15">
      <c r="B318" s="72"/>
      <c r="C318" s="80">
        <v>44348</v>
      </c>
      <c r="D318" s="74" t="s">
        <v>383</v>
      </c>
    </row>
    <row r="319" spans="2:4" x14ac:dyDescent="0.15">
      <c r="B319" s="72"/>
      <c r="C319" s="80">
        <v>44348</v>
      </c>
      <c r="D319" s="74" t="s">
        <v>384</v>
      </c>
    </row>
    <row r="320" spans="2:4" x14ac:dyDescent="0.15">
      <c r="B320" s="72"/>
      <c r="C320" s="80">
        <v>44166</v>
      </c>
      <c r="D320" s="74" t="s">
        <v>385</v>
      </c>
    </row>
    <row r="321" spans="2:4" x14ac:dyDescent="0.15">
      <c r="B321" s="72"/>
      <c r="C321" s="80">
        <v>43862</v>
      </c>
      <c r="D321" s="74" t="s">
        <v>386</v>
      </c>
    </row>
    <row r="322" spans="2:4" x14ac:dyDescent="0.15">
      <c r="B322" s="72"/>
      <c r="C322" s="80">
        <v>43770</v>
      </c>
      <c r="D322" s="74" t="s">
        <v>387</v>
      </c>
    </row>
    <row r="323" spans="2:4" x14ac:dyDescent="0.15">
      <c r="B323" s="72"/>
      <c r="C323" s="80">
        <v>43739</v>
      </c>
      <c r="D323" s="74" t="s">
        <v>388</v>
      </c>
    </row>
    <row r="324" spans="2:4" x14ac:dyDescent="0.15">
      <c r="B324" s="72"/>
      <c r="C324" s="80">
        <v>43678</v>
      </c>
      <c r="D324" s="74" t="s">
        <v>389</v>
      </c>
    </row>
    <row r="325" spans="2:4" x14ac:dyDescent="0.15">
      <c r="B325" s="72"/>
      <c r="C325" s="80">
        <v>43617</v>
      </c>
      <c r="D325" s="74" t="s">
        <v>390</v>
      </c>
    </row>
    <row r="326" spans="2:4" x14ac:dyDescent="0.15">
      <c r="B326" s="72"/>
      <c r="C326" s="80">
        <v>43525</v>
      </c>
      <c r="D326" s="74" t="s">
        <v>391</v>
      </c>
    </row>
    <row r="327" spans="2:4" ht="15" customHeight="1" thickBot="1" x14ac:dyDescent="0.2">
      <c r="B327" s="76"/>
      <c r="C327" s="81">
        <v>43466</v>
      </c>
      <c r="D327" s="82" t="s">
        <v>392</v>
      </c>
    </row>
    <row r="328" spans="2:4" ht="15" customHeight="1" x14ac:dyDescent="0.15">
      <c r="B328" s="69" t="s">
        <v>38</v>
      </c>
      <c r="C328" s="79">
        <v>44531</v>
      </c>
      <c r="D328" s="71" t="s">
        <v>393</v>
      </c>
    </row>
    <row r="329" spans="2:4" x14ac:dyDescent="0.15">
      <c r="B329" s="72"/>
      <c r="C329" s="80">
        <v>44287</v>
      </c>
      <c r="D329" s="74" t="s">
        <v>394</v>
      </c>
    </row>
    <row r="330" spans="2:4" x14ac:dyDescent="0.15">
      <c r="B330" s="72"/>
      <c r="C330" s="80">
        <v>44287</v>
      </c>
      <c r="D330" s="74" t="s">
        <v>395</v>
      </c>
    </row>
    <row r="331" spans="2:4" x14ac:dyDescent="0.15">
      <c r="B331" s="72"/>
      <c r="C331" s="80">
        <v>44228</v>
      </c>
      <c r="D331" s="74" t="s">
        <v>396</v>
      </c>
    </row>
    <row r="332" spans="2:4" x14ac:dyDescent="0.15">
      <c r="B332" s="72"/>
      <c r="C332" s="80">
        <v>44197</v>
      </c>
      <c r="D332" s="74" t="s">
        <v>397</v>
      </c>
    </row>
    <row r="333" spans="2:4" x14ac:dyDescent="0.15">
      <c r="B333" s="72"/>
      <c r="C333" s="80">
        <v>44166</v>
      </c>
      <c r="D333" s="74" t="s">
        <v>398</v>
      </c>
    </row>
    <row r="334" spans="2:4" x14ac:dyDescent="0.15">
      <c r="B334" s="72"/>
      <c r="C334" s="80">
        <v>44013</v>
      </c>
      <c r="D334" s="74" t="s">
        <v>399</v>
      </c>
    </row>
    <row r="335" spans="2:4" x14ac:dyDescent="0.15">
      <c r="B335" s="72"/>
      <c r="C335" s="80">
        <v>43800</v>
      </c>
      <c r="D335" s="74" t="s">
        <v>400</v>
      </c>
    </row>
    <row r="336" spans="2:4" x14ac:dyDescent="0.15">
      <c r="B336" s="72"/>
      <c r="C336" s="80">
        <v>43586</v>
      </c>
      <c r="D336" s="74" t="s">
        <v>401</v>
      </c>
    </row>
    <row r="337" spans="2:4" ht="15" customHeight="1" thickBot="1" x14ac:dyDescent="0.2">
      <c r="B337" s="76"/>
      <c r="C337" s="81">
        <v>43497</v>
      </c>
      <c r="D337" s="78" t="s">
        <v>402</v>
      </c>
    </row>
    <row r="338" spans="2:4" ht="15" customHeight="1" x14ac:dyDescent="0.15">
      <c r="B338" s="69" t="s">
        <v>19</v>
      </c>
      <c r="C338" s="79">
        <v>44531</v>
      </c>
      <c r="D338" s="71" t="s">
        <v>403</v>
      </c>
    </row>
    <row r="339" spans="2:4" x14ac:dyDescent="0.15">
      <c r="B339" s="72"/>
      <c r="C339" s="80">
        <v>44501</v>
      </c>
      <c r="D339" s="74" t="s">
        <v>404</v>
      </c>
    </row>
    <row r="340" spans="2:4" x14ac:dyDescent="0.15">
      <c r="B340" s="72"/>
      <c r="C340" s="80">
        <v>44470</v>
      </c>
      <c r="D340" s="74" t="s">
        <v>405</v>
      </c>
    </row>
    <row r="341" spans="2:4" x14ac:dyDescent="0.15">
      <c r="B341" s="72"/>
      <c r="C341" s="80">
        <v>44440</v>
      </c>
      <c r="D341" s="74" t="s">
        <v>406</v>
      </c>
    </row>
    <row r="342" spans="2:4" x14ac:dyDescent="0.15">
      <c r="B342" s="72"/>
      <c r="C342" s="80">
        <v>44409</v>
      </c>
      <c r="D342" s="74" t="s">
        <v>407</v>
      </c>
    </row>
    <row r="343" spans="2:4" x14ac:dyDescent="0.15">
      <c r="B343" s="72"/>
      <c r="C343" s="80">
        <v>44378</v>
      </c>
      <c r="D343" s="74" t="s">
        <v>408</v>
      </c>
    </row>
    <row r="344" spans="2:4" x14ac:dyDescent="0.15">
      <c r="B344" s="72"/>
      <c r="C344" s="80">
        <v>44348</v>
      </c>
      <c r="D344" s="74" t="s">
        <v>409</v>
      </c>
    </row>
    <row r="345" spans="2:4" x14ac:dyDescent="0.15">
      <c r="B345" s="72"/>
      <c r="C345" s="80">
        <v>44317</v>
      </c>
      <c r="D345" s="74" t="s">
        <v>410</v>
      </c>
    </row>
    <row r="346" spans="2:4" x14ac:dyDescent="0.15">
      <c r="B346" s="72"/>
      <c r="C346" s="80">
        <v>44287</v>
      </c>
      <c r="D346" s="74" t="s">
        <v>411</v>
      </c>
    </row>
    <row r="347" spans="2:4" x14ac:dyDescent="0.15">
      <c r="B347" s="72"/>
      <c r="C347" s="80">
        <v>44256</v>
      </c>
      <c r="D347" s="74" t="s">
        <v>412</v>
      </c>
    </row>
    <row r="348" spans="2:4" x14ac:dyDescent="0.15">
      <c r="B348" s="72"/>
      <c r="C348" s="80">
        <v>44228</v>
      </c>
      <c r="D348" s="74" t="s">
        <v>413</v>
      </c>
    </row>
    <row r="349" spans="2:4" x14ac:dyDescent="0.15">
      <c r="B349" s="72"/>
      <c r="C349" s="80">
        <v>44197</v>
      </c>
      <c r="D349" s="74" t="s">
        <v>414</v>
      </c>
    </row>
    <row r="350" spans="2:4" x14ac:dyDescent="0.15">
      <c r="B350" s="72"/>
      <c r="C350" s="80">
        <v>44166</v>
      </c>
      <c r="D350" s="74" t="s">
        <v>415</v>
      </c>
    </row>
    <row r="351" spans="2:4" x14ac:dyDescent="0.15">
      <c r="B351" s="72"/>
      <c r="C351" s="80">
        <v>44105</v>
      </c>
      <c r="D351" s="74" t="s">
        <v>416</v>
      </c>
    </row>
    <row r="352" spans="2:4" x14ac:dyDescent="0.15">
      <c r="B352" s="72"/>
      <c r="C352" s="80">
        <v>44044</v>
      </c>
      <c r="D352" s="74" t="s">
        <v>417</v>
      </c>
    </row>
    <row r="353" spans="2:4" x14ac:dyDescent="0.15">
      <c r="B353" s="72"/>
      <c r="C353" s="80">
        <v>44044</v>
      </c>
      <c r="D353" s="74" t="s">
        <v>418</v>
      </c>
    </row>
    <row r="354" spans="2:4" x14ac:dyDescent="0.15">
      <c r="B354" s="72"/>
      <c r="C354" s="80">
        <v>43952</v>
      </c>
      <c r="D354" s="74" t="s">
        <v>419</v>
      </c>
    </row>
    <row r="355" spans="2:4" x14ac:dyDescent="0.15">
      <c r="B355" s="72"/>
      <c r="C355" s="80">
        <v>43922</v>
      </c>
      <c r="D355" s="74" t="s">
        <v>420</v>
      </c>
    </row>
    <row r="356" spans="2:4" x14ac:dyDescent="0.15">
      <c r="B356" s="72"/>
      <c r="C356" s="80">
        <v>43831</v>
      </c>
      <c r="D356" s="74" t="s">
        <v>421</v>
      </c>
    </row>
    <row r="357" spans="2:4" x14ac:dyDescent="0.15">
      <c r="B357" s="72"/>
      <c r="C357" s="80">
        <v>43800</v>
      </c>
      <c r="D357" s="74" t="s">
        <v>422</v>
      </c>
    </row>
    <row r="358" spans="2:4" x14ac:dyDescent="0.15">
      <c r="B358" s="72"/>
      <c r="C358" s="80">
        <v>43739</v>
      </c>
      <c r="D358" s="74" t="s">
        <v>423</v>
      </c>
    </row>
    <row r="359" spans="2:4" x14ac:dyDescent="0.15">
      <c r="B359" s="72"/>
      <c r="C359" s="80">
        <v>43647</v>
      </c>
      <c r="D359" s="74" t="s">
        <v>424</v>
      </c>
    </row>
    <row r="360" spans="2:4" x14ac:dyDescent="0.15">
      <c r="B360" s="72"/>
      <c r="C360" s="80">
        <v>43617</v>
      </c>
      <c r="D360" s="74" t="s">
        <v>425</v>
      </c>
    </row>
    <row r="361" spans="2:4" x14ac:dyDescent="0.15">
      <c r="B361" s="72"/>
      <c r="C361" s="80">
        <v>43556</v>
      </c>
      <c r="D361" s="75" t="s">
        <v>426</v>
      </c>
    </row>
    <row r="362" spans="2:4" x14ac:dyDescent="0.15">
      <c r="B362" s="72"/>
      <c r="C362" s="80">
        <v>43497</v>
      </c>
      <c r="D362" s="74" t="s">
        <v>427</v>
      </c>
    </row>
    <row r="363" spans="2:4" ht="15" customHeight="1" thickBot="1" x14ac:dyDescent="0.2">
      <c r="B363" s="76"/>
      <c r="C363" s="81">
        <v>43466</v>
      </c>
      <c r="D363" s="82" t="s">
        <v>428</v>
      </c>
    </row>
  </sheetData>
  <autoFilter ref="B2:D363" xr:uid="{00000000-0009-0000-0000-00000C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Note</vt:lpstr>
      <vt:lpstr>DB Services ISM</vt:lpstr>
      <vt:lpstr>DB Business</vt:lpstr>
      <vt:lpstr>DB New Orders</vt:lpstr>
      <vt:lpstr>SectorsBusinessActivity</vt:lpstr>
      <vt:lpstr>SectorsNewOrders</vt:lpstr>
      <vt:lpstr>Sectors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2022-01-29T11:23:26Z</dcterms:modified>
</cp:coreProperties>
</file>